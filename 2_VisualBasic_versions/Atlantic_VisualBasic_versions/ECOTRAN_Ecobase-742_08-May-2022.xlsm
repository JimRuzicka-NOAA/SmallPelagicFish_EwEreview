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2E9D70B-A4EE-CE44-9219-7292940FDD4A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Main!$C$2:$N$32</definedName>
    <definedName name="matDetritus">Detritus!$C$2:$E$32</definedName>
    <definedName name="matDiet">Diets!$B$2:$X$27</definedName>
    <definedName name="matDiscards">Discards!$C$2:$H$26</definedName>
    <definedName name="matFishery">Fishing!$C$2:$H$26</definedName>
    <definedName name="matFishing">Fishing!#REF!</definedName>
    <definedName name="matMort">Mortalities!$A$1:$AH$26</definedName>
    <definedName name="matOut">MainOutputs!$A$2:$I$32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<sst xmlns="http://schemas.openxmlformats.org/spreadsheetml/2006/main" count="902" uniqueCount="234">
  <si>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</si>
  <si>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</si>
  <si>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</si>
  <si>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</si>
  <si>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</si>
  <si>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</si>
  <si>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</si>
  <si>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</si>
  <si>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</si>
  <si>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</si>
  <si>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</si>
  <si>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</si>
  <si>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</si>
  <si>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</si>
  <si>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</si>
  <si>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</si>
  <si>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</si>
  <si>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</si>
  <si>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</si>
  <si>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</si>
  <si>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</si>
  <si>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</si>
  <si>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</si>
  <si>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</si>
  <si>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</si>
  <si>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</si>
  <si>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</si>
  <si>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</si>
  <si>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</si>
  <si>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</si>
  <si>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</si>
  <si>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</si>
  <si>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</si>
  <si>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</si>
  <si>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</si>
  <si>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</si>
  <si>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</si>
  <si>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</si>
  <si>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</si>
  <si>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</si>
  <si>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</si>
  <si>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</si>
  <si>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</si>
  <si>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</si>
  <si>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</si>
  <si>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</si>
  <si>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</si>
  <si>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</si>
  <si>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</si>
  <si>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</si>
  <si>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</si>
  <si>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</si>
  <si>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</si>
  <si>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</si>
  <si>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</si>
  <si>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</si>
  <si>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</si>
  <si>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</si>
  <si>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</si>
  <si>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</si>
  <si>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</si>
  <si>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</si>
  <si>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</si>
  <si>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</si>
  <si>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</si>
  <si>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</si>
  <si>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</si>
  <si>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</si>
  <si>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</si>
  <si>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</si>
  <si>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</si>
  <si>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</si>
  <si>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</si>
  <si>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</si>
  <si>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</si>
  <si>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</si>
  <si>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</si>
  <si>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</si>
  <si>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</si>
  <si>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</si>
  <si>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</si>
  <si>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</si>
  <si>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</si>
  <si>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</si>
  <si>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</si>
  <si>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</si>
  <si>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</si>
  <si>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</si>
  <si>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</si>
  <si>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</si>
  <si>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</si>
  <si>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</si>
  <si>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</si>
  <si>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</si>
  <si>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</si>
  <si>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</si>
  <si>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</si>
  <si>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</si>
  <si>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</si>
  <si>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</si>
  <si>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</si>
  <si>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</si>
  <si>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</si>
  <si>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</si>
  <si>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</si>
  <si>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</si>
  <si>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</si>
  <si>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</si>
  <si>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</si>
  <si>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</si>
  <si>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</si>
  <si>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</si>
  <si>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</si>
  <si>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</si>
  <si>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</si>
  <si>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</si>
  <si>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</si>
  <si>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</si>
  <si>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</si>
  <si>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</si>
  <si>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</si>
  <si>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</si>
  <si>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</si>
  <si>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</si>
  <si>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</si>
  <si>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</si>
  <si>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</si>
  <si>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</si>
  <si>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</si>
  <si>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</si>
  <si>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</si>
  <si>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</si>
  <si>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</si>
  <si>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</si>
  <si>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</si>
  <si>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</si>
  <si>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</si>
  <si>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</si>
  <si>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</si>
  <si>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</si>
  <si>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</si>
  <si>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</si>
  <si>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</si>
  <si>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</si>
  <si>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</si>
  <si>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</si>
  <si>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</si>
  <si>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</si>
  <si>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</si>
  <si>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</si>
  <si>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</si>
  <si>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</si>
  <si>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</si>
  <si>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</si>
  <si>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</si>
  <si>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</si>
  <si>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</si>
  <si>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</si>
  <si>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</si>
  <si>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</si>
  <si>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</si>
  <si>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</si>
  <si>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</si>
  <si>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</si>
  <si>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</si>
  <si>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</si>
  <si>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</si>
  <si>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</si>
  <si>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</si>
  <si>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</si>
  <si>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</si>
  <si>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</si>
  <si>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</si>
  <si>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</si>
  <si>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</si>
  <si>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</si>
  <si>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</si>
  <si>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</si>
  <si>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</si>
  <si>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</si>
  <si>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</si>
  <si>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</si>
  <si>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</si>
  <si>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</si>
  <si>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</si>
  <si>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Mount St Michel Bay</t>
  </si>
  <si>
    <t>France</t>
  </si>
  <si>
    <t>BOX(-2 48.5,-1.3 49)</t>
  </si>
  <si>
    <t>bay/fjord</t>
  </si>
  <si>
    <t>WetWeight</t>
  </si>
  <si>
    <t>Representation of the trophic fluxes in the Bay, with a focus on 1rst order consumers (filster feeders, including wild, cultivated and invasise shellfsh)</t>
  </si>
  <si>
    <t xml:space="preserve">Arbach Leloup F.,Desroy N.,Le Mao P.,Pauly D.,Le Pape O.(2008). Interactions between a natural food web, shellfish farming and exotic species: the case of the Bay of Mont Saint Michel (France) Estuarine, Coastal and Shelf Science. pp 111-120
        </t>
  </si>
  <si>
    <t>https://doi.org/10.1016/j.ecss.2007.06.011</t>
  </si>
  <si>
    <t>céphalopodes</t>
  </si>
  <si>
    <t>gros crustacés</t>
  </si>
  <si>
    <t>zooplancton her</t>
  </si>
  <si>
    <t>phoques</t>
  </si>
  <si>
    <t>poissons adulte</t>
  </si>
  <si>
    <t>Macrobenthos2</t>
  </si>
  <si>
    <t>Crepidule</t>
  </si>
  <si>
    <t>huîtres2</t>
  </si>
  <si>
    <t>Phytoplancton</t>
  </si>
  <si>
    <t>juvenile cephal</t>
  </si>
  <si>
    <t>phytobenthos 2</t>
  </si>
  <si>
    <t>oiseaux limicol</t>
  </si>
  <si>
    <t>juvéniles poiss</t>
  </si>
  <si>
    <t>petites espèces</t>
  </si>
  <si>
    <t>Mulets</t>
  </si>
  <si>
    <t>anatidés</t>
  </si>
  <si>
    <t>mouton</t>
  </si>
  <si>
    <t>macrobenthos</t>
  </si>
  <si>
    <t>Meiobenthos</t>
  </si>
  <si>
    <t>Moules</t>
  </si>
  <si>
    <t>huîtres</t>
  </si>
  <si>
    <t>Macrophytes</t>
  </si>
  <si>
    <t>Phytobenthos1</t>
  </si>
  <si>
    <t>Detritus</t>
  </si>
  <si>
    <t>detritus_TerminalBenthic</t>
  </si>
  <si>
    <t>Peche Pied</t>
  </si>
  <si>
    <t>Pêche Mer</t>
  </si>
  <si>
    <t>Ostréiculture</t>
  </si>
  <si>
    <t>Mytiliculture</t>
  </si>
  <si>
    <t>Moutons</t>
  </si>
  <si>
    <t>Chasse</t>
  </si>
  <si>
    <t>Import</t>
  </si>
  <si>
    <t>export</t>
  </si>
  <si>
    <t>sum</t>
  </si>
  <si>
    <t>TOTAL</t>
  </si>
  <si>
    <t>F Peche Pied</t>
  </si>
  <si>
    <t>F Pêche Mer</t>
  </si>
  <si>
    <t>F Ostréiculture</t>
  </si>
  <si>
    <t>F Mytiliculture</t>
  </si>
  <si>
    <t>F Moutons</t>
  </si>
  <si>
    <t>F Chasse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</si>
</sst>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9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0CFF0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8" borderId="2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8" xfId="0" applyFill="1" applyBorder="1"/>
    <xf numFmtId="0" fontId="0" fillId="18" borderId="9" xfId="0" applyFill="1" applyBorder="1"/>
    <xf numFmtId="0" fontId="0" fillId="1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25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4" borderId="3" xfId="0" applyNumberFormat="1" applyFont="1" applyFill="1" applyBorder="1"/>
    <xf numFmtId="0" fontId="0" fillId="24" borderId="2" xfId="0" applyFont="1" applyFill="1" applyBorder="1"/>
    <xf numFmtId="0" fontId="0" fillId="24" borderId="3" xfId="0" applyFont="1" applyFill="1" applyBorder="1"/>
    <xf numFmtId="0" fontId="0" fillId="2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0" fillId="26" borderId="0" xfId="0" applyFill="1"/>
    <xf numFmtId="0" fontId="0" fillId="2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4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5" t="s">
        <v>164</v>
      </c>
    </row>
    <row r="6" spans="2:4" ht="14" thickBot="1" x14ac:dyDescent="0.2">
      <c r="B6" s="39" t="s">
        <v>141</v>
      </c>
    </row>
    <row r="7" spans="2:4" x14ac:dyDescent="0.15">
      <c r="B7" s="55" t="s">
        <v>143</v>
      </c>
    </row>
    <row r="8" spans="2:4" x14ac:dyDescent="0.15">
      <c r="B8" s="55" t="s">
        <v>142</v>
      </c>
    </row>
    <row r="9" spans="2:4" x14ac:dyDescent="0.15">
      <c r="B9" s="55" t="s">
        <v>144</v>
      </c>
    </row>
    <row r="10" spans="2:4" x14ac:dyDescent="0.15">
      <c r="B10" s="55" t="s">
        <v>147</v>
      </c>
    </row>
    <row r="11" spans="2:4" x14ac:dyDescent="0.15">
      <c r="B11" s="55" t="s">
        <v>151</v>
      </c>
    </row>
    <row r="12" spans="2:4" x14ac:dyDescent="0.15">
      <c r="B12" s="55" t="s">
        <v>153</v>
      </c>
    </row>
    <row r="13" spans="2:4" x14ac:dyDescent="0.15">
      <c r="B13" s="55" t="s">
        <v>165</v>
      </c>
    </row>
    <row r="15" spans="2:4" ht="14" thickBot="1" x14ac:dyDescent="0.2"/>
    <row r="16" spans="2:4" ht="14" thickBot="1" x14ac:dyDescent="0.2">
      <c r="B16" s="40" t="s">
        <v>137</v>
      </c>
      <c r="C16" s="41"/>
      <c r="D16" s="23">
        <v>41373</v>
      </c>
    </row>
    <row r="17" spans="2:4" x14ac:dyDescent="0.15">
      <c r="B17" s="42" t="s">
        <v>58</v>
      </c>
      <c r="C17" s="26">
        <v>0</v>
      </c>
    </row>
    <row r="18" spans="2:4" x14ac:dyDescent="0.15">
      <c r="B18" s="42" t="s">
        <v>59</v>
      </c>
      <c r="C18" s="26">
        <v>1</v>
      </c>
    </row>
    <row r="19" spans="2:4" x14ac:dyDescent="0.15">
      <c r="B19" s="42" t="s">
        <v>60</v>
      </c>
      <c r="C19" s="26">
        <v>2</v>
      </c>
    </row>
    <row r="20" spans="2:4" ht="14" thickBot="1" x14ac:dyDescent="0.2">
      <c r="B20" s="43" t="s">
        <v>44</v>
      </c>
      <c r="C20" s="27">
        <v>3</v>
      </c>
    </row>
    <row r="21" spans="2:4" x14ac:dyDescent="0.15">
      <c r="B21" s="44" t="s">
        <v>140</v>
      </c>
    </row>
    <row r="22" spans="2:4" ht="14" thickBot="1" x14ac:dyDescent="0.2"/>
    <row r="23" spans="2:4" ht="14" thickBot="1" x14ac:dyDescent="0.2">
      <c r="B23" s="40" t="s">
        <v>65</v>
      </c>
      <c r="C23" s="41"/>
      <c r="D23" s="23" t="s">
        <v>148</v>
      </c>
    </row>
    <row r="24" spans="2:4" x14ac:dyDescent="0.15">
      <c r="B24" s="46" t="s">
        <v>38</v>
      </c>
      <c r="C24" s="24">
        <v>1</v>
      </c>
    </row>
    <row r="25" spans="2:4" x14ac:dyDescent="0.15">
      <c r="B25" s="42" t="s">
        <v>40</v>
      </c>
      <c r="C25" s="26">
        <v>1.1000000000000001</v>
      </c>
    </row>
    <row r="26" spans="2:4" x14ac:dyDescent="0.15">
      <c r="B26" s="42" t="s">
        <v>41</v>
      </c>
      <c r="C26" s="26">
        <v>1.2</v>
      </c>
    </row>
    <row r="27" spans="2:4" x14ac:dyDescent="0.15">
      <c r="B27" s="42"/>
      <c r="C27" s="26"/>
    </row>
    <row r="28" spans="2:4" x14ac:dyDescent="0.15">
      <c r="B28" s="42" t="s">
        <v>42</v>
      </c>
      <c r="C28" s="26">
        <v>2.1</v>
      </c>
    </row>
    <row r="29" spans="2:4" x14ac:dyDescent="0.15">
      <c r="B29" s="42" t="s">
        <v>43</v>
      </c>
      <c r="C29" s="26">
        <v>2.2000000000000002</v>
      </c>
    </row>
    <row r="30" spans="2:4" x14ac:dyDescent="0.15">
      <c r="B30" s="42" t="s">
        <v>67</v>
      </c>
      <c r="C30" s="26">
        <v>2.2999999999999998</v>
      </c>
    </row>
    <row r="31" spans="2:4" x14ac:dyDescent="0.15">
      <c r="B31" s="42"/>
      <c r="C31" s="26"/>
    </row>
    <row r="32" spans="2:4" x14ac:dyDescent="0.15">
      <c r="B32" s="42" t="s">
        <v>62</v>
      </c>
      <c r="C32" s="26">
        <v>3.11</v>
      </c>
    </row>
    <row r="33" spans="2:3" x14ac:dyDescent="0.15">
      <c r="B33" s="42" t="s">
        <v>61</v>
      </c>
      <c r="C33" s="26">
        <v>3.12</v>
      </c>
    </row>
    <row r="34" spans="2:3" x14ac:dyDescent="0.15">
      <c r="B34" s="42" t="s">
        <v>68</v>
      </c>
      <c r="C34" s="26">
        <v>3.13</v>
      </c>
    </row>
    <row r="35" spans="2:3" x14ac:dyDescent="0.15">
      <c r="B35" s="42"/>
      <c r="C35" s="26"/>
    </row>
    <row r="36" spans="2:3" x14ac:dyDescent="0.15">
      <c r="B36" s="42" t="s">
        <v>66</v>
      </c>
      <c r="C36" s="26">
        <v>3.21</v>
      </c>
    </row>
    <row r="37" spans="2:3" x14ac:dyDescent="0.15">
      <c r="B37" s="42" t="s">
        <v>63</v>
      </c>
      <c r="C37" s="26">
        <v>3.22</v>
      </c>
    </row>
    <row r="38" spans="2:3" x14ac:dyDescent="0.15">
      <c r="B38" s="42" t="s">
        <v>69</v>
      </c>
      <c r="C38" s="26">
        <v>3.23</v>
      </c>
    </row>
    <row r="39" spans="2:3" x14ac:dyDescent="0.15">
      <c r="B39" s="42"/>
      <c r="C39" s="26"/>
    </row>
    <row r="40" spans="2:3" x14ac:dyDescent="0.15">
      <c r="B40" s="42" t="s">
        <v>64</v>
      </c>
      <c r="C40" s="26">
        <v>8</v>
      </c>
    </row>
    <row r="41" spans="2:3" x14ac:dyDescent="0.15">
      <c r="B41" s="42"/>
      <c r="C41" s="26"/>
    </row>
    <row r="42" spans="2:3" x14ac:dyDescent="0.15">
      <c r="B42" s="42" t="s">
        <v>71</v>
      </c>
      <c r="C42" s="26">
        <v>4.0999999999999996</v>
      </c>
    </row>
    <row r="43" spans="2:3" x14ac:dyDescent="0.15">
      <c r="B43" s="42" t="s">
        <v>70</v>
      </c>
      <c r="C43" s="26">
        <v>4.2</v>
      </c>
    </row>
    <row r="44" spans="2:3" x14ac:dyDescent="0.15">
      <c r="B44" s="42" t="s">
        <v>72</v>
      </c>
      <c r="C44" s="26">
        <v>4.3</v>
      </c>
    </row>
    <row r="45" spans="2:3" x14ac:dyDescent="0.15">
      <c r="B45" s="25"/>
      <c r="C45" s="26"/>
    </row>
    <row r="46" spans="2:3" x14ac:dyDescent="0.15">
      <c r="B46" s="42" t="s">
        <v>138</v>
      </c>
      <c r="C46" s="26">
        <v>6.1</v>
      </c>
    </row>
    <row r="47" spans="2:3" x14ac:dyDescent="0.15">
      <c r="B47" s="42" t="s">
        <v>45</v>
      </c>
      <c r="C47" s="26">
        <v>6.2</v>
      </c>
    </row>
    <row r="48" spans="2:3" x14ac:dyDescent="0.15">
      <c r="B48" s="42"/>
      <c r="C48" s="26"/>
    </row>
    <row r="49" spans="2:4" x14ac:dyDescent="0.15">
      <c r="B49" s="42" t="s">
        <v>44</v>
      </c>
      <c r="C49" s="26">
        <v>5</v>
      </c>
    </row>
    <row r="50" spans="2:4" x14ac:dyDescent="0.15">
      <c r="B50" s="42"/>
      <c r="C50" s="26"/>
    </row>
    <row r="51" spans="2:4" ht="14" thickBot="1" x14ac:dyDescent="0.2">
      <c r="B51" s="43" t="s">
        <v>73</v>
      </c>
      <c r="C51" s="27">
        <v>7</v>
      </c>
    </row>
    <row r="53" spans="2:4" x14ac:dyDescent="0.15">
      <c r="B53" s="153" t="s">
        <v>171</v>
      </c>
      <c r="C53" s="89">
        <v>742</v>
      </c>
      <c r="D53" s="89"/>
    </row>
    <row r="54" spans="2:4" x14ac:dyDescent="0.15">
      <c r="B54" s="153" t="s">
        <v>172</v>
      </c>
      <c r="C54" s="153" t="s">
        <v>185</v>
      </c>
      <c r="D54" s="89"/>
    </row>
    <row r="55" spans="2:4" x14ac:dyDescent="0.15">
      <c r="B55" s="153" t="s">
        <v>173</v>
      </c>
      <c r="C55" s="153" t="s">
        <v>186</v>
      </c>
      <c r="D55" s="89"/>
    </row>
    <row r="56" spans="2:4" x14ac:dyDescent="0.15">
      <c r="B56" s="153" t="s">
        <v>174</v>
      </c>
      <c r="C56" s="89">
        <v>1500</v>
      </c>
      <c r="D56" s="89"/>
    </row>
    <row r="57" spans="2:4" x14ac:dyDescent="0.15">
      <c r="B57" s="153" t="s">
        <v>175</v>
      </c>
      <c r="C57" s="153" t="s">
        <v>187</v>
      </c>
      <c r="D57" s="89"/>
    </row>
    <row r="58" spans="2:4" x14ac:dyDescent="0.15">
      <c r="B58" s="153" t="s">
        <v>176</v>
      </c>
      <c r="C58" s="153" t="s">
        <v>188</v>
      </c>
      <c r="D58" s="89"/>
    </row>
    <row r="59" spans="2:4" x14ac:dyDescent="0.15">
      <c r="B59" s="153" t="s">
        <v>177</v>
      </c>
      <c r="C59" s="153" t="s">
        <v>189</v>
      </c>
      <c r="D59" s="89"/>
    </row>
    <row r="60" spans="2:4" x14ac:dyDescent="0.15">
      <c r="B60" s="153" t="s">
        <v>178</v>
      </c>
      <c r="C60" s="153" t="s">
        <v>190</v>
      </c>
      <c r="D60" s="89"/>
    </row>
    <row r="61" spans="2:4" x14ac:dyDescent="0.15">
      <c r="B61" s="153" t="s">
        <v>179</v>
      </c>
      <c r="C61" s="89">
        <v>24</v>
      </c>
      <c r="D61" s="89"/>
    </row>
    <row r="62" spans="2:4" x14ac:dyDescent="0.15">
      <c r="B62" s="153" t="s">
        <v>180</v>
      </c>
      <c r="C62" s="89">
        <v>6</v>
      </c>
      <c r="D62" s="89"/>
    </row>
    <row r="63" spans="2:4" x14ac:dyDescent="0.15">
      <c r="B63" s="153" t="s">
        <v>181</v>
      </c>
      <c r="C63" s="89">
        <v>2003</v>
      </c>
      <c r="D63" s="89"/>
    </row>
    <row r="64" spans="2:4" x14ac:dyDescent="0.15">
      <c r="B64" s="153" t="s">
        <v>182</v>
      </c>
      <c r="C64" s="89">
        <v>1</v>
      </c>
      <c r="D64" s="89"/>
    </row>
    <row r="65" spans="2:4" x14ac:dyDescent="0.15">
      <c r="B65" s="153" t="s">
        <v>183</v>
      </c>
      <c r="C65" s="153" t="s">
        <v>191</v>
      </c>
      <c r="D65" s="89"/>
    </row>
    <row r="66" spans="2:4" x14ac:dyDescent="0.15">
      <c r="B66" s="153" t="s">
        <v>184</v>
      </c>
      <c r="C66" s="153" t="s">
        <v>192</v>
      </c>
      <c r="D66" s="89"/>
    </row>
    <row r="67" spans="2:4" x14ac:dyDescent="0.15">
      <c r="B67" s="89"/>
      <c r="C67" s="89"/>
      <c r="D67" s="89"/>
    </row>
    <row r="68" spans="2:4" x14ac:dyDescent="0.15">
      <c r="B68" s="89"/>
      <c r="C68" s="89"/>
      <c r="D68" s="8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66" customWidth="1"/>
    <col min="2" max="3" width="3.33203125" style="66" customWidth="1"/>
    <col min="4" max="4" width="14.33203125" style="66" customWidth="1"/>
    <col min="5" max="5" width="21.6640625" style="66" bestFit="1" customWidth="1"/>
    <col min="6" max="6" width="2.33203125" style="66" bestFit="1" customWidth="1"/>
    <col min="7" max="7" width="11.83203125" style="66" bestFit="1" customWidth="1"/>
    <col min="8" max="8" width="10.83203125" style="66" customWidth="1"/>
    <col min="9" max="9" width="9.83203125" style="66" customWidth="1"/>
    <col min="10" max="10" width="11.83203125" style="66" customWidth="1"/>
    <col min="11" max="11" width="10.83203125" style="66" customWidth="1"/>
    <col min="12" max="12" width="12.83203125" style="66" customWidth="1"/>
    <col min="13" max="13" width="3.83203125" style="66" customWidth="1"/>
    <col min="14" max="14" width="2.33203125" style="66" customWidth="1"/>
    <col min="16" max="25" width="8.83203125" style="6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6"/>
  </cols>
  <sheetData>
    <row r="1" spans="1:46" s="82" customFormat="1" ht="15" customHeight="1" x14ac:dyDescent="0.15">
      <c r="A1" s="62" t="s">
        <v>18</v>
      </c>
      <c r="C1" s="63" t="s">
        <v>8</v>
      </c>
      <c r="D1" s="62" t="s">
        <v>23</v>
      </c>
      <c r="E1" s="62" t="s">
        <v>0</v>
      </c>
      <c r="F1" s="62" t="s">
        <v>7</v>
      </c>
      <c r="G1" s="64" t="s">
        <v>13</v>
      </c>
      <c r="H1" s="62" t="s">
        <v>1</v>
      </c>
      <c r="I1" s="62" t="s">
        <v>2</v>
      </c>
      <c r="J1" s="62" t="s">
        <v>14</v>
      </c>
      <c r="K1" s="62" t="s">
        <v>3</v>
      </c>
      <c r="L1" s="62" t="s">
        <v>4</v>
      </c>
      <c r="M1" s="62" t="s">
        <v>5</v>
      </c>
      <c r="N1" s="6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2">
        <v>1</v>
      </c>
      <c r="D2"/>
      <c r="E2" s="154" t="s">
        <v>193</v>
      </c>
      <c r="F2" s="66">
        <v>0</v>
      </c>
      <c r="G2" s="66">
        <v>0.8</v>
      </c>
      <c r="H2" s="66">
        <v>1.2</v>
      </c>
      <c r="I2" s="6">
        <v>12</v>
      </c>
      <c r="J2" s="6">
        <v>0.58004160000000005</v>
      </c>
      <c r="K2" s="6">
        <v>0.1</v>
      </c>
      <c r="L2" s="6">
        <v>0</v>
      </c>
      <c r="M2" s="66">
        <v>0.2</v>
      </c>
      <c r="N2" s="66">
        <v>0</v>
      </c>
    </row>
    <row r="3" spans="1:46" ht="15" customHeight="1" x14ac:dyDescent="0.15">
      <c r="A3" s="1" t="s">
        <v>9</v>
      </c>
      <c r="B3" s="4">
        <v>23</v>
      </c>
      <c r="C3" s="66">
        <v>2</v>
      </c>
      <c r="D3"/>
      <c r="E3" s="154" t="s">
        <v>194</v>
      </c>
      <c r="F3" s="66">
        <v>0</v>
      </c>
      <c r="G3" s="66">
        <v>1.2</v>
      </c>
      <c r="H3" s="66">
        <v>0.54</v>
      </c>
      <c r="I3" s="66">
        <v>5.4</v>
      </c>
      <c r="J3" s="66">
        <v>0.934814751</v>
      </c>
      <c r="K3" s="66">
        <v>0.1</v>
      </c>
      <c r="L3" s="66">
        <v>0</v>
      </c>
      <c r="M3" s="66">
        <v>0.2</v>
      </c>
      <c r="N3" s="66">
        <v>0</v>
      </c>
    </row>
    <row r="4" spans="1:46" ht="15" customHeight="1" x14ac:dyDescent="0.15">
      <c r="A4" s="1" t="s">
        <v>10</v>
      </c>
      <c r="B4" s="4">
        <v>2</v>
      </c>
      <c r="C4" s="66">
        <v>3</v>
      </c>
      <c r="D4"/>
      <c r="E4" s="154" t="s">
        <v>195</v>
      </c>
      <c r="F4" s="66">
        <v>0</v>
      </c>
      <c r="G4" s="66">
        <v>0.22402635200000001</v>
      </c>
      <c r="H4" s="66">
        <v>10</v>
      </c>
      <c r="I4" s="66">
        <v>50</v>
      </c>
      <c r="J4" s="66">
        <v>0.9</v>
      </c>
      <c r="K4" s="66">
        <v>0.2</v>
      </c>
      <c r="L4" s="66">
        <v>0</v>
      </c>
      <c r="M4" s="66">
        <v>0.2</v>
      </c>
      <c r="N4" s="6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6</v>
      </c>
      <c r="C5" s="66">
        <v>4</v>
      </c>
      <c r="D5"/>
      <c r="E5" s="154" t="s">
        <v>196</v>
      </c>
      <c r="F5" s="66">
        <v>0</v>
      </c>
      <c r="G5" s="66">
        <v>3.0000000000000001E-3</v>
      </c>
      <c r="H5" s="66">
        <v>0.1</v>
      </c>
      <c r="I5" s="66">
        <v>12.8</v>
      </c>
      <c r="J5" s="66">
        <v>0</v>
      </c>
      <c r="K5" s="66">
        <v>7.8125E-3</v>
      </c>
      <c r="L5" s="66">
        <v>0</v>
      </c>
      <c r="M5" s="66">
        <v>0.2</v>
      </c>
      <c r="N5" s="66">
        <v>0</v>
      </c>
      <c r="P5" s="58"/>
      <c r="Q5" s="58"/>
      <c r="R5" s="58"/>
    </row>
    <row r="6" spans="1:46" ht="15" customHeight="1" thickBot="1" x14ac:dyDescent="0.2">
      <c r="B6" s="1"/>
      <c r="C6" s="66">
        <v>5</v>
      </c>
      <c r="D6"/>
      <c r="E6" s="154" t="s">
        <v>197</v>
      </c>
      <c r="F6" s="66">
        <v>0</v>
      </c>
      <c r="G6" s="66">
        <v>1</v>
      </c>
      <c r="H6" s="66">
        <v>0.5</v>
      </c>
      <c r="I6" s="66">
        <v>5</v>
      </c>
      <c r="J6" s="66">
        <v>0.419199973</v>
      </c>
      <c r="K6" s="66">
        <v>0.1</v>
      </c>
      <c r="L6" s="66">
        <v>0</v>
      </c>
      <c r="M6" s="66">
        <v>0.2</v>
      </c>
      <c r="N6" s="66">
        <v>0</v>
      </c>
      <c r="P6" s="58"/>
      <c r="Q6" s="58"/>
      <c r="R6" s="58"/>
      <c r="W6" s="29" t="s">
        <v>31</v>
      </c>
      <c r="X6" s="45">
        <f>MAX(MainOutputs!G:G)</f>
        <v>0.96153849363327026</v>
      </c>
    </row>
    <row r="7" spans="1:46" ht="15" customHeight="1" x14ac:dyDescent="0.15">
      <c r="A7" s="2" t="s">
        <v>27</v>
      </c>
      <c r="B7" s="66">
        <f ca="1">COUNTIF(OFFSET(cornerDiets,1,1,NumLiving+NumDead+1,NumLiving+NumDead),"&gt;0")+NumLiving+NumDead+1</f>
        <v>97</v>
      </c>
      <c r="C7" s="66">
        <v>6</v>
      </c>
      <c r="D7"/>
      <c r="E7" s="154" t="s">
        <v>198</v>
      </c>
      <c r="F7" s="66">
        <v>0</v>
      </c>
      <c r="G7" s="66">
        <v>30</v>
      </c>
      <c r="H7" s="66">
        <v>0.7</v>
      </c>
      <c r="I7" s="66">
        <v>7</v>
      </c>
      <c r="J7" s="66">
        <v>0.69208765000000005</v>
      </c>
      <c r="K7" s="66">
        <v>0.1</v>
      </c>
      <c r="L7" s="66">
        <v>0</v>
      </c>
      <c r="M7" s="66">
        <v>0.2</v>
      </c>
      <c r="N7" s="66">
        <v>0</v>
      </c>
      <c r="P7" s="58"/>
      <c r="Q7" s="58"/>
      <c r="R7" s="58"/>
    </row>
    <row r="8" spans="1:46" ht="15" customHeight="1" x14ac:dyDescent="0.15">
      <c r="A8" s="2" t="s">
        <v>28</v>
      </c>
      <c r="B8" s="66">
        <f ca="1">COUNTIF(OFFSET(cornerFishing,1,2,NumLiving+NumDead,NumGears),"&gt;0")+NumDead*COUNTIF(OFFSET(cornerDiscards,1,2,NumLiving+NumDead,NumGears),"&gt;0")+NumLiving+NumDead+1</f>
        <v>48</v>
      </c>
      <c r="C8" s="66">
        <v>7</v>
      </c>
      <c r="D8"/>
      <c r="E8" s="154" t="s">
        <v>199</v>
      </c>
      <c r="F8" s="66">
        <v>0</v>
      </c>
      <c r="G8" s="66">
        <v>34</v>
      </c>
      <c r="H8" s="66">
        <v>0.3</v>
      </c>
      <c r="I8" s="66">
        <v>6</v>
      </c>
      <c r="J8" s="66">
        <v>6.3725489999999996E-2</v>
      </c>
      <c r="K8" s="66">
        <v>0.05</v>
      </c>
      <c r="L8" s="66">
        <v>1.9117645900000001E-2</v>
      </c>
      <c r="M8" s="66">
        <v>0.2</v>
      </c>
      <c r="N8" s="66">
        <v>0</v>
      </c>
      <c r="P8" s="58"/>
      <c r="Q8" s="58"/>
      <c r="R8" s="58"/>
    </row>
    <row r="9" spans="1:46" ht="15" customHeight="1" x14ac:dyDescent="0.15">
      <c r="B9" s="1"/>
      <c r="C9" s="66">
        <v>8</v>
      </c>
      <c r="D9"/>
      <c r="E9" s="154" t="s">
        <v>200</v>
      </c>
      <c r="F9" s="66">
        <v>0</v>
      </c>
      <c r="G9" s="66">
        <v>0.16</v>
      </c>
      <c r="H9" s="66">
        <v>0.52</v>
      </c>
      <c r="I9" s="66">
        <v>10.4</v>
      </c>
      <c r="J9" s="66">
        <v>0.96153849999999996</v>
      </c>
      <c r="K9" s="66">
        <v>0.05</v>
      </c>
      <c r="L9" s="66">
        <v>0</v>
      </c>
      <c r="M9" s="66">
        <v>0.2</v>
      </c>
      <c r="N9" s="66">
        <v>0</v>
      </c>
      <c r="P9" s="58"/>
      <c r="Q9" s="58"/>
      <c r="R9" s="58"/>
    </row>
    <row r="10" spans="1:46" ht="15" customHeight="1" x14ac:dyDescent="0.15">
      <c r="B10" s="1"/>
      <c r="C10" s="66">
        <v>9</v>
      </c>
      <c r="D10"/>
      <c r="E10" s="154" t="s">
        <v>201</v>
      </c>
      <c r="F10" s="66">
        <v>1</v>
      </c>
      <c r="G10" s="66">
        <v>2.2999999999999998</v>
      </c>
      <c r="H10" s="66">
        <v>40</v>
      </c>
      <c r="I10" s="66">
        <v>0</v>
      </c>
      <c r="J10" s="66">
        <v>0.91786230000000002</v>
      </c>
      <c r="K10" s="66">
        <v>0</v>
      </c>
      <c r="L10" s="66">
        <v>0</v>
      </c>
      <c r="M10" s="66">
        <v>0</v>
      </c>
      <c r="N10" s="66">
        <v>0</v>
      </c>
    </row>
    <row r="11" spans="1:46" ht="15" customHeight="1" x14ac:dyDescent="0.15">
      <c r="C11" s="66">
        <v>10</v>
      </c>
      <c r="D11"/>
      <c r="E11" s="154" t="s">
        <v>202</v>
      </c>
      <c r="F11" s="66">
        <v>0</v>
      </c>
      <c r="G11" s="66">
        <v>0.3</v>
      </c>
      <c r="H11" s="66">
        <v>2</v>
      </c>
      <c r="I11" s="66">
        <v>20</v>
      </c>
      <c r="J11" s="66">
        <v>0.63973329999999995</v>
      </c>
      <c r="K11" s="66">
        <v>0.1</v>
      </c>
      <c r="L11" s="66">
        <v>0</v>
      </c>
      <c r="M11" s="66">
        <v>0.2</v>
      </c>
      <c r="N11" s="66">
        <v>0</v>
      </c>
    </row>
    <row r="12" spans="1:46" ht="15" customHeight="1" x14ac:dyDescent="0.15">
      <c r="C12" s="66">
        <v>11</v>
      </c>
      <c r="D12"/>
      <c r="E12" s="154" t="s">
        <v>203</v>
      </c>
      <c r="F12" s="66">
        <v>1</v>
      </c>
      <c r="G12" s="66">
        <v>0.27</v>
      </c>
      <c r="H12" s="66">
        <v>100</v>
      </c>
      <c r="I12" s="66">
        <v>0</v>
      </c>
      <c r="J12" s="66">
        <v>0.87522440000000001</v>
      </c>
      <c r="K12" s="66">
        <v>0</v>
      </c>
      <c r="L12" s="66">
        <v>0</v>
      </c>
      <c r="M12" s="66">
        <v>0</v>
      </c>
      <c r="N12" s="66">
        <v>0</v>
      </c>
    </row>
    <row r="13" spans="1:46" ht="15" customHeight="1" x14ac:dyDescent="0.15">
      <c r="C13" s="66">
        <v>12</v>
      </c>
      <c r="D13"/>
      <c r="E13" s="154" t="s">
        <v>204</v>
      </c>
      <c r="F13" s="66">
        <v>0</v>
      </c>
      <c r="G13" s="66">
        <v>0.01</v>
      </c>
      <c r="H13" s="66">
        <v>0.4</v>
      </c>
      <c r="I13" s="66">
        <v>13.333334000000001</v>
      </c>
      <c r="J13" s="66">
        <v>0.25</v>
      </c>
      <c r="K13" s="66">
        <v>0.03</v>
      </c>
      <c r="L13" s="66">
        <v>0</v>
      </c>
      <c r="M13" s="66">
        <v>0.2</v>
      </c>
      <c r="N13" s="66">
        <v>0</v>
      </c>
    </row>
    <row r="14" spans="1:46" ht="15" customHeight="1" x14ac:dyDescent="0.15">
      <c r="C14" s="66">
        <v>13</v>
      </c>
      <c r="D14"/>
      <c r="E14" s="154" t="s">
        <v>205</v>
      </c>
      <c r="F14" s="66">
        <v>0</v>
      </c>
      <c r="G14" s="66">
        <v>0.47266839999999999</v>
      </c>
      <c r="H14" s="66">
        <v>6.4500002900000002</v>
      </c>
      <c r="I14" s="66">
        <v>21.5</v>
      </c>
      <c r="J14" s="66">
        <v>0.9</v>
      </c>
      <c r="K14" s="66">
        <v>0.3</v>
      </c>
      <c r="L14" s="66">
        <v>0</v>
      </c>
      <c r="M14" s="66">
        <v>0.2</v>
      </c>
      <c r="N14" s="66">
        <v>0</v>
      </c>
    </row>
    <row r="15" spans="1:46" ht="15" customHeight="1" x14ac:dyDescent="0.15">
      <c r="C15" s="66">
        <v>14</v>
      </c>
      <c r="D15"/>
      <c r="E15" s="154" t="s">
        <v>206</v>
      </c>
      <c r="F15" s="66">
        <v>0</v>
      </c>
      <c r="G15" s="66">
        <v>0.387490481</v>
      </c>
      <c r="H15" s="66">
        <v>6.9</v>
      </c>
      <c r="I15" s="66">
        <v>23</v>
      </c>
      <c r="J15" s="66">
        <v>0.95</v>
      </c>
      <c r="K15" s="66">
        <v>0.3</v>
      </c>
      <c r="L15" s="66">
        <v>0</v>
      </c>
      <c r="M15" s="66">
        <v>0.2</v>
      </c>
      <c r="N15" s="66">
        <v>0</v>
      </c>
    </row>
    <row r="16" spans="1:46" ht="15" customHeight="1" x14ac:dyDescent="0.15">
      <c r="C16" s="66">
        <v>15</v>
      </c>
      <c r="D16"/>
      <c r="E16" s="154" t="s">
        <v>207</v>
      </c>
      <c r="F16" s="66">
        <v>0</v>
      </c>
      <c r="G16" s="66">
        <v>1.408889E-2</v>
      </c>
      <c r="H16" s="66">
        <v>1</v>
      </c>
      <c r="I16" s="66">
        <v>20</v>
      </c>
      <c r="J16" s="66">
        <v>0.9</v>
      </c>
      <c r="K16" s="66">
        <v>0.05</v>
      </c>
      <c r="L16" s="66">
        <v>0</v>
      </c>
      <c r="M16" s="66">
        <v>0.2</v>
      </c>
      <c r="N16" s="66">
        <v>0</v>
      </c>
    </row>
    <row r="17" spans="1:22" ht="15" customHeight="1" x14ac:dyDescent="0.15">
      <c r="C17" s="66">
        <v>16</v>
      </c>
      <c r="D17"/>
      <c r="E17" s="154" t="s">
        <v>208</v>
      </c>
      <c r="F17" s="66">
        <v>0</v>
      </c>
      <c r="G17" s="66">
        <v>2E-3</v>
      </c>
      <c r="H17" s="66">
        <v>0.2</v>
      </c>
      <c r="I17" s="66">
        <v>8</v>
      </c>
      <c r="J17" s="66">
        <v>0</v>
      </c>
      <c r="K17" s="66">
        <v>2.5000000000000001E-2</v>
      </c>
      <c r="L17" s="66">
        <v>0</v>
      </c>
      <c r="M17" s="66">
        <v>0.2</v>
      </c>
      <c r="N17" s="66">
        <v>0</v>
      </c>
      <c r="V17" s="1" t="s">
        <v>30</v>
      </c>
    </row>
    <row r="18" spans="1:22" ht="15" customHeight="1" x14ac:dyDescent="0.15">
      <c r="C18" s="66">
        <v>17</v>
      </c>
      <c r="D18"/>
      <c r="E18" s="154" t="s">
        <v>209</v>
      </c>
      <c r="F18" s="66">
        <v>0</v>
      </c>
      <c r="G18" s="66">
        <v>0.15</v>
      </c>
      <c r="H18" s="66">
        <v>0.28000000000000003</v>
      </c>
      <c r="I18" s="66">
        <v>5.6</v>
      </c>
      <c r="J18" s="66">
        <v>0.23809522399999999</v>
      </c>
      <c r="K18" s="66">
        <v>0.05</v>
      </c>
      <c r="L18" s="66">
        <v>0</v>
      </c>
      <c r="M18" s="66">
        <v>0.2</v>
      </c>
      <c r="N18" s="66">
        <v>0</v>
      </c>
      <c r="V18" s="1"/>
    </row>
    <row r="19" spans="1:22" ht="15" customHeight="1" x14ac:dyDescent="0.15">
      <c r="C19" s="66">
        <v>18</v>
      </c>
      <c r="D19"/>
      <c r="E19" s="154" t="s">
        <v>210</v>
      </c>
      <c r="F19" s="66">
        <v>0</v>
      </c>
      <c r="G19" s="66">
        <v>3.49293041</v>
      </c>
      <c r="H19" s="66">
        <v>4.8</v>
      </c>
      <c r="I19" s="66">
        <v>36</v>
      </c>
      <c r="J19" s="66">
        <v>0.9</v>
      </c>
      <c r="K19" s="66">
        <v>0.13333333999999999</v>
      </c>
      <c r="L19" s="66">
        <v>0</v>
      </c>
      <c r="M19" s="66">
        <v>0.2</v>
      </c>
      <c r="N19" s="66">
        <v>0</v>
      </c>
    </row>
    <row r="20" spans="1:22" ht="15" customHeight="1" thickBot="1" x14ac:dyDescent="0.2">
      <c r="C20" s="66">
        <v>19</v>
      </c>
      <c r="D20"/>
      <c r="E20" s="154" t="s">
        <v>211</v>
      </c>
      <c r="F20" s="66">
        <v>0</v>
      </c>
      <c r="G20" s="66">
        <v>1.13914406</v>
      </c>
      <c r="H20" s="66">
        <v>10</v>
      </c>
      <c r="I20" s="66">
        <v>50</v>
      </c>
      <c r="J20" s="66">
        <v>0.5</v>
      </c>
      <c r="K20" s="66">
        <v>0.2</v>
      </c>
      <c r="L20" s="66">
        <v>0</v>
      </c>
      <c r="M20" s="66">
        <v>0.2</v>
      </c>
      <c r="N20" s="66">
        <v>0</v>
      </c>
    </row>
    <row r="21" spans="1:22" ht="15" customHeight="1" thickBot="1" x14ac:dyDescent="0.2">
      <c r="A21" s="40" t="s">
        <v>137</v>
      </c>
      <c r="B21" s="83"/>
      <c r="C21" s="66">
        <v>20</v>
      </c>
      <c r="D21"/>
      <c r="E21" s="154" t="s">
        <v>212</v>
      </c>
      <c r="F21" s="66">
        <v>0</v>
      </c>
      <c r="G21" s="66">
        <v>3.2</v>
      </c>
      <c r="H21" s="66">
        <v>1</v>
      </c>
      <c r="I21" s="66">
        <v>20</v>
      </c>
      <c r="J21" s="66">
        <v>0.67909073799999997</v>
      </c>
      <c r="K21" s="66">
        <v>0.05</v>
      </c>
      <c r="L21" s="66">
        <v>0</v>
      </c>
      <c r="M21" s="66">
        <v>0.2</v>
      </c>
      <c r="N21" s="66">
        <v>0</v>
      </c>
    </row>
    <row r="22" spans="1:22" ht="15" customHeight="1" x14ac:dyDescent="0.15">
      <c r="A22" s="84" t="s">
        <v>58</v>
      </c>
      <c r="B22" s="85">
        <v>0</v>
      </c>
      <c r="C22" s="66">
        <v>21</v>
      </c>
      <c r="D22"/>
      <c r="E22" s="154" t="s">
        <v>213</v>
      </c>
      <c r="F22" s="66">
        <v>0</v>
      </c>
      <c r="G22" s="66">
        <v>0.45</v>
      </c>
      <c r="H22" s="66">
        <v>0.7</v>
      </c>
      <c r="I22" s="66">
        <v>14</v>
      </c>
      <c r="J22" s="66">
        <v>0.76190480000000005</v>
      </c>
      <c r="K22" s="66">
        <v>0.05</v>
      </c>
      <c r="L22" s="66">
        <v>0</v>
      </c>
      <c r="M22" s="66">
        <v>0.2</v>
      </c>
      <c r="N22" s="66">
        <v>0</v>
      </c>
    </row>
    <row r="23" spans="1:22" ht="15" customHeight="1" x14ac:dyDescent="0.15">
      <c r="A23" s="84" t="s">
        <v>59</v>
      </c>
      <c r="B23" s="85">
        <v>1</v>
      </c>
      <c r="C23" s="66">
        <v>22</v>
      </c>
      <c r="D23"/>
      <c r="E23" s="154" t="s">
        <v>214</v>
      </c>
      <c r="F23" s="66">
        <v>1</v>
      </c>
      <c r="G23" s="66">
        <v>40</v>
      </c>
      <c r="H23" s="66">
        <v>1.52</v>
      </c>
      <c r="I23" s="66">
        <v>0</v>
      </c>
      <c r="J23" s="66">
        <v>1.6513159999999999E-2</v>
      </c>
      <c r="K23" s="66">
        <v>0</v>
      </c>
      <c r="L23" s="66">
        <v>0</v>
      </c>
      <c r="M23" s="66">
        <v>0</v>
      </c>
      <c r="N23" s="66">
        <v>0</v>
      </c>
    </row>
    <row r="24" spans="1:22" ht="15" customHeight="1" x14ac:dyDescent="0.15">
      <c r="A24" s="84" t="s">
        <v>60</v>
      </c>
      <c r="B24" s="85">
        <v>2</v>
      </c>
      <c r="C24" s="66">
        <v>23</v>
      </c>
      <c r="D24"/>
      <c r="E24" s="154" t="s">
        <v>215</v>
      </c>
      <c r="F24" s="66">
        <v>1</v>
      </c>
      <c r="G24" s="66">
        <v>13</v>
      </c>
      <c r="H24" s="66">
        <v>160</v>
      </c>
      <c r="I24" s="66">
        <v>0</v>
      </c>
      <c r="J24" s="66">
        <v>0.155790284</v>
      </c>
      <c r="K24" s="66">
        <v>0</v>
      </c>
      <c r="L24" s="66">
        <v>0</v>
      </c>
      <c r="M24" s="66">
        <v>0</v>
      </c>
      <c r="N24" s="66">
        <v>0</v>
      </c>
    </row>
    <row r="25" spans="1:22" ht="15" customHeight="1" thickBot="1" x14ac:dyDescent="0.2">
      <c r="A25" s="86" t="s">
        <v>44</v>
      </c>
      <c r="B25" s="87">
        <v>3</v>
      </c>
      <c r="C25" s="66">
        <v>24</v>
      </c>
      <c r="D25"/>
      <c r="E25" s="154" t="s">
        <v>216</v>
      </c>
      <c r="F25" s="66">
        <v>2</v>
      </c>
      <c r="G25" s="66">
        <v>1</v>
      </c>
      <c r="H25" s="66">
        <v>0</v>
      </c>
      <c r="I25" s="66">
        <v>0</v>
      </c>
      <c r="J25" s="66">
        <v>0.12644392300000001</v>
      </c>
      <c r="K25" s="66">
        <v>0</v>
      </c>
      <c r="L25" s="66">
        <v>0</v>
      </c>
      <c r="M25" s="66">
        <v>0</v>
      </c>
      <c r="N25" s="66">
        <v>0</v>
      </c>
    </row>
    <row r="26" spans="1:22" ht="15" customHeight="1" x14ac:dyDescent="0.15">
      <c r="A26" s="88" t="s">
        <v>140</v>
      </c>
      <c r="C26" s="66">
        <v>25</v>
      </c>
      <c r="D26"/>
      <c r="E26" s="154" t="s">
        <v>217</v>
      </c>
      <c r="F26" s="66">
        <v>2</v>
      </c>
      <c r="G26" s="66">
        <v>5</v>
      </c>
      <c r="H26" s="66">
        <v>0</v>
      </c>
      <c r="I26" s="66">
        <v>0</v>
      </c>
      <c r="J26" s="66">
        <v>0</v>
      </c>
      <c r="K26" s="66">
        <v>0</v>
      </c>
      <c r="L26" s="66">
        <v>0</v>
      </c>
      <c r="M26" s="66">
        <v>0</v>
      </c>
      <c r="N26" s="66">
        <v>0</v>
      </c>
    </row>
    <row r="27" spans="1:22" ht="15" customHeight="1" x14ac:dyDescent="0.15">
      <c r="C27" s="66">
        <v>26</v>
      </c>
      <c r="D27"/>
      <c r="E27" s="154" t="s">
        <v>218</v>
      </c>
      <c r="F27" s="66">
        <v>3</v>
      </c>
      <c r="G27" s="66">
        <v>0</v>
      </c>
      <c r="H27" s="66">
        <v>0</v>
      </c>
      <c r="I27" s="66">
        <v>0</v>
      </c>
      <c r="J27" s="66">
        <v>0</v>
      </c>
      <c r="K27" s="66">
        <v>0</v>
      </c>
      <c r="L27" s="66">
        <v>0</v>
      </c>
      <c r="M27" s="66">
        <v>0</v>
      </c>
      <c r="N27" s="66">
        <v>0</v>
      </c>
    </row>
    <row r="28" spans="1:22" ht="15" customHeight="1" x14ac:dyDescent="0.15">
      <c r="C28" s="66">
        <v>27</v>
      </c>
      <c r="D28"/>
      <c r="E28" s="154" t="s">
        <v>219</v>
      </c>
      <c r="F28" s="66">
        <v>3</v>
      </c>
      <c r="G28" s="66">
        <v>0</v>
      </c>
      <c r="H28" s="66">
        <v>0</v>
      </c>
      <c r="I28" s="66">
        <v>0</v>
      </c>
      <c r="J28" s="66">
        <v>0</v>
      </c>
      <c r="K28" s="66">
        <v>0</v>
      </c>
      <c r="L28" s="66">
        <v>0</v>
      </c>
      <c r="M28" s="66">
        <v>0</v>
      </c>
      <c r="N28" s="66">
        <v>0</v>
      </c>
    </row>
    <row r="29" spans="1:22" customFormat="1" ht="15" customHeight="1" x14ac:dyDescent="0.15">
      <c r="C29" s="66">
        <v>28</v>
      </c>
      <c r="E29" s="154" t="s">
        <v>220</v>
      </c>
      <c r="F29" s="66">
        <v>3</v>
      </c>
      <c r="G29" s="66">
        <v>0</v>
      </c>
      <c r="H29" s="66">
        <v>0</v>
      </c>
      <c r="I29" s="66">
        <v>0</v>
      </c>
      <c r="J29" s="66">
        <v>0</v>
      </c>
      <c r="K29" s="66">
        <v>0</v>
      </c>
      <c r="L29" s="66">
        <v>0</v>
      </c>
      <c r="M29" s="66">
        <v>0</v>
      </c>
      <c r="N29" s="66">
        <v>0</v>
      </c>
    </row>
    <row r="30" spans="1:22" customFormat="1" ht="15" customHeight="1" x14ac:dyDescent="0.15">
      <c r="C30" s="66">
        <v>29</v>
      </c>
      <c r="E30" s="154" t="s">
        <v>221</v>
      </c>
      <c r="F30" s="66">
        <v>3</v>
      </c>
      <c r="G30" s="66">
        <v>0</v>
      </c>
      <c r="H30" s="66">
        <v>0</v>
      </c>
      <c r="I30" s="66">
        <v>0</v>
      </c>
      <c r="J30" s="66">
        <v>0</v>
      </c>
      <c r="K30" s="66">
        <v>0</v>
      </c>
      <c r="L30" s="66">
        <v>0</v>
      </c>
      <c r="M30" s="66">
        <v>0</v>
      </c>
      <c r="N30" s="66">
        <v>0</v>
      </c>
    </row>
    <row r="31" spans="1:22" customFormat="1" ht="15" customHeight="1" x14ac:dyDescent="0.15">
      <c r="C31" s="66">
        <v>30</v>
      </c>
      <c r="E31" s="154" t="s">
        <v>222</v>
      </c>
      <c r="F31" s="66">
        <v>3</v>
      </c>
      <c r="G31" s="66">
        <v>0</v>
      </c>
      <c r="H31" s="66">
        <v>0</v>
      </c>
      <c r="I31" s="66">
        <v>0</v>
      </c>
      <c r="J31" s="66">
        <v>0</v>
      </c>
      <c r="K31" s="66">
        <v>0</v>
      </c>
      <c r="L31" s="66">
        <v>0</v>
      </c>
      <c r="M31" s="66">
        <v>0</v>
      </c>
      <c r="N31" s="66">
        <v>0</v>
      </c>
    </row>
    <row r="32" spans="1:22" customFormat="1" ht="15" customHeight="1" x14ac:dyDescent="0.15">
      <c r="C32" s="66">
        <v>31</v>
      </c>
      <c r="E32" s="154" t="s">
        <v>223</v>
      </c>
      <c r="F32" s="66">
        <v>3</v>
      </c>
      <c r="G32" s="66">
        <v>0</v>
      </c>
      <c r="H32" s="66">
        <v>0</v>
      </c>
      <c r="I32" s="66">
        <v>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</row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9" bestFit="1" customWidth="1"/>
    <col min="2" max="2" width="12.83203125" style="119" bestFit="1" customWidth="1"/>
    <col min="3" max="3" width="4.83203125" style="119" bestFit="1" customWidth="1"/>
    <col min="4" max="4" width="3.83203125" style="119" bestFit="1" customWidth="1"/>
    <col min="5" max="5" width="4.83203125" style="119" bestFit="1" customWidth="1"/>
    <col min="6" max="6" width="11.83203125" style="119" bestFit="1" customWidth="1"/>
    <col min="7" max="9" width="4.83203125" style="119" bestFit="1" customWidth="1"/>
    <col min="10" max="10" width="2.33203125" style="119" bestFit="1" customWidth="1"/>
    <col min="11" max="11" width="3.83203125" style="119" bestFit="1" customWidth="1"/>
    <col min="12" max="12" width="2.33203125" style="119" bestFit="1" customWidth="1"/>
    <col min="13" max="14" width="4.83203125" style="119" bestFit="1" customWidth="1"/>
    <col min="15" max="19" width="3.83203125" style="119" bestFit="1" customWidth="1"/>
    <col min="20" max="20" width="4.83203125" style="119" bestFit="1" customWidth="1"/>
    <col min="21" max="22" width="3.83203125" style="119" bestFit="1" customWidth="1"/>
    <col min="23" max="26" width="2.33203125" style="119" bestFit="1" customWidth="1"/>
    <col min="27" max="29" width="9" style="119" bestFit="1" customWidth="1"/>
    <col min="30" max="16384" width="8.83203125" style="119"/>
  </cols>
  <sheetData>
    <row r="1" spans="1:34" x14ac:dyDescent="0.15">
      <c r="A1" s="118" t="s">
        <v>19</v>
      </c>
      <c r="B1" s="156" t="s">
        <v>193</v>
      </c>
      <c r="C1" s="156" t="s">
        <v>194</v>
      </c>
      <c r="D1" s="156" t="s">
        <v>195</v>
      </c>
      <c r="E1" s="156" t="s">
        <v>196</v>
      </c>
      <c r="F1" s="156" t="s">
        <v>197</v>
      </c>
      <c r="G1" s="156" t="s">
        <v>198</v>
      </c>
      <c r="H1" s="156" t="s">
        <v>199</v>
      </c>
      <c r="I1" s="156" t="s">
        <v>200</v>
      </c>
      <c r="J1" s="156" t="s">
        <v>201</v>
      </c>
      <c r="K1" s="156" t="s">
        <v>202</v>
      </c>
      <c r="L1" s="156" t="s">
        <v>203</v>
      </c>
      <c r="M1" s="156" t="s">
        <v>204</v>
      </c>
      <c r="N1" s="156" t="s">
        <v>205</v>
      </c>
      <c r="O1" s="156" t="s">
        <v>206</v>
      </c>
      <c r="P1" s="156" t="s">
        <v>207</v>
      </c>
      <c r="Q1" s="156" t="s">
        <v>208</v>
      </c>
      <c r="R1" s="156" t="s">
        <v>209</v>
      </c>
      <c r="S1" s="156" t="s">
        <v>210</v>
      </c>
      <c r="T1" s="156" t="s">
        <v>211</v>
      </c>
      <c r="U1" s="156" t="s">
        <v>212</v>
      </c>
      <c r="V1" s="156" t="s">
        <v>213</v>
      </c>
      <c r="W1" s="156" t="s">
        <v>214</v>
      </c>
      <c r="X1" s="156" t="s">
        <v>215</v>
      </c>
      <c r="Y1" s="156" t="s">
        <v>216</v>
      </c>
      <c r="Z1" s="156" t="s">
        <v>217</v>
      </c>
      <c r="AA1"/>
      <c r="AB1"/>
      <c r="AC1"/>
      <c r="AD1"/>
      <c r="AE1"/>
      <c r="AF1"/>
      <c r="AG1"/>
      <c r="AH1"/>
    </row>
    <row r="2" spans="1:34" customFormat="1" x14ac:dyDescent="0.15">
      <c r="A2" s="155" t="s">
        <v>193</v>
      </c>
      <c r="B2" s="119">
        <v>0</v>
      </c>
      <c r="C2" s="119">
        <v>0</v>
      </c>
      <c r="D2" s="119">
        <v>0</v>
      </c>
      <c r="E2" s="119">
        <v>0.1</v>
      </c>
      <c r="F2" s="119">
        <v>0</v>
      </c>
      <c r="G2" s="119">
        <v>0</v>
      </c>
      <c r="H2" s="119">
        <v>0</v>
      </c>
      <c r="I2" s="119">
        <v>0</v>
      </c>
      <c r="J2" s="119">
        <v>0</v>
      </c>
      <c r="K2" s="119">
        <v>0</v>
      </c>
      <c r="L2" s="119">
        <v>0</v>
      </c>
      <c r="M2" s="119">
        <v>0</v>
      </c>
      <c r="N2" s="119">
        <v>0</v>
      </c>
      <c r="O2" s="119">
        <v>0</v>
      </c>
      <c r="P2" s="119">
        <v>0</v>
      </c>
      <c r="Q2" s="119">
        <v>0</v>
      </c>
      <c r="R2" s="119">
        <v>0</v>
      </c>
      <c r="S2" s="119">
        <v>0</v>
      </c>
      <c r="T2" s="119">
        <v>0</v>
      </c>
      <c r="U2" s="119">
        <v>0</v>
      </c>
      <c r="V2" s="119">
        <v>0</v>
      </c>
      <c r="W2" s="119">
        <v>0</v>
      </c>
      <c r="X2" s="119">
        <v>0</v>
      </c>
      <c r="Y2" s="119">
        <v>0</v>
      </c>
      <c r="Z2" s="119">
        <v>0</v>
      </c>
    </row>
    <row r="3" spans="1:34" customFormat="1" x14ac:dyDescent="0.15">
      <c r="A3" s="155" t="s">
        <v>194</v>
      </c>
      <c r="B3" s="119">
        <v>0</v>
      </c>
      <c r="C3" s="119">
        <v>0</v>
      </c>
      <c r="D3" s="119">
        <v>0</v>
      </c>
      <c r="E3" s="119">
        <v>0.15</v>
      </c>
      <c r="F3" s="119">
        <v>0</v>
      </c>
      <c r="G3" s="119">
        <v>0</v>
      </c>
      <c r="H3" s="119">
        <v>0</v>
      </c>
      <c r="I3" s="119">
        <v>0</v>
      </c>
      <c r="J3" s="119">
        <v>0</v>
      </c>
      <c r="K3" s="119">
        <v>0</v>
      </c>
      <c r="L3" s="119">
        <v>0</v>
      </c>
      <c r="M3" s="119">
        <v>0</v>
      </c>
      <c r="N3" s="119">
        <v>0</v>
      </c>
      <c r="O3" s="119">
        <v>0</v>
      </c>
      <c r="P3" s="119">
        <v>0</v>
      </c>
      <c r="Q3" s="119">
        <v>0</v>
      </c>
      <c r="R3" s="119">
        <v>0</v>
      </c>
      <c r="S3" s="119">
        <v>0</v>
      </c>
      <c r="T3" s="119">
        <v>0</v>
      </c>
      <c r="U3" s="119">
        <v>0</v>
      </c>
      <c r="V3" s="119">
        <v>0</v>
      </c>
      <c r="W3" s="119">
        <v>0</v>
      </c>
      <c r="X3" s="119">
        <v>0</v>
      </c>
      <c r="Y3" s="119">
        <v>0</v>
      </c>
      <c r="Z3" s="119">
        <v>0</v>
      </c>
    </row>
    <row r="4" spans="1:34" customFormat="1" x14ac:dyDescent="0.15">
      <c r="A4" s="155" t="s">
        <v>195</v>
      </c>
      <c r="B4" s="119">
        <v>0</v>
      </c>
      <c r="C4" s="119">
        <v>0</v>
      </c>
      <c r="D4" s="119">
        <v>0</v>
      </c>
      <c r="E4" s="119">
        <v>0</v>
      </c>
      <c r="F4" s="119">
        <v>0.19999998000000205</v>
      </c>
      <c r="G4" s="119">
        <v>0</v>
      </c>
      <c r="H4" s="119">
        <v>0</v>
      </c>
      <c r="I4" s="119">
        <v>0</v>
      </c>
      <c r="J4" s="119">
        <v>0</v>
      </c>
      <c r="K4" s="119">
        <v>0</v>
      </c>
      <c r="L4" s="119">
        <v>0</v>
      </c>
      <c r="M4" s="119">
        <v>0</v>
      </c>
      <c r="N4" s="119">
        <v>0.1</v>
      </c>
      <c r="O4" s="119">
        <v>0</v>
      </c>
      <c r="P4" s="119">
        <v>0</v>
      </c>
      <c r="Q4" s="119">
        <v>0</v>
      </c>
      <c r="R4" s="119">
        <v>0</v>
      </c>
      <c r="S4" s="119">
        <v>0</v>
      </c>
      <c r="T4" s="119">
        <v>0</v>
      </c>
      <c r="U4" s="119">
        <v>0</v>
      </c>
      <c r="V4" s="119">
        <v>0</v>
      </c>
      <c r="W4" s="119">
        <v>0</v>
      </c>
      <c r="X4" s="119">
        <v>0</v>
      </c>
      <c r="Y4" s="119">
        <v>0</v>
      </c>
      <c r="Z4" s="119">
        <v>0</v>
      </c>
    </row>
    <row r="5" spans="1:34" customFormat="1" x14ac:dyDescent="0.15">
      <c r="A5" s="155" t="s">
        <v>196</v>
      </c>
      <c r="B5" s="119">
        <v>0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19">
        <v>0</v>
      </c>
      <c r="J5" s="119">
        <v>0</v>
      </c>
      <c r="K5" s="119">
        <v>0</v>
      </c>
      <c r="L5" s="119">
        <v>0</v>
      </c>
      <c r="M5" s="119">
        <v>0</v>
      </c>
      <c r="N5" s="119">
        <v>0</v>
      </c>
      <c r="O5" s="119">
        <v>0</v>
      </c>
      <c r="P5" s="119">
        <v>0</v>
      </c>
      <c r="Q5" s="119">
        <v>0</v>
      </c>
      <c r="R5" s="119">
        <v>0</v>
      </c>
      <c r="S5" s="119">
        <v>0</v>
      </c>
      <c r="T5" s="119">
        <v>0</v>
      </c>
      <c r="U5" s="119">
        <v>0</v>
      </c>
      <c r="V5" s="119">
        <v>0</v>
      </c>
      <c r="W5" s="119">
        <v>0</v>
      </c>
      <c r="X5" s="119">
        <v>0</v>
      </c>
      <c r="Y5" s="119">
        <v>0</v>
      </c>
      <c r="Z5" s="119">
        <v>0</v>
      </c>
    </row>
    <row r="6" spans="1:34" customFormat="1" x14ac:dyDescent="0.15">
      <c r="A6" s="155" t="s">
        <v>197</v>
      </c>
      <c r="B6" s="119">
        <v>0</v>
      </c>
      <c r="C6" s="119">
        <v>0</v>
      </c>
      <c r="D6" s="119">
        <v>0</v>
      </c>
      <c r="E6" s="119">
        <v>0.25</v>
      </c>
      <c r="F6" s="119">
        <v>0</v>
      </c>
      <c r="G6" s="119">
        <v>0</v>
      </c>
      <c r="H6" s="119">
        <v>0</v>
      </c>
      <c r="I6" s="119">
        <v>0</v>
      </c>
      <c r="J6" s="119">
        <v>0</v>
      </c>
      <c r="K6" s="119">
        <v>0</v>
      </c>
      <c r="L6" s="119">
        <v>0</v>
      </c>
      <c r="M6" s="119">
        <v>0</v>
      </c>
      <c r="N6" s="119">
        <v>0</v>
      </c>
      <c r="O6" s="119">
        <v>0</v>
      </c>
      <c r="P6" s="119">
        <v>0</v>
      </c>
      <c r="Q6" s="119">
        <v>0</v>
      </c>
      <c r="R6" s="119">
        <v>0</v>
      </c>
      <c r="S6" s="119">
        <v>0</v>
      </c>
      <c r="T6" s="119">
        <v>0</v>
      </c>
      <c r="U6" s="119">
        <v>0</v>
      </c>
      <c r="V6" s="119">
        <v>0</v>
      </c>
      <c r="W6" s="119">
        <v>0</v>
      </c>
      <c r="X6" s="119">
        <v>0</v>
      </c>
      <c r="Y6" s="119">
        <v>0</v>
      </c>
      <c r="Z6" s="119">
        <v>0</v>
      </c>
    </row>
    <row r="7" spans="1:34" customFormat="1" x14ac:dyDescent="0.15">
      <c r="A7" s="155" t="s">
        <v>198</v>
      </c>
      <c r="B7" s="119">
        <v>0.14999998500000153</v>
      </c>
      <c r="C7" s="119">
        <v>0.5</v>
      </c>
      <c r="D7" s="119">
        <v>0</v>
      </c>
      <c r="E7" s="119">
        <v>0.1</v>
      </c>
      <c r="F7" s="119">
        <v>0.29000007099999292</v>
      </c>
      <c r="G7" s="119">
        <v>0</v>
      </c>
      <c r="H7" s="119">
        <v>0</v>
      </c>
      <c r="I7" s="119">
        <v>0</v>
      </c>
      <c r="J7" s="119">
        <v>0</v>
      </c>
      <c r="K7" s="119">
        <v>0.4</v>
      </c>
      <c r="L7" s="119">
        <v>0</v>
      </c>
      <c r="M7" s="119">
        <v>0</v>
      </c>
      <c r="N7" s="119">
        <v>0</v>
      </c>
      <c r="O7" s="119">
        <v>0</v>
      </c>
      <c r="P7" s="119">
        <v>0</v>
      </c>
      <c r="Q7" s="119">
        <v>0</v>
      </c>
      <c r="R7" s="119">
        <v>0</v>
      </c>
      <c r="S7" s="119">
        <v>0</v>
      </c>
      <c r="T7" s="119">
        <v>0</v>
      </c>
      <c r="U7" s="119">
        <v>0</v>
      </c>
      <c r="V7" s="119">
        <v>0</v>
      </c>
      <c r="W7" s="119">
        <v>0</v>
      </c>
      <c r="X7" s="119">
        <v>0</v>
      </c>
      <c r="Y7" s="119">
        <v>0</v>
      </c>
      <c r="Z7" s="119">
        <v>0</v>
      </c>
    </row>
    <row r="8" spans="1:34" customFormat="1" x14ac:dyDescent="0.15">
      <c r="A8" s="155" t="s">
        <v>199</v>
      </c>
      <c r="B8" s="119">
        <v>0</v>
      </c>
      <c r="C8" s="119">
        <v>0</v>
      </c>
      <c r="D8" s="119">
        <v>0</v>
      </c>
      <c r="E8" s="119">
        <v>0</v>
      </c>
      <c r="F8" s="119">
        <v>0</v>
      </c>
      <c r="G8" s="119">
        <v>0</v>
      </c>
      <c r="H8" s="119">
        <v>0</v>
      </c>
      <c r="I8" s="119">
        <v>0</v>
      </c>
      <c r="J8" s="119">
        <v>0</v>
      </c>
      <c r="K8" s="119">
        <v>0</v>
      </c>
      <c r="L8" s="119">
        <v>0</v>
      </c>
      <c r="M8" s="119">
        <v>0</v>
      </c>
      <c r="N8" s="119">
        <v>0</v>
      </c>
      <c r="O8" s="119">
        <v>0</v>
      </c>
      <c r="P8" s="119">
        <v>0</v>
      </c>
      <c r="Q8" s="119">
        <v>0</v>
      </c>
      <c r="R8" s="119">
        <v>0</v>
      </c>
      <c r="S8" s="119">
        <v>0</v>
      </c>
      <c r="T8" s="119">
        <v>0</v>
      </c>
      <c r="U8" s="119">
        <v>0</v>
      </c>
      <c r="V8" s="119">
        <v>0</v>
      </c>
      <c r="W8" s="119">
        <v>0</v>
      </c>
      <c r="X8" s="119">
        <v>0</v>
      </c>
      <c r="Y8" s="119">
        <v>0</v>
      </c>
      <c r="Z8" s="119">
        <v>0</v>
      </c>
    </row>
    <row r="9" spans="1:34" customFormat="1" x14ac:dyDescent="0.15">
      <c r="A9" s="155" t="s">
        <v>200</v>
      </c>
      <c r="B9" s="119">
        <v>0</v>
      </c>
      <c r="C9" s="119">
        <v>0</v>
      </c>
      <c r="D9" s="119">
        <v>0</v>
      </c>
      <c r="E9" s="119">
        <v>0</v>
      </c>
      <c r="F9" s="119">
        <v>0</v>
      </c>
      <c r="G9" s="119">
        <v>0</v>
      </c>
      <c r="H9" s="119">
        <v>0</v>
      </c>
      <c r="I9" s="119">
        <v>0</v>
      </c>
      <c r="J9" s="119">
        <v>0</v>
      </c>
      <c r="K9" s="119">
        <v>0</v>
      </c>
      <c r="L9" s="119">
        <v>0</v>
      </c>
      <c r="M9" s="119">
        <v>0</v>
      </c>
      <c r="N9" s="119">
        <v>0</v>
      </c>
      <c r="O9" s="119">
        <v>0</v>
      </c>
      <c r="P9" s="119">
        <v>0</v>
      </c>
      <c r="Q9" s="119">
        <v>0</v>
      </c>
      <c r="R9" s="119">
        <v>0</v>
      </c>
      <c r="S9" s="119">
        <v>0</v>
      </c>
      <c r="T9" s="119">
        <v>0</v>
      </c>
      <c r="U9" s="119">
        <v>0</v>
      </c>
      <c r="V9" s="119">
        <v>0</v>
      </c>
      <c r="W9" s="119">
        <v>0</v>
      </c>
      <c r="X9" s="119">
        <v>0</v>
      </c>
      <c r="Y9" s="119">
        <v>0</v>
      </c>
      <c r="Z9" s="119">
        <v>0</v>
      </c>
    </row>
    <row r="10" spans="1:34" customFormat="1" x14ac:dyDescent="0.15">
      <c r="A10" s="155" t="s">
        <v>201</v>
      </c>
      <c r="B10" s="119">
        <v>0</v>
      </c>
      <c r="C10" s="119">
        <v>0</v>
      </c>
      <c r="D10" s="119">
        <v>0.4</v>
      </c>
      <c r="E10" s="119">
        <v>0</v>
      </c>
      <c r="F10" s="119">
        <v>0</v>
      </c>
      <c r="G10" s="119">
        <v>0.2</v>
      </c>
      <c r="H10" s="119">
        <v>0.15</v>
      </c>
      <c r="I10" s="119">
        <v>0.2</v>
      </c>
      <c r="J10" s="119">
        <v>0</v>
      </c>
      <c r="K10" s="119">
        <v>0</v>
      </c>
      <c r="L10" s="119">
        <v>0</v>
      </c>
      <c r="M10" s="119">
        <v>0</v>
      </c>
      <c r="N10" s="119">
        <v>0</v>
      </c>
      <c r="O10" s="119">
        <v>0</v>
      </c>
      <c r="P10" s="119">
        <v>0</v>
      </c>
      <c r="Q10" s="119">
        <v>0</v>
      </c>
      <c r="R10" s="119">
        <v>0</v>
      </c>
      <c r="S10" s="119">
        <v>0</v>
      </c>
      <c r="T10" s="119">
        <v>0</v>
      </c>
      <c r="U10" s="119">
        <v>0.1</v>
      </c>
      <c r="V10" s="119">
        <v>0.1</v>
      </c>
      <c r="W10" s="119">
        <v>0</v>
      </c>
      <c r="X10" s="119">
        <v>0</v>
      </c>
      <c r="Y10" s="119">
        <v>0</v>
      </c>
      <c r="Z10" s="119">
        <v>0</v>
      </c>
    </row>
    <row r="11" spans="1:34" customFormat="1" x14ac:dyDescent="0.15">
      <c r="A11" s="155" t="s">
        <v>202</v>
      </c>
      <c r="B11" s="119">
        <v>2.4999997500000256E-2</v>
      </c>
      <c r="C11" s="119">
        <v>0</v>
      </c>
      <c r="D11" s="119">
        <v>0</v>
      </c>
      <c r="E11" s="119">
        <v>0.1</v>
      </c>
      <c r="F11" s="119">
        <v>9.9999990000001013E-3</v>
      </c>
      <c r="G11" s="119">
        <v>0</v>
      </c>
      <c r="H11" s="119">
        <v>0</v>
      </c>
      <c r="I11" s="119">
        <v>0</v>
      </c>
      <c r="J11" s="119">
        <v>0</v>
      </c>
      <c r="K11" s="119">
        <v>0</v>
      </c>
      <c r="L11" s="119">
        <v>0</v>
      </c>
      <c r="M11" s="119">
        <v>0</v>
      </c>
      <c r="N11" s="119">
        <v>0</v>
      </c>
      <c r="O11" s="119">
        <v>0</v>
      </c>
      <c r="P11" s="119">
        <v>0</v>
      </c>
      <c r="Q11" s="119">
        <v>0</v>
      </c>
      <c r="R11" s="119">
        <v>0</v>
      </c>
      <c r="S11" s="119">
        <v>0</v>
      </c>
      <c r="T11" s="119">
        <v>0</v>
      </c>
      <c r="U11" s="119">
        <v>0</v>
      </c>
      <c r="V11" s="119">
        <v>0</v>
      </c>
      <c r="W11" s="119">
        <v>0</v>
      </c>
      <c r="X11" s="119">
        <v>0</v>
      </c>
      <c r="Y11" s="119">
        <v>0</v>
      </c>
      <c r="Z11" s="119">
        <v>0</v>
      </c>
    </row>
    <row r="12" spans="1:34" customFormat="1" x14ac:dyDescent="0.15">
      <c r="A12" s="155" t="s">
        <v>203</v>
      </c>
      <c r="B12" s="119">
        <v>0</v>
      </c>
      <c r="C12" s="119">
        <v>0</v>
      </c>
      <c r="D12" s="119">
        <v>0</v>
      </c>
      <c r="E12" s="119">
        <v>0</v>
      </c>
      <c r="F12" s="119">
        <v>0</v>
      </c>
      <c r="G12" s="119">
        <v>0.05</v>
      </c>
      <c r="H12" s="119">
        <v>0.05</v>
      </c>
      <c r="I12" s="119">
        <v>0.05</v>
      </c>
      <c r="J12" s="119">
        <v>0</v>
      </c>
      <c r="K12" s="119">
        <v>0</v>
      </c>
      <c r="L12" s="119">
        <v>0</v>
      </c>
      <c r="M12" s="119">
        <v>0</v>
      </c>
      <c r="N12" s="119">
        <v>0</v>
      </c>
      <c r="O12" s="119">
        <v>0</v>
      </c>
      <c r="P12" s="119">
        <v>0</v>
      </c>
      <c r="Q12" s="119">
        <v>0</v>
      </c>
      <c r="R12" s="119">
        <v>0</v>
      </c>
      <c r="S12" s="119">
        <v>0</v>
      </c>
      <c r="T12" s="119">
        <v>0.05</v>
      </c>
      <c r="U12" s="119">
        <v>0</v>
      </c>
      <c r="V12" s="119">
        <v>0</v>
      </c>
      <c r="W12" s="119">
        <v>0</v>
      </c>
      <c r="X12" s="119">
        <v>0</v>
      </c>
      <c r="Y12" s="119">
        <v>0</v>
      </c>
      <c r="Z12" s="119">
        <v>0</v>
      </c>
    </row>
    <row r="13" spans="1:34" customFormat="1" x14ac:dyDescent="0.15">
      <c r="A13" s="155" t="s">
        <v>204</v>
      </c>
      <c r="B13" s="119">
        <v>0</v>
      </c>
      <c r="C13" s="119">
        <v>0</v>
      </c>
      <c r="D13" s="119">
        <v>0</v>
      </c>
      <c r="E13" s="119">
        <v>0</v>
      </c>
      <c r="F13" s="119">
        <v>0</v>
      </c>
      <c r="G13" s="119">
        <v>0</v>
      </c>
      <c r="H13" s="119">
        <v>0</v>
      </c>
      <c r="I13" s="119">
        <v>0</v>
      </c>
      <c r="J13" s="119">
        <v>0</v>
      </c>
      <c r="K13" s="119">
        <v>0</v>
      </c>
      <c r="L13" s="119">
        <v>0</v>
      </c>
      <c r="M13" s="119">
        <v>0</v>
      </c>
      <c r="N13" s="119">
        <v>0</v>
      </c>
      <c r="O13" s="119">
        <v>0</v>
      </c>
      <c r="P13" s="119">
        <v>0</v>
      </c>
      <c r="Q13" s="119">
        <v>0</v>
      </c>
      <c r="R13" s="119">
        <v>0</v>
      </c>
      <c r="S13" s="119">
        <v>0</v>
      </c>
      <c r="T13" s="119">
        <v>0</v>
      </c>
      <c r="U13" s="119">
        <v>0</v>
      </c>
      <c r="V13" s="119">
        <v>0</v>
      </c>
      <c r="W13" s="119">
        <v>0</v>
      </c>
      <c r="X13" s="119">
        <v>0</v>
      </c>
      <c r="Y13" s="119">
        <v>0</v>
      </c>
      <c r="Z13" s="119">
        <v>0</v>
      </c>
    </row>
    <row r="14" spans="1:34" customFormat="1" x14ac:dyDescent="0.15">
      <c r="A14" s="155" t="s">
        <v>205</v>
      </c>
      <c r="B14" s="119">
        <v>0.14999998500000153</v>
      </c>
      <c r="C14" s="119">
        <v>0</v>
      </c>
      <c r="D14" s="119">
        <v>0</v>
      </c>
      <c r="E14" s="119">
        <v>0.1</v>
      </c>
      <c r="F14" s="119">
        <v>9.9999990000001024E-2</v>
      </c>
      <c r="G14" s="119">
        <v>0</v>
      </c>
      <c r="H14" s="119">
        <v>0</v>
      </c>
      <c r="I14" s="119">
        <v>0</v>
      </c>
      <c r="J14" s="119">
        <v>0</v>
      </c>
      <c r="K14" s="119">
        <v>0.1</v>
      </c>
      <c r="L14" s="119">
        <v>0</v>
      </c>
      <c r="M14" s="119">
        <v>0</v>
      </c>
      <c r="N14" s="119">
        <v>0</v>
      </c>
      <c r="O14" s="119">
        <v>0</v>
      </c>
      <c r="P14" s="119">
        <v>0</v>
      </c>
      <c r="Q14" s="119">
        <v>0</v>
      </c>
      <c r="R14" s="119">
        <v>0</v>
      </c>
      <c r="S14" s="119">
        <v>0</v>
      </c>
      <c r="T14" s="119">
        <v>0</v>
      </c>
      <c r="U14" s="119">
        <v>0</v>
      </c>
      <c r="V14" s="119">
        <v>0</v>
      </c>
      <c r="W14" s="119">
        <v>0</v>
      </c>
      <c r="X14" s="119">
        <v>0</v>
      </c>
      <c r="Y14" s="119">
        <v>0</v>
      </c>
      <c r="Z14" s="119">
        <v>0</v>
      </c>
    </row>
    <row r="15" spans="1:34" customFormat="1" x14ac:dyDescent="0.15">
      <c r="A15" s="155" t="s">
        <v>206</v>
      </c>
      <c r="B15" s="119">
        <v>0.14999998500000153</v>
      </c>
      <c r="C15" s="119">
        <v>0</v>
      </c>
      <c r="D15" s="119">
        <v>0</v>
      </c>
      <c r="E15" s="119">
        <v>0</v>
      </c>
      <c r="F15" s="119">
        <v>9.9999990000001024E-2</v>
      </c>
      <c r="G15" s="119">
        <v>0</v>
      </c>
      <c r="H15" s="119">
        <v>0</v>
      </c>
      <c r="I15" s="119">
        <v>0</v>
      </c>
      <c r="J15" s="119">
        <v>0</v>
      </c>
      <c r="K15" s="119">
        <v>0.1</v>
      </c>
      <c r="L15" s="119">
        <v>0</v>
      </c>
      <c r="M15" s="119">
        <v>0</v>
      </c>
      <c r="N15" s="119">
        <v>0</v>
      </c>
      <c r="O15" s="119">
        <v>0</v>
      </c>
      <c r="P15" s="119">
        <v>0</v>
      </c>
      <c r="Q15" s="119">
        <v>0</v>
      </c>
      <c r="R15" s="119">
        <v>0</v>
      </c>
      <c r="S15" s="119">
        <v>0</v>
      </c>
      <c r="T15" s="119">
        <v>0</v>
      </c>
      <c r="U15" s="119">
        <v>0</v>
      </c>
      <c r="V15" s="119">
        <v>0</v>
      </c>
      <c r="W15" s="119">
        <v>0</v>
      </c>
      <c r="X15" s="119">
        <v>0</v>
      </c>
      <c r="Y15" s="119">
        <v>0</v>
      </c>
      <c r="Z15" s="119">
        <v>0</v>
      </c>
    </row>
    <row r="16" spans="1:34" customFormat="1" x14ac:dyDescent="0.15">
      <c r="A16" s="155" t="s">
        <v>207</v>
      </c>
      <c r="B16" s="119">
        <v>0</v>
      </c>
      <c r="C16" s="119">
        <v>0</v>
      </c>
      <c r="D16" s="119">
        <v>0</v>
      </c>
      <c r="E16" s="119">
        <v>0.2</v>
      </c>
      <c r="F16" s="119">
        <v>0</v>
      </c>
      <c r="G16" s="119">
        <v>0</v>
      </c>
      <c r="H16" s="119">
        <v>0</v>
      </c>
      <c r="I16" s="119">
        <v>0</v>
      </c>
      <c r="J16" s="119">
        <v>0</v>
      </c>
      <c r="K16" s="119">
        <v>0</v>
      </c>
      <c r="L16" s="119">
        <v>0</v>
      </c>
      <c r="M16" s="119">
        <v>0</v>
      </c>
      <c r="N16" s="119">
        <v>0</v>
      </c>
      <c r="O16" s="119">
        <v>0</v>
      </c>
      <c r="P16" s="119">
        <v>0</v>
      </c>
      <c r="Q16" s="119">
        <v>0</v>
      </c>
      <c r="R16" s="119">
        <v>0</v>
      </c>
      <c r="S16" s="119">
        <v>0</v>
      </c>
      <c r="T16" s="119">
        <v>0</v>
      </c>
      <c r="U16" s="119">
        <v>0</v>
      </c>
      <c r="V16" s="119">
        <v>0</v>
      </c>
      <c r="W16" s="119">
        <v>0</v>
      </c>
      <c r="X16" s="119">
        <v>0</v>
      </c>
      <c r="Y16" s="119">
        <v>0</v>
      </c>
      <c r="Z16" s="119">
        <v>0</v>
      </c>
    </row>
    <row r="17" spans="1:26" customFormat="1" x14ac:dyDescent="0.15">
      <c r="A17" s="155" t="s">
        <v>208</v>
      </c>
      <c r="B17" s="119">
        <v>0</v>
      </c>
      <c r="C17" s="119">
        <v>0</v>
      </c>
      <c r="D17" s="119">
        <v>0</v>
      </c>
      <c r="E17" s="119">
        <v>0</v>
      </c>
      <c r="F17" s="119">
        <v>0</v>
      </c>
      <c r="G17" s="119">
        <v>0</v>
      </c>
      <c r="H17" s="119">
        <v>0</v>
      </c>
      <c r="I17" s="119">
        <v>0</v>
      </c>
      <c r="J17" s="119">
        <v>0</v>
      </c>
      <c r="K17" s="119">
        <v>0</v>
      </c>
      <c r="L17" s="119">
        <v>0</v>
      </c>
      <c r="M17" s="119">
        <v>0</v>
      </c>
      <c r="N17" s="119">
        <v>0</v>
      </c>
      <c r="O17" s="119">
        <v>0</v>
      </c>
      <c r="P17" s="119">
        <v>0</v>
      </c>
      <c r="Q17" s="119">
        <v>0</v>
      </c>
      <c r="R17" s="119">
        <v>0</v>
      </c>
      <c r="S17" s="119">
        <v>0</v>
      </c>
      <c r="T17" s="119">
        <v>0</v>
      </c>
      <c r="U17" s="119">
        <v>0</v>
      </c>
      <c r="V17" s="119">
        <v>0</v>
      </c>
      <c r="W17" s="119">
        <v>0</v>
      </c>
      <c r="X17" s="119">
        <v>0</v>
      </c>
      <c r="Y17" s="119">
        <v>0</v>
      </c>
      <c r="Z17" s="119">
        <v>0</v>
      </c>
    </row>
    <row r="18" spans="1:26" customFormat="1" x14ac:dyDescent="0.15">
      <c r="A18" s="155" t="s">
        <v>209</v>
      </c>
      <c r="B18" s="119">
        <v>0</v>
      </c>
      <c r="C18" s="119">
        <v>0</v>
      </c>
      <c r="D18" s="119">
        <v>0</v>
      </c>
      <c r="E18" s="119">
        <v>0</v>
      </c>
      <c r="F18" s="119">
        <v>0</v>
      </c>
      <c r="G18" s="119">
        <v>0</v>
      </c>
      <c r="H18" s="119">
        <v>0</v>
      </c>
      <c r="I18" s="119">
        <v>0</v>
      </c>
      <c r="J18" s="119">
        <v>0</v>
      </c>
      <c r="K18" s="119">
        <v>0</v>
      </c>
      <c r="L18" s="119">
        <v>0</v>
      </c>
      <c r="M18" s="119">
        <v>0</v>
      </c>
      <c r="N18" s="119">
        <v>0</v>
      </c>
      <c r="O18" s="119">
        <v>0</v>
      </c>
      <c r="P18" s="119">
        <v>0</v>
      </c>
      <c r="Q18" s="119">
        <v>0</v>
      </c>
      <c r="R18" s="119">
        <v>0</v>
      </c>
      <c r="S18" s="119">
        <v>0</v>
      </c>
      <c r="T18" s="119">
        <v>0</v>
      </c>
      <c r="U18" s="119">
        <v>0</v>
      </c>
      <c r="V18" s="119">
        <v>0</v>
      </c>
      <c r="W18" s="119">
        <v>0</v>
      </c>
      <c r="X18" s="119">
        <v>0</v>
      </c>
      <c r="Y18" s="119">
        <v>0</v>
      </c>
      <c r="Z18" s="119">
        <v>0</v>
      </c>
    </row>
    <row r="19" spans="1:26" customFormat="1" x14ac:dyDescent="0.15">
      <c r="A19" s="155" t="s">
        <v>210</v>
      </c>
      <c r="B19" s="119">
        <v>2.4999997500000256E-2</v>
      </c>
      <c r="C19" s="119">
        <v>0.2</v>
      </c>
      <c r="D19" s="119">
        <v>0</v>
      </c>
      <c r="E19" s="119">
        <v>0</v>
      </c>
      <c r="F19" s="119">
        <v>9.9999990000001024E-2</v>
      </c>
      <c r="G19" s="119">
        <v>0</v>
      </c>
      <c r="H19" s="119">
        <v>0</v>
      </c>
      <c r="I19" s="119">
        <v>0</v>
      </c>
      <c r="J19" s="119">
        <v>0</v>
      </c>
      <c r="K19" s="119">
        <v>0.4</v>
      </c>
      <c r="L19" s="119">
        <v>0</v>
      </c>
      <c r="M19" s="119">
        <v>0.95</v>
      </c>
      <c r="N19" s="119">
        <v>0.42</v>
      </c>
      <c r="O19" s="119">
        <v>0.7</v>
      </c>
      <c r="P19" s="119">
        <v>0</v>
      </c>
      <c r="Q19" s="119">
        <v>0</v>
      </c>
      <c r="R19" s="119">
        <v>0</v>
      </c>
      <c r="S19" s="119">
        <v>0</v>
      </c>
      <c r="T19" s="119">
        <v>0</v>
      </c>
      <c r="U19" s="119">
        <v>0</v>
      </c>
      <c r="V19" s="119">
        <v>0</v>
      </c>
      <c r="W19" s="119">
        <v>0</v>
      </c>
      <c r="X19" s="119">
        <v>0</v>
      </c>
      <c r="Y19" s="119">
        <v>0</v>
      </c>
      <c r="Z19" s="119">
        <v>0</v>
      </c>
    </row>
    <row r="20" spans="1:26" customFormat="1" x14ac:dyDescent="0.15">
      <c r="A20" s="155" t="s">
        <v>211</v>
      </c>
      <c r="B20" s="119">
        <v>0</v>
      </c>
      <c r="C20" s="119">
        <v>0</v>
      </c>
      <c r="D20" s="119">
        <v>0</v>
      </c>
      <c r="E20" s="119">
        <v>0</v>
      </c>
      <c r="F20" s="119">
        <v>0</v>
      </c>
      <c r="G20" s="119">
        <v>0</v>
      </c>
      <c r="H20" s="119">
        <v>0</v>
      </c>
      <c r="I20" s="119">
        <v>0</v>
      </c>
      <c r="J20" s="119">
        <v>0</v>
      </c>
      <c r="K20" s="119">
        <v>0</v>
      </c>
      <c r="L20" s="119">
        <v>0</v>
      </c>
      <c r="M20" s="119">
        <v>0</v>
      </c>
      <c r="N20" s="119">
        <v>0.47</v>
      </c>
      <c r="O20" s="119">
        <v>0.1</v>
      </c>
      <c r="P20" s="119">
        <v>0.1</v>
      </c>
      <c r="Q20" s="119">
        <v>0</v>
      </c>
      <c r="R20" s="119">
        <v>0</v>
      </c>
      <c r="S20" s="119">
        <v>0</v>
      </c>
      <c r="T20" s="119">
        <v>0</v>
      </c>
      <c r="U20" s="119">
        <v>0</v>
      </c>
      <c r="V20" s="119">
        <v>0</v>
      </c>
      <c r="W20" s="119">
        <v>0</v>
      </c>
      <c r="X20" s="119">
        <v>0</v>
      </c>
      <c r="Y20" s="119">
        <v>0</v>
      </c>
      <c r="Z20" s="119">
        <v>0</v>
      </c>
    </row>
    <row r="21" spans="1:26" customFormat="1" x14ac:dyDescent="0.15">
      <c r="A21" s="155" t="s">
        <v>212</v>
      </c>
      <c r="B21" s="119">
        <v>0</v>
      </c>
      <c r="C21" s="119">
        <v>0.01</v>
      </c>
      <c r="D21" s="119">
        <v>0</v>
      </c>
      <c r="E21" s="119">
        <v>0</v>
      </c>
      <c r="F21" s="119">
        <v>0</v>
      </c>
      <c r="G21" s="119">
        <v>0</v>
      </c>
      <c r="H21" s="119">
        <v>0</v>
      </c>
      <c r="I21" s="119">
        <v>0</v>
      </c>
      <c r="J21" s="119">
        <v>0</v>
      </c>
      <c r="K21" s="119">
        <v>0</v>
      </c>
      <c r="L21" s="119">
        <v>0</v>
      </c>
      <c r="M21" s="119">
        <v>0.05</v>
      </c>
      <c r="N21" s="119">
        <v>0.01</v>
      </c>
      <c r="O21" s="119">
        <v>0</v>
      </c>
      <c r="P21" s="119">
        <v>0</v>
      </c>
      <c r="Q21" s="119">
        <v>0</v>
      </c>
      <c r="R21" s="119">
        <v>0</v>
      </c>
      <c r="S21" s="119">
        <v>0</v>
      </c>
      <c r="T21" s="119">
        <v>0</v>
      </c>
      <c r="U21" s="119">
        <v>0</v>
      </c>
      <c r="V21" s="119">
        <v>0</v>
      </c>
      <c r="W21" s="119">
        <v>0</v>
      </c>
      <c r="X21" s="119">
        <v>0</v>
      </c>
      <c r="Y21" s="119">
        <v>0</v>
      </c>
      <c r="Z21" s="119">
        <v>0</v>
      </c>
    </row>
    <row r="22" spans="1:26" customFormat="1" x14ac:dyDescent="0.15">
      <c r="A22" s="155" t="s">
        <v>213</v>
      </c>
      <c r="B22" s="119">
        <v>0</v>
      </c>
      <c r="C22" s="119">
        <v>0</v>
      </c>
      <c r="D22" s="119">
        <v>0</v>
      </c>
      <c r="E22" s="119">
        <v>0</v>
      </c>
      <c r="F22" s="119">
        <v>0</v>
      </c>
      <c r="G22" s="119">
        <v>0</v>
      </c>
      <c r="H22" s="119">
        <v>0</v>
      </c>
      <c r="I22" s="119">
        <v>0</v>
      </c>
      <c r="J22" s="119">
        <v>0</v>
      </c>
      <c r="K22" s="119">
        <v>0</v>
      </c>
      <c r="L22" s="119">
        <v>0</v>
      </c>
      <c r="M22" s="119">
        <v>0</v>
      </c>
      <c r="N22" s="119">
        <v>0</v>
      </c>
      <c r="O22" s="119">
        <v>0</v>
      </c>
      <c r="P22" s="119">
        <v>0</v>
      </c>
      <c r="Q22" s="119">
        <v>0</v>
      </c>
      <c r="R22" s="119">
        <v>0</v>
      </c>
      <c r="S22" s="119">
        <v>0</v>
      </c>
      <c r="T22" s="119">
        <v>0</v>
      </c>
      <c r="U22" s="119">
        <v>0</v>
      </c>
      <c r="V22" s="119">
        <v>0</v>
      </c>
      <c r="W22" s="119">
        <v>0</v>
      </c>
      <c r="X22" s="119">
        <v>0</v>
      </c>
      <c r="Y22" s="119">
        <v>0</v>
      </c>
      <c r="Z22" s="119">
        <v>0</v>
      </c>
    </row>
    <row r="23" spans="1:26" customFormat="1" x14ac:dyDescent="0.15">
      <c r="A23" s="155" t="s">
        <v>214</v>
      </c>
      <c r="B23" s="119">
        <v>0</v>
      </c>
      <c r="C23" s="119">
        <v>0.05</v>
      </c>
      <c r="D23" s="119">
        <v>0</v>
      </c>
      <c r="E23" s="119">
        <v>0</v>
      </c>
      <c r="F23" s="119">
        <v>0</v>
      </c>
      <c r="G23" s="119">
        <v>0</v>
      </c>
      <c r="H23" s="119">
        <v>0</v>
      </c>
      <c r="I23" s="119">
        <v>0</v>
      </c>
      <c r="J23" s="119">
        <v>0</v>
      </c>
      <c r="K23" s="119">
        <v>0</v>
      </c>
      <c r="L23" s="119">
        <v>0</v>
      </c>
      <c r="M23" s="119">
        <v>0</v>
      </c>
      <c r="N23" s="119">
        <v>0</v>
      </c>
      <c r="O23" s="119">
        <v>0</v>
      </c>
      <c r="P23" s="119">
        <v>0</v>
      </c>
      <c r="Q23" s="119">
        <v>0.5</v>
      </c>
      <c r="R23" s="119">
        <v>0.8</v>
      </c>
      <c r="S23" s="119">
        <v>0</v>
      </c>
      <c r="T23" s="119">
        <v>0</v>
      </c>
      <c r="U23" s="119">
        <v>0</v>
      </c>
      <c r="V23" s="119">
        <v>0</v>
      </c>
      <c r="W23" s="119">
        <v>0</v>
      </c>
      <c r="X23" s="119">
        <v>0</v>
      </c>
      <c r="Y23" s="119">
        <v>0</v>
      </c>
      <c r="Z23" s="119">
        <v>0</v>
      </c>
    </row>
    <row r="24" spans="1:26" customFormat="1" x14ac:dyDescent="0.15">
      <c r="A24" s="155" t="s">
        <v>215</v>
      </c>
      <c r="B24" s="119">
        <v>0</v>
      </c>
      <c r="C24" s="119">
        <v>0</v>
      </c>
      <c r="D24" s="119">
        <v>0.4</v>
      </c>
      <c r="E24" s="119">
        <v>0</v>
      </c>
      <c r="F24" s="119">
        <v>0</v>
      </c>
      <c r="G24" s="119">
        <v>0.25</v>
      </c>
      <c r="H24" s="119">
        <v>0.3</v>
      </c>
      <c r="I24" s="119">
        <v>0.25</v>
      </c>
      <c r="J24" s="119">
        <v>0</v>
      </c>
      <c r="K24" s="119">
        <v>0</v>
      </c>
      <c r="L24" s="119">
        <v>0</v>
      </c>
      <c r="M24" s="119">
        <v>0</v>
      </c>
      <c r="N24" s="119">
        <v>0</v>
      </c>
      <c r="O24" s="119">
        <v>0</v>
      </c>
      <c r="P24" s="119">
        <v>0.7</v>
      </c>
      <c r="Q24" s="119">
        <v>0</v>
      </c>
      <c r="R24" s="119">
        <v>0</v>
      </c>
      <c r="S24" s="119">
        <v>0.8</v>
      </c>
      <c r="T24" s="119">
        <v>0.85</v>
      </c>
      <c r="U24" s="119">
        <v>0.8</v>
      </c>
      <c r="V24" s="119">
        <v>0.8</v>
      </c>
      <c r="W24" s="119">
        <v>0</v>
      </c>
      <c r="X24" s="119">
        <v>0</v>
      </c>
      <c r="Y24" s="119">
        <v>0</v>
      </c>
      <c r="Z24" s="119">
        <v>0</v>
      </c>
    </row>
    <row r="25" spans="1:26" customFormat="1" x14ac:dyDescent="0.15">
      <c r="A25" s="155" t="s">
        <v>216</v>
      </c>
      <c r="B25" s="119">
        <v>0</v>
      </c>
      <c r="C25" s="119">
        <v>0.24</v>
      </c>
      <c r="D25" s="119">
        <v>0.2</v>
      </c>
      <c r="E25" s="119">
        <v>0</v>
      </c>
      <c r="F25" s="119">
        <v>0.19999998000000205</v>
      </c>
      <c r="G25" s="119">
        <v>0.5</v>
      </c>
      <c r="H25" s="119">
        <v>0.5</v>
      </c>
      <c r="I25" s="119">
        <v>0.5</v>
      </c>
      <c r="J25" s="119">
        <v>0</v>
      </c>
      <c r="K25" s="119">
        <v>0</v>
      </c>
      <c r="L25" s="119">
        <v>0</v>
      </c>
      <c r="M25" s="119">
        <v>0</v>
      </c>
      <c r="N25" s="119">
        <v>0</v>
      </c>
      <c r="O25" s="119">
        <v>0.2</v>
      </c>
      <c r="P25" s="119">
        <v>0.2</v>
      </c>
      <c r="Q25" s="119">
        <v>0</v>
      </c>
      <c r="R25" s="119">
        <v>0</v>
      </c>
      <c r="S25" s="119">
        <v>0.2</v>
      </c>
      <c r="T25" s="119">
        <v>0.1</v>
      </c>
      <c r="U25" s="119">
        <v>0.1</v>
      </c>
      <c r="V25" s="119">
        <v>0.1</v>
      </c>
      <c r="W25" s="119">
        <v>0</v>
      </c>
      <c r="X25" s="119">
        <v>0</v>
      </c>
      <c r="Y25" s="119">
        <v>0</v>
      </c>
      <c r="Z25" s="119">
        <v>0</v>
      </c>
    </row>
    <row r="26" spans="1:26" customFormat="1" x14ac:dyDescent="0.15">
      <c r="A26" s="155" t="s">
        <v>217</v>
      </c>
      <c r="B26" s="119">
        <v>0</v>
      </c>
      <c r="C26" s="119">
        <v>0</v>
      </c>
      <c r="D26" s="119">
        <v>0</v>
      </c>
      <c r="E26" s="119">
        <v>0</v>
      </c>
      <c r="F26" s="119">
        <v>0</v>
      </c>
      <c r="G26" s="119">
        <v>0</v>
      </c>
      <c r="H26" s="119">
        <v>0</v>
      </c>
      <c r="I26" s="119">
        <v>0</v>
      </c>
      <c r="J26" s="119">
        <v>0</v>
      </c>
      <c r="K26" s="119">
        <v>0</v>
      </c>
      <c r="L26" s="119">
        <v>0</v>
      </c>
      <c r="M26" s="119">
        <v>0</v>
      </c>
      <c r="N26" s="119">
        <v>0</v>
      </c>
      <c r="O26" s="119">
        <v>0</v>
      </c>
      <c r="P26" s="119">
        <v>0</v>
      </c>
      <c r="Q26" s="119">
        <v>0</v>
      </c>
      <c r="R26" s="119">
        <v>0</v>
      </c>
      <c r="S26" s="119">
        <v>0</v>
      </c>
      <c r="T26" s="119">
        <v>0</v>
      </c>
      <c r="U26" s="119">
        <v>0</v>
      </c>
      <c r="V26" s="119">
        <v>0</v>
      </c>
      <c r="W26" s="119">
        <v>0</v>
      </c>
      <c r="X26" s="119">
        <v>0</v>
      </c>
      <c r="Y26" s="119">
        <v>0</v>
      </c>
      <c r="Z26" s="119">
        <v>0</v>
      </c>
    </row>
    <row r="27" spans="1:26" customFormat="1" x14ac:dyDescent="0.15">
      <c r="A27" s="155" t="s">
        <v>224</v>
      </c>
      <c r="B27" s="119">
        <v>0.50000004999999503</v>
      </c>
      <c r="C27" s="119">
        <v>0</v>
      </c>
      <c r="D27" s="119">
        <v>0</v>
      </c>
      <c r="E27" s="119">
        <v>0</v>
      </c>
      <c r="F27" s="119">
        <v>0</v>
      </c>
      <c r="G27" s="119">
        <v>0</v>
      </c>
      <c r="H27" s="119">
        <v>0</v>
      </c>
      <c r="I27" s="119">
        <v>0</v>
      </c>
      <c r="J27" s="119">
        <v>0</v>
      </c>
      <c r="K27" s="119">
        <v>0</v>
      </c>
      <c r="L27" s="119">
        <v>0</v>
      </c>
      <c r="M27" s="119">
        <v>0</v>
      </c>
      <c r="N27" s="119">
        <v>0</v>
      </c>
      <c r="O27" s="119">
        <v>0</v>
      </c>
      <c r="P27" s="119">
        <v>0</v>
      </c>
      <c r="Q27" s="119">
        <v>0.5</v>
      </c>
      <c r="R27" s="119">
        <v>0.2</v>
      </c>
      <c r="S27" s="119">
        <v>0</v>
      </c>
      <c r="T27" s="119">
        <v>0</v>
      </c>
      <c r="U27" s="119">
        <v>0</v>
      </c>
      <c r="V27" s="119">
        <v>0</v>
      </c>
      <c r="W27" s="119">
        <v>0</v>
      </c>
      <c r="X27" s="119">
        <v>0</v>
      </c>
      <c r="Y27" s="119">
        <v>0</v>
      </c>
      <c r="Z27" s="119">
        <v>0</v>
      </c>
    </row>
    <row r="28" spans="1:26" customFormat="1" x14ac:dyDescent="0.15"/>
    <row r="29" spans="1:26" customFormat="1" x14ac:dyDescent="0.15"/>
    <row r="30" spans="1:26" customFormat="1" x14ac:dyDescent="0.15"/>
    <row r="31" spans="1:26" customFormat="1" x14ac:dyDescent="0.15"/>
    <row r="32" spans="1:26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H35" sqref="H3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5.83203125" style="91" customWidth="1"/>
    <col min="5" max="6" width="15.83203125" style="90" customWidth="1"/>
    <col min="7" max="8" width="8.83203125" style="91"/>
  </cols>
  <sheetData>
    <row r="1" spans="1:8" ht="70" x14ac:dyDescent="0.15">
      <c r="A1" s="5" t="s">
        <v>20</v>
      </c>
      <c r="B1" s="1" t="s">
        <v>0</v>
      </c>
      <c r="C1" s="158" t="s">
        <v>216</v>
      </c>
      <c r="D1" s="158" t="s">
        <v>217</v>
      </c>
      <c r="E1" s="158" t="s">
        <v>225</v>
      </c>
      <c r="F1" s="158" t="s">
        <v>226</v>
      </c>
      <c r="G1"/>
      <c r="H1"/>
    </row>
    <row r="2" spans="1:8" x14ac:dyDescent="0.15">
      <c r="A2">
        <v>1</v>
      </c>
      <c r="B2" s="157" t="s">
        <v>193</v>
      </c>
      <c r="C2" s="91">
        <v>1</v>
      </c>
      <c r="D2" s="91">
        <v>0</v>
      </c>
      <c r="E2" s="90">
        <v>0</v>
      </c>
      <c r="F2" s="90">
        <v>1</v>
      </c>
      <c r="G2"/>
      <c r="H2"/>
    </row>
    <row r="3" spans="1:8" x14ac:dyDescent="0.15">
      <c r="A3">
        <v>2</v>
      </c>
      <c r="B3" s="157" t="s">
        <v>194</v>
      </c>
      <c r="C3" s="91">
        <v>1</v>
      </c>
      <c r="D3" s="91">
        <v>0</v>
      </c>
      <c r="E3" s="90">
        <v>0</v>
      </c>
      <c r="F3" s="90">
        <v>1</v>
      </c>
      <c r="G3"/>
      <c r="H3"/>
    </row>
    <row r="4" spans="1:8" x14ac:dyDescent="0.15">
      <c r="A4">
        <v>3</v>
      </c>
      <c r="B4" s="157" t="s">
        <v>195</v>
      </c>
      <c r="C4" s="91">
        <v>1</v>
      </c>
      <c r="D4" s="91">
        <v>0</v>
      </c>
      <c r="E4" s="90">
        <v>0</v>
      </c>
      <c r="F4" s="90">
        <v>1</v>
      </c>
      <c r="G4"/>
      <c r="H4"/>
    </row>
    <row r="5" spans="1:8" x14ac:dyDescent="0.15">
      <c r="A5">
        <v>4</v>
      </c>
      <c r="B5" s="157" t="s">
        <v>196</v>
      </c>
      <c r="C5" s="91">
        <v>1</v>
      </c>
      <c r="D5" s="91">
        <v>0</v>
      </c>
      <c r="E5" s="90">
        <v>0</v>
      </c>
      <c r="F5" s="90">
        <v>1</v>
      </c>
      <c r="G5"/>
      <c r="H5"/>
    </row>
    <row r="6" spans="1:8" x14ac:dyDescent="0.15">
      <c r="A6">
        <v>5</v>
      </c>
      <c r="B6" s="157" t="s">
        <v>197</v>
      </c>
      <c r="C6" s="91">
        <v>1</v>
      </c>
      <c r="D6" s="91">
        <v>0</v>
      </c>
      <c r="E6" s="90">
        <v>0</v>
      </c>
      <c r="F6" s="90">
        <v>1</v>
      </c>
      <c r="G6"/>
      <c r="H6"/>
    </row>
    <row r="7" spans="1:8" x14ac:dyDescent="0.15">
      <c r="A7">
        <v>6</v>
      </c>
      <c r="B7" s="157" t="s">
        <v>198</v>
      </c>
      <c r="C7" s="91">
        <v>1</v>
      </c>
      <c r="D7" s="91">
        <v>0</v>
      </c>
      <c r="E7" s="90">
        <v>0</v>
      </c>
      <c r="F7" s="90">
        <v>1</v>
      </c>
      <c r="G7"/>
      <c r="H7"/>
    </row>
    <row r="8" spans="1:8" x14ac:dyDescent="0.15">
      <c r="A8">
        <v>7</v>
      </c>
      <c r="B8" s="157" t="s">
        <v>199</v>
      </c>
      <c r="C8" s="91">
        <v>1</v>
      </c>
      <c r="D8" s="91">
        <v>0</v>
      </c>
      <c r="E8" s="90">
        <v>0</v>
      </c>
      <c r="F8" s="90">
        <v>1</v>
      </c>
      <c r="G8"/>
      <c r="H8"/>
    </row>
    <row r="9" spans="1:8" x14ac:dyDescent="0.15">
      <c r="A9">
        <v>8</v>
      </c>
      <c r="B9" s="157" t="s">
        <v>200</v>
      </c>
      <c r="C9" s="91">
        <v>1</v>
      </c>
      <c r="D9" s="91">
        <v>0</v>
      </c>
      <c r="E9" s="90">
        <v>0</v>
      </c>
      <c r="F9" s="90">
        <v>1</v>
      </c>
      <c r="G9"/>
      <c r="H9"/>
    </row>
    <row r="10" spans="1:8" x14ac:dyDescent="0.15">
      <c r="A10">
        <v>9</v>
      </c>
      <c r="B10" s="157" t="s">
        <v>201</v>
      </c>
      <c r="C10" s="91">
        <v>1</v>
      </c>
      <c r="D10" s="91">
        <v>0</v>
      </c>
      <c r="E10" s="90">
        <v>0</v>
      </c>
      <c r="F10" s="90">
        <v>1</v>
      </c>
      <c r="G10"/>
      <c r="H10"/>
    </row>
    <row r="11" spans="1:8" x14ac:dyDescent="0.15">
      <c r="A11">
        <v>10</v>
      </c>
      <c r="B11" s="157" t="s">
        <v>202</v>
      </c>
      <c r="C11" s="91">
        <v>0</v>
      </c>
      <c r="D11" s="91">
        <v>0</v>
      </c>
      <c r="E11" s="90">
        <v>1</v>
      </c>
      <c r="F11" s="90">
        <v>1</v>
      </c>
      <c r="G11"/>
      <c r="H11"/>
    </row>
    <row r="12" spans="1:8" x14ac:dyDescent="0.15">
      <c r="A12">
        <v>11</v>
      </c>
      <c r="B12" s="157" t="s">
        <v>203</v>
      </c>
      <c r="C12" s="91">
        <v>1</v>
      </c>
      <c r="D12" s="91">
        <v>0</v>
      </c>
      <c r="E12" s="90">
        <v>0</v>
      </c>
      <c r="F12" s="90">
        <v>1</v>
      </c>
      <c r="G12"/>
      <c r="H12"/>
    </row>
    <row r="13" spans="1:8" x14ac:dyDescent="0.15">
      <c r="A13">
        <v>12</v>
      </c>
      <c r="B13" s="157" t="s">
        <v>204</v>
      </c>
      <c r="C13" s="91">
        <v>1</v>
      </c>
      <c r="D13" s="91">
        <v>0</v>
      </c>
      <c r="E13" s="90">
        <v>0</v>
      </c>
      <c r="F13" s="90">
        <v>1</v>
      </c>
      <c r="G13"/>
      <c r="H13"/>
    </row>
    <row r="14" spans="1:8" x14ac:dyDescent="0.15">
      <c r="A14">
        <v>13</v>
      </c>
      <c r="B14" s="157" t="s">
        <v>205</v>
      </c>
      <c r="C14" s="91">
        <v>0</v>
      </c>
      <c r="D14" s="91">
        <v>0</v>
      </c>
      <c r="E14" s="90">
        <v>1</v>
      </c>
      <c r="F14" s="90">
        <v>1</v>
      </c>
      <c r="G14"/>
      <c r="H14"/>
    </row>
    <row r="15" spans="1:8" x14ac:dyDescent="0.15">
      <c r="A15">
        <v>14</v>
      </c>
      <c r="B15" s="157" t="s">
        <v>206</v>
      </c>
      <c r="C15" s="91">
        <v>1</v>
      </c>
      <c r="D15" s="91">
        <v>0</v>
      </c>
      <c r="E15" s="90">
        <v>0</v>
      </c>
      <c r="F15" s="90">
        <v>1</v>
      </c>
      <c r="G15"/>
      <c r="H15"/>
    </row>
    <row r="16" spans="1:8" x14ac:dyDescent="0.15">
      <c r="A16">
        <v>15</v>
      </c>
      <c r="B16" s="157" t="s">
        <v>207</v>
      </c>
      <c r="C16" s="91">
        <v>1</v>
      </c>
      <c r="D16" s="91">
        <v>0</v>
      </c>
      <c r="E16" s="90">
        <v>0</v>
      </c>
      <c r="F16" s="90">
        <v>1</v>
      </c>
      <c r="G16"/>
      <c r="H16"/>
    </row>
    <row r="17" spans="1:8" ht="15" customHeight="1" x14ac:dyDescent="0.15">
      <c r="A17">
        <v>16</v>
      </c>
      <c r="B17" s="157" t="s">
        <v>208</v>
      </c>
      <c r="C17" s="91">
        <v>1</v>
      </c>
      <c r="D17" s="91">
        <v>0</v>
      </c>
      <c r="E17" s="90">
        <v>0</v>
      </c>
      <c r="F17" s="90">
        <v>1</v>
      </c>
      <c r="G17"/>
      <c r="H17"/>
    </row>
    <row r="18" spans="1:8" ht="15" customHeight="1" x14ac:dyDescent="0.15">
      <c r="A18">
        <v>17</v>
      </c>
      <c r="B18" s="157" t="s">
        <v>209</v>
      </c>
      <c r="C18" s="91">
        <v>1</v>
      </c>
      <c r="D18" s="91">
        <v>0</v>
      </c>
      <c r="E18" s="90">
        <v>0</v>
      </c>
      <c r="F18" s="90">
        <v>1</v>
      </c>
      <c r="G18"/>
      <c r="H18"/>
    </row>
    <row r="19" spans="1:8" ht="15" customHeight="1" x14ac:dyDescent="0.15">
      <c r="A19">
        <v>18</v>
      </c>
      <c r="B19" s="157" t="s">
        <v>210</v>
      </c>
      <c r="C19" s="91">
        <v>1</v>
      </c>
      <c r="D19" s="91">
        <v>0</v>
      </c>
      <c r="E19" s="90">
        <v>0</v>
      </c>
      <c r="F19" s="90">
        <v>1</v>
      </c>
      <c r="G19"/>
      <c r="H19"/>
    </row>
    <row r="20" spans="1:8" ht="15" customHeight="1" x14ac:dyDescent="0.15">
      <c r="A20">
        <v>19</v>
      </c>
      <c r="B20" s="157" t="s">
        <v>211</v>
      </c>
      <c r="C20" s="91">
        <v>1</v>
      </c>
      <c r="D20" s="91">
        <v>0</v>
      </c>
      <c r="E20" s="90">
        <v>0</v>
      </c>
      <c r="F20" s="90">
        <v>1</v>
      </c>
      <c r="G20"/>
      <c r="H20"/>
    </row>
    <row r="21" spans="1:8" ht="15" customHeight="1" x14ac:dyDescent="0.15">
      <c r="A21">
        <v>20</v>
      </c>
      <c r="B21" s="157" t="s">
        <v>212</v>
      </c>
      <c r="C21" s="91">
        <v>1</v>
      </c>
      <c r="D21" s="91">
        <v>0</v>
      </c>
      <c r="E21" s="90">
        <v>0</v>
      </c>
      <c r="F21" s="90">
        <v>1</v>
      </c>
      <c r="G21"/>
      <c r="H21"/>
    </row>
    <row r="22" spans="1:8" ht="15" customHeight="1" x14ac:dyDescent="0.15">
      <c r="A22">
        <v>21</v>
      </c>
      <c r="B22" s="157" t="s">
        <v>213</v>
      </c>
      <c r="C22" s="91">
        <v>1</v>
      </c>
      <c r="D22" s="91">
        <v>0</v>
      </c>
      <c r="E22" s="90">
        <v>0</v>
      </c>
      <c r="F22" s="90">
        <v>1</v>
      </c>
      <c r="G22"/>
      <c r="H22"/>
    </row>
    <row r="23" spans="1:8" ht="15" customHeight="1" x14ac:dyDescent="0.15">
      <c r="A23">
        <v>22</v>
      </c>
      <c r="B23" s="157" t="s">
        <v>214</v>
      </c>
      <c r="C23" s="91">
        <v>1</v>
      </c>
      <c r="D23" s="91">
        <v>0</v>
      </c>
      <c r="E23" s="90">
        <v>0</v>
      </c>
      <c r="F23" s="90">
        <v>1</v>
      </c>
      <c r="G23"/>
      <c r="H23"/>
    </row>
    <row r="24" spans="1:8" ht="15" customHeight="1" x14ac:dyDescent="0.15">
      <c r="A24">
        <v>23</v>
      </c>
      <c r="B24" s="157" t="s">
        <v>215</v>
      </c>
      <c r="C24" s="91">
        <v>1</v>
      </c>
      <c r="D24" s="91">
        <v>0</v>
      </c>
      <c r="E24" s="90">
        <v>0</v>
      </c>
      <c r="F24" s="90">
        <v>1</v>
      </c>
      <c r="G24"/>
      <c r="H24"/>
    </row>
    <row r="25" spans="1:8" ht="15" customHeight="1" x14ac:dyDescent="0.15">
      <c r="A25">
        <v>24</v>
      </c>
      <c r="B25" s="157" t="s">
        <v>216</v>
      </c>
      <c r="C25" s="91">
        <v>0</v>
      </c>
      <c r="D25" s="91">
        <v>1</v>
      </c>
      <c r="E25" s="90">
        <v>0</v>
      </c>
      <c r="F25" s="90">
        <v>1</v>
      </c>
      <c r="G25"/>
      <c r="H25"/>
    </row>
    <row r="26" spans="1:8" ht="15" customHeight="1" x14ac:dyDescent="0.15">
      <c r="A26">
        <v>25</v>
      </c>
      <c r="B26" s="157" t="s">
        <v>217</v>
      </c>
      <c r="C26" s="91">
        <v>0</v>
      </c>
      <c r="D26" s="91">
        <v>0</v>
      </c>
      <c r="E26" s="90">
        <v>1</v>
      </c>
      <c r="F26" s="90">
        <v>1</v>
      </c>
      <c r="G26"/>
      <c r="H26"/>
    </row>
    <row r="27" spans="1:8" ht="15" customHeight="1" x14ac:dyDescent="0.15">
      <c r="A27">
        <v>26</v>
      </c>
      <c r="B27" s="157" t="s">
        <v>218</v>
      </c>
      <c r="C27" s="91">
        <v>0</v>
      </c>
      <c r="D27" s="91">
        <v>1</v>
      </c>
      <c r="E27" s="90">
        <v>0</v>
      </c>
      <c r="F27" s="90">
        <v>1</v>
      </c>
      <c r="G27"/>
      <c r="H27"/>
    </row>
    <row r="28" spans="1:8" ht="15" customHeight="1" x14ac:dyDescent="0.15">
      <c r="A28">
        <v>27</v>
      </c>
      <c r="B28" s="157" t="s">
        <v>219</v>
      </c>
      <c r="C28" s="91">
        <v>0</v>
      </c>
      <c r="D28" s="91">
        <v>1</v>
      </c>
      <c r="E28" s="90">
        <v>0</v>
      </c>
      <c r="F28" s="90">
        <v>1</v>
      </c>
      <c r="G28"/>
      <c r="H28"/>
    </row>
    <row r="29" spans="1:8" ht="15" customHeight="1" x14ac:dyDescent="0.15">
      <c r="A29">
        <v>28</v>
      </c>
      <c r="B29" s="157" t="s">
        <v>220</v>
      </c>
      <c r="C29" s="91">
        <v>0</v>
      </c>
      <c r="D29" s="91">
        <v>1</v>
      </c>
      <c r="E29" s="90">
        <v>0</v>
      </c>
      <c r="F29" s="90">
        <v>1</v>
      </c>
      <c r="G29"/>
      <c r="H29"/>
    </row>
    <row r="30" spans="1:8" ht="15" customHeight="1" x14ac:dyDescent="0.15">
      <c r="A30">
        <v>29</v>
      </c>
      <c r="B30" s="157" t="s">
        <v>221</v>
      </c>
      <c r="C30" s="91">
        <v>0</v>
      </c>
      <c r="D30" s="91">
        <v>1</v>
      </c>
      <c r="E30" s="90">
        <v>0</v>
      </c>
      <c r="F30" s="90">
        <v>1</v>
      </c>
      <c r="G30"/>
      <c r="H30"/>
    </row>
    <row r="31" spans="1:8" ht="15" customHeight="1" x14ac:dyDescent="0.15">
      <c r="A31">
        <v>30</v>
      </c>
      <c r="B31" s="157" t="s">
        <v>222</v>
      </c>
      <c r="C31" s="91">
        <v>0</v>
      </c>
      <c r="D31" s="91">
        <v>1</v>
      </c>
      <c r="E31" s="90">
        <v>0</v>
      </c>
      <c r="F31" s="90">
        <v>1</v>
      </c>
      <c r="G31"/>
      <c r="H31"/>
    </row>
    <row r="32" spans="1:8" ht="15" customHeight="1" x14ac:dyDescent="0.15">
      <c r="A32">
        <v>31</v>
      </c>
      <c r="B32" s="157" t="s">
        <v>223</v>
      </c>
      <c r="C32" s="91">
        <v>0</v>
      </c>
      <c r="D32" s="91">
        <v>1</v>
      </c>
      <c r="E32" s="90">
        <v>0</v>
      </c>
      <c r="F32" s="90">
        <v>1</v>
      </c>
    </row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1"/>
      <c r="F36" s="91"/>
      <c r="G36"/>
      <c r="H36"/>
    </row>
    <row r="37" spans="3:8" ht="15" customHeight="1" x14ac:dyDescent="0.15">
      <c r="C37"/>
      <c r="D37"/>
      <c r="E37" s="91"/>
      <c r="F37" s="91"/>
      <c r="G37"/>
      <c r="H37"/>
    </row>
    <row r="38" spans="3:8" ht="15" customHeight="1" x14ac:dyDescent="0.15">
      <c r="C38"/>
      <c r="D38"/>
      <c r="E38" s="91"/>
      <c r="F38" s="91"/>
      <c r="G38"/>
      <c r="H38"/>
    </row>
    <row r="39" spans="3:8" ht="15" customHeight="1" x14ac:dyDescent="0.15">
      <c r="C39"/>
      <c r="D39"/>
      <c r="E39" s="91"/>
      <c r="F39" s="91"/>
      <c r="G39"/>
      <c r="H39"/>
    </row>
    <row r="40" spans="3:8" ht="15" customHeight="1" x14ac:dyDescent="0.15">
      <c r="C40"/>
      <c r="D40"/>
      <c r="E40" s="91"/>
      <c r="F40" s="91"/>
      <c r="G40"/>
      <c r="H40"/>
    </row>
    <row r="41" spans="3:8" ht="15" customHeight="1" x14ac:dyDescent="0.15">
      <c r="C41"/>
      <c r="D41"/>
      <c r="E41" s="91"/>
      <c r="F41" s="91"/>
      <c r="G41"/>
      <c r="H41"/>
    </row>
    <row r="42" spans="3:8" ht="15" customHeight="1" x14ac:dyDescent="0.15">
      <c r="C42"/>
      <c r="D42"/>
      <c r="E42" s="91"/>
      <c r="F42" s="91"/>
      <c r="G42"/>
      <c r="H42"/>
    </row>
    <row r="43" spans="3:8" ht="15" customHeight="1" x14ac:dyDescent="0.15">
      <c r="C43"/>
      <c r="D43"/>
      <c r="E43" s="91"/>
      <c r="F43" s="91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1"/>
      <c r="F46" s="91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I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5" bestFit="1" customWidth="1"/>
    <col min="3" max="4" width="5.83203125" bestFit="1" customWidth="1"/>
    <col min="5" max="5" width="4.83203125" bestFit="1" customWidth="1"/>
    <col min="6" max="6" width="2.33203125" customWidth="1"/>
    <col min="7" max="7" width="4.83203125" customWidth="1"/>
    <col min="8" max="9" width="5.83203125" customWidth="1"/>
  </cols>
  <sheetData>
    <row r="1" spans="1:9" s="92" customFormat="1" ht="112" x14ac:dyDescent="0.15">
      <c r="A1" s="5" t="s">
        <v>21</v>
      </c>
      <c r="B1" s="3" t="s">
        <v>0</v>
      </c>
      <c r="C1" s="160" t="s">
        <v>218</v>
      </c>
      <c r="D1" s="160" t="s">
        <v>219</v>
      </c>
      <c r="E1" s="160" t="s">
        <v>220</v>
      </c>
      <c r="F1" s="160" t="s">
        <v>221</v>
      </c>
      <c r="G1" s="160" t="s">
        <v>222</v>
      </c>
      <c r="H1" s="160" t="s">
        <v>223</v>
      </c>
      <c r="I1" s="160" t="s">
        <v>227</v>
      </c>
    </row>
    <row r="2" spans="1:9" ht="15" customHeight="1" x14ac:dyDescent="0.15">
      <c r="A2">
        <v>1</v>
      </c>
      <c r="B2" s="159" t="s">
        <v>193</v>
      </c>
      <c r="C2">
        <v>0</v>
      </c>
      <c r="D2">
        <v>0.55300000000000005</v>
      </c>
      <c r="E2">
        <v>0</v>
      </c>
      <c r="F2">
        <v>0</v>
      </c>
      <c r="G2">
        <v>0</v>
      </c>
      <c r="H2">
        <v>0</v>
      </c>
      <c r="I2">
        <v>0.55300000000000005</v>
      </c>
    </row>
    <row r="3" spans="1:9" ht="15" customHeight="1" x14ac:dyDescent="0.15">
      <c r="A3">
        <v>2</v>
      </c>
      <c r="B3" s="159" t="s">
        <v>194</v>
      </c>
      <c r="C3">
        <v>0</v>
      </c>
      <c r="D3">
        <v>0.6</v>
      </c>
      <c r="E3">
        <v>0</v>
      </c>
      <c r="F3">
        <v>0</v>
      </c>
      <c r="G3">
        <v>0</v>
      </c>
      <c r="H3">
        <v>0</v>
      </c>
      <c r="I3">
        <v>0.6</v>
      </c>
    </row>
    <row r="4" spans="1:9" ht="15" customHeight="1" x14ac:dyDescent="0.15">
      <c r="A4">
        <v>3</v>
      </c>
      <c r="B4" s="159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ht="15" customHeight="1" x14ac:dyDescent="0.15">
      <c r="A5">
        <v>4</v>
      </c>
      <c r="B5" s="159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ht="15" customHeight="1" x14ac:dyDescent="0.15">
      <c r="A6">
        <v>5</v>
      </c>
      <c r="B6" s="159" t="s">
        <v>197</v>
      </c>
      <c r="C6">
        <v>0</v>
      </c>
      <c r="D6">
        <v>0.16</v>
      </c>
      <c r="E6">
        <v>0</v>
      </c>
      <c r="F6">
        <v>0</v>
      </c>
      <c r="G6">
        <v>0</v>
      </c>
      <c r="H6">
        <v>0</v>
      </c>
      <c r="I6">
        <v>0.16</v>
      </c>
    </row>
    <row r="7" spans="1:9" ht="15" customHeight="1" x14ac:dyDescent="0.15">
      <c r="A7">
        <v>6</v>
      </c>
      <c r="B7" s="159" t="s">
        <v>198</v>
      </c>
      <c r="C7">
        <v>0</v>
      </c>
      <c r="D7">
        <v>5</v>
      </c>
      <c r="E7">
        <v>0</v>
      </c>
      <c r="F7">
        <v>0</v>
      </c>
      <c r="G7">
        <v>0</v>
      </c>
      <c r="H7">
        <v>0</v>
      </c>
      <c r="I7">
        <v>5</v>
      </c>
    </row>
    <row r="8" spans="1:9" ht="15" customHeight="1" x14ac:dyDescent="0.15">
      <c r="A8">
        <v>7</v>
      </c>
      <c r="B8" s="159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ht="15" customHeight="1" x14ac:dyDescent="0.15">
      <c r="A9">
        <v>8</v>
      </c>
      <c r="B9" s="159" t="s">
        <v>200</v>
      </c>
      <c r="C9">
        <v>0</v>
      </c>
      <c r="D9">
        <v>0</v>
      </c>
      <c r="E9">
        <v>0.08</v>
      </c>
      <c r="F9">
        <v>0</v>
      </c>
      <c r="G9">
        <v>0</v>
      </c>
      <c r="H9">
        <v>0</v>
      </c>
      <c r="I9">
        <v>0.08</v>
      </c>
    </row>
    <row r="10" spans="1:9" ht="15" customHeight="1" x14ac:dyDescent="0.15">
      <c r="A10">
        <v>9</v>
      </c>
      <c r="B10" s="159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ht="15" customHeight="1" x14ac:dyDescent="0.15">
      <c r="A11">
        <v>10</v>
      </c>
      <c r="B11" s="159" t="s">
        <v>202</v>
      </c>
      <c r="C11">
        <v>0</v>
      </c>
      <c r="D11">
        <v>0.09</v>
      </c>
      <c r="E11">
        <v>0</v>
      </c>
      <c r="F11">
        <v>0</v>
      </c>
      <c r="G11">
        <v>0</v>
      </c>
      <c r="H11">
        <v>0</v>
      </c>
      <c r="I11">
        <v>0.09</v>
      </c>
    </row>
    <row r="12" spans="1:9" ht="15" customHeight="1" x14ac:dyDescent="0.15">
      <c r="A12">
        <v>11</v>
      </c>
      <c r="B12" s="159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ht="15" customHeight="1" x14ac:dyDescent="0.15">
      <c r="A13">
        <v>12</v>
      </c>
      <c r="B13" s="159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1E-3</v>
      </c>
      <c r="I13">
        <v>1E-3</v>
      </c>
    </row>
    <row r="14" spans="1:9" ht="15" customHeight="1" x14ac:dyDescent="0.15">
      <c r="A14">
        <v>13</v>
      </c>
      <c r="B14" s="159" t="s">
        <v>205</v>
      </c>
      <c r="C14">
        <v>0.05</v>
      </c>
      <c r="D14">
        <v>0.05</v>
      </c>
      <c r="E14">
        <v>0</v>
      </c>
      <c r="F14">
        <v>0</v>
      </c>
      <c r="G14">
        <v>0</v>
      </c>
      <c r="H14">
        <v>0</v>
      </c>
      <c r="I14">
        <v>0.1</v>
      </c>
    </row>
    <row r="15" spans="1:9" ht="15" customHeight="1" x14ac:dyDescent="0.15">
      <c r="A15">
        <v>14</v>
      </c>
      <c r="B15" s="159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ht="15" customHeight="1" x14ac:dyDescent="0.15">
      <c r="A16">
        <v>15</v>
      </c>
      <c r="B16" s="159" t="s">
        <v>207</v>
      </c>
      <c r="C16">
        <v>5.0000000000000001E-3</v>
      </c>
      <c r="D16">
        <v>0</v>
      </c>
      <c r="E16">
        <v>0</v>
      </c>
      <c r="F16">
        <v>0</v>
      </c>
      <c r="G16">
        <v>0</v>
      </c>
      <c r="H16">
        <v>0</v>
      </c>
      <c r="I16">
        <v>5.0000000000000001E-3</v>
      </c>
    </row>
    <row r="17" spans="1:9" ht="15" customHeight="1" x14ac:dyDescent="0.15">
      <c r="A17">
        <v>16</v>
      </c>
      <c r="B17" s="159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ht="15" customHeight="1" x14ac:dyDescent="0.15">
      <c r="A18">
        <v>17</v>
      </c>
      <c r="B18" s="159" t="s">
        <v>209</v>
      </c>
      <c r="C18">
        <v>0</v>
      </c>
      <c r="D18">
        <v>0</v>
      </c>
      <c r="E18">
        <v>0</v>
      </c>
      <c r="F18">
        <v>0</v>
      </c>
      <c r="G18">
        <v>0.01</v>
      </c>
      <c r="H18">
        <v>0</v>
      </c>
      <c r="I18">
        <v>0.01</v>
      </c>
    </row>
    <row r="19" spans="1:9" ht="15" customHeight="1" x14ac:dyDescent="0.15">
      <c r="A19">
        <v>18</v>
      </c>
      <c r="B19" s="159" t="s">
        <v>210</v>
      </c>
      <c r="C19">
        <v>0.02</v>
      </c>
      <c r="D19">
        <v>0</v>
      </c>
      <c r="E19">
        <v>0</v>
      </c>
      <c r="F19">
        <v>0</v>
      </c>
      <c r="G19">
        <v>0</v>
      </c>
      <c r="H19">
        <v>0</v>
      </c>
      <c r="I19">
        <v>0.02</v>
      </c>
    </row>
    <row r="20" spans="1:9" ht="15" customHeight="1" x14ac:dyDescent="0.15">
      <c r="A20">
        <v>19</v>
      </c>
      <c r="B20" s="159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ht="15" customHeight="1" x14ac:dyDescent="0.15">
      <c r="A21">
        <v>20</v>
      </c>
      <c r="B21" s="159" t="s">
        <v>212</v>
      </c>
      <c r="C21">
        <v>0</v>
      </c>
      <c r="D21">
        <v>0</v>
      </c>
      <c r="E21">
        <v>0</v>
      </c>
      <c r="F21">
        <v>2</v>
      </c>
      <c r="G21">
        <v>0</v>
      </c>
      <c r="H21">
        <v>0</v>
      </c>
      <c r="I21">
        <v>2</v>
      </c>
    </row>
    <row r="22" spans="1:9" ht="15" customHeight="1" x14ac:dyDescent="0.15">
      <c r="A22">
        <v>21</v>
      </c>
      <c r="B22" s="159" t="s">
        <v>213</v>
      </c>
      <c r="C22">
        <v>0</v>
      </c>
      <c r="D22">
        <v>0</v>
      </c>
      <c r="E22">
        <v>0.24</v>
      </c>
      <c r="F22">
        <v>0</v>
      </c>
      <c r="G22">
        <v>0</v>
      </c>
      <c r="H22">
        <v>0</v>
      </c>
      <c r="I22">
        <v>0.24</v>
      </c>
    </row>
    <row r="23" spans="1:9" ht="15" customHeight="1" x14ac:dyDescent="0.15">
      <c r="A23">
        <v>22</v>
      </c>
      <c r="B23" s="159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ht="15" customHeight="1" x14ac:dyDescent="0.15">
      <c r="A24">
        <v>23</v>
      </c>
      <c r="B24" s="159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ht="15" customHeight="1" x14ac:dyDescent="0.15">
      <c r="A25">
        <v>24</v>
      </c>
      <c r="B25" s="159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ht="15" customHeight="1" x14ac:dyDescent="0.15">
      <c r="A26">
        <v>25</v>
      </c>
      <c r="B26" s="159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ht="15" customHeight="1" x14ac:dyDescent="0.15"/>
    <row r="28" spans="1:9" ht="15" customHeight="1" x14ac:dyDescent="0.15"/>
    <row r="29" spans="1:9" ht="15" customHeight="1" x14ac:dyDescent="0.15"/>
    <row r="30" spans="1:9" ht="15" customHeight="1" x14ac:dyDescent="0.15"/>
    <row r="31" spans="1:9" ht="15" customHeight="1" x14ac:dyDescent="0.15"/>
    <row r="32" spans="1:9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I2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5" bestFit="1" customWidth="1"/>
    <col min="3" max="4" width="4.83203125" bestFit="1" customWidth="1"/>
    <col min="5" max="5" width="2.33203125" bestFit="1" customWidth="1"/>
    <col min="6" max="8" width="2.33203125" customWidth="1"/>
    <col min="9" max="9" width="4.83203125" customWidth="1"/>
  </cols>
  <sheetData>
    <row r="1" spans="1:9" s="92" customFormat="1" ht="112" x14ac:dyDescent="0.15">
      <c r="A1" s="5" t="s">
        <v>22</v>
      </c>
      <c r="B1" s="3" t="s">
        <v>0</v>
      </c>
      <c r="C1" s="162" t="s">
        <v>218</v>
      </c>
      <c r="D1" s="162" t="s">
        <v>219</v>
      </c>
      <c r="E1" s="162" t="s">
        <v>220</v>
      </c>
      <c r="F1" s="162" t="s">
        <v>221</v>
      </c>
      <c r="G1" s="162" t="s">
        <v>222</v>
      </c>
      <c r="H1" s="162" t="s">
        <v>223</v>
      </c>
      <c r="I1" s="162" t="s">
        <v>227</v>
      </c>
    </row>
    <row r="2" spans="1:9" x14ac:dyDescent="0.15">
      <c r="A2">
        <v>1</v>
      </c>
      <c r="B2" s="161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61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61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15">
      <c r="A5">
        <v>4</v>
      </c>
      <c r="B5" s="161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61" t="s">
        <v>197</v>
      </c>
      <c r="C6">
        <v>0</v>
      </c>
      <c r="D6">
        <v>0.04</v>
      </c>
      <c r="E6">
        <v>0</v>
      </c>
      <c r="F6">
        <v>0</v>
      </c>
      <c r="G6">
        <v>0</v>
      </c>
      <c r="H6">
        <v>0</v>
      </c>
      <c r="I6">
        <v>0.04</v>
      </c>
    </row>
    <row r="7" spans="1:9" x14ac:dyDescent="0.15">
      <c r="A7">
        <v>6</v>
      </c>
      <c r="B7" s="161" t="s">
        <v>198</v>
      </c>
      <c r="C7">
        <v>0</v>
      </c>
      <c r="D7">
        <v>1</v>
      </c>
      <c r="E7">
        <v>0</v>
      </c>
      <c r="F7">
        <v>0</v>
      </c>
      <c r="G7">
        <v>0</v>
      </c>
      <c r="H7">
        <v>0</v>
      </c>
      <c r="I7">
        <v>1</v>
      </c>
    </row>
    <row r="8" spans="1:9" x14ac:dyDescent="0.15">
      <c r="A8">
        <v>7</v>
      </c>
      <c r="B8" s="161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61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15">
      <c r="A10">
        <v>9</v>
      </c>
      <c r="B10" s="161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61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15">
      <c r="A12">
        <v>11</v>
      </c>
      <c r="B12" s="161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15">
      <c r="A13">
        <v>12</v>
      </c>
      <c r="B13" s="161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15">
      <c r="A14">
        <v>13</v>
      </c>
      <c r="B14" s="161" t="s">
        <v>205</v>
      </c>
      <c r="C14">
        <v>0.05</v>
      </c>
      <c r="D14">
        <v>0.05</v>
      </c>
      <c r="E14">
        <v>0</v>
      </c>
      <c r="F14">
        <v>0</v>
      </c>
      <c r="G14">
        <v>0</v>
      </c>
      <c r="H14">
        <v>0</v>
      </c>
      <c r="I14">
        <v>0.1</v>
      </c>
    </row>
    <row r="15" spans="1:9" x14ac:dyDescent="0.15">
      <c r="A15">
        <v>14</v>
      </c>
      <c r="B15" s="161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15">
      <c r="A16">
        <v>15</v>
      </c>
      <c r="B16" s="161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61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15">
      <c r="A18">
        <v>17</v>
      </c>
      <c r="B18" s="161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15">
      <c r="A19">
        <v>18</v>
      </c>
      <c r="B19" s="161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15">
      <c r="A20">
        <v>19</v>
      </c>
      <c r="B20" s="161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15">
      <c r="A21">
        <v>20</v>
      </c>
      <c r="B21" s="161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15">
      <c r="A22">
        <v>21</v>
      </c>
      <c r="B22" s="161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15">
      <c r="A23">
        <v>22</v>
      </c>
      <c r="B23" s="161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15">
      <c r="A24">
        <v>23</v>
      </c>
      <c r="B24" s="161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15">
      <c r="A25">
        <v>24</v>
      </c>
      <c r="B25" s="161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15">
      <c r="A26">
        <v>25</v>
      </c>
      <c r="B26" s="161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5" bestFit="1" customWidth="1"/>
    <col min="6" max="6" width="4.83203125" bestFit="1" customWidth="1"/>
    <col min="7" max="9" width="3.83203125" bestFit="1" customWidth="1"/>
    <col min="10" max="11" width="4.83203125" style="9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3" customFormat="1" ht="14" thickBot="1" x14ac:dyDescent="0.2">
      <c r="D1" s="94" t="s">
        <v>8</v>
      </c>
      <c r="E1" s="94" t="s">
        <v>0</v>
      </c>
      <c r="F1" s="95" t="s">
        <v>99</v>
      </c>
      <c r="G1" s="96" t="s">
        <v>84</v>
      </c>
      <c r="H1" s="96" t="s">
        <v>85</v>
      </c>
      <c r="I1" s="96" t="s">
        <v>86</v>
      </c>
      <c r="J1" s="96" t="s">
        <v>87</v>
      </c>
      <c r="K1" s="96" t="s">
        <v>88</v>
      </c>
      <c r="L1" s="97" t="s">
        <v>89</v>
      </c>
      <c r="M1" s="97" t="s">
        <v>93</v>
      </c>
      <c r="N1" s="97" t="s">
        <v>92</v>
      </c>
      <c r="O1" s="97" t="s">
        <v>90</v>
      </c>
      <c r="P1" s="97" t="s">
        <v>91</v>
      </c>
      <c r="Q1" s="98" t="s">
        <v>94</v>
      </c>
      <c r="R1" s="98" t="s">
        <v>95</v>
      </c>
      <c r="S1" s="98" t="s">
        <v>96</v>
      </c>
      <c r="T1" s="98" t="s">
        <v>97</v>
      </c>
      <c r="U1" s="98" t="s">
        <v>98</v>
      </c>
      <c r="V1" s="96" t="s">
        <v>100</v>
      </c>
      <c r="W1" s="96" t="s">
        <v>101</v>
      </c>
      <c r="X1" s="96" t="s">
        <v>102</v>
      </c>
      <c r="Y1" s="96" t="s">
        <v>134</v>
      </c>
      <c r="Z1" s="97" t="s">
        <v>103</v>
      </c>
      <c r="AA1" s="97" t="s">
        <v>104</v>
      </c>
      <c r="AB1" s="97" t="s">
        <v>105</v>
      </c>
      <c r="AC1" s="99" t="s">
        <v>135</v>
      </c>
      <c r="AD1" s="98" t="s">
        <v>106</v>
      </c>
      <c r="AE1" s="98" t="s">
        <v>107</v>
      </c>
      <c r="AF1" s="98" t="s">
        <v>108</v>
      </c>
      <c r="AG1" s="98" t="s">
        <v>136</v>
      </c>
      <c r="AH1" s="96" t="s">
        <v>109</v>
      </c>
      <c r="AI1" s="96" t="s">
        <v>111</v>
      </c>
      <c r="AJ1" s="96" t="s">
        <v>110</v>
      </c>
      <c r="AK1" s="97" t="s">
        <v>115</v>
      </c>
      <c r="AL1" s="97" t="s">
        <v>116</v>
      </c>
      <c r="AM1" s="97" t="s">
        <v>117</v>
      </c>
      <c r="AN1" s="98" t="s">
        <v>112</v>
      </c>
      <c r="AO1" s="98" t="s">
        <v>113</v>
      </c>
      <c r="AP1" s="98" t="s">
        <v>114</v>
      </c>
    </row>
    <row r="2" spans="1:42" x14ac:dyDescent="0.15">
      <c r="A2" s="100" t="s">
        <v>74</v>
      </c>
      <c r="B2" s="101">
        <v>1</v>
      </c>
      <c r="D2">
        <v>1</v>
      </c>
      <c r="E2" s="163" t="s">
        <v>193</v>
      </c>
      <c r="F2">
        <v>0.98</v>
      </c>
      <c r="G2">
        <v>0.8</v>
      </c>
      <c r="H2">
        <v>0.8</v>
      </c>
      <c r="I2">
        <v>0.8</v>
      </c>
      <c r="J2" s="91">
        <v>0.25</v>
      </c>
      <c r="K2" s="91">
        <v>0.05</v>
      </c>
    </row>
    <row r="3" spans="1:42" x14ac:dyDescent="0.15">
      <c r="A3" s="100" t="s">
        <v>75</v>
      </c>
      <c r="B3" s="102">
        <v>1</v>
      </c>
      <c r="D3">
        <v>2</v>
      </c>
      <c r="E3" s="163" t="s">
        <v>194</v>
      </c>
      <c r="F3">
        <v>0.98</v>
      </c>
      <c r="G3">
        <v>0.8</v>
      </c>
      <c r="H3">
        <v>0.8</v>
      </c>
      <c r="I3">
        <v>0.8</v>
      </c>
      <c r="J3" s="91">
        <v>0.25</v>
      </c>
      <c r="K3" s="91">
        <v>0.05</v>
      </c>
    </row>
    <row r="4" spans="1:42" x14ac:dyDescent="0.15">
      <c r="A4" s="100" t="s">
        <v>76</v>
      </c>
      <c r="B4" s="102">
        <v>1</v>
      </c>
      <c r="D4">
        <v>3</v>
      </c>
      <c r="E4" s="163" t="s">
        <v>195</v>
      </c>
      <c r="F4">
        <v>0.98</v>
      </c>
      <c r="G4">
        <v>0.8</v>
      </c>
      <c r="H4">
        <v>0.8</v>
      </c>
      <c r="I4">
        <v>0.8</v>
      </c>
      <c r="J4" s="91">
        <v>0.25</v>
      </c>
      <c r="K4" s="91">
        <v>0.05</v>
      </c>
    </row>
    <row r="5" spans="1:42" x14ac:dyDescent="0.15">
      <c r="A5" s="100" t="s">
        <v>77</v>
      </c>
      <c r="B5" s="102">
        <v>1</v>
      </c>
      <c r="D5">
        <v>4</v>
      </c>
      <c r="E5" s="163" t="s">
        <v>196</v>
      </c>
      <c r="F5">
        <v>0.98</v>
      </c>
      <c r="G5">
        <v>0.8</v>
      </c>
      <c r="H5">
        <v>0.8</v>
      </c>
      <c r="I5">
        <v>0.8</v>
      </c>
      <c r="J5" s="91">
        <v>0.25</v>
      </c>
      <c r="K5" s="91">
        <v>0.05</v>
      </c>
    </row>
    <row r="6" spans="1:42" x14ac:dyDescent="0.15">
      <c r="A6" s="100" t="s">
        <v>78</v>
      </c>
      <c r="B6" s="102">
        <v>1</v>
      </c>
      <c r="D6">
        <v>5</v>
      </c>
      <c r="E6" s="163" t="s">
        <v>197</v>
      </c>
      <c r="F6">
        <v>0.98</v>
      </c>
      <c r="G6">
        <v>0.8</v>
      </c>
      <c r="H6">
        <v>0.8</v>
      </c>
      <c r="I6">
        <v>0.8</v>
      </c>
      <c r="J6" s="91">
        <v>0.25</v>
      </c>
      <c r="K6" s="91">
        <v>0.05</v>
      </c>
    </row>
    <row r="7" spans="1:42" x14ac:dyDescent="0.15">
      <c r="A7" s="100" t="s">
        <v>79</v>
      </c>
      <c r="B7" s="102">
        <v>1</v>
      </c>
      <c r="D7">
        <v>6</v>
      </c>
      <c r="E7" s="163" t="s">
        <v>198</v>
      </c>
      <c r="F7">
        <v>0.98</v>
      </c>
      <c r="G7">
        <v>0.8</v>
      </c>
      <c r="H7">
        <v>0.8</v>
      </c>
      <c r="I7">
        <v>0.8</v>
      </c>
      <c r="J7" s="91">
        <v>0.25</v>
      </c>
      <c r="K7" s="91">
        <v>0.05</v>
      </c>
    </row>
    <row r="8" spans="1:42" x14ac:dyDescent="0.15">
      <c r="A8" s="100" t="s">
        <v>80</v>
      </c>
      <c r="B8" s="102">
        <v>1</v>
      </c>
      <c r="D8">
        <v>7</v>
      </c>
      <c r="E8" s="163" t="s">
        <v>199</v>
      </c>
      <c r="F8">
        <v>0.98</v>
      </c>
      <c r="G8">
        <v>0.8</v>
      </c>
      <c r="H8">
        <v>0.8</v>
      </c>
      <c r="I8">
        <v>0.8</v>
      </c>
      <c r="J8" s="91">
        <v>0.25</v>
      </c>
      <c r="K8" s="91">
        <v>0.05</v>
      </c>
    </row>
    <row r="9" spans="1:42" x14ac:dyDescent="0.15">
      <c r="A9" s="100" t="s">
        <v>81</v>
      </c>
      <c r="B9" s="102">
        <v>0.1</v>
      </c>
      <c r="C9" s="54" t="s">
        <v>150</v>
      </c>
      <c r="D9">
        <v>8</v>
      </c>
      <c r="E9" s="163" t="s">
        <v>200</v>
      </c>
      <c r="F9">
        <v>0.98</v>
      </c>
      <c r="G9">
        <v>0.8</v>
      </c>
      <c r="H9">
        <v>0.8</v>
      </c>
      <c r="I9">
        <v>0.8</v>
      </c>
      <c r="J9" s="91">
        <v>0.25</v>
      </c>
      <c r="K9" s="91">
        <v>0.05</v>
      </c>
    </row>
    <row r="10" spans="1:42" ht="14" thickBot="1" x14ac:dyDescent="0.2">
      <c r="A10" s="100" t="s">
        <v>149</v>
      </c>
      <c r="B10" s="103">
        <f>1/3</f>
        <v>0.33333333333333331</v>
      </c>
      <c r="C10" s="54" t="s">
        <v>150</v>
      </c>
      <c r="D10">
        <v>9</v>
      </c>
      <c r="E10" s="163" t="s">
        <v>201</v>
      </c>
      <c r="F10">
        <v>0.98</v>
      </c>
      <c r="G10">
        <v>0.8</v>
      </c>
      <c r="H10">
        <v>0.8</v>
      </c>
      <c r="I10">
        <v>0</v>
      </c>
      <c r="J10" s="91">
        <v>0</v>
      </c>
      <c r="K10" s="91">
        <v>0</v>
      </c>
    </row>
    <row r="11" spans="1:42" x14ac:dyDescent="0.15">
      <c r="D11">
        <v>10</v>
      </c>
      <c r="E11" s="163" t="s">
        <v>202</v>
      </c>
      <c r="F11">
        <v>0.98</v>
      </c>
      <c r="G11">
        <v>0.8</v>
      </c>
      <c r="H11">
        <v>0.8</v>
      </c>
      <c r="I11">
        <v>0.8</v>
      </c>
      <c r="J11" s="91">
        <v>0.25</v>
      </c>
      <c r="K11" s="91">
        <v>0.05</v>
      </c>
    </row>
    <row r="12" spans="1:42" x14ac:dyDescent="0.15">
      <c r="D12">
        <v>11</v>
      </c>
      <c r="E12" s="163" t="s">
        <v>203</v>
      </c>
      <c r="F12">
        <v>0.98</v>
      </c>
      <c r="G12">
        <v>0.8</v>
      </c>
      <c r="H12">
        <v>0.8</v>
      </c>
      <c r="I12">
        <v>0</v>
      </c>
      <c r="J12" s="91">
        <v>0</v>
      </c>
      <c r="K12" s="91">
        <v>0</v>
      </c>
    </row>
    <row r="13" spans="1:42" x14ac:dyDescent="0.15">
      <c r="D13">
        <v>12</v>
      </c>
      <c r="E13" s="163" t="s">
        <v>204</v>
      </c>
      <c r="F13">
        <v>0.98</v>
      </c>
      <c r="G13">
        <v>0.8</v>
      </c>
      <c r="H13">
        <v>0.8</v>
      </c>
      <c r="I13">
        <v>0.8</v>
      </c>
      <c r="J13" s="91">
        <v>0.25</v>
      </c>
      <c r="K13" s="91">
        <v>0.05</v>
      </c>
    </row>
    <row r="14" spans="1:42" x14ac:dyDescent="0.15">
      <c r="D14">
        <v>13</v>
      </c>
      <c r="E14" s="163" t="s">
        <v>205</v>
      </c>
      <c r="F14">
        <v>0.98</v>
      </c>
      <c r="G14">
        <v>0.8</v>
      </c>
      <c r="H14">
        <v>0.8</v>
      </c>
      <c r="I14">
        <v>0.8</v>
      </c>
      <c r="J14" s="91">
        <v>0.25</v>
      </c>
      <c r="K14" s="91">
        <v>0.05</v>
      </c>
    </row>
    <row r="15" spans="1:42" x14ac:dyDescent="0.15">
      <c r="D15">
        <v>14</v>
      </c>
      <c r="E15" s="163" t="s">
        <v>206</v>
      </c>
      <c r="F15">
        <v>0.98</v>
      </c>
      <c r="G15">
        <v>0.8</v>
      </c>
      <c r="H15">
        <v>0.8</v>
      </c>
      <c r="I15">
        <v>0.8</v>
      </c>
      <c r="J15" s="91">
        <v>0.25</v>
      </c>
      <c r="K15" s="91">
        <v>0.05</v>
      </c>
    </row>
    <row r="16" spans="1:42" x14ac:dyDescent="0.15">
      <c r="D16">
        <v>15</v>
      </c>
      <c r="E16" s="163" t="s">
        <v>207</v>
      </c>
      <c r="F16">
        <v>0.98</v>
      </c>
      <c r="G16">
        <v>0.8</v>
      </c>
      <c r="H16">
        <v>0.8</v>
      </c>
      <c r="I16">
        <v>0.8</v>
      </c>
      <c r="J16" s="91">
        <v>0.25</v>
      </c>
      <c r="K16" s="91">
        <v>0.05</v>
      </c>
    </row>
    <row r="17" spans="4:33" ht="15" customHeight="1" x14ac:dyDescent="0.15">
      <c r="D17">
        <v>16</v>
      </c>
      <c r="E17" s="163" t="s">
        <v>208</v>
      </c>
      <c r="F17">
        <v>0.98</v>
      </c>
      <c r="G17">
        <v>0.8</v>
      </c>
      <c r="H17">
        <v>0.8</v>
      </c>
      <c r="I17">
        <v>0.8</v>
      </c>
      <c r="J17" s="91">
        <v>0.25</v>
      </c>
      <c r="K17" s="91">
        <v>0.05</v>
      </c>
    </row>
    <row r="18" spans="4:33" ht="15" customHeight="1" x14ac:dyDescent="0.15">
      <c r="D18">
        <v>17</v>
      </c>
      <c r="E18" s="163" t="s">
        <v>209</v>
      </c>
      <c r="F18">
        <v>0.98</v>
      </c>
      <c r="G18">
        <v>0.8</v>
      </c>
      <c r="H18">
        <v>0.8</v>
      </c>
      <c r="I18">
        <v>0.8</v>
      </c>
      <c r="J18" s="91">
        <v>0.25</v>
      </c>
      <c r="K18" s="91">
        <v>0.05</v>
      </c>
    </row>
    <row r="19" spans="4:33" ht="15" customHeight="1" x14ac:dyDescent="0.15">
      <c r="D19">
        <v>18</v>
      </c>
      <c r="E19" s="163" t="s">
        <v>210</v>
      </c>
      <c r="F19">
        <v>0.98</v>
      </c>
      <c r="G19">
        <v>0.8</v>
      </c>
      <c r="H19">
        <v>0.8</v>
      </c>
      <c r="I19">
        <v>0.8</v>
      </c>
      <c r="J19" s="91">
        <v>0.25</v>
      </c>
      <c r="K19" s="91">
        <v>0.05</v>
      </c>
    </row>
    <row r="20" spans="4:33" ht="15" customHeight="1" x14ac:dyDescent="0.15">
      <c r="D20">
        <v>19</v>
      </c>
      <c r="E20" s="163" t="s">
        <v>211</v>
      </c>
      <c r="F20">
        <v>0.98</v>
      </c>
      <c r="G20">
        <v>0.8</v>
      </c>
      <c r="H20">
        <v>0.8</v>
      </c>
      <c r="I20">
        <v>0.8</v>
      </c>
      <c r="J20" s="91">
        <v>0.25</v>
      </c>
      <c r="K20" s="91">
        <v>0.05</v>
      </c>
    </row>
    <row r="21" spans="4:33" ht="15" customHeight="1" x14ac:dyDescent="0.15">
      <c r="D21">
        <v>20</v>
      </c>
      <c r="E21" s="163" t="s">
        <v>212</v>
      </c>
      <c r="F21">
        <v>0.98</v>
      </c>
      <c r="G21">
        <v>0.8</v>
      </c>
      <c r="H21">
        <v>0.8</v>
      </c>
      <c r="I21">
        <v>0.8</v>
      </c>
      <c r="J21" s="91">
        <v>0.25</v>
      </c>
      <c r="K21" s="91">
        <v>0.05</v>
      </c>
    </row>
    <row r="22" spans="4:33" ht="15" customHeight="1" x14ac:dyDescent="0.15">
      <c r="D22">
        <v>21</v>
      </c>
      <c r="E22" s="163" t="s">
        <v>213</v>
      </c>
      <c r="F22">
        <v>0.98</v>
      </c>
      <c r="G22">
        <v>0.8</v>
      </c>
      <c r="H22">
        <v>0.8</v>
      </c>
      <c r="I22">
        <v>0.8</v>
      </c>
      <c r="J22" s="91">
        <v>0.25</v>
      </c>
      <c r="K22" s="91">
        <v>0.05</v>
      </c>
    </row>
    <row r="23" spans="4:33" ht="15" customHeight="1" x14ac:dyDescent="0.15">
      <c r="D23">
        <v>22</v>
      </c>
      <c r="E23" s="163" t="s">
        <v>214</v>
      </c>
      <c r="F23">
        <v>0.98</v>
      </c>
      <c r="G23">
        <v>0.8</v>
      </c>
      <c r="H23">
        <v>0.8</v>
      </c>
      <c r="I23">
        <v>0</v>
      </c>
      <c r="J23" s="91">
        <v>0</v>
      </c>
      <c r="K23" s="91">
        <v>0</v>
      </c>
    </row>
    <row r="24" spans="4:33" ht="15" customHeight="1" x14ac:dyDescent="0.15">
      <c r="D24">
        <v>23</v>
      </c>
      <c r="E24" s="163" t="s">
        <v>215</v>
      </c>
      <c r="F24">
        <v>0.98</v>
      </c>
      <c r="G24">
        <v>0.8</v>
      </c>
      <c r="H24">
        <v>0.8</v>
      </c>
      <c r="I24">
        <v>0</v>
      </c>
      <c r="J24" s="91">
        <v>0</v>
      </c>
      <c r="K24" s="91">
        <v>0</v>
      </c>
    </row>
    <row r="25" spans="4:33" ht="15" customHeight="1" x14ac:dyDescent="0.15">
      <c r="D25">
        <v>24</v>
      </c>
      <c r="E25" s="163" t="s">
        <v>216</v>
      </c>
      <c r="F25">
        <v>0.98</v>
      </c>
      <c r="G25">
        <v>0.8</v>
      </c>
      <c r="H25">
        <v>0</v>
      </c>
      <c r="I25">
        <v>0</v>
      </c>
      <c r="J25" s="91">
        <v>0</v>
      </c>
      <c r="K25" s="91">
        <v>0</v>
      </c>
    </row>
    <row r="26" spans="4:33" ht="15" customHeight="1" x14ac:dyDescent="0.15">
      <c r="D26">
        <v>25</v>
      </c>
      <c r="E26" s="163" t="s">
        <v>217</v>
      </c>
      <c r="F26">
        <v>0.98</v>
      </c>
      <c r="G26">
        <v>0.8</v>
      </c>
      <c r="H26">
        <v>0</v>
      </c>
      <c r="I26">
        <v>0</v>
      </c>
      <c r="J26" s="91">
        <v>0</v>
      </c>
      <c r="K26" s="91">
        <v>0</v>
      </c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9" width="3.83203125" style="89" customWidth="1"/>
    <col min="10" max="10" width="2.33203125" style="89" customWidth="1"/>
    <col min="11" max="11" width="3.83203125" style="89" customWidth="1"/>
    <col min="12" max="12" width="2.33203125" style="89" customWidth="1"/>
    <col min="13" max="22" width="3.83203125" style="89" customWidth="1"/>
    <col min="23" max="26" width="2.33203125" style="89" customWidth="1"/>
    <col min="27" max="16384" width="10.83203125" style="89"/>
  </cols>
  <sheetData>
    <row r="1" spans="1:30" x14ac:dyDescent="0.15">
      <c r="A1" s="56" t="s">
        <v>118</v>
      </c>
      <c r="B1" s="165" t="s">
        <v>193</v>
      </c>
      <c r="C1" s="165" t="s">
        <v>194</v>
      </c>
      <c r="D1" s="165" t="s">
        <v>195</v>
      </c>
      <c r="E1" s="165" t="s">
        <v>196</v>
      </c>
      <c r="F1" s="165" t="s">
        <v>197</v>
      </c>
      <c r="G1" s="165" t="s">
        <v>198</v>
      </c>
      <c r="H1" s="165" t="s">
        <v>199</v>
      </c>
      <c r="I1" s="165" t="s">
        <v>200</v>
      </c>
      <c r="J1" s="165" t="s">
        <v>201</v>
      </c>
      <c r="K1" s="165" t="s">
        <v>202</v>
      </c>
      <c r="L1" s="165" t="s">
        <v>203</v>
      </c>
      <c r="M1" s="165" t="s">
        <v>204</v>
      </c>
      <c r="N1" s="165" t="s">
        <v>205</v>
      </c>
      <c r="O1" s="165" t="s">
        <v>206</v>
      </c>
      <c r="P1" s="165" t="s">
        <v>207</v>
      </c>
      <c r="Q1" s="165" t="s">
        <v>208</v>
      </c>
      <c r="R1" s="165" t="s">
        <v>209</v>
      </c>
      <c r="S1" s="165" t="s">
        <v>210</v>
      </c>
      <c r="T1" s="165" t="s">
        <v>211</v>
      </c>
      <c r="U1" s="165" t="s">
        <v>212</v>
      </c>
      <c r="V1" s="165" t="s">
        <v>213</v>
      </c>
      <c r="W1" s="165" t="s">
        <v>214</v>
      </c>
      <c r="X1" s="165" t="s">
        <v>215</v>
      </c>
      <c r="Y1" s="165" t="s">
        <v>216</v>
      </c>
      <c r="Z1" s="165" t="s">
        <v>217</v>
      </c>
      <c r="AA1"/>
      <c r="AB1"/>
      <c r="AC1"/>
      <c r="AD1"/>
    </row>
    <row r="2" spans="1:30" customFormat="1" x14ac:dyDescent="0.15">
      <c r="A2" s="164" t="s">
        <v>193</v>
      </c>
      <c r="B2" s="89">
        <v>0</v>
      </c>
      <c r="C2" s="89">
        <v>0</v>
      </c>
      <c r="D2" s="89">
        <v>0</v>
      </c>
      <c r="E2" s="89">
        <v>0.8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89">
        <v>0</v>
      </c>
      <c r="L2" s="89">
        <v>0</v>
      </c>
      <c r="M2" s="89">
        <v>0</v>
      </c>
      <c r="N2" s="89">
        <v>0</v>
      </c>
      <c r="O2" s="89">
        <v>0</v>
      </c>
      <c r="P2" s="89">
        <v>0</v>
      </c>
      <c r="Q2" s="89">
        <v>0</v>
      </c>
      <c r="R2" s="89">
        <v>0</v>
      </c>
      <c r="S2" s="89">
        <v>0</v>
      </c>
      <c r="T2" s="89">
        <v>0</v>
      </c>
      <c r="U2" s="89">
        <v>0</v>
      </c>
      <c r="V2" s="89">
        <v>0</v>
      </c>
      <c r="W2" s="89">
        <v>0</v>
      </c>
      <c r="X2" s="89">
        <v>0</v>
      </c>
      <c r="Y2" s="89">
        <v>0</v>
      </c>
      <c r="Z2" s="89">
        <v>0</v>
      </c>
    </row>
    <row r="3" spans="1:30" customFormat="1" x14ac:dyDescent="0.15">
      <c r="A3" s="164" t="s">
        <v>194</v>
      </c>
      <c r="B3" s="89">
        <v>0</v>
      </c>
      <c r="C3" s="89">
        <v>0</v>
      </c>
      <c r="D3" s="89">
        <v>0</v>
      </c>
      <c r="E3" s="89">
        <v>0.8</v>
      </c>
      <c r="F3" s="89">
        <v>0</v>
      </c>
      <c r="G3" s="89"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  <c r="N3" s="89">
        <v>0</v>
      </c>
      <c r="O3" s="89">
        <v>0</v>
      </c>
      <c r="P3" s="89">
        <v>0</v>
      </c>
      <c r="Q3" s="89">
        <v>0</v>
      </c>
      <c r="R3" s="89">
        <v>0</v>
      </c>
      <c r="S3" s="89">
        <v>0</v>
      </c>
      <c r="T3" s="89">
        <v>0</v>
      </c>
      <c r="U3" s="89">
        <v>0</v>
      </c>
      <c r="V3" s="89">
        <v>0</v>
      </c>
      <c r="W3" s="89">
        <v>0</v>
      </c>
      <c r="X3" s="89">
        <v>0</v>
      </c>
      <c r="Y3" s="89">
        <v>0</v>
      </c>
      <c r="Z3" s="89">
        <v>0</v>
      </c>
    </row>
    <row r="4" spans="1:30" customFormat="1" x14ac:dyDescent="0.15">
      <c r="A4" s="164" t="s">
        <v>195</v>
      </c>
      <c r="B4" s="89">
        <v>0</v>
      </c>
      <c r="C4" s="89">
        <v>0</v>
      </c>
      <c r="D4" s="89">
        <v>0</v>
      </c>
      <c r="E4" s="89">
        <v>0</v>
      </c>
      <c r="F4" s="89">
        <v>0.8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89">
        <v>0</v>
      </c>
      <c r="M4" s="89">
        <v>0</v>
      </c>
      <c r="N4" s="89">
        <v>0.8</v>
      </c>
      <c r="O4" s="89">
        <v>0</v>
      </c>
      <c r="P4" s="89">
        <v>0</v>
      </c>
      <c r="Q4" s="89">
        <v>0</v>
      </c>
      <c r="R4" s="89">
        <v>0</v>
      </c>
      <c r="S4" s="89">
        <v>0</v>
      </c>
      <c r="T4" s="89">
        <v>0</v>
      </c>
      <c r="U4" s="89">
        <v>0</v>
      </c>
      <c r="V4" s="89">
        <v>0</v>
      </c>
      <c r="W4" s="89">
        <v>0</v>
      </c>
      <c r="X4" s="89">
        <v>0</v>
      </c>
      <c r="Y4" s="89">
        <v>0</v>
      </c>
      <c r="Z4" s="89">
        <v>0</v>
      </c>
    </row>
    <row r="5" spans="1:30" customFormat="1" x14ac:dyDescent="0.15">
      <c r="A5" s="164" t="s">
        <v>196</v>
      </c>
      <c r="B5" s="89">
        <v>0</v>
      </c>
      <c r="C5" s="89">
        <v>0</v>
      </c>
      <c r="D5" s="89">
        <v>0</v>
      </c>
      <c r="E5" s="89">
        <v>0</v>
      </c>
      <c r="F5" s="89">
        <v>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  <c r="Q5" s="89">
        <v>0</v>
      </c>
      <c r="R5" s="89">
        <v>0</v>
      </c>
      <c r="S5" s="89">
        <v>0</v>
      </c>
      <c r="T5" s="89">
        <v>0</v>
      </c>
      <c r="U5" s="89">
        <v>0</v>
      </c>
      <c r="V5" s="89">
        <v>0</v>
      </c>
      <c r="W5" s="89">
        <v>0</v>
      </c>
      <c r="X5" s="89">
        <v>0</v>
      </c>
      <c r="Y5" s="89">
        <v>0</v>
      </c>
      <c r="Z5" s="89">
        <v>0</v>
      </c>
    </row>
    <row r="6" spans="1:30" customFormat="1" x14ac:dyDescent="0.15">
      <c r="A6" s="164" t="s">
        <v>197</v>
      </c>
      <c r="B6" s="89">
        <v>0</v>
      </c>
      <c r="C6" s="89">
        <v>0</v>
      </c>
      <c r="D6" s="89">
        <v>0</v>
      </c>
      <c r="E6" s="89">
        <v>0.8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  <c r="Q6" s="89">
        <v>0</v>
      </c>
      <c r="R6" s="89">
        <v>0</v>
      </c>
      <c r="S6" s="89">
        <v>0</v>
      </c>
      <c r="T6" s="89">
        <v>0</v>
      </c>
      <c r="U6" s="89">
        <v>0</v>
      </c>
      <c r="V6" s="89">
        <v>0</v>
      </c>
      <c r="W6" s="89">
        <v>0</v>
      </c>
      <c r="X6" s="89">
        <v>0</v>
      </c>
      <c r="Y6" s="89">
        <v>0</v>
      </c>
      <c r="Z6" s="89">
        <v>0</v>
      </c>
    </row>
    <row r="7" spans="1:30" customFormat="1" x14ac:dyDescent="0.15">
      <c r="A7" s="164" t="s">
        <v>198</v>
      </c>
      <c r="B7" s="89">
        <v>0.8</v>
      </c>
      <c r="C7" s="89">
        <v>0.8</v>
      </c>
      <c r="D7" s="89">
        <v>0</v>
      </c>
      <c r="E7" s="89">
        <v>0.8</v>
      </c>
      <c r="F7" s="89">
        <v>0.8</v>
      </c>
      <c r="G7" s="89">
        <v>0</v>
      </c>
      <c r="H7" s="89">
        <v>0</v>
      </c>
      <c r="I7" s="89">
        <v>0</v>
      </c>
      <c r="J7" s="89">
        <v>0</v>
      </c>
      <c r="K7" s="89">
        <v>0.8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</row>
    <row r="8" spans="1:30" customFormat="1" x14ac:dyDescent="0.15">
      <c r="A8" s="164" t="s">
        <v>199</v>
      </c>
      <c r="B8" s="89">
        <v>0</v>
      </c>
      <c r="C8" s="89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</row>
    <row r="9" spans="1:30" customFormat="1" x14ac:dyDescent="0.15">
      <c r="A9" s="164" t="s">
        <v>200</v>
      </c>
      <c r="B9" s="89">
        <v>0</v>
      </c>
      <c r="C9" s="89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</row>
    <row r="10" spans="1:30" customFormat="1" x14ac:dyDescent="0.15">
      <c r="A10" s="164" t="s">
        <v>201</v>
      </c>
      <c r="B10" s="89">
        <v>0</v>
      </c>
      <c r="C10" s="89">
        <v>0</v>
      </c>
      <c r="D10" s="89">
        <v>0.8</v>
      </c>
      <c r="E10" s="89">
        <v>0</v>
      </c>
      <c r="F10" s="89">
        <v>0</v>
      </c>
      <c r="G10" s="89">
        <v>0.8</v>
      </c>
      <c r="H10" s="89">
        <v>0.8</v>
      </c>
      <c r="I10" s="89">
        <v>0.8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0.8</v>
      </c>
      <c r="V10" s="89">
        <v>0.8</v>
      </c>
      <c r="W10" s="89">
        <v>0</v>
      </c>
      <c r="X10" s="89">
        <v>0</v>
      </c>
      <c r="Y10" s="89">
        <v>0</v>
      </c>
      <c r="Z10" s="89">
        <v>0</v>
      </c>
    </row>
    <row r="11" spans="1:30" customFormat="1" x14ac:dyDescent="0.15">
      <c r="A11" s="164" t="s">
        <v>202</v>
      </c>
      <c r="B11" s="89">
        <v>0.8</v>
      </c>
      <c r="C11" s="89">
        <v>0</v>
      </c>
      <c r="D11" s="89">
        <v>0</v>
      </c>
      <c r="E11" s="89">
        <v>0.8</v>
      </c>
      <c r="F11" s="89">
        <v>0.8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</row>
    <row r="12" spans="1:30" customFormat="1" x14ac:dyDescent="0.15">
      <c r="A12" s="164" t="s">
        <v>203</v>
      </c>
      <c r="B12" s="89">
        <v>0</v>
      </c>
      <c r="C12" s="89">
        <v>0</v>
      </c>
      <c r="D12" s="89">
        <v>0</v>
      </c>
      <c r="E12" s="89">
        <v>0</v>
      </c>
      <c r="F12" s="89">
        <v>0</v>
      </c>
      <c r="G12" s="89">
        <v>0.8</v>
      </c>
      <c r="H12" s="89">
        <v>0.8</v>
      </c>
      <c r="I12" s="89">
        <v>0.8</v>
      </c>
      <c r="J12" s="89">
        <v>0</v>
      </c>
      <c r="K12" s="89">
        <v>0</v>
      </c>
      <c r="L12" s="89">
        <v>0</v>
      </c>
      <c r="M12" s="89">
        <v>0</v>
      </c>
      <c r="N12" s="89">
        <v>0</v>
      </c>
      <c r="O12" s="89">
        <v>0</v>
      </c>
      <c r="P12" s="89">
        <v>0</v>
      </c>
      <c r="Q12" s="89">
        <v>0</v>
      </c>
      <c r="R12" s="89">
        <v>0</v>
      </c>
      <c r="S12" s="89">
        <v>0</v>
      </c>
      <c r="T12" s="89">
        <v>0.8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  <c r="Z12" s="89">
        <v>0</v>
      </c>
    </row>
    <row r="13" spans="1:30" customFormat="1" x14ac:dyDescent="0.15">
      <c r="A13" s="164" t="s">
        <v>204</v>
      </c>
      <c r="B13" s="89">
        <v>0</v>
      </c>
      <c r="C13" s="89">
        <v>0</v>
      </c>
      <c r="D13" s="89">
        <v>0</v>
      </c>
      <c r="E13" s="89">
        <v>0</v>
      </c>
      <c r="F13" s="89">
        <v>0</v>
      </c>
      <c r="G13" s="89">
        <v>0</v>
      </c>
      <c r="H13" s="89">
        <v>0</v>
      </c>
      <c r="I13" s="89">
        <v>0</v>
      </c>
      <c r="J13" s="89">
        <v>0</v>
      </c>
      <c r="K13" s="89">
        <v>0</v>
      </c>
      <c r="L13" s="89">
        <v>0</v>
      </c>
      <c r="M13" s="89">
        <v>0</v>
      </c>
      <c r="N13" s="89">
        <v>0</v>
      </c>
      <c r="O13" s="89">
        <v>0</v>
      </c>
      <c r="P13" s="89">
        <v>0</v>
      </c>
      <c r="Q13" s="89">
        <v>0</v>
      </c>
      <c r="R13" s="89">
        <v>0</v>
      </c>
      <c r="S13" s="89">
        <v>0</v>
      </c>
      <c r="T13" s="89">
        <v>0</v>
      </c>
      <c r="U13" s="89">
        <v>0</v>
      </c>
      <c r="V13" s="89">
        <v>0</v>
      </c>
      <c r="W13" s="89">
        <v>0</v>
      </c>
      <c r="X13" s="89">
        <v>0</v>
      </c>
      <c r="Y13" s="89">
        <v>0</v>
      </c>
      <c r="Z13" s="89">
        <v>0</v>
      </c>
    </row>
    <row r="14" spans="1:30" customFormat="1" x14ac:dyDescent="0.15">
      <c r="A14" s="164" t="s">
        <v>205</v>
      </c>
      <c r="B14" s="89">
        <v>0.8</v>
      </c>
      <c r="C14" s="89">
        <v>0</v>
      </c>
      <c r="D14" s="89">
        <v>0</v>
      </c>
      <c r="E14" s="89">
        <v>0.8</v>
      </c>
      <c r="F14" s="89">
        <v>0.8</v>
      </c>
      <c r="G14" s="89">
        <v>0</v>
      </c>
      <c r="H14" s="89">
        <v>0</v>
      </c>
      <c r="I14" s="89">
        <v>0</v>
      </c>
      <c r="J14" s="89">
        <v>0</v>
      </c>
      <c r="K14" s="89">
        <v>0.8</v>
      </c>
      <c r="L14" s="89">
        <v>0</v>
      </c>
      <c r="M14" s="89">
        <v>0</v>
      </c>
      <c r="N14" s="89">
        <v>0</v>
      </c>
      <c r="O14" s="89">
        <v>0</v>
      </c>
      <c r="P14" s="89">
        <v>0</v>
      </c>
      <c r="Q14" s="89">
        <v>0</v>
      </c>
      <c r="R14" s="89">
        <v>0</v>
      </c>
      <c r="S14" s="89">
        <v>0</v>
      </c>
      <c r="T14" s="89">
        <v>0</v>
      </c>
      <c r="U14" s="89">
        <v>0</v>
      </c>
      <c r="V14" s="89">
        <v>0</v>
      </c>
      <c r="W14" s="89">
        <v>0</v>
      </c>
      <c r="X14" s="89">
        <v>0</v>
      </c>
      <c r="Y14" s="89">
        <v>0</v>
      </c>
      <c r="Z14" s="89">
        <v>0</v>
      </c>
    </row>
    <row r="15" spans="1:30" customFormat="1" x14ac:dyDescent="0.15">
      <c r="A15" s="164" t="s">
        <v>206</v>
      </c>
      <c r="B15" s="89">
        <v>0.8</v>
      </c>
      <c r="C15" s="89">
        <v>0</v>
      </c>
      <c r="D15" s="89">
        <v>0</v>
      </c>
      <c r="E15" s="89">
        <v>0</v>
      </c>
      <c r="F15" s="89">
        <v>0.8</v>
      </c>
      <c r="G15" s="89">
        <v>0</v>
      </c>
      <c r="H15" s="89">
        <v>0</v>
      </c>
      <c r="I15" s="89">
        <v>0</v>
      </c>
      <c r="J15" s="89">
        <v>0</v>
      </c>
      <c r="K15" s="89">
        <v>0.8</v>
      </c>
      <c r="L15" s="89">
        <v>0</v>
      </c>
      <c r="M15" s="89">
        <v>0</v>
      </c>
      <c r="N15" s="89">
        <v>0</v>
      </c>
      <c r="O15" s="89">
        <v>0</v>
      </c>
      <c r="P15" s="89">
        <v>0</v>
      </c>
      <c r="Q15" s="89">
        <v>0</v>
      </c>
      <c r="R15" s="89">
        <v>0</v>
      </c>
      <c r="S15" s="89">
        <v>0</v>
      </c>
      <c r="T15" s="89">
        <v>0</v>
      </c>
      <c r="U15" s="89">
        <v>0</v>
      </c>
      <c r="V15" s="89">
        <v>0</v>
      </c>
      <c r="W15" s="89">
        <v>0</v>
      </c>
      <c r="X15" s="89">
        <v>0</v>
      </c>
      <c r="Y15" s="89">
        <v>0</v>
      </c>
      <c r="Z15" s="89">
        <v>0</v>
      </c>
    </row>
    <row r="16" spans="1:30" customFormat="1" x14ac:dyDescent="0.15">
      <c r="A16" s="164" t="s">
        <v>207</v>
      </c>
      <c r="B16" s="89">
        <v>0</v>
      </c>
      <c r="C16" s="89">
        <v>0</v>
      </c>
      <c r="D16" s="89">
        <v>0</v>
      </c>
      <c r="E16" s="89">
        <v>0.8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  <c r="Q16" s="89">
        <v>0</v>
      </c>
      <c r="R16" s="89">
        <v>0</v>
      </c>
      <c r="S16" s="89">
        <v>0</v>
      </c>
      <c r="T16" s="89">
        <v>0</v>
      </c>
      <c r="U16" s="89">
        <v>0</v>
      </c>
      <c r="V16" s="89">
        <v>0</v>
      </c>
      <c r="W16" s="89">
        <v>0</v>
      </c>
      <c r="X16" s="89">
        <v>0</v>
      </c>
      <c r="Y16" s="89">
        <v>0</v>
      </c>
      <c r="Z16" s="89">
        <v>0</v>
      </c>
    </row>
    <row r="17" spans="1:26" customFormat="1" x14ac:dyDescent="0.15">
      <c r="A17" s="164" t="s">
        <v>208</v>
      </c>
      <c r="B17" s="89">
        <v>0</v>
      </c>
      <c r="C17" s="89">
        <v>0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  <c r="L17" s="89">
        <v>0</v>
      </c>
      <c r="M17" s="89">
        <v>0</v>
      </c>
      <c r="N17" s="89">
        <v>0</v>
      </c>
      <c r="O17" s="89">
        <v>0</v>
      </c>
      <c r="P17" s="89">
        <v>0</v>
      </c>
      <c r="Q17" s="89">
        <v>0</v>
      </c>
      <c r="R17" s="89">
        <v>0</v>
      </c>
      <c r="S17" s="89">
        <v>0</v>
      </c>
      <c r="T17" s="89">
        <v>0</v>
      </c>
      <c r="U17" s="89">
        <v>0</v>
      </c>
      <c r="V17" s="89">
        <v>0</v>
      </c>
      <c r="W17" s="89">
        <v>0</v>
      </c>
      <c r="X17" s="89">
        <v>0</v>
      </c>
      <c r="Y17" s="89">
        <v>0</v>
      </c>
      <c r="Z17" s="89">
        <v>0</v>
      </c>
    </row>
    <row r="18" spans="1:26" customFormat="1" x14ac:dyDescent="0.15">
      <c r="A18" s="164" t="s">
        <v>209</v>
      </c>
      <c r="B18" s="89">
        <v>0</v>
      </c>
      <c r="C18" s="89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89">
        <v>0</v>
      </c>
      <c r="L18" s="89">
        <v>0</v>
      </c>
      <c r="M18" s="89">
        <v>0</v>
      </c>
      <c r="N18" s="89">
        <v>0</v>
      </c>
      <c r="O18" s="89">
        <v>0</v>
      </c>
      <c r="P18" s="89">
        <v>0</v>
      </c>
      <c r="Q18" s="89">
        <v>0</v>
      </c>
      <c r="R18" s="89">
        <v>0</v>
      </c>
      <c r="S18" s="89">
        <v>0</v>
      </c>
      <c r="T18" s="89">
        <v>0</v>
      </c>
      <c r="U18" s="89">
        <v>0</v>
      </c>
      <c r="V18" s="89">
        <v>0</v>
      </c>
      <c r="W18" s="89">
        <v>0</v>
      </c>
      <c r="X18" s="89">
        <v>0</v>
      </c>
      <c r="Y18" s="89">
        <v>0</v>
      </c>
      <c r="Z18" s="89">
        <v>0</v>
      </c>
    </row>
    <row r="19" spans="1:26" customFormat="1" x14ac:dyDescent="0.15">
      <c r="A19" s="164" t="s">
        <v>210</v>
      </c>
      <c r="B19" s="89">
        <v>0.8</v>
      </c>
      <c r="C19" s="89">
        <v>0.8</v>
      </c>
      <c r="D19" s="89">
        <v>0</v>
      </c>
      <c r="E19" s="89">
        <v>0</v>
      </c>
      <c r="F19" s="89">
        <v>0.8</v>
      </c>
      <c r="G19" s="89">
        <v>0</v>
      </c>
      <c r="H19" s="89">
        <v>0</v>
      </c>
      <c r="I19" s="89">
        <v>0</v>
      </c>
      <c r="J19" s="89">
        <v>0</v>
      </c>
      <c r="K19" s="89">
        <v>0.8</v>
      </c>
      <c r="L19" s="89">
        <v>0</v>
      </c>
      <c r="M19" s="89">
        <v>0.8</v>
      </c>
      <c r="N19" s="89">
        <v>0.8</v>
      </c>
      <c r="O19" s="89">
        <v>0.8</v>
      </c>
      <c r="P19" s="89">
        <v>0</v>
      </c>
      <c r="Q19" s="89">
        <v>0</v>
      </c>
      <c r="R19" s="89">
        <v>0</v>
      </c>
      <c r="S19" s="89">
        <v>0</v>
      </c>
      <c r="T19" s="89">
        <v>0</v>
      </c>
      <c r="U19" s="89">
        <v>0</v>
      </c>
      <c r="V19" s="89">
        <v>0</v>
      </c>
      <c r="W19" s="89">
        <v>0</v>
      </c>
      <c r="X19" s="89">
        <v>0</v>
      </c>
      <c r="Y19" s="89">
        <v>0</v>
      </c>
      <c r="Z19" s="89">
        <v>0</v>
      </c>
    </row>
    <row r="20" spans="1:26" customFormat="1" x14ac:dyDescent="0.15">
      <c r="A20" s="164" t="s">
        <v>211</v>
      </c>
      <c r="B20" s="89">
        <v>0</v>
      </c>
      <c r="C20" s="89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89">
        <v>0</v>
      </c>
      <c r="L20" s="89">
        <v>0</v>
      </c>
      <c r="M20" s="89">
        <v>0</v>
      </c>
      <c r="N20" s="89">
        <v>0.8</v>
      </c>
      <c r="O20" s="89">
        <v>0.8</v>
      </c>
      <c r="P20" s="89">
        <v>0.8</v>
      </c>
      <c r="Q20" s="89">
        <v>0</v>
      </c>
      <c r="R20" s="89">
        <v>0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  <c r="X20" s="89">
        <v>0</v>
      </c>
      <c r="Y20" s="89">
        <v>0</v>
      </c>
      <c r="Z20" s="89">
        <v>0</v>
      </c>
    </row>
    <row r="21" spans="1:26" customFormat="1" x14ac:dyDescent="0.15">
      <c r="A21" s="164" t="s">
        <v>212</v>
      </c>
      <c r="B21" s="89">
        <v>0</v>
      </c>
      <c r="C21" s="89">
        <v>0.8</v>
      </c>
      <c r="D21" s="89">
        <v>0</v>
      </c>
      <c r="E21" s="89">
        <v>0</v>
      </c>
      <c r="F21" s="89">
        <v>0</v>
      </c>
      <c r="G21" s="89">
        <v>0</v>
      </c>
      <c r="H21" s="89">
        <v>0</v>
      </c>
      <c r="I21" s="89">
        <v>0</v>
      </c>
      <c r="J21" s="89">
        <v>0</v>
      </c>
      <c r="K21" s="89">
        <v>0</v>
      </c>
      <c r="L21" s="89">
        <v>0</v>
      </c>
      <c r="M21" s="89">
        <v>0.8</v>
      </c>
      <c r="N21" s="89">
        <v>0.8</v>
      </c>
      <c r="O21" s="89">
        <v>0</v>
      </c>
      <c r="P21" s="89">
        <v>0</v>
      </c>
      <c r="Q21" s="89">
        <v>0</v>
      </c>
      <c r="R21" s="89">
        <v>0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  <c r="X21" s="89">
        <v>0</v>
      </c>
      <c r="Y21" s="89">
        <v>0</v>
      </c>
      <c r="Z21" s="89">
        <v>0</v>
      </c>
    </row>
    <row r="22" spans="1:26" customFormat="1" x14ac:dyDescent="0.15">
      <c r="A22" s="164" t="s">
        <v>213</v>
      </c>
      <c r="B22" s="89">
        <v>0</v>
      </c>
      <c r="C22" s="89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89">
        <v>0</v>
      </c>
      <c r="L22" s="89">
        <v>0</v>
      </c>
      <c r="M22" s="89">
        <v>0</v>
      </c>
      <c r="N22" s="89">
        <v>0</v>
      </c>
      <c r="O22" s="89">
        <v>0</v>
      </c>
      <c r="P22" s="89">
        <v>0</v>
      </c>
      <c r="Q22" s="89">
        <v>0</v>
      </c>
      <c r="R22" s="89">
        <v>0</v>
      </c>
      <c r="S22" s="89">
        <v>0</v>
      </c>
      <c r="T22" s="89">
        <v>0</v>
      </c>
      <c r="U22" s="89">
        <v>0</v>
      </c>
      <c r="V22" s="89">
        <v>0</v>
      </c>
      <c r="W22" s="89">
        <v>0</v>
      </c>
      <c r="X22" s="89">
        <v>0</v>
      </c>
      <c r="Y22" s="89">
        <v>0</v>
      </c>
      <c r="Z22" s="89">
        <v>0</v>
      </c>
    </row>
    <row r="23" spans="1:26" customFormat="1" x14ac:dyDescent="0.15">
      <c r="A23" s="164" t="s">
        <v>214</v>
      </c>
      <c r="B23" s="89">
        <v>0</v>
      </c>
      <c r="C23" s="89">
        <v>0.8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  <c r="L23" s="89">
        <v>0</v>
      </c>
      <c r="M23" s="89">
        <v>0</v>
      </c>
      <c r="N23" s="89">
        <v>0</v>
      </c>
      <c r="O23" s="89">
        <v>0</v>
      </c>
      <c r="P23" s="89">
        <v>0</v>
      </c>
      <c r="Q23" s="89">
        <v>0.8</v>
      </c>
      <c r="R23" s="89">
        <v>0.8</v>
      </c>
      <c r="S23" s="89">
        <v>0</v>
      </c>
      <c r="T23" s="89">
        <v>0</v>
      </c>
      <c r="U23" s="89">
        <v>0</v>
      </c>
      <c r="V23" s="89">
        <v>0</v>
      </c>
      <c r="W23" s="89">
        <v>0</v>
      </c>
      <c r="X23" s="89">
        <v>0</v>
      </c>
      <c r="Y23" s="89">
        <v>0</v>
      </c>
      <c r="Z23" s="89">
        <v>0</v>
      </c>
    </row>
    <row r="24" spans="1:26" customFormat="1" x14ac:dyDescent="0.15">
      <c r="A24" s="164" t="s">
        <v>215</v>
      </c>
      <c r="B24" s="89">
        <v>0</v>
      </c>
      <c r="C24" s="89">
        <v>0</v>
      </c>
      <c r="D24" s="89">
        <v>0.8</v>
      </c>
      <c r="E24" s="89">
        <v>0</v>
      </c>
      <c r="F24" s="89">
        <v>0</v>
      </c>
      <c r="G24" s="89">
        <v>0.8</v>
      </c>
      <c r="H24" s="89">
        <v>0.8</v>
      </c>
      <c r="I24" s="89">
        <v>0.8</v>
      </c>
      <c r="J24" s="89">
        <v>0</v>
      </c>
      <c r="K24" s="89">
        <v>0</v>
      </c>
      <c r="L24" s="89">
        <v>0</v>
      </c>
      <c r="M24" s="89">
        <v>0</v>
      </c>
      <c r="N24" s="89">
        <v>0</v>
      </c>
      <c r="O24" s="89">
        <v>0</v>
      </c>
      <c r="P24" s="89">
        <v>0.8</v>
      </c>
      <c r="Q24" s="89">
        <v>0</v>
      </c>
      <c r="R24" s="89">
        <v>0</v>
      </c>
      <c r="S24" s="89">
        <v>0.8</v>
      </c>
      <c r="T24" s="89">
        <v>0.8</v>
      </c>
      <c r="U24" s="89">
        <v>0.8</v>
      </c>
      <c r="V24" s="89">
        <v>0.8</v>
      </c>
      <c r="W24" s="89">
        <v>0</v>
      </c>
      <c r="X24" s="89">
        <v>0</v>
      </c>
      <c r="Y24" s="89">
        <v>0</v>
      </c>
      <c r="Z24" s="89">
        <v>0</v>
      </c>
    </row>
    <row r="25" spans="1:26" customFormat="1" x14ac:dyDescent="0.15">
      <c r="A25" s="164" t="s">
        <v>216</v>
      </c>
      <c r="B25" s="89">
        <v>0</v>
      </c>
      <c r="C25" s="89">
        <v>0.8</v>
      </c>
      <c r="D25" s="89">
        <v>0.8</v>
      </c>
      <c r="E25" s="89">
        <v>0</v>
      </c>
      <c r="F25" s="89">
        <v>0.8</v>
      </c>
      <c r="G25" s="89">
        <v>0.8</v>
      </c>
      <c r="H25" s="89">
        <v>0.8</v>
      </c>
      <c r="I25" s="89">
        <v>0.8</v>
      </c>
      <c r="J25" s="89">
        <v>0</v>
      </c>
      <c r="K25" s="89">
        <v>0</v>
      </c>
      <c r="L25" s="89">
        <v>0</v>
      </c>
      <c r="M25" s="89">
        <v>0</v>
      </c>
      <c r="N25" s="89">
        <v>0</v>
      </c>
      <c r="O25" s="89">
        <v>0.8</v>
      </c>
      <c r="P25" s="89">
        <v>0.8</v>
      </c>
      <c r="Q25" s="89">
        <v>0</v>
      </c>
      <c r="R25" s="89">
        <v>0</v>
      </c>
      <c r="S25" s="89">
        <v>0.8</v>
      </c>
      <c r="T25" s="89">
        <v>0.8</v>
      </c>
      <c r="U25" s="89">
        <v>0.8</v>
      </c>
      <c r="V25" s="89">
        <v>0.8</v>
      </c>
      <c r="W25" s="89">
        <v>0</v>
      </c>
      <c r="X25" s="89">
        <v>0</v>
      </c>
      <c r="Y25" s="89">
        <v>0</v>
      </c>
      <c r="Z25" s="89">
        <v>0</v>
      </c>
    </row>
    <row r="26" spans="1:26" customFormat="1" x14ac:dyDescent="0.15">
      <c r="A26" s="164" t="s">
        <v>217</v>
      </c>
      <c r="B26" s="89">
        <v>0</v>
      </c>
      <c r="C26" s="89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89">
        <v>0</v>
      </c>
      <c r="L26" s="89">
        <v>0</v>
      </c>
      <c r="M26" s="89">
        <v>0</v>
      </c>
      <c r="N26" s="89">
        <v>0</v>
      </c>
      <c r="O26" s="89">
        <v>0</v>
      </c>
      <c r="P26" s="89">
        <v>0</v>
      </c>
      <c r="Q26" s="89">
        <v>0</v>
      </c>
      <c r="R26" s="89">
        <v>0</v>
      </c>
      <c r="S26" s="89">
        <v>0</v>
      </c>
      <c r="T26" s="89">
        <v>0</v>
      </c>
      <c r="U26" s="89">
        <v>0</v>
      </c>
      <c r="V26" s="89">
        <v>0</v>
      </c>
      <c r="W26" s="89">
        <v>0</v>
      </c>
      <c r="X26" s="89">
        <v>0</v>
      </c>
      <c r="Y26" s="89">
        <v>0</v>
      </c>
      <c r="Z26" s="89">
        <v>0</v>
      </c>
    </row>
    <row r="27" spans="1:26" customFormat="1" x14ac:dyDescent="0.15">
      <c r="A27" s="164" t="s">
        <v>224</v>
      </c>
      <c r="B27" s="89">
        <v>0.8</v>
      </c>
      <c r="C27" s="89">
        <v>0</v>
      </c>
      <c r="D27" s="89">
        <v>0</v>
      </c>
      <c r="E27" s="89">
        <v>0</v>
      </c>
      <c r="F27" s="89">
        <v>0</v>
      </c>
      <c r="G27" s="89">
        <v>0</v>
      </c>
      <c r="H27" s="89">
        <v>0</v>
      </c>
      <c r="I27" s="89">
        <v>0</v>
      </c>
      <c r="J27" s="89">
        <v>0</v>
      </c>
      <c r="K27" s="89">
        <v>0</v>
      </c>
      <c r="L27" s="89">
        <v>0</v>
      </c>
      <c r="M27" s="89">
        <v>0</v>
      </c>
      <c r="N27" s="89">
        <v>0</v>
      </c>
      <c r="O27" s="89">
        <v>0</v>
      </c>
      <c r="P27" s="89">
        <v>0</v>
      </c>
      <c r="Q27" s="89">
        <v>0.8</v>
      </c>
      <c r="R27" s="89">
        <v>0.8</v>
      </c>
      <c r="S27" s="89">
        <v>0</v>
      </c>
      <c r="T27" s="89">
        <v>0</v>
      </c>
      <c r="U27" s="89">
        <v>0</v>
      </c>
      <c r="V27" s="89">
        <v>0</v>
      </c>
      <c r="W27" s="89">
        <v>0</v>
      </c>
      <c r="X27" s="89">
        <v>0</v>
      </c>
      <c r="Y27" s="89">
        <v>0</v>
      </c>
      <c r="Z27" s="89">
        <v>0</v>
      </c>
    </row>
    <row r="28" spans="1:26" customFormat="1" x14ac:dyDescent="0.15"/>
    <row r="29" spans="1:26" customFormat="1" x14ac:dyDescent="0.15"/>
    <row r="30" spans="1:26" customFormat="1" x14ac:dyDescent="0.15"/>
    <row r="31" spans="1:26" customFormat="1" x14ac:dyDescent="0.15"/>
    <row r="32" spans="1:26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26" width="2.33203125" style="89" customWidth="1"/>
    <col min="27" max="16384" width="10.83203125" style="89"/>
  </cols>
  <sheetData>
    <row r="1" spans="1:31" x14ac:dyDescent="0.15">
      <c r="A1" s="56" t="s">
        <v>139</v>
      </c>
      <c r="B1" s="167" t="s">
        <v>193</v>
      </c>
      <c r="C1" s="167" t="s">
        <v>194</v>
      </c>
      <c r="D1" s="167" t="s">
        <v>195</v>
      </c>
      <c r="E1" s="167" t="s">
        <v>196</v>
      </c>
      <c r="F1" s="167" t="s">
        <v>197</v>
      </c>
      <c r="G1" s="167" t="s">
        <v>198</v>
      </c>
      <c r="H1" s="167" t="s">
        <v>199</v>
      </c>
      <c r="I1" s="167" t="s">
        <v>200</v>
      </c>
      <c r="J1" s="167" t="s">
        <v>201</v>
      </c>
      <c r="K1" s="167" t="s">
        <v>202</v>
      </c>
      <c r="L1" s="167" t="s">
        <v>203</v>
      </c>
      <c r="M1" s="167" t="s">
        <v>204</v>
      </c>
      <c r="N1" s="167" t="s">
        <v>205</v>
      </c>
      <c r="O1" s="167" t="s">
        <v>206</v>
      </c>
      <c r="P1" s="167" t="s">
        <v>207</v>
      </c>
      <c r="Q1" s="167" t="s">
        <v>208</v>
      </c>
      <c r="R1" s="167" t="s">
        <v>209</v>
      </c>
      <c r="S1" s="167" t="s">
        <v>210</v>
      </c>
      <c r="T1" s="167" t="s">
        <v>211</v>
      </c>
      <c r="U1" s="167" t="s">
        <v>212</v>
      </c>
      <c r="V1" s="167" t="s">
        <v>213</v>
      </c>
      <c r="W1" s="167" t="s">
        <v>214</v>
      </c>
      <c r="X1" s="167" t="s">
        <v>215</v>
      </c>
      <c r="Y1" s="167" t="s">
        <v>216</v>
      </c>
      <c r="Z1" s="167" t="s">
        <v>217</v>
      </c>
      <c r="AA1"/>
      <c r="AB1"/>
      <c r="AC1"/>
      <c r="AD1"/>
      <c r="AE1"/>
    </row>
    <row r="2" spans="1:31" customFormat="1" x14ac:dyDescent="0.15">
      <c r="A2" s="166" t="s">
        <v>193</v>
      </c>
      <c r="B2" s="89">
        <v>0</v>
      </c>
      <c r="C2" s="89">
        <v>0</v>
      </c>
      <c r="D2" s="89">
        <v>0</v>
      </c>
      <c r="E2" s="89">
        <v>1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89">
        <v>0</v>
      </c>
      <c r="L2" s="89">
        <v>0</v>
      </c>
      <c r="M2" s="89">
        <v>0</v>
      </c>
      <c r="N2" s="89">
        <v>0</v>
      </c>
      <c r="O2" s="89">
        <v>0</v>
      </c>
      <c r="P2" s="89">
        <v>0</v>
      </c>
      <c r="Q2" s="89">
        <v>0</v>
      </c>
      <c r="R2" s="89">
        <v>0</v>
      </c>
      <c r="S2" s="89">
        <v>0</v>
      </c>
      <c r="T2" s="89">
        <v>0</v>
      </c>
      <c r="U2" s="89">
        <v>0</v>
      </c>
      <c r="V2" s="89">
        <v>0</v>
      </c>
      <c r="W2" s="89">
        <v>0</v>
      </c>
      <c r="X2" s="89">
        <v>0</v>
      </c>
      <c r="Y2" s="89">
        <v>0</v>
      </c>
      <c r="Z2" s="89">
        <v>0</v>
      </c>
    </row>
    <row r="3" spans="1:31" customFormat="1" x14ac:dyDescent="0.15">
      <c r="A3" s="166" t="s">
        <v>194</v>
      </c>
      <c r="B3" s="89">
        <v>0</v>
      </c>
      <c r="C3" s="89">
        <v>0</v>
      </c>
      <c r="D3" s="89">
        <v>0</v>
      </c>
      <c r="E3" s="89">
        <v>1</v>
      </c>
      <c r="F3" s="89">
        <v>0</v>
      </c>
      <c r="G3" s="89"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  <c r="N3" s="89">
        <v>0</v>
      </c>
      <c r="O3" s="89">
        <v>0</v>
      </c>
      <c r="P3" s="89">
        <v>0</v>
      </c>
      <c r="Q3" s="89">
        <v>0</v>
      </c>
      <c r="R3" s="89">
        <v>0</v>
      </c>
      <c r="S3" s="89">
        <v>0</v>
      </c>
      <c r="T3" s="89">
        <v>0</v>
      </c>
      <c r="U3" s="89">
        <v>0</v>
      </c>
      <c r="V3" s="89">
        <v>0</v>
      </c>
      <c r="W3" s="89">
        <v>0</v>
      </c>
      <c r="X3" s="89">
        <v>0</v>
      </c>
      <c r="Y3" s="89">
        <v>0</v>
      </c>
      <c r="Z3" s="89">
        <v>0</v>
      </c>
    </row>
    <row r="4" spans="1:31" customFormat="1" x14ac:dyDescent="0.15">
      <c r="A4" s="166" t="s">
        <v>195</v>
      </c>
      <c r="B4" s="89">
        <v>0</v>
      </c>
      <c r="C4" s="89">
        <v>0</v>
      </c>
      <c r="D4" s="89">
        <v>0</v>
      </c>
      <c r="E4" s="89">
        <v>0</v>
      </c>
      <c r="F4" s="89">
        <v>1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89">
        <v>0</v>
      </c>
      <c r="M4" s="89">
        <v>0</v>
      </c>
      <c r="N4" s="89">
        <v>1</v>
      </c>
      <c r="O4" s="89">
        <v>0</v>
      </c>
      <c r="P4" s="89">
        <v>0</v>
      </c>
      <c r="Q4" s="89">
        <v>0</v>
      </c>
      <c r="R4" s="89">
        <v>0</v>
      </c>
      <c r="S4" s="89">
        <v>0</v>
      </c>
      <c r="T4" s="89">
        <v>0</v>
      </c>
      <c r="U4" s="89">
        <v>0</v>
      </c>
      <c r="V4" s="89">
        <v>0</v>
      </c>
      <c r="W4" s="89">
        <v>0</v>
      </c>
      <c r="X4" s="89">
        <v>0</v>
      </c>
      <c r="Y4" s="89">
        <v>0</v>
      </c>
      <c r="Z4" s="89">
        <v>0</v>
      </c>
    </row>
    <row r="5" spans="1:31" customFormat="1" x14ac:dyDescent="0.15">
      <c r="A5" s="166" t="s">
        <v>196</v>
      </c>
      <c r="B5" s="89">
        <v>0</v>
      </c>
      <c r="C5" s="89">
        <v>0</v>
      </c>
      <c r="D5" s="89">
        <v>0</v>
      </c>
      <c r="E5" s="89">
        <v>0</v>
      </c>
      <c r="F5" s="89">
        <v>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  <c r="Q5" s="89">
        <v>0</v>
      </c>
      <c r="R5" s="89">
        <v>0</v>
      </c>
      <c r="S5" s="89">
        <v>0</v>
      </c>
      <c r="T5" s="89">
        <v>0</v>
      </c>
      <c r="U5" s="89">
        <v>0</v>
      </c>
      <c r="V5" s="89">
        <v>0</v>
      </c>
      <c r="W5" s="89">
        <v>0</v>
      </c>
      <c r="X5" s="89">
        <v>0</v>
      </c>
      <c r="Y5" s="89">
        <v>0</v>
      </c>
      <c r="Z5" s="89">
        <v>0</v>
      </c>
    </row>
    <row r="6" spans="1:31" customFormat="1" x14ac:dyDescent="0.15">
      <c r="A6" s="166" t="s">
        <v>197</v>
      </c>
      <c r="B6" s="89">
        <v>0</v>
      </c>
      <c r="C6" s="89">
        <v>0</v>
      </c>
      <c r="D6" s="89">
        <v>0</v>
      </c>
      <c r="E6" s="89">
        <v>1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  <c r="Q6" s="89">
        <v>0</v>
      </c>
      <c r="R6" s="89">
        <v>0</v>
      </c>
      <c r="S6" s="89">
        <v>0</v>
      </c>
      <c r="T6" s="89">
        <v>0</v>
      </c>
      <c r="U6" s="89">
        <v>0</v>
      </c>
      <c r="V6" s="89">
        <v>0</v>
      </c>
      <c r="W6" s="89">
        <v>0</v>
      </c>
      <c r="X6" s="89">
        <v>0</v>
      </c>
      <c r="Y6" s="89">
        <v>0</v>
      </c>
      <c r="Z6" s="89">
        <v>0</v>
      </c>
    </row>
    <row r="7" spans="1:31" customFormat="1" x14ac:dyDescent="0.15">
      <c r="A7" s="166" t="s">
        <v>198</v>
      </c>
      <c r="B7" s="89">
        <v>1</v>
      </c>
      <c r="C7" s="89">
        <v>1</v>
      </c>
      <c r="D7" s="89">
        <v>0</v>
      </c>
      <c r="E7" s="89">
        <v>1</v>
      </c>
      <c r="F7" s="89">
        <v>1</v>
      </c>
      <c r="G7" s="89">
        <v>0</v>
      </c>
      <c r="H7" s="89">
        <v>0</v>
      </c>
      <c r="I7" s="89">
        <v>0</v>
      </c>
      <c r="J7" s="89">
        <v>0</v>
      </c>
      <c r="K7" s="89">
        <v>1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</row>
    <row r="8" spans="1:31" customFormat="1" x14ac:dyDescent="0.15">
      <c r="A8" s="166" t="s">
        <v>199</v>
      </c>
      <c r="B8" s="89">
        <v>0</v>
      </c>
      <c r="C8" s="89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</row>
    <row r="9" spans="1:31" customFormat="1" x14ac:dyDescent="0.15">
      <c r="A9" s="166" t="s">
        <v>200</v>
      </c>
      <c r="B9" s="89">
        <v>0</v>
      </c>
      <c r="C9" s="89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</row>
    <row r="10" spans="1:31" customFormat="1" x14ac:dyDescent="0.15">
      <c r="A10" s="166" t="s">
        <v>201</v>
      </c>
      <c r="B10" s="89">
        <v>0</v>
      </c>
      <c r="C10" s="89">
        <v>0</v>
      </c>
      <c r="D10" s="89">
        <v>1</v>
      </c>
      <c r="E10" s="89">
        <v>0</v>
      </c>
      <c r="F10" s="89">
        <v>0</v>
      </c>
      <c r="G10" s="89">
        <v>1</v>
      </c>
      <c r="H10" s="89">
        <v>1</v>
      </c>
      <c r="I10" s="89">
        <v>1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1</v>
      </c>
      <c r="V10" s="89">
        <v>1</v>
      </c>
      <c r="W10" s="89">
        <v>0</v>
      </c>
      <c r="X10" s="89">
        <v>0</v>
      </c>
      <c r="Y10" s="89">
        <v>0</v>
      </c>
      <c r="Z10" s="89">
        <v>0</v>
      </c>
    </row>
    <row r="11" spans="1:31" customFormat="1" x14ac:dyDescent="0.15">
      <c r="A11" s="166" t="s">
        <v>202</v>
      </c>
      <c r="B11" s="89">
        <v>1</v>
      </c>
      <c r="C11" s="89">
        <v>0</v>
      </c>
      <c r="D11" s="89">
        <v>0</v>
      </c>
      <c r="E11" s="89">
        <v>1</v>
      </c>
      <c r="F11" s="89">
        <v>1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</row>
    <row r="12" spans="1:31" customFormat="1" x14ac:dyDescent="0.15">
      <c r="A12" s="166" t="s">
        <v>203</v>
      </c>
      <c r="B12" s="89">
        <v>0</v>
      </c>
      <c r="C12" s="89">
        <v>0</v>
      </c>
      <c r="D12" s="89">
        <v>0</v>
      </c>
      <c r="E12" s="89">
        <v>0</v>
      </c>
      <c r="F12" s="89">
        <v>0</v>
      </c>
      <c r="G12" s="89">
        <v>1</v>
      </c>
      <c r="H12" s="89">
        <v>1</v>
      </c>
      <c r="I12" s="89">
        <v>1</v>
      </c>
      <c r="J12" s="89">
        <v>0</v>
      </c>
      <c r="K12" s="89">
        <v>0</v>
      </c>
      <c r="L12" s="89">
        <v>0</v>
      </c>
      <c r="M12" s="89">
        <v>0</v>
      </c>
      <c r="N12" s="89">
        <v>0</v>
      </c>
      <c r="O12" s="89">
        <v>0</v>
      </c>
      <c r="P12" s="89">
        <v>0</v>
      </c>
      <c r="Q12" s="89">
        <v>0</v>
      </c>
      <c r="R12" s="89">
        <v>0</v>
      </c>
      <c r="S12" s="89">
        <v>0</v>
      </c>
      <c r="T12" s="89">
        <v>1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  <c r="Z12" s="89">
        <v>0</v>
      </c>
    </row>
    <row r="13" spans="1:31" customFormat="1" x14ac:dyDescent="0.15">
      <c r="A13" s="166" t="s">
        <v>204</v>
      </c>
      <c r="B13" s="89">
        <v>0</v>
      </c>
      <c r="C13" s="89">
        <v>0</v>
      </c>
      <c r="D13" s="89">
        <v>0</v>
      </c>
      <c r="E13" s="89">
        <v>0</v>
      </c>
      <c r="F13" s="89">
        <v>0</v>
      </c>
      <c r="G13" s="89">
        <v>0</v>
      </c>
      <c r="H13" s="89">
        <v>0</v>
      </c>
      <c r="I13" s="89">
        <v>0</v>
      </c>
      <c r="J13" s="89">
        <v>0</v>
      </c>
      <c r="K13" s="89">
        <v>0</v>
      </c>
      <c r="L13" s="89">
        <v>0</v>
      </c>
      <c r="M13" s="89">
        <v>0</v>
      </c>
      <c r="N13" s="89">
        <v>0</v>
      </c>
      <c r="O13" s="89">
        <v>0</v>
      </c>
      <c r="P13" s="89">
        <v>0</v>
      </c>
      <c r="Q13" s="89">
        <v>0</v>
      </c>
      <c r="R13" s="89">
        <v>0</v>
      </c>
      <c r="S13" s="89">
        <v>0</v>
      </c>
      <c r="T13" s="89">
        <v>0</v>
      </c>
      <c r="U13" s="89">
        <v>0</v>
      </c>
      <c r="V13" s="89">
        <v>0</v>
      </c>
      <c r="W13" s="89">
        <v>0</v>
      </c>
      <c r="X13" s="89">
        <v>0</v>
      </c>
      <c r="Y13" s="89">
        <v>0</v>
      </c>
      <c r="Z13" s="89">
        <v>0</v>
      </c>
    </row>
    <row r="14" spans="1:31" customFormat="1" x14ac:dyDescent="0.15">
      <c r="A14" s="166" t="s">
        <v>205</v>
      </c>
      <c r="B14" s="89">
        <v>1</v>
      </c>
      <c r="C14" s="89">
        <v>0</v>
      </c>
      <c r="D14" s="89">
        <v>0</v>
      </c>
      <c r="E14" s="89">
        <v>1</v>
      </c>
      <c r="F14" s="89">
        <v>1</v>
      </c>
      <c r="G14" s="89">
        <v>0</v>
      </c>
      <c r="H14" s="89">
        <v>0</v>
      </c>
      <c r="I14" s="89">
        <v>0</v>
      </c>
      <c r="J14" s="89">
        <v>0</v>
      </c>
      <c r="K14" s="89">
        <v>1</v>
      </c>
      <c r="L14" s="89">
        <v>0</v>
      </c>
      <c r="M14" s="89">
        <v>0</v>
      </c>
      <c r="N14" s="89">
        <v>0</v>
      </c>
      <c r="O14" s="89">
        <v>0</v>
      </c>
      <c r="P14" s="89">
        <v>0</v>
      </c>
      <c r="Q14" s="89">
        <v>0</v>
      </c>
      <c r="R14" s="89">
        <v>0</v>
      </c>
      <c r="S14" s="89">
        <v>0</v>
      </c>
      <c r="T14" s="89">
        <v>0</v>
      </c>
      <c r="U14" s="89">
        <v>0</v>
      </c>
      <c r="V14" s="89">
        <v>0</v>
      </c>
      <c r="W14" s="89">
        <v>0</v>
      </c>
      <c r="X14" s="89">
        <v>0</v>
      </c>
      <c r="Y14" s="89">
        <v>0</v>
      </c>
      <c r="Z14" s="89">
        <v>0</v>
      </c>
    </row>
    <row r="15" spans="1:31" customFormat="1" x14ac:dyDescent="0.15">
      <c r="A15" s="166" t="s">
        <v>206</v>
      </c>
      <c r="B15" s="89">
        <v>1</v>
      </c>
      <c r="C15" s="89">
        <v>0</v>
      </c>
      <c r="D15" s="89">
        <v>0</v>
      </c>
      <c r="E15" s="89">
        <v>0</v>
      </c>
      <c r="F15" s="89">
        <v>1</v>
      </c>
      <c r="G15" s="89">
        <v>0</v>
      </c>
      <c r="H15" s="89">
        <v>0</v>
      </c>
      <c r="I15" s="89">
        <v>0</v>
      </c>
      <c r="J15" s="89">
        <v>0</v>
      </c>
      <c r="K15" s="89">
        <v>1</v>
      </c>
      <c r="L15" s="89">
        <v>0</v>
      </c>
      <c r="M15" s="89">
        <v>0</v>
      </c>
      <c r="N15" s="89">
        <v>0</v>
      </c>
      <c r="O15" s="89">
        <v>0</v>
      </c>
      <c r="P15" s="89">
        <v>0</v>
      </c>
      <c r="Q15" s="89">
        <v>0</v>
      </c>
      <c r="R15" s="89">
        <v>0</v>
      </c>
      <c r="S15" s="89">
        <v>0</v>
      </c>
      <c r="T15" s="89">
        <v>0</v>
      </c>
      <c r="U15" s="89">
        <v>0</v>
      </c>
      <c r="V15" s="89">
        <v>0</v>
      </c>
      <c r="W15" s="89">
        <v>0</v>
      </c>
      <c r="X15" s="89">
        <v>0</v>
      </c>
      <c r="Y15" s="89">
        <v>0</v>
      </c>
      <c r="Z15" s="89">
        <v>0</v>
      </c>
    </row>
    <row r="16" spans="1:31" customFormat="1" x14ac:dyDescent="0.15">
      <c r="A16" s="166" t="s">
        <v>207</v>
      </c>
      <c r="B16" s="89">
        <v>0</v>
      </c>
      <c r="C16" s="89">
        <v>0</v>
      </c>
      <c r="D16" s="89">
        <v>0</v>
      </c>
      <c r="E16" s="89">
        <v>1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  <c r="Q16" s="89">
        <v>0</v>
      </c>
      <c r="R16" s="89">
        <v>0</v>
      </c>
      <c r="S16" s="89">
        <v>0</v>
      </c>
      <c r="T16" s="89">
        <v>0</v>
      </c>
      <c r="U16" s="89">
        <v>0</v>
      </c>
      <c r="V16" s="89">
        <v>0</v>
      </c>
      <c r="W16" s="89">
        <v>0</v>
      </c>
      <c r="X16" s="89">
        <v>0</v>
      </c>
      <c r="Y16" s="89">
        <v>0</v>
      </c>
      <c r="Z16" s="89">
        <v>0</v>
      </c>
    </row>
    <row r="17" spans="1:26" customFormat="1" x14ac:dyDescent="0.15">
      <c r="A17" s="166" t="s">
        <v>208</v>
      </c>
      <c r="B17" s="89">
        <v>0</v>
      </c>
      <c r="C17" s="89">
        <v>0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  <c r="L17" s="89">
        <v>0</v>
      </c>
      <c r="M17" s="89">
        <v>0</v>
      </c>
      <c r="N17" s="89">
        <v>0</v>
      </c>
      <c r="O17" s="89">
        <v>0</v>
      </c>
      <c r="P17" s="89">
        <v>0</v>
      </c>
      <c r="Q17" s="89">
        <v>0</v>
      </c>
      <c r="R17" s="89">
        <v>0</v>
      </c>
      <c r="S17" s="89">
        <v>0</v>
      </c>
      <c r="T17" s="89">
        <v>0</v>
      </c>
      <c r="U17" s="89">
        <v>0</v>
      </c>
      <c r="V17" s="89">
        <v>0</v>
      </c>
      <c r="W17" s="89">
        <v>0</v>
      </c>
      <c r="X17" s="89">
        <v>0</v>
      </c>
      <c r="Y17" s="89">
        <v>0</v>
      </c>
      <c r="Z17" s="89">
        <v>0</v>
      </c>
    </row>
    <row r="18" spans="1:26" customFormat="1" x14ac:dyDescent="0.15">
      <c r="A18" s="166" t="s">
        <v>209</v>
      </c>
      <c r="B18" s="89">
        <v>0</v>
      </c>
      <c r="C18" s="89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89">
        <v>0</v>
      </c>
      <c r="L18" s="89">
        <v>0</v>
      </c>
      <c r="M18" s="89">
        <v>0</v>
      </c>
      <c r="N18" s="89">
        <v>0</v>
      </c>
      <c r="O18" s="89">
        <v>0</v>
      </c>
      <c r="P18" s="89">
        <v>0</v>
      </c>
      <c r="Q18" s="89">
        <v>0</v>
      </c>
      <c r="R18" s="89">
        <v>0</v>
      </c>
      <c r="S18" s="89">
        <v>0</v>
      </c>
      <c r="T18" s="89">
        <v>0</v>
      </c>
      <c r="U18" s="89">
        <v>0</v>
      </c>
      <c r="V18" s="89">
        <v>0</v>
      </c>
      <c r="W18" s="89">
        <v>0</v>
      </c>
      <c r="X18" s="89">
        <v>0</v>
      </c>
      <c r="Y18" s="89">
        <v>0</v>
      </c>
      <c r="Z18" s="89">
        <v>0</v>
      </c>
    </row>
    <row r="19" spans="1:26" customFormat="1" x14ac:dyDescent="0.15">
      <c r="A19" s="166" t="s">
        <v>210</v>
      </c>
      <c r="B19" s="89">
        <v>1</v>
      </c>
      <c r="C19" s="89">
        <v>1</v>
      </c>
      <c r="D19" s="89">
        <v>0</v>
      </c>
      <c r="E19" s="89">
        <v>0</v>
      </c>
      <c r="F19" s="89">
        <v>1</v>
      </c>
      <c r="G19" s="89">
        <v>0</v>
      </c>
      <c r="H19" s="89">
        <v>0</v>
      </c>
      <c r="I19" s="89">
        <v>0</v>
      </c>
      <c r="J19" s="89">
        <v>0</v>
      </c>
      <c r="K19" s="89">
        <v>1</v>
      </c>
      <c r="L19" s="89">
        <v>0</v>
      </c>
      <c r="M19" s="89">
        <v>1</v>
      </c>
      <c r="N19" s="89">
        <v>1</v>
      </c>
      <c r="O19" s="89">
        <v>1</v>
      </c>
      <c r="P19" s="89">
        <v>0</v>
      </c>
      <c r="Q19" s="89">
        <v>0</v>
      </c>
      <c r="R19" s="89">
        <v>0</v>
      </c>
      <c r="S19" s="89">
        <v>0</v>
      </c>
      <c r="T19" s="89">
        <v>0</v>
      </c>
      <c r="U19" s="89">
        <v>0</v>
      </c>
      <c r="V19" s="89">
        <v>0</v>
      </c>
      <c r="W19" s="89">
        <v>0</v>
      </c>
      <c r="X19" s="89">
        <v>0</v>
      </c>
      <c r="Y19" s="89">
        <v>0</v>
      </c>
      <c r="Z19" s="89">
        <v>0</v>
      </c>
    </row>
    <row r="20" spans="1:26" customFormat="1" x14ac:dyDescent="0.15">
      <c r="A20" s="166" t="s">
        <v>211</v>
      </c>
      <c r="B20" s="89">
        <v>0</v>
      </c>
      <c r="C20" s="89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89">
        <v>0</v>
      </c>
      <c r="L20" s="89">
        <v>0</v>
      </c>
      <c r="M20" s="89">
        <v>0</v>
      </c>
      <c r="N20" s="89">
        <v>1</v>
      </c>
      <c r="O20" s="89">
        <v>1</v>
      </c>
      <c r="P20" s="89">
        <v>1</v>
      </c>
      <c r="Q20" s="89">
        <v>0</v>
      </c>
      <c r="R20" s="89">
        <v>0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  <c r="X20" s="89">
        <v>0</v>
      </c>
      <c r="Y20" s="89">
        <v>0</v>
      </c>
      <c r="Z20" s="89">
        <v>0</v>
      </c>
    </row>
    <row r="21" spans="1:26" customFormat="1" x14ac:dyDescent="0.15">
      <c r="A21" s="166" t="s">
        <v>212</v>
      </c>
      <c r="B21" s="89">
        <v>0</v>
      </c>
      <c r="C21" s="89">
        <v>1</v>
      </c>
      <c r="D21" s="89">
        <v>0</v>
      </c>
      <c r="E21" s="89">
        <v>0</v>
      </c>
      <c r="F21" s="89">
        <v>0</v>
      </c>
      <c r="G21" s="89">
        <v>0</v>
      </c>
      <c r="H21" s="89">
        <v>0</v>
      </c>
      <c r="I21" s="89">
        <v>0</v>
      </c>
      <c r="J21" s="89">
        <v>0</v>
      </c>
      <c r="K21" s="89">
        <v>0</v>
      </c>
      <c r="L21" s="89">
        <v>0</v>
      </c>
      <c r="M21" s="89">
        <v>1</v>
      </c>
      <c r="N21" s="89">
        <v>1</v>
      </c>
      <c r="O21" s="89">
        <v>0</v>
      </c>
      <c r="P21" s="89">
        <v>0</v>
      </c>
      <c r="Q21" s="89">
        <v>0</v>
      </c>
      <c r="R21" s="89">
        <v>0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  <c r="X21" s="89">
        <v>0</v>
      </c>
      <c r="Y21" s="89">
        <v>0</v>
      </c>
      <c r="Z21" s="89">
        <v>0</v>
      </c>
    </row>
    <row r="22" spans="1:26" customFormat="1" x14ac:dyDescent="0.15">
      <c r="A22" s="166" t="s">
        <v>213</v>
      </c>
      <c r="B22" s="89">
        <v>0</v>
      </c>
      <c r="C22" s="89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89">
        <v>0</v>
      </c>
      <c r="L22" s="89">
        <v>0</v>
      </c>
      <c r="M22" s="89">
        <v>0</v>
      </c>
      <c r="N22" s="89">
        <v>0</v>
      </c>
      <c r="O22" s="89">
        <v>0</v>
      </c>
      <c r="P22" s="89">
        <v>0</v>
      </c>
      <c r="Q22" s="89">
        <v>0</v>
      </c>
      <c r="R22" s="89">
        <v>0</v>
      </c>
      <c r="S22" s="89">
        <v>0</v>
      </c>
      <c r="T22" s="89">
        <v>0</v>
      </c>
      <c r="U22" s="89">
        <v>0</v>
      </c>
      <c r="V22" s="89">
        <v>0</v>
      </c>
      <c r="W22" s="89">
        <v>0</v>
      </c>
      <c r="X22" s="89">
        <v>0</v>
      </c>
      <c r="Y22" s="89">
        <v>0</v>
      </c>
      <c r="Z22" s="89">
        <v>0</v>
      </c>
    </row>
    <row r="23" spans="1:26" customFormat="1" x14ac:dyDescent="0.15">
      <c r="A23" s="166" t="s">
        <v>214</v>
      </c>
      <c r="B23" s="89">
        <v>0</v>
      </c>
      <c r="C23" s="89">
        <v>1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  <c r="L23" s="89">
        <v>0</v>
      </c>
      <c r="M23" s="89">
        <v>0</v>
      </c>
      <c r="N23" s="89">
        <v>0</v>
      </c>
      <c r="O23" s="89">
        <v>0</v>
      </c>
      <c r="P23" s="89">
        <v>0</v>
      </c>
      <c r="Q23" s="89">
        <v>1</v>
      </c>
      <c r="R23" s="89">
        <v>1</v>
      </c>
      <c r="S23" s="89">
        <v>0</v>
      </c>
      <c r="T23" s="89">
        <v>0</v>
      </c>
      <c r="U23" s="89">
        <v>0</v>
      </c>
      <c r="V23" s="89">
        <v>0</v>
      </c>
      <c r="W23" s="89">
        <v>0</v>
      </c>
      <c r="X23" s="89">
        <v>0</v>
      </c>
      <c r="Y23" s="89">
        <v>0</v>
      </c>
      <c r="Z23" s="89">
        <v>0</v>
      </c>
    </row>
    <row r="24" spans="1:26" customFormat="1" x14ac:dyDescent="0.15">
      <c r="A24" s="166" t="s">
        <v>215</v>
      </c>
      <c r="B24" s="89">
        <v>0</v>
      </c>
      <c r="C24" s="89">
        <v>0</v>
      </c>
      <c r="D24" s="89">
        <v>1</v>
      </c>
      <c r="E24" s="89">
        <v>0</v>
      </c>
      <c r="F24" s="89">
        <v>0</v>
      </c>
      <c r="G24" s="89">
        <v>1</v>
      </c>
      <c r="H24" s="89">
        <v>1</v>
      </c>
      <c r="I24" s="89">
        <v>1</v>
      </c>
      <c r="J24" s="89">
        <v>0</v>
      </c>
      <c r="K24" s="89">
        <v>0</v>
      </c>
      <c r="L24" s="89">
        <v>0</v>
      </c>
      <c r="M24" s="89">
        <v>0</v>
      </c>
      <c r="N24" s="89">
        <v>0</v>
      </c>
      <c r="O24" s="89">
        <v>0</v>
      </c>
      <c r="P24" s="89">
        <v>1</v>
      </c>
      <c r="Q24" s="89">
        <v>0</v>
      </c>
      <c r="R24" s="89">
        <v>0</v>
      </c>
      <c r="S24" s="89">
        <v>1</v>
      </c>
      <c r="T24" s="89">
        <v>1</v>
      </c>
      <c r="U24" s="89">
        <v>1</v>
      </c>
      <c r="V24" s="89">
        <v>1</v>
      </c>
      <c r="W24" s="89">
        <v>0</v>
      </c>
      <c r="X24" s="89">
        <v>0</v>
      </c>
      <c r="Y24" s="89">
        <v>0</v>
      </c>
      <c r="Z24" s="89">
        <v>0</v>
      </c>
    </row>
    <row r="25" spans="1:26" customFormat="1" x14ac:dyDescent="0.15">
      <c r="A25" s="166" t="s">
        <v>216</v>
      </c>
      <c r="B25" s="89">
        <v>0</v>
      </c>
      <c r="C25" s="89">
        <v>1</v>
      </c>
      <c r="D25" s="89">
        <v>1</v>
      </c>
      <c r="E25" s="89">
        <v>0</v>
      </c>
      <c r="F25" s="89">
        <v>1</v>
      </c>
      <c r="G25" s="89">
        <v>1</v>
      </c>
      <c r="H25" s="89">
        <v>1</v>
      </c>
      <c r="I25" s="89">
        <v>1</v>
      </c>
      <c r="J25" s="89">
        <v>0</v>
      </c>
      <c r="K25" s="89">
        <v>0</v>
      </c>
      <c r="L25" s="89">
        <v>0</v>
      </c>
      <c r="M25" s="89">
        <v>0</v>
      </c>
      <c r="N25" s="89">
        <v>0</v>
      </c>
      <c r="O25" s="89">
        <v>1</v>
      </c>
      <c r="P25" s="89">
        <v>1</v>
      </c>
      <c r="Q25" s="89">
        <v>0</v>
      </c>
      <c r="R25" s="89">
        <v>0</v>
      </c>
      <c r="S25" s="89">
        <v>1</v>
      </c>
      <c r="T25" s="89">
        <v>1</v>
      </c>
      <c r="U25" s="89">
        <v>1</v>
      </c>
      <c r="V25" s="89">
        <v>1</v>
      </c>
      <c r="W25" s="89">
        <v>0</v>
      </c>
      <c r="X25" s="89">
        <v>0</v>
      </c>
      <c r="Y25" s="89">
        <v>0</v>
      </c>
      <c r="Z25" s="89">
        <v>0</v>
      </c>
    </row>
    <row r="26" spans="1:26" customFormat="1" x14ac:dyDescent="0.15">
      <c r="A26" s="166" t="s">
        <v>217</v>
      </c>
      <c r="B26" s="89">
        <v>0</v>
      </c>
      <c r="C26" s="89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89">
        <v>0</v>
      </c>
      <c r="L26" s="89">
        <v>0</v>
      </c>
      <c r="M26" s="89">
        <v>0</v>
      </c>
      <c r="N26" s="89">
        <v>0</v>
      </c>
      <c r="O26" s="89">
        <v>0</v>
      </c>
      <c r="P26" s="89">
        <v>0</v>
      </c>
      <c r="Q26" s="89">
        <v>0</v>
      </c>
      <c r="R26" s="89">
        <v>0</v>
      </c>
      <c r="S26" s="89">
        <v>0</v>
      </c>
      <c r="T26" s="89">
        <v>0</v>
      </c>
      <c r="U26" s="89">
        <v>0</v>
      </c>
      <c r="V26" s="89">
        <v>0</v>
      </c>
      <c r="W26" s="89">
        <v>0</v>
      </c>
      <c r="X26" s="89">
        <v>0</v>
      </c>
      <c r="Y26" s="89">
        <v>0</v>
      </c>
      <c r="Z26" s="89">
        <v>0</v>
      </c>
    </row>
    <row r="27" spans="1:26" customFormat="1" x14ac:dyDescent="0.15">
      <c r="A27" s="166" t="s">
        <v>224</v>
      </c>
      <c r="B27" s="89">
        <v>1</v>
      </c>
      <c r="C27" s="89">
        <v>0</v>
      </c>
      <c r="D27" s="89">
        <v>0</v>
      </c>
      <c r="E27" s="89">
        <v>0</v>
      </c>
      <c r="F27" s="89">
        <v>0</v>
      </c>
      <c r="G27" s="89">
        <v>0</v>
      </c>
      <c r="H27" s="89">
        <v>0</v>
      </c>
      <c r="I27" s="89">
        <v>0</v>
      </c>
      <c r="J27" s="89">
        <v>0</v>
      </c>
      <c r="K27" s="89">
        <v>0</v>
      </c>
      <c r="L27" s="89">
        <v>0</v>
      </c>
      <c r="M27" s="89">
        <v>0</v>
      </c>
      <c r="N27" s="89">
        <v>0</v>
      </c>
      <c r="O27" s="89">
        <v>0</v>
      </c>
      <c r="P27" s="89">
        <v>0</v>
      </c>
      <c r="Q27" s="89">
        <v>1</v>
      </c>
      <c r="R27" s="89">
        <v>1</v>
      </c>
      <c r="S27" s="89">
        <v>0</v>
      </c>
      <c r="T27" s="89">
        <v>0</v>
      </c>
      <c r="U27" s="89">
        <v>0</v>
      </c>
      <c r="V27" s="89">
        <v>0</v>
      </c>
      <c r="W27" s="89">
        <v>0</v>
      </c>
      <c r="X27" s="89">
        <v>0</v>
      </c>
      <c r="Y27" s="89">
        <v>0</v>
      </c>
      <c r="Z27" s="89">
        <v>0</v>
      </c>
    </row>
    <row r="28" spans="1:26" customFormat="1" x14ac:dyDescent="0.15"/>
    <row r="29" spans="1:26" customFormat="1" x14ac:dyDescent="0.15"/>
    <row r="30" spans="1:26" customFormat="1" x14ac:dyDescent="0.15"/>
    <row r="31" spans="1:26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H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5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83</v>
      </c>
      <c r="B1" s="3" t="s">
        <v>0</v>
      </c>
      <c r="C1" s="169" t="s">
        <v>218</v>
      </c>
      <c r="D1" s="169" t="s">
        <v>219</v>
      </c>
      <c r="E1" s="169" t="s">
        <v>220</v>
      </c>
      <c r="F1" s="169" t="s">
        <v>221</v>
      </c>
      <c r="G1" s="169" t="s">
        <v>222</v>
      </c>
      <c r="H1" s="169" t="s">
        <v>223</v>
      </c>
    </row>
    <row r="2" spans="1:8" x14ac:dyDescent="0.15">
      <c r="A2">
        <v>1</v>
      </c>
      <c r="B2" s="168" t="s">
        <v>193</v>
      </c>
      <c r="C2">
        <v>0</v>
      </c>
      <c r="D2">
        <v>0.8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68" t="s">
        <v>194</v>
      </c>
      <c r="C3">
        <v>0</v>
      </c>
      <c r="D3">
        <v>0.8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68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68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68" t="s">
        <v>197</v>
      </c>
      <c r="C6">
        <v>0</v>
      </c>
      <c r="D6">
        <v>0.8</v>
      </c>
      <c r="E6">
        <v>0</v>
      </c>
      <c r="F6">
        <v>0</v>
      </c>
      <c r="G6">
        <v>0</v>
      </c>
      <c r="H6">
        <v>0</v>
      </c>
    </row>
    <row r="7" spans="1:8" x14ac:dyDescent="0.15">
      <c r="A7">
        <v>6</v>
      </c>
      <c r="B7" s="168" t="s">
        <v>198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68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68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68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68" t="s">
        <v>202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68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68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0.8</v>
      </c>
    </row>
    <row r="14" spans="1:8" x14ac:dyDescent="0.15">
      <c r="A14">
        <v>13</v>
      </c>
      <c r="B14" s="168" t="s">
        <v>205</v>
      </c>
      <c r="C14">
        <v>0.8</v>
      </c>
      <c r="D14">
        <v>0.8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68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68" t="s">
        <v>207</v>
      </c>
      <c r="C16">
        <v>0.8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68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68" t="s">
        <v>209</v>
      </c>
      <c r="C18">
        <v>0</v>
      </c>
      <c r="D18">
        <v>0</v>
      </c>
      <c r="E18">
        <v>0</v>
      </c>
      <c r="F18">
        <v>0</v>
      </c>
      <c r="G18">
        <v>0.8</v>
      </c>
      <c r="H18">
        <v>0</v>
      </c>
    </row>
    <row r="19" spans="1:8" x14ac:dyDescent="0.15">
      <c r="A19">
        <v>18</v>
      </c>
      <c r="B19" s="168" t="s">
        <v>210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68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68" t="s">
        <v>212</v>
      </c>
      <c r="C21">
        <v>0</v>
      </c>
      <c r="D21">
        <v>0</v>
      </c>
      <c r="E21">
        <v>0</v>
      </c>
      <c r="F21">
        <v>0.8</v>
      </c>
      <c r="G21">
        <v>0</v>
      </c>
      <c r="H21">
        <v>0</v>
      </c>
    </row>
    <row r="22" spans="1:8" x14ac:dyDescent="0.15">
      <c r="A22">
        <v>21</v>
      </c>
      <c r="B22" s="168" t="s">
        <v>213</v>
      </c>
      <c r="C22">
        <v>0</v>
      </c>
      <c r="D22">
        <v>0</v>
      </c>
      <c r="E22">
        <v>0.8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68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68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68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68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H2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5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82</v>
      </c>
      <c r="B1" s="3" t="s">
        <v>0</v>
      </c>
      <c r="C1" s="171" t="s">
        <v>218</v>
      </c>
      <c r="D1" s="171" t="s">
        <v>219</v>
      </c>
      <c r="E1" s="171" t="s">
        <v>220</v>
      </c>
      <c r="F1" s="171" t="s">
        <v>221</v>
      </c>
      <c r="G1" s="171" t="s">
        <v>222</v>
      </c>
      <c r="H1" s="171" t="s">
        <v>223</v>
      </c>
    </row>
    <row r="2" spans="1:8" x14ac:dyDescent="0.15">
      <c r="A2">
        <v>1</v>
      </c>
      <c r="B2" s="170" t="s">
        <v>193</v>
      </c>
      <c r="C2">
        <v>0</v>
      </c>
      <c r="D2">
        <v>0.8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70" t="s">
        <v>194</v>
      </c>
      <c r="C3">
        <v>0</v>
      </c>
      <c r="D3">
        <v>0.8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70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70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70" t="s">
        <v>197</v>
      </c>
      <c r="C6">
        <v>0</v>
      </c>
      <c r="D6">
        <v>0.8</v>
      </c>
      <c r="E6">
        <v>0</v>
      </c>
      <c r="F6">
        <v>0</v>
      </c>
      <c r="G6">
        <v>0</v>
      </c>
      <c r="H6">
        <v>0</v>
      </c>
    </row>
    <row r="7" spans="1:8" x14ac:dyDescent="0.15">
      <c r="A7">
        <v>6</v>
      </c>
      <c r="B7" s="170" t="s">
        <v>198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70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70" t="s">
        <v>200</v>
      </c>
      <c r="C9">
        <v>0</v>
      </c>
      <c r="D9">
        <v>0</v>
      </c>
      <c r="E9">
        <v>0.8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70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70" t="s">
        <v>202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70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70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0.8</v>
      </c>
    </row>
    <row r="14" spans="1:8" x14ac:dyDescent="0.15">
      <c r="A14">
        <v>13</v>
      </c>
      <c r="B14" s="170" t="s">
        <v>205</v>
      </c>
      <c r="C14">
        <v>0.8</v>
      </c>
      <c r="D14">
        <v>0.8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70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70" t="s">
        <v>207</v>
      </c>
      <c r="C16">
        <v>0.8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70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70" t="s">
        <v>209</v>
      </c>
      <c r="C18">
        <v>0</v>
      </c>
      <c r="D18">
        <v>0</v>
      </c>
      <c r="E18">
        <v>0</v>
      </c>
      <c r="F18">
        <v>0</v>
      </c>
      <c r="G18">
        <v>0.8</v>
      </c>
      <c r="H18">
        <v>0</v>
      </c>
    </row>
    <row r="19" spans="1:8" x14ac:dyDescent="0.15">
      <c r="A19">
        <v>18</v>
      </c>
      <c r="B19" s="170" t="s">
        <v>210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70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70" t="s">
        <v>212</v>
      </c>
      <c r="C21">
        <v>0</v>
      </c>
      <c r="D21">
        <v>0</v>
      </c>
      <c r="E21">
        <v>0</v>
      </c>
      <c r="F21">
        <v>0.8</v>
      </c>
      <c r="G21">
        <v>0</v>
      </c>
      <c r="H21">
        <v>0</v>
      </c>
    </row>
    <row r="22" spans="1:8" x14ac:dyDescent="0.15">
      <c r="A22">
        <v>21</v>
      </c>
      <c r="B22" s="170" t="s">
        <v>213</v>
      </c>
      <c r="C22">
        <v>0</v>
      </c>
      <c r="D22">
        <v>0</v>
      </c>
      <c r="E22">
        <v>0.8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70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70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70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70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66"/>
    <col min="2" max="2" width="41.83203125" style="66" bestFit="1" customWidth="1"/>
    <col min="3" max="3" width="9.33203125" style="66" bestFit="1" customWidth="1"/>
    <col min="4" max="4" width="13" style="66" bestFit="1" customWidth="1"/>
    <col min="5" max="6" width="9.33203125" style="66" bestFit="1" customWidth="1"/>
    <col min="7" max="7" width="9.33203125" style="81" bestFit="1" customWidth="1"/>
    <col min="8" max="8" width="9.33203125" style="66" bestFit="1" customWidth="1"/>
    <col min="9" max="9" width="11" style="66" customWidth="1"/>
    <col min="10" max="10" width="8.83203125" style="66"/>
    <col min="15" max="16384" width="8.83203125" style="6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8" t="s">
        <v>14</v>
      </c>
      <c r="H1" s="1" t="s">
        <v>26</v>
      </c>
      <c r="I1" s="1" t="s">
        <v>24</v>
      </c>
    </row>
    <row r="2" spans="1:10" ht="15" customHeight="1" x14ac:dyDescent="0.15">
      <c r="A2" s="123">
        <v>1</v>
      </c>
      <c r="B2" s="123" t="s">
        <v>193</v>
      </c>
      <c r="C2" s="8">
        <v>3.5989999771118164</v>
      </c>
      <c r="D2" s="9">
        <v>0.80000001192092896</v>
      </c>
      <c r="E2" s="9">
        <v>1.2000000476837158</v>
      </c>
      <c r="F2" s="9">
        <v>12</v>
      </c>
      <c r="G2" s="9">
        <v>0.58004158735275269</v>
      </c>
      <c r="H2" s="9">
        <v>0.10000000149011612</v>
      </c>
      <c r="I2">
        <v>0.55299997329711914</v>
      </c>
      <c r="J2"/>
    </row>
    <row r="3" spans="1:10" ht="15" customHeight="1" x14ac:dyDescent="0.15">
      <c r="A3" s="124">
        <v>2</v>
      </c>
      <c r="B3" s="124" t="s">
        <v>194</v>
      </c>
      <c r="C3" s="8">
        <v>2.7100000381469727</v>
      </c>
      <c r="D3" s="9">
        <v>1.2000000476837158</v>
      </c>
      <c r="E3" s="9">
        <v>0.54000002145767212</v>
      </c>
      <c r="F3" s="9">
        <v>5.4000000953674316</v>
      </c>
      <c r="G3" s="9">
        <v>0.93481475114822388</v>
      </c>
      <c r="H3" s="9">
        <v>0.10000000149011612</v>
      </c>
      <c r="I3">
        <v>0.60000002384185791</v>
      </c>
      <c r="J3"/>
    </row>
    <row r="4" spans="1:10" ht="15" customHeight="1" x14ac:dyDescent="0.15">
      <c r="A4" s="125">
        <v>3</v>
      </c>
      <c r="B4" s="125" t="s">
        <v>195</v>
      </c>
      <c r="C4" s="8">
        <v>2</v>
      </c>
      <c r="D4" s="9">
        <v>0.22402635216712952</v>
      </c>
      <c r="E4" s="9">
        <v>10</v>
      </c>
      <c r="F4" s="9">
        <v>50</v>
      </c>
      <c r="G4" s="9">
        <v>0.89999979734420776</v>
      </c>
      <c r="H4" s="9">
        <v>0.20000000298023224</v>
      </c>
      <c r="I4">
        <v>0</v>
      </c>
      <c r="J4"/>
    </row>
    <row r="5" spans="1:10" ht="15" customHeight="1" x14ac:dyDescent="0.15">
      <c r="A5" s="126">
        <v>4</v>
      </c>
      <c r="B5" s="126" t="s">
        <v>196</v>
      </c>
      <c r="C5" s="8">
        <v>3.7523500919342041</v>
      </c>
      <c r="D5" s="9">
        <v>3.0000000260770321E-3</v>
      </c>
      <c r="E5" s="9">
        <v>0.10000000149011612</v>
      </c>
      <c r="F5" s="9">
        <v>12.800000190734863</v>
      </c>
      <c r="G5" s="7">
        <v>0</v>
      </c>
      <c r="H5" s="9">
        <v>7.8125E-3</v>
      </c>
      <c r="I5">
        <v>0</v>
      </c>
      <c r="J5"/>
    </row>
    <row r="6" spans="1:10" ht="15" customHeight="1" x14ac:dyDescent="0.15">
      <c r="A6" s="127">
        <v>5</v>
      </c>
      <c r="B6" s="127" t="s">
        <v>197</v>
      </c>
      <c r="C6" s="8">
        <v>2.99180006980896</v>
      </c>
      <c r="D6" s="9">
        <v>1</v>
      </c>
      <c r="E6" s="9">
        <v>0.5</v>
      </c>
      <c r="F6" s="9">
        <v>5</v>
      </c>
      <c r="G6" s="9">
        <v>0.41919997334480286</v>
      </c>
      <c r="H6" s="9">
        <v>0.10000000149011612</v>
      </c>
      <c r="I6">
        <v>0.19999998807907104</v>
      </c>
      <c r="J6"/>
    </row>
    <row r="7" spans="1:10" ht="15" customHeight="1" x14ac:dyDescent="0.15">
      <c r="A7" s="128">
        <v>6</v>
      </c>
      <c r="B7" s="128" t="s">
        <v>198</v>
      </c>
      <c r="C7" s="8">
        <v>2</v>
      </c>
      <c r="D7" s="9">
        <v>30</v>
      </c>
      <c r="E7" s="9">
        <v>0.69999998807907104</v>
      </c>
      <c r="F7" s="9">
        <v>7</v>
      </c>
      <c r="G7" s="9">
        <v>0.69208770990371704</v>
      </c>
      <c r="H7" s="9">
        <v>0.10000000149011612</v>
      </c>
      <c r="I7">
        <v>6</v>
      </c>
      <c r="J7"/>
    </row>
    <row r="8" spans="1:10" ht="15" customHeight="1" x14ac:dyDescent="0.15">
      <c r="A8" s="129">
        <v>7</v>
      </c>
      <c r="B8" s="129" t="s">
        <v>199</v>
      </c>
      <c r="C8" s="8">
        <v>2</v>
      </c>
      <c r="D8" s="9">
        <v>34</v>
      </c>
      <c r="E8" s="9">
        <v>0.30000001192092896</v>
      </c>
      <c r="F8" s="9">
        <v>6</v>
      </c>
      <c r="G8" s="9">
        <v>1.8742788815870881E-3</v>
      </c>
      <c r="H8" s="9">
        <v>5.000000074505806E-2</v>
      </c>
      <c r="I8">
        <v>0</v>
      </c>
      <c r="J8"/>
    </row>
    <row r="9" spans="1:10" ht="15" customHeight="1" x14ac:dyDescent="0.15">
      <c r="A9" s="130">
        <v>8</v>
      </c>
      <c r="B9" s="130" t="s">
        <v>200</v>
      </c>
      <c r="C9" s="8">
        <v>2</v>
      </c>
      <c r="D9" s="9">
        <v>0.15999999642372131</v>
      </c>
      <c r="E9" s="9">
        <v>0.51999998092651367</v>
      </c>
      <c r="F9" s="9">
        <v>10.399999618530273</v>
      </c>
      <c r="G9" s="9">
        <v>0.96153849363327026</v>
      </c>
      <c r="H9" s="9">
        <v>5.000000074505806E-2</v>
      </c>
      <c r="I9">
        <v>7.9999998211860657E-2</v>
      </c>
      <c r="J9"/>
    </row>
    <row r="10" spans="1:10" ht="15" customHeight="1" x14ac:dyDescent="0.15">
      <c r="A10" s="131">
        <v>9</v>
      </c>
      <c r="B10" s="131" t="s">
        <v>201</v>
      </c>
      <c r="C10" s="8">
        <v>1</v>
      </c>
      <c r="D10" s="9">
        <v>2.2999999523162842</v>
      </c>
      <c r="E10" s="9">
        <v>40</v>
      </c>
      <c r="F10" s="10"/>
      <c r="G10" s="9">
        <v>0.91786229610443115</v>
      </c>
      <c r="H10" s="10"/>
      <c r="I10">
        <v>0</v>
      </c>
      <c r="J10"/>
    </row>
    <row r="11" spans="1:10" ht="15" customHeight="1" x14ac:dyDescent="0.15">
      <c r="A11" s="132">
        <v>10</v>
      </c>
      <c r="B11" s="132" t="s">
        <v>202</v>
      </c>
      <c r="C11" s="8">
        <v>3.179999828338623</v>
      </c>
      <c r="D11" s="9">
        <v>0.30000001192092896</v>
      </c>
      <c r="E11" s="9">
        <v>2</v>
      </c>
      <c r="F11" s="9">
        <v>20</v>
      </c>
      <c r="G11" s="9">
        <v>0.63973319530487061</v>
      </c>
      <c r="H11" s="9">
        <v>0.10000000149011612</v>
      </c>
      <c r="I11">
        <v>9.0000003576278687E-2</v>
      </c>
      <c r="J11"/>
    </row>
    <row r="12" spans="1:10" ht="15" customHeight="1" x14ac:dyDescent="0.15">
      <c r="A12" s="133">
        <v>11</v>
      </c>
      <c r="B12" s="133" t="s">
        <v>203</v>
      </c>
      <c r="C12" s="8">
        <v>1</v>
      </c>
      <c r="D12" s="9">
        <v>0.27000001072883606</v>
      </c>
      <c r="E12" s="9">
        <v>100</v>
      </c>
      <c r="F12" s="10"/>
      <c r="G12" s="9">
        <v>0.87522447109222412</v>
      </c>
      <c r="H12" s="10"/>
      <c r="I12">
        <v>0</v>
      </c>
      <c r="J12"/>
    </row>
    <row r="13" spans="1:10" ht="15" customHeight="1" x14ac:dyDescent="0.15">
      <c r="A13" s="134">
        <v>12</v>
      </c>
      <c r="B13" s="134" t="s">
        <v>204</v>
      </c>
      <c r="C13" s="8">
        <v>3</v>
      </c>
      <c r="D13" s="9">
        <v>9.9999997764825821E-3</v>
      </c>
      <c r="E13" s="9">
        <v>0.40000000596046448</v>
      </c>
      <c r="F13" s="9">
        <v>13.333333969116211</v>
      </c>
      <c r="G13" s="9">
        <v>0.25</v>
      </c>
      <c r="H13" s="9">
        <v>2.9999999329447746E-2</v>
      </c>
      <c r="I13">
        <v>1.0000000474974513E-3</v>
      </c>
      <c r="J13"/>
    </row>
    <row r="14" spans="1:10" ht="15" customHeight="1" x14ac:dyDescent="0.15">
      <c r="A14" s="135">
        <v>13</v>
      </c>
      <c r="B14" s="135" t="s">
        <v>205</v>
      </c>
      <c r="C14" s="8">
        <v>3</v>
      </c>
      <c r="D14" s="9">
        <v>0.47266840934753418</v>
      </c>
      <c r="E14" s="9">
        <v>6.4500002861022949</v>
      </c>
      <c r="F14" s="9">
        <v>21.5</v>
      </c>
      <c r="G14" s="9">
        <v>0.89999991655349731</v>
      </c>
      <c r="H14" s="9">
        <v>0.30000001192092896</v>
      </c>
      <c r="I14">
        <v>0.20000000298023224</v>
      </c>
      <c r="J14"/>
    </row>
    <row r="15" spans="1:10" ht="15" customHeight="1" x14ac:dyDescent="0.15">
      <c r="A15" s="136">
        <v>14</v>
      </c>
      <c r="B15" s="136" t="s">
        <v>206</v>
      </c>
      <c r="C15" s="8">
        <v>2.7999999523162842</v>
      </c>
      <c r="D15" s="9">
        <v>0.38749048113822937</v>
      </c>
      <c r="E15" s="9">
        <v>6.9000000953674316</v>
      </c>
      <c r="F15" s="9">
        <v>23</v>
      </c>
      <c r="G15" s="9">
        <v>0.94999992847442627</v>
      </c>
      <c r="H15" s="9">
        <v>0.30000001192092896</v>
      </c>
      <c r="I15">
        <v>0</v>
      </c>
      <c r="J15"/>
    </row>
    <row r="16" spans="1:10" ht="15" customHeight="1" x14ac:dyDescent="0.15">
      <c r="A16" s="137">
        <v>15</v>
      </c>
      <c r="B16" s="137" t="s">
        <v>207</v>
      </c>
      <c r="C16" s="8">
        <v>2.1000001430511475</v>
      </c>
      <c r="D16" s="9">
        <v>1.4088889583945274E-2</v>
      </c>
      <c r="E16" s="9">
        <v>1</v>
      </c>
      <c r="F16" s="9">
        <v>20</v>
      </c>
      <c r="G16" s="9">
        <v>0.89999997615814209</v>
      </c>
      <c r="H16" s="9">
        <v>5.000000074505806E-2</v>
      </c>
      <c r="I16">
        <v>4.999999888241291E-3</v>
      </c>
      <c r="J16"/>
    </row>
    <row r="17" spans="1:10" ht="15" customHeight="1" x14ac:dyDescent="0.15">
      <c r="A17" s="138">
        <v>16</v>
      </c>
      <c r="B17" s="138" t="s">
        <v>208</v>
      </c>
      <c r="C17" s="8">
        <v>2</v>
      </c>
      <c r="D17" s="9">
        <v>2.0000000949949026E-3</v>
      </c>
      <c r="E17" s="9">
        <v>0.20000000298023224</v>
      </c>
      <c r="F17" s="9">
        <v>8</v>
      </c>
      <c r="G17" s="7">
        <v>0</v>
      </c>
      <c r="H17" s="9">
        <v>2.500000037252903E-2</v>
      </c>
      <c r="I17">
        <v>0</v>
      </c>
      <c r="J17"/>
    </row>
    <row r="18" spans="1:10" ht="15" customHeight="1" x14ac:dyDescent="0.15">
      <c r="A18" s="139">
        <v>17</v>
      </c>
      <c r="B18" s="139" t="s">
        <v>209</v>
      </c>
      <c r="C18" s="8">
        <v>2</v>
      </c>
      <c r="D18" s="9">
        <v>0.15000000596046448</v>
      </c>
      <c r="E18" s="9">
        <v>0.2800000011920929</v>
      </c>
      <c r="F18" s="9">
        <v>5.5999999046325684</v>
      </c>
      <c r="G18" s="9">
        <v>0.23809522390365601</v>
      </c>
      <c r="H18" s="9">
        <v>5.000000074505806E-2</v>
      </c>
      <c r="I18">
        <v>9.9999997764825821E-3</v>
      </c>
      <c r="J18"/>
    </row>
    <row r="19" spans="1:10" ht="15" customHeight="1" x14ac:dyDescent="0.15">
      <c r="A19" s="140">
        <v>18</v>
      </c>
      <c r="B19" s="140" t="s">
        <v>210</v>
      </c>
      <c r="C19" s="8">
        <v>2</v>
      </c>
      <c r="D19" s="9">
        <v>3.4929304122924805</v>
      </c>
      <c r="E19" s="9">
        <v>4.8000001907348633</v>
      </c>
      <c r="F19" s="9">
        <v>36</v>
      </c>
      <c r="G19" s="9">
        <v>0.89999991655349731</v>
      </c>
      <c r="H19" s="9">
        <v>0.13333334028720856</v>
      </c>
      <c r="I19">
        <v>1.9999999552965164E-2</v>
      </c>
      <c r="J19"/>
    </row>
    <row r="20" spans="1:10" ht="15" customHeight="1" x14ac:dyDescent="0.15">
      <c r="A20" s="141">
        <v>19</v>
      </c>
      <c r="B20" s="141" t="s">
        <v>211</v>
      </c>
      <c r="C20" s="8">
        <v>2</v>
      </c>
      <c r="D20" s="9">
        <v>1.1391440629959106</v>
      </c>
      <c r="E20" s="9">
        <v>10</v>
      </c>
      <c r="F20" s="9">
        <v>50</v>
      </c>
      <c r="G20" s="9">
        <v>0.5</v>
      </c>
      <c r="H20" s="9">
        <v>0.20000000298023224</v>
      </c>
      <c r="I20">
        <v>0</v>
      </c>
      <c r="J20"/>
    </row>
    <row r="21" spans="1:10" ht="15" customHeight="1" x14ac:dyDescent="0.15">
      <c r="A21" s="142">
        <v>20</v>
      </c>
      <c r="B21" s="142" t="s">
        <v>212</v>
      </c>
      <c r="C21" s="8">
        <v>2</v>
      </c>
      <c r="D21" s="9">
        <v>3.2000000476837158</v>
      </c>
      <c r="E21" s="9">
        <v>1</v>
      </c>
      <c r="F21" s="9">
        <v>20</v>
      </c>
      <c r="G21" s="9">
        <v>0.67909073829650879</v>
      </c>
      <c r="H21" s="9">
        <v>5.000000074505806E-2</v>
      </c>
      <c r="I21">
        <v>2</v>
      </c>
      <c r="J21"/>
    </row>
    <row r="22" spans="1:10" ht="15" customHeight="1" x14ac:dyDescent="0.15">
      <c r="A22" s="143">
        <v>21</v>
      </c>
      <c r="B22" s="143" t="s">
        <v>213</v>
      </c>
      <c r="C22" s="8">
        <v>2</v>
      </c>
      <c r="D22" s="9">
        <v>0.44999998807907104</v>
      </c>
      <c r="E22" s="9">
        <v>0.69999998807907104</v>
      </c>
      <c r="F22" s="9">
        <v>14</v>
      </c>
      <c r="G22" s="9">
        <v>0.76190477609634399</v>
      </c>
      <c r="H22" s="9">
        <v>5.000000074505806E-2</v>
      </c>
      <c r="I22">
        <v>0.23999999463558197</v>
      </c>
      <c r="J22"/>
    </row>
    <row r="23" spans="1:10" ht="15" customHeight="1" x14ac:dyDescent="0.15">
      <c r="A23" s="144">
        <v>22</v>
      </c>
      <c r="B23" s="144" t="s">
        <v>214</v>
      </c>
      <c r="C23" s="8">
        <v>1</v>
      </c>
      <c r="D23" s="9">
        <v>40</v>
      </c>
      <c r="E23" s="9">
        <v>1.5199999809265137</v>
      </c>
      <c r="F23" s="10"/>
      <c r="G23" s="9">
        <v>1.651315949857235E-2</v>
      </c>
      <c r="H23" s="10"/>
      <c r="I23">
        <v>0</v>
      </c>
      <c r="J23"/>
    </row>
    <row r="24" spans="1:10" ht="15" customHeight="1" x14ac:dyDescent="0.15">
      <c r="A24" s="145">
        <v>23</v>
      </c>
      <c r="B24" s="145" t="s">
        <v>215</v>
      </c>
      <c r="C24" s="8">
        <v>1</v>
      </c>
      <c r="D24" s="9">
        <v>13</v>
      </c>
      <c r="E24" s="9">
        <v>160</v>
      </c>
      <c r="F24" s="10"/>
      <c r="G24" s="9">
        <v>0.1557902991771698</v>
      </c>
      <c r="H24" s="10"/>
      <c r="I24">
        <v>0</v>
      </c>
      <c r="J24"/>
    </row>
    <row r="25" spans="1:10" ht="15" customHeight="1" x14ac:dyDescent="0.15">
      <c r="A25" s="146">
        <v>24</v>
      </c>
      <c r="B25" s="146" t="s">
        <v>216</v>
      </c>
      <c r="C25" s="8">
        <v>1</v>
      </c>
      <c r="D25" s="9">
        <v>1</v>
      </c>
      <c r="E25" s="10"/>
      <c r="F25" s="10"/>
      <c r="G25" s="9">
        <v>0.12647618353366852</v>
      </c>
      <c r="H25" s="10"/>
      <c r="I25">
        <v>0</v>
      </c>
      <c r="J25"/>
    </row>
    <row r="26" spans="1:10" ht="15" customHeight="1" x14ac:dyDescent="0.15">
      <c r="A26" s="147">
        <v>25</v>
      </c>
      <c r="B26" s="147" t="s">
        <v>217</v>
      </c>
      <c r="C26" s="8">
        <v>1</v>
      </c>
      <c r="D26" s="9">
        <v>5</v>
      </c>
      <c r="E26" s="10"/>
      <c r="F26" s="10"/>
      <c r="G26" s="7">
        <v>0</v>
      </c>
      <c r="H26" s="10"/>
      <c r="I26">
        <v>0</v>
      </c>
      <c r="J26"/>
    </row>
    <row r="27" spans="1:10" ht="15" customHeight="1" x14ac:dyDescent="0.15">
      <c r="A27" s="148">
        <v>26</v>
      </c>
      <c r="B27" s="148" t="s">
        <v>218</v>
      </c>
      <c r="C27" s="8">
        <v>3.8040001392364502</v>
      </c>
      <c r="D27" s="10"/>
      <c r="E27" s="10"/>
      <c r="F27" s="10"/>
      <c r="G27" s="10"/>
      <c r="H27" s="10"/>
      <c r="I27">
        <v>0.125</v>
      </c>
      <c r="J27"/>
    </row>
    <row r="28" spans="1:10" ht="15" customHeight="1" x14ac:dyDescent="0.15">
      <c r="A28" s="149">
        <v>27</v>
      </c>
      <c r="B28" s="149" t="s">
        <v>219</v>
      </c>
      <c r="C28" s="8">
        <v>3.2273375988006592</v>
      </c>
      <c r="D28" s="10"/>
      <c r="E28" s="10"/>
      <c r="F28" s="10"/>
      <c r="G28" s="10"/>
      <c r="H28" s="10"/>
      <c r="I28">
        <v>7.5430002212524414</v>
      </c>
      <c r="J28"/>
    </row>
    <row r="29" spans="1:10" ht="15" customHeight="1" x14ac:dyDescent="0.15">
      <c r="A29" s="150">
        <v>28</v>
      </c>
      <c r="B29" s="150" t="s">
        <v>220</v>
      </c>
      <c r="C29" s="8">
        <v>3</v>
      </c>
      <c r="D29" s="10"/>
      <c r="E29" s="10"/>
      <c r="F29" s="10"/>
      <c r="G29" s="10"/>
      <c r="H29" s="10"/>
      <c r="I29">
        <v>0.31999999284744263</v>
      </c>
      <c r="J29"/>
    </row>
    <row r="30" spans="1:10" ht="15" customHeight="1" x14ac:dyDescent="0.15">
      <c r="A30" s="151">
        <v>29</v>
      </c>
      <c r="B30" s="151" t="s">
        <v>221</v>
      </c>
      <c r="C30" s="8">
        <v>3</v>
      </c>
      <c r="D30" s="10"/>
      <c r="E30" s="10"/>
      <c r="F30" s="10"/>
      <c r="G30" s="10"/>
      <c r="H30" s="10"/>
      <c r="I30">
        <v>2</v>
      </c>
      <c r="J30"/>
    </row>
    <row r="31" spans="1:10" ht="15" customHeight="1" x14ac:dyDescent="0.15">
      <c r="A31" s="152">
        <v>30</v>
      </c>
      <c r="B31" s="152" t="s">
        <v>222</v>
      </c>
      <c r="C31" s="8">
        <v>3</v>
      </c>
      <c r="D31" s="10"/>
      <c r="E31" s="10"/>
      <c r="F31" s="10"/>
      <c r="G31" s="10"/>
      <c r="H31" s="10"/>
      <c r="I31">
        <v>9.9999997764825821E-3</v>
      </c>
      <c r="J31"/>
    </row>
    <row r="32" spans="1:10" ht="15" customHeight="1" x14ac:dyDescent="0.15">
      <c r="A32" s="180">
        <v>31</v>
      </c>
      <c r="B32" s="180" t="s">
        <v>223</v>
      </c>
      <c r="C32" s="8">
        <v>4</v>
      </c>
      <c r="D32" s="10"/>
      <c r="E32" s="10"/>
      <c r="F32" s="10"/>
      <c r="G32" s="10"/>
      <c r="H32" s="10"/>
      <c r="I32">
        <v>1.0000000474974513E-3</v>
      </c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6" bestFit="1" customWidth="1"/>
    <col min="2" max="4" width="9.5" style="66" bestFit="1" customWidth="1"/>
    <col min="5" max="7" width="9" style="66" bestFit="1" customWidth="1"/>
    <col min="8" max="16" width="12.6640625" style="66" bestFit="1" customWidth="1"/>
    <col min="17" max="17" width="12.33203125" style="66" bestFit="1" customWidth="1"/>
    <col min="18" max="18" width="8.83203125" style="66"/>
    <col min="19" max="21" width="9.33203125" style="66" bestFit="1" customWidth="1"/>
    <col min="22" max="23" width="8.83203125" style="66"/>
    <col min="24" max="24" width="9.33203125" style="66" bestFit="1" customWidth="1"/>
    <col min="25" max="27" width="8.83203125" style="66"/>
    <col min="28" max="58" width="9" style="66" bestFit="1" customWidth="1"/>
    <col min="59" max="59" width="12.33203125" style="66" bestFit="1" customWidth="1"/>
    <col min="60" max="60" width="9" style="66" bestFit="1" customWidth="1"/>
    <col min="61" max="61" width="11.33203125" style="66" bestFit="1" customWidth="1"/>
    <col min="62" max="77" width="9" style="66" bestFit="1" customWidth="1"/>
    <col min="78" max="78" width="12.33203125" style="66" bestFit="1" customWidth="1"/>
    <col min="79" max="79" width="9" style="66" bestFit="1" customWidth="1"/>
    <col min="80" max="80" width="12.33203125" style="66" bestFit="1" customWidth="1"/>
    <col min="81" max="107" width="9" style="66" bestFit="1" customWidth="1"/>
    <col min="108" max="108" width="11.33203125" style="66" bestFit="1" customWidth="1"/>
    <col min="109" max="124" width="9" style="66" bestFit="1" customWidth="1"/>
    <col min="125" max="125" width="10.33203125" style="66" bestFit="1" customWidth="1"/>
    <col min="126" max="129" width="9.33203125" style="66" bestFit="1" customWidth="1"/>
    <col min="130" max="130" width="9" style="66" bestFit="1" customWidth="1"/>
    <col min="131" max="134" width="9.33203125" style="66" bestFit="1" customWidth="1"/>
    <col min="135" max="165" width="9" style="66" bestFit="1" customWidth="1"/>
    <col min="166" max="166" width="12.33203125" style="66" bestFit="1" customWidth="1"/>
    <col min="167" max="170" width="9" style="66" bestFit="1" customWidth="1"/>
    <col min="171" max="176" width="8.83203125" style="66"/>
    <col min="177" max="177" width="13.83203125" style="66" bestFit="1" customWidth="1"/>
    <col min="178" max="16384" width="8.83203125" style="6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233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1.2000000476837158</v>
      </c>
      <c r="C2">
        <v>0.50395011901855469</v>
      </c>
      <c r="D2"/>
      <c r="E2" s="183">
        <v>0.69124996662139893</v>
      </c>
      <c r="F2"/>
      <c r="G2"/>
      <c r="H2"/>
      <c r="I2"/>
      <c r="J2"/>
      <c r="K2"/>
      <c r="L2"/>
      <c r="M2" s="12">
        <v>4.8000002279877663E-3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0.54000002145767212</v>
      </c>
      <c r="C3">
        <v>3.5200037062168121E-2</v>
      </c>
      <c r="D3"/>
      <c r="E3" s="184">
        <v>0.5</v>
      </c>
      <c r="F3"/>
      <c r="G3"/>
      <c r="H3"/>
      <c r="I3"/>
      <c r="J3"/>
      <c r="K3"/>
      <c r="L3"/>
      <c r="M3" s="14">
        <v>4.8000006936490536E-3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10</v>
      </c>
      <c r="C4">
        <v>1.0000020265579224</v>
      </c>
      <c r="D4"/>
      <c r="E4"/>
      <c r="F4"/>
      <c r="G4"/>
      <c r="H4"/>
      <c r="I4"/>
      <c r="J4"/>
      <c r="K4"/>
      <c r="L4"/>
      <c r="M4"/>
      <c r="N4" s="198">
        <v>4.4637594223022461</v>
      </c>
      <c r="O4"/>
      <c r="P4"/>
      <c r="Q4"/>
      <c r="R4"/>
      <c r="S4"/>
      <c r="T4"/>
      <c r="U4"/>
      <c r="V4" s="199">
        <v>4.5362391471862793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0.10000000149011612</v>
      </c>
      <c r="C5">
        <v>0.10000000149011612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0.5</v>
      </c>
      <c r="C6">
        <v>0.29040002822875977</v>
      </c>
      <c r="D6"/>
      <c r="E6" s="185">
        <v>0.19999998807907104</v>
      </c>
      <c r="F6"/>
      <c r="G6"/>
      <c r="H6"/>
      <c r="I6"/>
      <c r="J6"/>
      <c r="K6"/>
      <c r="L6"/>
      <c r="M6" s="17">
        <v>9.6000013872981071E-3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0.69999998807907104</v>
      </c>
      <c r="C7">
        <v>0.21553860604763031</v>
      </c>
      <c r="D7"/>
      <c r="E7" s="186">
        <v>0.20000000298023224</v>
      </c>
      <c r="F7"/>
      <c r="G7"/>
      <c r="H7"/>
      <c r="I7"/>
      <c r="J7" s="201">
        <v>4.7999996691942215E-2</v>
      </c>
      <c r="K7" s="206">
        <v>0.1080000102519989</v>
      </c>
      <c r="L7"/>
      <c r="M7" s="11">
        <v>1.2799999967683107E-4</v>
      </c>
      <c r="N7" s="201">
        <v>4.8333343118429184E-2</v>
      </c>
      <c r="O7"/>
      <c r="P7"/>
      <c r="Q7"/>
      <c r="R7"/>
      <c r="S7" s="203">
        <v>8.0000005662441254E-2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0.30000001192092896</v>
      </c>
      <c r="C8">
        <v>0.29943773150444031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0.51999998092651367</v>
      </c>
      <c r="C9">
        <v>1.9999982789158821E-2</v>
      </c>
      <c r="D9"/>
      <c r="E9"/>
      <c r="F9" s="188">
        <v>0.5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40</v>
      </c>
      <c r="C10">
        <v>3.2855081558227539</v>
      </c>
      <c r="D10"/>
      <c r="E10"/>
      <c r="F10"/>
      <c r="G10"/>
      <c r="H10"/>
      <c r="I10"/>
      <c r="J10"/>
      <c r="K10"/>
      <c r="L10" s="207">
        <v>1.9480552673339844</v>
      </c>
      <c r="M10"/>
      <c r="N10"/>
      <c r="O10" s="116">
        <v>18.260869979858398</v>
      </c>
      <c r="P10" s="211">
        <v>13.304347991943359</v>
      </c>
      <c r="Q10" s="12">
        <v>0.14469563961029053</v>
      </c>
      <c r="R10"/>
      <c r="S10"/>
      <c r="T10"/>
      <c r="U10"/>
      <c r="V10"/>
      <c r="W10"/>
      <c r="X10"/>
      <c r="Y10"/>
      <c r="Z10"/>
      <c r="AA10"/>
      <c r="AB10"/>
      <c r="AC10" s="201">
        <v>2.7826087474822998</v>
      </c>
      <c r="AD10" s="19">
        <v>0.27391305565834045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2</v>
      </c>
      <c r="C11">
        <v>0.72053360939025879</v>
      </c>
      <c r="D11"/>
      <c r="E11" s="187">
        <v>0.30000001192092896</v>
      </c>
      <c r="F11"/>
      <c r="G11"/>
      <c r="H11"/>
      <c r="I11"/>
      <c r="J11" s="185">
        <v>0.79999977350234985</v>
      </c>
      <c r="K11"/>
      <c r="L11"/>
      <c r="M11" s="19">
        <v>1.2799999676644802E-2</v>
      </c>
      <c r="N11" s="193">
        <v>0.16666661202907562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100</v>
      </c>
      <c r="C12">
        <v>12.47755241394043</v>
      </c>
      <c r="D12"/>
      <c r="E12"/>
      <c r="F12"/>
      <c r="G12"/>
      <c r="H12"/>
      <c r="I12"/>
      <c r="J12"/>
      <c r="K12"/>
      <c r="L12"/>
      <c r="M12"/>
      <c r="N12"/>
      <c r="O12" s="210">
        <v>38.888885498046875</v>
      </c>
      <c r="P12" s="117">
        <v>37.777774810791016</v>
      </c>
      <c r="Q12" s="12">
        <v>0.30814811587333679</v>
      </c>
      <c r="R12"/>
      <c r="S12"/>
      <c r="T12"/>
      <c r="U12"/>
      <c r="V12"/>
      <c r="W12"/>
      <c r="X12"/>
      <c r="Y12"/>
      <c r="Z12"/>
      <c r="AA12"/>
      <c r="AB12" s="205">
        <v>10.547629356384277</v>
      </c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0.40000000596046448</v>
      </c>
      <c r="C13">
        <v>0.30000001192092896</v>
      </c>
      <c r="D13"/>
      <c r="E13"/>
      <c r="F13"/>
      <c r="G13"/>
      <c r="H13"/>
      <c r="I13" s="121">
        <v>0.10000000894069672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6.4500002861022949</v>
      </c>
      <c r="C14">
        <v>0.64500057697296143</v>
      </c>
      <c r="D14" s="181">
        <v>0.2115648090839386</v>
      </c>
      <c r="E14" s="181">
        <v>0.2115648090839386</v>
      </c>
      <c r="F14"/>
      <c r="G14"/>
      <c r="H14"/>
      <c r="I14"/>
      <c r="J14" s="200">
        <v>3.0465331077575684</v>
      </c>
      <c r="K14"/>
      <c r="L14"/>
      <c r="M14" s="13">
        <v>8.1240888684988022E-3</v>
      </c>
      <c r="N14" s="195">
        <v>1.057823657989502</v>
      </c>
      <c r="O14"/>
      <c r="P14"/>
      <c r="Q14"/>
      <c r="R14"/>
      <c r="S14" s="197">
        <v>1.2693889141082764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6.9000000953674316</v>
      </c>
      <c r="C15">
        <v>0.3450005054473877</v>
      </c>
      <c r="D15"/>
      <c r="E15"/>
      <c r="F15"/>
      <c r="G15"/>
      <c r="H15"/>
      <c r="I15"/>
      <c r="J15" s="202">
        <v>3.7162201404571533</v>
      </c>
      <c r="K15"/>
      <c r="L15"/>
      <c r="M15"/>
      <c r="N15" s="194">
        <v>1.2903538942337036</v>
      </c>
      <c r="O15"/>
      <c r="P15"/>
      <c r="Q15"/>
      <c r="R15"/>
      <c r="S15" s="196">
        <v>1.5484251976013184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1</v>
      </c>
      <c r="C16">
        <v>0.10000002384185791</v>
      </c>
      <c r="D16" s="182">
        <v>0.35488957166671753</v>
      </c>
      <c r="E16"/>
      <c r="F16"/>
      <c r="G16"/>
      <c r="H16"/>
      <c r="I16"/>
      <c r="J16"/>
      <c r="K16"/>
      <c r="L16"/>
      <c r="M16" s="192">
        <v>0.54511040449142456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0.20000000298023224</v>
      </c>
      <c r="C17">
        <v>0.20000000298023224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0.2800000011920929</v>
      </c>
      <c r="C18">
        <v>0.21333333849906921</v>
      </c>
      <c r="D18"/>
      <c r="E18"/>
      <c r="F18"/>
      <c r="G18"/>
      <c r="H18" s="191">
        <v>6.6666662693023682E-2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4.8000001907348633</v>
      </c>
      <c r="C19">
        <v>0.48000040650367737</v>
      </c>
      <c r="D19" s="13">
        <v>5.7258512824773788E-3</v>
      </c>
      <c r="E19"/>
      <c r="F19"/>
      <c r="G19"/>
      <c r="H19"/>
      <c r="I19"/>
      <c r="J19" s="15">
        <v>6.8710200488567352E-2</v>
      </c>
      <c r="K19" s="22">
        <v>0.37103518843650818</v>
      </c>
      <c r="L19"/>
      <c r="M19"/>
      <c r="N19" s="120">
        <v>0.14314623177051544</v>
      </c>
      <c r="O19"/>
      <c r="P19"/>
      <c r="Q19"/>
      <c r="R19"/>
      <c r="S19" s="204">
        <v>0.68710219860076904</v>
      </c>
      <c r="T19"/>
      <c r="U19" s="18">
        <v>3.626372292637825E-2</v>
      </c>
      <c r="V19" s="122">
        <v>1.2219526767730713</v>
      </c>
      <c r="W19" s="209">
        <v>1.7860637903213501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10</v>
      </c>
      <c r="C20">
        <v>5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 s="208">
        <v>4.1928973197937012</v>
      </c>
      <c r="W20" s="60">
        <v>0.78236651420593262</v>
      </c>
      <c r="X20" s="13">
        <v>2.4735921993851662E-2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1</v>
      </c>
      <c r="C21">
        <v>0.32090926170349121</v>
      </c>
      <c r="D21"/>
      <c r="E21"/>
      <c r="F21"/>
      <c r="G21" s="190">
        <v>0.625</v>
      </c>
      <c r="H21"/>
      <c r="I21"/>
      <c r="J21"/>
      <c r="K21" s="17">
        <v>2.0250000059604645E-2</v>
      </c>
      <c r="L21"/>
      <c r="M21"/>
      <c r="N21"/>
      <c r="O21"/>
      <c r="P21"/>
      <c r="Q21"/>
      <c r="R21"/>
      <c r="S21"/>
      <c r="T21"/>
      <c r="U21" s="13">
        <v>2.0833334419876337E-3</v>
      </c>
      <c r="V21" s="20">
        <v>3.1757406890392303E-2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0.69999998807907104</v>
      </c>
      <c r="C22">
        <v>0.1666666567325592</v>
      </c>
      <c r="D22"/>
      <c r="E22"/>
      <c r="F22" s="189">
        <v>0.53333336114883423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1.5199999809265137</v>
      </c>
      <c r="C23">
        <v>1.4948999881744385</v>
      </c>
      <c r="D23"/>
      <c r="E23"/>
      <c r="F23"/>
      <c r="G23"/>
      <c r="H23"/>
      <c r="I23"/>
      <c r="J23"/>
      <c r="K23" s="19">
        <v>8.1000011414289474E-3</v>
      </c>
      <c r="L23"/>
      <c r="M23"/>
      <c r="N23"/>
      <c r="O23"/>
      <c r="P23"/>
      <c r="Q23"/>
      <c r="R23"/>
      <c r="S23"/>
      <c r="T23"/>
      <c r="U23"/>
      <c r="V23"/>
      <c r="W23"/>
      <c r="X23"/>
      <c r="Y23" s="11">
        <v>2.0000000949949026E-4</v>
      </c>
      <c r="Z23" s="16">
        <v>1.6800001263618469E-2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160</v>
      </c>
      <c r="C24">
        <v>135.07354736328125</v>
      </c>
      <c r="D24"/>
      <c r="E24"/>
      <c r="F24"/>
      <c r="G24"/>
      <c r="H24"/>
      <c r="I24"/>
      <c r="J24"/>
      <c r="K24"/>
      <c r="L24" s="13">
        <v>0.34465593099594116</v>
      </c>
      <c r="M24"/>
      <c r="N24"/>
      <c r="O24" s="21">
        <v>4.0384616851806641</v>
      </c>
      <c r="P24" s="120">
        <v>4.7076921463012695</v>
      </c>
      <c r="Q24" s="11">
        <v>3.1999997794628143E-2</v>
      </c>
      <c r="R24"/>
      <c r="S24"/>
      <c r="T24"/>
      <c r="U24"/>
      <c r="V24"/>
      <c r="W24"/>
      <c r="X24" s="11">
        <v>1.517265010625124E-2</v>
      </c>
      <c r="Y24"/>
      <c r="Z24"/>
      <c r="AA24" s="207">
        <v>7.7381844520568848</v>
      </c>
      <c r="AB24" s="212">
        <v>3.7241249084472656</v>
      </c>
      <c r="AC24" s="21">
        <v>3.9384615421295166</v>
      </c>
      <c r="AD24" s="13">
        <v>0.38769230246543884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/>
      <c r="C25">
        <v>0.12647618353366852</v>
      </c>
      <c r="D25"/>
      <c r="E25"/>
      <c r="F25"/>
      <c r="G25"/>
      <c r="H25"/>
      <c r="I25"/>
      <c r="J25"/>
      <c r="K25" s="9">
        <v>1.5552000999450684</v>
      </c>
      <c r="L25" s="9">
        <v>2.2402634620666504</v>
      </c>
      <c r="M25"/>
      <c r="N25" s="9">
        <v>0.99999970197677612</v>
      </c>
      <c r="O25" s="9">
        <v>105</v>
      </c>
      <c r="P25" s="9">
        <v>102</v>
      </c>
      <c r="Q25" s="9">
        <v>0.83199995756149292</v>
      </c>
      <c r="R25"/>
      <c r="S25"/>
      <c r="T25"/>
      <c r="U25"/>
      <c r="V25"/>
      <c r="W25" s="9">
        <v>1.7824562788009644</v>
      </c>
      <c r="X25" s="9">
        <v>5.6355558335781097E-2</v>
      </c>
      <c r="Y25"/>
      <c r="Z25"/>
      <c r="AA25" s="9">
        <v>25.149099349975586</v>
      </c>
      <c r="AB25" s="9">
        <v>5.6957201957702637</v>
      </c>
      <c r="AC25" s="9">
        <v>6.4000000953674316</v>
      </c>
      <c r="AD25" s="9">
        <v>0.62999999523162842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/>
      <c r="C26">
        <v>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1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5" t="s">
        <v>166</v>
      </c>
    </row>
    <row r="2" spans="1:12" x14ac:dyDescent="0.15">
      <c r="A2" s="1" t="s">
        <v>37</v>
      </c>
      <c r="B2" s="32">
        <v>3</v>
      </c>
      <c r="C2" s="30"/>
      <c r="D2" t="s">
        <v>38</v>
      </c>
      <c r="E2">
        <v>1</v>
      </c>
      <c r="F2">
        <v>1</v>
      </c>
      <c r="G2">
        <v>1</v>
      </c>
      <c r="H2" t="s">
        <v>38</v>
      </c>
      <c r="J2" s="48"/>
      <c r="K2" s="49"/>
      <c r="L2" s="55" t="s">
        <v>167</v>
      </c>
    </row>
    <row r="3" spans="1:12" ht="14" thickBot="1" x14ac:dyDescent="0.2">
      <c r="A3" s="1" t="s">
        <v>39</v>
      </c>
      <c r="B3" s="33">
        <v>0</v>
      </c>
      <c r="C3" s="3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0"/>
      <c r="K3" s="5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0"/>
      <c r="K4" s="51"/>
    </row>
    <row r="5" spans="1:12" x14ac:dyDescent="0.15">
      <c r="D5" s="172" t="s">
        <v>193</v>
      </c>
      <c r="E5">
        <v>4</v>
      </c>
      <c r="F5">
        <v>3.12</v>
      </c>
      <c r="G5">
        <v>4</v>
      </c>
      <c r="H5" s="173" t="s">
        <v>193</v>
      </c>
      <c r="J5" s="50"/>
      <c r="K5" s="51"/>
    </row>
    <row r="6" spans="1:12" ht="14" thickBot="1" x14ac:dyDescent="0.2">
      <c r="A6" s="34" t="s">
        <v>121</v>
      </c>
      <c r="D6" s="172" t="s">
        <v>194</v>
      </c>
      <c r="E6">
        <v>5</v>
      </c>
      <c r="F6">
        <v>3.21</v>
      </c>
      <c r="G6">
        <v>5</v>
      </c>
      <c r="H6" s="173" t="s">
        <v>194</v>
      </c>
      <c r="J6" s="50"/>
      <c r="K6" s="51"/>
    </row>
    <row r="7" spans="1:12" x14ac:dyDescent="0.15">
      <c r="A7" s="29" t="s">
        <v>126</v>
      </c>
      <c r="B7" s="36">
        <v>1</v>
      </c>
      <c r="C7" s="31"/>
      <c r="D7" s="172" t="s">
        <v>195</v>
      </c>
      <c r="E7">
        <v>6</v>
      </c>
      <c r="F7">
        <v>3.11</v>
      </c>
      <c r="G7">
        <v>6</v>
      </c>
      <c r="H7" s="173" t="s">
        <v>195</v>
      </c>
      <c r="J7" s="50"/>
      <c r="K7" s="51"/>
    </row>
    <row r="8" spans="1:12" x14ac:dyDescent="0.15">
      <c r="A8" s="29" t="s">
        <v>38</v>
      </c>
      <c r="B8" s="37">
        <v>1</v>
      </c>
      <c r="C8" s="31"/>
      <c r="D8" s="172" t="s">
        <v>196</v>
      </c>
      <c r="E8">
        <v>7</v>
      </c>
      <c r="F8">
        <v>3.13</v>
      </c>
      <c r="G8">
        <v>7</v>
      </c>
      <c r="H8" s="173" t="s">
        <v>196</v>
      </c>
      <c r="J8" s="50"/>
      <c r="K8" s="51"/>
    </row>
    <row r="9" spans="1:12" x14ac:dyDescent="0.15">
      <c r="A9" s="29" t="s">
        <v>40</v>
      </c>
      <c r="B9" s="37">
        <v>1.1000000000000001</v>
      </c>
      <c r="C9" s="31"/>
      <c r="D9" s="172" t="s">
        <v>197</v>
      </c>
      <c r="E9">
        <v>8</v>
      </c>
      <c r="F9">
        <v>3</v>
      </c>
      <c r="G9">
        <v>8</v>
      </c>
      <c r="H9" s="173" t="s">
        <v>197</v>
      </c>
      <c r="J9" s="50"/>
      <c r="K9" s="51"/>
    </row>
    <row r="10" spans="1:12" x14ac:dyDescent="0.15">
      <c r="A10" s="29" t="s">
        <v>41</v>
      </c>
      <c r="B10" s="37">
        <v>1.2</v>
      </c>
      <c r="C10" s="31"/>
      <c r="D10" s="172" t="s">
        <v>198</v>
      </c>
      <c r="E10">
        <v>9</v>
      </c>
      <c r="F10">
        <v>3.21</v>
      </c>
      <c r="G10">
        <v>9</v>
      </c>
      <c r="H10" s="173" t="s">
        <v>198</v>
      </c>
      <c r="J10" s="50"/>
      <c r="K10" s="51"/>
    </row>
    <row r="11" spans="1:12" ht="12" customHeight="1" x14ac:dyDescent="0.15">
      <c r="A11" s="35" t="s">
        <v>127</v>
      </c>
      <c r="B11" s="37">
        <v>2</v>
      </c>
      <c r="C11" s="31"/>
      <c r="D11" s="172" t="s">
        <v>199</v>
      </c>
      <c r="E11">
        <v>10</v>
      </c>
      <c r="F11">
        <v>3.21</v>
      </c>
      <c r="G11">
        <v>10</v>
      </c>
      <c r="H11" s="173" t="s">
        <v>199</v>
      </c>
      <c r="J11" s="50"/>
      <c r="K11" s="51"/>
    </row>
    <row r="12" spans="1:12" x14ac:dyDescent="0.15">
      <c r="A12" s="29" t="s">
        <v>42</v>
      </c>
      <c r="B12" s="37">
        <v>2.1</v>
      </c>
      <c r="C12" s="31"/>
      <c r="D12" s="172" t="s">
        <v>200</v>
      </c>
      <c r="E12">
        <v>11</v>
      </c>
      <c r="F12">
        <v>3.21</v>
      </c>
      <c r="G12">
        <v>11</v>
      </c>
      <c r="H12" s="173" t="s">
        <v>200</v>
      </c>
      <c r="J12" s="50"/>
      <c r="K12" s="51"/>
    </row>
    <row r="13" spans="1:12" x14ac:dyDescent="0.15">
      <c r="A13" s="29" t="s">
        <v>43</v>
      </c>
      <c r="B13" s="37">
        <v>2.2000000000000002</v>
      </c>
      <c r="C13" s="31"/>
      <c r="D13" s="172" t="s">
        <v>201</v>
      </c>
      <c r="E13">
        <v>12</v>
      </c>
      <c r="F13">
        <v>2</v>
      </c>
      <c r="G13">
        <v>12</v>
      </c>
      <c r="H13" s="173" t="s">
        <v>201</v>
      </c>
      <c r="J13" s="50"/>
      <c r="K13" s="51"/>
    </row>
    <row r="14" spans="1:12" x14ac:dyDescent="0.15">
      <c r="A14" s="29" t="s">
        <v>67</v>
      </c>
      <c r="B14" s="37">
        <v>2.2999999999999998</v>
      </c>
      <c r="C14" s="31"/>
      <c r="D14" s="172" t="s">
        <v>202</v>
      </c>
      <c r="E14">
        <v>13</v>
      </c>
      <c r="F14">
        <v>3.12</v>
      </c>
      <c r="G14">
        <v>13</v>
      </c>
      <c r="H14" s="173" t="s">
        <v>202</v>
      </c>
      <c r="J14" s="50"/>
      <c r="K14" s="51"/>
    </row>
    <row r="15" spans="1:12" x14ac:dyDescent="0.15">
      <c r="A15" s="35" t="s">
        <v>128</v>
      </c>
      <c r="B15" s="37">
        <v>3</v>
      </c>
      <c r="C15" s="31"/>
      <c r="D15" s="172" t="s">
        <v>203</v>
      </c>
      <c r="E15">
        <v>14</v>
      </c>
      <c r="F15">
        <v>2</v>
      </c>
      <c r="G15">
        <v>14</v>
      </c>
      <c r="H15" s="173" t="s">
        <v>203</v>
      </c>
      <c r="J15" s="50"/>
      <c r="K15" s="51"/>
    </row>
    <row r="16" spans="1:12" x14ac:dyDescent="0.15">
      <c r="A16" s="29" t="s">
        <v>62</v>
      </c>
      <c r="B16" s="37">
        <v>3.11</v>
      </c>
      <c r="C16" s="31"/>
      <c r="D16" s="172" t="s">
        <v>204</v>
      </c>
      <c r="E16">
        <v>15</v>
      </c>
      <c r="F16">
        <v>3.13</v>
      </c>
      <c r="G16">
        <v>15</v>
      </c>
      <c r="H16" s="173" t="s">
        <v>204</v>
      </c>
      <c r="J16" s="50"/>
      <c r="K16" s="51"/>
    </row>
    <row r="17" spans="1:12" x14ac:dyDescent="0.15">
      <c r="A17" s="29" t="s">
        <v>61</v>
      </c>
      <c r="B17" s="37">
        <v>3.12</v>
      </c>
      <c r="C17" s="31"/>
      <c r="D17" s="172" t="s">
        <v>205</v>
      </c>
      <c r="E17">
        <v>16</v>
      </c>
      <c r="F17">
        <v>3</v>
      </c>
      <c r="G17">
        <v>16</v>
      </c>
      <c r="H17" s="173" t="s">
        <v>205</v>
      </c>
      <c r="J17" s="50"/>
      <c r="K17" s="51"/>
    </row>
    <row r="18" spans="1:12" x14ac:dyDescent="0.15">
      <c r="A18" s="29" t="s">
        <v>68</v>
      </c>
      <c r="B18" s="37">
        <v>3.13</v>
      </c>
      <c r="C18" s="31"/>
      <c r="D18" s="172" t="s">
        <v>206</v>
      </c>
      <c r="E18">
        <v>17</v>
      </c>
      <c r="F18">
        <v>3</v>
      </c>
      <c r="G18">
        <v>17</v>
      </c>
      <c r="H18" s="173" t="s">
        <v>206</v>
      </c>
      <c r="J18" s="50"/>
      <c r="K18" s="51"/>
    </row>
    <row r="19" spans="1:12" x14ac:dyDescent="0.15">
      <c r="A19" s="29" t="s">
        <v>66</v>
      </c>
      <c r="B19" s="37">
        <v>3.21</v>
      </c>
      <c r="C19" s="31"/>
      <c r="D19" s="172" t="s">
        <v>207</v>
      </c>
      <c r="E19">
        <v>18</v>
      </c>
      <c r="F19">
        <v>3.12</v>
      </c>
      <c r="G19">
        <v>18</v>
      </c>
      <c r="H19" s="173" t="s">
        <v>207</v>
      </c>
      <c r="J19" s="50"/>
      <c r="K19" s="51"/>
    </row>
    <row r="20" spans="1:12" x14ac:dyDescent="0.15">
      <c r="A20" s="29" t="s">
        <v>63</v>
      </c>
      <c r="B20" s="37">
        <v>3.22</v>
      </c>
      <c r="C20" s="31"/>
      <c r="D20" s="172" t="s">
        <v>208</v>
      </c>
      <c r="E20">
        <v>19</v>
      </c>
      <c r="F20">
        <v>3.13</v>
      </c>
      <c r="G20">
        <v>19</v>
      </c>
      <c r="H20" s="173" t="s">
        <v>208</v>
      </c>
      <c r="J20" s="50"/>
      <c r="K20" s="51"/>
    </row>
    <row r="21" spans="1:12" ht="14" thickBot="1" x14ac:dyDescent="0.2">
      <c r="A21" s="29" t="s">
        <v>69</v>
      </c>
      <c r="B21" s="37">
        <v>3.23</v>
      </c>
      <c r="C21" s="31"/>
      <c r="D21" s="172" t="s">
        <v>209</v>
      </c>
      <c r="E21">
        <v>20</v>
      </c>
      <c r="F21">
        <v>3.22</v>
      </c>
      <c r="G21">
        <v>20</v>
      </c>
      <c r="H21" s="173" t="s">
        <v>209</v>
      </c>
      <c r="J21" s="52"/>
      <c r="K21" s="53"/>
      <c r="L21" s="55" t="s">
        <v>152</v>
      </c>
    </row>
    <row r="22" spans="1:12" x14ac:dyDescent="0.15">
      <c r="A22" s="29" t="s">
        <v>64</v>
      </c>
      <c r="B22" s="37">
        <v>8</v>
      </c>
      <c r="C22" s="31"/>
      <c r="D22" s="172" t="s">
        <v>210</v>
      </c>
      <c r="E22">
        <v>21</v>
      </c>
      <c r="F22">
        <v>3.21</v>
      </c>
      <c r="G22">
        <v>21</v>
      </c>
      <c r="H22" s="173" t="s">
        <v>210</v>
      </c>
    </row>
    <row r="23" spans="1:12" x14ac:dyDescent="0.15">
      <c r="A23" s="29" t="s">
        <v>129</v>
      </c>
      <c r="B23" s="37">
        <v>4</v>
      </c>
      <c r="C23" s="31"/>
      <c r="D23" s="172" t="s">
        <v>211</v>
      </c>
      <c r="E23">
        <v>22</v>
      </c>
      <c r="F23">
        <v>3.21</v>
      </c>
      <c r="G23">
        <v>22</v>
      </c>
      <c r="H23" s="173" t="s">
        <v>211</v>
      </c>
    </row>
    <row r="24" spans="1:12" x14ac:dyDescent="0.15">
      <c r="A24" s="29" t="s">
        <v>122</v>
      </c>
      <c r="B24" s="37">
        <v>4.0999999999999996</v>
      </c>
      <c r="C24" s="31"/>
      <c r="D24" s="172" t="s">
        <v>212</v>
      </c>
      <c r="E24">
        <v>23</v>
      </c>
      <c r="F24">
        <v>3.21</v>
      </c>
      <c r="G24">
        <v>23</v>
      </c>
      <c r="H24" s="173" t="s">
        <v>212</v>
      </c>
    </row>
    <row r="25" spans="1:12" x14ac:dyDescent="0.15">
      <c r="A25" s="29" t="s">
        <v>70</v>
      </c>
      <c r="B25" s="37">
        <v>4.2</v>
      </c>
      <c r="C25" s="31"/>
      <c r="D25" s="172" t="s">
        <v>213</v>
      </c>
      <c r="E25">
        <v>24</v>
      </c>
      <c r="F25">
        <v>3.21</v>
      </c>
      <c r="G25">
        <v>24</v>
      </c>
      <c r="H25" s="173" t="s">
        <v>213</v>
      </c>
    </row>
    <row r="26" spans="1:12" x14ac:dyDescent="0.15">
      <c r="A26" s="29" t="s">
        <v>123</v>
      </c>
      <c r="B26" s="37">
        <v>4.3</v>
      </c>
      <c r="C26" s="31"/>
      <c r="D26" s="172" t="s">
        <v>214</v>
      </c>
      <c r="E26">
        <v>25</v>
      </c>
      <c r="F26">
        <v>2.2999999999999998</v>
      </c>
      <c r="G26">
        <v>25</v>
      </c>
      <c r="H26" s="173" t="s">
        <v>214</v>
      </c>
    </row>
    <row r="27" spans="1:12" x14ac:dyDescent="0.15">
      <c r="A27" s="29" t="s">
        <v>125</v>
      </c>
      <c r="B27" s="37">
        <v>6.1</v>
      </c>
      <c r="D27" s="172" t="s">
        <v>215</v>
      </c>
      <c r="E27">
        <v>26</v>
      </c>
      <c r="F27">
        <v>2</v>
      </c>
      <c r="G27">
        <v>26</v>
      </c>
      <c r="H27" s="173" t="s">
        <v>215</v>
      </c>
    </row>
    <row r="28" spans="1:12" x14ac:dyDescent="0.15">
      <c r="A28" s="29" t="s">
        <v>124</v>
      </c>
      <c r="B28" s="37">
        <v>6.2</v>
      </c>
      <c r="D28" s="172" t="s">
        <v>216</v>
      </c>
      <c r="E28">
        <v>27</v>
      </c>
      <c r="F28">
        <v>4.0999999999999996</v>
      </c>
      <c r="G28">
        <v>27</v>
      </c>
      <c r="H28" s="173" t="s">
        <v>216</v>
      </c>
    </row>
    <row r="29" spans="1:12" x14ac:dyDescent="0.15">
      <c r="A29" s="29" t="s">
        <v>44</v>
      </c>
      <c r="B29" s="37">
        <v>5</v>
      </c>
      <c r="D29" s="172" t="s">
        <v>217</v>
      </c>
      <c r="E29">
        <v>28</v>
      </c>
      <c r="F29">
        <v>4.3</v>
      </c>
      <c r="G29">
        <v>28</v>
      </c>
      <c r="H29" s="173" t="s">
        <v>217</v>
      </c>
    </row>
    <row r="30" spans="1:12" x14ac:dyDescent="0.15">
      <c r="A30" s="29" t="s">
        <v>73</v>
      </c>
      <c r="B30" s="37">
        <v>7</v>
      </c>
      <c r="D30" s="172" t="s">
        <v>218</v>
      </c>
      <c r="E30">
        <v>29</v>
      </c>
      <c r="F30">
        <v>5</v>
      </c>
      <c r="G30">
        <v>29</v>
      </c>
      <c r="H30" s="173" t="s">
        <v>218</v>
      </c>
    </row>
    <row r="31" spans="1:12" x14ac:dyDescent="0.15">
      <c r="A31" s="29" t="s">
        <v>169</v>
      </c>
      <c r="B31" s="37">
        <v>3.14</v>
      </c>
      <c r="D31" s="172" t="s">
        <v>219</v>
      </c>
      <c r="E31">
        <v>30</v>
      </c>
      <c r="F31">
        <v>5</v>
      </c>
      <c r="G31">
        <v>30</v>
      </c>
      <c r="H31" s="173" t="s">
        <v>219</v>
      </c>
    </row>
    <row r="32" spans="1:12" ht="12" customHeight="1" thickBot="1" x14ac:dyDescent="0.2">
      <c r="A32" s="35" t="s">
        <v>170</v>
      </c>
      <c r="B32" s="38">
        <v>9</v>
      </c>
      <c r="D32" s="172" t="s">
        <v>220</v>
      </c>
      <c r="E32">
        <v>31</v>
      </c>
      <c r="F32">
        <v>5</v>
      </c>
      <c r="G32">
        <v>31</v>
      </c>
      <c r="H32" s="173" t="s">
        <v>220</v>
      </c>
    </row>
    <row r="33" spans="4:8" customFormat="1" ht="12" customHeight="1" x14ac:dyDescent="0.15">
      <c r="D33" s="172" t="s">
        <v>221</v>
      </c>
      <c r="E33">
        <v>32</v>
      </c>
      <c r="F33">
        <v>5</v>
      </c>
      <c r="G33">
        <v>32</v>
      </c>
      <c r="H33" s="173" t="s">
        <v>221</v>
      </c>
    </row>
    <row r="34" spans="4:8" customFormat="1" ht="12" customHeight="1" x14ac:dyDescent="0.15">
      <c r="D34" s="172" t="s">
        <v>222</v>
      </c>
      <c r="E34">
        <v>33</v>
      </c>
      <c r="F34">
        <v>5</v>
      </c>
      <c r="G34">
        <v>33</v>
      </c>
      <c r="H34" s="173" t="s">
        <v>222</v>
      </c>
    </row>
    <row r="35" spans="4:8" customFormat="1" x14ac:dyDescent="0.15">
      <c r="D35" s="172" t="s">
        <v>223</v>
      </c>
      <c r="E35">
        <v>34</v>
      </c>
      <c r="F35">
        <v>5</v>
      </c>
      <c r="G35">
        <v>34</v>
      </c>
      <c r="H35" s="173" t="s">
        <v>223</v>
      </c>
    </row>
    <row r="36" spans="4:8" customFormat="1" x14ac:dyDescent="0.15">
      <c r="D36" s="172" t="s">
        <v>138</v>
      </c>
      <c r="E36">
        <v>35</v>
      </c>
      <c r="F36">
        <v>6.1</v>
      </c>
      <c r="G36">
        <v>35</v>
      </c>
      <c r="H36" s="173" t="s">
        <v>138</v>
      </c>
    </row>
    <row r="37" spans="4:8" customFormat="1" ht="12" customHeight="1" x14ac:dyDescent="0.15">
      <c r="D37" s="172" t="s">
        <v>45</v>
      </c>
      <c r="E37">
        <v>36</v>
      </c>
      <c r="F37">
        <v>6.2</v>
      </c>
      <c r="G37">
        <v>36</v>
      </c>
      <c r="H37" s="173" t="s">
        <v>45</v>
      </c>
    </row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4" style="67" bestFit="1" customWidth="1"/>
    <col min="2" max="2" width="13.83203125" style="66" customWidth="1"/>
    <col min="3" max="3" width="14" style="66" customWidth="1"/>
    <col min="4" max="4" width="4.83203125" style="66" customWidth="1"/>
    <col min="5" max="5" width="13.83203125" style="66" customWidth="1"/>
    <col min="6" max="6" width="21.6640625" style="66" bestFit="1" customWidth="1"/>
    <col min="7" max="9" width="2.33203125" style="66" customWidth="1"/>
    <col min="10" max="10" width="2.33203125" style="66" bestFit="1" customWidth="1"/>
    <col min="11" max="15" width="2.33203125" style="66" customWidth="1"/>
    <col min="16" max="16" width="2.33203125" style="58" customWidth="1"/>
    <col min="17" max="17" width="2.33203125" style="66" customWidth="1"/>
    <col min="18" max="18" width="2.33203125" style="59" customWidth="1"/>
    <col min="19" max="16384" width="11.5" style="66"/>
  </cols>
  <sheetData>
    <row r="1" spans="1:23" ht="15" customHeight="1" thickBot="1" x14ac:dyDescent="0.2">
      <c r="F1" s="1"/>
      <c r="G1" s="57" t="s">
        <v>46</v>
      </c>
      <c r="H1" s="57" t="s">
        <v>47</v>
      </c>
      <c r="I1" s="57" t="s">
        <v>120</v>
      </c>
      <c r="J1" s="57" t="s">
        <v>132</v>
      </c>
      <c r="K1" s="68" t="s">
        <v>48</v>
      </c>
      <c r="L1" s="59"/>
      <c r="M1" s="68" t="s">
        <v>119</v>
      </c>
      <c r="N1" s="59"/>
      <c r="O1" s="68" t="s">
        <v>49</v>
      </c>
      <c r="P1" s="61"/>
      <c r="Q1" s="68" t="s">
        <v>50</v>
      </c>
      <c r="R1" s="57" t="s">
        <v>154</v>
      </c>
    </row>
    <row r="2" spans="1:23" ht="15" customHeight="1" x14ac:dyDescent="0.15">
      <c r="A2" s="68" t="s">
        <v>51</v>
      </c>
      <c r="B2" s="69">
        <v>0.5</v>
      </c>
      <c r="C2" s="67" t="s">
        <v>52</v>
      </c>
      <c r="D2" s="70"/>
      <c r="F2" s="1"/>
      <c r="G2" s="71"/>
      <c r="H2" s="71"/>
      <c r="I2" s="71" t="s">
        <v>133</v>
      </c>
      <c r="J2" s="71" t="s">
        <v>133</v>
      </c>
      <c r="K2" s="71" t="s">
        <v>52</v>
      </c>
      <c r="L2" s="71" t="s">
        <v>53</v>
      </c>
      <c r="M2" s="71" t="s">
        <v>52</v>
      </c>
      <c r="N2" s="71" t="s">
        <v>53</v>
      </c>
      <c r="O2" s="71" t="s">
        <v>52</v>
      </c>
      <c r="P2" s="72" t="s">
        <v>53</v>
      </c>
      <c r="Q2" s="71"/>
      <c r="R2" s="73" t="s">
        <v>155</v>
      </c>
    </row>
    <row r="3" spans="1:23" ht="15" customHeight="1" thickBot="1" x14ac:dyDescent="0.2">
      <c r="A3" s="68" t="s">
        <v>54</v>
      </c>
      <c r="B3" s="74">
        <v>0.5</v>
      </c>
      <c r="C3" s="67" t="s">
        <v>53</v>
      </c>
      <c r="D3" s="7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5">
        <v>0</v>
      </c>
      <c r="R3" s="3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5">
        <v>0</v>
      </c>
      <c r="R4" s="90">
        <v>0</v>
      </c>
    </row>
    <row r="5" spans="1:23" ht="15" customHeight="1" x14ac:dyDescent="0.15">
      <c r="A5" s="68" t="s">
        <v>55</v>
      </c>
      <c r="B5" s="75">
        <v>0.5</v>
      </c>
      <c r="C5" s="67" t="s">
        <v>52</v>
      </c>
      <c r="D5" s="7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5">
        <v>0</v>
      </c>
      <c r="R5" s="90">
        <v>0</v>
      </c>
    </row>
    <row r="6" spans="1:23" ht="15" customHeight="1" thickBot="1" x14ac:dyDescent="0.2">
      <c r="A6" s="68"/>
      <c r="B6" s="76">
        <v>0.5</v>
      </c>
      <c r="C6" s="67" t="s">
        <v>53</v>
      </c>
      <c r="D6" s="70"/>
      <c r="F6" s="174" t="s">
        <v>193</v>
      </c>
      <c r="G6" s="66">
        <v>0</v>
      </c>
      <c r="H6" s="66">
        <v>0</v>
      </c>
      <c r="I6" s="66">
        <v>0</v>
      </c>
      <c r="J6" s="66">
        <v>0</v>
      </c>
      <c r="K6" s="66">
        <v>1</v>
      </c>
      <c r="L6" s="66">
        <v>0</v>
      </c>
      <c r="M6" s="66">
        <v>1</v>
      </c>
      <c r="N6" s="66">
        <v>0</v>
      </c>
      <c r="O6" s="66">
        <v>1</v>
      </c>
      <c r="P6" s="58">
        <v>0</v>
      </c>
      <c r="Q6" s="66">
        <v>0</v>
      </c>
      <c r="R6" s="59">
        <v>1</v>
      </c>
      <c r="S6"/>
      <c r="T6"/>
    </row>
    <row r="7" spans="1:23" ht="15" customHeight="1" thickBot="1" x14ac:dyDescent="0.2">
      <c r="F7" s="174" t="s">
        <v>194</v>
      </c>
      <c r="G7" s="66">
        <v>0</v>
      </c>
      <c r="H7" s="66">
        <v>0</v>
      </c>
      <c r="I7" s="66">
        <v>0</v>
      </c>
      <c r="J7" s="66">
        <v>0</v>
      </c>
      <c r="K7" s="66">
        <v>1</v>
      </c>
      <c r="L7" s="66">
        <v>0</v>
      </c>
      <c r="M7" s="66">
        <v>1</v>
      </c>
      <c r="N7" s="66">
        <v>0</v>
      </c>
      <c r="O7" s="66">
        <v>1</v>
      </c>
      <c r="P7" s="58">
        <v>0</v>
      </c>
      <c r="Q7" s="66">
        <v>0</v>
      </c>
      <c r="R7" s="59">
        <v>1</v>
      </c>
      <c r="S7"/>
      <c r="T7"/>
    </row>
    <row r="8" spans="1:23" ht="15" customHeight="1" x14ac:dyDescent="0.15">
      <c r="A8" s="68" t="s">
        <v>56</v>
      </c>
      <c r="B8" s="75">
        <v>4.0711567395344719E-2</v>
      </c>
      <c r="C8" s="175" t="s">
        <v>201</v>
      </c>
      <c r="D8" s="70" t="s">
        <v>160</v>
      </c>
      <c r="F8" s="174" t="s">
        <v>195</v>
      </c>
      <c r="G8" s="66">
        <v>0</v>
      </c>
      <c r="H8" s="66">
        <v>0</v>
      </c>
      <c r="I8" s="66">
        <v>0</v>
      </c>
      <c r="J8" s="66">
        <v>0</v>
      </c>
      <c r="K8" s="66">
        <v>1</v>
      </c>
      <c r="L8" s="66">
        <v>0</v>
      </c>
      <c r="M8" s="66">
        <v>1</v>
      </c>
      <c r="N8" s="66">
        <v>0</v>
      </c>
      <c r="O8" s="66">
        <v>1</v>
      </c>
      <c r="P8" s="58">
        <v>0</v>
      </c>
      <c r="Q8" s="66">
        <v>0</v>
      </c>
      <c r="R8" s="59">
        <v>1</v>
      </c>
      <c r="S8"/>
      <c r="T8"/>
      <c r="W8"/>
    </row>
    <row r="9" spans="1:23" ht="15" customHeight="1" x14ac:dyDescent="0.15">
      <c r="A9" s="104" t="s">
        <v>168</v>
      </c>
      <c r="B9" s="77">
        <v>1.1947959996459864E-2</v>
      </c>
      <c r="C9" s="175" t="s">
        <v>203</v>
      </c>
      <c r="D9" s="70" t="s">
        <v>160</v>
      </c>
      <c r="F9" s="174" t="s">
        <v>196</v>
      </c>
      <c r="G9" s="66">
        <v>0</v>
      </c>
      <c r="H9" s="66">
        <v>0</v>
      </c>
      <c r="I9" s="66">
        <v>0</v>
      </c>
      <c r="J9" s="66">
        <v>0</v>
      </c>
      <c r="K9" s="66">
        <v>1</v>
      </c>
      <c r="L9" s="66">
        <v>0</v>
      </c>
      <c r="M9" s="66">
        <v>1</v>
      </c>
      <c r="N9" s="66">
        <v>0</v>
      </c>
      <c r="O9" s="66">
        <v>1</v>
      </c>
      <c r="P9" s="58">
        <v>0</v>
      </c>
      <c r="Q9" s="66">
        <v>0</v>
      </c>
      <c r="R9" s="59">
        <v>1</v>
      </c>
      <c r="S9"/>
      <c r="T9"/>
      <c r="W9"/>
    </row>
    <row r="10" spans="1:23" ht="15" customHeight="1" x14ac:dyDescent="0.15">
      <c r="B10" s="77">
        <v>2.6905035843879987E-2</v>
      </c>
      <c r="C10" s="175" t="s">
        <v>214</v>
      </c>
      <c r="D10" s="70" t="s">
        <v>160</v>
      </c>
      <c r="F10" s="174" t="s">
        <v>197</v>
      </c>
      <c r="G10" s="66">
        <v>0</v>
      </c>
      <c r="H10" s="66">
        <v>0</v>
      </c>
      <c r="I10" s="66">
        <v>0</v>
      </c>
      <c r="J10" s="66">
        <v>0</v>
      </c>
      <c r="K10" s="66">
        <v>1</v>
      </c>
      <c r="L10" s="66">
        <v>0</v>
      </c>
      <c r="M10" s="66">
        <v>1</v>
      </c>
      <c r="N10" s="66">
        <v>0</v>
      </c>
      <c r="O10" s="66">
        <v>1</v>
      </c>
      <c r="P10" s="58">
        <v>0</v>
      </c>
      <c r="Q10" s="66">
        <v>0</v>
      </c>
      <c r="R10" s="59">
        <v>1</v>
      </c>
      <c r="S10"/>
      <c r="T10"/>
      <c r="W10"/>
    </row>
    <row r="11" spans="1:23" ht="15" customHeight="1" x14ac:dyDescent="0.15">
      <c r="A11" s="68"/>
      <c r="B11" s="77">
        <v>0.92043543676431538</v>
      </c>
      <c r="C11" s="175" t="s">
        <v>215</v>
      </c>
      <c r="D11" s="70" t="s">
        <v>160</v>
      </c>
      <c r="F11" s="174" t="s">
        <v>198</v>
      </c>
      <c r="G11" s="66">
        <v>0</v>
      </c>
      <c r="H11" s="66">
        <v>0</v>
      </c>
      <c r="I11" s="66">
        <v>0</v>
      </c>
      <c r="J11" s="66">
        <v>0</v>
      </c>
      <c r="K11" s="66">
        <v>1</v>
      </c>
      <c r="L11" s="66">
        <v>0</v>
      </c>
      <c r="M11" s="66">
        <v>1</v>
      </c>
      <c r="N11" s="66">
        <v>0</v>
      </c>
      <c r="O11" s="66">
        <v>1</v>
      </c>
      <c r="P11" s="58">
        <v>0</v>
      </c>
      <c r="Q11" s="66">
        <v>0</v>
      </c>
      <c r="R11" s="59">
        <v>1</v>
      </c>
      <c r="S11"/>
      <c r="T11"/>
      <c r="W11"/>
    </row>
    <row r="12" spans="1:23" ht="15" customHeight="1" x14ac:dyDescent="0.15">
      <c r="B12" s="77"/>
      <c r="C12" s="80"/>
      <c r="D12" s="70" t="s">
        <v>160</v>
      </c>
      <c r="F12" s="174" t="s">
        <v>199</v>
      </c>
      <c r="G12" s="66">
        <v>0</v>
      </c>
      <c r="H12" s="66">
        <v>0</v>
      </c>
      <c r="I12" s="66">
        <v>0</v>
      </c>
      <c r="J12" s="66">
        <v>0</v>
      </c>
      <c r="K12" s="66">
        <v>1</v>
      </c>
      <c r="L12" s="66">
        <v>0</v>
      </c>
      <c r="M12" s="66">
        <v>1</v>
      </c>
      <c r="N12" s="66">
        <v>0</v>
      </c>
      <c r="O12" s="66">
        <v>1</v>
      </c>
      <c r="P12" s="58">
        <v>0</v>
      </c>
      <c r="Q12" s="66">
        <v>0</v>
      </c>
      <c r="R12" s="59">
        <v>1</v>
      </c>
      <c r="S12"/>
      <c r="T12"/>
      <c r="W12"/>
    </row>
    <row r="13" spans="1:23" ht="15" customHeight="1" x14ac:dyDescent="0.15">
      <c r="B13" s="77"/>
      <c r="C13" s="80"/>
      <c r="D13" s="70" t="s">
        <v>160</v>
      </c>
      <c r="F13" s="174" t="s">
        <v>200</v>
      </c>
      <c r="G13" s="66">
        <v>0</v>
      </c>
      <c r="H13" s="66">
        <v>0</v>
      </c>
      <c r="I13" s="66">
        <v>0</v>
      </c>
      <c r="J13" s="66">
        <v>0</v>
      </c>
      <c r="K13" s="66">
        <v>1</v>
      </c>
      <c r="L13" s="66">
        <v>0</v>
      </c>
      <c r="M13" s="66">
        <v>1</v>
      </c>
      <c r="N13" s="66">
        <v>0</v>
      </c>
      <c r="O13" s="66">
        <v>1</v>
      </c>
      <c r="P13" s="58">
        <v>0</v>
      </c>
      <c r="Q13" s="66">
        <v>0</v>
      </c>
      <c r="R13" s="59">
        <v>1</v>
      </c>
      <c r="S13"/>
      <c r="T13"/>
      <c r="W13"/>
    </row>
    <row r="14" spans="1:23" ht="15" customHeight="1" x14ac:dyDescent="0.15">
      <c r="B14" s="77"/>
      <c r="C14" s="65"/>
      <c r="D14" s="70" t="s">
        <v>160</v>
      </c>
      <c r="F14" s="174" t="s">
        <v>201</v>
      </c>
      <c r="G14" s="66">
        <v>0</v>
      </c>
      <c r="H14" s="66">
        <v>0</v>
      </c>
      <c r="I14" s="66">
        <v>0</v>
      </c>
      <c r="J14" s="66">
        <v>0</v>
      </c>
      <c r="K14" s="66">
        <v>0</v>
      </c>
      <c r="L14" s="66">
        <v>0</v>
      </c>
      <c r="M14" s="66">
        <v>1</v>
      </c>
      <c r="N14" s="66">
        <v>0</v>
      </c>
      <c r="O14" s="66">
        <v>0</v>
      </c>
      <c r="P14" s="58">
        <v>0</v>
      </c>
      <c r="Q14" s="66">
        <v>0</v>
      </c>
      <c r="R14" s="59">
        <v>1</v>
      </c>
      <c r="S14"/>
      <c r="T14"/>
      <c r="W14"/>
    </row>
    <row r="15" spans="1:23" ht="15" customHeight="1" x14ac:dyDescent="0.15">
      <c r="B15" s="77"/>
      <c r="C15" s="65"/>
      <c r="D15" s="70" t="s">
        <v>160</v>
      </c>
      <c r="F15" s="174" t="s">
        <v>202</v>
      </c>
      <c r="G15" s="66">
        <v>0</v>
      </c>
      <c r="H15" s="66">
        <v>0</v>
      </c>
      <c r="I15" s="66">
        <v>0</v>
      </c>
      <c r="J15" s="66">
        <v>0</v>
      </c>
      <c r="K15" s="66">
        <v>0</v>
      </c>
      <c r="L15" s="66">
        <v>1</v>
      </c>
      <c r="M15" s="66">
        <v>0</v>
      </c>
      <c r="N15" s="66">
        <v>1</v>
      </c>
      <c r="O15" s="66">
        <v>0</v>
      </c>
      <c r="P15" s="58">
        <v>1</v>
      </c>
      <c r="Q15" s="66">
        <v>0</v>
      </c>
      <c r="R15" s="59">
        <v>1</v>
      </c>
      <c r="S15"/>
      <c r="T15"/>
      <c r="W15"/>
    </row>
    <row r="16" spans="1:23" ht="15" customHeight="1" x14ac:dyDescent="0.15">
      <c r="B16" s="77"/>
      <c r="C16" s="65"/>
      <c r="D16" s="70" t="s">
        <v>160</v>
      </c>
      <c r="F16" s="174" t="s">
        <v>203</v>
      </c>
      <c r="G16" s="66">
        <v>0</v>
      </c>
      <c r="H16" s="66">
        <v>0</v>
      </c>
      <c r="I16" s="66">
        <v>0</v>
      </c>
      <c r="J16" s="66">
        <v>0</v>
      </c>
      <c r="K16" s="66">
        <v>0</v>
      </c>
      <c r="L16" s="66">
        <v>0</v>
      </c>
      <c r="M16" s="66">
        <v>1</v>
      </c>
      <c r="N16" s="66">
        <v>0</v>
      </c>
      <c r="O16" s="66">
        <v>0</v>
      </c>
      <c r="P16" s="58">
        <v>0</v>
      </c>
      <c r="Q16" s="66">
        <v>0</v>
      </c>
      <c r="R16" s="59">
        <v>1</v>
      </c>
      <c r="S16"/>
      <c r="T16"/>
    </row>
    <row r="17" spans="1:20" ht="15" customHeight="1" thickBot="1" x14ac:dyDescent="0.2">
      <c r="B17" s="76"/>
      <c r="C17" s="65"/>
      <c r="D17" s="70" t="s">
        <v>160</v>
      </c>
      <c r="F17" s="174" t="s">
        <v>204</v>
      </c>
      <c r="G17" s="66">
        <v>0</v>
      </c>
      <c r="H17" s="66">
        <v>0</v>
      </c>
      <c r="I17" s="66">
        <v>0</v>
      </c>
      <c r="J17" s="66">
        <v>0</v>
      </c>
      <c r="K17" s="66">
        <v>1</v>
      </c>
      <c r="L17" s="66">
        <v>0</v>
      </c>
      <c r="M17" s="66">
        <v>1</v>
      </c>
      <c r="N17" s="66">
        <v>0</v>
      </c>
      <c r="O17" s="66">
        <v>1</v>
      </c>
      <c r="P17" s="58">
        <v>0</v>
      </c>
      <c r="Q17" s="66">
        <v>0</v>
      </c>
      <c r="R17" s="59">
        <v>1</v>
      </c>
      <c r="S17"/>
      <c r="T17"/>
    </row>
    <row r="18" spans="1:20" ht="15" customHeight="1" thickBot="1" x14ac:dyDescent="0.2">
      <c r="B18" s="78"/>
      <c r="F18" s="174" t="s">
        <v>205</v>
      </c>
      <c r="G18" s="66">
        <v>0</v>
      </c>
      <c r="H18" s="66">
        <v>0</v>
      </c>
      <c r="I18" s="66">
        <v>0</v>
      </c>
      <c r="J18" s="66">
        <v>0</v>
      </c>
      <c r="K18" s="66">
        <v>0</v>
      </c>
      <c r="L18" s="66">
        <v>1</v>
      </c>
      <c r="M18" s="66">
        <v>0</v>
      </c>
      <c r="N18" s="66">
        <v>1</v>
      </c>
      <c r="O18" s="66">
        <v>0</v>
      </c>
      <c r="P18" s="58">
        <v>1</v>
      </c>
      <c r="Q18" s="66">
        <v>0</v>
      </c>
      <c r="R18" s="59">
        <v>1</v>
      </c>
      <c r="S18"/>
      <c r="T18"/>
    </row>
    <row r="19" spans="1:20" ht="15" customHeight="1" x14ac:dyDescent="0.15">
      <c r="A19" s="68" t="s">
        <v>57</v>
      </c>
      <c r="B19" s="75">
        <v>4.0711567395344719E-2</v>
      </c>
      <c r="C19" s="176" t="s">
        <v>201</v>
      </c>
      <c r="D19" s="70" t="s">
        <v>160</v>
      </c>
      <c r="F19" s="174" t="s">
        <v>206</v>
      </c>
      <c r="G19" s="66">
        <v>0</v>
      </c>
      <c r="H19" s="66">
        <v>0</v>
      </c>
      <c r="I19" s="66">
        <v>0</v>
      </c>
      <c r="J19" s="66">
        <v>0</v>
      </c>
      <c r="K19" s="66">
        <v>1</v>
      </c>
      <c r="L19" s="66">
        <v>0</v>
      </c>
      <c r="M19" s="66">
        <v>1</v>
      </c>
      <c r="N19" s="66">
        <v>0</v>
      </c>
      <c r="O19" s="66">
        <v>1</v>
      </c>
      <c r="P19" s="58">
        <v>0</v>
      </c>
      <c r="Q19" s="66">
        <v>0</v>
      </c>
      <c r="R19" s="59">
        <v>1</v>
      </c>
      <c r="S19"/>
      <c r="T19"/>
    </row>
    <row r="20" spans="1:20" ht="15" customHeight="1" x14ac:dyDescent="0.15">
      <c r="A20" s="104" t="s">
        <v>168</v>
      </c>
      <c r="B20" s="77">
        <v>1.1947959996459864E-2</v>
      </c>
      <c r="C20" s="176" t="s">
        <v>203</v>
      </c>
      <c r="D20" s="70" t="s">
        <v>160</v>
      </c>
      <c r="F20" s="174" t="s">
        <v>207</v>
      </c>
      <c r="G20" s="66">
        <v>0</v>
      </c>
      <c r="H20" s="66">
        <v>0</v>
      </c>
      <c r="I20" s="66">
        <v>0</v>
      </c>
      <c r="J20" s="66">
        <v>0</v>
      </c>
      <c r="K20" s="66">
        <v>1</v>
      </c>
      <c r="L20" s="66">
        <v>0</v>
      </c>
      <c r="M20" s="66">
        <v>1</v>
      </c>
      <c r="N20" s="66">
        <v>0</v>
      </c>
      <c r="O20" s="66">
        <v>1</v>
      </c>
      <c r="P20" s="58">
        <v>0</v>
      </c>
      <c r="Q20" s="66">
        <v>0</v>
      </c>
      <c r="R20" s="59">
        <v>1</v>
      </c>
      <c r="S20"/>
      <c r="T20"/>
    </row>
    <row r="21" spans="1:20" ht="15" customHeight="1" x14ac:dyDescent="0.15">
      <c r="B21" s="77">
        <v>2.6905035843879987E-2</v>
      </c>
      <c r="C21" s="176" t="s">
        <v>214</v>
      </c>
      <c r="D21" s="70" t="s">
        <v>160</v>
      </c>
      <c r="F21" s="174" t="s">
        <v>208</v>
      </c>
      <c r="G21" s="66">
        <v>0</v>
      </c>
      <c r="H21" s="66">
        <v>0</v>
      </c>
      <c r="I21" s="66">
        <v>0</v>
      </c>
      <c r="J21" s="66">
        <v>0</v>
      </c>
      <c r="K21" s="66">
        <v>1</v>
      </c>
      <c r="L21" s="66">
        <v>0</v>
      </c>
      <c r="M21" s="66">
        <v>1</v>
      </c>
      <c r="N21" s="66">
        <v>0</v>
      </c>
      <c r="O21" s="66">
        <v>1</v>
      </c>
      <c r="P21" s="58">
        <v>0</v>
      </c>
      <c r="Q21" s="66">
        <v>0</v>
      </c>
      <c r="R21" s="59">
        <v>1</v>
      </c>
      <c r="S21"/>
      <c r="T21"/>
    </row>
    <row r="22" spans="1:20" ht="15" customHeight="1" x14ac:dyDescent="0.15">
      <c r="A22" s="66"/>
      <c r="B22" s="77">
        <v>0.92043543676431538</v>
      </c>
      <c r="C22" s="176" t="s">
        <v>215</v>
      </c>
      <c r="D22" s="70" t="s">
        <v>160</v>
      </c>
      <c r="F22" s="174" t="s">
        <v>209</v>
      </c>
      <c r="G22" s="66">
        <v>0</v>
      </c>
      <c r="H22" s="66">
        <v>0</v>
      </c>
      <c r="I22" s="66">
        <v>0</v>
      </c>
      <c r="J22" s="66">
        <v>0</v>
      </c>
      <c r="K22" s="66">
        <v>1</v>
      </c>
      <c r="L22" s="66">
        <v>0</v>
      </c>
      <c r="M22" s="66">
        <v>1</v>
      </c>
      <c r="N22" s="66">
        <v>0</v>
      </c>
      <c r="O22" s="66">
        <v>1</v>
      </c>
      <c r="P22" s="58">
        <v>0</v>
      </c>
      <c r="Q22" s="66">
        <v>0</v>
      </c>
      <c r="R22" s="59">
        <v>1</v>
      </c>
      <c r="S22"/>
      <c r="T22"/>
    </row>
    <row r="23" spans="1:20" ht="15" customHeight="1" x14ac:dyDescent="0.15">
      <c r="A23" s="66"/>
      <c r="B23" s="77"/>
      <c r="C23" s="80"/>
      <c r="D23" s="70" t="s">
        <v>160</v>
      </c>
      <c r="F23" s="174" t="s">
        <v>210</v>
      </c>
      <c r="G23" s="66">
        <v>0</v>
      </c>
      <c r="H23" s="66">
        <v>0</v>
      </c>
      <c r="I23" s="66">
        <v>0</v>
      </c>
      <c r="J23" s="66">
        <v>0</v>
      </c>
      <c r="K23" s="66">
        <v>1</v>
      </c>
      <c r="L23" s="66">
        <v>0</v>
      </c>
      <c r="M23" s="66">
        <v>1</v>
      </c>
      <c r="N23" s="66">
        <v>0</v>
      </c>
      <c r="O23" s="66">
        <v>1</v>
      </c>
      <c r="P23" s="58">
        <v>0</v>
      </c>
      <c r="Q23" s="66">
        <v>0</v>
      </c>
      <c r="R23" s="59">
        <v>1</v>
      </c>
      <c r="S23"/>
      <c r="T23"/>
    </row>
    <row r="24" spans="1:20" ht="15" customHeight="1" x14ac:dyDescent="0.15">
      <c r="A24" s="66"/>
      <c r="B24" s="77"/>
      <c r="C24" s="80"/>
      <c r="D24" s="70" t="s">
        <v>160</v>
      </c>
      <c r="F24" s="174" t="s">
        <v>211</v>
      </c>
      <c r="G24" s="66">
        <v>0</v>
      </c>
      <c r="H24" s="66">
        <v>0</v>
      </c>
      <c r="I24" s="66">
        <v>0</v>
      </c>
      <c r="J24" s="66">
        <v>0</v>
      </c>
      <c r="K24" s="66">
        <v>1</v>
      </c>
      <c r="L24" s="66">
        <v>0</v>
      </c>
      <c r="M24" s="66">
        <v>1</v>
      </c>
      <c r="N24" s="66">
        <v>0</v>
      </c>
      <c r="O24" s="66">
        <v>1</v>
      </c>
      <c r="P24" s="58">
        <v>0</v>
      </c>
      <c r="Q24" s="66">
        <v>0</v>
      </c>
      <c r="R24" s="59">
        <v>1</v>
      </c>
      <c r="S24"/>
      <c r="T24"/>
    </row>
    <row r="25" spans="1:20" ht="15" customHeight="1" x14ac:dyDescent="0.15">
      <c r="A25" s="66"/>
      <c r="B25" s="77"/>
      <c r="C25" s="65"/>
      <c r="D25" s="70" t="s">
        <v>160</v>
      </c>
      <c r="F25" s="174" t="s">
        <v>212</v>
      </c>
      <c r="G25" s="66">
        <v>0</v>
      </c>
      <c r="H25" s="66">
        <v>0</v>
      </c>
      <c r="I25" s="66">
        <v>0</v>
      </c>
      <c r="J25" s="66">
        <v>0</v>
      </c>
      <c r="K25" s="66">
        <v>1</v>
      </c>
      <c r="L25" s="66">
        <v>0</v>
      </c>
      <c r="M25" s="66">
        <v>1</v>
      </c>
      <c r="N25" s="66">
        <v>0</v>
      </c>
      <c r="O25" s="66">
        <v>1</v>
      </c>
      <c r="P25" s="58">
        <v>0</v>
      </c>
      <c r="Q25" s="66">
        <v>0</v>
      </c>
      <c r="R25" s="59">
        <v>1</v>
      </c>
      <c r="S25"/>
      <c r="T25"/>
    </row>
    <row r="26" spans="1:20" ht="15" customHeight="1" x14ac:dyDescent="0.15">
      <c r="B26" s="77"/>
      <c r="C26" s="65"/>
      <c r="D26" s="70" t="s">
        <v>160</v>
      </c>
      <c r="F26" s="174" t="s">
        <v>213</v>
      </c>
      <c r="G26" s="66">
        <v>0</v>
      </c>
      <c r="H26" s="66">
        <v>0</v>
      </c>
      <c r="I26" s="66">
        <v>0</v>
      </c>
      <c r="J26" s="66">
        <v>0</v>
      </c>
      <c r="K26" s="66">
        <v>1</v>
      </c>
      <c r="L26" s="66">
        <v>0</v>
      </c>
      <c r="M26" s="66">
        <v>1</v>
      </c>
      <c r="N26" s="66">
        <v>0</v>
      </c>
      <c r="O26" s="66">
        <v>1</v>
      </c>
      <c r="P26" s="58">
        <v>0</v>
      </c>
      <c r="Q26" s="66">
        <v>0</v>
      </c>
      <c r="R26" s="59">
        <v>1</v>
      </c>
      <c r="S26"/>
      <c r="T26"/>
    </row>
    <row r="27" spans="1:20" ht="15" customHeight="1" x14ac:dyDescent="0.15">
      <c r="B27" s="77"/>
      <c r="C27" s="65"/>
      <c r="D27" s="70" t="s">
        <v>160</v>
      </c>
      <c r="F27" s="174" t="s">
        <v>214</v>
      </c>
      <c r="G27" s="66">
        <v>0</v>
      </c>
      <c r="H27" s="66">
        <v>0</v>
      </c>
      <c r="I27" s="66">
        <v>0</v>
      </c>
      <c r="J27" s="66">
        <v>0</v>
      </c>
      <c r="K27" s="66">
        <v>0</v>
      </c>
      <c r="L27" s="66">
        <v>0</v>
      </c>
      <c r="M27" s="66">
        <v>1</v>
      </c>
      <c r="N27" s="66">
        <v>0</v>
      </c>
      <c r="O27" s="66">
        <v>0</v>
      </c>
      <c r="P27" s="58">
        <v>0</v>
      </c>
      <c r="Q27" s="66">
        <v>0</v>
      </c>
      <c r="R27" s="59">
        <v>1</v>
      </c>
      <c r="S27"/>
      <c r="T27"/>
    </row>
    <row r="28" spans="1:20" ht="15" customHeight="1" thickBot="1" x14ac:dyDescent="0.2">
      <c r="B28" s="76"/>
      <c r="C28" s="65"/>
      <c r="D28" s="70" t="s">
        <v>160</v>
      </c>
      <c r="F28" s="174" t="s">
        <v>215</v>
      </c>
      <c r="G28" s="66">
        <v>0</v>
      </c>
      <c r="H28" s="66">
        <v>0</v>
      </c>
      <c r="I28" s="66">
        <v>0</v>
      </c>
      <c r="J28" s="66">
        <v>0</v>
      </c>
      <c r="K28" s="66">
        <v>0</v>
      </c>
      <c r="L28" s="66">
        <v>0</v>
      </c>
      <c r="M28" s="66">
        <v>1</v>
      </c>
      <c r="N28" s="66">
        <v>0</v>
      </c>
      <c r="O28" s="66">
        <v>0</v>
      </c>
      <c r="P28" s="58">
        <v>0</v>
      </c>
      <c r="Q28" s="66">
        <v>0</v>
      </c>
      <c r="R28" s="59">
        <v>1</v>
      </c>
      <c r="S28"/>
      <c r="T28"/>
    </row>
    <row r="29" spans="1:20" ht="15" customHeight="1" x14ac:dyDescent="0.15">
      <c r="F29" s="174" t="s">
        <v>216</v>
      </c>
      <c r="G29" s="66">
        <v>0</v>
      </c>
      <c r="H29" s="66">
        <v>0</v>
      </c>
      <c r="I29" s="66">
        <v>0</v>
      </c>
      <c r="J29" s="66">
        <v>0</v>
      </c>
      <c r="K29" s="66">
        <v>0</v>
      </c>
      <c r="L29" s="66">
        <v>1</v>
      </c>
      <c r="M29" s="66">
        <v>0</v>
      </c>
      <c r="N29" s="66">
        <v>1</v>
      </c>
      <c r="O29" s="66">
        <v>0</v>
      </c>
      <c r="P29" s="58">
        <v>1</v>
      </c>
      <c r="Q29" s="66">
        <v>0</v>
      </c>
      <c r="R29" s="59">
        <v>1</v>
      </c>
      <c r="S29"/>
      <c r="T29"/>
    </row>
    <row r="30" spans="1:20" ht="15" customHeight="1" x14ac:dyDescent="0.15">
      <c r="F30" s="174" t="s">
        <v>217</v>
      </c>
      <c r="G30" s="66">
        <v>0</v>
      </c>
      <c r="H30" s="66">
        <v>0</v>
      </c>
      <c r="I30" s="66">
        <v>0</v>
      </c>
      <c r="J30" s="66">
        <v>0</v>
      </c>
      <c r="K30" s="66">
        <v>0</v>
      </c>
      <c r="L30" s="66">
        <v>1</v>
      </c>
      <c r="M30" s="66">
        <v>0</v>
      </c>
      <c r="N30" s="66">
        <v>1</v>
      </c>
      <c r="O30" s="66">
        <v>0</v>
      </c>
      <c r="P30" s="58">
        <v>1</v>
      </c>
      <c r="Q30" s="66">
        <v>0</v>
      </c>
      <c r="R30" s="59">
        <v>1</v>
      </c>
      <c r="S30"/>
      <c r="T30"/>
    </row>
    <row r="31" spans="1:20" ht="15" customHeight="1" x14ac:dyDescent="0.15">
      <c r="A31" s="105"/>
      <c r="B31" s="113" t="s">
        <v>17</v>
      </c>
      <c r="C31" s="113" t="s">
        <v>1</v>
      </c>
      <c r="D31" s="113" t="s">
        <v>161</v>
      </c>
      <c r="E31" s="114" t="s">
        <v>163</v>
      </c>
      <c r="F31" s="174" t="s">
        <v>218</v>
      </c>
      <c r="G31" s="66">
        <v>0</v>
      </c>
      <c r="H31" s="66">
        <v>0</v>
      </c>
      <c r="I31" s="66">
        <v>0</v>
      </c>
      <c r="J31" s="66">
        <v>0</v>
      </c>
      <c r="K31" s="66">
        <v>0</v>
      </c>
      <c r="L31" s="66">
        <v>1</v>
      </c>
      <c r="M31" s="66">
        <v>0</v>
      </c>
      <c r="N31" s="66">
        <v>0</v>
      </c>
      <c r="O31" s="66">
        <v>0</v>
      </c>
      <c r="P31" s="58">
        <v>0</v>
      </c>
      <c r="Q31" s="66">
        <v>0</v>
      </c>
      <c r="R31" s="59">
        <v>1</v>
      </c>
      <c r="S31"/>
      <c r="T31"/>
    </row>
    <row r="32" spans="1:20" ht="15" customHeight="1" x14ac:dyDescent="0.15">
      <c r="A32" s="177" t="s">
        <v>201</v>
      </c>
      <c r="B32" s="78">
        <v>2.2999999999999998</v>
      </c>
      <c r="C32" s="78">
        <v>40</v>
      </c>
      <c r="D32" s="78">
        <v>92</v>
      </c>
      <c r="E32" s="106">
        <v>4.0711567395344719E-2</v>
      </c>
      <c r="F32" s="174" t="s">
        <v>219</v>
      </c>
      <c r="G32" s="66">
        <v>0</v>
      </c>
      <c r="H32" s="66">
        <v>0</v>
      </c>
      <c r="I32" s="66">
        <v>0</v>
      </c>
      <c r="J32" s="66">
        <v>0</v>
      </c>
      <c r="K32" s="66">
        <v>0</v>
      </c>
      <c r="L32" s="66">
        <v>1</v>
      </c>
      <c r="M32" s="66">
        <v>0</v>
      </c>
      <c r="N32" s="66">
        <v>0</v>
      </c>
      <c r="O32" s="66">
        <v>0</v>
      </c>
      <c r="P32" s="58">
        <v>0</v>
      </c>
      <c r="Q32" s="66">
        <v>0</v>
      </c>
      <c r="R32" s="59">
        <v>1</v>
      </c>
      <c r="S32"/>
      <c r="T32"/>
    </row>
    <row r="33" spans="1:20" ht="15" customHeight="1" x14ac:dyDescent="0.15">
      <c r="A33" s="177" t="s">
        <v>203</v>
      </c>
      <c r="B33" s="78">
        <v>0.27</v>
      </c>
      <c r="C33" s="78">
        <v>100</v>
      </c>
      <c r="D33" s="78">
        <v>27</v>
      </c>
      <c r="E33" s="106">
        <v>1.1947959996459864E-2</v>
      </c>
      <c r="F33" s="174" t="s">
        <v>220</v>
      </c>
      <c r="G33" s="66">
        <v>0</v>
      </c>
      <c r="H33" s="66">
        <v>0</v>
      </c>
      <c r="I33" s="66">
        <v>0</v>
      </c>
      <c r="J33" s="66">
        <v>0</v>
      </c>
      <c r="K33" s="66">
        <v>0</v>
      </c>
      <c r="L33" s="66">
        <v>1</v>
      </c>
      <c r="M33" s="66">
        <v>0</v>
      </c>
      <c r="N33" s="66">
        <v>0</v>
      </c>
      <c r="O33" s="66">
        <v>0</v>
      </c>
      <c r="P33" s="58">
        <v>0</v>
      </c>
      <c r="Q33" s="66">
        <v>0</v>
      </c>
      <c r="R33" s="59">
        <v>1</v>
      </c>
      <c r="S33"/>
      <c r="T33"/>
    </row>
    <row r="34" spans="1:20" ht="15" customHeight="1" x14ac:dyDescent="0.15">
      <c r="A34" s="177" t="s">
        <v>214</v>
      </c>
      <c r="B34" s="78">
        <v>40</v>
      </c>
      <c r="C34" s="78">
        <v>1.52</v>
      </c>
      <c r="D34" s="78">
        <v>60.8</v>
      </c>
      <c r="E34" s="106">
        <v>2.6905035843879987E-2</v>
      </c>
      <c r="F34" s="174" t="s">
        <v>221</v>
      </c>
      <c r="G34" s="66">
        <v>0</v>
      </c>
      <c r="H34" s="66">
        <v>0</v>
      </c>
      <c r="I34" s="66">
        <v>0</v>
      </c>
      <c r="J34" s="66">
        <v>0</v>
      </c>
      <c r="K34" s="66">
        <v>0</v>
      </c>
      <c r="L34" s="66">
        <v>1</v>
      </c>
      <c r="M34" s="66">
        <v>0</v>
      </c>
      <c r="N34" s="66">
        <v>0</v>
      </c>
      <c r="O34" s="66">
        <v>0</v>
      </c>
      <c r="P34" s="58">
        <v>0</v>
      </c>
      <c r="Q34" s="66">
        <v>0</v>
      </c>
      <c r="R34" s="59">
        <v>1</v>
      </c>
      <c r="S34"/>
      <c r="T34"/>
    </row>
    <row r="35" spans="1:20" ht="15" customHeight="1" x14ac:dyDescent="0.15">
      <c r="A35" s="177" t="s">
        <v>215</v>
      </c>
      <c r="B35" s="78">
        <v>13</v>
      </c>
      <c r="C35" s="78">
        <v>160</v>
      </c>
      <c r="D35" s="78">
        <v>2080</v>
      </c>
      <c r="E35" s="106">
        <v>0.92043543676431538</v>
      </c>
      <c r="F35" s="174" t="s">
        <v>222</v>
      </c>
      <c r="G35" s="66">
        <v>0</v>
      </c>
      <c r="H35" s="66">
        <v>0</v>
      </c>
      <c r="I35" s="66">
        <v>0</v>
      </c>
      <c r="J35" s="66">
        <v>0</v>
      </c>
      <c r="K35" s="66">
        <v>0</v>
      </c>
      <c r="L35" s="66">
        <v>1</v>
      </c>
      <c r="M35" s="66">
        <v>0</v>
      </c>
      <c r="N35" s="66">
        <v>0</v>
      </c>
      <c r="O35" s="66">
        <v>0</v>
      </c>
      <c r="P35" s="58">
        <v>0</v>
      </c>
      <c r="Q35" s="66">
        <v>0</v>
      </c>
      <c r="R35" s="59">
        <v>1</v>
      </c>
      <c r="S35"/>
      <c r="T35"/>
    </row>
    <row r="36" spans="1:20" ht="15" customHeight="1" x14ac:dyDescent="0.15">
      <c r="A36" s="107"/>
      <c r="B36" s="78"/>
      <c r="C36" s="78"/>
      <c r="D36" s="78"/>
      <c r="E36" s="106"/>
      <c r="F36" s="174" t="s">
        <v>223</v>
      </c>
      <c r="G36" s="66">
        <v>0</v>
      </c>
      <c r="H36" s="66">
        <v>0</v>
      </c>
      <c r="I36" s="66">
        <v>0</v>
      </c>
      <c r="J36" s="66">
        <v>0</v>
      </c>
      <c r="K36" s="66">
        <v>0</v>
      </c>
      <c r="L36" s="66">
        <v>1</v>
      </c>
      <c r="M36" s="66">
        <v>0</v>
      </c>
      <c r="N36" s="66">
        <v>0</v>
      </c>
      <c r="O36" s="66">
        <v>0</v>
      </c>
      <c r="P36" s="58">
        <v>0</v>
      </c>
      <c r="Q36" s="66">
        <v>0</v>
      </c>
      <c r="R36" s="59">
        <v>1</v>
      </c>
      <c r="S36"/>
      <c r="T36"/>
    </row>
    <row r="37" spans="1:20" ht="15" customHeight="1" x14ac:dyDescent="0.15">
      <c r="A37" s="107"/>
      <c r="B37" s="78"/>
      <c r="C37" s="78"/>
      <c r="D37" s="78"/>
      <c r="E37" s="106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8"/>
      <c r="B38" s="78"/>
      <c r="C38" s="78"/>
      <c r="D38" s="78"/>
      <c r="E38" s="106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8"/>
      <c r="B39" s="78"/>
      <c r="C39" s="78"/>
      <c r="D39" s="78"/>
      <c r="E39" s="106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8"/>
      <c r="B40" s="78"/>
      <c r="C40" s="78"/>
      <c r="D40" s="78"/>
      <c r="E40" s="106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8"/>
      <c r="B41" s="78"/>
      <c r="C41" s="78"/>
      <c r="D41" s="79"/>
      <c r="E41" s="10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0"/>
      <c r="B42" s="111"/>
      <c r="C42" s="111" t="s">
        <v>162</v>
      </c>
      <c r="D42" s="111">
        <f>SUM(D32:D41)</f>
        <v>2259.8000000000002</v>
      </c>
      <c r="E42" s="11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M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0" customWidth="1"/>
    <col min="3" max="5" width="7.83203125" style="90" customWidth="1"/>
    <col min="6" max="8" width="8.83203125" style="6"/>
    <col min="9" max="9" width="12.6640625" style="6" customWidth="1"/>
    <col min="10" max="10" width="13.5" style="6" customWidth="1"/>
    <col min="11" max="11" width="14.5" style="6" customWidth="1"/>
    <col min="12" max="12" width="8.33203125" style="6" customWidth="1"/>
    <col min="13" max="13" width="14.33203125" style="6" customWidth="1"/>
    <col min="14" max="14" width="14" style="6" customWidth="1"/>
    <col min="15" max="15" width="9" style="6" customWidth="1"/>
    <col min="16" max="16" width="7.83203125" style="6" customWidth="1"/>
    <col min="17" max="17" width="13.1640625" style="6" customWidth="1"/>
    <col min="18" max="18" width="13.33203125" style="6" customWidth="1"/>
    <col min="19" max="19" width="14" style="6" customWidth="1"/>
    <col min="20" max="20" width="13.5" style="6" customWidth="1"/>
    <col min="21" max="21" width="13.33203125" style="6" customWidth="1"/>
    <col min="22" max="22" width="14.5" style="6" customWidth="1"/>
    <col min="23" max="23" width="6.83203125" style="6" customWidth="1"/>
    <col min="24" max="24" width="8.33203125" style="6" customWidth="1"/>
    <col min="25" max="25" width="7.5" style="6" customWidth="1"/>
    <col min="26" max="26" width="13" style="6" customWidth="1"/>
    <col min="27" max="27" width="11.83203125" style="6" customWidth="1"/>
    <col min="28" max="28" width="7.33203125" style="6" customWidth="1"/>
    <col min="29" max="29" width="6.83203125" style="6" customWidth="1"/>
    <col min="30" max="30" width="12" style="6" customWidth="1"/>
    <col min="31" max="31" width="13.6640625" style="6" customWidth="1"/>
    <col min="32" max="32" width="7.6640625" style="6" customWidth="1"/>
    <col min="33" max="33" width="21.6640625" style="6" customWidth="1"/>
    <col min="34" max="34" width="10.83203125" style="6" customWidth="1"/>
    <col min="35" max="35" width="10.33203125" style="6" customWidth="1"/>
    <col min="36" max="36" width="11.83203125" style="6" customWidth="1"/>
    <col min="37" max="37" width="11.33203125" style="6" customWidth="1"/>
    <col min="38" max="38" width="8.5" style="6" customWidth="1"/>
    <col min="39" max="39" width="7.5" customWidth="1"/>
    <col min="81" max="81" width="22.1640625" bestFit="1" customWidth="1"/>
  </cols>
  <sheetData>
    <row r="1" spans="1:39" x14ac:dyDescent="0.15">
      <c r="A1" s="4" t="s">
        <v>156</v>
      </c>
      <c r="B1" s="30" t="s">
        <v>157</v>
      </c>
      <c r="C1" s="30" t="s">
        <v>17</v>
      </c>
      <c r="D1" s="30" t="s">
        <v>158</v>
      </c>
      <c r="E1" s="30" t="s">
        <v>159</v>
      </c>
      <c r="F1" t="s">
        <v>38</v>
      </c>
      <c r="G1" t="s">
        <v>40</v>
      </c>
      <c r="H1" t="s">
        <v>41</v>
      </c>
      <c r="I1" s="179" t="s">
        <v>193</v>
      </c>
      <c r="J1" s="179" t="s">
        <v>194</v>
      </c>
      <c r="K1" s="179" t="s">
        <v>195</v>
      </c>
      <c r="L1" s="179" t="s">
        <v>196</v>
      </c>
      <c r="M1" s="179" t="s">
        <v>197</v>
      </c>
      <c r="N1" s="179" t="s">
        <v>198</v>
      </c>
      <c r="O1" s="179" t="s">
        <v>199</v>
      </c>
      <c r="P1" s="179" t="s">
        <v>200</v>
      </c>
      <c r="Q1" s="179" t="s">
        <v>201</v>
      </c>
      <c r="R1" s="179" t="s">
        <v>202</v>
      </c>
      <c r="S1" s="179" t="s">
        <v>203</v>
      </c>
      <c r="T1" s="179" t="s">
        <v>204</v>
      </c>
      <c r="U1" s="179" t="s">
        <v>205</v>
      </c>
      <c r="V1" s="179" t="s">
        <v>206</v>
      </c>
      <c r="W1" s="179" t="s">
        <v>207</v>
      </c>
      <c r="X1" s="179" t="s">
        <v>208</v>
      </c>
      <c r="Y1" s="179" t="s">
        <v>209</v>
      </c>
      <c r="Z1" s="179" t="s">
        <v>210</v>
      </c>
      <c r="AA1" s="179" t="s">
        <v>211</v>
      </c>
      <c r="AB1" s="179" t="s">
        <v>212</v>
      </c>
      <c r="AC1" s="179" t="s">
        <v>213</v>
      </c>
      <c r="AD1" s="179" t="s">
        <v>214</v>
      </c>
      <c r="AE1" s="179" t="s">
        <v>215</v>
      </c>
      <c r="AF1" s="179" t="s">
        <v>216</v>
      </c>
      <c r="AG1" s="179" t="s">
        <v>217</v>
      </c>
      <c r="AH1" s="179" t="s">
        <v>218</v>
      </c>
      <c r="AI1" s="179" t="s">
        <v>219</v>
      </c>
      <c r="AJ1" s="179" t="s">
        <v>220</v>
      </c>
      <c r="AK1" s="179" t="s">
        <v>221</v>
      </c>
      <c r="AL1" s="179" t="s">
        <v>222</v>
      </c>
      <c r="AM1" s="179" t="s">
        <v>223</v>
      </c>
    </row>
    <row r="2" spans="1:39" x14ac:dyDescent="0.15">
      <c r="A2" t="s">
        <v>38</v>
      </c>
      <c r="B2" s="9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9" x14ac:dyDescent="0.15">
      <c r="A3" t="s">
        <v>40</v>
      </c>
      <c r="B3" s="9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9" x14ac:dyDescent="0.15">
      <c r="A4" t="s">
        <v>41</v>
      </c>
      <c r="B4" s="9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9" x14ac:dyDescent="0.15">
      <c r="A5" s="178" t="s">
        <v>193</v>
      </c>
      <c r="B5" s="9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9" x14ac:dyDescent="0.15">
      <c r="A6" s="178" t="s">
        <v>194</v>
      </c>
      <c r="B6" s="9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9" x14ac:dyDescent="0.15">
      <c r="A7" s="178" t="s">
        <v>195</v>
      </c>
      <c r="B7" s="9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9" x14ac:dyDescent="0.15">
      <c r="A8" s="178" t="s">
        <v>196</v>
      </c>
      <c r="B8" s="9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9" x14ac:dyDescent="0.15">
      <c r="A9" s="178" t="s">
        <v>197</v>
      </c>
      <c r="B9" s="9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9" x14ac:dyDescent="0.15">
      <c r="A10" s="178" t="s">
        <v>198</v>
      </c>
      <c r="B10" s="9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9" x14ac:dyDescent="0.15">
      <c r="A11" s="178" t="s">
        <v>199</v>
      </c>
      <c r="B11" s="9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9" x14ac:dyDescent="0.15">
      <c r="A12" s="178" t="s">
        <v>200</v>
      </c>
      <c r="B12" s="9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9" x14ac:dyDescent="0.15">
      <c r="A13" s="178" t="s">
        <v>201</v>
      </c>
      <c r="B13" s="9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9" x14ac:dyDescent="0.15">
      <c r="A14" s="178" t="s">
        <v>202</v>
      </c>
      <c r="B14" s="9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9" x14ac:dyDescent="0.15">
      <c r="A15" s="178" t="s">
        <v>203</v>
      </c>
      <c r="B15" s="9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9" x14ac:dyDescent="0.15">
      <c r="A16" s="178" t="s">
        <v>204</v>
      </c>
      <c r="B16" s="9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8" t="s">
        <v>205</v>
      </c>
      <c r="B17" s="9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8" t="s">
        <v>206</v>
      </c>
      <c r="B18" s="9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8" t="s">
        <v>207</v>
      </c>
      <c r="B19" s="9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8" t="s">
        <v>208</v>
      </c>
      <c r="B20" s="9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8" t="s">
        <v>209</v>
      </c>
      <c r="B21" s="9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8" t="s">
        <v>210</v>
      </c>
      <c r="B22" s="9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8" t="s">
        <v>211</v>
      </c>
      <c r="B23" s="9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8" t="s">
        <v>212</v>
      </c>
      <c r="B24" s="9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8" t="s">
        <v>213</v>
      </c>
      <c r="B25" s="9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8" t="s">
        <v>214</v>
      </c>
      <c r="B26" s="9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8" t="s">
        <v>215</v>
      </c>
      <c r="B27" s="9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8" t="s">
        <v>216</v>
      </c>
      <c r="B28" s="9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8" t="s">
        <v>217</v>
      </c>
      <c r="B29" s="9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8" t="s">
        <v>218</v>
      </c>
      <c r="B30" s="9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8" t="s">
        <v>219</v>
      </c>
      <c r="B31" s="9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8" t="s">
        <v>220</v>
      </c>
      <c r="B32" s="9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8" t="s">
        <v>221</v>
      </c>
      <c r="B33" s="9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8" t="s">
        <v>222</v>
      </c>
      <c r="B34" s="9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8" t="s">
        <v>223</v>
      </c>
      <c r="B35" s="9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2022-10-24T04:57:03Z</dcterms:modified>
</cp:coreProperties>
</file>