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0C858531-34BF-9C44-816B-7983613EE4D7}" xr6:coauthVersionLast="45" xr6:coauthVersionMax="45" xr10:uidLastSave="{00000000-0000-0000-0000-000000000000}"/>
  <bookViews>
    <workbookView xWindow="0" yWindow="460" windowWidth="25600" windowHeight="14240" tabRatio="728" firstSheet="8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Main!$C$2:$N$55</definedName>
    <definedName name="matDetritus">Detritus!$C$2:$E$55</definedName>
    <definedName name="matDiet">Diets!$B$2:$AM$42</definedName>
    <definedName name="matDiscards">Discards!$C$2:$P$41</definedName>
    <definedName name="matFishery">Fishing!$C$2:$P$41</definedName>
    <definedName name="matFishing">Fishing!#REF!</definedName>
    <definedName name="matMort">Mortalities!$A$1:$BE$41</definedName>
    <definedName name="matOut">MainOutputs!$A$2:$I$55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<sst xmlns="http://schemas.openxmlformats.org/spreadsheetml/2006/main" count="1314" uniqueCount="259">
  <si>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</si>
  <si>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</si>
  <si>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</si>
  <si>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</si>
  <si>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</si>
  <si>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</si>
  <si>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</si>
  <si>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</si>
  <si>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</si>
  <si>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</si>
  <si>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</si>
  <si>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</si>
  <si>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</si>
  <si>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</si>
  <si>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</si>
  <si>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</si>
  <si>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</si>
  <si>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</si>
  <si>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</si>
  <si>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</si>
  <si>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</si>
  <si>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</si>
  <si>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</si>
  <si>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</si>
  <si>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</si>
  <si>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</si>
  <si>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</si>
  <si>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</si>
  <si>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</si>
  <si>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</si>
  <si>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</si>
  <si>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</si>
  <si>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</si>
  <si>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</si>
  <si>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</si>
  <si>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</si>
  <si>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</si>
  <si>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</si>
  <si>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</si>
  <si>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</si>
  <si>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</si>
  <si>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</si>
  <si>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</si>
  <si>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</si>
  <si>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</si>
  <si>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</si>
  <si>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</si>
  <si>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</si>
  <si>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</si>
  <si>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</si>
  <si>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</si>
  <si>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</si>
  <si>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</si>
  <si>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</si>
  <si>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</si>
  <si>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</si>
  <si>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</si>
  <si>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</si>
  <si>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</si>
  <si>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</si>
  <si>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</si>
  <si>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</si>
  <si>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</si>
  <si>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</si>
  <si>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</si>
  <si>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</si>
  <si>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</si>
  <si>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</si>
  <si>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</si>
  <si>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</si>
  <si>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</si>
  <si>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</si>
  <si>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</si>
  <si>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</si>
  <si>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</si>
  <si>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</si>
  <si>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</si>
  <si>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</si>
  <si>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</si>
  <si>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</si>
  <si>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</si>
  <si>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</si>
  <si>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</si>
  <si>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</si>
  <si>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</si>
  <si>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</si>
  <si>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</si>
  <si>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</si>
  <si>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</si>
  <si>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</si>
  <si>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</si>
  <si>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</si>
  <si>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</si>
  <si>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</si>
  <si>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</si>
  <si>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</si>
  <si>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</si>
  <si>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</si>
  <si>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</si>
  <si>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</si>
  <si>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</si>
  <si>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</si>
  <si>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</si>
  <si>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</si>
  <si>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</si>
  <si>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</si>
  <si>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</si>
  <si>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</si>
  <si>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</si>
  <si>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</si>
  <si>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</si>
  <si>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</si>
  <si>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</si>
  <si>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</si>
  <si>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</si>
  <si>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</si>
  <si>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</si>
  <si>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</si>
  <si>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</si>
  <si>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</si>
  <si>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</si>
  <si>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</si>
  <si>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</si>
  <si>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</si>
  <si>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</si>
  <si>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</si>
  <si>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</si>
  <si>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</si>
  <si>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</si>
  <si>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</si>
  <si>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</si>
  <si>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</si>
  <si>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</si>
  <si>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</si>
  <si>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</si>
  <si>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</si>
  <si>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</si>
  <si>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</si>
  <si>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</si>
  <si>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</si>
  <si>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</si>
  <si>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</si>
  <si>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</si>
  <si>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</si>
  <si>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</si>
  <si>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</si>
  <si>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</si>
  <si>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</si>
  <si>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</si>
  <si>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</si>
  <si>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</si>
  <si>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</si>
  <si>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</si>
  <si>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</si>
  <si>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</si>
  <si>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</si>
  <si>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</si>
  <si>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</si>
  <si>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</si>
  <si>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</si>
  <si>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</si>
  <si>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</si>
  <si>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</si>
  <si>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</si>
  <si>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</si>
  <si>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</si>
  <si>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</si>
  <si>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</si>
  <si>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</si>
  <si>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</si>
  <si>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</si>
  <si>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</si>
  <si>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</si>
  <si>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</si>
  <si>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</si>
  <si>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</si>
  <si>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</si>
  <si>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</si>
  <si>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</si>
  <si>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</si>
  <si>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</si>
  <si>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</si>
  <si>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</si>
  <si>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</si>
  <si>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</si>
  <si>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Hudson Bay</t>
  </si>
  <si>
    <t>Canada</t>
  </si>
  <si>
    <t>BOX(-96.7970073958622 48.2016978562322,-74.2218708231622 65.4605053384329)</t>
  </si>
  <si>
    <t>bay/fjord</t>
  </si>
  <si>
    <t>WetWeight</t>
  </si>
  <si>
    <t>; 25/08/2008 5:42:03 AM; 25/08/2008 12:33:59 PM; 29/08/2008 7:00:15 AM; 29/08/2008 7:53:00 AM; 29/08/2008 8:26:05 AM; 07/09/2008 12:31:05 PM; 12/1/2008 2:16:14 PM; 12/3/2008 11:38:11 AM; 12/3/2008 11:38:43 AM; 12/3/2008 11:39:27 AM; 12/3/2008 11:40:10 AM; 12/3/2008 2:19:39 PM; 12/3/2008 4:49:20 PM; 12/3/2008 4:49:54 PM; 12/3/2008 4:51:55 PM; 12/5/2008 5:43:20 PM</t>
  </si>
  <si>
    <t>Hoover C.(2010). Hudson Bay ecosystem: past, present, and future A Little Less Arctic. pp 217-236</t>
  </si>
  <si>
    <t>Polar Bear WHB</t>
  </si>
  <si>
    <t>SH Polar Bear</t>
  </si>
  <si>
    <t>Polar Bear Foxe</t>
  </si>
  <si>
    <t>Killer Whale</t>
  </si>
  <si>
    <t>Narwhal</t>
  </si>
  <si>
    <t>Bowhead</t>
  </si>
  <si>
    <t>Walrus N</t>
  </si>
  <si>
    <t>Walrus S</t>
  </si>
  <si>
    <t>Bearded Seal</t>
  </si>
  <si>
    <t>Harbour Seal</t>
  </si>
  <si>
    <t>Ringed Seal</t>
  </si>
  <si>
    <t>Harp seal</t>
  </si>
  <si>
    <t>Beluga E</t>
  </si>
  <si>
    <t>Beluga W</t>
  </si>
  <si>
    <t>Beluga James</t>
  </si>
  <si>
    <t>Seabirds</t>
  </si>
  <si>
    <t>Arctic Char</t>
  </si>
  <si>
    <t>Atlantic Salmon</t>
  </si>
  <si>
    <t>Gadiformes</t>
  </si>
  <si>
    <t>Sculpins/ Zoarcids</t>
  </si>
  <si>
    <t>Capelin</t>
  </si>
  <si>
    <t>Sandlance</t>
  </si>
  <si>
    <t>Sharks/Rays</t>
  </si>
  <si>
    <t>Other Marine Fish</t>
  </si>
  <si>
    <t>Brackish Fish</t>
  </si>
  <si>
    <t>Cephalopods</t>
  </si>
  <si>
    <t>MacroZooplankton</t>
  </si>
  <si>
    <t>Euphausids</t>
  </si>
  <si>
    <t>Copepods</t>
  </si>
  <si>
    <t>Crustaceans</t>
  </si>
  <si>
    <t>Other MesoZooplankton</t>
  </si>
  <si>
    <t>MicroZooplankton</t>
  </si>
  <si>
    <t>Marine Worms</t>
  </si>
  <si>
    <t>Echinoderms</t>
  </si>
  <si>
    <t>Bivalves</t>
  </si>
  <si>
    <t>Other Benthos</t>
  </si>
  <si>
    <t>Primary Production</t>
  </si>
  <si>
    <t>Ice Algae</t>
  </si>
  <si>
    <t>Ice Detritus</t>
  </si>
  <si>
    <t>Pelagic Detritus</t>
  </si>
  <si>
    <t>WHB Polar Bear</t>
  </si>
  <si>
    <t>FB Polar Bear</t>
  </si>
  <si>
    <t>Killer whale</t>
  </si>
  <si>
    <t>N Walrus</t>
  </si>
  <si>
    <t>S Walrus</t>
  </si>
  <si>
    <t>Beluga S</t>
  </si>
  <si>
    <t>Sealing</t>
  </si>
  <si>
    <t>Bird Hunting</t>
  </si>
  <si>
    <t>Fishing</t>
  </si>
  <si>
    <t>Import</t>
  </si>
  <si>
    <t>export</t>
  </si>
  <si>
    <t>sum</t>
  </si>
  <si>
    <t>TOTAL</t>
  </si>
  <si>
    <t>F SH Polar Bear</t>
  </si>
  <si>
    <t>F WHB Polar Bear</t>
  </si>
  <si>
    <t>F FB Polar Bear</t>
  </si>
  <si>
    <t>F Killer whale</t>
  </si>
  <si>
    <t>F Bowhead</t>
  </si>
  <si>
    <t>F Narwhal</t>
  </si>
  <si>
    <t>F N Walrus</t>
  </si>
  <si>
    <t>F S Walrus</t>
  </si>
  <si>
    <t>F Beluga E</t>
  </si>
  <si>
    <t>F Beluga W</t>
  </si>
  <si>
    <t>F Beluga S</t>
  </si>
  <si>
    <t>F Sealing</t>
  </si>
  <si>
    <t>F Bird Hunting</t>
  </si>
  <si>
    <t>F Fishing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</si>
</sst>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7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F7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324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3" t="s">
        <v>171</v>
      </c>
      <c r="C53" s="106">
        <v>446</v>
      </c>
      <c r="D53" s="106"/>
    </row>
    <row r="54" spans="2:4" x14ac:dyDescent="0.15">
      <c r="B54" s="173" t="s">
        <v>172</v>
      </c>
      <c r="C54" s="173" t="s">
        <v>185</v>
      </c>
      <c r="D54" s="106"/>
    </row>
    <row r="55" spans="2:4" x14ac:dyDescent="0.15">
      <c r="B55" s="173" t="s">
        <v>173</v>
      </c>
      <c r="C55" s="173" t="s">
        <v>186</v>
      </c>
      <c r="D55" s="106"/>
    </row>
    <row r="56" spans="2:4" x14ac:dyDescent="0.15">
      <c r="B56" s="173" t="s">
        <v>174</v>
      </c>
      <c r="C56" s="106">
        <v>900000</v>
      </c>
      <c r="D56" s="106"/>
    </row>
    <row r="57" spans="2:4" x14ac:dyDescent="0.15">
      <c r="B57" s="173" t="s">
        <v>175</v>
      </c>
      <c r="C57" s="173" t="s">
        <v>187</v>
      </c>
      <c r="D57" s="106"/>
    </row>
    <row r="58" spans="2:4" x14ac:dyDescent="0.15">
      <c r="B58" s="173" t="s">
        <v>176</v>
      </c>
      <c r="C58" s="173" t="s">
        <v>188</v>
      </c>
      <c r="D58" s="106"/>
    </row>
    <row r="59" spans="2:4" x14ac:dyDescent="0.15">
      <c r="B59" s="173" t="s">
        <v>177</v>
      </c>
      <c r="C59" s="173" t="s">
        <v>189</v>
      </c>
      <c r="D59" s="106"/>
    </row>
    <row r="60" spans="2:4" x14ac:dyDescent="0.15">
      <c r="B60" s="173" t="s">
        <v>178</v>
      </c>
      <c r="C60" s="173" t="s">
        <v>190</v>
      </c>
      <c r="D60" s="106"/>
    </row>
    <row r="61" spans="2:4" x14ac:dyDescent="0.15">
      <c r="B61" s="173" t="s">
        <v>179</v>
      </c>
      <c r="C61" s="106">
        <v>40</v>
      </c>
      <c r="D61" s="106"/>
    </row>
    <row r="62" spans="2:4" x14ac:dyDescent="0.15">
      <c r="B62" s="173" t="s">
        <v>180</v>
      </c>
      <c r="C62" s="106">
        <v>14</v>
      </c>
      <c r="D62" s="106"/>
    </row>
    <row r="63" spans="2:4" x14ac:dyDescent="0.15">
      <c r="B63" s="173" t="s">
        <v>181</v>
      </c>
      <c r="C63" s="106">
        <v>1970</v>
      </c>
      <c r="D63" s="106"/>
    </row>
    <row r="64" spans="2:4" x14ac:dyDescent="0.15">
      <c r="B64" s="173" t="s">
        <v>182</v>
      </c>
      <c r="C64" s="106">
        <v>1</v>
      </c>
      <c r="D64" s="106"/>
    </row>
    <row r="65" spans="2:4" x14ac:dyDescent="0.15">
      <c r="B65" s="173" t="s">
        <v>183</v>
      </c>
      <c r="C65" s="173" t="s">
        <v>191</v>
      </c>
      <c r="D65" s="106"/>
    </row>
    <row r="66" spans="2:4" x14ac:dyDescent="0.15">
      <c r="B66" s="173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" style="80" bestFit="1" customWidth="1"/>
    <col min="6" max="6" width="2.33203125" style="80" bestFit="1" customWidth="1"/>
    <col min="7" max="7" width="14.5" style="80" bestFit="1" customWidth="1"/>
    <col min="8" max="8" width="10.83203125" style="80" customWidth="1"/>
    <col min="9" max="9" width="8.83203125" style="80" customWidth="1"/>
    <col min="10" max="10" width="11.83203125" style="80" customWidth="1"/>
    <col min="11" max="11" width="13.83203125" style="80" customWidth="1"/>
    <col min="12" max="12" width="2.33203125" style="80" customWidth="1"/>
    <col min="13" max="13" width="3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4" t="s">
        <v>192</v>
      </c>
      <c r="F2" s="80">
        <v>0</v>
      </c>
      <c r="G2" s="80">
        <v>4.6036299999999998E-4</v>
      </c>
      <c r="H2" s="80">
        <v>0.12898309999999999</v>
      </c>
      <c r="I2" s="6">
        <v>2.08</v>
      </c>
      <c r="J2" s="6">
        <v>0.41387580000000002</v>
      </c>
      <c r="K2" s="6">
        <v>6.2011104099999999E-2</v>
      </c>
      <c r="L2" s="6">
        <v>0</v>
      </c>
      <c r="M2" s="80">
        <v>0.2</v>
      </c>
      <c r="N2" s="80">
        <v>0</v>
      </c>
    </row>
    <row r="3" spans="1:46" ht="15" customHeight="1" x14ac:dyDescent="0.15">
      <c r="A3" s="1" t="s">
        <v>9</v>
      </c>
      <c r="B3" s="4">
        <v>38</v>
      </c>
      <c r="C3" s="80">
        <v>2</v>
      </c>
      <c r="D3"/>
      <c r="E3" s="174" t="s">
        <v>193</v>
      </c>
      <c r="F3" s="80">
        <v>0</v>
      </c>
      <c r="G3" s="80">
        <v>3.8363600000000002E-4</v>
      </c>
      <c r="H3" s="80">
        <v>0.15441160000000001</v>
      </c>
      <c r="I3" s="80">
        <v>2.08</v>
      </c>
      <c r="J3" s="80">
        <v>0.50608909999999996</v>
      </c>
      <c r="K3" s="80">
        <v>7.4236350000000006E-2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4" t="s">
        <v>194</v>
      </c>
      <c r="F4" s="80">
        <v>0</v>
      </c>
      <c r="G4" s="80">
        <v>1.9181800000000001E-4</v>
      </c>
      <c r="H4" s="80">
        <v>0.1204688</v>
      </c>
      <c r="I4" s="80">
        <v>2.08</v>
      </c>
      <c r="J4" s="80">
        <v>0.30270385700000002</v>
      </c>
      <c r="K4" s="80">
        <v>5.7917695499999998E-2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14</v>
      </c>
      <c r="C5" s="80">
        <v>4</v>
      </c>
      <c r="D5"/>
      <c r="E5" s="174" t="s">
        <v>195</v>
      </c>
      <c r="F5" s="80">
        <v>0</v>
      </c>
      <c r="G5" s="80">
        <v>2.5000000000000001E-5</v>
      </c>
      <c r="H5" s="80">
        <v>0.15079239999999999</v>
      </c>
      <c r="I5" s="80">
        <v>4.9984450000000002</v>
      </c>
      <c r="J5" s="80">
        <v>0.26526534600000001</v>
      </c>
      <c r="K5" s="80">
        <v>3.01678628E-2</v>
      </c>
      <c r="L5" s="80">
        <v>0</v>
      </c>
      <c r="M5" s="80">
        <v>0.2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74" t="s">
        <v>196</v>
      </c>
      <c r="F6" s="80">
        <v>0</v>
      </c>
      <c r="G6" s="80">
        <v>1.9307829999999999E-3</v>
      </c>
      <c r="H6" s="80">
        <v>8.4279209999999993E-2</v>
      </c>
      <c r="I6" s="80">
        <v>26.181539999999998</v>
      </c>
      <c r="J6" s="80">
        <v>0.27062019999999998</v>
      </c>
      <c r="K6" s="80">
        <v>3.2190317299999999E-3</v>
      </c>
      <c r="L6" s="80">
        <v>0</v>
      </c>
      <c r="M6" s="80">
        <v>0.2</v>
      </c>
      <c r="N6" s="80">
        <v>0</v>
      </c>
      <c r="P6" s="70"/>
      <c r="Q6" s="70"/>
      <c r="R6" s="70"/>
      <c r="W6" s="34" t="s">
        <v>31</v>
      </c>
      <c r="X6" s="50">
        <f>MAX(MainOutputs!G:G)</f>
        <v>0.95000016689300537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451</v>
      </c>
      <c r="C7" s="80">
        <v>6</v>
      </c>
      <c r="D7"/>
      <c r="E7" s="174" t="s">
        <v>197</v>
      </c>
      <c r="F7" s="80">
        <v>0</v>
      </c>
      <c r="G7" s="80">
        <v>1.086575E-2</v>
      </c>
      <c r="H7" s="80">
        <v>2.112495E-2</v>
      </c>
      <c r="I7" s="80">
        <v>5.4754310000000004</v>
      </c>
      <c r="J7" s="80">
        <v>5.2819169999999999E-2</v>
      </c>
      <c r="K7" s="80">
        <v>3.8581346200000002E-3</v>
      </c>
      <c r="L7" s="80">
        <v>0</v>
      </c>
      <c r="M7" s="80">
        <v>0.2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65</v>
      </c>
      <c r="C8" s="80">
        <v>7</v>
      </c>
      <c r="D8"/>
      <c r="E8" s="174" t="s">
        <v>198</v>
      </c>
      <c r="F8" s="80">
        <v>0</v>
      </c>
      <c r="G8" s="80">
        <v>2.740255E-3</v>
      </c>
      <c r="H8" s="80">
        <v>0.17171</v>
      </c>
      <c r="I8" s="80">
        <v>47.122750000000003</v>
      </c>
      <c r="J8" s="80">
        <v>0.188163891</v>
      </c>
      <c r="K8" s="80">
        <v>3.64388758E-3</v>
      </c>
      <c r="L8" s="80">
        <v>0</v>
      </c>
      <c r="M8" s="80">
        <v>0.2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74" t="s">
        <v>199</v>
      </c>
      <c r="F9" s="80">
        <v>0</v>
      </c>
      <c r="G9" s="80">
        <v>9.8649200000000005E-4</v>
      </c>
      <c r="H9" s="80">
        <v>9.7222219999999998E-2</v>
      </c>
      <c r="I9" s="80">
        <v>33.778370000000002</v>
      </c>
      <c r="J9" s="80">
        <v>0.14324678499999999</v>
      </c>
      <c r="K9" s="80">
        <v>2.8782389999999999E-3</v>
      </c>
      <c r="L9" s="80">
        <v>0</v>
      </c>
      <c r="M9" s="80">
        <v>0.2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74" t="s">
        <v>200</v>
      </c>
      <c r="F10" s="80">
        <v>0</v>
      </c>
      <c r="G10" s="80">
        <v>3.6993439999999998E-3</v>
      </c>
      <c r="H10" s="80">
        <v>0.1762222</v>
      </c>
      <c r="I10" s="80">
        <v>14.261649999999999</v>
      </c>
      <c r="J10" s="80">
        <v>0.79128336899999996</v>
      </c>
      <c r="K10" s="80">
        <v>1.23563688E-2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74" t="s">
        <v>201</v>
      </c>
      <c r="F11" s="80">
        <v>0</v>
      </c>
      <c r="G11" s="80">
        <v>1.0456809999999999E-3</v>
      </c>
      <c r="H11" s="80">
        <v>0.12491190000000001</v>
      </c>
      <c r="I11" s="80">
        <v>18.611650000000001</v>
      </c>
      <c r="J11" s="80">
        <v>7.3647959999999998E-2</v>
      </c>
      <c r="K11" s="80">
        <v>6.7114895199999998E-3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74" t="s">
        <v>202</v>
      </c>
      <c r="F12" s="80">
        <v>0</v>
      </c>
      <c r="G12" s="80">
        <v>4.685835E-2</v>
      </c>
      <c r="H12" s="80">
        <v>0.15838669999999999</v>
      </c>
      <c r="I12" s="80">
        <v>17.271650000000001</v>
      </c>
      <c r="J12" s="80">
        <v>0.41255661799999999</v>
      </c>
      <c r="K12" s="80">
        <v>9.1703280000000002E-3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4" t="s">
        <v>203</v>
      </c>
      <c r="F13" s="80">
        <v>0</v>
      </c>
      <c r="G13" s="80">
        <v>1E-3</v>
      </c>
      <c r="H13" s="80">
        <v>0.12553690000000001</v>
      </c>
      <c r="I13" s="80">
        <v>15.660360000000001</v>
      </c>
      <c r="J13" s="80">
        <v>0.68835040000000003</v>
      </c>
      <c r="K13" s="80">
        <v>8.0162199999999992E-3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74" t="s">
        <v>204</v>
      </c>
      <c r="F14" s="80">
        <v>0</v>
      </c>
      <c r="G14" s="80">
        <v>2.0716319999999999E-3</v>
      </c>
      <c r="H14" s="80">
        <v>6.5799999999999997E-2</v>
      </c>
      <c r="I14" s="80">
        <v>21.44802</v>
      </c>
      <c r="J14" s="80">
        <v>0.28052579999999999</v>
      </c>
      <c r="K14" s="80">
        <v>3.0678822699999999E-3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74" t="s">
        <v>205</v>
      </c>
      <c r="F15" s="80">
        <v>0</v>
      </c>
      <c r="G15" s="80">
        <v>2.466229E-2</v>
      </c>
      <c r="H15" s="80">
        <v>6.3597780000000007E-2</v>
      </c>
      <c r="I15" s="80">
        <v>16.712859999999999</v>
      </c>
      <c r="J15" s="80">
        <v>0.132720545</v>
      </c>
      <c r="K15" s="80">
        <v>3.80532024E-3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74" t="s">
        <v>206</v>
      </c>
      <c r="F16" s="80">
        <v>0</v>
      </c>
      <c r="G16" s="80">
        <v>1.4637890000000001E-3</v>
      </c>
      <c r="H16" s="80">
        <v>8.7300000000000003E-2</v>
      </c>
      <c r="I16" s="80">
        <v>16.62321</v>
      </c>
      <c r="J16" s="80">
        <v>0.56433469999999997</v>
      </c>
      <c r="K16" s="80">
        <v>5.251693E-3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4" t="s">
        <v>207</v>
      </c>
      <c r="F17" s="80">
        <v>0</v>
      </c>
      <c r="G17" s="80">
        <v>6.5000000000000002E-2</v>
      </c>
      <c r="H17" s="80">
        <v>0.37</v>
      </c>
      <c r="I17" s="80">
        <v>1.48</v>
      </c>
      <c r="J17" s="80">
        <v>9.7120040000000005E-2</v>
      </c>
      <c r="K17" s="80">
        <v>0.25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4" t="s">
        <v>208</v>
      </c>
      <c r="F18" s="80">
        <v>0</v>
      </c>
      <c r="G18" s="80">
        <v>0.179511532</v>
      </c>
      <c r="H18" s="80">
        <v>0.2</v>
      </c>
      <c r="I18" s="80">
        <v>1.5</v>
      </c>
      <c r="J18" s="80">
        <v>0.95</v>
      </c>
      <c r="K18" s="80">
        <v>0.13333333999999999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4" t="s">
        <v>209</v>
      </c>
      <c r="F19" s="80">
        <v>0</v>
      </c>
      <c r="G19" s="80">
        <v>5.1320240000000003E-2</v>
      </c>
      <c r="H19" s="80">
        <v>0.52</v>
      </c>
      <c r="I19" s="80">
        <v>7.15</v>
      </c>
      <c r="J19" s="80">
        <v>0.95</v>
      </c>
      <c r="K19" s="80">
        <v>7.2727269999999997E-2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74" t="s">
        <v>210</v>
      </c>
      <c r="F20" s="80">
        <v>0</v>
      </c>
      <c r="G20" s="80">
        <v>0.68181409999999998</v>
      </c>
      <c r="H20" s="80">
        <v>0.47</v>
      </c>
      <c r="I20" s="80">
        <v>1.85</v>
      </c>
      <c r="J20" s="80">
        <v>0.95</v>
      </c>
      <c r="K20" s="80">
        <v>0.25405403999999998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5" t="s">
        <v>137</v>
      </c>
      <c r="B21" s="98"/>
      <c r="C21" s="80">
        <v>20</v>
      </c>
      <c r="D21"/>
      <c r="E21" s="174" t="s">
        <v>211</v>
      </c>
      <c r="F21" s="80">
        <v>0</v>
      </c>
      <c r="G21" s="80">
        <v>0.24764224900000001</v>
      </c>
      <c r="H21" s="80">
        <v>0.7</v>
      </c>
      <c r="I21" s="80">
        <v>3.269231</v>
      </c>
      <c r="J21" s="80">
        <v>0.95</v>
      </c>
      <c r="K21" s="80">
        <v>0.21411761600000001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4" t="s">
        <v>212</v>
      </c>
      <c r="F22" s="80">
        <v>0</v>
      </c>
      <c r="G22" s="80">
        <v>0.30401489999999998</v>
      </c>
      <c r="H22" s="80">
        <v>1.7</v>
      </c>
      <c r="I22" s="80">
        <v>4.8</v>
      </c>
      <c r="J22" s="80">
        <v>0.95</v>
      </c>
      <c r="K22" s="80">
        <v>0.354166657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4" t="s">
        <v>213</v>
      </c>
      <c r="F23" s="80">
        <v>0</v>
      </c>
      <c r="G23" s="80">
        <v>0.51214593600000002</v>
      </c>
      <c r="H23" s="80">
        <v>0.85</v>
      </c>
      <c r="I23" s="80">
        <v>3.45</v>
      </c>
      <c r="J23" s="80">
        <v>0.95</v>
      </c>
      <c r="K23" s="80">
        <v>0.246376812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4" t="s">
        <v>214</v>
      </c>
      <c r="F24" s="80">
        <v>0</v>
      </c>
      <c r="G24" s="80">
        <v>3.17967238E-6</v>
      </c>
      <c r="H24" s="80">
        <v>0.22</v>
      </c>
      <c r="I24" s="80">
        <v>1.25</v>
      </c>
      <c r="J24" s="80">
        <v>0.95</v>
      </c>
      <c r="K24" s="80">
        <v>0.17599999999999999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4" t="s">
        <v>215</v>
      </c>
      <c r="F25" s="80">
        <v>0</v>
      </c>
      <c r="G25" s="80">
        <v>0.2560289</v>
      </c>
      <c r="H25" s="80">
        <v>0.93200000000000005</v>
      </c>
      <c r="I25" s="80">
        <v>3.0176470000000002</v>
      </c>
      <c r="J25" s="80">
        <v>0.95</v>
      </c>
      <c r="K25" s="80">
        <v>0.30884990000000001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4" t="s">
        <v>216</v>
      </c>
      <c r="F26" s="80">
        <v>0</v>
      </c>
      <c r="G26" s="80">
        <v>1.45287747E-2</v>
      </c>
      <c r="H26" s="80">
        <v>3.5</v>
      </c>
      <c r="I26" s="80">
        <v>5.7981819999999997</v>
      </c>
      <c r="J26" s="80">
        <v>0.95</v>
      </c>
      <c r="K26" s="80">
        <v>0.60363745700000004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4" t="s">
        <v>217</v>
      </c>
      <c r="F27" s="80">
        <v>0</v>
      </c>
      <c r="G27" s="80">
        <v>9.7079860000000004E-2</v>
      </c>
      <c r="H27" s="80">
        <v>1.5</v>
      </c>
      <c r="I27" s="80">
        <v>5</v>
      </c>
      <c r="J27" s="80">
        <v>0.95</v>
      </c>
      <c r="K27" s="80">
        <v>0.3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4" t="s">
        <v>218</v>
      </c>
      <c r="F28" s="80">
        <v>0</v>
      </c>
      <c r="G28" s="80">
        <v>7.5</v>
      </c>
      <c r="H28" s="80">
        <v>1</v>
      </c>
      <c r="I28" s="80">
        <v>3</v>
      </c>
      <c r="J28" s="80">
        <v>0.190646544</v>
      </c>
      <c r="K28" s="80">
        <v>0.333333343</v>
      </c>
      <c r="L28" s="80">
        <v>0</v>
      </c>
      <c r="M28" s="80">
        <v>0</v>
      </c>
      <c r="N28" s="80">
        <v>0</v>
      </c>
    </row>
    <row r="29" spans="1:22" customFormat="1" ht="15" customHeight="1" x14ac:dyDescent="0.15">
      <c r="C29" s="80">
        <v>28</v>
      </c>
      <c r="E29" s="174" t="s">
        <v>219</v>
      </c>
      <c r="F29" s="80">
        <v>0</v>
      </c>
      <c r="G29" s="80">
        <v>2.1480000000000001</v>
      </c>
      <c r="H29" s="80">
        <v>3.3</v>
      </c>
      <c r="I29" s="80">
        <v>13.2</v>
      </c>
      <c r="J29" s="80">
        <v>0.73323020000000005</v>
      </c>
      <c r="K29" s="80">
        <v>0.25</v>
      </c>
      <c r="L29" s="80">
        <v>0</v>
      </c>
      <c r="M29" s="80">
        <v>0</v>
      </c>
      <c r="N29" s="80">
        <v>0</v>
      </c>
    </row>
    <row r="30" spans="1:22" customFormat="1" ht="15" customHeight="1" x14ac:dyDescent="0.15">
      <c r="C30" s="80">
        <v>29</v>
      </c>
      <c r="E30" s="174" t="s">
        <v>220</v>
      </c>
      <c r="F30" s="80">
        <v>0</v>
      </c>
      <c r="G30" s="80">
        <v>4.0149999999999997</v>
      </c>
      <c r="H30" s="80">
        <v>16</v>
      </c>
      <c r="I30" s="80">
        <v>64</v>
      </c>
      <c r="J30" s="80">
        <v>0.45728865299999999</v>
      </c>
      <c r="K30" s="80">
        <v>0.25</v>
      </c>
      <c r="L30" s="80">
        <v>0</v>
      </c>
      <c r="M30" s="80">
        <v>0</v>
      </c>
      <c r="N30" s="80">
        <v>0</v>
      </c>
    </row>
    <row r="31" spans="1:22" customFormat="1" ht="15" customHeight="1" x14ac:dyDescent="0.15">
      <c r="C31" s="80">
        <v>30</v>
      </c>
      <c r="E31" s="174" t="s">
        <v>221</v>
      </c>
      <c r="F31" s="80">
        <v>0</v>
      </c>
      <c r="G31" s="80">
        <v>1.8</v>
      </c>
      <c r="H31" s="80">
        <v>3.6</v>
      </c>
      <c r="I31" s="80">
        <v>14.4</v>
      </c>
      <c r="J31" s="80">
        <v>0.49980714900000001</v>
      </c>
      <c r="K31" s="80">
        <v>0.25</v>
      </c>
      <c r="L31" s="80">
        <v>0</v>
      </c>
      <c r="M31" s="80">
        <v>0</v>
      </c>
      <c r="N31" s="80">
        <v>0</v>
      </c>
    </row>
    <row r="32" spans="1:22" customFormat="1" ht="15" customHeight="1" x14ac:dyDescent="0.15">
      <c r="C32" s="80">
        <v>31</v>
      </c>
      <c r="E32" s="174" t="s">
        <v>222</v>
      </c>
      <c r="F32" s="80">
        <v>0</v>
      </c>
      <c r="G32" s="80">
        <v>1.21</v>
      </c>
      <c r="H32" s="80">
        <v>10</v>
      </c>
      <c r="I32" s="80">
        <v>40</v>
      </c>
      <c r="J32" s="80">
        <v>0.51211039999999997</v>
      </c>
      <c r="K32" s="80">
        <v>0.25</v>
      </c>
      <c r="L32" s="80">
        <v>0</v>
      </c>
      <c r="M32" s="80">
        <v>0</v>
      </c>
      <c r="N32" s="80">
        <v>0</v>
      </c>
    </row>
    <row r="33" spans="3:14" customFormat="1" ht="15" customHeight="1" x14ac:dyDescent="0.15">
      <c r="C33" s="80">
        <v>32</v>
      </c>
      <c r="E33" s="174" t="s">
        <v>223</v>
      </c>
      <c r="F33" s="80">
        <v>0</v>
      </c>
      <c r="G33" s="80">
        <v>2.1805409999999998</v>
      </c>
      <c r="H33" s="80">
        <v>15</v>
      </c>
      <c r="I33" s="80">
        <v>45</v>
      </c>
      <c r="J33" s="80">
        <v>0.95</v>
      </c>
      <c r="K33" s="80">
        <v>0.333333343</v>
      </c>
      <c r="L33" s="80">
        <v>0</v>
      </c>
      <c r="M33" s="80">
        <v>0</v>
      </c>
      <c r="N33" s="80">
        <v>0</v>
      </c>
    </row>
    <row r="34" spans="3:14" customFormat="1" ht="15" customHeight="1" x14ac:dyDescent="0.15">
      <c r="C34" s="80">
        <v>33</v>
      </c>
      <c r="E34" s="174" t="s">
        <v>224</v>
      </c>
      <c r="F34" s="80">
        <v>0</v>
      </c>
      <c r="G34" s="80">
        <v>5.4204115899999996</v>
      </c>
      <c r="H34" s="80">
        <v>0.6</v>
      </c>
      <c r="I34" s="80">
        <v>4</v>
      </c>
      <c r="J34" s="80">
        <v>0.95</v>
      </c>
      <c r="K34" s="80">
        <v>0.15</v>
      </c>
      <c r="L34" s="80">
        <v>0</v>
      </c>
      <c r="M34" s="80">
        <v>0.2</v>
      </c>
      <c r="N34" s="80">
        <v>0</v>
      </c>
    </row>
    <row r="35" spans="3:14" customFormat="1" ht="15" customHeight="1" x14ac:dyDescent="0.15">
      <c r="C35" s="80">
        <v>34</v>
      </c>
      <c r="E35" s="174" t="s">
        <v>225</v>
      </c>
      <c r="F35" s="80">
        <v>0</v>
      </c>
      <c r="G35" s="80">
        <v>8.0197900000000004</v>
      </c>
      <c r="H35" s="80">
        <v>0.3</v>
      </c>
      <c r="I35" s="80">
        <v>1</v>
      </c>
      <c r="J35" s="80">
        <v>0.95</v>
      </c>
      <c r="K35" s="80">
        <v>0.3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74" t="s">
        <v>226</v>
      </c>
      <c r="F36" s="80">
        <v>0</v>
      </c>
      <c r="G36" s="80">
        <v>5.3262749999999999</v>
      </c>
      <c r="H36" s="80">
        <v>0.56999999999999995</v>
      </c>
      <c r="I36" s="80">
        <v>6.3</v>
      </c>
      <c r="J36" s="80">
        <v>0.95</v>
      </c>
      <c r="K36" s="80">
        <v>9.0476185099999995E-2</v>
      </c>
      <c r="L36" s="80">
        <v>0</v>
      </c>
      <c r="M36" s="80">
        <v>0.2</v>
      </c>
      <c r="N36" s="80">
        <v>0</v>
      </c>
    </row>
    <row r="37" spans="3:14" customFormat="1" ht="15" customHeight="1" x14ac:dyDescent="0.15">
      <c r="C37" s="80">
        <v>36</v>
      </c>
      <c r="E37" s="174" t="s">
        <v>227</v>
      </c>
      <c r="F37" s="80">
        <v>0</v>
      </c>
      <c r="G37" s="80">
        <v>2.8935885400000001</v>
      </c>
      <c r="H37" s="80">
        <v>2.5</v>
      </c>
      <c r="I37" s="80">
        <v>12.5</v>
      </c>
      <c r="J37" s="80">
        <v>0.95</v>
      </c>
      <c r="K37" s="80">
        <v>0.2</v>
      </c>
      <c r="L37" s="80">
        <v>0</v>
      </c>
      <c r="M37" s="80">
        <v>0.2</v>
      </c>
      <c r="N37" s="80">
        <v>0</v>
      </c>
    </row>
    <row r="38" spans="3:14" customFormat="1" ht="15" customHeight="1" x14ac:dyDescent="0.15">
      <c r="C38" s="80">
        <v>37</v>
      </c>
      <c r="E38" s="174" t="s">
        <v>228</v>
      </c>
      <c r="F38" s="80">
        <v>1</v>
      </c>
      <c r="G38" s="80">
        <v>8</v>
      </c>
      <c r="H38" s="80">
        <v>46.458640000000003</v>
      </c>
      <c r="I38" s="80">
        <v>0</v>
      </c>
      <c r="J38" s="80">
        <v>0.8</v>
      </c>
      <c r="K38" s="80">
        <v>0</v>
      </c>
      <c r="L38" s="80">
        <v>0</v>
      </c>
      <c r="M38" s="80">
        <v>0</v>
      </c>
      <c r="N38" s="80">
        <v>0</v>
      </c>
    </row>
    <row r="39" spans="3:14" customFormat="1" ht="15" customHeight="1" x14ac:dyDescent="0.15">
      <c r="C39" s="80">
        <v>38</v>
      </c>
      <c r="E39" s="174" t="s">
        <v>229</v>
      </c>
      <c r="F39" s="80">
        <v>1</v>
      </c>
      <c r="G39" s="80">
        <v>3.5</v>
      </c>
      <c r="H39" s="80">
        <v>45.32864</v>
      </c>
      <c r="I39" s="80">
        <v>0</v>
      </c>
      <c r="J39" s="80">
        <v>0.65</v>
      </c>
      <c r="K39" s="80">
        <v>0</v>
      </c>
      <c r="L39" s="80">
        <v>0</v>
      </c>
      <c r="M39" s="80">
        <v>0</v>
      </c>
      <c r="N39" s="80">
        <v>0</v>
      </c>
    </row>
    <row r="40" spans="3:14" customFormat="1" ht="15" customHeight="1" x14ac:dyDescent="0.15">
      <c r="C40" s="80">
        <v>39</v>
      </c>
      <c r="E40" s="174" t="s">
        <v>230</v>
      </c>
      <c r="F40" s="80">
        <v>2</v>
      </c>
      <c r="G40" s="80">
        <v>8.9999999999999993E-3</v>
      </c>
      <c r="H40" s="80">
        <v>0</v>
      </c>
      <c r="I40" s="80">
        <v>0</v>
      </c>
      <c r="J40" s="80">
        <v>0.85568979999999994</v>
      </c>
      <c r="K40" s="80">
        <v>0</v>
      </c>
      <c r="L40" s="80">
        <v>0</v>
      </c>
      <c r="M40" s="80">
        <v>0</v>
      </c>
      <c r="N40" s="80">
        <v>0</v>
      </c>
    </row>
    <row r="41" spans="3:14" customFormat="1" ht="15" customHeight="1" x14ac:dyDescent="0.15">
      <c r="C41" s="80">
        <v>40</v>
      </c>
      <c r="E41" s="174" t="s">
        <v>231</v>
      </c>
      <c r="F41" s="80">
        <v>2</v>
      </c>
      <c r="G41" s="80">
        <v>0.33</v>
      </c>
      <c r="H41" s="80">
        <v>0</v>
      </c>
      <c r="I41" s="80">
        <v>0</v>
      </c>
      <c r="J41" s="80">
        <v>0.21955835800000001</v>
      </c>
      <c r="K41" s="80">
        <v>0</v>
      </c>
      <c r="L41" s="80">
        <v>0</v>
      </c>
      <c r="M41" s="80">
        <v>0</v>
      </c>
      <c r="N41" s="80">
        <v>0</v>
      </c>
    </row>
    <row r="42" spans="3:14" customFormat="1" ht="15" customHeight="1" x14ac:dyDescent="0.15">
      <c r="C42" s="80">
        <v>41</v>
      </c>
      <c r="E42" s="174" t="s">
        <v>193</v>
      </c>
      <c r="F42" s="80">
        <v>3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</row>
    <row r="43" spans="3:14" customFormat="1" ht="15" customHeight="1" x14ac:dyDescent="0.15">
      <c r="C43" s="80">
        <v>42</v>
      </c>
      <c r="E43" s="174" t="s">
        <v>232</v>
      </c>
      <c r="F43" s="80">
        <v>3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</v>
      </c>
      <c r="N43" s="80">
        <v>0</v>
      </c>
    </row>
    <row r="44" spans="3:14" customFormat="1" ht="15" customHeight="1" x14ac:dyDescent="0.15">
      <c r="C44" s="80">
        <v>43</v>
      </c>
      <c r="E44" s="174" t="s">
        <v>233</v>
      </c>
      <c r="F44" s="80">
        <v>3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0</v>
      </c>
      <c r="M44" s="80">
        <v>0</v>
      </c>
      <c r="N44" s="80">
        <v>0</v>
      </c>
    </row>
    <row r="45" spans="3:14" customFormat="1" ht="15" customHeight="1" x14ac:dyDescent="0.15">
      <c r="C45" s="80">
        <v>44</v>
      </c>
      <c r="E45" s="174" t="s">
        <v>234</v>
      </c>
      <c r="F45" s="80">
        <v>3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0</v>
      </c>
      <c r="M45" s="80">
        <v>0</v>
      </c>
      <c r="N45" s="80">
        <v>0</v>
      </c>
    </row>
    <row r="46" spans="3:14" customFormat="1" ht="15" customHeight="1" x14ac:dyDescent="0.15">
      <c r="C46" s="80">
        <v>45</v>
      </c>
      <c r="E46" s="174" t="s">
        <v>197</v>
      </c>
      <c r="F46" s="80">
        <v>3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>
      <c r="C47" s="80">
        <v>46</v>
      </c>
      <c r="E47" s="174" t="s">
        <v>196</v>
      </c>
      <c r="F47" s="80">
        <v>3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0</v>
      </c>
      <c r="M47" s="80">
        <v>0</v>
      </c>
      <c r="N47" s="80">
        <v>0</v>
      </c>
    </row>
    <row r="48" spans="3:14" customFormat="1" ht="15" customHeight="1" x14ac:dyDescent="0.15">
      <c r="C48" s="80">
        <v>47</v>
      </c>
      <c r="E48" s="174" t="s">
        <v>235</v>
      </c>
      <c r="F48" s="80">
        <v>3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</row>
    <row r="49" spans="3:14" customFormat="1" ht="15" customHeight="1" x14ac:dyDescent="0.15">
      <c r="C49" s="80">
        <v>48</v>
      </c>
      <c r="E49" s="174" t="s">
        <v>236</v>
      </c>
      <c r="F49" s="80">
        <v>3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0</v>
      </c>
      <c r="M49" s="80">
        <v>0</v>
      </c>
      <c r="N49" s="80">
        <v>0</v>
      </c>
    </row>
    <row r="50" spans="3:14" customFormat="1" ht="15" customHeight="1" x14ac:dyDescent="0.15">
      <c r="C50" s="80">
        <v>49</v>
      </c>
      <c r="E50" s="174" t="s">
        <v>204</v>
      </c>
      <c r="F50" s="80">
        <v>3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</row>
    <row r="51" spans="3:14" customFormat="1" ht="15" customHeight="1" x14ac:dyDescent="0.15">
      <c r="C51" s="80">
        <v>50</v>
      </c>
      <c r="E51" s="174" t="s">
        <v>205</v>
      </c>
      <c r="F51" s="80">
        <v>3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0</v>
      </c>
      <c r="M51" s="80">
        <v>0</v>
      </c>
      <c r="N51" s="80">
        <v>0</v>
      </c>
    </row>
    <row r="52" spans="3:14" customFormat="1" ht="15" customHeight="1" x14ac:dyDescent="0.15">
      <c r="C52" s="80">
        <v>51</v>
      </c>
      <c r="E52" s="174" t="s">
        <v>237</v>
      </c>
      <c r="F52" s="80">
        <v>3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0</v>
      </c>
      <c r="M52" s="80">
        <v>0</v>
      </c>
      <c r="N52" s="80">
        <v>0</v>
      </c>
    </row>
    <row r="53" spans="3:14" customFormat="1" ht="15" customHeight="1" x14ac:dyDescent="0.15">
      <c r="C53" s="80">
        <v>52</v>
      </c>
      <c r="E53" s="174" t="s">
        <v>238</v>
      </c>
      <c r="F53" s="80">
        <v>3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0</v>
      </c>
      <c r="M53" s="80">
        <v>0</v>
      </c>
      <c r="N53" s="80">
        <v>0</v>
      </c>
    </row>
    <row r="54" spans="3:14" customFormat="1" ht="15" customHeight="1" x14ac:dyDescent="0.15">
      <c r="C54" s="80">
        <v>53</v>
      </c>
      <c r="E54" s="174" t="s">
        <v>239</v>
      </c>
      <c r="F54" s="80">
        <v>3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</row>
    <row r="55" spans="3:14" customFormat="1" ht="15" customHeight="1" x14ac:dyDescent="0.15">
      <c r="C55" s="80">
        <v>54</v>
      </c>
      <c r="E55" s="174" t="s">
        <v>240</v>
      </c>
      <c r="F55" s="80">
        <v>3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0</v>
      </c>
      <c r="M55" s="80">
        <v>0</v>
      </c>
      <c r="N55" s="80">
        <v>0</v>
      </c>
    </row>
    <row r="56" spans="3:14" customFormat="1" ht="15" customHeight="1" x14ac:dyDescent="0.15"/>
    <row r="57" spans="3:14" customFormat="1" ht="15" customHeight="1" x14ac:dyDescent="0.15"/>
    <row r="58" spans="3:14" customFormat="1" ht="15" customHeight="1" x14ac:dyDescent="0.15"/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O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" style="139" bestFit="1" customWidth="1"/>
    <col min="2" max="5" width="5.83203125" style="139" bestFit="1" customWidth="1"/>
    <col min="6" max="8" width="4.83203125" style="139" bestFit="1" customWidth="1"/>
    <col min="9" max="9" width="5.83203125" style="139" bestFit="1" customWidth="1"/>
    <col min="10" max="27" width="4.83203125" style="139" bestFit="1" customWidth="1"/>
    <col min="28" max="29" width="5.83203125" style="139" bestFit="1" customWidth="1"/>
    <col min="30" max="30" width="4.83203125" style="139" customWidth="1"/>
    <col min="31" max="31" width="5.83203125" style="139" customWidth="1"/>
    <col min="32" max="37" width="4.83203125" style="139" customWidth="1"/>
    <col min="38" max="41" width="2.33203125" style="139" customWidth="1"/>
    <col min="42" max="16384" width="8.83203125" style="139"/>
  </cols>
  <sheetData>
    <row r="1" spans="1:41" x14ac:dyDescent="0.15">
      <c r="A1" s="138" t="s">
        <v>19</v>
      </c>
      <c r="B1" s="176" t="s">
        <v>192</v>
      </c>
      <c r="C1" s="176" t="s">
        <v>193</v>
      </c>
      <c r="D1" s="176" t="s">
        <v>194</v>
      </c>
      <c r="E1" s="176" t="s">
        <v>195</v>
      </c>
      <c r="F1" s="176" t="s">
        <v>196</v>
      </c>
      <c r="G1" s="176" t="s">
        <v>197</v>
      </c>
      <c r="H1" s="176" t="s">
        <v>198</v>
      </c>
      <c r="I1" s="176" t="s">
        <v>199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 s="176" t="s">
        <v>214</v>
      </c>
      <c r="Y1" s="176" t="s">
        <v>215</v>
      </c>
      <c r="Z1" s="176" t="s">
        <v>216</v>
      </c>
      <c r="AA1" s="176" t="s">
        <v>217</v>
      </c>
      <c r="AB1" s="176" t="s">
        <v>218</v>
      </c>
      <c r="AC1" s="176" t="s">
        <v>219</v>
      </c>
      <c r="AD1" s="176" t="s">
        <v>220</v>
      </c>
      <c r="AE1" s="176" t="s">
        <v>221</v>
      </c>
      <c r="AF1" s="176" t="s">
        <v>222</v>
      </c>
      <c r="AG1" s="176" t="s">
        <v>223</v>
      </c>
      <c r="AH1" s="176" t="s">
        <v>224</v>
      </c>
      <c r="AI1" s="176" t="s">
        <v>225</v>
      </c>
      <c r="AJ1" s="176" t="s">
        <v>226</v>
      </c>
      <c r="AK1" s="176" t="s">
        <v>227</v>
      </c>
      <c r="AL1" s="176" t="s">
        <v>228</v>
      </c>
      <c r="AM1" s="176" t="s">
        <v>229</v>
      </c>
      <c r="AN1" s="176" t="s">
        <v>230</v>
      </c>
      <c r="AO1" s="176" t="s">
        <v>231</v>
      </c>
    </row>
    <row r="2" spans="1:41" customFormat="1" x14ac:dyDescent="0.15">
      <c r="A2" s="175" t="s">
        <v>192</v>
      </c>
      <c r="B2" s="139">
        <v>0.01</v>
      </c>
      <c r="C2" s="139">
        <v>0</v>
      </c>
      <c r="D2" s="139">
        <v>0</v>
      </c>
      <c r="E2" s="139">
        <v>0</v>
      </c>
      <c r="F2" s="139">
        <v>0</v>
      </c>
      <c r="G2" s="139">
        <v>0</v>
      </c>
      <c r="H2" s="139">
        <v>0</v>
      </c>
      <c r="I2" s="139">
        <v>0</v>
      </c>
      <c r="J2" s="139">
        <v>0</v>
      </c>
      <c r="K2" s="139">
        <v>0</v>
      </c>
      <c r="L2" s="139">
        <v>0</v>
      </c>
      <c r="M2" s="139">
        <v>0</v>
      </c>
      <c r="N2" s="139">
        <v>0</v>
      </c>
      <c r="O2" s="139">
        <v>0</v>
      </c>
      <c r="P2" s="139">
        <v>0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  <c r="W2" s="139">
        <v>0</v>
      </c>
      <c r="X2" s="139">
        <v>0</v>
      </c>
      <c r="Y2" s="139">
        <v>0</v>
      </c>
      <c r="Z2" s="139">
        <v>0</v>
      </c>
      <c r="AA2" s="139">
        <v>0</v>
      </c>
      <c r="AB2" s="139">
        <v>0</v>
      </c>
      <c r="AC2" s="139">
        <v>0</v>
      </c>
      <c r="AD2" s="139">
        <v>0</v>
      </c>
      <c r="AE2" s="139">
        <v>0</v>
      </c>
      <c r="AF2" s="139">
        <v>0</v>
      </c>
      <c r="AG2" s="139">
        <v>0</v>
      </c>
      <c r="AH2" s="139">
        <v>0</v>
      </c>
      <c r="AI2" s="139">
        <v>0</v>
      </c>
      <c r="AJ2" s="139">
        <v>0</v>
      </c>
      <c r="AK2" s="139">
        <v>0</v>
      </c>
      <c r="AL2" s="139">
        <v>0</v>
      </c>
      <c r="AM2" s="139">
        <v>0</v>
      </c>
      <c r="AN2" s="139">
        <v>0</v>
      </c>
      <c r="AO2" s="139">
        <v>0</v>
      </c>
    </row>
    <row r="3" spans="1:41" customFormat="1" x14ac:dyDescent="0.15">
      <c r="A3" s="175" t="s">
        <v>193</v>
      </c>
      <c r="B3" s="139">
        <v>0</v>
      </c>
      <c r="C3" s="139">
        <v>0.01</v>
      </c>
      <c r="D3" s="139">
        <v>0</v>
      </c>
      <c r="E3" s="139">
        <v>0</v>
      </c>
      <c r="F3" s="139">
        <v>0</v>
      </c>
      <c r="G3" s="139">
        <v>0</v>
      </c>
      <c r="H3" s="139">
        <v>0</v>
      </c>
      <c r="I3" s="139">
        <v>0</v>
      </c>
      <c r="J3" s="139">
        <v>0</v>
      </c>
      <c r="K3" s="139">
        <v>0</v>
      </c>
      <c r="L3" s="139">
        <v>0</v>
      </c>
      <c r="M3" s="139">
        <v>0</v>
      </c>
      <c r="N3" s="139">
        <v>0</v>
      </c>
      <c r="O3" s="139">
        <v>0</v>
      </c>
      <c r="P3" s="139">
        <v>0</v>
      </c>
      <c r="Q3" s="139">
        <v>0</v>
      </c>
      <c r="R3" s="139">
        <v>0</v>
      </c>
      <c r="S3" s="139">
        <v>0</v>
      </c>
      <c r="T3" s="139">
        <v>0</v>
      </c>
      <c r="U3" s="139">
        <v>0</v>
      </c>
      <c r="V3" s="139">
        <v>0</v>
      </c>
      <c r="W3" s="139">
        <v>0</v>
      </c>
      <c r="X3" s="139">
        <v>0</v>
      </c>
      <c r="Y3" s="139">
        <v>0</v>
      </c>
      <c r="Z3" s="139">
        <v>0</v>
      </c>
      <c r="AA3" s="139">
        <v>0</v>
      </c>
      <c r="AB3" s="139">
        <v>0</v>
      </c>
      <c r="AC3" s="139">
        <v>0</v>
      </c>
      <c r="AD3" s="139">
        <v>0</v>
      </c>
      <c r="AE3" s="139">
        <v>0</v>
      </c>
      <c r="AF3" s="139">
        <v>0</v>
      </c>
      <c r="AG3" s="139">
        <v>0</v>
      </c>
      <c r="AH3" s="139">
        <v>0</v>
      </c>
      <c r="AI3" s="139">
        <v>0</v>
      </c>
      <c r="AJ3" s="139">
        <v>0</v>
      </c>
      <c r="AK3" s="139">
        <v>0</v>
      </c>
      <c r="AL3" s="139">
        <v>0</v>
      </c>
      <c r="AM3" s="139">
        <v>0</v>
      </c>
      <c r="AN3" s="139">
        <v>0</v>
      </c>
      <c r="AO3" s="139">
        <v>0</v>
      </c>
    </row>
    <row r="4" spans="1:41" customFormat="1" x14ac:dyDescent="0.15">
      <c r="A4" s="175" t="s">
        <v>194</v>
      </c>
      <c r="B4" s="139">
        <v>0</v>
      </c>
      <c r="C4" s="139">
        <v>0</v>
      </c>
      <c r="D4" s="139">
        <v>5.0000000000000001E-3</v>
      </c>
      <c r="E4" s="139">
        <v>0</v>
      </c>
      <c r="F4" s="139">
        <v>0</v>
      </c>
      <c r="G4" s="139">
        <v>0</v>
      </c>
      <c r="H4" s="139">
        <v>0</v>
      </c>
      <c r="I4" s="139">
        <v>0</v>
      </c>
      <c r="J4" s="139">
        <v>0</v>
      </c>
      <c r="K4" s="139">
        <v>0</v>
      </c>
      <c r="L4" s="139">
        <v>0</v>
      </c>
      <c r="M4" s="139">
        <v>0</v>
      </c>
      <c r="N4" s="139">
        <v>0</v>
      </c>
      <c r="O4" s="139">
        <v>0</v>
      </c>
      <c r="P4" s="139">
        <v>0</v>
      </c>
      <c r="Q4" s="139">
        <v>0</v>
      </c>
      <c r="R4" s="139">
        <v>0</v>
      </c>
      <c r="S4" s="139">
        <v>0</v>
      </c>
      <c r="T4" s="139">
        <v>0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139">
        <v>0</v>
      </c>
      <c r="AH4" s="139">
        <v>0</v>
      </c>
      <c r="AI4" s="139">
        <v>0</v>
      </c>
      <c r="AJ4" s="139">
        <v>0</v>
      </c>
      <c r="AK4" s="139">
        <v>0</v>
      </c>
      <c r="AL4" s="139">
        <v>0</v>
      </c>
      <c r="AM4" s="139">
        <v>0</v>
      </c>
      <c r="AN4" s="139">
        <v>0</v>
      </c>
      <c r="AO4" s="139">
        <v>0</v>
      </c>
    </row>
    <row r="5" spans="1:41" customFormat="1" x14ac:dyDescent="0.15">
      <c r="A5" s="175" t="s">
        <v>195</v>
      </c>
      <c r="B5" s="139">
        <v>0</v>
      </c>
      <c r="C5" s="139">
        <v>0</v>
      </c>
      <c r="D5" s="139">
        <v>0</v>
      </c>
      <c r="E5" s="139">
        <v>0</v>
      </c>
      <c r="F5" s="139">
        <v>0</v>
      </c>
      <c r="G5" s="139">
        <v>0</v>
      </c>
      <c r="H5" s="139">
        <v>0</v>
      </c>
      <c r="I5" s="139">
        <v>0</v>
      </c>
      <c r="J5" s="139">
        <v>0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0</v>
      </c>
      <c r="Q5" s="139">
        <v>0</v>
      </c>
      <c r="R5" s="139">
        <v>0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0</v>
      </c>
      <c r="AC5" s="139">
        <v>0</v>
      </c>
      <c r="AD5" s="139">
        <v>0</v>
      </c>
      <c r="AE5" s="139">
        <v>0</v>
      </c>
      <c r="AF5" s="139">
        <v>0</v>
      </c>
      <c r="AG5" s="139">
        <v>0</v>
      </c>
      <c r="AH5" s="139">
        <v>0</v>
      </c>
      <c r="AI5" s="139">
        <v>0</v>
      </c>
      <c r="AJ5" s="139">
        <v>0</v>
      </c>
      <c r="AK5" s="139">
        <v>0</v>
      </c>
      <c r="AL5" s="139">
        <v>0</v>
      </c>
      <c r="AM5" s="139">
        <v>0</v>
      </c>
      <c r="AN5" s="139">
        <v>0</v>
      </c>
      <c r="AO5" s="139">
        <v>0</v>
      </c>
    </row>
    <row r="6" spans="1:41" customFormat="1" x14ac:dyDescent="0.15">
      <c r="A6" s="175" t="s">
        <v>196</v>
      </c>
      <c r="B6" s="139">
        <v>0</v>
      </c>
      <c r="C6" s="139">
        <v>0</v>
      </c>
      <c r="D6" s="139">
        <v>0</v>
      </c>
      <c r="E6" s="139">
        <v>7.9999999999999988E-2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0</v>
      </c>
      <c r="L6" s="139">
        <v>0</v>
      </c>
      <c r="M6" s="139">
        <v>0</v>
      </c>
      <c r="N6" s="139">
        <v>0</v>
      </c>
      <c r="O6" s="139">
        <v>0</v>
      </c>
      <c r="P6" s="139">
        <v>0</v>
      </c>
      <c r="Q6" s="139">
        <v>0</v>
      </c>
      <c r="R6" s="139">
        <v>0</v>
      </c>
      <c r="S6" s="139">
        <v>0</v>
      </c>
      <c r="T6" s="139">
        <v>0</v>
      </c>
      <c r="U6" s="139">
        <v>0</v>
      </c>
      <c r="V6" s="139">
        <v>0</v>
      </c>
      <c r="W6" s="139">
        <v>0</v>
      </c>
      <c r="X6" s="139">
        <v>9.9999999999999985E-3</v>
      </c>
      <c r="Y6" s="139">
        <v>0</v>
      </c>
      <c r="Z6" s="139">
        <v>0</v>
      </c>
      <c r="AA6" s="139">
        <v>0</v>
      </c>
      <c r="AB6" s="139">
        <v>0</v>
      </c>
      <c r="AC6" s="139">
        <v>0</v>
      </c>
      <c r="AD6" s="139">
        <v>0</v>
      </c>
      <c r="AE6" s="139">
        <v>0</v>
      </c>
      <c r="AF6" s="139">
        <v>0</v>
      </c>
      <c r="AG6" s="139">
        <v>0</v>
      </c>
      <c r="AH6" s="139">
        <v>0</v>
      </c>
      <c r="AI6" s="139">
        <v>0</v>
      </c>
      <c r="AJ6" s="139">
        <v>0</v>
      </c>
      <c r="AK6" s="139">
        <v>0</v>
      </c>
      <c r="AL6" s="139">
        <v>0</v>
      </c>
      <c r="AM6" s="139">
        <v>0</v>
      </c>
      <c r="AN6" s="139">
        <v>0</v>
      </c>
      <c r="AO6" s="139">
        <v>0</v>
      </c>
    </row>
    <row r="7" spans="1:41" customFormat="1" x14ac:dyDescent="0.15">
      <c r="A7" s="175" t="s">
        <v>197</v>
      </c>
      <c r="B7" s="139">
        <v>0</v>
      </c>
      <c r="C7" s="139">
        <v>0</v>
      </c>
      <c r="D7" s="139">
        <v>0</v>
      </c>
      <c r="E7" s="139">
        <v>2.4999999999999994E-2</v>
      </c>
      <c r="F7" s="139">
        <v>0</v>
      </c>
      <c r="G7" s="139">
        <v>0</v>
      </c>
      <c r="H7" s="139">
        <v>0</v>
      </c>
      <c r="I7" s="139">
        <v>0</v>
      </c>
      <c r="J7" s="139">
        <v>0</v>
      </c>
      <c r="K7" s="139">
        <v>0</v>
      </c>
      <c r="L7" s="139">
        <v>0</v>
      </c>
      <c r="M7" s="139">
        <v>0</v>
      </c>
      <c r="N7" s="139">
        <v>0</v>
      </c>
      <c r="O7" s="139">
        <v>0</v>
      </c>
      <c r="P7" s="139">
        <v>0</v>
      </c>
      <c r="Q7" s="139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139">
        <v>0</v>
      </c>
      <c r="X7" s="139">
        <v>0</v>
      </c>
      <c r="Y7" s="139">
        <v>0</v>
      </c>
      <c r="Z7" s="139">
        <v>0</v>
      </c>
      <c r="AA7" s="139">
        <v>0</v>
      </c>
      <c r="AB7" s="139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139">
        <v>0</v>
      </c>
      <c r="AI7" s="139">
        <v>0</v>
      </c>
      <c r="AJ7" s="139">
        <v>0</v>
      </c>
      <c r="AK7" s="139">
        <v>0</v>
      </c>
      <c r="AL7" s="139">
        <v>0</v>
      </c>
      <c r="AM7" s="139">
        <v>0</v>
      </c>
      <c r="AN7" s="139">
        <v>0</v>
      </c>
      <c r="AO7" s="139">
        <v>0</v>
      </c>
    </row>
    <row r="8" spans="1:41" customFormat="1" x14ac:dyDescent="0.15">
      <c r="A8" s="175" t="s">
        <v>198</v>
      </c>
      <c r="B8" s="139">
        <v>5.0000000000000001E-3</v>
      </c>
      <c r="C8" s="139">
        <v>0</v>
      </c>
      <c r="D8" s="139">
        <v>0</v>
      </c>
      <c r="E8" s="139">
        <v>2.9999999999999992E-2</v>
      </c>
      <c r="F8" s="139">
        <v>0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39">
        <v>0</v>
      </c>
      <c r="M8" s="139">
        <v>0</v>
      </c>
      <c r="N8" s="139">
        <v>0</v>
      </c>
      <c r="O8" s="139">
        <v>0</v>
      </c>
      <c r="P8" s="139">
        <v>0</v>
      </c>
      <c r="Q8" s="139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9">
        <v>0</v>
      </c>
      <c r="X8" s="139">
        <v>0</v>
      </c>
      <c r="Y8" s="139">
        <v>0</v>
      </c>
      <c r="Z8" s="139">
        <v>0</v>
      </c>
      <c r="AA8" s="139">
        <v>0</v>
      </c>
      <c r="AB8" s="139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9">
        <v>0</v>
      </c>
      <c r="AI8" s="139">
        <v>0</v>
      </c>
      <c r="AJ8" s="139">
        <v>0</v>
      </c>
      <c r="AK8" s="139">
        <v>0</v>
      </c>
      <c r="AL8" s="139">
        <v>0</v>
      </c>
      <c r="AM8" s="139">
        <v>0</v>
      </c>
      <c r="AN8" s="139">
        <v>0</v>
      </c>
      <c r="AO8" s="139">
        <v>0</v>
      </c>
    </row>
    <row r="9" spans="1:41" customFormat="1" x14ac:dyDescent="0.15">
      <c r="A9" s="175" t="s">
        <v>199</v>
      </c>
      <c r="B9" s="139">
        <v>0</v>
      </c>
      <c r="C9" s="139">
        <v>5.0000000000000001E-3</v>
      </c>
      <c r="D9" s="139">
        <v>0</v>
      </c>
      <c r="E9" s="139">
        <v>2.9999999999999992E-2</v>
      </c>
      <c r="F9" s="139">
        <v>0</v>
      </c>
      <c r="G9" s="139">
        <v>0</v>
      </c>
      <c r="H9" s="139">
        <v>0</v>
      </c>
      <c r="I9" s="139">
        <v>0</v>
      </c>
      <c r="J9" s="139">
        <v>0</v>
      </c>
      <c r="K9" s="139">
        <v>0</v>
      </c>
      <c r="L9" s="139">
        <v>0</v>
      </c>
      <c r="M9" s="139">
        <v>0</v>
      </c>
      <c r="N9" s="139">
        <v>0</v>
      </c>
      <c r="O9" s="139">
        <v>0</v>
      </c>
      <c r="P9" s="139">
        <v>0</v>
      </c>
      <c r="Q9" s="139">
        <v>0</v>
      </c>
      <c r="R9" s="139">
        <v>0</v>
      </c>
      <c r="S9" s="139">
        <v>0</v>
      </c>
      <c r="T9" s="139">
        <v>0</v>
      </c>
      <c r="U9" s="139">
        <v>0</v>
      </c>
      <c r="V9" s="139">
        <v>0</v>
      </c>
      <c r="W9" s="139">
        <v>0</v>
      </c>
      <c r="X9" s="139">
        <v>0</v>
      </c>
      <c r="Y9" s="139">
        <v>0</v>
      </c>
      <c r="Z9" s="139">
        <v>0</v>
      </c>
      <c r="AA9" s="139">
        <v>0</v>
      </c>
      <c r="AB9" s="139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  <c r="AH9" s="139">
        <v>0</v>
      </c>
      <c r="AI9" s="139">
        <v>0</v>
      </c>
      <c r="AJ9" s="139">
        <v>0</v>
      </c>
      <c r="AK9" s="139">
        <v>0</v>
      </c>
      <c r="AL9" s="139">
        <v>0</v>
      </c>
      <c r="AM9" s="139">
        <v>0</v>
      </c>
      <c r="AN9" s="139">
        <v>0</v>
      </c>
      <c r="AO9" s="139">
        <v>0</v>
      </c>
    </row>
    <row r="10" spans="1:41" customFormat="1" x14ac:dyDescent="0.15">
      <c r="A10" s="175" t="s">
        <v>200</v>
      </c>
      <c r="B10" s="139">
        <v>0.125</v>
      </c>
      <c r="C10" s="139">
        <v>0.125</v>
      </c>
      <c r="D10" s="139">
        <v>0.2</v>
      </c>
      <c r="E10" s="139">
        <v>0.12999999999999998</v>
      </c>
      <c r="F10" s="139">
        <v>0</v>
      </c>
      <c r="G10" s="139">
        <v>0</v>
      </c>
      <c r="H10" s="139">
        <v>0</v>
      </c>
      <c r="I10" s="139">
        <v>1E-3</v>
      </c>
      <c r="J10" s="139">
        <v>0</v>
      </c>
      <c r="K10" s="139">
        <v>0</v>
      </c>
      <c r="L10" s="139">
        <v>0</v>
      </c>
      <c r="M10" s="139">
        <v>0</v>
      </c>
      <c r="N10" s="139">
        <v>0</v>
      </c>
      <c r="O10" s="139">
        <v>0</v>
      </c>
      <c r="P10" s="139">
        <v>0</v>
      </c>
      <c r="Q10" s="139">
        <v>0</v>
      </c>
      <c r="R10" s="139">
        <v>0</v>
      </c>
      <c r="S10" s="139">
        <v>0</v>
      </c>
      <c r="T10" s="139">
        <v>0</v>
      </c>
      <c r="U10" s="139">
        <v>0</v>
      </c>
      <c r="V10" s="139">
        <v>0</v>
      </c>
      <c r="W10" s="139">
        <v>0</v>
      </c>
      <c r="X10" s="139">
        <v>9.9999999999999985E-3</v>
      </c>
      <c r="Y10" s="139">
        <v>0</v>
      </c>
      <c r="Z10" s="139">
        <v>0</v>
      </c>
      <c r="AA10" s="139">
        <v>0</v>
      </c>
      <c r="AB10" s="139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  <c r="AH10" s="139">
        <v>0</v>
      </c>
      <c r="AI10" s="139">
        <v>0</v>
      </c>
      <c r="AJ10" s="139">
        <v>0</v>
      </c>
      <c r="AK10" s="139">
        <v>0</v>
      </c>
      <c r="AL10" s="139">
        <v>0</v>
      </c>
      <c r="AM10" s="139">
        <v>0</v>
      </c>
      <c r="AN10" s="139">
        <v>0</v>
      </c>
      <c r="AO10" s="139">
        <v>0</v>
      </c>
    </row>
    <row r="11" spans="1:41" customFormat="1" x14ac:dyDescent="0.15">
      <c r="A11" s="175" t="s">
        <v>201</v>
      </c>
      <c r="B11" s="139">
        <v>1E-3</v>
      </c>
      <c r="C11" s="139">
        <v>1E-3</v>
      </c>
      <c r="D11" s="139">
        <v>0.01</v>
      </c>
      <c r="E11" s="139">
        <v>1.4999999999999996E-2</v>
      </c>
      <c r="F11" s="139">
        <v>0</v>
      </c>
      <c r="G11" s="139">
        <v>0</v>
      </c>
      <c r="H11" s="139">
        <v>0</v>
      </c>
      <c r="I11" s="139">
        <v>0</v>
      </c>
      <c r="J11" s="139">
        <v>0</v>
      </c>
      <c r="K11" s="139">
        <v>0</v>
      </c>
      <c r="L11" s="139">
        <v>0</v>
      </c>
      <c r="M11" s="139">
        <v>0</v>
      </c>
      <c r="N11" s="139">
        <v>0</v>
      </c>
      <c r="O11" s="139">
        <v>0</v>
      </c>
      <c r="P11" s="139">
        <v>0</v>
      </c>
      <c r="Q11" s="139">
        <v>0</v>
      </c>
      <c r="R11" s="139">
        <v>0</v>
      </c>
      <c r="S11" s="139">
        <v>0</v>
      </c>
      <c r="T11" s="139">
        <v>0</v>
      </c>
      <c r="U11" s="139">
        <v>0</v>
      </c>
      <c r="V11" s="139">
        <v>0</v>
      </c>
      <c r="W11" s="139">
        <v>0</v>
      </c>
      <c r="X11" s="139">
        <v>0</v>
      </c>
      <c r="Y11" s="139">
        <v>0</v>
      </c>
      <c r="Z11" s="139">
        <v>0</v>
      </c>
      <c r="AA11" s="139">
        <v>0</v>
      </c>
      <c r="AB11" s="139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  <c r="AH11" s="139">
        <v>0</v>
      </c>
      <c r="AI11" s="139">
        <v>0</v>
      </c>
      <c r="AJ11" s="139">
        <v>0</v>
      </c>
      <c r="AK11" s="139">
        <v>0</v>
      </c>
      <c r="AL11" s="139">
        <v>0</v>
      </c>
      <c r="AM11" s="139">
        <v>0</v>
      </c>
      <c r="AN11" s="139">
        <v>0</v>
      </c>
      <c r="AO11" s="139">
        <v>0</v>
      </c>
    </row>
    <row r="12" spans="1:41" customFormat="1" x14ac:dyDescent="0.15">
      <c r="A12" s="175" t="s">
        <v>202</v>
      </c>
      <c r="B12" s="139">
        <v>0.61899999999999999</v>
      </c>
      <c r="C12" s="139">
        <v>0.624</v>
      </c>
      <c r="D12" s="139">
        <v>0.59499999999999997</v>
      </c>
      <c r="E12" s="139">
        <v>0.32999999999999996</v>
      </c>
      <c r="F12" s="139">
        <v>0</v>
      </c>
      <c r="G12" s="139">
        <v>0</v>
      </c>
      <c r="H12" s="139">
        <v>0</v>
      </c>
      <c r="I12" s="139">
        <v>3.9E-2</v>
      </c>
      <c r="J12" s="139">
        <v>0</v>
      </c>
      <c r="K12" s="139">
        <v>0</v>
      </c>
      <c r="L12" s="139">
        <v>0</v>
      </c>
      <c r="M12" s="139">
        <v>0</v>
      </c>
      <c r="N12" s="139">
        <v>0</v>
      </c>
      <c r="O12" s="139">
        <v>0</v>
      </c>
      <c r="P12" s="139">
        <v>0</v>
      </c>
      <c r="Q12" s="139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9">
        <v>0</v>
      </c>
      <c r="X12" s="139">
        <v>9.9999999999999985E-3</v>
      </c>
      <c r="Y12" s="139">
        <v>0</v>
      </c>
      <c r="Z12" s="139">
        <v>0</v>
      </c>
      <c r="AA12" s="139">
        <v>0</v>
      </c>
      <c r="AB12" s="139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  <c r="AH12" s="139">
        <v>0</v>
      </c>
      <c r="AI12" s="139">
        <v>0</v>
      </c>
      <c r="AJ12" s="139">
        <v>0</v>
      </c>
      <c r="AK12" s="139">
        <v>0</v>
      </c>
      <c r="AL12" s="139">
        <v>0</v>
      </c>
      <c r="AM12" s="139">
        <v>0</v>
      </c>
      <c r="AN12" s="139">
        <v>0</v>
      </c>
      <c r="AO12" s="139">
        <v>0</v>
      </c>
    </row>
    <row r="13" spans="1:41" customFormat="1" x14ac:dyDescent="0.15">
      <c r="A13" s="175" t="s">
        <v>203</v>
      </c>
      <c r="B13" s="139">
        <v>0.03</v>
      </c>
      <c r="C13" s="139">
        <v>0.03</v>
      </c>
      <c r="D13" s="139">
        <v>0.04</v>
      </c>
      <c r="E13" s="139">
        <v>2.9999999999999992E-2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  <c r="L13" s="139">
        <v>0</v>
      </c>
      <c r="M13" s="139">
        <v>0</v>
      </c>
      <c r="N13" s="139">
        <v>0</v>
      </c>
      <c r="O13" s="139">
        <v>0</v>
      </c>
      <c r="P13" s="139">
        <v>0</v>
      </c>
      <c r="Q13" s="139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0</v>
      </c>
      <c r="W13" s="139">
        <v>0</v>
      </c>
      <c r="X13" s="139">
        <v>9.9999999999999985E-3</v>
      </c>
      <c r="Y13" s="139">
        <v>0</v>
      </c>
      <c r="Z13" s="139">
        <v>0</v>
      </c>
      <c r="AA13" s="139">
        <v>0</v>
      </c>
      <c r="AB13" s="139">
        <v>0</v>
      </c>
      <c r="AC13" s="139">
        <v>0</v>
      </c>
      <c r="AD13" s="139">
        <v>0</v>
      </c>
      <c r="AE13" s="139">
        <v>0</v>
      </c>
      <c r="AF13" s="139">
        <v>0</v>
      </c>
      <c r="AG13" s="139">
        <v>0</v>
      </c>
      <c r="AH13" s="139">
        <v>0</v>
      </c>
      <c r="AI13" s="139">
        <v>0</v>
      </c>
      <c r="AJ13" s="139">
        <v>0</v>
      </c>
      <c r="AK13" s="139">
        <v>0</v>
      </c>
      <c r="AL13" s="139">
        <v>0</v>
      </c>
      <c r="AM13" s="139">
        <v>0</v>
      </c>
      <c r="AN13" s="139">
        <v>0</v>
      </c>
      <c r="AO13" s="139">
        <v>0</v>
      </c>
    </row>
    <row r="14" spans="1:41" customFormat="1" x14ac:dyDescent="0.15">
      <c r="A14" s="175" t="s">
        <v>204</v>
      </c>
      <c r="B14" s="139">
        <v>0</v>
      </c>
      <c r="C14" s="139">
        <v>5.0000000000000001E-3</v>
      </c>
      <c r="D14" s="139">
        <v>0</v>
      </c>
      <c r="E14" s="139">
        <v>9.9999999999999985E-3</v>
      </c>
      <c r="F14" s="139">
        <v>0</v>
      </c>
      <c r="G14" s="139">
        <v>0</v>
      </c>
      <c r="H14" s="139">
        <v>0</v>
      </c>
      <c r="I14" s="139">
        <v>0</v>
      </c>
      <c r="J14" s="139">
        <v>0</v>
      </c>
      <c r="K14" s="139">
        <v>0</v>
      </c>
      <c r="L14" s="139">
        <v>0</v>
      </c>
      <c r="M14" s="139">
        <v>0</v>
      </c>
      <c r="N14" s="139">
        <v>0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9">
        <v>0</v>
      </c>
      <c r="X14" s="139">
        <v>0</v>
      </c>
      <c r="Y14" s="139">
        <v>0</v>
      </c>
      <c r="Z14" s="139">
        <v>0</v>
      </c>
      <c r="AA14" s="139">
        <v>0</v>
      </c>
      <c r="AB14" s="139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9">
        <v>0</v>
      </c>
      <c r="AI14" s="139">
        <v>0</v>
      </c>
      <c r="AJ14" s="139">
        <v>0</v>
      </c>
      <c r="AK14" s="139">
        <v>0</v>
      </c>
      <c r="AL14" s="139">
        <v>0</v>
      </c>
      <c r="AM14" s="139">
        <v>0</v>
      </c>
      <c r="AN14" s="139">
        <v>0</v>
      </c>
      <c r="AO14" s="139">
        <v>0</v>
      </c>
    </row>
    <row r="15" spans="1:41" customFormat="1" x14ac:dyDescent="0.15">
      <c r="A15" s="175" t="s">
        <v>205</v>
      </c>
      <c r="B15" s="139">
        <v>0.1</v>
      </c>
      <c r="C15" s="139">
        <v>0</v>
      </c>
      <c r="D15" s="139">
        <v>0.08</v>
      </c>
      <c r="E15" s="139">
        <v>0.15999999999999998</v>
      </c>
      <c r="F15" s="139">
        <v>0</v>
      </c>
      <c r="G15" s="139">
        <v>0</v>
      </c>
      <c r="H15" s="139">
        <v>0</v>
      </c>
      <c r="I15" s="139">
        <v>0</v>
      </c>
      <c r="J15" s="139">
        <v>0</v>
      </c>
      <c r="K15" s="139">
        <v>0</v>
      </c>
      <c r="L15" s="139">
        <v>0</v>
      </c>
      <c r="M15" s="139">
        <v>0</v>
      </c>
      <c r="N15" s="139">
        <v>0</v>
      </c>
      <c r="O15" s="139">
        <v>0</v>
      </c>
      <c r="P15" s="139">
        <v>0</v>
      </c>
      <c r="Q15" s="139">
        <v>0</v>
      </c>
      <c r="R15" s="139">
        <v>0</v>
      </c>
      <c r="S15" s="139">
        <v>0</v>
      </c>
      <c r="T15" s="139">
        <v>0</v>
      </c>
      <c r="U15" s="139">
        <v>0</v>
      </c>
      <c r="V15" s="139">
        <v>0</v>
      </c>
      <c r="W15" s="139">
        <v>0</v>
      </c>
      <c r="X15" s="139">
        <v>0</v>
      </c>
      <c r="Y15" s="139">
        <v>0</v>
      </c>
      <c r="Z15" s="139">
        <v>0</v>
      </c>
      <c r="AA15" s="139">
        <v>0</v>
      </c>
      <c r="AB15" s="139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9">
        <v>0</v>
      </c>
      <c r="AI15" s="139">
        <v>0</v>
      </c>
      <c r="AJ15" s="139">
        <v>0</v>
      </c>
      <c r="AK15" s="139">
        <v>0</v>
      </c>
      <c r="AL15" s="139">
        <v>0</v>
      </c>
      <c r="AM15" s="139">
        <v>0</v>
      </c>
      <c r="AN15" s="139">
        <v>0</v>
      </c>
      <c r="AO15" s="139">
        <v>0</v>
      </c>
    </row>
    <row r="16" spans="1:41" customFormat="1" x14ac:dyDescent="0.15">
      <c r="A16" s="175" t="s">
        <v>206</v>
      </c>
      <c r="B16" s="139">
        <v>0</v>
      </c>
      <c r="C16" s="139">
        <v>6.5000000000000002E-2</v>
      </c>
      <c r="D16" s="139">
        <v>0</v>
      </c>
      <c r="E16" s="139">
        <v>4.9999999999999989E-2</v>
      </c>
      <c r="F16" s="139">
        <v>0</v>
      </c>
      <c r="G16" s="139">
        <v>0</v>
      </c>
      <c r="H16" s="139">
        <v>0</v>
      </c>
      <c r="I16" s="139">
        <v>0</v>
      </c>
      <c r="J16" s="139">
        <v>0</v>
      </c>
      <c r="K16" s="139">
        <v>0</v>
      </c>
      <c r="L16" s="139">
        <v>0</v>
      </c>
      <c r="M16" s="139">
        <v>0</v>
      </c>
      <c r="N16" s="139">
        <v>0</v>
      </c>
      <c r="O16" s="139">
        <v>0</v>
      </c>
      <c r="P16" s="139">
        <v>0</v>
      </c>
      <c r="Q16" s="139">
        <v>0</v>
      </c>
      <c r="R16" s="139">
        <v>0</v>
      </c>
      <c r="S16" s="139">
        <v>0</v>
      </c>
      <c r="T16" s="139">
        <v>0</v>
      </c>
      <c r="U16" s="139">
        <v>0</v>
      </c>
      <c r="V16" s="139">
        <v>0</v>
      </c>
      <c r="W16" s="139">
        <v>0</v>
      </c>
      <c r="X16" s="139">
        <v>0</v>
      </c>
      <c r="Y16" s="139">
        <v>0</v>
      </c>
      <c r="Z16" s="139">
        <v>0</v>
      </c>
      <c r="AA16" s="139">
        <v>0</v>
      </c>
      <c r="AB16" s="139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  <c r="AH16" s="139">
        <v>0</v>
      </c>
      <c r="AI16" s="139">
        <v>0</v>
      </c>
      <c r="AJ16" s="139">
        <v>0</v>
      </c>
      <c r="AK16" s="139">
        <v>0</v>
      </c>
      <c r="AL16" s="139">
        <v>0</v>
      </c>
      <c r="AM16" s="139">
        <v>0</v>
      </c>
      <c r="AN16" s="139">
        <v>0</v>
      </c>
      <c r="AO16" s="139">
        <v>0</v>
      </c>
    </row>
    <row r="17" spans="1:41" customFormat="1" x14ac:dyDescent="0.15">
      <c r="A17" s="175" t="s">
        <v>207</v>
      </c>
      <c r="B17" s="139">
        <v>0.02</v>
      </c>
      <c r="C17" s="139">
        <v>7.0000000000000007E-2</v>
      </c>
      <c r="D17" s="139">
        <v>0.02</v>
      </c>
      <c r="E17" s="139">
        <v>2.9999999999999992E-2</v>
      </c>
      <c r="F17" s="139">
        <v>0</v>
      </c>
      <c r="G17" s="139">
        <v>0</v>
      </c>
      <c r="H17" s="139">
        <v>0</v>
      </c>
      <c r="I17" s="139">
        <v>0</v>
      </c>
      <c r="J17" s="139">
        <v>0</v>
      </c>
      <c r="K17" s="139">
        <v>0</v>
      </c>
      <c r="L17" s="139">
        <v>0</v>
      </c>
      <c r="M17" s="139">
        <v>0</v>
      </c>
      <c r="N17" s="139">
        <v>0</v>
      </c>
      <c r="O17" s="139">
        <v>0</v>
      </c>
      <c r="P17" s="139">
        <v>0</v>
      </c>
      <c r="Q17" s="139">
        <v>0.02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</row>
    <row r="18" spans="1:41" customFormat="1" x14ac:dyDescent="0.15">
      <c r="A18" s="175" t="s">
        <v>208</v>
      </c>
      <c r="B18" s="139">
        <v>0</v>
      </c>
      <c r="C18" s="139">
        <v>0</v>
      </c>
      <c r="D18" s="139">
        <v>0</v>
      </c>
      <c r="E18" s="139">
        <v>0</v>
      </c>
      <c r="F18" s="139">
        <v>0.01</v>
      </c>
      <c r="G18" s="139">
        <v>0</v>
      </c>
      <c r="H18" s="139">
        <v>0</v>
      </c>
      <c r="I18" s="139">
        <v>0</v>
      </c>
      <c r="J18" s="139">
        <v>0.03</v>
      </c>
      <c r="K18" s="139">
        <v>0</v>
      </c>
      <c r="L18" s="139">
        <v>0</v>
      </c>
      <c r="M18" s="139">
        <v>0</v>
      </c>
      <c r="N18" s="139">
        <v>0</v>
      </c>
      <c r="O18" s="139">
        <v>4.9999999999999989E-2</v>
      </c>
      <c r="P18" s="139">
        <v>0</v>
      </c>
      <c r="Q18" s="139">
        <v>0.03</v>
      </c>
      <c r="R18" s="139">
        <v>0</v>
      </c>
      <c r="S18" s="139">
        <v>0.01</v>
      </c>
      <c r="T18" s="139">
        <v>0</v>
      </c>
      <c r="U18" s="139">
        <v>0</v>
      </c>
      <c r="V18" s="139">
        <v>0</v>
      </c>
      <c r="W18" s="139">
        <v>0</v>
      </c>
      <c r="X18" s="139">
        <v>4.9999999999999989E-2</v>
      </c>
      <c r="Y18" s="139">
        <v>0</v>
      </c>
      <c r="Z18" s="139">
        <v>0</v>
      </c>
      <c r="AA18" s="139">
        <v>0.01</v>
      </c>
      <c r="AB18" s="139">
        <v>0</v>
      </c>
      <c r="AC18" s="139">
        <v>0</v>
      </c>
      <c r="AD18" s="139">
        <v>0</v>
      </c>
      <c r="AE18" s="139">
        <v>0</v>
      </c>
      <c r="AF18" s="139">
        <v>0</v>
      </c>
      <c r="AG18" s="139">
        <v>0</v>
      </c>
      <c r="AH18" s="139">
        <v>0</v>
      </c>
      <c r="AI18" s="139">
        <v>0</v>
      </c>
      <c r="AJ18" s="139">
        <v>0</v>
      </c>
      <c r="AK18" s="139">
        <v>0</v>
      </c>
      <c r="AL18" s="139">
        <v>0</v>
      </c>
      <c r="AM18" s="139">
        <v>0</v>
      </c>
      <c r="AN18" s="139">
        <v>0</v>
      </c>
      <c r="AO18" s="139">
        <v>0</v>
      </c>
    </row>
    <row r="19" spans="1:41" customFormat="1" x14ac:dyDescent="0.15">
      <c r="A19" s="175" t="s">
        <v>209</v>
      </c>
      <c r="B19" s="139">
        <v>0</v>
      </c>
      <c r="C19" s="139">
        <v>0</v>
      </c>
      <c r="D19" s="139">
        <v>0</v>
      </c>
      <c r="E19" s="139">
        <v>4.9999999999999992E-3</v>
      </c>
      <c r="F19" s="139">
        <v>0.01</v>
      </c>
      <c r="G19" s="139">
        <v>0</v>
      </c>
      <c r="H19" s="139">
        <v>0</v>
      </c>
      <c r="I19" s="139">
        <v>0</v>
      </c>
      <c r="J19" s="139">
        <v>0.02</v>
      </c>
      <c r="K19" s="139">
        <v>0</v>
      </c>
      <c r="L19" s="139">
        <v>0</v>
      </c>
      <c r="M19" s="139">
        <v>0.02</v>
      </c>
      <c r="N19" s="139">
        <v>0.02</v>
      </c>
      <c r="O19" s="139">
        <v>1.9999999999999997E-2</v>
      </c>
      <c r="P19" s="139">
        <v>9.9999999999999985E-3</v>
      </c>
      <c r="Q19" s="139">
        <v>0.03</v>
      </c>
      <c r="R19" s="139">
        <v>0.01</v>
      </c>
      <c r="S19" s="139">
        <v>0.01</v>
      </c>
      <c r="T19" s="139">
        <v>0</v>
      </c>
      <c r="U19" s="139">
        <v>0</v>
      </c>
      <c r="V19" s="139">
        <v>0</v>
      </c>
      <c r="W19" s="139">
        <v>0</v>
      </c>
      <c r="X19" s="139">
        <v>1.9999999999999997E-2</v>
      </c>
      <c r="Y19" s="139">
        <v>0</v>
      </c>
      <c r="Z19" s="139">
        <v>0</v>
      </c>
      <c r="AA19" s="139">
        <v>0.01</v>
      </c>
      <c r="AB19" s="139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9">
        <v>0</v>
      </c>
      <c r="AI19" s="139">
        <v>0</v>
      </c>
      <c r="AJ19" s="139">
        <v>0</v>
      </c>
      <c r="AK19" s="139">
        <v>0</v>
      </c>
      <c r="AL19" s="139">
        <v>0</v>
      </c>
      <c r="AM19" s="139">
        <v>0</v>
      </c>
      <c r="AN19" s="139">
        <v>0</v>
      </c>
      <c r="AO19" s="139">
        <v>0</v>
      </c>
    </row>
    <row r="20" spans="1:41" customFormat="1" x14ac:dyDescent="0.15">
      <c r="A20" s="175" t="s">
        <v>210</v>
      </c>
      <c r="B20" s="139">
        <v>0</v>
      </c>
      <c r="C20" s="139">
        <v>0</v>
      </c>
      <c r="D20" s="139">
        <v>0</v>
      </c>
      <c r="E20" s="139">
        <v>2.9999999999999992E-2</v>
      </c>
      <c r="F20" s="139">
        <v>0.25</v>
      </c>
      <c r="G20" s="139">
        <v>0</v>
      </c>
      <c r="H20" s="139">
        <v>0.02</v>
      </c>
      <c r="I20" s="139">
        <v>0.08</v>
      </c>
      <c r="J20" s="139">
        <v>0.2</v>
      </c>
      <c r="K20" s="139">
        <v>0.1</v>
      </c>
      <c r="L20" s="139">
        <v>0.18</v>
      </c>
      <c r="M20" s="139">
        <v>0.02</v>
      </c>
      <c r="N20" s="139">
        <v>0.08</v>
      </c>
      <c r="O20" s="139">
        <v>0.14999999999999997</v>
      </c>
      <c r="P20" s="139">
        <v>4.9999999999999989E-2</v>
      </c>
      <c r="Q20" s="139">
        <v>0.02</v>
      </c>
      <c r="R20" s="139">
        <v>0.01</v>
      </c>
      <c r="S20" s="139">
        <v>0.02</v>
      </c>
      <c r="T20" s="139">
        <v>0.02</v>
      </c>
      <c r="U20" s="139">
        <v>0</v>
      </c>
      <c r="V20" s="139">
        <v>0</v>
      </c>
      <c r="W20" s="139">
        <v>0</v>
      </c>
      <c r="X20" s="139">
        <v>0.14999999999999997</v>
      </c>
      <c r="Y20" s="139">
        <v>0</v>
      </c>
      <c r="Z20" s="139">
        <v>0</v>
      </c>
      <c r="AA20" s="139">
        <v>0.05</v>
      </c>
      <c r="AB20" s="139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  <c r="AH20" s="139">
        <v>0</v>
      </c>
      <c r="AI20" s="139">
        <v>0</v>
      </c>
      <c r="AJ20" s="139">
        <v>0</v>
      </c>
      <c r="AK20" s="139">
        <v>0</v>
      </c>
      <c r="AL20" s="139">
        <v>0</v>
      </c>
      <c r="AM20" s="139">
        <v>0</v>
      </c>
      <c r="AN20" s="139">
        <v>0</v>
      </c>
      <c r="AO20" s="139">
        <v>0</v>
      </c>
    </row>
    <row r="21" spans="1:41" customFormat="1" x14ac:dyDescent="0.15">
      <c r="A21" s="175" t="s">
        <v>211</v>
      </c>
      <c r="B21" s="139">
        <v>0</v>
      </c>
      <c r="C21" s="139">
        <v>0</v>
      </c>
      <c r="D21" s="139">
        <v>0</v>
      </c>
      <c r="E21" s="139">
        <v>1.9999999999999997E-2</v>
      </c>
      <c r="F21" s="139">
        <v>0.15</v>
      </c>
      <c r="G21" s="139">
        <v>0</v>
      </c>
      <c r="H21" s="139">
        <v>0.01</v>
      </c>
      <c r="I21" s="139">
        <v>0.01</v>
      </c>
      <c r="J21" s="139">
        <v>0.05</v>
      </c>
      <c r="K21" s="139">
        <v>0.08</v>
      </c>
      <c r="L21" s="139">
        <v>0.1</v>
      </c>
      <c r="M21" s="139">
        <v>0.01</v>
      </c>
      <c r="N21" s="139">
        <v>0.1</v>
      </c>
      <c r="O21" s="139">
        <v>2.9999999999999992E-2</v>
      </c>
      <c r="P21" s="139">
        <v>0</v>
      </c>
      <c r="Q21" s="139">
        <v>0.03</v>
      </c>
      <c r="R21" s="139">
        <v>0.01</v>
      </c>
      <c r="S21" s="139">
        <v>0.02</v>
      </c>
      <c r="T21" s="139">
        <v>0</v>
      </c>
      <c r="U21" s="139">
        <v>1.9999999999999997E-2</v>
      </c>
      <c r="V21" s="139">
        <v>0</v>
      </c>
      <c r="W21" s="139">
        <v>0</v>
      </c>
      <c r="X21" s="139">
        <v>0.14999999999999997</v>
      </c>
      <c r="Y21" s="139">
        <v>0</v>
      </c>
      <c r="Z21" s="139">
        <v>0</v>
      </c>
      <c r="AA21" s="139">
        <v>0.05</v>
      </c>
      <c r="AB21" s="139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  <c r="AH21" s="139">
        <v>0</v>
      </c>
      <c r="AI21" s="139">
        <v>0</v>
      </c>
      <c r="AJ21" s="139">
        <v>0</v>
      </c>
      <c r="AK21" s="139">
        <v>0</v>
      </c>
      <c r="AL21" s="139">
        <v>0</v>
      </c>
      <c r="AM21" s="139">
        <v>0</v>
      </c>
      <c r="AN21" s="139">
        <v>0</v>
      </c>
      <c r="AO21" s="139">
        <v>0</v>
      </c>
    </row>
    <row r="22" spans="1:41" customFormat="1" x14ac:dyDescent="0.15">
      <c r="A22" s="175" t="s">
        <v>212</v>
      </c>
      <c r="B22" s="139">
        <v>0</v>
      </c>
      <c r="C22" s="139">
        <v>0</v>
      </c>
      <c r="D22" s="139">
        <v>0</v>
      </c>
      <c r="E22" s="139">
        <v>0</v>
      </c>
      <c r="F22" s="139">
        <v>0.12</v>
      </c>
      <c r="G22" s="139">
        <v>0</v>
      </c>
      <c r="H22" s="139">
        <v>0</v>
      </c>
      <c r="I22" s="139">
        <v>0</v>
      </c>
      <c r="J22" s="139">
        <v>0.17</v>
      </c>
      <c r="K22" s="139">
        <v>0.2</v>
      </c>
      <c r="L22" s="139">
        <v>0.2</v>
      </c>
      <c r="M22" s="139">
        <v>0.86</v>
      </c>
      <c r="N22" s="139">
        <v>0.1</v>
      </c>
      <c r="O22" s="139">
        <v>0.19999999999999996</v>
      </c>
      <c r="P22" s="139">
        <v>0.49999999999999989</v>
      </c>
      <c r="Q22" s="139">
        <v>0.15</v>
      </c>
      <c r="R22" s="139">
        <v>0.02</v>
      </c>
      <c r="S22" s="139">
        <v>0.05</v>
      </c>
      <c r="T22" s="139">
        <v>0.05</v>
      </c>
      <c r="U22" s="139">
        <v>4.9999999999999989E-2</v>
      </c>
      <c r="V22" s="139">
        <v>0</v>
      </c>
      <c r="W22" s="139">
        <v>0</v>
      </c>
      <c r="X22" s="139">
        <v>4.9999999999999989E-2</v>
      </c>
      <c r="Y22" s="139">
        <v>1.9999999999999997E-2</v>
      </c>
      <c r="Z22" s="139">
        <v>0.02</v>
      </c>
      <c r="AA22" s="139">
        <v>0.08</v>
      </c>
      <c r="AB22" s="139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  <c r="AH22" s="139">
        <v>0</v>
      </c>
      <c r="AI22" s="139">
        <v>0</v>
      </c>
      <c r="AJ22" s="139">
        <v>0</v>
      </c>
      <c r="AK22" s="139">
        <v>0</v>
      </c>
      <c r="AL22" s="139">
        <v>0</v>
      </c>
      <c r="AM22" s="139">
        <v>0</v>
      </c>
      <c r="AN22" s="139">
        <v>0</v>
      </c>
      <c r="AO22" s="139">
        <v>0</v>
      </c>
    </row>
    <row r="23" spans="1:41" customFormat="1" x14ac:dyDescent="0.15">
      <c r="A23" s="175" t="s">
        <v>213</v>
      </c>
      <c r="B23" s="139">
        <v>0</v>
      </c>
      <c r="C23" s="139">
        <v>0</v>
      </c>
      <c r="D23" s="139">
        <v>0</v>
      </c>
      <c r="E23" s="139"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0.04</v>
      </c>
      <c r="K23" s="139">
        <v>0.2</v>
      </c>
      <c r="L23" s="139">
        <v>0.3</v>
      </c>
      <c r="M23" s="139">
        <v>0</v>
      </c>
      <c r="N23" s="139">
        <v>0</v>
      </c>
      <c r="O23" s="139">
        <v>9.9999999999999985E-3</v>
      </c>
      <c r="P23" s="139">
        <v>0</v>
      </c>
      <c r="Q23" s="139">
        <v>0.04</v>
      </c>
      <c r="R23" s="139">
        <v>0.02</v>
      </c>
      <c r="S23" s="139">
        <v>0.02</v>
      </c>
      <c r="T23" s="139">
        <v>0.05</v>
      </c>
      <c r="U23" s="139">
        <v>4.9999999999999989E-2</v>
      </c>
      <c r="V23" s="139">
        <v>0</v>
      </c>
      <c r="W23" s="139">
        <v>0</v>
      </c>
      <c r="X23" s="139">
        <v>7.9999999999999988E-2</v>
      </c>
      <c r="Y23" s="139">
        <v>0</v>
      </c>
      <c r="Z23" s="139">
        <v>0.02</v>
      </c>
      <c r="AA23" s="139">
        <v>0.08</v>
      </c>
      <c r="AB23" s="139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9">
        <v>0</v>
      </c>
      <c r="AI23" s="139">
        <v>0</v>
      </c>
      <c r="AJ23" s="139">
        <v>0</v>
      </c>
      <c r="AK23" s="139">
        <v>0</v>
      </c>
      <c r="AL23" s="139">
        <v>0</v>
      </c>
      <c r="AM23" s="139">
        <v>0</v>
      </c>
      <c r="AN23" s="139">
        <v>0</v>
      </c>
      <c r="AO23" s="139">
        <v>0</v>
      </c>
    </row>
    <row r="24" spans="1:41" customFormat="1" x14ac:dyDescent="0.15">
      <c r="A24" s="175" t="s">
        <v>214</v>
      </c>
      <c r="B24" s="139">
        <v>0</v>
      </c>
      <c r="C24" s="139">
        <v>0</v>
      </c>
      <c r="D24" s="139">
        <v>0</v>
      </c>
      <c r="E24" s="139">
        <v>4.9999999999999992E-3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39">
        <v>0</v>
      </c>
      <c r="M24" s="139">
        <v>0</v>
      </c>
      <c r="N24" s="139">
        <v>0</v>
      </c>
      <c r="O24" s="139">
        <v>0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</v>
      </c>
      <c r="W24" s="139">
        <v>0</v>
      </c>
      <c r="X24" s="139">
        <v>9.9999999999999985E-3</v>
      </c>
      <c r="Y24" s="139">
        <v>0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  <c r="AI24" s="139">
        <v>0</v>
      </c>
      <c r="AJ24" s="139">
        <v>0</v>
      </c>
      <c r="AK24" s="139">
        <v>0</v>
      </c>
      <c r="AL24" s="139">
        <v>0</v>
      </c>
      <c r="AM24" s="139">
        <v>0</v>
      </c>
      <c r="AN24" s="139">
        <v>0</v>
      </c>
      <c r="AO24" s="139">
        <v>0</v>
      </c>
    </row>
    <row r="25" spans="1:41" customFormat="1" x14ac:dyDescent="0.15">
      <c r="A25" s="175" t="s">
        <v>215</v>
      </c>
      <c r="B25" s="139">
        <v>0</v>
      </c>
      <c r="C25" s="139">
        <v>0</v>
      </c>
      <c r="D25" s="139">
        <v>0</v>
      </c>
      <c r="E25" s="139">
        <v>9.9999999999999985E-3</v>
      </c>
      <c r="F25" s="139">
        <v>0.1</v>
      </c>
      <c r="G25" s="139">
        <v>0</v>
      </c>
      <c r="H25" s="139">
        <v>0.03</v>
      </c>
      <c r="I25" s="139">
        <v>0.05</v>
      </c>
      <c r="J25" s="139">
        <v>0.05</v>
      </c>
      <c r="K25" s="139">
        <v>0.1</v>
      </c>
      <c r="L25" s="139">
        <v>0.08</v>
      </c>
      <c r="M25" s="139">
        <v>0.05</v>
      </c>
      <c r="N25" s="139">
        <v>0</v>
      </c>
      <c r="O25" s="139">
        <v>3.9999999999999994E-2</v>
      </c>
      <c r="P25" s="139">
        <v>0</v>
      </c>
      <c r="Q25" s="139">
        <v>0.04</v>
      </c>
      <c r="R25" s="139">
        <v>0.02</v>
      </c>
      <c r="S25" s="139">
        <v>0.02</v>
      </c>
      <c r="T25" s="139">
        <v>0.06</v>
      </c>
      <c r="U25" s="139">
        <v>3.9999999999999994E-2</v>
      </c>
      <c r="V25" s="139">
        <v>0</v>
      </c>
      <c r="W25" s="139">
        <v>0</v>
      </c>
      <c r="X25" s="139">
        <v>5.9999999999999984E-2</v>
      </c>
      <c r="Y25" s="139">
        <v>0</v>
      </c>
      <c r="Z25" s="139">
        <v>0</v>
      </c>
      <c r="AA25" s="139">
        <v>0.01</v>
      </c>
      <c r="AB25" s="139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  <c r="AH25" s="139">
        <v>0</v>
      </c>
      <c r="AI25" s="139">
        <v>0</v>
      </c>
      <c r="AJ25" s="139">
        <v>0</v>
      </c>
      <c r="AK25" s="139">
        <v>0</v>
      </c>
      <c r="AL25" s="139">
        <v>0</v>
      </c>
      <c r="AM25" s="139">
        <v>0</v>
      </c>
      <c r="AN25" s="139">
        <v>0</v>
      </c>
      <c r="AO25" s="139">
        <v>0</v>
      </c>
    </row>
    <row r="26" spans="1:41" customFormat="1" x14ac:dyDescent="0.15">
      <c r="A26" s="175" t="s">
        <v>216</v>
      </c>
      <c r="B26" s="139">
        <v>0</v>
      </c>
      <c r="C26" s="139">
        <v>0</v>
      </c>
      <c r="D26" s="139">
        <v>0</v>
      </c>
      <c r="E26" s="139">
        <v>0</v>
      </c>
      <c r="F26" s="139">
        <v>0.02</v>
      </c>
      <c r="G26" s="139">
        <v>0</v>
      </c>
      <c r="H26" s="139">
        <v>0</v>
      </c>
      <c r="I26" s="139">
        <v>0</v>
      </c>
      <c r="J26" s="139">
        <v>0.02</v>
      </c>
      <c r="K26" s="139">
        <v>0.06</v>
      </c>
      <c r="L26" s="139">
        <v>0</v>
      </c>
      <c r="M26" s="139">
        <v>0</v>
      </c>
      <c r="N26" s="139">
        <v>0.02</v>
      </c>
      <c r="O26" s="139">
        <v>3.9999999999999994E-2</v>
      </c>
      <c r="P26" s="139">
        <v>0</v>
      </c>
      <c r="Q26" s="139">
        <v>0.1</v>
      </c>
      <c r="R26" s="139">
        <v>0.02</v>
      </c>
      <c r="S26" s="139">
        <v>0.03</v>
      </c>
      <c r="T26" s="139">
        <v>0</v>
      </c>
      <c r="U26" s="139">
        <v>0</v>
      </c>
      <c r="V26" s="139">
        <v>0</v>
      </c>
      <c r="W26" s="139">
        <v>0</v>
      </c>
      <c r="X26" s="139">
        <v>3.9999999999999994E-2</v>
      </c>
      <c r="Y26" s="139">
        <v>0</v>
      </c>
      <c r="Z26" s="139">
        <v>0.02</v>
      </c>
      <c r="AA26" s="139">
        <v>0</v>
      </c>
      <c r="AB26" s="139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  <c r="AH26" s="139">
        <v>0</v>
      </c>
      <c r="AI26" s="139">
        <v>0</v>
      </c>
      <c r="AJ26" s="139">
        <v>0</v>
      </c>
      <c r="AK26" s="139">
        <v>0</v>
      </c>
      <c r="AL26" s="139">
        <v>0</v>
      </c>
      <c r="AM26" s="139">
        <v>0</v>
      </c>
      <c r="AN26" s="139">
        <v>0</v>
      </c>
      <c r="AO26" s="139">
        <v>0</v>
      </c>
    </row>
    <row r="27" spans="1:41" customFormat="1" x14ac:dyDescent="0.15">
      <c r="A27" s="175" t="s">
        <v>217</v>
      </c>
      <c r="B27" s="139">
        <v>0</v>
      </c>
      <c r="C27" s="139">
        <v>0</v>
      </c>
      <c r="D27" s="139">
        <v>0</v>
      </c>
      <c r="E27" s="139">
        <v>9.9999999999999985E-3</v>
      </c>
      <c r="F27" s="139">
        <v>0.1</v>
      </c>
      <c r="G27" s="139">
        <v>0</v>
      </c>
      <c r="H27" s="139">
        <v>0</v>
      </c>
      <c r="I27" s="139">
        <v>0</v>
      </c>
      <c r="J27" s="139">
        <v>0.01</v>
      </c>
      <c r="K27" s="139">
        <v>0.02</v>
      </c>
      <c r="L27" s="139">
        <v>0.02</v>
      </c>
      <c r="M27" s="139">
        <v>0</v>
      </c>
      <c r="N27" s="139">
        <v>0.05</v>
      </c>
      <c r="O27" s="139">
        <v>4.9999999999999989E-2</v>
      </c>
      <c r="P27" s="139">
        <v>4.9999999999999989E-2</v>
      </c>
      <c r="Q27" s="139">
        <v>0.1</v>
      </c>
      <c r="R27" s="139">
        <v>0</v>
      </c>
      <c r="S27" s="139">
        <v>0.05</v>
      </c>
      <c r="T27" s="139">
        <v>0</v>
      </c>
      <c r="U27" s="139">
        <v>0</v>
      </c>
      <c r="V27" s="139">
        <v>0</v>
      </c>
      <c r="W27" s="139">
        <v>0.02</v>
      </c>
      <c r="X27" s="139">
        <v>4.9999999999999989E-2</v>
      </c>
      <c r="Y27" s="139">
        <v>9.9999999999999985E-3</v>
      </c>
      <c r="Z27" s="139">
        <v>0.02</v>
      </c>
      <c r="AA27" s="139">
        <v>0.04</v>
      </c>
      <c r="AB27" s="139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  <c r="AH27" s="139">
        <v>0</v>
      </c>
      <c r="AI27" s="139">
        <v>0</v>
      </c>
      <c r="AJ27" s="139">
        <v>0</v>
      </c>
      <c r="AK27" s="139">
        <v>0</v>
      </c>
      <c r="AL27" s="139">
        <v>0</v>
      </c>
      <c r="AM27" s="139">
        <v>0</v>
      </c>
      <c r="AN27" s="139">
        <v>0</v>
      </c>
      <c r="AO27" s="139">
        <v>0</v>
      </c>
    </row>
    <row r="28" spans="1:41" customFormat="1" x14ac:dyDescent="0.15">
      <c r="A28" s="175" t="s">
        <v>218</v>
      </c>
      <c r="B28" s="139">
        <v>0</v>
      </c>
      <c r="C28" s="139">
        <v>0</v>
      </c>
      <c r="D28" s="139">
        <v>0</v>
      </c>
      <c r="E28" s="139">
        <v>0</v>
      </c>
      <c r="F28" s="139">
        <v>0.05</v>
      </c>
      <c r="G28" s="139">
        <v>4.9999999999999989E-2</v>
      </c>
      <c r="H28" s="139">
        <v>0</v>
      </c>
      <c r="I28" s="139">
        <v>0</v>
      </c>
      <c r="J28" s="139">
        <v>0.01</v>
      </c>
      <c r="K28" s="139">
        <v>0.02</v>
      </c>
      <c r="L28" s="139">
        <v>0.02</v>
      </c>
      <c r="M28" s="139">
        <v>0</v>
      </c>
      <c r="N28" s="139">
        <v>0</v>
      </c>
      <c r="O28" s="139">
        <v>9.9999999999999985E-3</v>
      </c>
      <c r="P28" s="139">
        <v>0</v>
      </c>
      <c r="Q28" s="139">
        <v>0.12</v>
      </c>
      <c r="R28" s="139">
        <v>0.1</v>
      </c>
      <c r="S28" s="139">
        <v>0.15</v>
      </c>
      <c r="T28" s="139">
        <v>0</v>
      </c>
      <c r="U28" s="139">
        <v>0</v>
      </c>
      <c r="V28" s="139">
        <v>0.15</v>
      </c>
      <c r="W28" s="139">
        <v>0.05</v>
      </c>
      <c r="X28" s="139">
        <v>4.9999999999999989E-2</v>
      </c>
      <c r="Y28" s="139">
        <v>4.9999999999999989E-2</v>
      </c>
      <c r="Z28" s="139">
        <v>0.17</v>
      </c>
      <c r="AA28" s="139">
        <v>0.18</v>
      </c>
      <c r="AB28" s="139">
        <v>0</v>
      </c>
      <c r="AC28" s="139">
        <v>0.01</v>
      </c>
      <c r="AD28" s="139">
        <v>0</v>
      </c>
      <c r="AE28" s="139">
        <v>0</v>
      </c>
      <c r="AF28" s="139">
        <v>0</v>
      </c>
      <c r="AG28" s="139">
        <v>0</v>
      </c>
      <c r="AH28" s="139">
        <v>0.01</v>
      </c>
      <c r="AI28" s="139">
        <v>0</v>
      </c>
      <c r="AJ28" s="139">
        <v>0</v>
      </c>
      <c r="AK28" s="139">
        <v>0.01</v>
      </c>
      <c r="AL28" s="139">
        <v>0</v>
      </c>
      <c r="AM28" s="139">
        <v>0</v>
      </c>
      <c r="AN28" s="139">
        <v>0</v>
      </c>
      <c r="AO28" s="139">
        <v>0</v>
      </c>
    </row>
    <row r="29" spans="1:41" customFormat="1" x14ac:dyDescent="0.15">
      <c r="A29" s="175" t="s">
        <v>219</v>
      </c>
      <c r="B29" s="139">
        <v>0</v>
      </c>
      <c r="C29" s="139">
        <v>0</v>
      </c>
      <c r="D29" s="139">
        <v>0</v>
      </c>
      <c r="E29" s="139">
        <v>0</v>
      </c>
      <c r="F29" s="139">
        <v>0.04</v>
      </c>
      <c r="G29" s="139">
        <v>0.29999999999999993</v>
      </c>
      <c r="H29" s="139">
        <v>0</v>
      </c>
      <c r="I29" s="139">
        <v>0</v>
      </c>
      <c r="J29" s="139">
        <v>0</v>
      </c>
      <c r="K29" s="139">
        <v>0.02</v>
      </c>
      <c r="L29" s="139">
        <v>0.02</v>
      </c>
      <c r="M29" s="139">
        <v>0</v>
      </c>
      <c r="N29" s="139">
        <v>0.15</v>
      </c>
      <c r="O29" s="139">
        <v>9.9999999999999978E-2</v>
      </c>
      <c r="P29" s="139">
        <v>9.9999999999999978E-2</v>
      </c>
      <c r="Q29" s="139">
        <v>0.05</v>
      </c>
      <c r="R29" s="139">
        <v>0.05</v>
      </c>
      <c r="S29" s="139">
        <v>0.08</v>
      </c>
      <c r="T29" s="139">
        <v>0</v>
      </c>
      <c r="U29" s="139">
        <v>0</v>
      </c>
      <c r="V29" s="139">
        <v>0.2</v>
      </c>
      <c r="W29" s="139">
        <v>0.15</v>
      </c>
      <c r="X29" s="139">
        <v>9.9999999999999985E-3</v>
      </c>
      <c r="Y29" s="139">
        <v>1.9999999999999997E-2</v>
      </c>
      <c r="Z29" s="139">
        <v>0.05</v>
      </c>
      <c r="AA29" s="139">
        <v>0.04</v>
      </c>
      <c r="AB29" s="139">
        <v>6.5000000000000002E-2</v>
      </c>
      <c r="AC29" s="139">
        <v>1E-3</v>
      </c>
      <c r="AD29" s="139">
        <v>0</v>
      </c>
      <c r="AE29" s="139">
        <v>0.01</v>
      </c>
      <c r="AF29" s="139">
        <v>0.05</v>
      </c>
      <c r="AG29" s="139">
        <v>0</v>
      </c>
      <c r="AH29" s="139">
        <v>0.01</v>
      </c>
      <c r="AI29" s="139">
        <v>0.01</v>
      </c>
      <c r="AJ29" s="139">
        <v>0</v>
      </c>
      <c r="AK29" s="139">
        <v>0</v>
      </c>
      <c r="AL29" s="139">
        <v>0</v>
      </c>
      <c r="AM29" s="139">
        <v>0</v>
      </c>
      <c r="AN29" s="139">
        <v>0</v>
      </c>
      <c r="AO29" s="139">
        <v>0</v>
      </c>
    </row>
    <row r="30" spans="1:41" customFormat="1" x14ac:dyDescent="0.15">
      <c r="A30" s="175" t="s">
        <v>220</v>
      </c>
      <c r="B30" s="139">
        <v>0</v>
      </c>
      <c r="C30" s="139">
        <v>0</v>
      </c>
      <c r="D30" s="139">
        <v>0</v>
      </c>
      <c r="E30" s="139">
        <v>0</v>
      </c>
      <c r="F30" s="139">
        <v>0</v>
      </c>
      <c r="G30" s="139">
        <v>0.4499999999999999</v>
      </c>
      <c r="H30" s="139">
        <v>0</v>
      </c>
      <c r="I30" s="139">
        <v>0</v>
      </c>
      <c r="J30" s="139">
        <v>0</v>
      </c>
      <c r="K30" s="139">
        <v>0</v>
      </c>
      <c r="L30" s="139">
        <v>0</v>
      </c>
      <c r="M30" s="139">
        <v>0</v>
      </c>
      <c r="N30" s="139">
        <v>0.08</v>
      </c>
      <c r="O30" s="139">
        <v>4.9999999999999989E-2</v>
      </c>
      <c r="P30" s="139">
        <v>4.9999999999999989E-2</v>
      </c>
      <c r="Q30" s="139">
        <v>0.01</v>
      </c>
      <c r="R30" s="139">
        <v>0.31</v>
      </c>
      <c r="S30" s="139">
        <v>0.08</v>
      </c>
      <c r="T30" s="139">
        <v>0</v>
      </c>
      <c r="U30" s="139">
        <v>0</v>
      </c>
      <c r="V30" s="139">
        <v>0.2</v>
      </c>
      <c r="W30" s="139">
        <v>0.35</v>
      </c>
      <c r="X30" s="139">
        <v>0</v>
      </c>
      <c r="Y30" s="139">
        <v>0.19999999999999996</v>
      </c>
      <c r="Z30" s="139">
        <v>0.05</v>
      </c>
      <c r="AA30" s="139">
        <v>0.13</v>
      </c>
      <c r="AB30" s="139">
        <v>0.19</v>
      </c>
      <c r="AC30" s="139">
        <v>0.55900000000000005</v>
      </c>
      <c r="AD30" s="139">
        <v>0</v>
      </c>
      <c r="AE30" s="139">
        <v>0.05</v>
      </c>
      <c r="AF30" s="139">
        <v>0.1</v>
      </c>
      <c r="AG30" s="139">
        <v>0</v>
      </c>
      <c r="AH30" s="139">
        <v>0.03</v>
      </c>
      <c r="AI30" s="139">
        <v>0.02</v>
      </c>
      <c r="AJ30" s="139">
        <v>0.03</v>
      </c>
      <c r="AK30" s="139">
        <v>0</v>
      </c>
      <c r="AL30" s="139">
        <v>0</v>
      </c>
      <c r="AM30" s="139">
        <v>0</v>
      </c>
      <c r="AN30" s="139">
        <v>0</v>
      </c>
      <c r="AO30" s="139">
        <v>0</v>
      </c>
    </row>
    <row r="31" spans="1:41" customFormat="1" x14ac:dyDescent="0.15">
      <c r="A31" s="175" t="s">
        <v>221</v>
      </c>
      <c r="B31" s="139">
        <v>0</v>
      </c>
      <c r="C31" s="139">
        <v>0</v>
      </c>
      <c r="D31" s="139">
        <v>0</v>
      </c>
      <c r="E31" s="139">
        <v>0</v>
      </c>
      <c r="F31" s="139">
        <v>0.15</v>
      </c>
      <c r="G31" s="139">
        <v>4.9999999999999989E-2</v>
      </c>
      <c r="H31" s="139">
        <v>0.06</v>
      </c>
      <c r="I31" s="139">
        <v>7.0000000000000007E-2</v>
      </c>
      <c r="J31" s="139">
        <v>0.25</v>
      </c>
      <c r="K31" s="139">
        <v>0.1</v>
      </c>
      <c r="L31" s="139">
        <v>0.08</v>
      </c>
      <c r="M31" s="139">
        <v>0.04</v>
      </c>
      <c r="N31" s="139">
        <v>0.17</v>
      </c>
      <c r="O31" s="139">
        <v>9.9999999999999978E-2</v>
      </c>
      <c r="P31" s="139">
        <v>9.9999999999999978E-2</v>
      </c>
      <c r="Q31" s="139">
        <v>0</v>
      </c>
      <c r="R31" s="139">
        <v>0.1</v>
      </c>
      <c r="S31" s="139">
        <v>0.18</v>
      </c>
      <c r="T31" s="139">
        <v>0.03</v>
      </c>
      <c r="U31" s="139">
        <v>6.9999999999999993E-2</v>
      </c>
      <c r="V31" s="139">
        <v>0.1</v>
      </c>
      <c r="W31" s="139">
        <v>0.05</v>
      </c>
      <c r="X31" s="139">
        <v>4.9999999999999989E-2</v>
      </c>
      <c r="Y31" s="139">
        <v>0.19999999999999996</v>
      </c>
      <c r="Z31" s="139">
        <v>0.15</v>
      </c>
      <c r="AA31" s="139">
        <v>0.1</v>
      </c>
      <c r="AB31" s="139">
        <v>0.02</v>
      </c>
      <c r="AC31" s="139">
        <v>0.01</v>
      </c>
      <c r="AD31" s="139">
        <v>0</v>
      </c>
      <c r="AE31" s="139">
        <v>5.0000000000000001E-3</v>
      </c>
      <c r="AF31" s="139">
        <v>0.02</v>
      </c>
      <c r="AG31" s="139">
        <v>0</v>
      </c>
      <c r="AH31" s="139">
        <v>0.01</v>
      </c>
      <c r="AI31" s="139">
        <v>0.05</v>
      </c>
      <c r="AJ31" s="139">
        <v>0</v>
      </c>
      <c r="AK31" s="139">
        <v>0</v>
      </c>
      <c r="AL31" s="139">
        <v>0</v>
      </c>
      <c r="AM31" s="139">
        <v>0</v>
      </c>
      <c r="AN31" s="139">
        <v>0</v>
      </c>
      <c r="AO31" s="139">
        <v>0</v>
      </c>
    </row>
    <row r="32" spans="1:41" customFormat="1" x14ac:dyDescent="0.15">
      <c r="A32" s="175" t="s">
        <v>222</v>
      </c>
      <c r="B32" s="139">
        <v>0</v>
      </c>
      <c r="C32" s="139">
        <v>0</v>
      </c>
      <c r="D32" s="139">
        <v>0</v>
      </c>
      <c r="E32" s="139">
        <v>0</v>
      </c>
      <c r="F32" s="139">
        <v>0</v>
      </c>
      <c r="G32" s="139">
        <v>9.9999999999999985E-3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0.01</v>
      </c>
      <c r="R32" s="139">
        <v>0.1</v>
      </c>
      <c r="S32" s="139">
        <v>0.03</v>
      </c>
      <c r="T32" s="139">
        <v>0</v>
      </c>
      <c r="U32" s="139">
        <v>0</v>
      </c>
      <c r="V32" s="139">
        <v>0.05</v>
      </c>
      <c r="W32" s="139">
        <v>0.1</v>
      </c>
      <c r="X32" s="139">
        <v>0</v>
      </c>
      <c r="Y32" s="139">
        <v>1.9999999999999997E-2</v>
      </c>
      <c r="Z32" s="139">
        <v>0.05</v>
      </c>
      <c r="AA32" s="139">
        <v>0.1</v>
      </c>
      <c r="AB32" s="139">
        <v>0.05</v>
      </c>
      <c r="AC32" s="139">
        <v>0.05</v>
      </c>
      <c r="AD32" s="139">
        <v>0</v>
      </c>
      <c r="AE32" s="139">
        <v>0.01</v>
      </c>
      <c r="AF32" s="139">
        <v>0.01</v>
      </c>
      <c r="AG32" s="139">
        <v>0</v>
      </c>
      <c r="AH32" s="139">
        <v>0.02</v>
      </c>
      <c r="AI32" s="139">
        <v>0.01</v>
      </c>
      <c r="AJ32" s="139">
        <v>0.05</v>
      </c>
      <c r="AK32" s="139">
        <v>0.01</v>
      </c>
      <c r="AL32" s="139">
        <v>0</v>
      </c>
      <c r="AM32" s="139">
        <v>0</v>
      </c>
      <c r="AN32" s="139">
        <v>0</v>
      </c>
      <c r="AO32" s="139">
        <v>0</v>
      </c>
    </row>
    <row r="33" spans="1:41" customFormat="1" x14ac:dyDescent="0.15">
      <c r="A33" s="175" t="s">
        <v>223</v>
      </c>
      <c r="B33" s="139">
        <v>0</v>
      </c>
      <c r="C33" s="139">
        <v>0</v>
      </c>
      <c r="D33" s="139">
        <v>0</v>
      </c>
      <c r="E33" s="139">
        <v>0</v>
      </c>
      <c r="F33" s="139">
        <v>0</v>
      </c>
      <c r="G33" s="139">
        <v>4.9999999999999989E-2</v>
      </c>
      <c r="H33" s="139">
        <v>0</v>
      </c>
      <c r="I33" s="139">
        <v>0</v>
      </c>
      <c r="J33" s="139">
        <v>0</v>
      </c>
      <c r="K33" s="139">
        <v>0</v>
      </c>
      <c r="L33" s="139">
        <v>0</v>
      </c>
      <c r="M33" s="139">
        <v>0</v>
      </c>
      <c r="N33" s="139">
        <v>0</v>
      </c>
      <c r="O33" s="139">
        <v>0</v>
      </c>
      <c r="P33" s="139">
        <v>0</v>
      </c>
      <c r="Q33" s="139">
        <v>0</v>
      </c>
      <c r="R33" s="139">
        <v>0.1</v>
      </c>
      <c r="S33" s="139">
        <v>0.15</v>
      </c>
      <c r="T33" s="139">
        <v>0</v>
      </c>
      <c r="U33" s="139">
        <v>0</v>
      </c>
      <c r="V33" s="139">
        <v>0.1</v>
      </c>
      <c r="W33" s="139">
        <v>0.15</v>
      </c>
      <c r="X33" s="139">
        <v>0</v>
      </c>
      <c r="Y33" s="139">
        <v>4.9999999999999989E-2</v>
      </c>
      <c r="Z33" s="139">
        <v>0.2</v>
      </c>
      <c r="AA33" s="139">
        <v>0.12</v>
      </c>
      <c r="AB33" s="139">
        <v>0.3</v>
      </c>
      <c r="AC33" s="139">
        <v>0.1</v>
      </c>
      <c r="AD33" s="139">
        <v>0.05</v>
      </c>
      <c r="AE33" s="139">
        <v>0.01</v>
      </c>
      <c r="AF33" s="139">
        <v>0.1</v>
      </c>
      <c r="AG33" s="139">
        <v>0</v>
      </c>
      <c r="AH33" s="139">
        <v>0.03</v>
      </c>
      <c r="AI33" s="139">
        <v>0.03</v>
      </c>
      <c r="AJ33" s="139">
        <v>0.05</v>
      </c>
      <c r="AK33" s="139">
        <v>0.01</v>
      </c>
      <c r="AL33" s="139">
        <v>0</v>
      </c>
      <c r="AM33" s="139">
        <v>0</v>
      </c>
      <c r="AN33" s="139">
        <v>0</v>
      </c>
      <c r="AO33" s="139">
        <v>0</v>
      </c>
    </row>
    <row r="34" spans="1:41" customFormat="1" x14ac:dyDescent="0.15">
      <c r="A34" s="175" t="s">
        <v>224</v>
      </c>
      <c r="B34" s="139">
        <v>0</v>
      </c>
      <c r="C34" s="139">
        <v>0</v>
      </c>
      <c r="D34" s="139">
        <v>0</v>
      </c>
      <c r="E34" s="139">
        <v>0</v>
      </c>
      <c r="F34" s="139">
        <v>0</v>
      </c>
      <c r="G34" s="139">
        <v>1.9999999999999997E-2</v>
      </c>
      <c r="H34" s="139">
        <v>0.1</v>
      </c>
      <c r="I34" s="139">
        <v>0.1</v>
      </c>
      <c r="J34" s="139">
        <v>0.02</v>
      </c>
      <c r="K34" s="139">
        <v>0.03</v>
      </c>
      <c r="L34" s="139">
        <v>0</v>
      </c>
      <c r="M34" s="139">
        <v>0</v>
      </c>
      <c r="N34" s="139">
        <v>0.08</v>
      </c>
      <c r="O34" s="139">
        <v>4.9999999999999989E-2</v>
      </c>
      <c r="P34" s="139">
        <v>4.9999999999999989E-2</v>
      </c>
      <c r="Q34" s="139">
        <v>0.02</v>
      </c>
      <c r="R34" s="139">
        <v>0.03</v>
      </c>
      <c r="S34" s="139">
        <v>0</v>
      </c>
      <c r="T34" s="139">
        <v>0.15</v>
      </c>
      <c r="U34" s="139">
        <v>0.14999999999999997</v>
      </c>
      <c r="V34" s="139">
        <v>0</v>
      </c>
      <c r="W34" s="139">
        <v>0</v>
      </c>
      <c r="X34" s="139">
        <v>4.9999999999999989E-2</v>
      </c>
      <c r="Y34" s="139">
        <v>5.9999999999999984E-2</v>
      </c>
      <c r="Z34" s="139">
        <v>0.02</v>
      </c>
      <c r="AA34" s="139">
        <v>0</v>
      </c>
      <c r="AB34" s="139">
        <v>0</v>
      </c>
      <c r="AC34" s="139">
        <v>0</v>
      </c>
      <c r="AD34" s="139">
        <v>0</v>
      </c>
      <c r="AE34" s="139">
        <v>0.05</v>
      </c>
      <c r="AF34" s="139">
        <v>0</v>
      </c>
      <c r="AG34" s="139">
        <v>0</v>
      </c>
      <c r="AH34" s="139">
        <v>0.01</v>
      </c>
      <c r="AI34" s="139">
        <v>0.1</v>
      </c>
      <c r="AJ34" s="139">
        <v>0</v>
      </c>
      <c r="AK34" s="139">
        <v>0.01</v>
      </c>
      <c r="AL34" s="139">
        <v>0</v>
      </c>
      <c r="AM34" s="139">
        <v>0</v>
      </c>
      <c r="AN34" s="139">
        <v>0</v>
      </c>
      <c r="AO34" s="139">
        <v>0</v>
      </c>
    </row>
    <row r="35" spans="1:41" customFormat="1" x14ac:dyDescent="0.15">
      <c r="A35" s="175" t="s">
        <v>225</v>
      </c>
      <c r="B35" s="139">
        <v>0.01</v>
      </c>
      <c r="C35" s="139">
        <v>0.02</v>
      </c>
      <c r="D35" s="139">
        <v>1.4999999999999999E-2</v>
      </c>
      <c r="E35" s="139">
        <v>0</v>
      </c>
      <c r="F35" s="139">
        <v>0</v>
      </c>
      <c r="G35" s="139">
        <v>9.9999999999999985E-3</v>
      </c>
      <c r="H35" s="139">
        <v>0.25</v>
      </c>
      <c r="I35" s="139">
        <v>0.15</v>
      </c>
      <c r="J35" s="139">
        <v>0.08</v>
      </c>
      <c r="K35" s="139">
        <v>0.03</v>
      </c>
      <c r="L35" s="139">
        <v>0</v>
      </c>
      <c r="M35" s="139">
        <v>0</v>
      </c>
      <c r="N35" s="139">
        <v>0</v>
      </c>
      <c r="O35" s="139">
        <v>0</v>
      </c>
      <c r="P35" s="139">
        <v>0</v>
      </c>
      <c r="Q35" s="139">
        <v>0.03</v>
      </c>
      <c r="R35" s="139">
        <v>0.02</v>
      </c>
      <c r="S35" s="139">
        <v>0</v>
      </c>
      <c r="T35" s="139">
        <v>0.15</v>
      </c>
      <c r="U35" s="139">
        <v>0.10999999999999997</v>
      </c>
      <c r="V35" s="139">
        <v>0</v>
      </c>
      <c r="W35" s="139">
        <v>0</v>
      </c>
      <c r="X35" s="139">
        <v>9.9999999999999978E-2</v>
      </c>
      <c r="Y35" s="139">
        <v>0</v>
      </c>
      <c r="Z35" s="139">
        <v>0.02</v>
      </c>
      <c r="AA35" s="139">
        <v>0</v>
      </c>
      <c r="AB35" s="139">
        <v>0</v>
      </c>
      <c r="AC35" s="139">
        <v>0</v>
      </c>
      <c r="AD35" s="139">
        <v>0</v>
      </c>
      <c r="AE35" s="139">
        <v>0.05</v>
      </c>
      <c r="AF35" s="139">
        <v>0</v>
      </c>
      <c r="AG35" s="139">
        <v>0</v>
      </c>
      <c r="AH35" s="139">
        <v>0.01</v>
      </c>
      <c r="AI35" s="139">
        <v>0.01</v>
      </c>
      <c r="AJ35" s="139">
        <v>0</v>
      </c>
      <c r="AK35" s="139">
        <v>0.01</v>
      </c>
      <c r="AL35" s="139">
        <v>0</v>
      </c>
      <c r="AM35" s="139">
        <v>0</v>
      </c>
      <c r="AN35" s="139">
        <v>0</v>
      </c>
      <c r="AO35" s="139">
        <v>0</v>
      </c>
    </row>
    <row r="36" spans="1:41" customFormat="1" x14ac:dyDescent="0.15">
      <c r="A36" s="175" t="s">
        <v>226</v>
      </c>
      <c r="B36" s="139">
        <v>0.01</v>
      </c>
      <c r="C36" s="139">
        <v>0.02</v>
      </c>
      <c r="D36" s="139">
        <v>1.4999999999999999E-2</v>
      </c>
      <c r="E36" s="139">
        <v>0</v>
      </c>
      <c r="F36" s="139">
        <v>0</v>
      </c>
      <c r="G36" s="139">
        <v>9.9999999999999985E-3</v>
      </c>
      <c r="H36" s="139">
        <v>0.4</v>
      </c>
      <c r="I36" s="139">
        <v>0.4</v>
      </c>
      <c r="J36" s="139">
        <v>0</v>
      </c>
      <c r="K36" s="139">
        <v>0</v>
      </c>
      <c r="L36" s="139">
        <v>0</v>
      </c>
      <c r="M36" s="139">
        <v>0</v>
      </c>
      <c r="N36" s="139">
        <v>0</v>
      </c>
      <c r="O36" s="139">
        <v>0</v>
      </c>
      <c r="P36" s="139">
        <v>0</v>
      </c>
      <c r="Q36" s="139">
        <v>0.1</v>
      </c>
      <c r="R36" s="139">
        <v>0</v>
      </c>
      <c r="S36" s="139">
        <v>0</v>
      </c>
      <c r="T36" s="139">
        <v>0.15</v>
      </c>
      <c r="U36" s="139">
        <v>0.14999999999999997</v>
      </c>
      <c r="V36" s="139">
        <v>0</v>
      </c>
      <c r="W36" s="139">
        <v>0</v>
      </c>
      <c r="X36" s="139">
        <v>9.9999999999999985E-3</v>
      </c>
      <c r="Y36" s="139">
        <v>4.9999999999999989E-2</v>
      </c>
      <c r="Z36" s="139">
        <v>0</v>
      </c>
      <c r="AA36" s="139">
        <v>0</v>
      </c>
      <c r="AB36" s="139">
        <v>0</v>
      </c>
      <c r="AC36" s="139">
        <v>0</v>
      </c>
      <c r="AD36" s="139">
        <v>0</v>
      </c>
      <c r="AE36" s="139">
        <v>0.05</v>
      </c>
      <c r="AF36" s="139">
        <v>0</v>
      </c>
      <c r="AG36" s="139">
        <v>0</v>
      </c>
      <c r="AH36" s="139">
        <v>0</v>
      </c>
      <c r="AI36" s="139">
        <v>0.1</v>
      </c>
      <c r="AJ36" s="139">
        <v>0</v>
      </c>
      <c r="AK36" s="139">
        <v>0.01</v>
      </c>
      <c r="AL36" s="139">
        <v>0</v>
      </c>
      <c r="AM36" s="139">
        <v>0</v>
      </c>
      <c r="AN36" s="139">
        <v>0</v>
      </c>
      <c r="AO36" s="139">
        <v>0</v>
      </c>
    </row>
    <row r="37" spans="1:41" customFormat="1" x14ac:dyDescent="0.15">
      <c r="A37" s="175" t="s">
        <v>227</v>
      </c>
      <c r="B37" s="139">
        <v>7.0000000000000007E-2</v>
      </c>
      <c r="C37" s="139">
        <v>2.5000000000000001E-2</v>
      </c>
      <c r="D37" s="139">
        <v>0.02</v>
      </c>
      <c r="E37" s="139">
        <v>0</v>
      </c>
      <c r="F37" s="139">
        <v>0</v>
      </c>
      <c r="G37" s="139">
        <v>4.9999999999999989E-2</v>
      </c>
      <c r="H37" s="139">
        <v>0.13</v>
      </c>
      <c r="I37" s="139">
        <v>0.1</v>
      </c>
      <c r="J37" s="139">
        <v>0.05</v>
      </c>
      <c r="K37" s="139">
        <v>0.04</v>
      </c>
      <c r="L37" s="139">
        <v>0</v>
      </c>
      <c r="M37" s="139">
        <v>0</v>
      </c>
      <c r="N37" s="139">
        <v>0.15</v>
      </c>
      <c r="O37" s="139">
        <v>9.9999999999999978E-2</v>
      </c>
      <c r="P37" s="139">
        <v>8.9999999999999983E-2</v>
      </c>
      <c r="Q37" s="139">
        <v>0.05</v>
      </c>
      <c r="R37" s="139">
        <v>0.03</v>
      </c>
      <c r="S37" s="139">
        <v>0</v>
      </c>
      <c r="T37" s="139">
        <v>0.2</v>
      </c>
      <c r="U37" s="139">
        <v>0.19999999999999996</v>
      </c>
      <c r="V37" s="139">
        <v>0</v>
      </c>
      <c r="W37" s="139">
        <v>0</v>
      </c>
      <c r="X37" s="139">
        <v>2.9999999999999992E-2</v>
      </c>
      <c r="Y37" s="139">
        <v>4.9999999999999989E-2</v>
      </c>
      <c r="Z37" s="139">
        <v>0.06</v>
      </c>
      <c r="AA37" s="139">
        <v>0</v>
      </c>
      <c r="AB37" s="139">
        <v>0</v>
      </c>
      <c r="AC37" s="139">
        <v>0</v>
      </c>
      <c r="AD37" s="139">
        <v>0</v>
      </c>
      <c r="AE37" s="139">
        <v>0.1</v>
      </c>
      <c r="AF37" s="139">
        <v>0</v>
      </c>
      <c r="AG37" s="139">
        <v>0</v>
      </c>
      <c r="AH37" s="139">
        <v>0.1</v>
      </c>
      <c r="AI37" s="139">
        <v>0.15</v>
      </c>
      <c r="AJ37" s="139">
        <v>0</v>
      </c>
      <c r="AK37" s="139">
        <v>0.01</v>
      </c>
      <c r="AL37" s="139">
        <v>0</v>
      </c>
      <c r="AM37" s="139">
        <v>0</v>
      </c>
      <c r="AN37" s="139">
        <v>0</v>
      </c>
      <c r="AO37" s="139">
        <v>0</v>
      </c>
    </row>
    <row r="38" spans="1:41" customFormat="1" x14ac:dyDescent="0.15">
      <c r="A38" s="175" t="s">
        <v>228</v>
      </c>
      <c r="B38" s="139">
        <v>0</v>
      </c>
      <c r="C38" s="139">
        <v>0</v>
      </c>
      <c r="D38" s="139">
        <v>0</v>
      </c>
      <c r="E38" s="139">
        <v>0</v>
      </c>
      <c r="F38" s="139">
        <v>0</v>
      </c>
      <c r="G38" s="139">
        <v>0</v>
      </c>
      <c r="H38" s="139">
        <v>0</v>
      </c>
      <c r="I38" s="139">
        <v>0</v>
      </c>
      <c r="J38" s="139">
        <v>0</v>
      </c>
      <c r="K38" s="139">
        <v>0</v>
      </c>
      <c r="L38" s="139">
        <v>0</v>
      </c>
      <c r="M38" s="139">
        <v>0</v>
      </c>
      <c r="N38" s="139">
        <v>0</v>
      </c>
      <c r="O38" s="139">
        <v>0</v>
      </c>
      <c r="P38" s="139">
        <v>0</v>
      </c>
      <c r="Q38" s="139">
        <v>0</v>
      </c>
      <c r="R38" s="139">
        <v>0.04</v>
      </c>
      <c r="S38" s="139">
        <v>7.0000000000000007E-2</v>
      </c>
      <c r="T38" s="139">
        <v>0</v>
      </c>
      <c r="U38" s="139">
        <v>0</v>
      </c>
      <c r="V38" s="139">
        <v>0.15</v>
      </c>
      <c r="W38" s="139">
        <v>0.1</v>
      </c>
      <c r="X38" s="139">
        <v>0</v>
      </c>
      <c r="Y38" s="139">
        <v>9.9999999999999978E-2</v>
      </c>
      <c r="Z38" s="139">
        <v>0.09</v>
      </c>
      <c r="AA38" s="139">
        <v>0</v>
      </c>
      <c r="AB38" s="139">
        <v>0.22</v>
      </c>
      <c r="AC38" s="139">
        <v>0.15</v>
      </c>
      <c r="AD38" s="139">
        <v>0.7</v>
      </c>
      <c r="AE38" s="139">
        <v>0.3</v>
      </c>
      <c r="AF38" s="139">
        <v>0.45</v>
      </c>
      <c r="AG38" s="139">
        <v>0.75</v>
      </c>
      <c r="AH38" s="139">
        <v>0.04</v>
      </c>
      <c r="AI38" s="139">
        <v>0.03</v>
      </c>
      <c r="AJ38" s="139">
        <v>0.05</v>
      </c>
      <c r="AK38" s="139">
        <v>0.05</v>
      </c>
      <c r="AL38" s="139">
        <v>0</v>
      </c>
      <c r="AM38" s="139">
        <v>0</v>
      </c>
      <c r="AN38" s="139">
        <v>0</v>
      </c>
      <c r="AO38" s="139">
        <v>0</v>
      </c>
    </row>
    <row r="39" spans="1:41" x14ac:dyDescent="0.15">
      <c r="A39" s="175" t="s">
        <v>229</v>
      </c>
      <c r="B39" s="139">
        <v>0</v>
      </c>
      <c r="C39" s="139">
        <v>0</v>
      </c>
      <c r="D39" s="139">
        <v>0</v>
      </c>
      <c r="E39" s="139">
        <v>0</v>
      </c>
      <c r="F39" s="139">
        <v>0</v>
      </c>
      <c r="G39" s="139">
        <v>0</v>
      </c>
      <c r="H39" s="139">
        <v>0</v>
      </c>
      <c r="I39" s="139">
        <v>0</v>
      </c>
      <c r="J39" s="139">
        <v>0</v>
      </c>
      <c r="K39" s="139">
        <v>0</v>
      </c>
      <c r="L39" s="139">
        <v>0</v>
      </c>
      <c r="M39" s="139">
        <v>0</v>
      </c>
      <c r="N39" s="139">
        <v>0</v>
      </c>
      <c r="O39" s="139">
        <v>0</v>
      </c>
      <c r="P39" s="139">
        <v>0</v>
      </c>
      <c r="Q39" s="139">
        <v>0</v>
      </c>
      <c r="R39" s="139">
        <v>0.01</v>
      </c>
      <c r="S39" s="139">
        <v>0.03</v>
      </c>
      <c r="T39" s="139">
        <v>0.1</v>
      </c>
      <c r="U39" s="139">
        <v>5.9999999999999984E-2</v>
      </c>
      <c r="V39" s="139">
        <v>0</v>
      </c>
      <c r="W39" s="139">
        <v>0</v>
      </c>
      <c r="X39" s="139">
        <v>0</v>
      </c>
      <c r="Y39" s="139">
        <v>9.9999999999999978E-2</v>
      </c>
      <c r="Z39" s="139">
        <v>0.01</v>
      </c>
      <c r="AA39" s="139">
        <v>0</v>
      </c>
      <c r="AB39" s="139">
        <v>0.105</v>
      </c>
      <c r="AC39" s="139">
        <v>0.08</v>
      </c>
      <c r="AD39" s="139">
        <v>0.2</v>
      </c>
      <c r="AE39" s="139">
        <v>0.16500000000000001</v>
      </c>
      <c r="AF39" s="139">
        <v>0.22</v>
      </c>
      <c r="AG39" s="139">
        <v>0.17</v>
      </c>
      <c r="AH39" s="139">
        <v>0.12</v>
      </c>
      <c r="AI39" s="139">
        <v>0.08</v>
      </c>
      <c r="AJ39" s="139">
        <v>0.12</v>
      </c>
      <c r="AK39" s="139">
        <v>0.22</v>
      </c>
      <c r="AL39" s="139">
        <v>0</v>
      </c>
      <c r="AM39" s="139">
        <v>0</v>
      </c>
      <c r="AN39" s="139">
        <v>0</v>
      </c>
      <c r="AO39" s="139">
        <v>0</v>
      </c>
    </row>
    <row r="40" spans="1:41" x14ac:dyDescent="0.15">
      <c r="A40" s="175" t="s">
        <v>230</v>
      </c>
      <c r="B40" s="139">
        <v>0</v>
      </c>
      <c r="C40" s="139">
        <v>0</v>
      </c>
      <c r="D40" s="139">
        <v>0</v>
      </c>
      <c r="E40" s="139">
        <v>0</v>
      </c>
      <c r="F40" s="139">
        <v>0</v>
      </c>
      <c r="G40" s="139">
        <v>0</v>
      </c>
      <c r="H40" s="139">
        <v>0</v>
      </c>
      <c r="I40" s="139">
        <v>0</v>
      </c>
      <c r="J40" s="139">
        <v>0</v>
      </c>
      <c r="K40" s="139">
        <v>0</v>
      </c>
      <c r="L40" s="139">
        <v>0</v>
      </c>
      <c r="M40" s="139">
        <v>0</v>
      </c>
      <c r="N40" s="139">
        <v>0</v>
      </c>
      <c r="O40" s="139">
        <v>0</v>
      </c>
      <c r="P40" s="139">
        <v>0</v>
      </c>
      <c r="Q40" s="139">
        <v>0</v>
      </c>
      <c r="R40" s="139">
        <v>0</v>
      </c>
      <c r="S40" s="139">
        <v>0</v>
      </c>
      <c r="T40" s="139">
        <v>0.04</v>
      </c>
      <c r="U40" s="139">
        <v>9.9999999999999978E-2</v>
      </c>
      <c r="V40" s="139">
        <v>0</v>
      </c>
      <c r="W40" s="139">
        <v>0</v>
      </c>
      <c r="X40" s="139">
        <v>0</v>
      </c>
      <c r="Y40" s="139">
        <v>0</v>
      </c>
      <c r="Z40" s="139">
        <v>0</v>
      </c>
      <c r="AA40" s="139">
        <v>0</v>
      </c>
      <c r="AB40" s="139">
        <v>0</v>
      </c>
      <c r="AC40" s="139">
        <v>0</v>
      </c>
      <c r="AD40" s="139">
        <v>0</v>
      </c>
      <c r="AE40" s="139">
        <v>0.1</v>
      </c>
      <c r="AF40" s="139">
        <v>0</v>
      </c>
      <c r="AG40" s="139">
        <v>0</v>
      </c>
      <c r="AH40" s="139">
        <v>0.61</v>
      </c>
      <c r="AI40" s="139">
        <v>0.41</v>
      </c>
      <c r="AJ40" s="139">
        <v>0.7</v>
      </c>
      <c r="AK40" s="139">
        <v>0.66</v>
      </c>
      <c r="AL40" s="139">
        <v>0</v>
      </c>
      <c r="AM40" s="139">
        <v>0</v>
      </c>
      <c r="AN40" s="139">
        <v>0</v>
      </c>
      <c r="AO40" s="139">
        <v>0</v>
      </c>
    </row>
    <row r="41" spans="1:41" x14ac:dyDescent="0.15">
      <c r="A41" s="175" t="s">
        <v>231</v>
      </c>
      <c r="B41" s="139">
        <v>0</v>
      </c>
      <c r="C41" s="139">
        <v>0</v>
      </c>
      <c r="D41" s="139">
        <v>0</v>
      </c>
      <c r="E41" s="139">
        <v>0</v>
      </c>
      <c r="F41" s="139">
        <v>0</v>
      </c>
      <c r="G41" s="139">
        <v>0</v>
      </c>
      <c r="H41" s="139">
        <v>0</v>
      </c>
      <c r="I41" s="139">
        <v>0</v>
      </c>
      <c r="J41" s="139">
        <v>0</v>
      </c>
      <c r="K41" s="139">
        <v>0</v>
      </c>
      <c r="L41" s="139">
        <v>0</v>
      </c>
      <c r="M41" s="139">
        <v>0</v>
      </c>
      <c r="N41" s="139">
        <v>0</v>
      </c>
      <c r="O41" s="139">
        <v>0</v>
      </c>
      <c r="P41" s="139">
        <v>0</v>
      </c>
      <c r="Q41" s="139">
        <v>0.05</v>
      </c>
      <c r="R41" s="139">
        <v>0</v>
      </c>
      <c r="S41" s="139">
        <v>0</v>
      </c>
      <c r="T41" s="139">
        <v>0</v>
      </c>
      <c r="U41" s="139">
        <v>0</v>
      </c>
      <c r="V41" s="139">
        <v>0.05</v>
      </c>
      <c r="W41" s="139">
        <v>0.03</v>
      </c>
      <c r="X41" s="139">
        <v>0</v>
      </c>
      <c r="Y41" s="139">
        <v>6.9999999999999993E-2</v>
      </c>
      <c r="Z41" s="139">
        <v>0.05</v>
      </c>
      <c r="AA41" s="139">
        <v>0</v>
      </c>
      <c r="AB41" s="139">
        <v>0.05</v>
      </c>
      <c r="AC41" s="139">
        <v>0.04</v>
      </c>
      <c r="AD41" s="139">
        <v>0.05</v>
      </c>
      <c r="AE41" s="139">
        <v>0.1</v>
      </c>
      <c r="AF41" s="139">
        <v>0.05</v>
      </c>
      <c r="AG41" s="139">
        <v>0.08</v>
      </c>
      <c r="AH41" s="139">
        <v>0</v>
      </c>
      <c r="AI41" s="139">
        <v>0</v>
      </c>
      <c r="AJ41" s="139">
        <v>0</v>
      </c>
      <c r="AK41" s="139">
        <v>0</v>
      </c>
      <c r="AL41" s="139">
        <v>0</v>
      </c>
      <c r="AM41" s="139">
        <v>0</v>
      </c>
      <c r="AN41" s="139">
        <v>0</v>
      </c>
      <c r="AO41" s="139">
        <v>0</v>
      </c>
    </row>
    <row r="42" spans="1:41" x14ac:dyDescent="0.15">
      <c r="A42" s="175" t="s">
        <v>241</v>
      </c>
      <c r="B42" s="139">
        <v>0</v>
      </c>
      <c r="C42" s="139">
        <v>0</v>
      </c>
      <c r="D42" s="139">
        <v>0</v>
      </c>
      <c r="E42" s="139">
        <v>0</v>
      </c>
      <c r="F42" s="139">
        <v>0</v>
      </c>
      <c r="G42" s="139">
        <v>0</v>
      </c>
      <c r="H42" s="139">
        <v>0</v>
      </c>
      <c r="I42" s="139">
        <v>0</v>
      </c>
      <c r="J42" s="139">
        <v>0</v>
      </c>
      <c r="K42" s="139">
        <v>0</v>
      </c>
      <c r="L42" s="139">
        <v>0</v>
      </c>
      <c r="M42" s="139">
        <v>0</v>
      </c>
      <c r="N42" s="139">
        <v>0</v>
      </c>
      <c r="O42" s="139">
        <v>0</v>
      </c>
      <c r="P42" s="139">
        <v>0</v>
      </c>
      <c r="Q42" s="139">
        <v>0</v>
      </c>
      <c r="R42" s="139">
        <v>0</v>
      </c>
      <c r="S42" s="139">
        <v>0</v>
      </c>
      <c r="T42" s="139">
        <v>0</v>
      </c>
      <c r="U42" s="139">
        <v>0</v>
      </c>
      <c r="V42" s="139">
        <v>0</v>
      </c>
      <c r="W42" s="139">
        <v>0</v>
      </c>
      <c r="X42" s="139">
        <v>0</v>
      </c>
      <c r="Y42" s="139">
        <v>0</v>
      </c>
      <c r="Z42" s="139">
        <v>0</v>
      </c>
      <c r="AA42" s="139">
        <v>0</v>
      </c>
      <c r="AB42" s="139">
        <v>0</v>
      </c>
      <c r="AC42" s="139">
        <v>0</v>
      </c>
      <c r="AD42" s="139">
        <v>0</v>
      </c>
      <c r="AE42" s="139">
        <v>0</v>
      </c>
      <c r="AF42" s="139">
        <v>0</v>
      </c>
      <c r="AG42" s="139">
        <v>0</v>
      </c>
      <c r="AH42" s="139">
        <v>0</v>
      </c>
      <c r="AI42" s="139">
        <v>0</v>
      </c>
      <c r="AJ42" s="139">
        <v>0</v>
      </c>
      <c r="AK42" s="139">
        <v>0</v>
      </c>
      <c r="AL42" s="139">
        <v>0</v>
      </c>
      <c r="AM42" s="139">
        <v>0</v>
      </c>
      <c r="AN42" s="139">
        <v>0</v>
      </c>
      <c r="AO42" s="139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34" activePane="bottomRight" state="frozen"/>
      <selection pane="topRight" activeCell="C1" sqref="C1"/>
      <selection pane="bottomLeft" activeCell="A2" sqref="A2"/>
      <selection pane="bottomRight" activeCell="A41" sqref="A40:XFD41"/>
    </sheetView>
  </sheetViews>
  <sheetFormatPr baseColWidth="10" defaultColWidth="8.83203125" defaultRowHeight="13" x14ac:dyDescent="0.15"/>
  <cols>
    <col min="1" max="1" width="3.33203125" customWidth="1"/>
    <col min="2" max="2" width="21" customWidth="1"/>
    <col min="3" max="4" width="16.83203125" style="108" customWidth="1"/>
    <col min="5" max="6" width="16.83203125" style="107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78" t="s">
        <v>230</v>
      </c>
      <c r="D1" s="178" t="s">
        <v>231</v>
      </c>
      <c r="E1" s="178" t="s">
        <v>242</v>
      </c>
      <c r="F1" s="178" t="s">
        <v>243</v>
      </c>
      <c r="G1"/>
      <c r="H1"/>
    </row>
    <row r="2" spans="1:8" x14ac:dyDescent="0.15">
      <c r="A2">
        <v>1</v>
      </c>
      <c r="B2" s="177" t="s">
        <v>192</v>
      </c>
      <c r="C2" s="108">
        <v>0</v>
      </c>
      <c r="D2" s="108">
        <v>1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77" t="s">
        <v>193</v>
      </c>
      <c r="C3" s="108">
        <v>0</v>
      </c>
      <c r="D3" s="108">
        <v>1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77" t="s">
        <v>194</v>
      </c>
      <c r="C4" s="108">
        <v>0</v>
      </c>
      <c r="D4" s="108">
        <v>1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77" t="s">
        <v>195</v>
      </c>
      <c r="C5" s="108">
        <v>0</v>
      </c>
      <c r="D5" s="108">
        <v>1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77" t="s">
        <v>196</v>
      </c>
      <c r="C6" s="108">
        <v>0</v>
      </c>
      <c r="D6" s="108">
        <v>1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77" t="s">
        <v>197</v>
      </c>
      <c r="C7" s="108">
        <v>0</v>
      </c>
      <c r="D7" s="108">
        <v>1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77" t="s">
        <v>198</v>
      </c>
      <c r="C8" s="108">
        <v>0</v>
      </c>
      <c r="D8" s="108">
        <v>1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77" t="s">
        <v>199</v>
      </c>
      <c r="C9" s="108">
        <v>0</v>
      </c>
      <c r="D9" s="108">
        <v>1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77" t="s">
        <v>200</v>
      </c>
      <c r="C10" s="108">
        <v>0</v>
      </c>
      <c r="D10" s="108">
        <v>1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77" t="s">
        <v>201</v>
      </c>
      <c r="C11" s="108">
        <v>0</v>
      </c>
      <c r="D11" s="108">
        <v>1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77" t="s">
        <v>202</v>
      </c>
      <c r="C12" s="108">
        <v>0</v>
      </c>
      <c r="D12" s="108">
        <v>1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77" t="s">
        <v>203</v>
      </c>
      <c r="C13" s="108">
        <v>0</v>
      </c>
      <c r="D13" s="108">
        <v>1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77" t="s">
        <v>204</v>
      </c>
      <c r="C14" s="108">
        <v>0</v>
      </c>
      <c r="D14" s="108">
        <v>1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77" t="s">
        <v>205</v>
      </c>
      <c r="C15" s="108">
        <v>0</v>
      </c>
      <c r="D15" s="108">
        <v>1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77" t="s">
        <v>206</v>
      </c>
      <c r="C16" s="108">
        <v>0</v>
      </c>
      <c r="D16" s="108">
        <v>1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77" t="s">
        <v>207</v>
      </c>
      <c r="C17" s="108">
        <v>0</v>
      </c>
      <c r="D17" s="108">
        <v>1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77" t="s">
        <v>208</v>
      </c>
      <c r="C18" s="108">
        <v>0</v>
      </c>
      <c r="D18" s="108">
        <v>1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77" t="s">
        <v>209</v>
      </c>
      <c r="C19" s="108">
        <v>0</v>
      </c>
      <c r="D19" s="108">
        <v>1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77" t="s">
        <v>210</v>
      </c>
      <c r="C20" s="108">
        <v>0</v>
      </c>
      <c r="D20" s="108">
        <v>1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77" t="s">
        <v>211</v>
      </c>
      <c r="C21" s="108">
        <v>0</v>
      </c>
      <c r="D21" s="108">
        <v>1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77" t="s">
        <v>212</v>
      </c>
      <c r="C22" s="108">
        <v>0</v>
      </c>
      <c r="D22" s="108">
        <v>1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77" t="s">
        <v>213</v>
      </c>
      <c r="C23" s="108">
        <v>0</v>
      </c>
      <c r="D23" s="108">
        <v>1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77" t="s">
        <v>214</v>
      </c>
      <c r="C24" s="108">
        <v>0</v>
      </c>
      <c r="D24" s="108">
        <v>1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77" t="s">
        <v>215</v>
      </c>
      <c r="C25" s="108">
        <v>0</v>
      </c>
      <c r="D25" s="108">
        <v>1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77" t="s">
        <v>216</v>
      </c>
      <c r="C26" s="108">
        <v>0</v>
      </c>
      <c r="D26" s="108">
        <v>1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77" t="s">
        <v>217</v>
      </c>
      <c r="C27" s="108">
        <v>0</v>
      </c>
      <c r="D27" s="108">
        <v>1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77" t="s">
        <v>218</v>
      </c>
      <c r="C28" s="108">
        <v>0</v>
      </c>
      <c r="D28" s="108">
        <v>1</v>
      </c>
      <c r="E28" s="107">
        <v>0</v>
      </c>
      <c r="F28" s="107">
        <v>1</v>
      </c>
      <c r="G28"/>
      <c r="H28"/>
    </row>
    <row r="29" spans="1:8" ht="15" customHeight="1" x14ac:dyDescent="0.15">
      <c r="A29">
        <v>28</v>
      </c>
      <c r="B29" s="177" t="s">
        <v>219</v>
      </c>
      <c r="C29" s="108">
        <v>0</v>
      </c>
      <c r="D29" s="108">
        <v>1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77" t="s">
        <v>220</v>
      </c>
      <c r="C30" s="108">
        <v>0</v>
      </c>
      <c r="D30" s="108">
        <v>1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77" t="s">
        <v>221</v>
      </c>
      <c r="C31" s="108">
        <v>0.5</v>
      </c>
      <c r="D31" s="108">
        <v>0.5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77" t="s">
        <v>222</v>
      </c>
      <c r="C32" s="108">
        <v>0</v>
      </c>
      <c r="D32" s="108">
        <v>1</v>
      </c>
      <c r="E32" s="107">
        <v>0</v>
      </c>
      <c r="F32" s="107">
        <v>1</v>
      </c>
    </row>
    <row r="33" spans="1:8" ht="15" customHeight="1" x14ac:dyDescent="0.15">
      <c r="A33">
        <v>32</v>
      </c>
      <c r="B33" s="177" t="s">
        <v>223</v>
      </c>
      <c r="C33" s="108">
        <v>0</v>
      </c>
      <c r="D33" s="108">
        <v>1</v>
      </c>
      <c r="E33" s="107">
        <v>0</v>
      </c>
      <c r="F33" s="107">
        <v>1</v>
      </c>
    </row>
    <row r="34" spans="1:8" ht="15" customHeight="1" x14ac:dyDescent="0.15">
      <c r="A34">
        <v>33</v>
      </c>
      <c r="B34" s="177" t="s">
        <v>224</v>
      </c>
      <c r="C34" s="108">
        <v>1</v>
      </c>
      <c r="D34" s="108">
        <v>0</v>
      </c>
      <c r="E34" s="107">
        <v>0</v>
      </c>
      <c r="F34" s="107">
        <v>1</v>
      </c>
    </row>
    <row r="35" spans="1:8" ht="15" customHeight="1" x14ac:dyDescent="0.15">
      <c r="A35">
        <v>34</v>
      </c>
      <c r="B35" s="177" t="s">
        <v>225</v>
      </c>
      <c r="C35" s="108">
        <v>1</v>
      </c>
      <c r="D35" s="108">
        <v>0</v>
      </c>
      <c r="E35" s="107">
        <v>0</v>
      </c>
      <c r="F35" s="107">
        <v>1</v>
      </c>
    </row>
    <row r="36" spans="1:8" ht="15" customHeight="1" x14ac:dyDescent="0.15">
      <c r="A36">
        <v>35</v>
      </c>
      <c r="B36" s="177" t="s">
        <v>226</v>
      </c>
      <c r="C36" s="108">
        <v>1</v>
      </c>
      <c r="D36" s="108">
        <v>0</v>
      </c>
      <c r="E36" s="108">
        <v>0</v>
      </c>
      <c r="F36" s="108">
        <v>1</v>
      </c>
      <c r="G36"/>
      <c r="H36"/>
    </row>
    <row r="37" spans="1:8" ht="15" customHeight="1" x14ac:dyDescent="0.15">
      <c r="A37">
        <v>36</v>
      </c>
      <c r="B37" s="177" t="s">
        <v>227</v>
      </c>
      <c r="C37" s="108">
        <v>1</v>
      </c>
      <c r="D37" s="108">
        <v>0</v>
      </c>
      <c r="E37" s="108">
        <v>0</v>
      </c>
      <c r="F37" s="108">
        <v>1</v>
      </c>
      <c r="G37"/>
      <c r="H37"/>
    </row>
    <row r="38" spans="1:8" ht="15" customHeight="1" x14ac:dyDescent="0.15">
      <c r="A38">
        <v>37</v>
      </c>
      <c r="B38" s="177" t="s">
        <v>228</v>
      </c>
      <c r="C38" s="108">
        <v>0</v>
      </c>
      <c r="D38" s="108">
        <v>1</v>
      </c>
      <c r="E38" s="108">
        <v>0</v>
      </c>
      <c r="F38" s="108">
        <v>1</v>
      </c>
      <c r="G38"/>
      <c r="H38"/>
    </row>
    <row r="39" spans="1:8" ht="15" customHeight="1" x14ac:dyDescent="0.15">
      <c r="A39">
        <v>38</v>
      </c>
      <c r="B39" s="177" t="s">
        <v>229</v>
      </c>
      <c r="C39" s="108">
        <v>1</v>
      </c>
      <c r="D39" s="108">
        <v>0</v>
      </c>
      <c r="E39" s="108">
        <v>0</v>
      </c>
      <c r="F39" s="108">
        <v>1</v>
      </c>
      <c r="G39"/>
      <c r="H39"/>
    </row>
    <row r="40" spans="1:8" ht="15" customHeight="1" x14ac:dyDescent="0.15">
      <c r="A40">
        <v>39</v>
      </c>
      <c r="B40" s="177" t="s">
        <v>230</v>
      </c>
      <c r="C40" s="108">
        <v>0</v>
      </c>
      <c r="D40" s="108">
        <v>0</v>
      </c>
      <c r="E40" s="108">
        <v>1</v>
      </c>
      <c r="F40" s="108">
        <v>1</v>
      </c>
      <c r="G40"/>
      <c r="H40"/>
    </row>
    <row r="41" spans="1:8" ht="15" customHeight="1" x14ac:dyDescent="0.15">
      <c r="A41">
        <v>40</v>
      </c>
      <c r="B41" s="177" t="s">
        <v>231</v>
      </c>
      <c r="C41" s="108">
        <v>1</v>
      </c>
      <c r="D41" s="108">
        <v>0</v>
      </c>
      <c r="E41" s="108">
        <v>0</v>
      </c>
      <c r="F41" s="108">
        <v>1</v>
      </c>
      <c r="G41"/>
      <c r="H41"/>
    </row>
    <row r="42" spans="1:8" ht="15" customHeight="1" x14ac:dyDescent="0.15">
      <c r="A42">
        <v>41</v>
      </c>
      <c r="B42" s="177" t="s">
        <v>193</v>
      </c>
      <c r="C42" s="108">
        <v>1</v>
      </c>
      <c r="D42" s="108">
        <v>0</v>
      </c>
      <c r="E42" s="108">
        <v>0</v>
      </c>
      <c r="F42" s="108">
        <v>1</v>
      </c>
      <c r="G42"/>
      <c r="H42"/>
    </row>
    <row r="43" spans="1:8" ht="15" customHeight="1" x14ac:dyDescent="0.15">
      <c r="A43">
        <v>42</v>
      </c>
      <c r="B43" s="177" t="s">
        <v>232</v>
      </c>
      <c r="C43" s="108">
        <v>1</v>
      </c>
      <c r="D43" s="108">
        <v>0</v>
      </c>
      <c r="E43" s="108">
        <v>0</v>
      </c>
      <c r="F43" s="108">
        <v>1</v>
      </c>
      <c r="G43"/>
      <c r="H43"/>
    </row>
    <row r="44" spans="1:8" ht="15" customHeight="1" x14ac:dyDescent="0.15">
      <c r="A44">
        <v>43</v>
      </c>
      <c r="B44" s="177" t="s">
        <v>233</v>
      </c>
      <c r="C44" s="108">
        <v>1</v>
      </c>
      <c r="D44" s="108">
        <v>0</v>
      </c>
      <c r="E44" s="107">
        <v>0</v>
      </c>
      <c r="F44" s="107">
        <v>1</v>
      </c>
      <c r="G44"/>
      <c r="H44"/>
    </row>
    <row r="45" spans="1:8" ht="15" customHeight="1" x14ac:dyDescent="0.15">
      <c r="A45">
        <v>44</v>
      </c>
      <c r="B45" s="177" t="s">
        <v>234</v>
      </c>
      <c r="C45" s="108">
        <v>1</v>
      </c>
      <c r="D45" s="108">
        <v>0</v>
      </c>
      <c r="E45" s="107">
        <v>0</v>
      </c>
      <c r="F45" s="107">
        <v>1</v>
      </c>
      <c r="G45"/>
      <c r="H45"/>
    </row>
    <row r="46" spans="1:8" ht="15" customHeight="1" x14ac:dyDescent="0.15">
      <c r="A46">
        <v>45</v>
      </c>
      <c r="B46" s="177" t="s">
        <v>197</v>
      </c>
      <c r="C46" s="108">
        <v>1</v>
      </c>
      <c r="D46" s="108">
        <v>0</v>
      </c>
      <c r="E46" s="108">
        <v>0</v>
      </c>
      <c r="F46" s="108">
        <v>1</v>
      </c>
      <c r="G46"/>
      <c r="H46"/>
    </row>
    <row r="47" spans="1:8" ht="15" customHeight="1" x14ac:dyDescent="0.15">
      <c r="A47">
        <v>46</v>
      </c>
      <c r="B47" s="177" t="s">
        <v>196</v>
      </c>
      <c r="C47" s="108">
        <v>1</v>
      </c>
      <c r="D47" s="108">
        <v>0</v>
      </c>
      <c r="E47" s="107">
        <v>0</v>
      </c>
      <c r="F47" s="107">
        <v>1</v>
      </c>
      <c r="G47"/>
      <c r="H47"/>
    </row>
    <row r="48" spans="1:8" ht="15" customHeight="1" x14ac:dyDescent="0.15">
      <c r="A48">
        <v>47</v>
      </c>
      <c r="B48" s="177" t="s">
        <v>235</v>
      </c>
      <c r="C48" s="108">
        <v>1</v>
      </c>
      <c r="D48" s="108">
        <v>0</v>
      </c>
      <c r="E48" s="107">
        <v>0</v>
      </c>
      <c r="F48" s="107">
        <v>1</v>
      </c>
      <c r="G48"/>
      <c r="H48"/>
    </row>
    <row r="49" spans="1:8" ht="15" customHeight="1" x14ac:dyDescent="0.15">
      <c r="A49">
        <v>48</v>
      </c>
      <c r="B49" s="177" t="s">
        <v>236</v>
      </c>
      <c r="C49" s="108">
        <v>1</v>
      </c>
      <c r="D49" s="108">
        <v>0</v>
      </c>
      <c r="E49" s="107">
        <v>0</v>
      </c>
      <c r="F49" s="107">
        <v>1</v>
      </c>
      <c r="G49"/>
      <c r="H49"/>
    </row>
    <row r="50" spans="1:8" ht="15" customHeight="1" x14ac:dyDescent="0.15">
      <c r="A50">
        <v>49</v>
      </c>
      <c r="B50" s="177" t="s">
        <v>204</v>
      </c>
      <c r="C50" s="108">
        <v>1</v>
      </c>
      <c r="D50" s="108">
        <v>0</v>
      </c>
      <c r="E50" s="107">
        <v>0</v>
      </c>
      <c r="F50" s="107">
        <v>1</v>
      </c>
      <c r="G50"/>
      <c r="H50"/>
    </row>
    <row r="51" spans="1:8" ht="15" customHeight="1" x14ac:dyDescent="0.15">
      <c r="A51">
        <v>50</v>
      </c>
      <c r="B51" s="177" t="s">
        <v>205</v>
      </c>
      <c r="C51" s="108">
        <v>1</v>
      </c>
      <c r="D51" s="108">
        <v>0</v>
      </c>
      <c r="E51" s="107">
        <v>0</v>
      </c>
      <c r="F51" s="107">
        <v>1</v>
      </c>
      <c r="G51"/>
      <c r="H51"/>
    </row>
    <row r="52" spans="1:8" ht="15" customHeight="1" x14ac:dyDescent="0.15">
      <c r="A52">
        <v>51</v>
      </c>
      <c r="B52" s="177" t="s">
        <v>237</v>
      </c>
      <c r="C52" s="108">
        <v>1</v>
      </c>
      <c r="D52" s="108">
        <v>0</v>
      </c>
      <c r="E52" s="107">
        <v>0</v>
      </c>
      <c r="F52" s="107">
        <v>1</v>
      </c>
      <c r="G52"/>
      <c r="H52"/>
    </row>
    <row r="53" spans="1:8" ht="15" customHeight="1" x14ac:dyDescent="0.15">
      <c r="A53">
        <v>52</v>
      </c>
      <c r="B53" s="177" t="s">
        <v>238</v>
      </c>
      <c r="C53" s="108">
        <v>1</v>
      </c>
      <c r="D53" s="108">
        <v>0</v>
      </c>
      <c r="E53" s="107">
        <v>0</v>
      </c>
      <c r="F53" s="107">
        <v>1</v>
      </c>
      <c r="G53"/>
      <c r="H53"/>
    </row>
    <row r="54" spans="1:8" ht="15" customHeight="1" x14ac:dyDescent="0.15">
      <c r="A54">
        <v>53</v>
      </c>
      <c r="B54" s="177" t="s">
        <v>239</v>
      </c>
      <c r="C54" s="108">
        <v>1</v>
      </c>
      <c r="D54" s="108">
        <v>0</v>
      </c>
      <c r="E54" s="107">
        <v>0</v>
      </c>
      <c r="F54" s="107">
        <v>1</v>
      </c>
      <c r="G54"/>
      <c r="H54"/>
    </row>
    <row r="55" spans="1:8" ht="15" customHeight="1" x14ac:dyDescent="0.15">
      <c r="A55">
        <v>54</v>
      </c>
      <c r="B55" s="177" t="s">
        <v>240</v>
      </c>
      <c r="C55" s="108">
        <v>1</v>
      </c>
      <c r="D55" s="108">
        <v>0</v>
      </c>
      <c r="E55" s="107">
        <v>0</v>
      </c>
      <c r="F55" s="107">
        <v>1</v>
      </c>
      <c r="G55"/>
      <c r="H55"/>
    </row>
    <row r="56" spans="1:8" ht="15" customHeight="1" x14ac:dyDescent="0.15">
      <c r="C56"/>
      <c r="D56"/>
      <c r="E56"/>
      <c r="F56"/>
      <c r="G56"/>
      <c r="H56"/>
    </row>
    <row r="57" spans="1:8" ht="15" customHeight="1" x14ac:dyDescent="0.15">
      <c r="C57"/>
      <c r="D57"/>
      <c r="E57"/>
      <c r="F57"/>
      <c r="G57"/>
      <c r="H57"/>
    </row>
    <row r="58" spans="1:8" ht="15" customHeight="1" x14ac:dyDescent="0.15">
      <c r="C58"/>
      <c r="D58"/>
      <c r="E58"/>
      <c r="F58"/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Q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" bestFit="1" customWidth="1"/>
    <col min="3" max="4" width="7.5" bestFit="1" customWidth="1"/>
    <col min="5" max="5" width="5.83203125" bestFit="1" customWidth="1"/>
    <col min="6" max="7" width="5.83203125" customWidth="1"/>
    <col min="8" max="8" width="7.5" customWidth="1"/>
    <col min="9" max="10" width="5.83203125" customWidth="1"/>
    <col min="11" max="11" width="7.5" customWidth="1"/>
    <col min="12" max="12" width="8.5" customWidth="1"/>
    <col min="13" max="13" width="7.5" customWidth="1"/>
    <col min="14" max="15" width="8.83203125" customWidth="1"/>
    <col min="16" max="17" width="11.5" customWidth="1"/>
  </cols>
  <sheetData>
    <row r="1" spans="1:17" s="109" customFormat="1" ht="112" x14ac:dyDescent="0.15">
      <c r="A1" s="5" t="s">
        <v>21</v>
      </c>
      <c r="B1" s="3" t="s">
        <v>0</v>
      </c>
      <c r="C1" s="180" t="s">
        <v>193</v>
      </c>
      <c r="D1" s="180" t="s">
        <v>232</v>
      </c>
      <c r="E1" s="180" t="s">
        <v>233</v>
      </c>
      <c r="F1" s="180" t="s">
        <v>234</v>
      </c>
      <c r="G1" s="180" t="s">
        <v>197</v>
      </c>
      <c r="H1" s="180" t="s">
        <v>196</v>
      </c>
      <c r="I1" s="180" t="s">
        <v>235</v>
      </c>
      <c r="J1" s="180" t="s">
        <v>236</v>
      </c>
      <c r="K1" s="180" t="s">
        <v>204</v>
      </c>
      <c r="L1" s="180" t="s">
        <v>205</v>
      </c>
      <c r="M1" s="180" t="s">
        <v>237</v>
      </c>
      <c r="N1" s="180" t="s">
        <v>238</v>
      </c>
      <c r="O1" s="180" t="s">
        <v>239</v>
      </c>
      <c r="P1" s="180" t="s">
        <v>240</v>
      </c>
      <c r="Q1" s="180" t="s">
        <v>244</v>
      </c>
    </row>
    <row r="2" spans="1:17" ht="15" customHeight="1" x14ac:dyDescent="0.15">
      <c r="A2">
        <v>1</v>
      </c>
      <c r="B2" s="179" t="s">
        <v>192</v>
      </c>
      <c r="C2">
        <v>0</v>
      </c>
      <c r="D2">
        <v>1.5E-5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1.5E-5</v>
      </c>
    </row>
    <row r="3" spans="1:17" ht="15" customHeight="1" x14ac:dyDescent="0.15">
      <c r="A3">
        <v>2</v>
      </c>
      <c r="B3" s="179" t="s">
        <v>193</v>
      </c>
      <c r="C3">
        <v>2.1999999999999999E-5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2.1999999999999999E-5</v>
      </c>
    </row>
    <row r="4" spans="1:17" ht="15" customHeight="1" x14ac:dyDescent="0.15">
      <c r="A4">
        <v>3</v>
      </c>
      <c r="B4" s="179" t="s">
        <v>194</v>
      </c>
      <c r="C4">
        <v>0</v>
      </c>
      <c r="D4">
        <v>0</v>
      </c>
      <c r="E4">
        <v>5.0000000000000004E-6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5.0000000000000004E-6</v>
      </c>
    </row>
    <row r="5" spans="1:17" ht="15" customHeight="1" x14ac:dyDescent="0.15">
      <c r="A5">
        <v>4</v>
      </c>
      <c r="B5" s="179" t="s">
        <v>195</v>
      </c>
      <c r="C5">
        <v>0</v>
      </c>
      <c r="D5">
        <v>0</v>
      </c>
      <c r="E5">
        <v>0</v>
      </c>
      <c r="F5">
        <v>9.9999999999999995E-7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9.9999999999999995E-7</v>
      </c>
    </row>
    <row r="6" spans="1:17" ht="15" customHeight="1" x14ac:dyDescent="0.15">
      <c r="A6">
        <v>5</v>
      </c>
      <c r="B6" s="17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3.4E-5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3.4E-5</v>
      </c>
    </row>
    <row r="7" spans="1:17" ht="15" customHeight="1" x14ac:dyDescent="0.15">
      <c r="A7">
        <v>6</v>
      </c>
      <c r="B7" s="179" t="s">
        <v>197</v>
      </c>
      <c r="C7">
        <v>0</v>
      </c>
      <c r="D7">
        <v>0</v>
      </c>
      <c r="E7">
        <v>0</v>
      </c>
      <c r="F7">
        <v>0</v>
      </c>
      <c r="G7">
        <v>9.0000000000000002E-6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9.0000000000000002E-6</v>
      </c>
    </row>
    <row r="8" spans="1:17" ht="15" customHeight="1" x14ac:dyDescent="0.15">
      <c r="A8">
        <v>7</v>
      </c>
      <c r="B8" s="179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8.0000000000000007E-5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8.0000000000000007E-5</v>
      </c>
    </row>
    <row r="9" spans="1:17" ht="15" customHeight="1" x14ac:dyDescent="0.15">
      <c r="A9">
        <v>8</v>
      </c>
      <c r="B9" s="17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6.0000000000000002E-6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6.0000000000000002E-6</v>
      </c>
    </row>
    <row r="10" spans="1:17" ht="15" customHeight="1" x14ac:dyDescent="0.15">
      <c r="A10">
        <v>9</v>
      </c>
      <c r="B10" s="17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1.6699999999999999E-4</v>
      </c>
      <c r="O10">
        <v>0</v>
      </c>
      <c r="P10">
        <v>0</v>
      </c>
      <c r="Q10">
        <v>1.6699999999999999E-4</v>
      </c>
    </row>
    <row r="11" spans="1:17" ht="15" customHeight="1" x14ac:dyDescent="0.15">
      <c r="A11">
        <v>10</v>
      </c>
      <c r="B11" s="17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1.9999999999999999E-6</v>
      </c>
      <c r="O11">
        <v>0</v>
      </c>
      <c r="P11">
        <v>0</v>
      </c>
      <c r="Q11">
        <v>1.9999999999999999E-6</v>
      </c>
    </row>
    <row r="12" spans="1:17" ht="15" customHeight="1" x14ac:dyDescent="0.15">
      <c r="A12">
        <v>11</v>
      </c>
      <c r="B12" s="179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3.9300000000000001E-4</v>
      </c>
      <c r="O12">
        <v>0</v>
      </c>
      <c r="P12">
        <v>0</v>
      </c>
      <c r="Q12">
        <v>3.9300000000000001E-4</v>
      </c>
    </row>
    <row r="13" spans="1:17" ht="15" customHeight="1" x14ac:dyDescent="0.15">
      <c r="A13">
        <v>12</v>
      </c>
      <c r="B13" s="17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1.4E-5</v>
      </c>
      <c r="O13">
        <v>0</v>
      </c>
      <c r="P13">
        <v>0</v>
      </c>
      <c r="Q13">
        <v>1.4E-5</v>
      </c>
    </row>
    <row r="14" spans="1:17" ht="15" customHeight="1" x14ac:dyDescent="0.15">
      <c r="A14">
        <v>13</v>
      </c>
      <c r="B14" s="179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3.3000000000000003E-5</v>
      </c>
      <c r="L14">
        <v>0</v>
      </c>
      <c r="M14">
        <v>0</v>
      </c>
      <c r="N14">
        <v>0</v>
      </c>
      <c r="O14">
        <v>0</v>
      </c>
      <c r="P14">
        <v>0</v>
      </c>
      <c r="Q14">
        <v>3.3000000000000003E-5</v>
      </c>
    </row>
    <row r="15" spans="1:17" ht="15" customHeight="1" x14ac:dyDescent="0.15">
      <c r="A15">
        <v>14</v>
      </c>
      <c r="B15" s="17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6.05E-5</v>
      </c>
      <c r="M15">
        <v>0</v>
      </c>
      <c r="N15">
        <v>0</v>
      </c>
      <c r="O15">
        <v>0</v>
      </c>
      <c r="P15">
        <v>0</v>
      </c>
      <c r="Q15">
        <v>6.05E-5</v>
      </c>
    </row>
    <row r="16" spans="1:17" ht="15" customHeight="1" x14ac:dyDescent="0.15">
      <c r="A16">
        <v>15</v>
      </c>
      <c r="B16" s="17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1.4E-5</v>
      </c>
      <c r="N16">
        <v>0</v>
      </c>
      <c r="O16">
        <v>0</v>
      </c>
      <c r="P16">
        <v>0</v>
      </c>
      <c r="Q16">
        <v>1.4E-5</v>
      </c>
    </row>
    <row r="17" spans="1:17" ht="15" customHeight="1" x14ac:dyDescent="0.15">
      <c r="A17">
        <v>16</v>
      </c>
      <c r="B17" s="179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3.2499999999999999E-4</v>
      </c>
      <c r="P17">
        <v>0</v>
      </c>
      <c r="Q17">
        <v>3.2499999999999999E-4</v>
      </c>
    </row>
    <row r="18" spans="1:17" ht="15" customHeight="1" x14ac:dyDescent="0.15">
      <c r="A18">
        <v>17</v>
      </c>
      <c r="B18" s="17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4.6213200000000003E-7</v>
      </c>
      <c r="Q18">
        <v>4.6213200000000003E-7</v>
      </c>
    </row>
    <row r="19" spans="1:17" ht="15" customHeight="1" x14ac:dyDescent="0.15">
      <c r="A19">
        <v>18</v>
      </c>
      <c r="B19" s="179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1.3203799999999999E-8</v>
      </c>
      <c r="Q19">
        <v>1.3203799999999999E-8</v>
      </c>
    </row>
    <row r="20" spans="1:17" ht="15" customHeight="1" x14ac:dyDescent="0.15">
      <c r="A20">
        <v>19</v>
      </c>
      <c r="B20" s="17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2.6407600000000001E-7</v>
      </c>
      <c r="Q20">
        <v>2.6407600000000001E-7</v>
      </c>
    </row>
    <row r="21" spans="1:17" ht="15" customHeight="1" x14ac:dyDescent="0.15">
      <c r="A21">
        <v>20</v>
      </c>
      <c r="B21" s="179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2.6407600000000001E-7</v>
      </c>
      <c r="Q21">
        <v>2.6407600000000001E-7</v>
      </c>
    </row>
    <row r="22" spans="1:17" ht="15" customHeight="1" x14ac:dyDescent="0.15">
      <c r="A22">
        <v>21</v>
      </c>
      <c r="B22" s="17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1.3203800000000001E-7</v>
      </c>
      <c r="Q22">
        <v>1.3203800000000001E-7</v>
      </c>
    </row>
    <row r="23" spans="1:17" ht="15" customHeight="1" x14ac:dyDescent="0.15">
      <c r="A23">
        <v>22</v>
      </c>
      <c r="B23" s="179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3.9611299999999999E-8</v>
      </c>
      <c r="Q23">
        <v>3.9611299999999999E-8</v>
      </c>
    </row>
    <row r="24" spans="1:17" ht="15" customHeight="1" x14ac:dyDescent="0.15">
      <c r="A24">
        <v>23</v>
      </c>
      <c r="B24" s="17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ht="15" customHeight="1" x14ac:dyDescent="0.15">
      <c r="A25">
        <v>24</v>
      </c>
      <c r="B25" s="179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6.6018899999999998E-8</v>
      </c>
      <c r="Q25">
        <v>6.6018899999999998E-8</v>
      </c>
    </row>
    <row r="26" spans="1:17" ht="15" customHeight="1" x14ac:dyDescent="0.15">
      <c r="A26">
        <v>25</v>
      </c>
      <c r="B26" s="17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2.6407599999999999E-8</v>
      </c>
      <c r="Q26">
        <v>2.6407599999999999E-8</v>
      </c>
    </row>
    <row r="27" spans="1:17" ht="15" customHeight="1" x14ac:dyDescent="0.15">
      <c r="A27">
        <v>26</v>
      </c>
      <c r="B27" s="17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ht="15" customHeight="1" x14ac:dyDescent="0.15">
      <c r="A28">
        <v>27</v>
      </c>
      <c r="B28" s="17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ht="15" customHeight="1" x14ac:dyDescent="0.15">
      <c r="A29">
        <v>28</v>
      </c>
      <c r="B29" s="17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ht="15" customHeight="1" x14ac:dyDescent="0.15">
      <c r="A30">
        <v>29</v>
      </c>
      <c r="B30" s="17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ht="15" customHeight="1" x14ac:dyDescent="0.15">
      <c r="A31">
        <v>30</v>
      </c>
      <c r="B31" s="17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ht="15" customHeight="1" x14ac:dyDescent="0.15">
      <c r="A32">
        <v>31</v>
      </c>
      <c r="B32" s="17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ht="15" customHeight="1" x14ac:dyDescent="0.15">
      <c r="A33">
        <v>32</v>
      </c>
      <c r="B33" s="17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ht="15" customHeight="1" x14ac:dyDescent="0.15">
      <c r="A34">
        <v>33</v>
      </c>
      <c r="B34" s="17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ht="15" customHeight="1" x14ac:dyDescent="0.15">
      <c r="A35">
        <v>34</v>
      </c>
      <c r="B35" s="17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ht="15" customHeight="1" x14ac:dyDescent="0.15">
      <c r="A36">
        <v>35</v>
      </c>
      <c r="B36" s="17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ht="15" customHeight="1" x14ac:dyDescent="0.15">
      <c r="A37">
        <v>36</v>
      </c>
      <c r="B37" s="17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ht="15" customHeight="1" x14ac:dyDescent="0.15">
      <c r="A38">
        <v>37</v>
      </c>
      <c r="B38" s="179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ht="15" customHeight="1" x14ac:dyDescent="0.15">
      <c r="A39">
        <v>38</v>
      </c>
      <c r="B39" s="17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ht="15" customHeight="1" x14ac:dyDescent="0.15">
      <c r="A40">
        <v>39</v>
      </c>
      <c r="B40" s="17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ht="15" customHeight="1" x14ac:dyDescent="0.15">
      <c r="A41">
        <v>40</v>
      </c>
      <c r="B41" s="17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ht="15" customHeight="1" x14ac:dyDescent="0.15"/>
    <row r="43" spans="1:17" ht="15" customHeight="1" x14ac:dyDescent="0.15"/>
    <row r="44" spans="1:17" ht="15" customHeight="1" x14ac:dyDescent="0.15"/>
    <row r="45" spans="1:17" ht="15" customHeight="1" x14ac:dyDescent="0.15"/>
    <row r="46" spans="1:17" ht="15" customHeight="1" x14ac:dyDescent="0.15"/>
    <row r="47" spans="1:17" ht="15" customHeight="1" x14ac:dyDescent="0.15"/>
    <row r="48" spans="1:17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Q4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" bestFit="1" customWidth="1"/>
    <col min="3" max="5" width="2.33203125" bestFit="1" customWidth="1"/>
    <col min="6" max="17" width="2.33203125" customWidth="1"/>
  </cols>
  <sheetData>
    <row r="1" spans="1:17" s="109" customFormat="1" ht="112" x14ac:dyDescent="0.15">
      <c r="A1" s="5" t="s">
        <v>22</v>
      </c>
      <c r="B1" s="3" t="s">
        <v>0</v>
      </c>
      <c r="C1" s="182" t="s">
        <v>193</v>
      </c>
      <c r="D1" s="182" t="s">
        <v>232</v>
      </c>
      <c r="E1" s="182" t="s">
        <v>233</v>
      </c>
      <c r="F1" s="182" t="s">
        <v>234</v>
      </c>
      <c r="G1" s="182" t="s">
        <v>197</v>
      </c>
      <c r="H1" s="182" t="s">
        <v>196</v>
      </c>
      <c r="I1" s="182" t="s">
        <v>235</v>
      </c>
      <c r="J1" s="182" t="s">
        <v>236</v>
      </c>
      <c r="K1" s="182" t="s">
        <v>204</v>
      </c>
      <c r="L1" s="182" t="s">
        <v>205</v>
      </c>
      <c r="M1" s="182" t="s">
        <v>237</v>
      </c>
      <c r="N1" s="182" t="s">
        <v>238</v>
      </c>
      <c r="O1" s="182" t="s">
        <v>239</v>
      </c>
      <c r="P1" s="182" t="s">
        <v>240</v>
      </c>
      <c r="Q1" s="182" t="s">
        <v>244</v>
      </c>
    </row>
    <row r="2" spans="1:17" x14ac:dyDescent="0.15">
      <c r="A2">
        <v>1</v>
      </c>
      <c r="B2" s="18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15">
      <c r="A3">
        <v>2</v>
      </c>
      <c r="B3" s="18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15">
      <c r="A4">
        <v>3</v>
      </c>
      <c r="B4" s="18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15">
      <c r="A5">
        <v>4</v>
      </c>
      <c r="B5" s="18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15">
      <c r="A6">
        <v>5</v>
      </c>
      <c r="B6" s="181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15">
      <c r="A7">
        <v>6</v>
      </c>
      <c r="B7" s="181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15">
      <c r="A8">
        <v>7</v>
      </c>
      <c r="B8" s="18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15">
      <c r="A9">
        <v>8</v>
      </c>
      <c r="B9" s="18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15">
      <c r="A10">
        <v>9</v>
      </c>
      <c r="B10" s="18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15">
      <c r="A11">
        <v>10</v>
      </c>
      <c r="B11" s="18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15">
      <c r="A12">
        <v>11</v>
      </c>
      <c r="B12" s="18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15">
      <c r="A13">
        <v>12</v>
      </c>
      <c r="B13" s="181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15">
      <c r="A14">
        <v>13</v>
      </c>
      <c r="B14" s="18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15">
      <c r="A15">
        <v>14</v>
      </c>
      <c r="B15" s="181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15">
      <c r="A16">
        <v>15</v>
      </c>
      <c r="B16" s="181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15">
      <c r="A17">
        <v>16</v>
      </c>
      <c r="B17" s="181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15">
      <c r="A18">
        <v>17</v>
      </c>
      <c r="B18" s="181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15">
      <c r="A19">
        <v>18</v>
      </c>
      <c r="B19" s="18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15">
      <c r="A20">
        <v>19</v>
      </c>
      <c r="B20" s="18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15">
      <c r="A21">
        <v>20</v>
      </c>
      <c r="B21" s="181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15">
      <c r="A22">
        <v>21</v>
      </c>
      <c r="B22" s="181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15">
      <c r="A23">
        <v>22</v>
      </c>
      <c r="B23" s="181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15">
      <c r="A24">
        <v>23</v>
      </c>
      <c r="B24" s="181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15">
      <c r="A25">
        <v>24</v>
      </c>
      <c r="B25" s="181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15">
      <c r="A26">
        <v>25</v>
      </c>
      <c r="B26" s="18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15">
      <c r="A27">
        <v>26</v>
      </c>
      <c r="B27" s="181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15">
      <c r="A28">
        <v>27</v>
      </c>
      <c r="B28" s="18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15">
      <c r="A29">
        <v>28</v>
      </c>
      <c r="B29" s="18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15">
      <c r="A30">
        <v>29</v>
      </c>
      <c r="B30" s="18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15">
      <c r="A31">
        <v>30</v>
      </c>
      <c r="B31" s="18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15">
      <c r="A32">
        <v>31</v>
      </c>
      <c r="B32" s="18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15">
      <c r="A33">
        <v>32</v>
      </c>
      <c r="B33" s="18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15">
      <c r="A34">
        <v>33</v>
      </c>
      <c r="B34" s="18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15">
      <c r="A35">
        <v>34</v>
      </c>
      <c r="B35" s="18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15">
      <c r="A36">
        <v>35</v>
      </c>
      <c r="B36" s="18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15">
      <c r="A37">
        <v>36</v>
      </c>
      <c r="B37" s="18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15">
      <c r="A38">
        <v>37</v>
      </c>
      <c r="B38" s="18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15">
      <c r="A39">
        <v>38</v>
      </c>
      <c r="B39" s="18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15">
      <c r="A40">
        <v>39</v>
      </c>
      <c r="B40" s="181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15">
      <c r="A41">
        <v>40</v>
      </c>
      <c r="B41" s="181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3" t="s">
        <v>192</v>
      </c>
      <c r="F2">
        <v>0.98</v>
      </c>
      <c r="G2">
        <v>0.8</v>
      </c>
      <c r="H2">
        <v>0.8</v>
      </c>
      <c r="I2">
        <v>0.8</v>
      </c>
      <c r="J2" s="108">
        <v>0.25</v>
      </c>
      <c r="K2" s="108">
        <v>0.05</v>
      </c>
    </row>
    <row r="3" spans="1:42" x14ac:dyDescent="0.15">
      <c r="A3" s="117" t="s">
        <v>75</v>
      </c>
      <c r="B3" s="119">
        <v>1</v>
      </c>
      <c r="D3">
        <v>2</v>
      </c>
      <c r="E3" s="183" t="s">
        <v>193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3" t="s">
        <v>194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3" t="s">
        <v>195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3" t="s">
        <v>196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3" t="s">
        <v>197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3" t="s">
        <v>198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59" t="s">
        <v>150</v>
      </c>
      <c r="D9">
        <v>8</v>
      </c>
      <c r="E9" s="183" t="s">
        <v>199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59" t="s">
        <v>150</v>
      </c>
      <c r="D10">
        <v>9</v>
      </c>
      <c r="E10" s="183" t="s">
        <v>200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3" t="s">
        <v>201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3" t="s">
        <v>202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3" t="s">
        <v>203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3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3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3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3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3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3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3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3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3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3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3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3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3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3" t="s">
        <v>217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83" t="s">
        <v>218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83" t="s">
        <v>219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83" t="s">
        <v>220</v>
      </c>
      <c r="F30">
        <v>0.98</v>
      </c>
      <c r="G30">
        <v>0.8</v>
      </c>
      <c r="H30">
        <v>0.8</v>
      </c>
      <c r="I30">
        <v>0.8</v>
      </c>
      <c r="J30" s="108">
        <v>0.25</v>
      </c>
      <c r="K30" s="108">
        <v>0.05</v>
      </c>
      <c r="Y30"/>
      <c r="AC30"/>
      <c r="AG30"/>
    </row>
    <row r="31" spans="4:33" ht="15" customHeight="1" x14ac:dyDescent="0.15">
      <c r="D31">
        <v>30</v>
      </c>
      <c r="E31" s="183" t="s">
        <v>221</v>
      </c>
      <c r="F31">
        <v>0.98</v>
      </c>
      <c r="G31">
        <v>0.8</v>
      </c>
      <c r="H31">
        <v>0.8</v>
      </c>
      <c r="I31">
        <v>0.8</v>
      </c>
      <c r="J31" s="108">
        <v>0.25</v>
      </c>
      <c r="K31" s="108">
        <v>0.05</v>
      </c>
      <c r="Y31"/>
      <c r="AC31"/>
      <c r="AG31"/>
    </row>
    <row r="32" spans="4:33" ht="15" customHeight="1" x14ac:dyDescent="0.15">
      <c r="D32">
        <v>31</v>
      </c>
      <c r="E32" s="183" t="s">
        <v>222</v>
      </c>
      <c r="F32">
        <v>0.98</v>
      </c>
      <c r="G32">
        <v>0.8</v>
      </c>
      <c r="H32">
        <v>0.8</v>
      </c>
      <c r="I32">
        <v>0.8</v>
      </c>
      <c r="J32" s="108">
        <v>0.25</v>
      </c>
      <c r="K32" s="108">
        <v>0.05</v>
      </c>
      <c r="Y32"/>
      <c r="AC32"/>
      <c r="AG32"/>
    </row>
    <row r="33" spans="4:33" ht="15" customHeight="1" x14ac:dyDescent="0.15">
      <c r="D33">
        <v>32</v>
      </c>
      <c r="E33" s="183" t="s">
        <v>223</v>
      </c>
      <c r="F33">
        <v>0.98</v>
      </c>
      <c r="G33">
        <v>0.8</v>
      </c>
      <c r="H33">
        <v>0.8</v>
      </c>
      <c r="I33">
        <v>0.8</v>
      </c>
      <c r="J33" s="108">
        <v>0.25</v>
      </c>
      <c r="K33" s="108">
        <v>0.05</v>
      </c>
      <c r="Y33"/>
      <c r="AC33"/>
      <c r="AG33"/>
    </row>
    <row r="34" spans="4:33" ht="15" customHeight="1" x14ac:dyDescent="0.15">
      <c r="D34">
        <v>33</v>
      </c>
      <c r="E34" s="183" t="s">
        <v>224</v>
      </c>
      <c r="F34">
        <v>0.98</v>
      </c>
      <c r="G34">
        <v>0.8</v>
      </c>
      <c r="H34">
        <v>0.8</v>
      </c>
      <c r="I34">
        <v>0.8</v>
      </c>
      <c r="J34" s="108">
        <v>0.25</v>
      </c>
      <c r="K34" s="108">
        <v>0.05</v>
      </c>
      <c r="Y34"/>
      <c r="AC34"/>
      <c r="AG34"/>
    </row>
    <row r="35" spans="4:33" ht="15" customHeight="1" x14ac:dyDescent="0.15">
      <c r="D35">
        <v>34</v>
      </c>
      <c r="E35" s="183" t="s">
        <v>225</v>
      </c>
      <c r="F35">
        <v>0.98</v>
      </c>
      <c r="G35">
        <v>0.8</v>
      </c>
      <c r="H35">
        <v>0.8</v>
      </c>
      <c r="I35">
        <v>0.8</v>
      </c>
      <c r="J35" s="108">
        <v>0.25</v>
      </c>
      <c r="K35" s="108">
        <v>0.05</v>
      </c>
      <c r="Y35"/>
      <c r="AC35"/>
      <c r="AG35"/>
    </row>
    <row r="36" spans="4:33" ht="15" customHeight="1" x14ac:dyDescent="0.15">
      <c r="D36">
        <v>35</v>
      </c>
      <c r="E36" s="183" t="s">
        <v>226</v>
      </c>
      <c r="F36">
        <v>0.98</v>
      </c>
      <c r="G36">
        <v>0.8</v>
      </c>
      <c r="H36">
        <v>0.8</v>
      </c>
      <c r="I36">
        <v>0.8</v>
      </c>
      <c r="J36" s="108">
        <v>0.25</v>
      </c>
      <c r="K36" s="108">
        <v>0.05</v>
      </c>
      <c r="Y36"/>
      <c r="AC36"/>
      <c r="AG36"/>
    </row>
    <row r="37" spans="4:33" ht="15" customHeight="1" x14ac:dyDescent="0.15">
      <c r="D37">
        <v>36</v>
      </c>
      <c r="E37" s="183" t="s">
        <v>227</v>
      </c>
      <c r="F37">
        <v>0.98</v>
      </c>
      <c r="G37">
        <v>0.8</v>
      </c>
      <c r="H37">
        <v>0.8</v>
      </c>
      <c r="I37">
        <v>0.8</v>
      </c>
      <c r="J37" s="108">
        <v>0.25</v>
      </c>
      <c r="K37" s="108">
        <v>0.05</v>
      </c>
      <c r="Y37"/>
      <c r="AC37"/>
      <c r="AG37"/>
    </row>
    <row r="38" spans="4:33" ht="15" customHeight="1" x14ac:dyDescent="0.15">
      <c r="D38">
        <v>37</v>
      </c>
      <c r="E38" s="183" t="s">
        <v>228</v>
      </c>
      <c r="F38">
        <v>0.98</v>
      </c>
      <c r="G38">
        <v>0.8</v>
      </c>
      <c r="H38">
        <v>0.8</v>
      </c>
      <c r="I38">
        <v>0</v>
      </c>
      <c r="J38" s="108">
        <v>0</v>
      </c>
      <c r="K38" s="108">
        <v>0</v>
      </c>
      <c r="Y38"/>
      <c r="AC38"/>
      <c r="AG38"/>
    </row>
    <row r="39" spans="4:33" ht="15" customHeight="1" x14ac:dyDescent="0.15">
      <c r="D39">
        <v>38</v>
      </c>
      <c r="E39" s="183" t="s">
        <v>229</v>
      </c>
      <c r="F39">
        <v>0.98</v>
      </c>
      <c r="G39">
        <v>0.8</v>
      </c>
      <c r="H39">
        <v>0.8</v>
      </c>
      <c r="I39">
        <v>0</v>
      </c>
      <c r="J39" s="108">
        <v>0</v>
      </c>
      <c r="K39" s="108">
        <v>0</v>
      </c>
    </row>
    <row r="40" spans="4:33" ht="15" customHeight="1" x14ac:dyDescent="0.15">
      <c r="D40">
        <v>39</v>
      </c>
      <c r="E40" s="183" t="s">
        <v>230</v>
      </c>
      <c r="F40">
        <v>0.98</v>
      </c>
      <c r="G40">
        <v>0.8</v>
      </c>
      <c r="H40">
        <v>0</v>
      </c>
      <c r="I40">
        <v>0</v>
      </c>
      <c r="J40" s="108">
        <v>0</v>
      </c>
      <c r="K40" s="108">
        <v>0</v>
      </c>
      <c r="Y40"/>
      <c r="AC40"/>
      <c r="AG40"/>
    </row>
    <row r="41" spans="4:33" ht="15" customHeight="1" x14ac:dyDescent="0.15">
      <c r="D41">
        <v>40</v>
      </c>
      <c r="E41" s="183" t="s">
        <v>231</v>
      </c>
      <c r="F41">
        <v>0.98</v>
      </c>
      <c r="G41">
        <v>0.8</v>
      </c>
      <c r="H41">
        <v>0</v>
      </c>
      <c r="I41">
        <v>0</v>
      </c>
      <c r="J41" s="108">
        <v>0</v>
      </c>
      <c r="K41" s="108">
        <v>0</v>
      </c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" style="106" bestFit="1" customWidth="1"/>
    <col min="2" max="37" width="3.83203125" style="106" customWidth="1"/>
    <col min="38" max="41" width="2.33203125" style="106" customWidth="1"/>
    <col min="42" max="16384" width="10.83203125" style="106"/>
  </cols>
  <sheetData>
    <row r="1" spans="1:41" x14ac:dyDescent="0.15">
      <c r="A1" s="61" t="s">
        <v>118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  <c r="AI1" s="185" t="s">
        <v>225</v>
      </c>
      <c r="AJ1" s="185" t="s">
        <v>226</v>
      </c>
      <c r="AK1" s="185" t="s">
        <v>227</v>
      </c>
      <c r="AL1" s="185" t="s">
        <v>228</v>
      </c>
      <c r="AM1" s="185" t="s">
        <v>229</v>
      </c>
      <c r="AN1" s="185" t="s">
        <v>230</v>
      </c>
      <c r="AO1" s="185" t="s">
        <v>231</v>
      </c>
    </row>
    <row r="2" spans="1:41" customFormat="1" x14ac:dyDescent="0.15">
      <c r="A2" s="184" t="s">
        <v>192</v>
      </c>
      <c r="B2" s="106">
        <v>0.8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  <c r="AK2" s="106">
        <v>0</v>
      </c>
      <c r="AL2" s="106">
        <v>0</v>
      </c>
      <c r="AM2" s="106">
        <v>0</v>
      </c>
      <c r="AN2" s="106">
        <v>0</v>
      </c>
      <c r="AO2" s="106">
        <v>0</v>
      </c>
    </row>
    <row r="3" spans="1:41" customFormat="1" x14ac:dyDescent="0.15">
      <c r="A3" s="184" t="s">
        <v>193</v>
      </c>
      <c r="B3" s="106">
        <v>0</v>
      </c>
      <c r="C3" s="106">
        <v>0.8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0</v>
      </c>
      <c r="AN3" s="106">
        <v>0</v>
      </c>
      <c r="AO3" s="106">
        <v>0</v>
      </c>
    </row>
    <row r="4" spans="1:41" customFormat="1" x14ac:dyDescent="0.15">
      <c r="A4" s="184" t="s">
        <v>194</v>
      </c>
      <c r="B4" s="106">
        <v>0</v>
      </c>
      <c r="C4" s="106">
        <v>0</v>
      </c>
      <c r="D4" s="106">
        <v>0.8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0</v>
      </c>
      <c r="AN4" s="106">
        <v>0</v>
      </c>
      <c r="AO4" s="106">
        <v>0</v>
      </c>
    </row>
    <row r="5" spans="1:41" customFormat="1" x14ac:dyDescent="0.15">
      <c r="A5" s="184" t="s">
        <v>195</v>
      </c>
      <c r="B5" s="106">
        <v>0</v>
      </c>
      <c r="C5" s="106">
        <v>0</v>
      </c>
      <c r="D5" s="106">
        <v>0</v>
      </c>
      <c r="E5" s="106">
        <v>0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0</v>
      </c>
      <c r="AN5" s="106">
        <v>0</v>
      </c>
      <c r="AO5" s="106">
        <v>0</v>
      </c>
    </row>
    <row r="6" spans="1:41" customFormat="1" x14ac:dyDescent="0.15">
      <c r="A6" s="184" t="s">
        <v>196</v>
      </c>
      <c r="B6" s="106">
        <v>0</v>
      </c>
      <c r="C6" s="106">
        <v>0</v>
      </c>
      <c r="D6" s="106">
        <v>0</v>
      </c>
      <c r="E6" s="106">
        <v>0.8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0.8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</row>
    <row r="7" spans="1:41" customFormat="1" x14ac:dyDescent="0.15">
      <c r="A7" s="184" t="s">
        <v>197</v>
      </c>
      <c r="B7" s="106">
        <v>0</v>
      </c>
      <c r="C7" s="106">
        <v>0</v>
      </c>
      <c r="D7" s="106">
        <v>0</v>
      </c>
      <c r="E7" s="106">
        <v>0.8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</row>
    <row r="8" spans="1:41" customFormat="1" x14ac:dyDescent="0.15">
      <c r="A8" s="184" t="s">
        <v>198</v>
      </c>
      <c r="B8" s="106">
        <v>0.8</v>
      </c>
      <c r="C8" s="106">
        <v>0</v>
      </c>
      <c r="D8" s="106">
        <v>0</v>
      </c>
      <c r="E8" s="106">
        <v>0.8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</row>
    <row r="9" spans="1:41" customFormat="1" x14ac:dyDescent="0.15">
      <c r="A9" s="184" t="s">
        <v>199</v>
      </c>
      <c r="B9" s="106">
        <v>0</v>
      </c>
      <c r="C9" s="106">
        <v>0.8</v>
      </c>
      <c r="D9" s="106">
        <v>0</v>
      </c>
      <c r="E9" s="106">
        <v>0.8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</row>
    <row r="10" spans="1:41" customFormat="1" x14ac:dyDescent="0.15">
      <c r="A10" s="184" t="s">
        <v>200</v>
      </c>
      <c r="B10" s="106">
        <v>0.8</v>
      </c>
      <c r="C10" s="106">
        <v>0.8</v>
      </c>
      <c r="D10" s="106">
        <v>0.8</v>
      </c>
      <c r="E10" s="106">
        <v>0.8</v>
      </c>
      <c r="F10" s="106">
        <v>0</v>
      </c>
      <c r="G10" s="106">
        <v>0</v>
      </c>
      <c r="H10" s="106">
        <v>0</v>
      </c>
      <c r="I10" s="106">
        <v>0.8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0.8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</row>
    <row r="11" spans="1:41" customFormat="1" x14ac:dyDescent="0.15">
      <c r="A11" s="184" t="s">
        <v>201</v>
      </c>
      <c r="B11" s="106">
        <v>0.8</v>
      </c>
      <c r="C11" s="106">
        <v>0.8</v>
      </c>
      <c r="D11" s="106">
        <v>0.8</v>
      </c>
      <c r="E11" s="106">
        <v>0.8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</row>
    <row r="12" spans="1:41" customFormat="1" x14ac:dyDescent="0.15">
      <c r="A12" s="184" t="s">
        <v>202</v>
      </c>
      <c r="B12" s="106">
        <v>0.8</v>
      </c>
      <c r="C12" s="106">
        <v>0.8</v>
      </c>
      <c r="D12" s="106">
        <v>0.8</v>
      </c>
      <c r="E12" s="106">
        <v>0.8</v>
      </c>
      <c r="F12" s="106">
        <v>0</v>
      </c>
      <c r="G12" s="106">
        <v>0</v>
      </c>
      <c r="H12" s="106">
        <v>0</v>
      </c>
      <c r="I12" s="106">
        <v>0.8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0.8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</row>
    <row r="13" spans="1:41" customFormat="1" x14ac:dyDescent="0.15">
      <c r="A13" s="184" t="s">
        <v>203</v>
      </c>
      <c r="B13" s="106">
        <v>0.8</v>
      </c>
      <c r="C13" s="106">
        <v>0.8</v>
      </c>
      <c r="D13" s="106">
        <v>0.8</v>
      </c>
      <c r="E13" s="106">
        <v>0.8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0.8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</row>
    <row r="14" spans="1:41" customFormat="1" x14ac:dyDescent="0.15">
      <c r="A14" s="184" t="s">
        <v>204</v>
      </c>
      <c r="B14" s="106">
        <v>0</v>
      </c>
      <c r="C14" s="106">
        <v>0.8</v>
      </c>
      <c r="D14" s="106">
        <v>0</v>
      </c>
      <c r="E14" s="106">
        <v>0.8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</row>
    <row r="15" spans="1:41" customFormat="1" x14ac:dyDescent="0.15">
      <c r="A15" s="184" t="s">
        <v>205</v>
      </c>
      <c r="B15" s="106">
        <v>0.8</v>
      </c>
      <c r="C15" s="106">
        <v>0</v>
      </c>
      <c r="D15" s="106">
        <v>0.8</v>
      </c>
      <c r="E15" s="106">
        <v>0.8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</row>
    <row r="16" spans="1:41" customFormat="1" x14ac:dyDescent="0.15">
      <c r="A16" s="184" t="s">
        <v>206</v>
      </c>
      <c r="B16" s="106">
        <v>0</v>
      </c>
      <c r="C16" s="106">
        <v>0.8</v>
      </c>
      <c r="D16" s="106">
        <v>0</v>
      </c>
      <c r="E16" s="106">
        <v>0.8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</row>
    <row r="17" spans="1:41" customFormat="1" x14ac:dyDescent="0.15">
      <c r="A17" s="184" t="s">
        <v>207</v>
      </c>
      <c r="B17" s="106">
        <v>0.8</v>
      </c>
      <c r="C17" s="106">
        <v>0.8</v>
      </c>
      <c r="D17" s="106">
        <v>0.8</v>
      </c>
      <c r="E17" s="106">
        <v>0.8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0.8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</row>
    <row r="18" spans="1:41" customFormat="1" x14ac:dyDescent="0.15">
      <c r="A18" s="184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0.8</v>
      </c>
      <c r="G18" s="106">
        <v>0</v>
      </c>
      <c r="H18" s="106">
        <v>0</v>
      </c>
      <c r="I18" s="106">
        <v>0</v>
      </c>
      <c r="J18" s="106">
        <v>0.8</v>
      </c>
      <c r="K18" s="106">
        <v>0</v>
      </c>
      <c r="L18" s="106">
        <v>0</v>
      </c>
      <c r="M18" s="106">
        <v>0</v>
      </c>
      <c r="N18" s="106">
        <v>0</v>
      </c>
      <c r="O18" s="106">
        <v>0.8</v>
      </c>
      <c r="P18" s="106">
        <v>0</v>
      </c>
      <c r="Q18" s="106">
        <v>0.8</v>
      </c>
      <c r="R18" s="106">
        <v>0</v>
      </c>
      <c r="S18" s="106">
        <v>0.8</v>
      </c>
      <c r="T18" s="106">
        <v>0</v>
      </c>
      <c r="U18" s="106">
        <v>0</v>
      </c>
      <c r="V18" s="106">
        <v>0</v>
      </c>
      <c r="W18" s="106">
        <v>0</v>
      </c>
      <c r="X18" s="106">
        <v>0.8</v>
      </c>
      <c r="Y18" s="106">
        <v>0</v>
      </c>
      <c r="Z18" s="106">
        <v>0</v>
      </c>
      <c r="AA18" s="106">
        <v>0.8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</row>
    <row r="19" spans="1:41" customFormat="1" x14ac:dyDescent="0.15">
      <c r="A19" s="184" t="s">
        <v>209</v>
      </c>
      <c r="B19" s="106">
        <v>0</v>
      </c>
      <c r="C19" s="106">
        <v>0</v>
      </c>
      <c r="D19" s="106">
        <v>0</v>
      </c>
      <c r="E19" s="106">
        <v>0.8</v>
      </c>
      <c r="F19" s="106">
        <v>0.8</v>
      </c>
      <c r="G19" s="106">
        <v>0</v>
      </c>
      <c r="H19" s="106">
        <v>0</v>
      </c>
      <c r="I19" s="106">
        <v>0</v>
      </c>
      <c r="J19" s="106">
        <v>0.8</v>
      </c>
      <c r="K19" s="106">
        <v>0</v>
      </c>
      <c r="L19" s="106">
        <v>0</v>
      </c>
      <c r="M19" s="106">
        <v>0.8</v>
      </c>
      <c r="N19" s="106">
        <v>0.8</v>
      </c>
      <c r="O19" s="106">
        <v>0.8</v>
      </c>
      <c r="P19" s="106">
        <v>0.8</v>
      </c>
      <c r="Q19" s="106">
        <v>0.8</v>
      </c>
      <c r="R19" s="106">
        <v>0.8</v>
      </c>
      <c r="S19" s="106">
        <v>0.8</v>
      </c>
      <c r="T19" s="106">
        <v>0</v>
      </c>
      <c r="U19" s="106">
        <v>0</v>
      </c>
      <c r="V19" s="106">
        <v>0</v>
      </c>
      <c r="W19" s="106">
        <v>0</v>
      </c>
      <c r="X19" s="106">
        <v>0.8</v>
      </c>
      <c r="Y19" s="106">
        <v>0</v>
      </c>
      <c r="Z19" s="106">
        <v>0</v>
      </c>
      <c r="AA19" s="106">
        <v>0.8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</row>
    <row r="20" spans="1:41" customFormat="1" x14ac:dyDescent="0.15">
      <c r="A20" s="184" t="s">
        <v>210</v>
      </c>
      <c r="B20" s="106">
        <v>0</v>
      </c>
      <c r="C20" s="106">
        <v>0</v>
      </c>
      <c r="D20" s="106">
        <v>0</v>
      </c>
      <c r="E20" s="106">
        <v>0.8</v>
      </c>
      <c r="F20" s="106">
        <v>0.8</v>
      </c>
      <c r="G20" s="106">
        <v>0</v>
      </c>
      <c r="H20" s="106">
        <v>0.8</v>
      </c>
      <c r="I20" s="106">
        <v>0.8</v>
      </c>
      <c r="J20" s="106">
        <v>0.8</v>
      </c>
      <c r="K20" s="106">
        <v>0.8</v>
      </c>
      <c r="L20" s="106">
        <v>0.8</v>
      </c>
      <c r="M20" s="106">
        <v>0.8</v>
      </c>
      <c r="N20" s="106">
        <v>0.8</v>
      </c>
      <c r="O20" s="106">
        <v>0.8</v>
      </c>
      <c r="P20" s="106">
        <v>0.8</v>
      </c>
      <c r="Q20" s="106">
        <v>0.8</v>
      </c>
      <c r="R20" s="106">
        <v>0.8</v>
      </c>
      <c r="S20" s="106">
        <v>0.8</v>
      </c>
      <c r="T20" s="106">
        <v>0.8</v>
      </c>
      <c r="U20" s="106">
        <v>0</v>
      </c>
      <c r="V20" s="106">
        <v>0</v>
      </c>
      <c r="W20" s="106">
        <v>0</v>
      </c>
      <c r="X20" s="106">
        <v>0.8</v>
      </c>
      <c r="Y20" s="106">
        <v>0</v>
      </c>
      <c r="Z20" s="106">
        <v>0</v>
      </c>
      <c r="AA20" s="106">
        <v>0.8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</row>
    <row r="21" spans="1:41" customFormat="1" x14ac:dyDescent="0.15">
      <c r="A21" s="184" t="s">
        <v>211</v>
      </c>
      <c r="B21" s="106">
        <v>0</v>
      </c>
      <c r="C21" s="106">
        <v>0</v>
      </c>
      <c r="D21" s="106">
        <v>0</v>
      </c>
      <c r="E21" s="106">
        <v>0.8</v>
      </c>
      <c r="F21" s="106">
        <v>0.8</v>
      </c>
      <c r="G21" s="106">
        <v>0</v>
      </c>
      <c r="H21" s="106">
        <v>0.8</v>
      </c>
      <c r="I21" s="106">
        <v>0.8</v>
      </c>
      <c r="J21" s="106">
        <v>0.8</v>
      </c>
      <c r="K21" s="106">
        <v>0.8</v>
      </c>
      <c r="L21" s="106">
        <v>0.8</v>
      </c>
      <c r="M21" s="106">
        <v>0.8</v>
      </c>
      <c r="N21" s="106">
        <v>0.8</v>
      </c>
      <c r="O21" s="106">
        <v>0.8</v>
      </c>
      <c r="P21" s="106">
        <v>0</v>
      </c>
      <c r="Q21" s="106">
        <v>0.8</v>
      </c>
      <c r="R21" s="106">
        <v>0.8</v>
      </c>
      <c r="S21" s="106">
        <v>0.8</v>
      </c>
      <c r="T21" s="106">
        <v>0</v>
      </c>
      <c r="U21" s="106">
        <v>0.8</v>
      </c>
      <c r="V21" s="106">
        <v>0</v>
      </c>
      <c r="W21" s="106">
        <v>0</v>
      </c>
      <c r="X21" s="106">
        <v>0.8</v>
      </c>
      <c r="Y21" s="106">
        <v>0</v>
      </c>
      <c r="Z21" s="106">
        <v>0</v>
      </c>
      <c r="AA21" s="106">
        <v>0.8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</row>
    <row r="22" spans="1:41" customFormat="1" x14ac:dyDescent="0.15">
      <c r="A22" s="184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0.8</v>
      </c>
      <c r="G22" s="106">
        <v>0</v>
      </c>
      <c r="H22" s="106">
        <v>0</v>
      </c>
      <c r="I22" s="106">
        <v>0</v>
      </c>
      <c r="J22" s="106">
        <v>0.8</v>
      </c>
      <c r="K22" s="106">
        <v>0.8</v>
      </c>
      <c r="L22" s="106">
        <v>0.8</v>
      </c>
      <c r="M22" s="106">
        <v>0.8</v>
      </c>
      <c r="N22" s="106">
        <v>0.8</v>
      </c>
      <c r="O22" s="106">
        <v>0.8</v>
      </c>
      <c r="P22" s="106">
        <v>0.8</v>
      </c>
      <c r="Q22" s="106">
        <v>0.8</v>
      </c>
      <c r="R22" s="106">
        <v>0.8</v>
      </c>
      <c r="S22" s="106">
        <v>0.8</v>
      </c>
      <c r="T22" s="106">
        <v>0.8</v>
      </c>
      <c r="U22" s="106">
        <v>0.8</v>
      </c>
      <c r="V22" s="106">
        <v>0</v>
      </c>
      <c r="W22" s="106">
        <v>0</v>
      </c>
      <c r="X22" s="106">
        <v>0.8</v>
      </c>
      <c r="Y22" s="106">
        <v>0.8</v>
      </c>
      <c r="Z22" s="106">
        <v>0.8</v>
      </c>
      <c r="AA22" s="106">
        <v>0.8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</row>
    <row r="23" spans="1:41" customFormat="1" x14ac:dyDescent="0.15">
      <c r="A23" s="184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0.8</v>
      </c>
      <c r="K23" s="106">
        <v>0.8</v>
      </c>
      <c r="L23" s="106">
        <v>0.8</v>
      </c>
      <c r="M23" s="106">
        <v>0</v>
      </c>
      <c r="N23" s="106">
        <v>0</v>
      </c>
      <c r="O23" s="106">
        <v>0.8</v>
      </c>
      <c r="P23" s="106">
        <v>0</v>
      </c>
      <c r="Q23" s="106">
        <v>0.8</v>
      </c>
      <c r="R23" s="106">
        <v>0.8</v>
      </c>
      <c r="S23" s="106">
        <v>0.8</v>
      </c>
      <c r="T23" s="106">
        <v>0.8</v>
      </c>
      <c r="U23" s="106">
        <v>0.8</v>
      </c>
      <c r="V23" s="106">
        <v>0</v>
      </c>
      <c r="W23" s="106">
        <v>0</v>
      </c>
      <c r="X23" s="106">
        <v>0.8</v>
      </c>
      <c r="Y23" s="106">
        <v>0</v>
      </c>
      <c r="Z23" s="106">
        <v>0.8</v>
      </c>
      <c r="AA23" s="106">
        <v>0.8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</row>
    <row r="24" spans="1:41" customFormat="1" x14ac:dyDescent="0.15">
      <c r="A24" s="184" t="s">
        <v>214</v>
      </c>
      <c r="B24" s="106">
        <v>0</v>
      </c>
      <c r="C24" s="106">
        <v>0</v>
      </c>
      <c r="D24" s="106">
        <v>0</v>
      </c>
      <c r="E24" s="106">
        <v>0.8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0.8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</row>
    <row r="25" spans="1:41" customFormat="1" x14ac:dyDescent="0.15">
      <c r="A25" s="184" t="s">
        <v>215</v>
      </c>
      <c r="B25" s="106">
        <v>0</v>
      </c>
      <c r="C25" s="106">
        <v>0</v>
      </c>
      <c r="D25" s="106">
        <v>0</v>
      </c>
      <c r="E25" s="106">
        <v>0.8</v>
      </c>
      <c r="F25" s="106">
        <v>0.8</v>
      </c>
      <c r="G25" s="106">
        <v>0</v>
      </c>
      <c r="H25" s="106">
        <v>0.8</v>
      </c>
      <c r="I25" s="106">
        <v>0.8</v>
      </c>
      <c r="J25" s="106">
        <v>0.8</v>
      </c>
      <c r="K25" s="106">
        <v>0.8</v>
      </c>
      <c r="L25" s="106">
        <v>0.8</v>
      </c>
      <c r="M25" s="106">
        <v>0.8</v>
      </c>
      <c r="N25" s="106">
        <v>0</v>
      </c>
      <c r="O25" s="106">
        <v>0.8</v>
      </c>
      <c r="P25" s="106">
        <v>0</v>
      </c>
      <c r="Q25" s="106">
        <v>0.8</v>
      </c>
      <c r="R25" s="106">
        <v>0.8</v>
      </c>
      <c r="S25" s="106">
        <v>0.8</v>
      </c>
      <c r="T25" s="106">
        <v>0.8</v>
      </c>
      <c r="U25" s="106">
        <v>0.8</v>
      </c>
      <c r="V25" s="106">
        <v>0</v>
      </c>
      <c r="W25" s="106">
        <v>0</v>
      </c>
      <c r="X25" s="106">
        <v>0.8</v>
      </c>
      <c r="Y25" s="106">
        <v>0</v>
      </c>
      <c r="Z25" s="106">
        <v>0</v>
      </c>
      <c r="AA25" s="106">
        <v>0.8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</row>
    <row r="26" spans="1:41" customFormat="1" x14ac:dyDescent="0.15">
      <c r="A26" s="184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0.8</v>
      </c>
      <c r="G26" s="106">
        <v>0</v>
      </c>
      <c r="H26" s="106">
        <v>0</v>
      </c>
      <c r="I26" s="106">
        <v>0</v>
      </c>
      <c r="J26" s="106">
        <v>0.8</v>
      </c>
      <c r="K26" s="106">
        <v>0.8</v>
      </c>
      <c r="L26" s="106">
        <v>0</v>
      </c>
      <c r="M26" s="106">
        <v>0</v>
      </c>
      <c r="N26" s="106">
        <v>0.8</v>
      </c>
      <c r="O26" s="106">
        <v>0.8</v>
      </c>
      <c r="P26" s="106">
        <v>0</v>
      </c>
      <c r="Q26" s="106">
        <v>0.8</v>
      </c>
      <c r="R26" s="106">
        <v>0.8</v>
      </c>
      <c r="S26" s="106">
        <v>0.8</v>
      </c>
      <c r="T26" s="106">
        <v>0</v>
      </c>
      <c r="U26" s="106">
        <v>0</v>
      </c>
      <c r="V26" s="106">
        <v>0</v>
      </c>
      <c r="W26" s="106">
        <v>0</v>
      </c>
      <c r="X26" s="106">
        <v>0.8</v>
      </c>
      <c r="Y26" s="106">
        <v>0</v>
      </c>
      <c r="Z26" s="106">
        <v>0.8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</row>
    <row r="27" spans="1:41" customFormat="1" x14ac:dyDescent="0.15">
      <c r="A27" s="184" t="s">
        <v>217</v>
      </c>
      <c r="B27" s="106">
        <v>0</v>
      </c>
      <c r="C27" s="106">
        <v>0</v>
      </c>
      <c r="D27" s="106">
        <v>0</v>
      </c>
      <c r="E27" s="106">
        <v>0.8</v>
      </c>
      <c r="F27" s="106">
        <v>0.8</v>
      </c>
      <c r="G27" s="106">
        <v>0</v>
      </c>
      <c r="H27" s="106">
        <v>0</v>
      </c>
      <c r="I27" s="106">
        <v>0</v>
      </c>
      <c r="J27" s="106">
        <v>0.8</v>
      </c>
      <c r="K27" s="106">
        <v>0.8</v>
      </c>
      <c r="L27" s="106">
        <v>0.8</v>
      </c>
      <c r="M27" s="106">
        <v>0</v>
      </c>
      <c r="N27" s="106">
        <v>0.8</v>
      </c>
      <c r="O27" s="106">
        <v>0.8</v>
      </c>
      <c r="P27" s="106">
        <v>0.8</v>
      </c>
      <c r="Q27" s="106">
        <v>0.8</v>
      </c>
      <c r="R27" s="106">
        <v>0</v>
      </c>
      <c r="S27" s="106">
        <v>0.8</v>
      </c>
      <c r="T27" s="106">
        <v>0</v>
      </c>
      <c r="U27" s="106">
        <v>0</v>
      </c>
      <c r="V27" s="106">
        <v>0</v>
      </c>
      <c r="W27" s="106">
        <v>0.8</v>
      </c>
      <c r="X27" s="106">
        <v>0.8</v>
      </c>
      <c r="Y27" s="106">
        <v>0.8</v>
      </c>
      <c r="Z27" s="106">
        <v>0.8</v>
      </c>
      <c r="AA27" s="106">
        <v>0.8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</row>
    <row r="28" spans="1:41" customFormat="1" x14ac:dyDescent="0.15">
      <c r="A28" s="184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0.8</v>
      </c>
      <c r="G28" s="106">
        <v>0.8</v>
      </c>
      <c r="H28" s="106">
        <v>0</v>
      </c>
      <c r="I28" s="106">
        <v>0</v>
      </c>
      <c r="J28" s="106">
        <v>0.8</v>
      </c>
      <c r="K28" s="106">
        <v>0.8</v>
      </c>
      <c r="L28" s="106">
        <v>0.8</v>
      </c>
      <c r="M28" s="106">
        <v>0</v>
      </c>
      <c r="N28" s="106">
        <v>0</v>
      </c>
      <c r="O28" s="106">
        <v>0.8</v>
      </c>
      <c r="P28" s="106">
        <v>0</v>
      </c>
      <c r="Q28" s="106">
        <v>0.8</v>
      </c>
      <c r="R28" s="106">
        <v>0.8</v>
      </c>
      <c r="S28" s="106">
        <v>0.8</v>
      </c>
      <c r="T28" s="106">
        <v>0</v>
      </c>
      <c r="U28" s="106">
        <v>0</v>
      </c>
      <c r="V28" s="106">
        <v>0.8</v>
      </c>
      <c r="W28" s="106">
        <v>0.8</v>
      </c>
      <c r="X28" s="106">
        <v>0.8</v>
      </c>
      <c r="Y28" s="106">
        <v>0.8</v>
      </c>
      <c r="Z28" s="106">
        <v>0.8</v>
      </c>
      <c r="AA28" s="106">
        <v>0.8</v>
      </c>
      <c r="AB28" s="106">
        <v>0</v>
      </c>
      <c r="AC28" s="106">
        <v>0.8</v>
      </c>
      <c r="AD28" s="106">
        <v>0</v>
      </c>
      <c r="AE28" s="106">
        <v>0</v>
      </c>
      <c r="AF28" s="106">
        <v>0</v>
      </c>
      <c r="AG28" s="106">
        <v>0</v>
      </c>
      <c r="AH28" s="106">
        <v>0.8</v>
      </c>
      <c r="AI28" s="106">
        <v>0</v>
      </c>
      <c r="AJ28" s="106">
        <v>0</v>
      </c>
      <c r="AK28" s="106">
        <v>0.8</v>
      </c>
      <c r="AL28" s="106">
        <v>0</v>
      </c>
      <c r="AM28" s="106">
        <v>0</v>
      </c>
      <c r="AN28" s="106">
        <v>0</v>
      </c>
      <c r="AO28" s="106">
        <v>0</v>
      </c>
    </row>
    <row r="29" spans="1:41" customFormat="1" x14ac:dyDescent="0.15">
      <c r="A29" s="184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0.8</v>
      </c>
      <c r="G29" s="106">
        <v>0.8</v>
      </c>
      <c r="H29" s="106">
        <v>0</v>
      </c>
      <c r="I29" s="106">
        <v>0</v>
      </c>
      <c r="J29" s="106">
        <v>0</v>
      </c>
      <c r="K29" s="106">
        <v>0.8</v>
      </c>
      <c r="L29" s="106">
        <v>0.8</v>
      </c>
      <c r="M29" s="106">
        <v>0</v>
      </c>
      <c r="N29" s="106">
        <v>0.8</v>
      </c>
      <c r="O29" s="106">
        <v>0.8</v>
      </c>
      <c r="P29" s="106">
        <v>0.8</v>
      </c>
      <c r="Q29" s="106">
        <v>0.8</v>
      </c>
      <c r="R29" s="106">
        <v>0.8</v>
      </c>
      <c r="S29" s="106">
        <v>0.8</v>
      </c>
      <c r="T29" s="106">
        <v>0</v>
      </c>
      <c r="U29" s="106">
        <v>0</v>
      </c>
      <c r="V29" s="106">
        <v>0.8</v>
      </c>
      <c r="W29" s="106">
        <v>0.8</v>
      </c>
      <c r="X29" s="106">
        <v>0.8</v>
      </c>
      <c r="Y29" s="106">
        <v>0.8</v>
      </c>
      <c r="Z29" s="106">
        <v>0.8</v>
      </c>
      <c r="AA29" s="106">
        <v>0.8</v>
      </c>
      <c r="AB29" s="106">
        <v>0.8</v>
      </c>
      <c r="AC29" s="106">
        <v>0.8</v>
      </c>
      <c r="AD29" s="106">
        <v>0</v>
      </c>
      <c r="AE29" s="106">
        <v>0.8</v>
      </c>
      <c r="AF29" s="106">
        <v>0.8</v>
      </c>
      <c r="AG29" s="106">
        <v>0</v>
      </c>
      <c r="AH29" s="106">
        <v>0.8</v>
      </c>
      <c r="AI29" s="106">
        <v>0.8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</row>
    <row r="30" spans="1:41" customFormat="1" x14ac:dyDescent="0.15">
      <c r="A30" s="184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0.8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0.8</v>
      </c>
      <c r="O30" s="106">
        <v>0.8</v>
      </c>
      <c r="P30" s="106">
        <v>0.8</v>
      </c>
      <c r="Q30" s="106">
        <v>0.8</v>
      </c>
      <c r="R30" s="106">
        <v>0.8</v>
      </c>
      <c r="S30" s="106">
        <v>0.8</v>
      </c>
      <c r="T30" s="106">
        <v>0</v>
      </c>
      <c r="U30" s="106">
        <v>0</v>
      </c>
      <c r="V30" s="106">
        <v>0.8</v>
      </c>
      <c r="W30" s="106">
        <v>0.8</v>
      </c>
      <c r="X30" s="106">
        <v>0</v>
      </c>
      <c r="Y30" s="106">
        <v>0.8</v>
      </c>
      <c r="Z30" s="106">
        <v>0.8</v>
      </c>
      <c r="AA30" s="106">
        <v>0.8</v>
      </c>
      <c r="AB30" s="106">
        <v>0.8</v>
      </c>
      <c r="AC30" s="106">
        <v>0.8</v>
      </c>
      <c r="AD30" s="106">
        <v>0</v>
      </c>
      <c r="AE30" s="106">
        <v>0.8</v>
      </c>
      <c r="AF30" s="106">
        <v>0.8</v>
      </c>
      <c r="AG30" s="106">
        <v>0</v>
      </c>
      <c r="AH30" s="106">
        <v>0.8</v>
      </c>
      <c r="AI30" s="106">
        <v>0.8</v>
      </c>
      <c r="AJ30" s="106">
        <v>0.8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</row>
    <row r="31" spans="1:41" customFormat="1" x14ac:dyDescent="0.15">
      <c r="A31" s="184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0.8</v>
      </c>
      <c r="G31" s="106">
        <v>0.8</v>
      </c>
      <c r="H31" s="106">
        <v>0.8</v>
      </c>
      <c r="I31" s="106">
        <v>0.8</v>
      </c>
      <c r="J31" s="106">
        <v>0.8</v>
      </c>
      <c r="K31" s="106">
        <v>0.8</v>
      </c>
      <c r="L31" s="106">
        <v>0.8</v>
      </c>
      <c r="M31" s="106">
        <v>0.8</v>
      </c>
      <c r="N31" s="106">
        <v>0.8</v>
      </c>
      <c r="O31" s="106">
        <v>0.8</v>
      </c>
      <c r="P31" s="106">
        <v>0.8</v>
      </c>
      <c r="Q31" s="106">
        <v>0</v>
      </c>
      <c r="R31" s="106">
        <v>0.8</v>
      </c>
      <c r="S31" s="106">
        <v>0.8</v>
      </c>
      <c r="T31" s="106">
        <v>0.8</v>
      </c>
      <c r="U31" s="106">
        <v>0.8</v>
      </c>
      <c r="V31" s="106">
        <v>0.8</v>
      </c>
      <c r="W31" s="106">
        <v>0.8</v>
      </c>
      <c r="X31" s="106">
        <v>0.8</v>
      </c>
      <c r="Y31" s="106">
        <v>0.8</v>
      </c>
      <c r="Z31" s="106">
        <v>0.8</v>
      </c>
      <c r="AA31" s="106">
        <v>0.8</v>
      </c>
      <c r="AB31" s="106">
        <v>0.8</v>
      </c>
      <c r="AC31" s="106">
        <v>0.8</v>
      </c>
      <c r="AD31" s="106">
        <v>0</v>
      </c>
      <c r="AE31" s="106">
        <v>0.8</v>
      </c>
      <c r="AF31" s="106">
        <v>0.8</v>
      </c>
      <c r="AG31" s="106">
        <v>0</v>
      </c>
      <c r="AH31" s="106">
        <v>0.8</v>
      </c>
      <c r="AI31" s="106">
        <v>0.8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</row>
    <row r="32" spans="1:41" customFormat="1" x14ac:dyDescent="0.15">
      <c r="A32" s="184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0.8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0.8</v>
      </c>
      <c r="R32" s="106">
        <v>0.8</v>
      </c>
      <c r="S32" s="106">
        <v>0.8</v>
      </c>
      <c r="T32" s="106">
        <v>0</v>
      </c>
      <c r="U32" s="106">
        <v>0</v>
      </c>
      <c r="V32" s="106">
        <v>0.8</v>
      </c>
      <c r="W32" s="106">
        <v>0.8</v>
      </c>
      <c r="X32" s="106">
        <v>0</v>
      </c>
      <c r="Y32" s="106">
        <v>0.8</v>
      </c>
      <c r="Z32" s="106">
        <v>0.8</v>
      </c>
      <c r="AA32" s="106">
        <v>0.8</v>
      </c>
      <c r="AB32" s="106">
        <v>0.8</v>
      </c>
      <c r="AC32" s="106">
        <v>0.8</v>
      </c>
      <c r="AD32" s="106">
        <v>0</v>
      </c>
      <c r="AE32" s="106">
        <v>0.8</v>
      </c>
      <c r="AF32" s="106">
        <v>0.8</v>
      </c>
      <c r="AG32" s="106">
        <v>0</v>
      </c>
      <c r="AH32" s="106">
        <v>0.8</v>
      </c>
      <c r="AI32" s="106">
        <v>0.8</v>
      </c>
      <c r="AJ32" s="106">
        <v>0.8</v>
      </c>
      <c r="AK32" s="106">
        <v>0.8</v>
      </c>
      <c r="AL32" s="106">
        <v>0</v>
      </c>
      <c r="AM32" s="106">
        <v>0</v>
      </c>
      <c r="AN32" s="106">
        <v>0</v>
      </c>
      <c r="AO32" s="106">
        <v>0</v>
      </c>
    </row>
    <row r="33" spans="1:41" x14ac:dyDescent="0.15">
      <c r="A33" s="184" t="s">
        <v>223</v>
      </c>
      <c r="B33" s="106">
        <v>0</v>
      </c>
      <c r="C33" s="106">
        <v>0</v>
      </c>
      <c r="D33" s="106">
        <v>0</v>
      </c>
      <c r="E33" s="106">
        <v>0</v>
      </c>
      <c r="F33" s="106">
        <v>0</v>
      </c>
      <c r="G33" s="106">
        <v>0.8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0.8</v>
      </c>
      <c r="S33" s="106">
        <v>0.8</v>
      </c>
      <c r="T33" s="106">
        <v>0</v>
      </c>
      <c r="U33" s="106">
        <v>0</v>
      </c>
      <c r="V33" s="106">
        <v>0.8</v>
      </c>
      <c r="W33" s="106">
        <v>0.8</v>
      </c>
      <c r="X33" s="106">
        <v>0</v>
      </c>
      <c r="Y33" s="106">
        <v>0.8</v>
      </c>
      <c r="Z33" s="106">
        <v>0.8</v>
      </c>
      <c r="AA33" s="106">
        <v>0.8</v>
      </c>
      <c r="AB33" s="106">
        <v>0.8</v>
      </c>
      <c r="AC33" s="106">
        <v>0.8</v>
      </c>
      <c r="AD33" s="106">
        <v>0.8</v>
      </c>
      <c r="AE33" s="106">
        <v>0.8</v>
      </c>
      <c r="AF33" s="106">
        <v>0.8</v>
      </c>
      <c r="AG33" s="106">
        <v>0</v>
      </c>
      <c r="AH33" s="106">
        <v>0.8</v>
      </c>
      <c r="AI33" s="106">
        <v>0.8</v>
      </c>
      <c r="AJ33" s="106">
        <v>0.8</v>
      </c>
      <c r="AK33" s="106">
        <v>0.8</v>
      </c>
      <c r="AL33" s="106">
        <v>0</v>
      </c>
      <c r="AM33" s="106">
        <v>0</v>
      </c>
      <c r="AN33" s="106">
        <v>0</v>
      </c>
      <c r="AO33" s="106">
        <v>0</v>
      </c>
    </row>
    <row r="34" spans="1:41" x14ac:dyDescent="0.15">
      <c r="A34" s="184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0.8</v>
      </c>
      <c r="H34" s="106">
        <v>0.8</v>
      </c>
      <c r="I34" s="106">
        <v>0.8</v>
      </c>
      <c r="J34" s="106">
        <v>0.8</v>
      </c>
      <c r="K34" s="106">
        <v>0.8</v>
      </c>
      <c r="L34" s="106">
        <v>0</v>
      </c>
      <c r="M34" s="106">
        <v>0</v>
      </c>
      <c r="N34" s="106">
        <v>0.8</v>
      </c>
      <c r="O34" s="106">
        <v>0.8</v>
      </c>
      <c r="P34" s="106">
        <v>0.8</v>
      </c>
      <c r="Q34" s="106">
        <v>0.8</v>
      </c>
      <c r="R34" s="106">
        <v>0.8</v>
      </c>
      <c r="S34" s="106">
        <v>0</v>
      </c>
      <c r="T34" s="106">
        <v>0.8</v>
      </c>
      <c r="U34" s="106">
        <v>0.8</v>
      </c>
      <c r="V34" s="106">
        <v>0</v>
      </c>
      <c r="W34" s="106">
        <v>0</v>
      </c>
      <c r="X34" s="106">
        <v>0.8</v>
      </c>
      <c r="Y34" s="106">
        <v>0.8</v>
      </c>
      <c r="Z34" s="106">
        <v>0.8</v>
      </c>
      <c r="AA34" s="106">
        <v>0</v>
      </c>
      <c r="AB34" s="106">
        <v>0</v>
      </c>
      <c r="AC34" s="106">
        <v>0</v>
      </c>
      <c r="AD34" s="106">
        <v>0</v>
      </c>
      <c r="AE34" s="106">
        <v>0.8</v>
      </c>
      <c r="AF34" s="106">
        <v>0</v>
      </c>
      <c r="AG34" s="106">
        <v>0</v>
      </c>
      <c r="AH34" s="106">
        <v>0.8</v>
      </c>
      <c r="AI34" s="106">
        <v>0.8</v>
      </c>
      <c r="AJ34" s="106">
        <v>0</v>
      </c>
      <c r="AK34" s="106">
        <v>0.8</v>
      </c>
      <c r="AL34" s="106">
        <v>0</v>
      </c>
      <c r="AM34" s="106">
        <v>0</v>
      </c>
      <c r="AN34" s="106">
        <v>0</v>
      </c>
      <c r="AO34" s="106">
        <v>0</v>
      </c>
    </row>
    <row r="35" spans="1:41" x14ac:dyDescent="0.15">
      <c r="A35" s="184" t="s">
        <v>225</v>
      </c>
      <c r="B35" s="106">
        <v>0.8</v>
      </c>
      <c r="C35" s="106">
        <v>0.8</v>
      </c>
      <c r="D35" s="106">
        <v>0.8</v>
      </c>
      <c r="E35" s="106">
        <v>0</v>
      </c>
      <c r="F35" s="106">
        <v>0</v>
      </c>
      <c r="G35" s="106">
        <v>0.8</v>
      </c>
      <c r="H35" s="106">
        <v>0.8</v>
      </c>
      <c r="I35" s="106">
        <v>0.8</v>
      </c>
      <c r="J35" s="106">
        <v>0.8</v>
      </c>
      <c r="K35" s="106">
        <v>0.8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0.8</v>
      </c>
      <c r="R35" s="106">
        <v>0.8</v>
      </c>
      <c r="S35" s="106">
        <v>0</v>
      </c>
      <c r="T35" s="106">
        <v>0.8</v>
      </c>
      <c r="U35" s="106">
        <v>0.8</v>
      </c>
      <c r="V35" s="106">
        <v>0</v>
      </c>
      <c r="W35" s="106">
        <v>0</v>
      </c>
      <c r="X35" s="106">
        <v>0.8</v>
      </c>
      <c r="Y35" s="106">
        <v>0</v>
      </c>
      <c r="Z35" s="106">
        <v>0.8</v>
      </c>
      <c r="AA35" s="106">
        <v>0</v>
      </c>
      <c r="AB35" s="106">
        <v>0</v>
      </c>
      <c r="AC35" s="106">
        <v>0</v>
      </c>
      <c r="AD35" s="106">
        <v>0</v>
      </c>
      <c r="AE35" s="106">
        <v>0.8</v>
      </c>
      <c r="AF35" s="106">
        <v>0</v>
      </c>
      <c r="AG35" s="106">
        <v>0</v>
      </c>
      <c r="AH35" s="106">
        <v>0.8</v>
      </c>
      <c r="AI35" s="106">
        <v>0.8</v>
      </c>
      <c r="AJ35" s="106">
        <v>0</v>
      </c>
      <c r="AK35" s="106">
        <v>0.8</v>
      </c>
      <c r="AL35" s="106">
        <v>0</v>
      </c>
      <c r="AM35" s="106">
        <v>0</v>
      </c>
      <c r="AN35" s="106">
        <v>0</v>
      </c>
      <c r="AO35" s="106">
        <v>0</v>
      </c>
    </row>
    <row r="36" spans="1:41" x14ac:dyDescent="0.15">
      <c r="A36" s="184" t="s">
        <v>226</v>
      </c>
      <c r="B36" s="106">
        <v>0.8</v>
      </c>
      <c r="C36" s="106">
        <v>0.8</v>
      </c>
      <c r="D36" s="106">
        <v>0.8</v>
      </c>
      <c r="E36" s="106">
        <v>0</v>
      </c>
      <c r="F36" s="106">
        <v>0</v>
      </c>
      <c r="G36" s="106">
        <v>0.8</v>
      </c>
      <c r="H36" s="106">
        <v>0.8</v>
      </c>
      <c r="I36" s="106">
        <v>0.8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0.8</v>
      </c>
      <c r="R36" s="106">
        <v>0</v>
      </c>
      <c r="S36" s="106">
        <v>0</v>
      </c>
      <c r="T36" s="106">
        <v>0.8</v>
      </c>
      <c r="U36" s="106">
        <v>0.8</v>
      </c>
      <c r="V36" s="106">
        <v>0</v>
      </c>
      <c r="W36" s="106">
        <v>0</v>
      </c>
      <c r="X36" s="106">
        <v>0.8</v>
      </c>
      <c r="Y36" s="106">
        <v>0.8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0.8</v>
      </c>
      <c r="AF36" s="106">
        <v>0</v>
      </c>
      <c r="AG36" s="106">
        <v>0</v>
      </c>
      <c r="AH36" s="106">
        <v>0</v>
      </c>
      <c r="AI36" s="106">
        <v>0.8</v>
      </c>
      <c r="AJ36" s="106">
        <v>0</v>
      </c>
      <c r="AK36" s="106">
        <v>0.8</v>
      </c>
      <c r="AL36" s="106">
        <v>0</v>
      </c>
      <c r="AM36" s="106">
        <v>0</v>
      </c>
      <c r="AN36" s="106">
        <v>0</v>
      </c>
      <c r="AO36" s="106">
        <v>0</v>
      </c>
    </row>
    <row r="37" spans="1:41" x14ac:dyDescent="0.15">
      <c r="A37" s="184" t="s">
        <v>227</v>
      </c>
      <c r="B37" s="106">
        <v>0.8</v>
      </c>
      <c r="C37" s="106">
        <v>0.8</v>
      </c>
      <c r="D37" s="106">
        <v>0.8</v>
      </c>
      <c r="E37" s="106">
        <v>0</v>
      </c>
      <c r="F37" s="106">
        <v>0</v>
      </c>
      <c r="G37" s="106">
        <v>0.8</v>
      </c>
      <c r="H37" s="106">
        <v>0.8</v>
      </c>
      <c r="I37" s="106">
        <v>0.8</v>
      </c>
      <c r="J37" s="106">
        <v>0.8</v>
      </c>
      <c r="K37" s="106">
        <v>0.8</v>
      </c>
      <c r="L37" s="106">
        <v>0</v>
      </c>
      <c r="M37" s="106">
        <v>0</v>
      </c>
      <c r="N37" s="106">
        <v>0.8</v>
      </c>
      <c r="O37" s="106">
        <v>0.8</v>
      </c>
      <c r="P37" s="106">
        <v>0.8</v>
      </c>
      <c r="Q37" s="106">
        <v>0.8</v>
      </c>
      <c r="R37" s="106">
        <v>0.8</v>
      </c>
      <c r="S37" s="106">
        <v>0</v>
      </c>
      <c r="T37" s="106">
        <v>0.8</v>
      </c>
      <c r="U37" s="106">
        <v>0.8</v>
      </c>
      <c r="V37" s="106">
        <v>0</v>
      </c>
      <c r="W37" s="106">
        <v>0</v>
      </c>
      <c r="X37" s="106">
        <v>0.8</v>
      </c>
      <c r="Y37" s="106">
        <v>0.8</v>
      </c>
      <c r="Z37" s="106">
        <v>0.8</v>
      </c>
      <c r="AA37" s="106">
        <v>0</v>
      </c>
      <c r="AB37" s="106">
        <v>0</v>
      </c>
      <c r="AC37" s="106">
        <v>0</v>
      </c>
      <c r="AD37" s="106">
        <v>0</v>
      </c>
      <c r="AE37" s="106">
        <v>0.8</v>
      </c>
      <c r="AF37" s="106">
        <v>0</v>
      </c>
      <c r="AG37" s="106">
        <v>0</v>
      </c>
      <c r="AH37" s="106">
        <v>0.8</v>
      </c>
      <c r="AI37" s="106">
        <v>0.8</v>
      </c>
      <c r="AJ37" s="106">
        <v>0</v>
      </c>
      <c r="AK37" s="106">
        <v>0.8</v>
      </c>
      <c r="AL37" s="106">
        <v>0</v>
      </c>
      <c r="AM37" s="106">
        <v>0</v>
      </c>
      <c r="AN37" s="106">
        <v>0</v>
      </c>
      <c r="AO37" s="106">
        <v>0</v>
      </c>
    </row>
    <row r="38" spans="1:41" x14ac:dyDescent="0.15">
      <c r="A38" s="184" t="s">
        <v>228</v>
      </c>
      <c r="B38" s="106">
        <v>0</v>
      </c>
      <c r="C38" s="106">
        <v>0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0.8</v>
      </c>
      <c r="S38" s="106">
        <v>0.8</v>
      </c>
      <c r="T38" s="106">
        <v>0</v>
      </c>
      <c r="U38" s="106">
        <v>0</v>
      </c>
      <c r="V38" s="106">
        <v>0.8</v>
      </c>
      <c r="W38" s="106">
        <v>0.8</v>
      </c>
      <c r="X38" s="106">
        <v>0</v>
      </c>
      <c r="Y38" s="106">
        <v>0.8</v>
      </c>
      <c r="Z38" s="106">
        <v>0.8</v>
      </c>
      <c r="AA38" s="106">
        <v>0</v>
      </c>
      <c r="AB38" s="106">
        <v>0.8</v>
      </c>
      <c r="AC38" s="106">
        <v>0.8</v>
      </c>
      <c r="AD38" s="106">
        <v>0.8</v>
      </c>
      <c r="AE38" s="106">
        <v>0.8</v>
      </c>
      <c r="AF38" s="106">
        <v>0.8</v>
      </c>
      <c r="AG38" s="106">
        <v>0.8</v>
      </c>
      <c r="AH38" s="106">
        <v>0.8</v>
      </c>
      <c r="AI38" s="106">
        <v>0.8</v>
      </c>
      <c r="AJ38" s="106">
        <v>0.8</v>
      </c>
      <c r="AK38" s="106">
        <v>0.8</v>
      </c>
      <c r="AL38" s="106">
        <v>0</v>
      </c>
      <c r="AM38" s="106">
        <v>0</v>
      </c>
      <c r="AN38" s="106">
        <v>0</v>
      </c>
      <c r="AO38" s="106">
        <v>0</v>
      </c>
    </row>
    <row r="39" spans="1:41" x14ac:dyDescent="0.15">
      <c r="A39" s="184" t="s">
        <v>229</v>
      </c>
      <c r="B39" s="106">
        <v>0</v>
      </c>
      <c r="C39" s="106">
        <v>0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0.8</v>
      </c>
      <c r="S39" s="106">
        <v>0.8</v>
      </c>
      <c r="T39" s="106">
        <v>0.8</v>
      </c>
      <c r="U39" s="106">
        <v>0.8</v>
      </c>
      <c r="V39" s="106">
        <v>0</v>
      </c>
      <c r="W39" s="106">
        <v>0</v>
      </c>
      <c r="X39" s="106">
        <v>0</v>
      </c>
      <c r="Y39" s="106">
        <v>0.8</v>
      </c>
      <c r="Z39" s="106">
        <v>0.8</v>
      </c>
      <c r="AA39" s="106">
        <v>0</v>
      </c>
      <c r="AB39" s="106">
        <v>0.8</v>
      </c>
      <c r="AC39" s="106">
        <v>0.8</v>
      </c>
      <c r="AD39" s="106">
        <v>0.8</v>
      </c>
      <c r="AE39" s="106">
        <v>0.8</v>
      </c>
      <c r="AF39" s="106">
        <v>0.8</v>
      </c>
      <c r="AG39" s="106">
        <v>0.8</v>
      </c>
      <c r="AH39" s="106">
        <v>0.8</v>
      </c>
      <c r="AI39" s="106">
        <v>0.8</v>
      </c>
      <c r="AJ39" s="106">
        <v>0.8</v>
      </c>
      <c r="AK39" s="106">
        <v>0.8</v>
      </c>
      <c r="AL39" s="106">
        <v>0</v>
      </c>
      <c r="AM39" s="106">
        <v>0</v>
      </c>
      <c r="AN39" s="106">
        <v>0</v>
      </c>
      <c r="AO39" s="106">
        <v>0</v>
      </c>
    </row>
    <row r="40" spans="1:41" x14ac:dyDescent="0.15">
      <c r="A40" s="184" t="s">
        <v>230</v>
      </c>
      <c r="B40" s="106">
        <v>0</v>
      </c>
      <c r="C40" s="106">
        <v>0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0.8</v>
      </c>
      <c r="U40" s="106">
        <v>0.8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0.8</v>
      </c>
      <c r="AF40" s="106">
        <v>0</v>
      </c>
      <c r="AG40" s="106">
        <v>0</v>
      </c>
      <c r="AH40" s="106">
        <v>0.8</v>
      </c>
      <c r="AI40" s="106">
        <v>0.8</v>
      </c>
      <c r="AJ40" s="106">
        <v>0.8</v>
      </c>
      <c r="AK40" s="106">
        <v>0.8</v>
      </c>
      <c r="AL40" s="106">
        <v>0</v>
      </c>
      <c r="AM40" s="106">
        <v>0</v>
      </c>
      <c r="AN40" s="106">
        <v>0</v>
      </c>
      <c r="AO40" s="106">
        <v>0</v>
      </c>
    </row>
    <row r="41" spans="1:41" x14ac:dyDescent="0.15">
      <c r="A41" s="184" t="s">
        <v>231</v>
      </c>
      <c r="B41" s="106">
        <v>0</v>
      </c>
      <c r="C41" s="106">
        <v>0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0.8</v>
      </c>
      <c r="R41" s="106">
        <v>0</v>
      </c>
      <c r="S41" s="106">
        <v>0</v>
      </c>
      <c r="T41" s="106">
        <v>0</v>
      </c>
      <c r="U41" s="106">
        <v>0</v>
      </c>
      <c r="V41" s="106">
        <v>0.8</v>
      </c>
      <c r="W41" s="106">
        <v>0.8</v>
      </c>
      <c r="X41" s="106">
        <v>0</v>
      </c>
      <c r="Y41" s="106">
        <v>0.8</v>
      </c>
      <c r="Z41" s="106">
        <v>0.8</v>
      </c>
      <c r="AA41" s="106">
        <v>0</v>
      </c>
      <c r="AB41" s="106">
        <v>0.8</v>
      </c>
      <c r="AC41" s="106">
        <v>0.8</v>
      </c>
      <c r="AD41" s="106">
        <v>0.8</v>
      </c>
      <c r="AE41" s="106">
        <v>0.8</v>
      </c>
      <c r="AF41" s="106">
        <v>0.8</v>
      </c>
      <c r="AG41" s="106">
        <v>0.8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</row>
    <row r="42" spans="1:41" x14ac:dyDescent="0.15">
      <c r="A42" s="184" t="s">
        <v>241</v>
      </c>
      <c r="B42" s="106">
        <v>0</v>
      </c>
      <c r="C42" s="106">
        <v>0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" style="106" bestFit="1" customWidth="1"/>
    <col min="2" max="41" width="2.33203125" style="106" customWidth="1"/>
    <col min="42" max="16384" width="10.83203125" style="106"/>
  </cols>
  <sheetData>
    <row r="1" spans="1:41" x14ac:dyDescent="0.15">
      <c r="A1" s="61" t="s">
        <v>139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  <c r="AK1" s="187" t="s">
        <v>227</v>
      </c>
      <c r="AL1" s="187" t="s">
        <v>228</v>
      </c>
      <c r="AM1" s="187" t="s">
        <v>229</v>
      </c>
      <c r="AN1" s="187" t="s">
        <v>230</v>
      </c>
      <c r="AO1" s="187" t="s">
        <v>231</v>
      </c>
    </row>
    <row r="2" spans="1:41" customFormat="1" x14ac:dyDescent="0.15">
      <c r="A2" s="186" t="s">
        <v>192</v>
      </c>
      <c r="B2" s="106">
        <v>1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  <c r="AK2" s="106">
        <v>0</v>
      </c>
      <c r="AL2" s="106">
        <v>0</v>
      </c>
      <c r="AM2" s="106">
        <v>0</v>
      </c>
      <c r="AN2" s="106">
        <v>0</v>
      </c>
      <c r="AO2" s="106">
        <v>0</v>
      </c>
    </row>
    <row r="3" spans="1:41" customFormat="1" x14ac:dyDescent="0.15">
      <c r="A3" s="186" t="s">
        <v>193</v>
      </c>
      <c r="B3" s="106">
        <v>0</v>
      </c>
      <c r="C3" s="106">
        <v>1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0</v>
      </c>
      <c r="AN3" s="106">
        <v>0</v>
      </c>
      <c r="AO3" s="106">
        <v>0</v>
      </c>
    </row>
    <row r="4" spans="1:41" customFormat="1" x14ac:dyDescent="0.15">
      <c r="A4" s="186" t="s">
        <v>194</v>
      </c>
      <c r="B4" s="106">
        <v>0</v>
      </c>
      <c r="C4" s="106">
        <v>0</v>
      </c>
      <c r="D4" s="106">
        <v>1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0</v>
      </c>
      <c r="AN4" s="106">
        <v>0</v>
      </c>
      <c r="AO4" s="106">
        <v>0</v>
      </c>
    </row>
    <row r="5" spans="1:41" customFormat="1" x14ac:dyDescent="0.15">
      <c r="A5" s="186" t="s">
        <v>195</v>
      </c>
      <c r="B5" s="106">
        <v>0</v>
      </c>
      <c r="C5" s="106">
        <v>0</v>
      </c>
      <c r="D5" s="106">
        <v>0</v>
      </c>
      <c r="E5" s="106">
        <v>0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0</v>
      </c>
      <c r="AN5" s="106">
        <v>0</v>
      </c>
      <c r="AO5" s="106">
        <v>0</v>
      </c>
    </row>
    <row r="6" spans="1:41" customFormat="1" x14ac:dyDescent="0.15">
      <c r="A6" s="186" t="s">
        <v>196</v>
      </c>
      <c r="B6" s="106">
        <v>0</v>
      </c>
      <c r="C6" s="106">
        <v>0</v>
      </c>
      <c r="D6" s="106">
        <v>0</v>
      </c>
      <c r="E6" s="106">
        <v>1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1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</row>
    <row r="7" spans="1:41" customFormat="1" x14ac:dyDescent="0.15">
      <c r="A7" s="186" t="s">
        <v>197</v>
      </c>
      <c r="B7" s="106">
        <v>0</v>
      </c>
      <c r="C7" s="106">
        <v>0</v>
      </c>
      <c r="D7" s="106">
        <v>0</v>
      </c>
      <c r="E7" s="106">
        <v>1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</row>
    <row r="8" spans="1:41" customFormat="1" x14ac:dyDescent="0.15">
      <c r="A8" s="186" t="s">
        <v>198</v>
      </c>
      <c r="B8" s="106">
        <v>1</v>
      </c>
      <c r="C8" s="106">
        <v>0</v>
      </c>
      <c r="D8" s="106">
        <v>0</v>
      </c>
      <c r="E8" s="106">
        <v>1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</row>
    <row r="9" spans="1:41" customFormat="1" x14ac:dyDescent="0.15">
      <c r="A9" s="186" t="s">
        <v>199</v>
      </c>
      <c r="B9" s="106">
        <v>0</v>
      </c>
      <c r="C9" s="106">
        <v>1</v>
      </c>
      <c r="D9" s="106">
        <v>0</v>
      </c>
      <c r="E9" s="106">
        <v>1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</row>
    <row r="10" spans="1:41" customFormat="1" x14ac:dyDescent="0.15">
      <c r="A10" s="186" t="s">
        <v>200</v>
      </c>
      <c r="B10" s="106">
        <v>1</v>
      </c>
      <c r="C10" s="106">
        <v>1</v>
      </c>
      <c r="D10" s="106">
        <v>1</v>
      </c>
      <c r="E10" s="106">
        <v>1</v>
      </c>
      <c r="F10" s="106">
        <v>0</v>
      </c>
      <c r="G10" s="106">
        <v>0</v>
      </c>
      <c r="H10" s="106">
        <v>0</v>
      </c>
      <c r="I10" s="106">
        <v>1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1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</row>
    <row r="11" spans="1:41" customFormat="1" x14ac:dyDescent="0.15">
      <c r="A11" s="186" t="s">
        <v>201</v>
      </c>
      <c r="B11" s="106">
        <v>1</v>
      </c>
      <c r="C11" s="106">
        <v>1</v>
      </c>
      <c r="D11" s="106">
        <v>1</v>
      </c>
      <c r="E11" s="106">
        <v>1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</row>
    <row r="12" spans="1:41" customFormat="1" x14ac:dyDescent="0.15">
      <c r="A12" s="186" t="s">
        <v>202</v>
      </c>
      <c r="B12" s="106">
        <v>1</v>
      </c>
      <c r="C12" s="106">
        <v>1</v>
      </c>
      <c r="D12" s="106">
        <v>1</v>
      </c>
      <c r="E12" s="106">
        <v>1</v>
      </c>
      <c r="F12" s="106">
        <v>0</v>
      </c>
      <c r="G12" s="106">
        <v>0</v>
      </c>
      <c r="H12" s="106">
        <v>0</v>
      </c>
      <c r="I12" s="106">
        <v>1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1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</row>
    <row r="13" spans="1:41" customFormat="1" x14ac:dyDescent="0.15">
      <c r="A13" s="186" t="s">
        <v>203</v>
      </c>
      <c r="B13" s="106">
        <v>1</v>
      </c>
      <c r="C13" s="106">
        <v>1</v>
      </c>
      <c r="D13" s="106">
        <v>1</v>
      </c>
      <c r="E13" s="106">
        <v>1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1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</row>
    <row r="14" spans="1:41" customFormat="1" x14ac:dyDescent="0.15">
      <c r="A14" s="186" t="s">
        <v>204</v>
      </c>
      <c r="B14" s="106">
        <v>0</v>
      </c>
      <c r="C14" s="106">
        <v>1</v>
      </c>
      <c r="D14" s="106">
        <v>0</v>
      </c>
      <c r="E14" s="106">
        <v>1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</row>
    <row r="15" spans="1:41" customFormat="1" x14ac:dyDescent="0.15">
      <c r="A15" s="186" t="s">
        <v>205</v>
      </c>
      <c r="B15" s="106">
        <v>1</v>
      </c>
      <c r="C15" s="106">
        <v>0</v>
      </c>
      <c r="D15" s="106">
        <v>1</v>
      </c>
      <c r="E15" s="106">
        <v>1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</row>
    <row r="16" spans="1:41" customFormat="1" x14ac:dyDescent="0.15">
      <c r="A16" s="186" t="s">
        <v>206</v>
      </c>
      <c r="B16" s="106">
        <v>0</v>
      </c>
      <c r="C16" s="106">
        <v>1</v>
      </c>
      <c r="D16" s="106">
        <v>0</v>
      </c>
      <c r="E16" s="106">
        <v>1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</row>
    <row r="17" spans="1:41" customFormat="1" x14ac:dyDescent="0.15">
      <c r="A17" s="186" t="s">
        <v>207</v>
      </c>
      <c r="B17" s="106">
        <v>1</v>
      </c>
      <c r="C17" s="106">
        <v>1</v>
      </c>
      <c r="D17" s="106">
        <v>1</v>
      </c>
      <c r="E17" s="106">
        <v>1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1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</row>
    <row r="18" spans="1:41" customFormat="1" x14ac:dyDescent="0.15">
      <c r="A18" s="186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1</v>
      </c>
      <c r="G18" s="106">
        <v>0</v>
      </c>
      <c r="H18" s="106">
        <v>0</v>
      </c>
      <c r="I18" s="106">
        <v>0</v>
      </c>
      <c r="J18" s="106">
        <v>1</v>
      </c>
      <c r="K18" s="106">
        <v>0</v>
      </c>
      <c r="L18" s="106">
        <v>0</v>
      </c>
      <c r="M18" s="106">
        <v>0</v>
      </c>
      <c r="N18" s="106">
        <v>0</v>
      </c>
      <c r="O18" s="106">
        <v>1</v>
      </c>
      <c r="P18" s="106">
        <v>0</v>
      </c>
      <c r="Q18" s="106">
        <v>1</v>
      </c>
      <c r="R18" s="106">
        <v>0</v>
      </c>
      <c r="S18" s="106">
        <v>1</v>
      </c>
      <c r="T18" s="106">
        <v>0</v>
      </c>
      <c r="U18" s="106">
        <v>0</v>
      </c>
      <c r="V18" s="106">
        <v>0</v>
      </c>
      <c r="W18" s="106">
        <v>0</v>
      </c>
      <c r="X18" s="106">
        <v>1</v>
      </c>
      <c r="Y18" s="106">
        <v>0</v>
      </c>
      <c r="Z18" s="106">
        <v>0</v>
      </c>
      <c r="AA18" s="106">
        <v>1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</row>
    <row r="19" spans="1:41" customFormat="1" x14ac:dyDescent="0.15">
      <c r="A19" s="186" t="s">
        <v>209</v>
      </c>
      <c r="B19" s="106">
        <v>0</v>
      </c>
      <c r="C19" s="106">
        <v>0</v>
      </c>
      <c r="D19" s="106">
        <v>0</v>
      </c>
      <c r="E19" s="106">
        <v>1</v>
      </c>
      <c r="F19" s="106">
        <v>1</v>
      </c>
      <c r="G19" s="106">
        <v>0</v>
      </c>
      <c r="H19" s="106">
        <v>0</v>
      </c>
      <c r="I19" s="106">
        <v>0</v>
      </c>
      <c r="J19" s="106">
        <v>1</v>
      </c>
      <c r="K19" s="106">
        <v>0</v>
      </c>
      <c r="L19" s="106">
        <v>0</v>
      </c>
      <c r="M19" s="106">
        <v>1</v>
      </c>
      <c r="N19" s="106">
        <v>1</v>
      </c>
      <c r="O19" s="106">
        <v>1</v>
      </c>
      <c r="P19" s="106">
        <v>1</v>
      </c>
      <c r="Q19" s="106">
        <v>1</v>
      </c>
      <c r="R19" s="106">
        <v>1</v>
      </c>
      <c r="S19" s="106">
        <v>1</v>
      </c>
      <c r="T19" s="106">
        <v>0</v>
      </c>
      <c r="U19" s="106">
        <v>0</v>
      </c>
      <c r="V19" s="106">
        <v>0</v>
      </c>
      <c r="W19" s="106">
        <v>0</v>
      </c>
      <c r="X19" s="106">
        <v>1</v>
      </c>
      <c r="Y19" s="106">
        <v>0</v>
      </c>
      <c r="Z19" s="106">
        <v>0</v>
      </c>
      <c r="AA19" s="106">
        <v>1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</row>
    <row r="20" spans="1:41" customFormat="1" x14ac:dyDescent="0.15">
      <c r="A20" s="186" t="s">
        <v>210</v>
      </c>
      <c r="B20" s="106">
        <v>0</v>
      </c>
      <c r="C20" s="106">
        <v>0</v>
      </c>
      <c r="D20" s="106">
        <v>0</v>
      </c>
      <c r="E20" s="106">
        <v>1</v>
      </c>
      <c r="F20" s="106">
        <v>1</v>
      </c>
      <c r="G20" s="106">
        <v>0</v>
      </c>
      <c r="H20" s="106">
        <v>1</v>
      </c>
      <c r="I20" s="106">
        <v>1</v>
      </c>
      <c r="J20" s="106">
        <v>1</v>
      </c>
      <c r="K20" s="106">
        <v>1</v>
      </c>
      <c r="L20" s="106">
        <v>1</v>
      </c>
      <c r="M20" s="106">
        <v>1</v>
      </c>
      <c r="N20" s="106">
        <v>1</v>
      </c>
      <c r="O20" s="106">
        <v>1</v>
      </c>
      <c r="P20" s="106">
        <v>1</v>
      </c>
      <c r="Q20" s="106">
        <v>1</v>
      </c>
      <c r="R20" s="106">
        <v>1</v>
      </c>
      <c r="S20" s="106">
        <v>1</v>
      </c>
      <c r="T20" s="106">
        <v>1</v>
      </c>
      <c r="U20" s="106">
        <v>0</v>
      </c>
      <c r="V20" s="106">
        <v>0</v>
      </c>
      <c r="W20" s="106">
        <v>0</v>
      </c>
      <c r="X20" s="106">
        <v>1</v>
      </c>
      <c r="Y20" s="106">
        <v>0</v>
      </c>
      <c r="Z20" s="106">
        <v>0</v>
      </c>
      <c r="AA20" s="106">
        <v>1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</row>
    <row r="21" spans="1:41" customFormat="1" x14ac:dyDescent="0.15">
      <c r="A21" s="186" t="s">
        <v>211</v>
      </c>
      <c r="B21" s="106">
        <v>0</v>
      </c>
      <c r="C21" s="106">
        <v>0</v>
      </c>
      <c r="D21" s="106">
        <v>0</v>
      </c>
      <c r="E21" s="106">
        <v>1</v>
      </c>
      <c r="F21" s="106">
        <v>1</v>
      </c>
      <c r="G21" s="106">
        <v>0</v>
      </c>
      <c r="H21" s="106">
        <v>1</v>
      </c>
      <c r="I21" s="106">
        <v>1</v>
      </c>
      <c r="J21" s="106">
        <v>1</v>
      </c>
      <c r="K21" s="106">
        <v>1</v>
      </c>
      <c r="L21" s="106">
        <v>1</v>
      </c>
      <c r="M21" s="106">
        <v>1</v>
      </c>
      <c r="N21" s="106">
        <v>1</v>
      </c>
      <c r="O21" s="106">
        <v>1</v>
      </c>
      <c r="P21" s="106">
        <v>0</v>
      </c>
      <c r="Q21" s="106">
        <v>1</v>
      </c>
      <c r="R21" s="106">
        <v>1</v>
      </c>
      <c r="S21" s="106">
        <v>1</v>
      </c>
      <c r="T21" s="106">
        <v>0</v>
      </c>
      <c r="U21" s="106">
        <v>1</v>
      </c>
      <c r="V21" s="106">
        <v>0</v>
      </c>
      <c r="W21" s="106">
        <v>0</v>
      </c>
      <c r="X21" s="106">
        <v>1</v>
      </c>
      <c r="Y21" s="106">
        <v>0</v>
      </c>
      <c r="Z21" s="106">
        <v>0</v>
      </c>
      <c r="AA21" s="106">
        <v>1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</row>
    <row r="22" spans="1:41" customFormat="1" x14ac:dyDescent="0.15">
      <c r="A22" s="186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1</v>
      </c>
      <c r="G22" s="106">
        <v>0</v>
      </c>
      <c r="H22" s="106">
        <v>0</v>
      </c>
      <c r="I22" s="106">
        <v>0</v>
      </c>
      <c r="J22" s="106">
        <v>1</v>
      </c>
      <c r="K22" s="106">
        <v>1</v>
      </c>
      <c r="L22" s="106">
        <v>1</v>
      </c>
      <c r="M22" s="106">
        <v>1</v>
      </c>
      <c r="N22" s="106">
        <v>1</v>
      </c>
      <c r="O22" s="106">
        <v>1</v>
      </c>
      <c r="P22" s="106">
        <v>1</v>
      </c>
      <c r="Q22" s="106">
        <v>1</v>
      </c>
      <c r="R22" s="106">
        <v>1</v>
      </c>
      <c r="S22" s="106">
        <v>1</v>
      </c>
      <c r="T22" s="106">
        <v>1</v>
      </c>
      <c r="U22" s="106">
        <v>1</v>
      </c>
      <c r="V22" s="106">
        <v>0</v>
      </c>
      <c r="W22" s="106">
        <v>0</v>
      </c>
      <c r="X22" s="106">
        <v>1</v>
      </c>
      <c r="Y22" s="106">
        <v>1</v>
      </c>
      <c r="Z22" s="106">
        <v>1</v>
      </c>
      <c r="AA22" s="106">
        <v>1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</row>
    <row r="23" spans="1:41" customFormat="1" x14ac:dyDescent="0.15">
      <c r="A23" s="186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1</v>
      </c>
      <c r="K23" s="106">
        <v>1</v>
      </c>
      <c r="L23" s="106">
        <v>1</v>
      </c>
      <c r="M23" s="106">
        <v>0</v>
      </c>
      <c r="N23" s="106">
        <v>0</v>
      </c>
      <c r="O23" s="106">
        <v>1</v>
      </c>
      <c r="P23" s="106">
        <v>0</v>
      </c>
      <c r="Q23" s="106">
        <v>1</v>
      </c>
      <c r="R23" s="106">
        <v>1</v>
      </c>
      <c r="S23" s="106">
        <v>1</v>
      </c>
      <c r="T23" s="106">
        <v>1</v>
      </c>
      <c r="U23" s="106">
        <v>1</v>
      </c>
      <c r="V23" s="106">
        <v>0</v>
      </c>
      <c r="W23" s="106">
        <v>0</v>
      </c>
      <c r="X23" s="106">
        <v>1</v>
      </c>
      <c r="Y23" s="106">
        <v>0</v>
      </c>
      <c r="Z23" s="106">
        <v>1</v>
      </c>
      <c r="AA23" s="106">
        <v>1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</row>
    <row r="24" spans="1:41" customFormat="1" x14ac:dyDescent="0.15">
      <c r="A24" s="186" t="s">
        <v>214</v>
      </c>
      <c r="B24" s="106">
        <v>0</v>
      </c>
      <c r="C24" s="106">
        <v>0</v>
      </c>
      <c r="D24" s="106">
        <v>0</v>
      </c>
      <c r="E24" s="106">
        <v>1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1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</row>
    <row r="25" spans="1:41" customFormat="1" x14ac:dyDescent="0.15">
      <c r="A25" s="186" t="s">
        <v>215</v>
      </c>
      <c r="B25" s="106">
        <v>0</v>
      </c>
      <c r="C25" s="106">
        <v>0</v>
      </c>
      <c r="D25" s="106">
        <v>0</v>
      </c>
      <c r="E25" s="106">
        <v>1</v>
      </c>
      <c r="F25" s="106">
        <v>1</v>
      </c>
      <c r="G25" s="106">
        <v>0</v>
      </c>
      <c r="H25" s="106">
        <v>1</v>
      </c>
      <c r="I25" s="106">
        <v>1</v>
      </c>
      <c r="J25" s="106">
        <v>1</v>
      </c>
      <c r="K25" s="106">
        <v>1</v>
      </c>
      <c r="L25" s="106">
        <v>1</v>
      </c>
      <c r="M25" s="106">
        <v>1</v>
      </c>
      <c r="N25" s="106">
        <v>0</v>
      </c>
      <c r="O25" s="106">
        <v>1</v>
      </c>
      <c r="P25" s="106">
        <v>0</v>
      </c>
      <c r="Q25" s="106">
        <v>1</v>
      </c>
      <c r="R25" s="106">
        <v>1</v>
      </c>
      <c r="S25" s="106">
        <v>1</v>
      </c>
      <c r="T25" s="106">
        <v>1</v>
      </c>
      <c r="U25" s="106">
        <v>1</v>
      </c>
      <c r="V25" s="106">
        <v>0</v>
      </c>
      <c r="W25" s="106">
        <v>0</v>
      </c>
      <c r="X25" s="106">
        <v>1</v>
      </c>
      <c r="Y25" s="106">
        <v>0</v>
      </c>
      <c r="Z25" s="106">
        <v>0</v>
      </c>
      <c r="AA25" s="106">
        <v>1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</row>
    <row r="26" spans="1:41" customFormat="1" x14ac:dyDescent="0.15">
      <c r="A26" s="186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1</v>
      </c>
      <c r="G26" s="106">
        <v>0</v>
      </c>
      <c r="H26" s="106">
        <v>0</v>
      </c>
      <c r="I26" s="106">
        <v>0</v>
      </c>
      <c r="J26" s="106">
        <v>1</v>
      </c>
      <c r="K26" s="106">
        <v>1</v>
      </c>
      <c r="L26" s="106">
        <v>0</v>
      </c>
      <c r="M26" s="106">
        <v>0</v>
      </c>
      <c r="N26" s="106">
        <v>1</v>
      </c>
      <c r="O26" s="106">
        <v>1</v>
      </c>
      <c r="P26" s="106">
        <v>0</v>
      </c>
      <c r="Q26" s="106">
        <v>1</v>
      </c>
      <c r="R26" s="106">
        <v>1</v>
      </c>
      <c r="S26" s="106">
        <v>1</v>
      </c>
      <c r="T26" s="106">
        <v>0</v>
      </c>
      <c r="U26" s="106">
        <v>0</v>
      </c>
      <c r="V26" s="106">
        <v>0</v>
      </c>
      <c r="W26" s="106">
        <v>0</v>
      </c>
      <c r="X26" s="106">
        <v>1</v>
      </c>
      <c r="Y26" s="106">
        <v>0</v>
      </c>
      <c r="Z26" s="106">
        <v>1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</row>
    <row r="27" spans="1:41" customFormat="1" x14ac:dyDescent="0.15">
      <c r="A27" s="186" t="s">
        <v>217</v>
      </c>
      <c r="B27" s="106">
        <v>0</v>
      </c>
      <c r="C27" s="106">
        <v>0</v>
      </c>
      <c r="D27" s="106">
        <v>0</v>
      </c>
      <c r="E27" s="106">
        <v>1</v>
      </c>
      <c r="F27" s="106">
        <v>1</v>
      </c>
      <c r="G27" s="106">
        <v>0</v>
      </c>
      <c r="H27" s="106">
        <v>0</v>
      </c>
      <c r="I27" s="106">
        <v>0</v>
      </c>
      <c r="J27" s="106">
        <v>1</v>
      </c>
      <c r="K27" s="106">
        <v>1</v>
      </c>
      <c r="L27" s="106">
        <v>1</v>
      </c>
      <c r="M27" s="106">
        <v>0</v>
      </c>
      <c r="N27" s="106">
        <v>1</v>
      </c>
      <c r="O27" s="106">
        <v>1</v>
      </c>
      <c r="P27" s="106">
        <v>1</v>
      </c>
      <c r="Q27" s="106">
        <v>1</v>
      </c>
      <c r="R27" s="106">
        <v>0</v>
      </c>
      <c r="S27" s="106">
        <v>1</v>
      </c>
      <c r="T27" s="106">
        <v>0</v>
      </c>
      <c r="U27" s="106">
        <v>0</v>
      </c>
      <c r="V27" s="106">
        <v>0</v>
      </c>
      <c r="W27" s="106">
        <v>1</v>
      </c>
      <c r="X27" s="106">
        <v>1</v>
      </c>
      <c r="Y27" s="106">
        <v>1</v>
      </c>
      <c r="Z27" s="106">
        <v>1</v>
      </c>
      <c r="AA27" s="106">
        <v>1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</row>
    <row r="28" spans="1:41" customFormat="1" x14ac:dyDescent="0.15">
      <c r="A28" s="186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1</v>
      </c>
      <c r="G28" s="106">
        <v>1</v>
      </c>
      <c r="H28" s="106">
        <v>0</v>
      </c>
      <c r="I28" s="106">
        <v>0</v>
      </c>
      <c r="J28" s="106">
        <v>1</v>
      </c>
      <c r="K28" s="106">
        <v>1</v>
      </c>
      <c r="L28" s="106">
        <v>1</v>
      </c>
      <c r="M28" s="106">
        <v>0</v>
      </c>
      <c r="N28" s="106">
        <v>0</v>
      </c>
      <c r="O28" s="106">
        <v>1</v>
      </c>
      <c r="P28" s="106">
        <v>0</v>
      </c>
      <c r="Q28" s="106">
        <v>1</v>
      </c>
      <c r="R28" s="106">
        <v>1</v>
      </c>
      <c r="S28" s="106">
        <v>1</v>
      </c>
      <c r="T28" s="106">
        <v>0</v>
      </c>
      <c r="U28" s="106">
        <v>0</v>
      </c>
      <c r="V28" s="106">
        <v>1</v>
      </c>
      <c r="W28" s="106">
        <v>1</v>
      </c>
      <c r="X28" s="106">
        <v>1</v>
      </c>
      <c r="Y28" s="106">
        <v>1</v>
      </c>
      <c r="Z28" s="106">
        <v>1</v>
      </c>
      <c r="AA28" s="106">
        <v>1</v>
      </c>
      <c r="AB28" s="106">
        <v>0</v>
      </c>
      <c r="AC28" s="106">
        <v>1</v>
      </c>
      <c r="AD28" s="106">
        <v>0</v>
      </c>
      <c r="AE28" s="106">
        <v>0</v>
      </c>
      <c r="AF28" s="106">
        <v>0</v>
      </c>
      <c r="AG28" s="106">
        <v>0</v>
      </c>
      <c r="AH28" s="106">
        <v>1</v>
      </c>
      <c r="AI28" s="106">
        <v>0</v>
      </c>
      <c r="AJ28" s="106">
        <v>0</v>
      </c>
      <c r="AK28" s="106">
        <v>1</v>
      </c>
      <c r="AL28" s="106">
        <v>0</v>
      </c>
      <c r="AM28" s="106">
        <v>0</v>
      </c>
      <c r="AN28" s="106">
        <v>0</v>
      </c>
      <c r="AO28" s="106">
        <v>0</v>
      </c>
    </row>
    <row r="29" spans="1:41" customFormat="1" x14ac:dyDescent="0.15">
      <c r="A29" s="186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1</v>
      </c>
      <c r="G29" s="106">
        <v>1</v>
      </c>
      <c r="H29" s="106">
        <v>0</v>
      </c>
      <c r="I29" s="106">
        <v>0</v>
      </c>
      <c r="J29" s="106">
        <v>0</v>
      </c>
      <c r="K29" s="106">
        <v>1</v>
      </c>
      <c r="L29" s="106">
        <v>1</v>
      </c>
      <c r="M29" s="106">
        <v>0</v>
      </c>
      <c r="N29" s="106">
        <v>1</v>
      </c>
      <c r="O29" s="106">
        <v>1</v>
      </c>
      <c r="P29" s="106">
        <v>1</v>
      </c>
      <c r="Q29" s="106">
        <v>1</v>
      </c>
      <c r="R29" s="106">
        <v>1</v>
      </c>
      <c r="S29" s="106">
        <v>1</v>
      </c>
      <c r="T29" s="106">
        <v>0</v>
      </c>
      <c r="U29" s="106">
        <v>0</v>
      </c>
      <c r="V29" s="106">
        <v>1</v>
      </c>
      <c r="W29" s="106">
        <v>1</v>
      </c>
      <c r="X29" s="106">
        <v>1</v>
      </c>
      <c r="Y29" s="106">
        <v>1</v>
      </c>
      <c r="Z29" s="106">
        <v>1</v>
      </c>
      <c r="AA29" s="106">
        <v>1</v>
      </c>
      <c r="AB29" s="106">
        <v>1</v>
      </c>
      <c r="AC29" s="106">
        <v>1</v>
      </c>
      <c r="AD29" s="106">
        <v>0</v>
      </c>
      <c r="AE29" s="106">
        <v>1</v>
      </c>
      <c r="AF29" s="106">
        <v>1</v>
      </c>
      <c r="AG29" s="106">
        <v>0</v>
      </c>
      <c r="AH29" s="106">
        <v>1</v>
      </c>
      <c r="AI29" s="106">
        <v>1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</row>
    <row r="30" spans="1:41" customFormat="1" x14ac:dyDescent="0.15">
      <c r="A30" s="186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1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1</v>
      </c>
      <c r="O30" s="106">
        <v>1</v>
      </c>
      <c r="P30" s="106">
        <v>1</v>
      </c>
      <c r="Q30" s="106">
        <v>1</v>
      </c>
      <c r="R30" s="106">
        <v>1</v>
      </c>
      <c r="S30" s="106">
        <v>1</v>
      </c>
      <c r="T30" s="106">
        <v>0</v>
      </c>
      <c r="U30" s="106">
        <v>0</v>
      </c>
      <c r="V30" s="106">
        <v>1</v>
      </c>
      <c r="W30" s="106">
        <v>1</v>
      </c>
      <c r="X30" s="106">
        <v>0</v>
      </c>
      <c r="Y30" s="106">
        <v>1</v>
      </c>
      <c r="Z30" s="106">
        <v>1</v>
      </c>
      <c r="AA30" s="106">
        <v>1</v>
      </c>
      <c r="AB30" s="106">
        <v>1</v>
      </c>
      <c r="AC30" s="106">
        <v>1</v>
      </c>
      <c r="AD30" s="106">
        <v>0</v>
      </c>
      <c r="AE30" s="106">
        <v>1</v>
      </c>
      <c r="AF30" s="106">
        <v>1</v>
      </c>
      <c r="AG30" s="106">
        <v>0</v>
      </c>
      <c r="AH30" s="106">
        <v>1</v>
      </c>
      <c r="AI30" s="106">
        <v>1</v>
      </c>
      <c r="AJ30" s="106">
        <v>1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</row>
    <row r="31" spans="1:41" customFormat="1" x14ac:dyDescent="0.15">
      <c r="A31" s="186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1</v>
      </c>
      <c r="G31" s="106">
        <v>1</v>
      </c>
      <c r="H31" s="106">
        <v>1</v>
      </c>
      <c r="I31" s="106">
        <v>1</v>
      </c>
      <c r="J31" s="106">
        <v>1</v>
      </c>
      <c r="K31" s="106">
        <v>1</v>
      </c>
      <c r="L31" s="106">
        <v>1</v>
      </c>
      <c r="M31" s="106">
        <v>1</v>
      </c>
      <c r="N31" s="106">
        <v>1</v>
      </c>
      <c r="O31" s="106">
        <v>1</v>
      </c>
      <c r="P31" s="106">
        <v>1</v>
      </c>
      <c r="Q31" s="106">
        <v>0</v>
      </c>
      <c r="R31" s="106">
        <v>1</v>
      </c>
      <c r="S31" s="106">
        <v>1</v>
      </c>
      <c r="T31" s="106">
        <v>1</v>
      </c>
      <c r="U31" s="106">
        <v>1</v>
      </c>
      <c r="V31" s="106">
        <v>1</v>
      </c>
      <c r="W31" s="106">
        <v>1</v>
      </c>
      <c r="X31" s="106">
        <v>1</v>
      </c>
      <c r="Y31" s="106">
        <v>1</v>
      </c>
      <c r="Z31" s="106">
        <v>1</v>
      </c>
      <c r="AA31" s="106">
        <v>1</v>
      </c>
      <c r="AB31" s="106">
        <v>1</v>
      </c>
      <c r="AC31" s="106">
        <v>1</v>
      </c>
      <c r="AD31" s="106">
        <v>0</v>
      </c>
      <c r="AE31" s="106">
        <v>1</v>
      </c>
      <c r="AF31" s="106">
        <v>1</v>
      </c>
      <c r="AG31" s="106">
        <v>0</v>
      </c>
      <c r="AH31" s="106">
        <v>1</v>
      </c>
      <c r="AI31" s="106">
        <v>1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</row>
    <row r="32" spans="1:41" x14ac:dyDescent="0.15">
      <c r="A32" s="186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1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1</v>
      </c>
      <c r="R32" s="106">
        <v>1</v>
      </c>
      <c r="S32" s="106">
        <v>1</v>
      </c>
      <c r="T32" s="106">
        <v>0</v>
      </c>
      <c r="U32" s="106">
        <v>0</v>
      </c>
      <c r="V32" s="106">
        <v>1</v>
      </c>
      <c r="W32" s="106">
        <v>1</v>
      </c>
      <c r="X32" s="106">
        <v>0</v>
      </c>
      <c r="Y32" s="106">
        <v>1</v>
      </c>
      <c r="Z32" s="106">
        <v>1</v>
      </c>
      <c r="AA32" s="106">
        <v>1</v>
      </c>
      <c r="AB32" s="106">
        <v>1</v>
      </c>
      <c r="AC32" s="106">
        <v>1</v>
      </c>
      <c r="AD32" s="106">
        <v>0</v>
      </c>
      <c r="AE32" s="106">
        <v>1</v>
      </c>
      <c r="AF32" s="106">
        <v>1</v>
      </c>
      <c r="AG32" s="106">
        <v>0</v>
      </c>
      <c r="AH32" s="106">
        <v>1</v>
      </c>
      <c r="AI32" s="106">
        <v>1</v>
      </c>
      <c r="AJ32" s="106">
        <v>1</v>
      </c>
      <c r="AK32" s="106">
        <v>1</v>
      </c>
      <c r="AL32" s="106">
        <v>0</v>
      </c>
      <c r="AM32" s="106">
        <v>0</v>
      </c>
      <c r="AN32" s="106">
        <v>0</v>
      </c>
      <c r="AO32" s="106">
        <v>0</v>
      </c>
    </row>
    <row r="33" spans="1:41" x14ac:dyDescent="0.15">
      <c r="A33" s="186" t="s">
        <v>223</v>
      </c>
      <c r="B33" s="106">
        <v>0</v>
      </c>
      <c r="C33" s="106">
        <v>0</v>
      </c>
      <c r="D33" s="106">
        <v>0</v>
      </c>
      <c r="E33" s="106">
        <v>0</v>
      </c>
      <c r="F33" s="106">
        <v>0</v>
      </c>
      <c r="G33" s="106">
        <v>1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1</v>
      </c>
      <c r="S33" s="106">
        <v>1</v>
      </c>
      <c r="T33" s="106">
        <v>0</v>
      </c>
      <c r="U33" s="106">
        <v>0</v>
      </c>
      <c r="V33" s="106">
        <v>1</v>
      </c>
      <c r="W33" s="106">
        <v>1</v>
      </c>
      <c r="X33" s="106">
        <v>0</v>
      </c>
      <c r="Y33" s="106">
        <v>1</v>
      </c>
      <c r="Z33" s="106">
        <v>1</v>
      </c>
      <c r="AA33" s="106">
        <v>1</v>
      </c>
      <c r="AB33" s="106">
        <v>1</v>
      </c>
      <c r="AC33" s="106">
        <v>1</v>
      </c>
      <c r="AD33" s="106">
        <v>1</v>
      </c>
      <c r="AE33" s="106">
        <v>1</v>
      </c>
      <c r="AF33" s="106">
        <v>1</v>
      </c>
      <c r="AG33" s="106">
        <v>0</v>
      </c>
      <c r="AH33" s="106">
        <v>1</v>
      </c>
      <c r="AI33" s="106">
        <v>1</v>
      </c>
      <c r="AJ33" s="106">
        <v>1</v>
      </c>
      <c r="AK33" s="106">
        <v>1</v>
      </c>
      <c r="AL33" s="106">
        <v>0</v>
      </c>
      <c r="AM33" s="106">
        <v>0</v>
      </c>
      <c r="AN33" s="106">
        <v>0</v>
      </c>
      <c r="AO33" s="106">
        <v>0</v>
      </c>
    </row>
    <row r="34" spans="1:41" x14ac:dyDescent="0.15">
      <c r="A34" s="186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1</v>
      </c>
      <c r="H34" s="106">
        <v>1</v>
      </c>
      <c r="I34" s="106">
        <v>1</v>
      </c>
      <c r="J34" s="106">
        <v>1</v>
      </c>
      <c r="K34" s="106">
        <v>1</v>
      </c>
      <c r="L34" s="106">
        <v>0</v>
      </c>
      <c r="M34" s="106">
        <v>0</v>
      </c>
      <c r="N34" s="106">
        <v>1</v>
      </c>
      <c r="O34" s="106">
        <v>1</v>
      </c>
      <c r="P34" s="106">
        <v>1</v>
      </c>
      <c r="Q34" s="106">
        <v>1</v>
      </c>
      <c r="R34" s="106">
        <v>1</v>
      </c>
      <c r="S34" s="106">
        <v>0</v>
      </c>
      <c r="T34" s="106">
        <v>1</v>
      </c>
      <c r="U34" s="106">
        <v>1</v>
      </c>
      <c r="V34" s="106">
        <v>0</v>
      </c>
      <c r="W34" s="106">
        <v>0</v>
      </c>
      <c r="X34" s="106">
        <v>1</v>
      </c>
      <c r="Y34" s="106">
        <v>1</v>
      </c>
      <c r="Z34" s="106">
        <v>1</v>
      </c>
      <c r="AA34" s="106">
        <v>0</v>
      </c>
      <c r="AB34" s="106">
        <v>0</v>
      </c>
      <c r="AC34" s="106">
        <v>0</v>
      </c>
      <c r="AD34" s="106">
        <v>0</v>
      </c>
      <c r="AE34" s="106">
        <v>1</v>
      </c>
      <c r="AF34" s="106">
        <v>0</v>
      </c>
      <c r="AG34" s="106">
        <v>0</v>
      </c>
      <c r="AH34" s="106">
        <v>1</v>
      </c>
      <c r="AI34" s="106">
        <v>1</v>
      </c>
      <c r="AJ34" s="106">
        <v>0</v>
      </c>
      <c r="AK34" s="106">
        <v>1</v>
      </c>
      <c r="AL34" s="106">
        <v>0</v>
      </c>
      <c r="AM34" s="106">
        <v>0</v>
      </c>
      <c r="AN34" s="106">
        <v>0</v>
      </c>
      <c r="AO34" s="106">
        <v>0</v>
      </c>
    </row>
    <row r="35" spans="1:41" x14ac:dyDescent="0.15">
      <c r="A35" s="186" t="s">
        <v>225</v>
      </c>
      <c r="B35" s="106">
        <v>1</v>
      </c>
      <c r="C35" s="106">
        <v>1</v>
      </c>
      <c r="D35" s="106">
        <v>1</v>
      </c>
      <c r="E35" s="106">
        <v>0</v>
      </c>
      <c r="F35" s="106">
        <v>0</v>
      </c>
      <c r="G35" s="106">
        <v>1</v>
      </c>
      <c r="H35" s="106">
        <v>1</v>
      </c>
      <c r="I35" s="106">
        <v>1</v>
      </c>
      <c r="J35" s="106">
        <v>1</v>
      </c>
      <c r="K35" s="106">
        <v>1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1</v>
      </c>
      <c r="R35" s="106">
        <v>1</v>
      </c>
      <c r="S35" s="106">
        <v>0</v>
      </c>
      <c r="T35" s="106">
        <v>1</v>
      </c>
      <c r="U35" s="106">
        <v>1</v>
      </c>
      <c r="V35" s="106">
        <v>0</v>
      </c>
      <c r="W35" s="106">
        <v>0</v>
      </c>
      <c r="X35" s="106">
        <v>1</v>
      </c>
      <c r="Y35" s="106">
        <v>0</v>
      </c>
      <c r="Z35" s="106">
        <v>1</v>
      </c>
      <c r="AA35" s="106">
        <v>0</v>
      </c>
      <c r="AB35" s="106">
        <v>0</v>
      </c>
      <c r="AC35" s="106">
        <v>0</v>
      </c>
      <c r="AD35" s="106">
        <v>0</v>
      </c>
      <c r="AE35" s="106">
        <v>1</v>
      </c>
      <c r="AF35" s="106">
        <v>0</v>
      </c>
      <c r="AG35" s="106">
        <v>0</v>
      </c>
      <c r="AH35" s="106">
        <v>1</v>
      </c>
      <c r="AI35" s="106">
        <v>1</v>
      </c>
      <c r="AJ35" s="106">
        <v>0</v>
      </c>
      <c r="AK35" s="106">
        <v>1</v>
      </c>
      <c r="AL35" s="106">
        <v>0</v>
      </c>
      <c r="AM35" s="106">
        <v>0</v>
      </c>
      <c r="AN35" s="106">
        <v>0</v>
      </c>
      <c r="AO35" s="106">
        <v>0</v>
      </c>
    </row>
    <row r="36" spans="1:41" x14ac:dyDescent="0.15">
      <c r="A36" s="186" t="s">
        <v>226</v>
      </c>
      <c r="B36" s="106">
        <v>1</v>
      </c>
      <c r="C36" s="106">
        <v>1</v>
      </c>
      <c r="D36" s="106">
        <v>1</v>
      </c>
      <c r="E36" s="106">
        <v>0</v>
      </c>
      <c r="F36" s="106">
        <v>0</v>
      </c>
      <c r="G36" s="106">
        <v>1</v>
      </c>
      <c r="H36" s="106">
        <v>1</v>
      </c>
      <c r="I36" s="106">
        <v>1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1</v>
      </c>
      <c r="R36" s="106">
        <v>0</v>
      </c>
      <c r="S36" s="106">
        <v>0</v>
      </c>
      <c r="T36" s="106">
        <v>1</v>
      </c>
      <c r="U36" s="106">
        <v>1</v>
      </c>
      <c r="V36" s="106">
        <v>0</v>
      </c>
      <c r="W36" s="106">
        <v>0</v>
      </c>
      <c r="X36" s="106">
        <v>1</v>
      </c>
      <c r="Y36" s="106">
        <v>1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1</v>
      </c>
      <c r="AF36" s="106">
        <v>0</v>
      </c>
      <c r="AG36" s="106">
        <v>0</v>
      </c>
      <c r="AH36" s="106">
        <v>0</v>
      </c>
      <c r="AI36" s="106">
        <v>1</v>
      </c>
      <c r="AJ36" s="106">
        <v>0</v>
      </c>
      <c r="AK36" s="106">
        <v>1</v>
      </c>
      <c r="AL36" s="106">
        <v>0</v>
      </c>
      <c r="AM36" s="106">
        <v>0</v>
      </c>
      <c r="AN36" s="106">
        <v>0</v>
      </c>
      <c r="AO36" s="106">
        <v>0</v>
      </c>
    </row>
    <row r="37" spans="1:41" x14ac:dyDescent="0.15">
      <c r="A37" s="186" t="s">
        <v>227</v>
      </c>
      <c r="B37" s="106">
        <v>1</v>
      </c>
      <c r="C37" s="106">
        <v>1</v>
      </c>
      <c r="D37" s="106">
        <v>1</v>
      </c>
      <c r="E37" s="106">
        <v>0</v>
      </c>
      <c r="F37" s="106">
        <v>0</v>
      </c>
      <c r="G37" s="106">
        <v>1</v>
      </c>
      <c r="H37" s="106">
        <v>1</v>
      </c>
      <c r="I37" s="106">
        <v>1</v>
      </c>
      <c r="J37" s="106">
        <v>1</v>
      </c>
      <c r="K37" s="106">
        <v>1</v>
      </c>
      <c r="L37" s="106">
        <v>0</v>
      </c>
      <c r="M37" s="106">
        <v>0</v>
      </c>
      <c r="N37" s="106">
        <v>1</v>
      </c>
      <c r="O37" s="106">
        <v>1</v>
      </c>
      <c r="P37" s="106">
        <v>1</v>
      </c>
      <c r="Q37" s="106">
        <v>1</v>
      </c>
      <c r="R37" s="106">
        <v>1</v>
      </c>
      <c r="S37" s="106">
        <v>0</v>
      </c>
      <c r="T37" s="106">
        <v>1</v>
      </c>
      <c r="U37" s="106">
        <v>1</v>
      </c>
      <c r="V37" s="106">
        <v>0</v>
      </c>
      <c r="W37" s="106">
        <v>0</v>
      </c>
      <c r="X37" s="106">
        <v>1</v>
      </c>
      <c r="Y37" s="106">
        <v>1</v>
      </c>
      <c r="Z37" s="106">
        <v>1</v>
      </c>
      <c r="AA37" s="106">
        <v>0</v>
      </c>
      <c r="AB37" s="106">
        <v>0</v>
      </c>
      <c r="AC37" s="106">
        <v>0</v>
      </c>
      <c r="AD37" s="106">
        <v>0</v>
      </c>
      <c r="AE37" s="106">
        <v>1</v>
      </c>
      <c r="AF37" s="106">
        <v>0</v>
      </c>
      <c r="AG37" s="106">
        <v>0</v>
      </c>
      <c r="AH37" s="106">
        <v>1</v>
      </c>
      <c r="AI37" s="106">
        <v>1</v>
      </c>
      <c r="AJ37" s="106">
        <v>0</v>
      </c>
      <c r="AK37" s="106">
        <v>1</v>
      </c>
      <c r="AL37" s="106">
        <v>0</v>
      </c>
      <c r="AM37" s="106">
        <v>0</v>
      </c>
      <c r="AN37" s="106">
        <v>0</v>
      </c>
      <c r="AO37" s="106">
        <v>0</v>
      </c>
    </row>
    <row r="38" spans="1:41" x14ac:dyDescent="0.15">
      <c r="A38" s="186" t="s">
        <v>228</v>
      </c>
      <c r="B38" s="106">
        <v>0</v>
      </c>
      <c r="C38" s="106">
        <v>0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1</v>
      </c>
      <c r="S38" s="106">
        <v>1</v>
      </c>
      <c r="T38" s="106">
        <v>0</v>
      </c>
      <c r="U38" s="106">
        <v>0</v>
      </c>
      <c r="V38" s="106">
        <v>1</v>
      </c>
      <c r="W38" s="106">
        <v>1</v>
      </c>
      <c r="X38" s="106">
        <v>0</v>
      </c>
      <c r="Y38" s="106">
        <v>1</v>
      </c>
      <c r="Z38" s="106">
        <v>1</v>
      </c>
      <c r="AA38" s="106">
        <v>0</v>
      </c>
      <c r="AB38" s="106">
        <v>1</v>
      </c>
      <c r="AC38" s="106">
        <v>1</v>
      </c>
      <c r="AD38" s="106">
        <v>1</v>
      </c>
      <c r="AE38" s="106">
        <v>1</v>
      </c>
      <c r="AF38" s="106">
        <v>1</v>
      </c>
      <c r="AG38" s="106">
        <v>1</v>
      </c>
      <c r="AH38" s="106">
        <v>1</v>
      </c>
      <c r="AI38" s="106">
        <v>1</v>
      </c>
      <c r="AJ38" s="106">
        <v>1</v>
      </c>
      <c r="AK38" s="106">
        <v>1</v>
      </c>
      <c r="AL38" s="106">
        <v>0</v>
      </c>
      <c r="AM38" s="106">
        <v>0</v>
      </c>
      <c r="AN38" s="106">
        <v>0</v>
      </c>
      <c r="AO38" s="106">
        <v>0</v>
      </c>
    </row>
    <row r="39" spans="1:41" x14ac:dyDescent="0.15">
      <c r="A39" s="186" t="s">
        <v>229</v>
      </c>
      <c r="B39" s="106">
        <v>0</v>
      </c>
      <c r="C39" s="106">
        <v>0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1</v>
      </c>
      <c r="S39" s="106">
        <v>1</v>
      </c>
      <c r="T39" s="106">
        <v>1</v>
      </c>
      <c r="U39" s="106">
        <v>1</v>
      </c>
      <c r="V39" s="106">
        <v>0</v>
      </c>
      <c r="W39" s="106">
        <v>0</v>
      </c>
      <c r="X39" s="106">
        <v>0</v>
      </c>
      <c r="Y39" s="106">
        <v>1</v>
      </c>
      <c r="Z39" s="106">
        <v>1</v>
      </c>
      <c r="AA39" s="106">
        <v>0</v>
      </c>
      <c r="AB39" s="106">
        <v>1</v>
      </c>
      <c r="AC39" s="106">
        <v>1</v>
      </c>
      <c r="AD39" s="106">
        <v>1</v>
      </c>
      <c r="AE39" s="106">
        <v>1</v>
      </c>
      <c r="AF39" s="106">
        <v>1</v>
      </c>
      <c r="AG39" s="106">
        <v>1</v>
      </c>
      <c r="AH39" s="106">
        <v>1</v>
      </c>
      <c r="AI39" s="106">
        <v>1</v>
      </c>
      <c r="AJ39" s="106">
        <v>1</v>
      </c>
      <c r="AK39" s="106">
        <v>1</v>
      </c>
      <c r="AL39" s="106">
        <v>0</v>
      </c>
      <c r="AM39" s="106">
        <v>0</v>
      </c>
      <c r="AN39" s="106">
        <v>0</v>
      </c>
      <c r="AO39" s="106">
        <v>0</v>
      </c>
    </row>
    <row r="40" spans="1:41" x14ac:dyDescent="0.15">
      <c r="A40" s="186" t="s">
        <v>230</v>
      </c>
      <c r="B40" s="106">
        <v>0</v>
      </c>
      <c r="C40" s="106">
        <v>0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1</v>
      </c>
      <c r="U40" s="106">
        <v>1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1</v>
      </c>
      <c r="AF40" s="106">
        <v>0</v>
      </c>
      <c r="AG40" s="106">
        <v>0</v>
      </c>
      <c r="AH40" s="106">
        <v>1</v>
      </c>
      <c r="AI40" s="106">
        <v>1</v>
      </c>
      <c r="AJ40" s="106">
        <v>1</v>
      </c>
      <c r="AK40" s="106">
        <v>1</v>
      </c>
      <c r="AL40" s="106">
        <v>0</v>
      </c>
      <c r="AM40" s="106">
        <v>0</v>
      </c>
      <c r="AN40" s="106">
        <v>0</v>
      </c>
      <c r="AO40" s="106">
        <v>0</v>
      </c>
    </row>
    <row r="41" spans="1:41" x14ac:dyDescent="0.15">
      <c r="A41" s="186" t="s">
        <v>231</v>
      </c>
      <c r="B41" s="106">
        <v>0</v>
      </c>
      <c r="C41" s="106">
        <v>0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1</v>
      </c>
      <c r="R41" s="106">
        <v>0</v>
      </c>
      <c r="S41" s="106">
        <v>0</v>
      </c>
      <c r="T41" s="106">
        <v>0</v>
      </c>
      <c r="U41" s="106">
        <v>0</v>
      </c>
      <c r="V41" s="106">
        <v>1</v>
      </c>
      <c r="W41" s="106">
        <v>1</v>
      </c>
      <c r="X41" s="106">
        <v>0</v>
      </c>
      <c r="Y41" s="106">
        <v>1</v>
      </c>
      <c r="Z41" s="106">
        <v>1</v>
      </c>
      <c r="AA41" s="106">
        <v>0</v>
      </c>
      <c r="AB41" s="106">
        <v>1</v>
      </c>
      <c r="AC41" s="106">
        <v>1</v>
      </c>
      <c r="AD41" s="106">
        <v>1</v>
      </c>
      <c r="AE41" s="106">
        <v>1</v>
      </c>
      <c r="AF41" s="106">
        <v>1</v>
      </c>
      <c r="AG41" s="106">
        <v>1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</row>
    <row r="42" spans="1:41" x14ac:dyDescent="0.15">
      <c r="A42" s="186" t="s">
        <v>241</v>
      </c>
      <c r="B42" s="106">
        <v>0</v>
      </c>
      <c r="C42" s="106">
        <v>0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P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" bestFit="1" customWidth="1"/>
    <col min="3" max="4" width="3.83203125" bestFit="1" customWidth="1"/>
    <col min="5" max="16" width="3.83203125" customWidth="1"/>
  </cols>
  <sheetData>
    <row r="1" spans="1:16" ht="112" x14ac:dyDescent="0.15">
      <c r="A1" s="5" t="s">
        <v>83</v>
      </c>
      <c r="B1" s="3" t="s">
        <v>0</v>
      </c>
      <c r="C1" s="189" t="s">
        <v>193</v>
      </c>
      <c r="D1" s="189" t="s">
        <v>232</v>
      </c>
      <c r="E1" s="189" t="s">
        <v>233</v>
      </c>
      <c r="F1" s="189" t="s">
        <v>234</v>
      </c>
      <c r="G1" s="189" t="s">
        <v>197</v>
      </c>
      <c r="H1" s="189" t="s">
        <v>196</v>
      </c>
      <c r="I1" s="189" t="s">
        <v>235</v>
      </c>
      <c r="J1" s="189" t="s">
        <v>236</v>
      </c>
      <c r="K1" s="189" t="s">
        <v>204</v>
      </c>
      <c r="L1" s="189" t="s">
        <v>205</v>
      </c>
      <c r="M1" s="189" t="s">
        <v>237</v>
      </c>
      <c r="N1" s="189" t="s">
        <v>238</v>
      </c>
      <c r="O1" s="189" t="s">
        <v>239</v>
      </c>
      <c r="P1" s="189" t="s">
        <v>240</v>
      </c>
    </row>
    <row r="2" spans="1:16" x14ac:dyDescent="0.15">
      <c r="A2">
        <v>1</v>
      </c>
      <c r="B2" s="188" t="s">
        <v>192</v>
      </c>
      <c r="C2">
        <v>0</v>
      </c>
      <c r="D2">
        <v>0.8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88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88" t="s">
        <v>194</v>
      </c>
      <c r="C4">
        <v>0</v>
      </c>
      <c r="D4">
        <v>0</v>
      </c>
      <c r="E4">
        <v>0.8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0.8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0.8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</v>
      </c>
      <c r="G7">
        <v>0.8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15">
      <c r="A8">
        <v>7</v>
      </c>
      <c r="B8" s="18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0.8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15">
      <c r="A9">
        <v>8</v>
      </c>
      <c r="B9" s="18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0.8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15">
      <c r="A10">
        <v>9</v>
      </c>
      <c r="B10" s="18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</row>
    <row r="11" spans="1:16" x14ac:dyDescent="0.15">
      <c r="A11">
        <v>10</v>
      </c>
      <c r="B11" s="18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</row>
    <row r="12" spans="1:16" x14ac:dyDescent="0.15">
      <c r="A12">
        <v>11</v>
      </c>
      <c r="B12" s="18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0.8</v>
      </c>
      <c r="O12">
        <v>0</v>
      </c>
      <c r="P12">
        <v>0</v>
      </c>
    </row>
    <row r="13" spans="1:16" x14ac:dyDescent="0.15">
      <c r="A13">
        <v>12</v>
      </c>
      <c r="B13" s="18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0.8</v>
      </c>
      <c r="O13">
        <v>0</v>
      </c>
      <c r="P13">
        <v>0</v>
      </c>
    </row>
    <row r="14" spans="1:16" x14ac:dyDescent="0.15">
      <c r="A14">
        <v>13</v>
      </c>
      <c r="B14" s="18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0.8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15">
      <c r="A15">
        <v>14</v>
      </c>
      <c r="B15" s="18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0.8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8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0.8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0.8</v>
      </c>
      <c r="P17">
        <v>0</v>
      </c>
    </row>
    <row r="18" spans="1:16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0.8</v>
      </c>
    </row>
    <row r="19" spans="1:16" x14ac:dyDescent="0.15">
      <c r="A19">
        <v>18</v>
      </c>
      <c r="B19" s="18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0.8</v>
      </c>
    </row>
    <row r="20" spans="1:16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0.8</v>
      </c>
    </row>
    <row r="21" spans="1:16" x14ac:dyDescent="0.15">
      <c r="A21">
        <v>20</v>
      </c>
      <c r="B21" s="18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0.8</v>
      </c>
    </row>
    <row r="22" spans="1:16" x14ac:dyDescent="0.15">
      <c r="A22">
        <v>21</v>
      </c>
      <c r="B22" s="18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0.8</v>
      </c>
    </row>
    <row r="23" spans="1:16" x14ac:dyDescent="0.15">
      <c r="A23">
        <v>22</v>
      </c>
      <c r="B23" s="18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0.8</v>
      </c>
    </row>
    <row r="24" spans="1:16" x14ac:dyDescent="0.15">
      <c r="A24">
        <v>23</v>
      </c>
      <c r="B24" s="18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</row>
    <row r="26" spans="1:16" x14ac:dyDescent="0.15">
      <c r="A26">
        <v>25</v>
      </c>
      <c r="B26" s="18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0.8</v>
      </c>
    </row>
    <row r="27" spans="1:16" x14ac:dyDescent="0.15">
      <c r="A27">
        <v>26</v>
      </c>
      <c r="B27" s="18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15">
      <c r="A28">
        <v>27</v>
      </c>
      <c r="B28" s="18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15">
      <c r="A29">
        <v>28</v>
      </c>
      <c r="B29" s="18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15">
      <c r="A30">
        <v>29</v>
      </c>
      <c r="B30" s="18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15">
      <c r="A32">
        <v>31</v>
      </c>
      <c r="B32" s="18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x14ac:dyDescent="0.15">
      <c r="A38">
        <v>37</v>
      </c>
      <c r="B38" s="188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15">
      <c r="A40">
        <v>39</v>
      </c>
      <c r="B40" s="18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15">
      <c r="A41">
        <v>40</v>
      </c>
      <c r="B41" s="18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P4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" bestFit="1" customWidth="1"/>
    <col min="3" max="4" width="3.83203125" bestFit="1" customWidth="1"/>
    <col min="5" max="16" width="3.83203125" customWidth="1"/>
  </cols>
  <sheetData>
    <row r="1" spans="1:16" ht="112" x14ac:dyDescent="0.15">
      <c r="A1" s="5" t="s">
        <v>82</v>
      </c>
      <c r="B1" s="3" t="s">
        <v>0</v>
      </c>
      <c r="C1" s="191" t="s">
        <v>193</v>
      </c>
      <c r="D1" s="191" t="s">
        <v>232</v>
      </c>
      <c r="E1" s="191" t="s">
        <v>233</v>
      </c>
      <c r="F1" s="191" t="s">
        <v>234</v>
      </c>
      <c r="G1" s="191" t="s">
        <v>197</v>
      </c>
      <c r="H1" s="191" t="s">
        <v>196</v>
      </c>
      <c r="I1" s="191" t="s">
        <v>235</v>
      </c>
      <c r="J1" s="191" t="s">
        <v>236</v>
      </c>
      <c r="K1" s="191" t="s">
        <v>204</v>
      </c>
      <c r="L1" s="191" t="s">
        <v>205</v>
      </c>
      <c r="M1" s="191" t="s">
        <v>237</v>
      </c>
      <c r="N1" s="191" t="s">
        <v>238</v>
      </c>
      <c r="O1" s="191" t="s">
        <v>239</v>
      </c>
      <c r="P1" s="191" t="s">
        <v>240</v>
      </c>
    </row>
    <row r="2" spans="1:16" x14ac:dyDescent="0.15">
      <c r="A2">
        <v>1</v>
      </c>
      <c r="B2" s="190" t="s">
        <v>192</v>
      </c>
      <c r="C2">
        <v>0</v>
      </c>
      <c r="D2">
        <v>0.8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90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90" t="s">
        <v>194</v>
      </c>
      <c r="C4">
        <v>0</v>
      </c>
      <c r="D4">
        <v>0</v>
      </c>
      <c r="E4">
        <v>0.8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15">
      <c r="A5">
        <v>4</v>
      </c>
      <c r="B5" s="190" t="s">
        <v>195</v>
      </c>
      <c r="C5">
        <v>0</v>
      </c>
      <c r="D5">
        <v>0</v>
      </c>
      <c r="E5">
        <v>0</v>
      </c>
      <c r="F5">
        <v>0.8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15">
      <c r="A6">
        <v>5</v>
      </c>
      <c r="B6" s="190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0.8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15">
      <c r="A7">
        <v>6</v>
      </c>
      <c r="B7" s="190" t="s">
        <v>197</v>
      </c>
      <c r="C7">
        <v>0</v>
      </c>
      <c r="D7">
        <v>0</v>
      </c>
      <c r="E7">
        <v>0</v>
      </c>
      <c r="F7">
        <v>0</v>
      </c>
      <c r="G7">
        <v>0.8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15">
      <c r="A8">
        <v>7</v>
      </c>
      <c r="B8" s="190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0.8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15">
      <c r="A9">
        <v>8</v>
      </c>
      <c r="B9" s="190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0.8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15">
      <c r="A10">
        <v>9</v>
      </c>
      <c r="B10" s="19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</row>
    <row r="11" spans="1:16" x14ac:dyDescent="0.15">
      <c r="A11">
        <v>10</v>
      </c>
      <c r="B11" s="19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</row>
    <row r="12" spans="1:16" x14ac:dyDescent="0.15">
      <c r="A12">
        <v>11</v>
      </c>
      <c r="B12" s="190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0.8</v>
      </c>
      <c r="O12">
        <v>0</v>
      </c>
      <c r="P12">
        <v>0</v>
      </c>
    </row>
    <row r="13" spans="1:16" x14ac:dyDescent="0.15">
      <c r="A13">
        <v>12</v>
      </c>
      <c r="B13" s="190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0.8</v>
      </c>
      <c r="O13">
        <v>0</v>
      </c>
      <c r="P13">
        <v>0</v>
      </c>
    </row>
    <row r="14" spans="1:16" x14ac:dyDescent="0.15">
      <c r="A14">
        <v>13</v>
      </c>
      <c r="B14" s="190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0.8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15">
      <c r="A15">
        <v>14</v>
      </c>
      <c r="B15" s="190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0.8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90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0.8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90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0.8</v>
      </c>
      <c r="P17">
        <v>0</v>
      </c>
    </row>
    <row r="18" spans="1:16" x14ac:dyDescent="0.15">
      <c r="A18">
        <v>17</v>
      </c>
      <c r="B18" s="190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0.8</v>
      </c>
    </row>
    <row r="19" spans="1:16" x14ac:dyDescent="0.15">
      <c r="A19">
        <v>18</v>
      </c>
      <c r="B19" s="190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0.8</v>
      </c>
    </row>
    <row r="20" spans="1:16" x14ac:dyDescent="0.15">
      <c r="A20">
        <v>19</v>
      </c>
      <c r="B20" s="19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0.8</v>
      </c>
    </row>
    <row r="21" spans="1:16" x14ac:dyDescent="0.15">
      <c r="A21">
        <v>20</v>
      </c>
      <c r="B21" s="19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0.8</v>
      </c>
    </row>
    <row r="22" spans="1:16" x14ac:dyDescent="0.15">
      <c r="A22">
        <v>21</v>
      </c>
      <c r="B22" s="190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0.8</v>
      </c>
    </row>
    <row r="23" spans="1:16" x14ac:dyDescent="0.15">
      <c r="A23">
        <v>22</v>
      </c>
      <c r="B23" s="190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0.8</v>
      </c>
    </row>
    <row r="24" spans="1:16" x14ac:dyDescent="0.15">
      <c r="A24">
        <v>23</v>
      </c>
      <c r="B24" s="190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15">
      <c r="A25">
        <v>24</v>
      </c>
      <c r="B25" s="190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</row>
    <row r="26" spans="1:16" x14ac:dyDescent="0.15">
      <c r="A26">
        <v>25</v>
      </c>
      <c r="B26" s="19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0.8</v>
      </c>
    </row>
    <row r="27" spans="1:16" x14ac:dyDescent="0.15">
      <c r="A27">
        <v>26</v>
      </c>
      <c r="B27" s="190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15">
      <c r="A28">
        <v>27</v>
      </c>
      <c r="B28" s="190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15">
      <c r="A29">
        <v>28</v>
      </c>
      <c r="B29" s="19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15">
      <c r="A30">
        <v>29</v>
      </c>
      <c r="B30" s="19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15">
      <c r="A31">
        <v>30</v>
      </c>
      <c r="B31" s="19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15">
      <c r="A32">
        <v>31</v>
      </c>
      <c r="B32" s="19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15">
      <c r="A33">
        <v>32</v>
      </c>
      <c r="B33" s="19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15">
      <c r="A34">
        <v>33</v>
      </c>
      <c r="B34" s="19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15">
      <c r="A37">
        <v>36</v>
      </c>
      <c r="B37" s="19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x14ac:dyDescent="0.15">
      <c r="A38">
        <v>37</v>
      </c>
      <c r="B38" s="190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15">
      <c r="A39">
        <v>38</v>
      </c>
      <c r="B39" s="19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15">
      <c r="A40">
        <v>39</v>
      </c>
      <c r="B40" s="190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15">
      <c r="A41">
        <v>40</v>
      </c>
      <c r="B41" s="190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3">
        <v>1</v>
      </c>
      <c r="B2" s="143" t="s">
        <v>192</v>
      </c>
      <c r="C2" s="7">
        <v>4.8570590019226074</v>
      </c>
      <c r="D2" s="8">
        <v>4.603629931807518E-4</v>
      </c>
      <c r="E2" s="8">
        <v>0.12898309528827667</v>
      </c>
      <c r="F2" s="8">
        <v>2.0799999237060547</v>
      </c>
      <c r="G2" s="8">
        <v>0.41387578845024109</v>
      </c>
      <c r="H2" s="8">
        <v>6.2011104077100754E-2</v>
      </c>
      <c r="I2">
        <v>1.4999999621068127E-5</v>
      </c>
      <c r="J2"/>
    </row>
    <row r="3" spans="1:10" ht="15" customHeight="1" x14ac:dyDescent="0.15">
      <c r="A3" s="144">
        <v>2</v>
      </c>
      <c r="B3" s="144" t="s">
        <v>193</v>
      </c>
      <c r="C3" s="7">
        <v>4.9061851501464844</v>
      </c>
      <c r="D3" s="8">
        <v>3.8363601197488606E-4</v>
      </c>
      <c r="E3" s="8">
        <v>0.15441159904003143</v>
      </c>
      <c r="F3" s="8">
        <v>2.0799999237060547</v>
      </c>
      <c r="G3" s="8">
        <v>0.50608909130096436</v>
      </c>
      <c r="H3" s="8">
        <v>7.4236348271369934E-2</v>
      </c>
      <c r="I3">
        <v>2.2000000171829015E-5</v>
      </c>
      <c r="J3"/>
    </row>
    <row r="4" spans="1:10" ht="15" customHeight="1" x14ac:dyDescent="0.15">
      <c r="A4" s="145">
        <v>3</v>
      </c>
      <c r="B4" s="145" t="s">
        <v>194</v>
      </c>
      <c r="C4" s="7">
        <v>4.9268722534179688</v>
      </c>
      <c r="D4" s="8">
        <v>1.9181800598744303E-4</v>
      </c>
      <c r="E4" s="8">
        <v>0.12046880275011063</v>
      </c>
      <c r="F4" s="8">
        <v>2.0799999237060547</v>
      </c>
      <c r="G4" s="8">
        <v>0.302703857421875</v>
      </c>
      <c r="H4" s="8">
        <v>5.7917695492506027E-2</v>
      </c>
      <c r="I4">
        <v>4.9999998736893758E-6</v>
      </c>
      <c r="J4"/>
    </row>
    <row r="5" spans="1:10" ht="15" customHeight="1" x14ac:dyDescent="0.15">
      <c r="A5" s="146">
        <v>4</v>
      </c>
      <c r="B5" s="146" t="s">
        <v>195</v>
      </c>
      <c r="C5" s="7">
        <v>4.871978759765625</v>
      </c>
      <c r="D5" s="8">
        <v>2.4999999368446879E-5</v>
      </c>
      <c r="E5" s="8">
        <v>0.15079240500926971</v>
      </c>
      <c r="F5" s="8">
        <v>4.9984450340270996</v>
      </c>
      <c r="G5" s="8">
        <v>0.26526534557342529</v>
      </c>
      <c r="H5" s="8">
        <v>3.0167862772941589E-2</v>
      </c>
      <c r="I5">
        <v>9.9999999747524271E-7</v>
      </c>
      <c r="J5"/>
    </row>
    <row r="6" spans="1:10" ht="15" customHeight="1" x14ac:dyDescent="0.15">
      <c r="A6" s="147">
        <v>5</v>
      </c>
      <c r="B6" s="147" t="s">
        <v>196</v>
      </c>
      <c r="C6" s="7">
        <v>4.0622925758361816</v>
      </c>
      <c r="D6" s="8">
        <v>1.930783037096262E-3</v>
      </c>
      <c r="E6" s="8">
        <v>8.427920937538147E-2</v>
      </c>
      <c r="F6" s="8">
        <v>26.181539535522461</v>
      </c>
      <c r="G6" s="8">
        <v>0.270620197057724</v>
      </c>
      <c r="H6" s="8">
        <v>3.2190317288041115E-3</v>
      </c>
      <c r="I6">
        <v>3.4000000596279278E-5</v>
      </c>
      <c r="J6"/>
    </row>
    <row r="7" spans="1:10" ht="15" customHeight="1" x14ac:dyDescent="0.15">
      <c r="A7" s="148">
        <v>6</v>
      </c>
      <c r="B7" s="148" t="s">
        <v>197</v>
      </c>
      <c r="C7" s="7">
        <v>3.3351945877075195</v>
      </c>
      <c r="D7" s="8">
        <v>1.0865749791264534E-2</v>
      </c>
      <c r="E7" s="8">
        <v>2.1124949678778648E-2</v>
      </c>
      <c r="F7" s="8">
        <v>5.475430965423584</v>
      </c>
      <c r="G7" s="8">
        <v>5.2819166332483292E-2</v>
      </c>
      <c r="H7" s="8">
        <v>3.8581346161663532E-3</v>
      </c>
      <c r="I7">
        <v>9.0000003183376975E-6</v>
      </c>
      <c r="J7"/>
    </row>
    <row r="8" spans="1:10" ht="15" customHeight="1" x14ac:dyDescent="0.15">
      <c r="A8" s="149">
        <v>7</v>
      </c>
      <c r="B8" s="149" t="s">
        <v>198</v>
      </c>
      <c r="C8" s="7">
        <v>3.3318982124328613</v>
      </c>
      <c r="D8" s="8">
        <v>2.7402550913393497E-3</v>
      </c>
      <c r="E8" s="8">
        <v>0.17170999944210052</v>
      </c>
      <c r="F8" s="8">
        <v>47.122749328613281</v>
      </c>
      <c r="G8" s="8">
        <v>0.18816389143466949</v>
      </c>
      <c r="H8" s="8">
        <v>3.6438875831663609E-3</v>
      </c>
      <c r="I8">
        <v>7.9999997979030013E-5</v>
      </c>
      <c r="J8"/>
    </row>
    <row r="9" spans="1:10" ht="15" customHeight="1" x14ac:dyDescent="0.15">
      <c r="A9" s="150">
        <v>8</v>
      </c>
      <c r="B9" s="150" t="s">
        <v>199</v>
      </c>
      <c r="C9" s="7">
        <v>3.4517214298248291</v>
      </c>
      <c r="D9" s="8">
        <v>9.8649202845990658E-4</v>
      </c>
      <c r="E9" s="8">
        <v>9.7222216427326202E-2</v>
      </c>
      <c r="F9" s="8">
        <v>33.778369903564453</v>
      </c>
      <c r="G9" s="8">
        <v>0.14324678480625153</v>
      </c>
      <c r="H9" s="8">
        <v>2.8782389126718044E-3</v>
      </c>
      <c r="I9">
        <v>6.0000002122251317E-6</v>
      </c>
      <c r="J9"/>
    </row>
    <row r="10" spans="1:10" ht="15" customHeight="1" x14ac:dyDescent="0.15">
      <c r="A10" s="151">
        <v>9</v>
      </c>
      <c r="B10" s="151" t="s">
        <v>200</v>
      </c>
      <c r="C10" s="7">
        <v>3.865607738494873</v>
      </c>
      <c r="D10" s="8">
        <v>3.6993438843637705E-3</v>
      </c>
      <c r="E10" s="8">
        <v>0.17622220516204834</v>
      </c>
      <c r="F10" s="8">
        <v>14.261650085449219</v>
      </c>
      <c r="G10" s="8">
        <v>0.79128336906433105</v>
      </c>
      <c r="H10" s="8">
        <v>1.2356368824839592E-2</v>
      </c>
      <c r="I10">
        <v>1.6700000560376793E-4</v>
      </c>
      <c r="J10"/>
    </row>
    <row r="11" spans="1:10" ht="15" customHeight="1" x14ac:dyDescent="0.15">
      <c r="A11" s="152">
        <v>10</v>
      </c>
      <c r="B11" s="152" t="s">
        <v>201</v>
      </c>
      <c r="C11" s="7">
        <v>3.9711513519287109</v>
      </c>
      <c r="D11" s="8">
        <v>1.0456809541210532E-3</v>
      </c>
      <c r="E11" s="8">
        <v>0.12491189688444138</v>
      </c>
      <c r="F11" s="8">
        <v>18.611650466918945</v>
      </c>
      <c r="G11" s="8">
        <v>7.3647961020469666E-2</v>
      </c>
      <c r="H11" s="8">
        <v>6.7114895209670067E-3</v>
      </c>
      <c r="I11">
        <v>1.9999999949504854E-6</v>
      </c>
      <c r="J11"/>
    </row>
    <row r="12" spans="1:10" ht="15" customHeight="1" x14ac:dyDescent="0.15">
      <c r="A12" s="153">
        <v>11</v>
      </c>
      <c r="B12" s="153" t="s">
        <v>202</v>
      </c>
      <c r="C12" s="7">
        <v>4.0772695541381836</v>
      </c>
      <c r="D12" s="8">
        <v>4.6858351677656174E-2</v>
      </c>
      <c r="E12" s="8">
        <v>0.1583867073059082</v>
      </c>
      <c r="F12" s="8">
        <v>17.271650314331055</v>
      </c>
      <c r="G12" s="8">
        <v>0.41255661845207214</v>
      </c>
      <c r="H12" s="8">
        <v>9.1703282669186592E-3</v>
      </c>
      <c r="I12">
        <v>3.9299999480135739E-4</v>
      </c>
      <c r="J12"/>
    </row>
    <row r="13" spans="1:10" ht="15" customHeight="1" x14ac:dyDescent="0.15">
      <c r="A13" s="154">
        <v>12</v>
      </c>
      <c r="B13" s="154" t="s">
        <v>203</v>
      </c>
      <c r="C13" s="7">
        <v>4.1026239395141602</v>
      </c>
      <c r="D13" s="8">
        <v>1.0000000474974513E-3</v>
      </c>
      <c r="E13" s="8">
        <v>0.12553690373897552</v>
      </c>
      <c r="F13" s="8">
        <v>15.660360336303711</v>
      </c>
      <c r="G13" s="8">
        <v>0.68835031986236572</v>
      </c>
      <c r="H13" s="8">
        <v>8.0162202939391136E-3</v>
      </c>
      <c r="I13">
        <v>1.4000000192027073E-5</v>
      </c>
      <c r="J13"/>
    </row>
    <row r="14" spans="1:10" ht="15" customHeight="1" x14ac:dyDescent="0.15">
      <c r="A14" s="155">
        <v>13</v>
      </c>
      <c r="B14" s="155" t="s">
        <v>204</v>
      </c>
      <c r="C14" s="7">
        <v>3.6937301158905029</v>
      </c>
      <c r="D14" s="8">
        <v>2.0716320723295212E-3</v>
      </c>
      <c r="E14" s="8">
        <v>6.5800003707408905E-2</v>
      </c>
      <c r="F14" s="8">
        <v>21.448020935058594</v>
      </c>
      <c r="G14" s="8">
        <v>0.280525803565979</v>
      </c>
      <c r="H14" s="8">
        <v>3.0678822658956051E-3</v>
      </c>
      <c r="I14">
        <v>3.3000000257743523E-5</v>
      </c>
      <c r="J14"/>
    </row>
    <row r="15" spans="1:10" ht="15" customHeight="1" x14ac:dyDescent="0.15">
      <c r="A15" s="156">
        <v>14</v>
      </c>
      <c r="B15" s="156" t="s">
        <v>205</v>
      </c>
      <c r="C15" s="7">
        <v>3.8734261989593506</v>
      </c>
      <c r="D15" s="8">
        <v>2.4662289768457413E-2</v>
      </c>
      <c r="E15" s="8">
        <v>6.3597783446311951E-2</v>
      </c>
      <c r="F15" s="8">
        <v>16.712860107421875</v>
      </c>
      <c r="G15" s="8">
        <v>0.13272054493427277</v>
      </c>
      <c r="H15" s="8">
        <v>3.8053202442824841E-3</v>
      </c>
      <c r="I15">
        <v>6.0499998653540388E-5</v>
      </c>
      <c r="J15"/>
    </row>
    <row r="16" spans="1:10" ht="15" customHeight="1" x14ac:dyDescent="0.15">
      <c r="A16" s="157">
        <v>15</v>
      </c>
      <c r="B16" s="157" t="s">
        <v>206</v>
      </c>
      <c r="C16" s="7">
        <v>3.8684756755828857</v>
      </c>
      <c r="D16" s="8">
        <v>1.463789027184248E-3</v>
      </c>
      <c r="E16" s="8">
        <v>8.7300002574920654E-2</v>
      </c>
      <c r="F16" s="8">
        <v>16.623210906982422</v>
      </c>
      <c r="G16" s="8">
        <v>0.56433463096618652</v>
      </c>
      <c r="H16" s="8">
        <v>5.2516930736601353E-3</v>
      </c>
      <c r="I16">
        <v>1.4000000192027073E-5</v>
      </c>
      <c r="J16"/>
    </row>
    <row r="17" spans="1:10" ht="15" customHeight="1" x14ac:dyDescent="0.15">
      <c r="A17" s="158">
        <v>16</v>
      </c>
      <c r="B17" s="158" t="s">
        <v>207</v>
      </c>
      <c r="C17" s="7">
        <v>3.8391103744506836</v>
      </c>
      <c r="D17" s="8">
        <v>6.4999997615814209E-2</v>
      </c>
      <c r="E17" s="8">
        <v>0.37000000476837158</v>
      </c>
      <c r="F17" s="8">
        <v>1.4800000190734863</v>
      </c>
      <c r="G17" s="8">
        <v>9.7120039165019989E-2</v>
      </c>
      <c r="H17" s="8">
        <v>0.25</v>
      </c>
      <c r="I17">
        <v>3.2500000088475645E-4</v>
      </c>
      <c r="J17"/>
    </row>
    <row r="18" spans="1:10" ht="15" customHeight="1" x14ac:dyDescent="0.15">
      <c r="A18" s="159">
        <v>17</v>
      </c>
      <c r="B18" s="159" t="s">
        <v>208</v>
      </c>
      <c r="C18" s="7">
        <v>3.3001387119293213</v>
      </c>
      <c r="D18" s="8">
        <v>0.17951153218746185</v>
      </c>
      <c r="E18" s="8">
        <v>0.20000000298023224</v>
      </c>
      <c r="F18" s="8">
        <v>1.5</v>
      </c>
      <c r="G18" s="8">
        <v>0.95000004768371582</v>
      </c>
      <c r="H18" s="8">
        <v>0.13333334028720856</v>
      </c>
      <c r="I18">
        <v>4.6213199311750941E-7</v>
      </c>
      <c r="J18"/>
    </row>
    <row r="19" spans="1:10" ht="15" customHeight="1" x14ac:dyDescent="0.15">
      <c r="A19" s="160">
        <v>18</v>
      </c>
      <c r="B19" s="160" t="s">
        <v>209</v>
      </c>
      <c r="C19" s="7">
        <v>3.4501655101776123</v>
      </c>
      <c r="D19" s="8">
        <v>5.1320239901542664E-2</v>
      </c>
      <c r="E19" s="8">
        <v>0.51999998092651367</v>
      </c>
      <c r="F19" s="8">
        <v>7.1500000953674316</v>
      </c>
      <c r="G19" s="8">
        <v>0.95000004768371582</v>
      </c>
      <c r="H19" s="8">
        <v>7.2727270424365997E-2</v>
      </c>
      <c r="I19">
        <v>1.3203799831273955E-8</v>
      </c>
      <c r="J19"/>
    </row>
    <row r="20" spans="1:10" ht="15" customHeight="1" x14ac:dyDescent="0.15">
      <c r="A20" s="161">
        <v>19</v>
      </c>
      <c r="B20" s="161" t="s">
        <v>210</v>
      </c>
      <c r="C20" s="7">
        <v>3.2347519397735596</v>
      </c>
      <c r="D20" s="8">
        <v>0.68181407451629639</v>
      </c>
      <c r="E20" s="8">
        <v>0.4699999988079071</v>
      </c>
      <c r="F20" s="8">
        <v>1.8500000238418579</v>
      </c>
      <c r="G20" s="8">
        <v>0.95000016689300537</v>
      </c>
      <c r="H20" s="8">
        <v>0.25405403971672058</v>
      </c>
      <c r="I20">
        <v>2.6407599307276541E-7</v>
      </c>
      <c r="J20"/>
    </row>
    <row r="21" spans="1:10" ht="15" customHeight="1" x14ac:dyDescent="0.15">
      <c r="A21" s="162">
        <v>20</v>
      </c>
      <c r="B21" s="162" t="s">
        <v>211</v>
      </c>
      <c r="C21" s="7">
        <v>3.1882848739624023</v>
      </c>
      <c r="D21" s="8">
        <v>0.24764224886894226</v>
      </c>
      <c r="E21" s="8">
        <v>0.69999998807907104</v>
      </c>
      <c r="F21" s="8">
        <v>3.2692310810089111</v>
      </c>
      <c r="G21" s="8">
        <v>0.94999998807907104</v>
      </c>
      <c r="H21" s="8">
        <v>0.2141176164150238</v>
      </c>
      <c r="I21">
        <v>2.6407599307276541E-7</v>
      </c>
      <c r="J21"/>
    </row>
    <row r="22" spans="1:10" ht="15" customHeight="1" x14ac:dyDescent="0.15">
      <c r="A22" s="163">
        <v>21</v>
      </c>
      <c r="B22" s="163" t="s">
        <v>212</v>
      </c>
      <c r="C22" s="7">
        <v>3.1317155361175537</v>
      </c>
      <c r="D22" s="8">
        <v>0.3040148913860321</v>
      </c>
      <c r="E22" s="8">
        <v>1.7000000476837158</v>
      </c>
      <c r="F22" s="8">
        <v>4.8000001907348633</v>
      </c>
      <c r="G22" s="8">
        <v>0.94999998807907104</v>
      </c>
      <c r="H22" s="8">
        <v>0.3541666567325592</v>
      </c>
      <c r="I22">
        <v>1.3203799653638271E-7</v>
      </c>
      <c r="J22"/>
    </row>
    <row r="23" spans="1:10" ht="15" customHeight="1" x14ac:dyDescent="0.15">
      <c r="A23" s="164">
        <v>22</v>
      </c>
      <c r="B23" s="164" t="s">
        <v>213</v>
      </c>
      <c r="C23" s="7">
        <v>3.1280238628387451</v>
      </c>
      <c r="D23" s="8">
        <v>0.51214593648910522</v>
      </c>
      <c r="E23" s="8">
        <v>0.85000002384185791</v>
      </c>
      <c r="F23" s="8">
        <v>3.4500000476837158</v>
      </c>
      <c r="G23" s="8">
        <v>0.95000004768371582</v>
      </c>
      <c r="H23" s="8">
        <v>0.24637681245803833</v>
      </c>
      <c r="I23">
        <v>3.9611300906017277E-8</v>
      </c>
      <c r="J23"/>
    </row>
    <row r="24" spans="1:10" ht="15" customHeight="1" x14ac:dyDescent="0.15">
      <c r="A24" s="165">
        <v>23</v>
      </c>
      <c r="B24" s="165" t="s">
        <v>214</v>
      </c>
      <c r="C24" s="7">
        <v>4.032745361328125</v>
      </c>
      <c r="D24" s="8">
        <v>3.1796723760635359E-6</v>
      </c>
      <c r="E24" s="8">
        <v>0.2199999988079071</v>
      </c>
      <c r="F24" s="8">
        <v>1.25</v>
      </c>
      <c r="G24" s="8">
        <v>0.94999980926513672</v>
      </c>
      <c r="H24" s="8">
        <v>0.17599999904632568</v>
      </c>
      <c r="I24">
        <v>0</v>
      </c>
      <c r="J24"/>
    </row>
    <row r="25" spans="1:10" ht="15" customHeight="1" x14ac:dyDescent="0.15">
      <c r="A25" s="166">
        <v>24</v>
      </c>
      <c r="B25" s="166" t="s">
        <v>215</v>
      </c>
      <c r="C25" s="7">
        <v>2.9475064277648926</v>
      </c>
      <c r="D25" s="8">
        <v>0.25602889060974121</v>
      </c>
      <c r="E25" s="8">
        <v>0.93199998140335083</v>
      </c>
      <c r="F25" s="8">
        <v>3.0176470279693604</v>
      </c>
      <c r="G25" s="8">
        <v>0.95000016689300537</v>
      </c>
      <c r="H25" s="8">
        <v>0.30884990096092224</v>
      </c>
      <c r="I25">
        <v>6.6018898792208347E-8</v>
      </c>
      <c r="J25"/>
    </row>
    <row r="26" spans="1:10" ht="15" customHeight="1" x14ac:dyDescent="0.15">
      <c r="A26" s="167">
        <v>25</v>
      </c>
      <c r="B26" s="167" t="s">
        <v>216</v>
      </c>
      <c r="C26" s="7">
        <v>3.2157912254333496</v>
      </c>
      <c r="D26" s="8">
        <v>1.4528774656355381E-2</v>
      </c>
      <c r="E26" s="8">
        <v>3.5</v>
      </c>
      <c r="F26" s="8">
        <v>5.7981820106506348</v>
      </c>
      <c r="G26" s="8">
        <v>0.95000016689300537</v>
      </c>
      <c r="H26" s="8">
        <v>0.6036374568939209</v>
      </c>
      <c r="I26">
        <v>2.6407599662547909E-8</v>
      </c>
      <c r="J26"/>
    </row>
    <row r="27" spans="1:10" ht="15" customHeight="1" x14ac:dyDescent="0.15">
      <c r="A27" s="168">
        <v>26</v>
      </c>
      <c r="B27" s="168" t="s">
        <v>217</v>
      </c>
      <c r="C27" s="7">
        <v>3.6451675891876221</v>
      </c>
      <c r="D27" s="8">
        <v>9.7079858183860779E-2</v>
      </c>
      <c r="E27" s="8">
        <v>1.5</v>
      </c>
      <c r="F27" s="8">
        <v>5</v>
      </c>
      <c r="G27" s="8">
        <v>0.95000004768371582</v>
      </c>
      <c r="H27" s="8">
        <v>0.30000001192092896</v>
      </c>
      <c r="I27">
        <v>0</v>
      </c>
      <c r="J27"/>
    </row>
    <row r="28" spans="1:10" ht="15" customHeight="1" x14ac:dyDescent="0.15">
      <c r="A28" s="169">
        <v>27</v>
      </c>
      <c r="B28" s="169" t="s">
        <v>218</v>
      </c>
      <c r="C28" s="7">
        <v>2.7106282711029053</v>
      </c>
      <c r="D28" s="8">
        <v>7.5</v>
      </c>
      <c r="E28" s="8">
        <v>1</v>
      </c>
      <c r="F28" s="8">
        <v>3</v>
      </c>
      <c r="G28" s="8">
        <v>0.19064654409885406</v>
      </c>
      <c r="H28" s="8">
        <v>0.3333333432674408</v>
      </c>
      <c r="I28">
        <v>0</v>
      </c>
      <c r="J28"/>
    </row>
    <row r="29" spans="1:10" ht="15" customHeight="1" x14ac:dyDescent="0.15">
      <c r="A29" s="170">
        <v>28</v>
      </c>
      <c r="B29" s="170" t="s">
        <v>219</v>
      </c>
      <c r="C29" s="7">
        <v>2.7867352962493896</v>
      </c>
      <c r="D29" s="8">
        <v>2.1480000019073486</v>
      </c>
      <c r="E29" s="8">
        <v>3.2999999523162842</v>
      </c>
      <c r="F29" s="8">
        <v>13.199999809265137</v>
      </c>
      <c r="G29" s="8">
        <v>0.73323017358779907</v>
      </c>
      <c r="H29" s="8">
        <v>0.25</v>
      </c>
      <c r="I29">
        <v>0</v>
      </c>
      <c r="J29"/>
    </row>
    <row r="30" spans="1:10" ht="15" customHeight="1" x14ac:dyDescent="0.15">
      <c r="A30" s="171">
        <v>29</v>
      </c>
      <c r="B30" s="171" t="s">
        <v>220</v>
      </c>
      <c r="C30" s="7">
        <v>2.0499999523162842</v>
      </c>
      <c r="D30" s="8">
        <v>4.0149998664855957</v>
      </c>
      <c r="E30" s="8">
        <v>16</v>
      </c>
      <c r="F30" s="8">
        <v>64</v>
      </c>
      <c r="G30" s="8">
        <v>0.45728865265846252</v>
      </c>
      <c r="H30" s="8">
        <v>0.25</v>
      </c>
      <c r="I30">
        <v>0</v>
      </c>
      <c r="J30"/>
    </row>
    <row r="31" spans="1:10" ht="15" customHeight="1" x14ac:dyDescent="0.15">
      <c r="A31" s="172">
        <v>30</v>
      </c>
      <c r="B31" s="172" t="s">
        <v>221</v>
      </c>
      <c r="C31" s="7">
        <v>2.4097955226898193</v>
      </c>
      <c r="D31" s="8">
        <v>1.7999999523162842</v>
      </c>
      <c r="E31" s="8">
        <v>3.5999999046325684</v>
      </c>
      <c r="F31" s="8">
        <v>14.399999618530273</v>
      </c>
      <c r="G31" s="8">
        <v>0.49980714917182922</v>
      </c>
      <c r="H31" s="8">
        <v>0.25</v>
      </c>
      <c r="I31">
        <v>0</v>
      </c>
      <c r="J31"/>
    </row>
    <row r="32" spans="1:10" ht="15" customHeight="1" x14ac:dyDescent="0.15">
      <c r="A32" s="200">
        <v>31</v>
      </c>
      <c r="B32" s="200" t="s">
        <v>222</v>
      </c>
      <c r="C32" s="7">
        <v>2.3358919620513916</v>
      </c>
      <c r="D32" s="8">
        <v>1.2100000381469727</v>
      </c>
      <c r="E32" s="8">
        <v>10</v>
      </c>
      <c r="F32" s="8">
        <v>40</v>
      </c>
      <c r="G32" s="8">
        <v>0.51211041212081909</v>
      </c>
      <c r="H32" s="8">
        <v>0.25</v>
      </c>
      <c r="I32">
        <v>0</v>
      </c>
      <c r="J32"/>
    </row>
    <row r="33" spans="1:10" ht="15" customHeight="1" x14ac:dyDescent="0.15">
      <c r="A33" s="201">
        <v>32</v>
      </c>
      <c r="B33" s="201" t="s">
        <v>223</v>
      </c>
      <c r="C33" s="7">
        <v>2</v>
      </c>
      <c r="D33" s="8">
        <v>2.1805410385131836</v>
      </c>
      <c r="E33" s="8">
        <v>15</v>
      </c>
      <c r="F33" s="8">
        <v>45</v>
      </c>
      <c r="G33" s="8">
        <v>0.94999992847442627</v>
      </c>
      <c r="H33" s="8">
        <v>0.3333333432674408</v>
      </c>
      <c r="I33">
        <v>0</v>
      </c>
      <c r="J33"/>
    </row>
    <row r="34" spans="1:10" ht="15" customHeight="1" x14ac:dyDescent="0.15">
      <c r="A34" s="202">
        <v>33</v>
      </c>
      <c r="B34" s="202" t="s">
        <v>224</v>
      </c>
      <c r="C34" s="7">
        <v>2.274918794631958</v>
      </c>
      <c r="D34" s="8">
        <v>5.4204115867614746</v>
      </c>
      <c r="E34" s="8">
        <v>0.60000002384185791</v>
      </c>
      <c r="F34" s="8">
        <v>4</v>
      </c>
      <c r="G34" s="8">
        <v>0.95000004768371582</v>
      </c>
      <c r="H34" s="8">
        <v>0.15000000596046448</v>
      </c>
      <c r="I34">
        <v>0</v>
      </c>
      <c r="J34"/>
    </row>
    <row r="35" spans="1:10" ht="15" customHeight="1" x14ac:dyDescent="0.15">
      <c r="A35" s="203">
        <v>34</v>
      </c>
      <c r="B35" s="203" t="s">
        <v>225</v>
      </c>
      <c r="C35" s="7">
        <v>2.5744855403900146</v>
      </c>
      <c r="D35" s="8">
        <v>8.0197896957397461</v>
      </c>
      <c r="E35" s="8">
        <v>0.30000001192092896</v>
      </c>
      <c r="F35" s="8">
        <v>1</v>
      </c>
      <c r="G35" s="8">
        <v>0.95000004768371582</v>
      </c>
      <c r="H35" s="8">
        <v>0.30000001192092896</v>
      </c>
      <c r="I35">
        <v>0</v>
      </c>
      <c r="J35"/>
    </row>
    <row r="36" spans="1:10" ht="15" customHeight="1" x14ac:dyDescent="0.15">
      <c r="A36" s="204">
        <v>35</v>
      </c>
      <c r="B36" s="204" t="s">
        <v>226</v>
      </c>
      <c r="C36" s="7">
        <v>2.1482944488525391</v>
      </c>
      <c r="D36" s="8">
        <v>5.3262748718261719</v>
      </c>
      <c r="E36" s="8">
        <v>0.56999999284744263</v>
      </c>
      <c r="F36" s="8">
        <v>6.3000001907348633</v>
      </c>
      <c r="G36" s="8">
        <v>0.95000004768371582</v>
      </c>
      <c r="H36" s="8">
        <v>9.0476185083389282E-2</v>
      </c>
      <c r="I36">
        <v>0</v>
      </c>
      <c r="J36"/>
    </row>
    <row r="37" spans="1:10" ht="15" customHeight="1" x14ac:dyDescent="0.15">
      <c r="A37" s="205">
        <v>36</v>
      </c>
      <c r="B37" s="205" t="s">
        <v>227</v>
      </c>
      <c r="C37" s="7">
        <v>2.0913558006286621</v>
      </c>
      <c r="D37" s="8">
        <v>2.8935885429382324</v>
      </c>
      <c r="E37" s="8">
        <v>2.5</v>
      </c>
      <c r="F37" s="8">
        <v>12.5</v>
      </c>
      <c r="G37" s="8">
        <v>0.9500001072883606</v>
      </c>
      <c r="H37" s="8">
        <v>0.20000000298023224</v>
      </c>
      <c r="I37">
        <v>0</v>
      </c>
      <c r="J37"/>
    </row>
    <row r="38" spans="1:10" ht="15" customHeight="1" x14ac:dyDescent="0.15">
      <c r="A38" s="206">
        <v>37</v>
      </c>
      <c r="B38" s="206" t="s">
        <v>228</v>
      </c>
      <c r="C38" s="7">
        <v>1</v>
      </c>
      <c r="D38" s="8">
        <v>8</v>
      </c>
      <c r="E38" s="8">
        <v>46.458641052246094</v>
      </c>
      <c r="F38" s="9"/>
      <c r="G38" s="8">
        <v>0.80000001192092896</v>
      </c>
      <c r="H38" s="9"/>
      <c r="I38">
        <v>0</v>
      </c>
      <c r="J38"/>
    </row>
    <row r="39" spans="1:10" ht="15" customHeight="1" x14ac:dyDescent="0.15">
      <c r="A39" s="207">
        <v>38</v>
      </c>
      <c r="B39" s="207" t="s">
        <v>229</v>
      </c>
      <c r="C39" s="7">
        <v>1</v>
      </c>
      <c r="D39" s="8">
        <v>3.5</v>
      </c>
      <c r="E39" s="8">
        <v>45.328639984130859</v>
      </c>
      <c r="F39" s="9"/>
      <c r="G39" s="8">
        <v>0.65000003576278687</v>
      </c>
      <c r="H39" s="9"/>
      <c r="I39">
        <v>0</v>
      </c>
      <c r="J39"/>
    </row>
    <row r="40" spans="1:10" ht="15" customHeight="1" x14ac:dyDescent="0.15">
      <c r="A40" s="208">
        <v>39</v>
      </c>
      <c r="B40" s="208" t="s">
        <v>230</v>
      </c>
      <c r="C40" s="7">
        <v>1</v>
      </c>
      <c r="D40" s="8">
        <v>8.999999612569809E-3</v>
      </c>
      <c r="E40" s="9"/>
      <c r="F40" s="9"/>
      <c r="G40" s="8">
        <v>0.37431409955024719</v>
      </c>
      <c r="H40" s="9"/>
      <c r="I40">
        <v>0</v>
      </c>
      <c r="J40"/>
    </row>
    <row r="41" spans="1:10" ht="15" customHeight="1" x14ac:dyDescent="0.15">
      <c r="A41" s="209">
        <v>40</v>
      </c>
      <c r="B41" s="209" t="s">
        <v>231</v>
      </c>
      <c r="C41" s="7">
        <v>1</v>
      </c>
      <c r="D41" s="8">
        <v>0.33000001311302185</v>
      </c>
      <c r="E41" s="9"/>
      <c r="F41" s="9"/>
      <c r="G41" s="8">
        <v>0.21955835819244385</v>
      </c>
      <c r="H41" s="9"/>
      <c r="I41">
        <v>0</v>
      </c>
      <c r="J41"/>
    </row>
    <row r="42" spans="1:10" ht="15" customHeight="1" x14ac:dyDescent="0.15">
      <c r="A42" s="210">
        <v>41</v>
      </c>
      <c r="B42" s="210" t="s">
        <v>193</v>
      </c>
      <c r="C42" s="7">
        <v>5.9061851501464844</v>
      </c>
      <c r="D42" s="9"/>
      <c r="E42" s="9"/>
      <c r="F42" s="9"/>
      <c r="G42" s="9"/>
      <c r="H42" s="9"/>
      <c r="I42">
        <v>2.2000000171829015E-5</v>
      </c>
      <c r="J42"/>
    </row>
    <row r="43" spans="1:10" ht="15" customHeight="1" x14ac:dyDescent="0.15">
      <c r="A43" s="211">
        <v>42</v>
      </c>
      <c r="B43" s="211" t="s">
        <v>232</v>
      </c>
      <c r="C43" s="7">
        <v>5.8570590019226074</v>
      </c>
      <c r="D43" s="9"/>
      <c r="E43" s="9"/>
      <c r="F43" s="9"/>
      <c r="G43" s="9"/>
      <c r="H43" s="9"/>
      <c r="I43">
        <v>1.4999999621068127E-5</v>
      </c>
      <c r="J43"/>
    </row>
    <row r="44" spans="1:10" ht="15" customHeight="1" x14ac:dyDescent="0.15">
      <c r="A44" s="212">
        <v>43</v>
      </c>
      <c r="B44" s="212" t="s">
        <v>233</v>
      </c>
      <c r="C44" s="7">
        <v>5.9268732070922852</v>
      </c>
      <c r="D44" s="9"/>
      <c r="E44" s="9"/>
      <c r="F44" s="9"/>
      <c r="G44" s="9"/>
      <c r="H44" s="9"/>
      <c r="I44">
        <v>4.9999998736893758E-6</v>
      </c>
      <c r="J44"/>
    </row>
    <row r="45" spans="1:10" ht="15" customHeight="1" x14ac:dyDescent="0.15">
      <c r="A45" s="213">
        <v>44</v>
      </c>
      <c r="B45" s="213" t="s">
        <v>234</v>
      </c>
      <c r="C45" s="7">
        <v>5.8719782829284668</v>
      </c>
      <c r="D45" s="9"/>
      <c r="E45" s="9"/>
      <c r="F45" s="9"/>
      <c r="G45" s="9"/>
      <c r="H45" s="9"/>
      <c r="I45">
        <v>9.9999999747524271E-7</v>
      </c>
      <c r="J45"/>
    </row>
    <row r="46" spans="1:10" ht="15" customHeight="1" x14ac:dyDescent="0.15">
      <c r="A46" s="214">
        <v>45</v>
      </c>
      <c r="B46" s="214" t="s">
        <v>197</v>
      </c>
      <c r="C46" s="7">
        <v>4.3351945877075195</v>
      </c>
      <c r="D46" s="9"/>
      <c r="E46" s="9"/>
      <c r="F46" s="9"/>
      <c r="G46" s="9"/>
      <c r="H46" s="9"/>
      <c r="I46">
        <v>9.0000003183376975E-6</v>
      </c>
      <c r="J46"/>
    </row>
    <row r="47" spans="1:10" ht="15" customHeight="1" x14ac:dyDescent="0.15">
      <c r="A47" s="215">
        <v>46</v>
      </c>
      <c r="B47" s="215" t="s">
        <v>196</v>
      </c>
      <c r="C47" s="7">
        <v>5.0622930526733398</v>
      </c>
      <c r="D47" s="9"/>
      <c r="E47" s="9"/>
      <c r="F47" s="9"/>
      <c r="G47" s="9"/>
      <c r="H47" s="9"/>
      <c r="I47">
        <v>3.4000000596279278E-5</v>
      </c>
      <c r="J47"/>
    </row>
    <row r="48" spans="1:10" ht="15" customHeight="1" x14ac:dyDescent="0.15">
      <c r="A48" s="216">
        <v>47</v>
      </c>
      <c r="B48" s="216" t="s">
        <v>235</v>
      </c>
      <c r="C48" s="7">
        <v>4.3318982124328613</v>
      </c>
      <c r="D48" s="9"/>
      <c r="E48" s="9"/>
      <c r="F48" s="9"/>
      <c r="G48" s="9"/>
      <c r="H48" s="9"/>
      <c r="I48">
        <v>7.9999997979030013E-5</v>
      </c>
      <c r="J48"/>
    </row>
    <row r="49" spans="1:10" ht="15" customHeight="1" x14ac:dyDescent="0.15">
      <c r="A49" s="217">
        <v>48</v>
      </c>
      <c r="B49" s="217" t="s">
        <v>236</v>
      </c>
      <c r="C49" s="7">
        <v>4.4517216682434082</v>
      </c>
      <c r="D49" s="9"/>
      <c r="E49" s="9"/>
      <c r="F49" s="9"/>
      <c r="G49" s="9"/>
      <c r="H49" s="9"/>
      <c r="I49">
        <v>6.0000002122251317E-6</v>
      </c>
      <c r="J49"/>
    </row>
    <row r="50" spans="1:10" ht="15" customHeight="1" x14ac:dyDescent="0.15">
      <c r="A50" s="218">
        <v>49</v>
      </c>
      <c r="B50" s="218" t="s">
        <v>204</v>
      </c>
      <c r="C50" s="7">
        <v>4.693730354309082</v>
      </c>
      <c r="D50" s="9"/>
      <c r="E50" s="9"/>
      <c r="F50" s="9"/>
      <c r="G50" s="9"/>
      <c r="H50" s="9"/>
      <c r="I50">
        <v>3.3000000257743523E-5</v>
      </c>
      <c r="J50"/>
    </row>
    <row r="51" spans="1:10" ht="15" customHeight="1" x14ac:dyDescent="0.15">
      <c r="A51" s="219">
        <v>50</v>
      </c>
      <c r="B51" s="219" t="s">
        <v>205</v>
      </c>
      <c r="C51" s="7">
        <v>4.8734254837036133</v>
      </c>
      <c r="D51" s="9"/>
      <c r="E51" s="9"/>
      <c r="F51" s="9"/>
      <c r="G51" s="9"/>
      <c r="H51" s="9"/>
      <c r="I51">
        <v>6.0499998653540388E-5</v>
      </c>
      <c r="J51"/>
    </row>
    <row r="52" spans="1:10" ht="15" customHeight="1" x14ac:dyDescent="0.15">
      <c r="A52" s="220">
        <v>51</v>
      </c>
      <c r="B52" s="220" t="s">
        <v>237</v>
      </c>
      <c r="C52" s="7">
        <v>4.8684768676757812</v>
      </c>
      <c r="D52" s="9"/>
      <c r="E52" s="9"/>
      <c r="F52" s="9"/>
      <c r="G52" s="9"/>
      <c r="H52" s="9"/>
      <c r="I52">
        <v>1.4000000192027073E-5</v>
      </c>
      <c r="J52"/>
    </row>
    <row r="53" spans="1:10" ht="15" customHeight="1" x14ac:dyDescent="0.15">
      <c r="A53" s="221">
        <v>52</v>
      </c>
      <c r="B53" s="221" t="s">
        <v>238</v>
      </c>
      <c r="C53" s="7">
        <v>5.016150951385498</v>
      </c>
      <c r="D53" s="9"/>
      <c r="E53" s="9"/>
      <c r="F53" s="9"/>
      <c r="G53" s="9"/>
      <c r="H53" s="9"/>
      <c r="I53">
        <v>5.7599996216595173E-4</v>
      </c>
      <c r="J53"/>
    </row>
    <row r="54" spans="1:10" ht="15" customHeight="1" x14ac:dyDescent="0.15">
      <c r="A54" s="222">
        <v>53</v>
      </c>
      <c r="B54" s="222" t="s">
        <v>239</v>
      </c>
      <c r="C54" s="7">
        <v>4.8391098976135254</v>
      </c>
      <c r="D54" s="9"/>
      <c r="E54" s="9"/>
      <c r="F54" s="9"/>
      <c r="G54" s="9"/>
      <c r="H54" s="9"/>
      <c r="I54">
        <v>3.2500000088475645E-4</v>
      </c>
      <c r="J54"/>
    </row>
    <row r="55" spans="1:10" ht="15" customHeight="1" x14ac:dyDescent="0.15">
      <c r="A55" s="223">
        <v>54</v>
      </c>
      <c r="B55" s="223" t="s">
        <v>240</v>
      </c>
      <c r="C55" s="7">
        <v>4.2217302322387695</v>
      </c>
      <c r="D55" s="9"/>
      <c r="E55" s="9"/>
      <c r="F55" s="9"/>
      <c r="G55" s="9"/>
      <c r="H55" s="9"/>
      <c r="I55">
        <v>1.2675635616687941E-6</v>
      </c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245</v>
      </c>
      <c r="E1" t="s">
        <v>246</v>
      </c>
      <c r="F1" t="s">
        <v>247</v>
      </c>
      <c r="G1" t="s">
        <v>248</v>
      </c>
      <c r="H1" t="s">
        <v>249</v>
      </c>
      <c r="I1" t="s">
        <v>250</v>
      </c>
      <c r="J1" t="s">
        <v>251</v>
      </c>
      <c r="K1" t="s">
        <v>252</v>
      </c>
      <c r="L1" t="s">
        <v>253</v>
      </c>
      <c r="M1" t="s">
        <v>254</v>
      </c>
      <c r="N1" t="s">
        <v>255</v>
      </c>
      <c r="O1" t="s">
        <v>256</v>
      </c>
      <c r="P1" t="s">
        <v>257</v>
      </c>
      <c r="Q1" t="s">
        <v>258</v>
      </c>
      <c r="R1" t="s">
        <v>192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199</v>
      </c>
      <c r="Z1" t="s">
        <v>200</v>
      </c>
      <c r="AA1" t="s">
        <v>201</v>
      </c>
      <c r="AB1" t="s">
        <v>202</v>
      </c>
      <c r="AC1" t="s">
        <v>203</v>
      </c>
      <c r="AD1" t="s">
        <v>204</v>
      </c>
      <c r="AE1" t="s">
        <v>205</v>
      </c>
      <c r="AF1" t="s">
        <v>206</v>
      </c>
      <c r="AG1" t="s">
        <v>207</v>
      </c>
      <c r="AH1" t="s">
        <v>208</v>
      </c>
      <c r="AI1" t="s">
        <v>209</v>
      </c>
      <c r="AJ1" t="s">
        <v>210</v>
      </c>
      <c r="AK1" t="s">
        <v>211</v>
      </c>
      <c r="AL1" t="s">
        <v>212</v>
      </c>
      <c r="AM1" t="s">
        <v>213</v>
      </c>
      <c r="AN1" t="s">
        <v>214</v>
      </c>
      <c r="AO1" t="s">
        <v>215</v>
      </c>
      <c r="AP1" t="s">
        <v>216</v>
      </c>
      <c r="AQ1" t="s">
        <v>217</v>
      </c>
      <c r="AR1" t="s">
        <v>218</v>
      </c>
      <c r="AS1" t="s">
        <v>219</v>
      </c>
      <c r="AT1" t="s">
        <v>220</v>
      </c>
      <c r="AU1" t="s">
        <v>221</v>
      </c>
      <c r="AV1" t="s">
        <v>222</v>
      </c>
      <c r="AW1" t="s">
        <v>223</v>
      </c>
      <c r="AX1" t="s">
        <v>224</v>
      </c>
      <c r="AY1" t="s">
        <v>225</v>
      </c>
      <c r="AZ1" t="s">
        <v>226</v>
      </c>
      <c r="BA1" t="s">
        <v>227</v>
      </c>
      <c r="BB1" t="s">
        <v>228</v>
      </c>
      <c r="BC1" t="s">
        <v>229</v>
      </c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0.12898309528827667</v>
      </c>
      <c r="C2">
        <v>7.5600117444992065E-2</v>
      </c>
      <c r="D2"/>
      <c r="E2" s="142">
        <v>3.2582983374595642E-2</v>
      </c>
      <c r="F2"/>
      <c r="G2"/>
      <c r="H2"/>
      <c r="I2"/>
      <c r="J2"/>
      <c r="K2"/>
      <c r="L2"/>
      <c r="M2"/>
      <c r="N2"/>
      <c r="O2"/>
      <c r="P2"/>
      <c r="Q2"/>
      <c r="R2" s="239">
        <v>2.0799998193979263E-2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0.15441159904003143</v>
      </c>
      <c r="C3">
        <v>7.6265573501586914E-2</v>
      </c>
      <c r="D3" s="224">
        <v>5.7346023619174957E-2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 s="238">
        <v>2.0799998193979263E-2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0.12046880275011063</v>
      </c>
      <c r="C4">
        <v>8.4002427756786346E-2</v>
      </c>
      <c r="D4"/>
      <c r="E4"/>
      <c r="F4" s="136">
        <v>2.6066374033689499E-2</v>
      </c>
      <c r="G4"/>
      <c r="H4"/>
      <c r="I4"/>
      <c r="J4"/>
      <c r="K4"/>
      <c r="L4"/>
      <c r="M4"/>
      <c r="N4"/>
      <c r="O4"/>
      <c r="P4"/>
      <c r="Q4"/>
      <c r="R4"/>
      <c r="S4"/>
      <c r="T4" s="236">
        <v>1.0399999096989632E-2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0.15079240500926971</v>
      </c>
      <c r="C5">
        <v>0.11079240590333939</v>
      </c>
      <c r="D5"/>
      <c r="E5"/>
      <c r="F5"/>
      <c r="G5" s="225">
        <v>3.9999999105930328E-2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8.427920937538147E-2</v>
      </c>
      <c r="C6">
        <v>6.1471551656723022E-2</v>
      </c>
      <c r="D6"/>
      <c r="E6"/>
      <c r="F6"/>
      <c r="G6"/>
      <c r="H6"/>
      <c r="I6" s="227">
        <v>1.7609436064958572E-2</v>
      </c>
      <c r="J6"/>
      <c r="K6"/>
      <c r="L6"/>
      <c r="M6"/>
      <c r="N6"/>
      <c r="O6"/>
      <c r="P6"/>
      <c r="Q6"/>
      <c r="R6"/>
      <c r="S6"/>
      <c r="T6"/>
      <c r="U6" s="141">
        <v>5.1776343025267124E-3</v>
      </c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 s="10">
        <v>2.0585379388649017E-5</v>
      </c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2.1124949678778648E-2</v>
      </c>
      <c r="C7">
        <v>2.0009147003293037E-2</v>
      </c>
      <c r="D7"/>
      <c r="E7"/>
      <c r="F7"/>
      <c r="G7"/>
      <c r="H7" s="226">
        <v>8.2829076563939452E-4</v>
      </c>
      <c r="I7"/>
      <c r="J7"/>
      <c r="K7"/>
      <c r="L7"/>
      <c r="M7"/>
      <c r="N7"/>
      <c r="O7"/>
      <c r="P7"/>
      <c r="Q7"/>
      <c r="R7"/>
      <c r="S7"/>
      <c r="T7"/>
      <c r="U7" s="16">
        <v>2.8751150239259005E-4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0.17170999944210052</v>
      </c>
      <c r="C8">
        <v>0.13940037786960602</v>
      </c>
      <c r="D8"/>
      <c r="E8"/>
      <c r="F8"/>
      <c r="G8"/>
      <c r="H8"/>
      <c r="I8"/>
      <c r="J8" s="228">
        <v>2.9194362461566925E-2</v>
      </c>
      <c r="K8"/>
      <c r="L8"/>
      <c r="M8"/>
      <c r="N8"/>
      <c r="O8"/>
      <c r="P8"/>
      <c r="Q8"/>
      <c r="R8" s="14">
        <v>1.7472003819420934E-3</v>
      </c>
      <c r="S8"/>
      <c r="T8"/>
      <c r="U8" s="21">
        <v>1.3680600095540285E-3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9.7222216427326202E-2</v>
      </c>
      <c r="C9">
        <v>8.3295449614524841E-2</v>
      </c>
      <c r="D9"/>
      <c r="E9"/>
      <c r="F9"/>
      <c r="G9"/>
      <c r="H9"/>
      <c r="I9"/>
      <c r="J9"/>
      <c r="K9" s="65">
        <v>6.0821576043963432E-3</v>
      </c>
      <c r="L9"/>
      <c r="M9"/>
      <c r="N9"/>
      <c r="O9"/>
      <c r="P9"/>
      <c r="Q9"/>
      <c r="R9"/>
      <c r="S9" s="63">
        <v>4.044446162879467E-3</v>
      </c>
      <c r="T9"/>
      <c r="U9" s="226">
        <v>3.8001658394932747E-3</v>
      </c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0.17622220516204834</v>
      </c>
      <c r="C10">
        <v>3.6780506372451782E-2</v>
      </c>
      <c r="D10"/>
      <c r="E10"/>
      <c r="F10"/>
      <c r="G10"/>
      <c r="H10"/>
      <c r="I10"/>
      <c r="J10"/>
      <c r="K10"/>
      <c r="L10"/>
      <c r="M10"/>
      <c r="N10"/>
      <c r="O10" s="231">
        <v>4.5143142342567444E-2</v>
      </c>
      <c r="P10"/>
      <c r="Q10"/>
      <c r="R10" s="246">
        <v>3.2355565577745438E-2</v>
      </c>
      <c r="S10" s="245">
        <v>2.6962986215949059E-2</v>
      </c>
      <c r="T10" s="244">
        <v>2.1570388227701187E-2</v>
      </c>
      <c r="U10" s="25">
        <v>4.3913042172789574E-3</v>
      </c>
      <c r="V10"/>
      <c r="W10"/>
      <c r="X10"/>
      <c r="Y10" s="67">
        <v>9.0075694024562836E-3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 s="10">
        <v>1.0744040991994552E-5</v>
      </c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0.12491189688444138</v>
      </c>
      <c r="C11">
        <v>0.11571238934993744</v>
      </c>
      <c r="D11"/>
      <c r="E11"/>
      <c r="F11"/>
      <c r="G11"/>
      <c r="H11"/>
      <c r="I11"/>
      <c r="J11"/>
      <c r="K11"/>
      <c r="L11"/>
      <c r="M11"/>
      <c r="N11"/>
      <c r="O11" s="15">
        <v>1.9126292318105698E-3</v>
      </c>
      <c r="P11"/>
      <c r="Q11"/>
      <c r="R11" s="21">
        <v>9.1572385281324387E-4</v>
      </c>
      <c r="S11" s="22">
        <v>7.6310359872877598E-4</v>
      </c>
      <c r="T11" s="24">
        <v>3.8155175279825926E-3</v>
      </c>
      <c r="U11" s="16">
        <v>1.7925320426002145E-3</v>
      </c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0.1583867073059082</v>
      </c>
      <c r="C12">
        <v>9.3043223023414612E-2</v>
      </c>
      <c r="D12"/>
      <c r="E12"/>
      <c r="F12"/>
      <c r="G12"/>
      <c r="H12"/>
      <c r="I12"/>
      <c r="J12"/>
      <c r="K12"/>
      <c r="L12"/>
      <c r="M12"/>
      <c r="N12"/>
      <c r="O12" s="232">
        <v>8.386978879570961E-3</v>
      </c>
      <c r="P12"/>
      <c r="Q12"/>
      <c r="R12" s="247">
        <v>1.2649326585233212E-2</v>
      </c>
      <c r="S12" s="104">
        <v>1.0626255534589291E-2</v>
      </c>
      <c r="T12" s="24">
        <v>5.066203884780407E-3</v>
      </c>
      <c r="U12" s="22">
        <v>8.8003883138298988E-4</v>
      </c>
      <c r="V12"/>
      <c r="W12"/>
      <c r="X12"/>
      <c r="Y12" s="250">
        <v>2.7733830735087395E-2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 s="10">
        <v>8.4821385826217011E-7</v>
      </c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0.12553690373897552</v>
      </c>
      <c r="C13">
        <v>3.912353515625E-2</v>
      </c>
      <c r="D13"/>
      <c r="E13"/>
      <c r="F13"/>
      <c r="G13"/>
      <c r="H13"/>
      <c r="I13"/>
      <c r="J13"/>
      <c r="K13"/>
      <c r="L13"/>
      <c r="M13"/>
      <c r="N13"/>
      <c r="O13" s="233">
        <v>1.39999995008111E-2</v>
      </c>
      <c r="P13"/>
      <c r="Q13"/>
      <c r="R13" s="242">
        <v>2.8726644814014435E-2</v>
      </c>
      <c r="S13" s="241">
        <v>2.393888495862484E-2</v>
      </c>
      <c r="T13" s="240">
        <v>1.5959255397319794E-2</v>
      </c>
      <c r="U13" s="140">
        <v>3.7488329689949751E-3</v>
      </c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 s="10">
        <v>3.9745900721754879E-5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6.5800003707408905E-2</v>
      </c>
      <c r="C14">
        <v>4.7341406345367432E-2</v>
      </c>
      <c r="D14"/>
      <c r="E14"/>
      <c r="F14"/>
      <c r="G14"/>
      <c r="H14"/>
      <c r="I14"/>
      <c r="J14"/>
      <c r="K14"/>
      <c r="L14" s="229">
        <v>1.5929469838738441E-2</v>
      </c>
      <c r="M14"/>
      <c r="N14"/>
      <c r="O14"/>
      <c r="P14"/>
      <c r="Q14"/>
      <c r="R14"/>
      <c r="S14" s="140">
        <v>1.9259279360994697E-3</v>
      </c>
      <c r="T14"/>
      <c r="U14" s="14">
        <v>6.0320121701806784E-4</v>
      </c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6.3597783446311951E-2</v>
      </c>
      <c r="C15">
        <v>5.5157050490379333E-2</v>
      </c>
      <c r="D15"/>
      <c r="E15"/>
      <c r="F15"/>
      <c r="G15"/>
      <c r="H15"/>
      <c r="I15"/>
      <c r="J15"/>
      <c r="K15"/>
      <c r="L15"/>
      <c r="M15" s="226">
        <v>2.4531378876417875E-3</v>
      </c>
      <c r="N15"/>
      <c r="O15"/>
      <c r="P15"/>
      <c r="Q15"/>
      <c r="R15" s="141">
        <v>3.8826684467494488E-3</v>
      </c>
      <c r="S15"/>
      <c r="T15" s="20">
        <v>1.2942233588546515E-3</v>
      </c>
      <c r="U15" s="16">
        <v>8.1070238957181573E-4</v>
      </c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8.7300002574920654E-2</v>
      </c>
      <c r="C16">
        <v>3.8033585995435715E-2</v>
      </c>
      <c r="D16"/>
      <c r="E16"/>
      <c r="F16"/>
      <c r="G16"/>
      <c r="H16"/>
      <c r="I16"/>
      <c r="J16"/>
      <c r="K16"/>
      <c r="L16"/>
      <c r="M16"/>
      <c r="N16" s="230">
        <v>9.5642199739813805E-3</v>
      </c>
      <c r="O16"/>
      <c r="P16"/>
      <c r="Q16"/>
      <c r="R16"/>
      <c r="S16" s="243">
        <v>3.5433784127235413E-2</v>
      </c>
      <c r="T16"/>
      <c r="U16" s="237">
        <v>4.2684129439294338E-3</v>
      </c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0.37000000476837158</v>
      </c>
      <c r="C17">
        <v>0.33406558632850647</v>
      </c>
      <c r="D17"/>
      <c r="E17"/>
      <c r="F17"/>
      <c r="G17"/>
      <c r="H17"/>
      <c r="I17"/>
      <c r="J17"/>
      <c r="K17"/>
      <c r="L17"/>
      <c r="M17"/>
      <c r="N17"/>
      <c r="O17"/>
      <c r="P17" s="16">
        <v>5.0000003539025784E-3</v>
      </c>
      <c r="Q17"/>
      <c r="R17" s="10">
        <v>2.9463230748660862E-4</v>
      </c>
      <c r="S17" s="13">
        <v>8.5934466915205121E-4</v>
      </c>
      <c r="T17" s="10">
        <v>1.2276352208573371E-4</v>
      </c>
      <c r="U17" s="10">
        <v>5.7674358686199412E-5</v>
      </c>
      <c r="V17"/>
      <c r="W17"/>
      <c r="X17"/>
      <c r="Y17"/>
      <c r="Z17"/>
      <c r="AA17"/>
      <c r="AB17"/>
      <c r="AC17"/>
      <c r="AD17"/>
      <c r="AE17"/>
      <c r="AF17"/>
      <c r="AG17" s="247">
        <v>2.9599998146295547E-2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0.20000000298023224</v>
      </c>
      <c r="C18">
        <v>9.9999904632568359E-3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 s="10">
        <v>2.5743861442606431E-6</v>
      </c>
      <c r="R18"/>
      <c r="S18"/>
      <c r="T18"/>
      <c r="U18"/>
      <c r="V18" s="16">
        <v>2.8160237707197666E-3</v>
      </c>
      <c r="W18"/>
      <c r="X18"/>
      <c r="Y18"/>
      <c r="Z18" s="19">
        <v>8.817051537334919E-3</v>
      </c>
      <c r="AA18"/>
      <c r="AB18"/>
      <c r="AC18"/>
      <c r="AD18"/>
      <c r="AE18" s="261">
        <v>0.11480527371168137</v>
      </c>
      <c r="AF18"/>
      <c r="AG18" s="247">
        <v>1.6076961532235146E-2</v>
      </c>
      <c r="AH18"/>
      <c r="AI18" s="252">
        <v>2.0441010594367981E-2</v>
      </c>
      <c r="AJ18"/>
      <c r="AK18"/>
      <c r="AL18"/>
      <c r="AM18"/>
      <c r="AN18" s="10">
        <v>1.107057073568285E-6</v>
      </c>
      <c r="AO18"/>
      <c r="AP18"/>
      <c r="AQ18" s="238">
        <v>2.7040004730224609E-2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0.51999998092651367</v>
      </c>
      <c r="C19">
        <v>2.5999974459409714E-2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 s="10">
        <v>2.572824939761631E-7</v>
      </c>
      <c r="R19"/>
      <c r="S19"/>
      <c r="T19"/>
      <c r="U19" s="10">
        <v>1.2174641597084701E-5</v>
      </c>
      <c r="V19" s="20">
        <v>9.8500857129693031E-3</v>
      </c>
      <c r="W19"/>
      <c r="X19"/>
      <c r="Y19"/>
      <c r="Z19" s="226">
        <v>2.0560601726174355E-2</v>
      </c>
      <c r="AA19"/>
      <c r="AB19"/>
      <c r="AC19" s="17">
        <v>6.1029959470033646E-3</v>
      </c>
      <c r="AD19" s="248">
        <v>1.7315743491053581E-2</v>
      </c>
      <c r="AE19" s="255">
        <v>0.16062957048416138</v>
      </c>
      <c r="AF19" s="14">
        <v>4.7413795255124569E-3</v>
      </c>
      <c r="AG19" s="251">
        <v>5.6235119700431824E-2</v>
      </c>
      <c r="AH19" s="137">
        <v>5.2468050271272659E-2</v>
      </c>
      <c r="AI19" s="253">
        <v>7.1500003337860107E-2</v>
      </c>
      <c r="AJ19"/>
      <c r="AK19"/>
      <c r="AL19"/>
      <c r="AM19"/>
      <c r="AN19" s="10">
        <v>1.548936779727228E-6</v>
      </c>
      <c r="AO19"/>
      <c r="AP19"/>
      <c r="AQ19" s="105">
        <v>9.4582423567771912E-2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0.4699999988079071</v>
      </c>
      <c r="C20">
        <v>2.3499920964241028E-2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 s="10">
        <v>3.8731377571821213E-7</v>
      </c>
      <c r="R20"/>
      <c r="S20"/>
      <c r="T20"/>
      <c r="U20" s="10">
        <v>5.4983220252324827E-6</v>
      </c>
      <c r="V20" s="226">
        <v>1.853543147444725E-2</v>
      </c>
      <c r="W20"/>
      <c r="X20" s="21">
        <v>3.787787863984704E-3</v>
      </c>
      <c r="Y20" s="21">
        <v>3.9098160341382027E-3</v>
      </c>
      <c r="Z20" s="248">
        <v>1.5475993044674397E-2</v>
      </c>
      <c r="AA20" s="22">
        <v>2.8544219676405191E-3</v>
      </c>
      <c r="AB20" s="272">
        <v>0.21366207301616669</v>
      </c>
      <c r="AC20" s="10">
        <v>4.5937334652990103E-4</v>
      </c>
      <c r="AD20" s="17">
        <v>5.2134338766336441E-3</v>
      </c>
      <c r="AE20" s="266">
        <v>9.0679578483104706E-2</v>
      </c>
      <c r="AF20" s="11">
        <v>1.7844215035438538E-3</v>
      </c>
      <c r="AG20" s="22">
        <v>2.8218834195286036E-3</v>
      </c>
      <c r="AH20" s="21">
        <v>3.9492775686085224E-3</v>
      </c>
      <c r="AI20" s="249">
        <v>1.0763630270957947E-2</v>
      </c>
      <c r="AJ20" s="73">
        <v>3.7000000476837158E-2</v>
      </c>
      <c r="AK20"/>
      <c r="AL20"/>
      <c r="AM20"/>
      <c r="AN20" s="10">
        <v>8.7441520690845209E-7</v>
      </c>
      <c r="AO20"/>
      <c r="AP20"/>
      <c r="AQ20" s="26">
        <v>3.5596162080764771E-2</v>
      </c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0.69999998807907104</v>
      </c>
      <c r="C21">
        <v>3.5000007599592209E-2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 s="10">
        <v>1.0663608236427535E-6</v>
      </c>
      <c r="R21"/>
      <c r="S21"/>
      <c r="T21"/>
      <c r="U21" s="10">
        <v>1.0092066986544523E-5</v>
      </c>
      <c r="V21" s="19">
        <v>3.0619295313954353E-2</v>
      </c>
      <c r="W21"/>
      <c r="X21" s="21">
        <v>5.2143102511763573E-3</v>
      </c>
      <c r="Y21" s="13">
        <v>1.3455738080665469E-3</v>
      </c>
      <c r="Z21" s="15">
        <v>1.0652210563421249E-2</v>
      </c>
      <c r="AA21" s="14">
        <v>6.2870853580534458E-3</v>
      </c>
      <c r="AB21" s="270">
        <v>0.32681059837341309</v>
      </c>
      <c r="AC21" s="10">
        <v>6.3237838912755251E-4</v>
      </c>
      <c r="AD21" s="25">
        <v>1.7942175269126892E-2</v>
      </c>
      <c r="AE21" s="69">
        <v>4.9932196736335754E-2</v>
      </c>
      <c r="AF21"/>
      <c r="AG21" s="15">
        <v>1.1653907597064972E-2</v>
      </c>
      <c r="AH21" s="15">
        <v>1.0873236693441868E-2</v>
      </c>
      <c r="AI21" s="19">
        <v>2.9634661972522736E-2</v>
      </c>
      <c r="AJ21"/>
      <c r="AK21" s="72">
        <v>6.5384618937969208E-2</v>
      </c>
      <c r="AL21"/>
      <c r="AM21"/>
      <c r="AN21" s="10">
        <v>2.4074593056866433E-6</v>
      </c>
      <c r="AO21"/>
      <c r="AP21"/>
      <c r="AQ21" s="262">
        <v>9.8004132509231567E-2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1.7000000476837158</v>
      </c>
      <c r="C22">
        <v>8.5000023245811462E-2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 s="10">
        <v>4.3431424501250149E-7</v>
      </c>
      <c r="R22"/>
      <c r="S22"/>
      <c r="T22"/>
      <c r="U22"/>
      <c r="V22" s="17">
        <v>1.9953314214944839E-2</v>
      </c>
      <c r="W22"/>
      <c r="X22"/>
      <c r="Y22"/>
      <c r="Z22" s="18">
        <v>2.950180321931839E-2</v>
      </c>
      <c r="AA22" s="21">
        <v>1.2803222052752972E-2</v>
      </c>
      <c r="AB22" s="273">
        <v>0.53242200613021851</v>
      </c>
      <c r="AC22" s="25">
        <v>4.4300168752670288E-2</v>
      </c>
      <c r="AD22" s="21">
        <v>1.461520791053772E-2</v>
      </c>
      <c r="AE22" s="271">
        <v>0.27115607261657715</v>
      </c>
      <c r="AF22" s="249">
        <v>4.0019214153289795E-2</v>
      </c>
      <c r="AG22" s="23">
        <v>4.7464780509471893E-2</v>
      </c>
      <c r="AH22" s="14">
        <v>1.7714085057377815E-2</v>
      </c>
      <c r="AI22" s="27">
        <v>6.0348968952894211E-2</v>
      </c>
      <c r="AJ22" s="244">
        <v>0.20744970440864563</v>
      </c>
      <c r="AK22" s="73">
        <v>0.1331513375043869</v>
      </c>
      <c r="AL22"/>
      <c r="AM22"/>
      <c r="AN22" s="10">
        <v>6.5368345758543001E-7</v>
      </c>
      <c r="AO22" s="140">
        <v>5.0826773047447205E-2</v>
      </c>
      <c r="AP22" s="11">
        <v>5.5418652482330799E-3</v>
      </c>
      <c r="AQ22" s="265">
        <v>0.12773039937019348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0.85000002384185791</v>
      </c>
      <c r="C23">
        <v>4.2499959468841553E-2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 s="10">
        <v>7.734377760471034E-8</v>
      </c>
      <c r="R23"/>
      <c r="S23"/>
      <c r="T23"/>
      <c r="U23"/>
      <c r="V23"/>
      <c r="W23"/>
      <c r="X23"/>
      <c r="Y23"/>
      <c r="Z23" s="11">
        <v>4.1206027381122112E-3</v>
      </c>
      <c r="AA23" s="14">
        <v>7.6001188717782497E-3</v>
      </c>
      <c r="AB23" s="275">
        <v>0.47407647967338562</v>
      </c>
      <c r="AC23"/>
      <c r="AD23"/>
      <c r="AE23" s="14">
        <v>8.0480454489588737E-3</v>
      </c>
      <c r="AF23"/>
      <c r="AG23" s="14">
        <v>7.5134830549359322E-3</v>
      </c>
      <c r="AH23" s="17">
        <v>1.0515255853533745E-2</v>
      </c>
      <c r="AI23" s="18">
        <v>1.4329498633742332E-2</v>
      </c>
      <c r="AJ23" s="267">
        <v>0.12314420193433762</v>
      </c>
      <c r="AK23" s="66">
        <v>7.903994619846344E-2</v>
      </c>
      <c r="AL23"/>
      <c r="AM23"/>
      <c r="AN23" s="10">
        <v>6.2085274521450629E-7</v>
      </c>
      <c r="AO23"/>
      <c r="AP23" s="11">
        <v>3.2897060737013817E-3</v>
      </c>
      <c r="AQ23" s="264">
        <v>7.5822025537490845E-2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0.2199999988079071</v>
      </c>
      <c r="C24">
        <v>1.1000041849911213E-2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235">
        <v>0.19649997353553772</v>
      </c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 s="234">
        <v>1.249999925494194E-2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0.93199998140335083</v>
      </c>
      <c r="C25">
        <v>4.6599842607975006E-2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 s="10">
        <v>2.578572093625553E-7</v>
      </c>
      <c r="R25"/>
      <c r="S25"/>
      <c r="T25"/>
      <c r="U25" s="10">
        <v>4.8807423809194006E-6</v>
      </c>
      <c r="V25" s="62">
        <v>1.9744206219911575E-2</v>
      </c>
      <c r="W25"/>
      <c r="X25" s="15">
        <v>1.5130520798265934E-2</v>
      </c>
      <c r="Y25" s="21">
        <v>6.5074870362877846E-3</v>
      </c>
      <c r="Z25" s="17">
        <v>1.030328031629324E-2</v>
      </c>
      <c r="AA25" s="21">
        <v>7.6014273799955845E-3</v>
      </c>
      <c r="AB25" s="268">
        <v>0.25288429856300354</v>
      </c>
      <c r="AC25" s="11">
        <v>3.0583192128688097E-3</v>
      </c>
      <c r="AD25"/>
      <c r="AE25" s="258">
        <v>6.4395450055599213E-2</v>
      </c>
      <c r="AF25"/>
      <c r="AG25" s="15">
        <v>1.5029552392661572E-2</v>
      </c>
      <c r="AH25" s="249">
        <v>2.1034132689237595E-2</v>
      </c>
      <c r="AI25" s="24">
        <v>2.8663931414484978E-2</v>
      </c>
      <c r="AJ25" s="269">
        <v>0.29559695720672607</v>
      </c>
      <c r="AK25" s="238">
        <v>0.12648569047451019</v>
      </c>
      <c r="AL25"/>
      <c r="AM25"/>
      <c r="AN25" s="10">
        <v>9.3143938784123748E-7</v>
      </c>
      <c r="AO25"/>
      <c r="AP25"/>
      <c r="AQ25" s="20">
        <v>1.8958769738674164E-2</v>
      </c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3.5</v>
      </c>
      <c r="C26">
        <v>0.1749994158744812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s="10">
        <v>1.8176068579123239E-6</v>
      </c>
      <c r="R26"/>
      <c r="S26"/>
      <c r="T26"/>
      <c r="U26"/>
      <c r="V26" s="20">
        <v>6.9587253034114838E-2</v>
      </c>
      <c r="W26"/>
      <c r="X26"/>
      <c r="Y26"/>
      <c r="Z26" s="62">
        <v>7.2626560926437378E-2</v>
      </c>
      <c r="AA26" s="249">
        <v>8.0372296273708344E-2</v>
      </c>
      <c r="AB26"/>
      <c r="AC26"/>
      <c r="AD26" s="18">
        <v>6.1164699494838715E-2</v>
      </c>
      <c r="AE26" s="257">
        <v>1.1347891092300415</v>
      </c>
      <c r="AF26"/>
      <c r="AG26" s="256">
        <v>0.66213428974151611</v>
      </c>
      <c r="AH26" s="254">
        <v>0.37066757678985596</v>
      </c>
      <c r="AI26" s="136">
        <v>0.75768196582794189</v>
      </c>
      <c r="AJ26"/>
      <c r="AK26"/>
      <c r="AL26"/>
      <c r="AM26"/>
      <c r="AN26" s="10">
        <v>1.0942671906377655E-5</v>
      </c>
      <c r="AO26"/>
      <c r="AP26" s="248">
        <v>0.1159636378288269</v>
      </c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1.5</v>
      </c>
      <c r="C27">
        <v>7.499992847442627E-2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 s="10">
        <v>1.2871991202700883E-5</v>
      </c>
      <c r="V27" s="27">
        <v>5.2071429789066315E-2</v>
      </c>
      <c r="W27"/>
      <c r="X27"/>
      <c r="Y27"/>
      <c r="Z27" s="11">
        <v>5.4345722310245037E-3</v>
      </c>
      <c r="AA27" s="13">
        <v>4.0094517171382904E-3</v>
      </c>
      <c r="AB27" s="233">
        <v>0.16673305630683899</v>
      </c>
      <c r="AC27"/>
      <c r="AD27" s="15">
        <v>2.2884462028741837E-2</v>
      </c>
      <c r="AE27" s="75">
        <v>0.21228781342506409</v>
      </c>
      <c r="AF27" s="21">
        <v>1.2532400898635387E-2</v>
      </c>
      <c r="AG27" s="104">
        <v>9.909367561340332E-2</v>
      </c>
      <c r="AH27"/>
      <c r="AI27" s="259">
        <v>0.18898859620094299</v>
      </c>
      <c r="AJ27"/>
      <c r="AK27"/>
      <c r="AL27"/>
      <c r="AM27" s="263">
        <v>0.36401033401489258</v>
      </c>
      <c r="AN27" s="10">
        <v>2.0470724848564714E-6</v>
      </c>
      <c r="AO27" s="232">
        <v>7.9584456980228424E-2</v>
      </c>
      <c r="AP27" s="17">
        <v>1.7354883253574371E-2</v>
      </c>
      <c r="AQ27" s="260">
        <v>0.19999998807907104</v>
      </c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</v>
      </c>
      <c r="C28">
        <v>0.80935347080230713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>
        <v>3.3700579660944641E-4</v>
      </c>
      <c r="W28" s="10">
        <v>3.9663110510446131E-4</v>
      </c>
      <c r="X28"/>
      <c r="Y28"/>
      <c r="Z28" s="10">
        <v>7.034499867586419E-5</v>
      </c>
      <c r="AA28" s="10">
        <v>5.189826333662495E-5</v>
      </c>
      <c r="AB28" s="13">
        <v>2.1581896580755711E-3</v>
      </c>
      <c r="AC28"/>
      <c r="AD28"/>
      <c r="AE28" s="10">
        <v>5.4956984240561724E-4</v>
      </c>
      <c r="AF28"/>
      <c r="AG28" s="13">
        <v>1.5391999622806907E-3</v>
      </c>
      <c r="AH28" s="11">
        <v>3.5902305971831083E-3</v>
      </c>
      <c r="AI28" s="21">
        <v>7.3387944139540195E-3</v>
      </c>
      <c r="AJ28"/>
      <c r="AK28"/>
      <c r="AL28" s="140">
        <v>2.9185432940721512E-2</v>
      </c>
      <c r="AM28" s="17">
        <v>1.1779356747865677E-2</v>
      </c>
      <c r="AN28" s="10">
        <v>2.6497268379443994E-8</v>
      </c>
      <c r="AO28" s="22">
        <v>5.1506990566849709E-3</v>
      </c>
      <c r="AP28" s="13">
        <v>1.9094509771093726E-3</v>
      </c>
      <c r="AQ28" s="17">
        <v>1.1649583466351032E-2</v>
      </c>
      <c r="AR28"/>
      <c r="AS28" s="12">
        <v>3.7804797291755676E-2</v>
      </c>
      <c r="AT28"/>
      <c r="AU28"/>
      <c r="AV28"/>
      <c r="AW28"/>
      <c r="AX28" s="140">
        <v>2.8908859938383102E-2</v>
      </c>
      <c r="AY28"/>
      <c r="AZ28"/>
      <c r="BA28" s="237">
        <v>4.8226475715637207E-2</v>
      </c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3.2999999523162842</v>
      </c>
      <c r="C29">
        <v>0.88034039735794067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>
        <v>9.4135705148801208E-4</v>
      </c>
      <c r="W29" s="13">
        <v>8.3093112334609032E-3</v>
      </c>
      <c r="X29"/>
      <c r="Y29"/>
      <c r="Z29"/>
      <c r="AA29" s="10">
        <v>1.8120901950169355E-4</v>
      </c>
      <c r="AB29" s="13">
        <v>7.5355782173573971E-3</v>
      </c>
      <c r="AC29"/>
      <c r="AD29" s="10">
        <v>3.102821996435523E-3</v>
      </c>
      <c r="AE29" s="22">
        <v>1.9188892096281052E-2</v>
      </c>
      <c r="AF29" s="10">
        <v>1.1328153777867556E-3</v>
      </c>
      <c r="AG29" s="10">
        <v>2.2392922546714544E-3</v>
      </c>
      <c r="AH29" s="13">
        <v>6.2678605318069458E-3</v>
      </c>
      <c r="AI29" s="11">
        <v>1.3666284270584583E-2</v>
      </c>
      <c r="AJ29"/>
      <c r="AK29"/>
      <c r="AL29" s="63">
        <v>0.13587258756160736</v>
      </c>
      <c r="AM29" s="12">
        <v>0.12338712066411972</v>
      </c>
      <c r="AN29" s="10">
        <v>1.8503678589354422E-8</v>
      </c>
      <c r="AO29" s="13">
        <v>7.1937134489417076E-3</v>
      </c>
      <c r="AP29" s="10">
        <v>1.9609048031270504E-3</v>
      </c>
      <c r="AQ29" s="13">
        <v>9.0390928089618683E-3</v>
      </c>
      <c r="AR29" s="284">
        <v>0.68086588382720947</v>
      </c>
      <c r="AS29" s="11">
        <v>1.3200000859797001E-2</v>
      </c>
      <c r="AT29"/>
      <c r="AU29" s="12">
        <v>0.1206703782081604</v>
      </c>
      <c r="AV29" s="286">
        <v>1.1266294717788696</v>
      </c>
      <c r="AW29"/>
      <c r="AX29" s="24">
        <v>0.10093875974416733</v>
      </c>
      <c r="AY29" s="17">
        <v>3.73360775411129E-2</v>
      </c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16</v>
      </c>
      <c r="C30">
        <v>8.6833820343017578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 s="10">
        <v>6.6681439056992531E-3</v>
      </c>
      <c r="X30"/>
      <c r="Y30"/>
      <c r="Z30"/>
      <c r="AA30"/>
      <c r="AB30"/>
      <c r="AC30"/>
      <c r="AD30" s="10">
        <v>8.8532821973785758E-4</v>
      </c>
      <c r="AE30" s="10">
        <v>5.1329690031707287E-3</v>
      </c>
      <c r="AF30" s="10">
        <v>3.0302460072562099E-4</v>
      </c>
      <c r="AG30" s="10">
        <v>2.3960148973856121E-4</v>
      </c>
      <c r="AH30" s="13">
        <v>2.0790252834558487E-2</v>
      </c>
      <c r="AI30" s="10">
        <v>7.3113772086799145E-3</v>
      </c>
      <c r="AJ30"/>
      <c r="AK30"/>
      <c r="AL30" s="11">
        <v>7.2690993547439575E-2</v>
      </c>
      <c r="AM30" s="14">
        <v>0.15402644872665405</v>
      </c>
      <c r="AN30"/>
      <c r="AO30" s="13">
        <v>3.8485921919345856E-2</v>
      </c>
      <c r="AP30" s="10">
        <v>1.0490718996152282E-3</v>
      </c>
      <c r="AQ30" s="13">
        <v>1.5716539695858955E-2</v>
      </c>
      <c r="AR30" s="104">
        <v>1.064757227897644</v>
      </c>
      <c r="AS30" s="277">
        <v>3.9476122856140137</v>
      </c>
      <c r="AT30"/>
      <c r="AU30" s="20">
        <v>0.32278954982757568</v>
      </c>
      <c r="AV30" s="265">
        <v>1.2054795026779175</v>
      </c>
      <c r="AW30"/>
      <c r="AX30" s="14">
        <v>0.16200484335422516</v>
      </c>
      <c r="AY30" s="13">
        <v>3.9949137717485428E-2</v>
      </c>
      <c r="AZ30" s="15">
        <v>0.25072628259658813</v>
      </c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3.5999999046325684</v>
      </c>
      <c r="C31">
        <v>1.8006942272186279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3">
        <v>4.212572705000639E-3</v>
      </c>
      <c r="W31" s="10">
        <v>1.6526295803487301E-3</v>
      </c>
      <c r="X31" s="13">
        <v>4.3042781762778759E-3</v>
      </c>
      <c r="Y31" s="10">
        <v>1.2958592269569635E-3</v>
      </c>
      <c r="Z31" s="13">
        <v>7.3276041075587273E-3</v>
      </c>
      <c r="AA31" s="10">
        <v>1.0812139371410012E-3</v>
      </c>
      <c r="AB31" s="14">
        <v>3.5969827324151993E-2</v>
      </c>
      <c r="AC31" s="10">
        <v>3.4800803405232728E-4</v>
      </c>
      <c r="AD31" s="13">
        <v>4.1963942348957062E-3</v>
      </c>
      <c r="AE31" s="22">
        <v>2.289874479174614E-2</v>
      </c>
      <c r="AF31" s="10">
        <v>1.3518263585865498E-3</v>
      </c>
      <c r="AG31"/>
      <c r="AH31" s="11">
        <v>1.4959294348955154E-2</v>
      </c>
      <c r="AI31" s="14">
        <v>3.6693975329399109E-2</v>
      </c>
      <c r="AJ31" s="22">
        <v>2.1022601053118706E-2</v>
      </c>
      <c r="AK31" s="21">
        <v>3.1484436243772507E-2</v>
      </c>
      <c r="AL31" s="62">
        <v>8.1070646643638611E-2</v>
      </c>
      <c r="AM31" s="16">
        <v>4.9080654978752136E-2</v>
      </c>
      <c r="AN31" s="10">
        <v>1.1040528846706366E-7</v>
      </c>
      <c r="AO31" s="249">
        <v>8.5844986140727997E-2</v>
      </c>
      <c r="AP31" s="13">
        <v>7.0200408808887005E-3</v>
      </c>
      <c r="AQ31" s="21">
        <v>2.6966627687215805E-2</v>
      </c>
      <c r="AR31" s="258">
        <v>0.25</v>
      </c>
      <c r="AS31" s="19">
        <v>0.15751999616622925</v>
      </c>
      <c r="AT31"/>
      <c r="AU31" s="20">
        <v>7.1999996900558472E-2</v>
      </c>
      <c r="AV31" s="278">
        <v>0.53777778148651123</v>
      </c>
      <c r="AW31"/>
      <c r="AX31" s="248">
        <v>0.12045358866453171</v>
      </c>
      <c r="AY31" s="65">
        <v>0.22277195751667023</v>
      </c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10</v>
      </c>
      <c r="C32">
        <v>4.8788957595825195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10">
        <v>4.916914040222764E-4</v>
      </c>
      <c r="X32"/>
      <c r="Y32"/>
      <c r="Z32"/>
      <c r="AA32"/>
      <c r="AB32"/>
      <c r="AC32"/>
      <c r="AD32"/>
      <c r="AE32"/>
      <c r="AF32"/>
      <c r="AG32" s="10">
        <v>7.9504126915708184E-4</v>
      </c>
      <c r="AH32" s="13">
        <v>2.2253494709730148E-2</v>
      </c>
      <c r="AI32" s="10">
        <v>9.0976785868406296E-3</v>
      </c>
      <c r="AJ32"/>
      <c r="AK32"/>
      <c r="AL32" s="22">
        <v>6.0300476849079132E-2</v>
      </c>
      <c r="AM32" s="16">
        <v>0.14602507650852203</v>
      </c>
      <c r="AN32"/>
      <c r="AO32" s="13">
        <v>1.2770326808094978E-2</v>
      </c>
      <c r="AP32" s="10">
        <v>3.48101113922894E-3</v>
      </c>
      <c r="AQ32" s="11">
        <v>4.0115643292665482E-2</v>
      </c>
      <c r="AR32" s="66">
        <v>0.92975205183029175</v>
      </c>
      <c r="AS32" s="283">
        <v>1.1716363430023193</v>
      </c>
      <c r="AT32"/>
      <c r="AU32" s="62">
        <v>0.21421484649181366</v>
      </c>
      <c r="AV32" s="226">
        <v>0.39999997615814209</v>
      </c>
      <c r="AW32"/>
      <c r="AX32" s="27">
        <v>0.35837429761886597</v>
      </c>
      <c r="AY32" s="22">
        <v>6.6279247403144836E-2</v>
      </c>
      <c r="AZ32" s="262">
        <v>1.3865922689437866</v>
      </c>
      <c r="BA32" s="140">
        <v>0.29892441630363464</v>
      </c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15</v>
      </c>
      <c r="C33">
        <v>0.75000107288360596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10">
        <v>1.3642179546877742E-3</v>
      </c>
      <c r="X33"/>
      <c r="Y33"/>
      <c r="Z33"/>
      <c r="AA33"/>
      <c r="AB33"/>
      <c r="AC33"/>
      <c r="AD33"/>
      <c r="AE33"/>
      <c r="AF33"/>
      <c r="AG33"/>
      <c r="AH33" s="10">
        <v>1.234864629805088E-2</v>
      </c>
      <c r="AI33" s="13">
        <v>2.5241881608963013E-2</v>
      </c>
      <c r="AJ33"/>
      <c r="AK33"/>
      <c r="AL33" s="11">
        <v>6.6922456026077271E-2</v>
      </c>
      <c r="AM33" s="21">
        <v>0.12154576927423477</v>
      </c>
      <c r="AN33"/>
      <c r="AO33" s="13">
        <v>1.7715899273753166E-2</v>
      </c>
      <c r="AP33" s="10">
        <v>7.7265664003789425E-3</v>
      </c>
      <c r="AQ33" s="13">
        <v>2.6712596416473389E-2</v>
      </c>
      <c r="AR33" s="284">
        <v>3.095562219619751</v>
      </c>
      <c r="AS33" s="236">
        <v>1.300301194190979</v>
      </c>
      <c r="AT33" s="289">
        <v>5.892115592956543</v>
      </c>
      <c r="AU33" s="21">
        <v>0.11886957287788391</v>
      </c>
      <c r="AV33" s="288">
        <v>2.219632625579834</v>
      </c>
      <c r="AW33"/>
      <c r="AX33" s="20">
        <v>0.29829725623130798</v>
      </c>
      <c r="AY33" s="21">
        <v>0.11033669114112854</v>
      </c>
      <c r="AZ33" s="67">
        <v>0.76943135261535645</v>
      </c>
      <c r="BA33" s="17">
        <v>0.16587561368942261</v>
      </c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0.60000002384185791</v>
      </c>
      <c r="C34">
        <v>2.9999973252415657E-2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 s="10">
        <v>2.1952082170173526E-4</v>
      </c>
      <c r="X34" s="11">
        <v>2.3822612129151821E-3</v>
      </c>
      <c r="Y34" s="13">
        <v>6.1475206166505814E-4</v>
      </c>
      <c r="Z34" s="10">
        <v>1.9466695084702224E-4</v>
      </c>
      <c r="AA34" s="10">
        <v>1.0771423694677651E-4</v>
      </c>
      <c r="AB34"/>
      <c r="AC34"/>
      <c r="AD34" s="13">
        <v>6.5577909117564559E-4</v>
      </c>
      <c r="AE34" s="22">
        <v>3.8020857609808445E-3</v>
      </c>
      <c r="AF34" s="10">
        <v>2.2445597278419882E-4</v>
      </c>
      <c r="AG34" s="10">
        <v>3.5495456540957093E-4</v>
      </c>
      <c r="AH34" s="13">
        <v>1.4902962138876319E-3</v>
      </c>
      <c r="AI34"/>
      <c r="AJ34" s="64">
        <v>3.4905727952718735E-2</v>
      </c>
      <c r="AK34" s="12">
        <v>2.2404195740818977E-2</v>
      </c>
      <c r="AL34"/>
      <c r="AM34"/>
      <c r="AN34" s="10">
        <v>3.6663177382934009E-8</v>
      </c>
      <c r="AO34" s="16">
        <v>8.5521712899208069E-3</v>
      </c>
      <c r="AP34" s="10">
        <v>3.1082687200978398E-4</v>
      </c>
      <c r="AQ34"/>
      <c r="AR34"/>
      <c r="AS34"/>
      <c r="AT34"/>
      <c r="AU34" s="282">
        <v>0.23909623920917511</v>
      </c>
      <c r="AV34"/>
      <c r="AW34"/>
      <c r="AX34" s="104">
        <v>3.9999999105930328E-2</v>
      </c>
      <c r="AY34" s="277">
        <v>0.14795537292957306</v>
      </c>
      <c r="AZ34"/>
      <c r="BA34" s="233">
        <v>6.6728986799716949E-2</v>
      </c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0.30000001192092896</v>
      </c>
      <c r="C35">
        <v>1.4999986626207829E-2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 s="10">
        <v>1.1939901014557108E-6</v>
      </c>
      <c r="S35" s="10">
        <v>1.9899844119208865E-6</v>
      </c>
      <c r="T35" s="10">
        <v>7.4624421131375129E-7</v>
      </c>
      <c r="U35"/>
      <c r="V35"/>
      <c r="W35" s="10">
        <v>7.4184812547173351E-5</v>
      </c>
      <c r="X35" s="16">
        <v>4.0253037586808205E-3</v>
      </c>
      <c r="Y35" s="13">
        <v>6.2324752798303962E-4</v>
      </c>
      <c r="Z35" s="13">
        <v>5.26285613887012E-4</v>
      </c>
      <c r="AA35" s="10">
        <v>7.2801849455572665E-5</v>
      </c>
      <c r="AB35"/>
      <c r="AC35"/>
      <c r="AD35"/>
      <c r="AE35"/>
      <c r="AF35"/>
      <c r="AG35" s="13">
        <v>3.5985978320240974E-4</v>
      </c>
      <c r="AH35" s="13">
        <v>6.7150709219276905E-4</v>
      </c>
      <c r="AI35"/>
      <c r="AJ35" s="73">
        <v>2.3592066019773483E-2</v>
      </c>
      <c r="AK35" s="12">
        <v>1.1104526929557323E-2</v>
      </c>
      <c r="AL35"/>
      <c r="AM35"/>
      <c r="AN35" s="10">
        <v>4.9559780279651022E-8</v>
      </c>
      <c r="AO35"/>
      <c r="AP35" s="10">
        <v>2.100815181620419E-4</v>
      </c>
      <c r="AQ35"/>
      <c r="AR35"/>
      <c r="AS35"/>
      <c r="AT35"/>
      <c r="AU35" s="281">
        <v>0.16160024702548981</v>
      </c>
      <c r="AV35"/>
      <c r="AW35"/>
      <c r="AX35" s="274">
        <v>2.7035180479288101E-2</v>
      </c>
      <c r="AY35" s="248">
        <v>9.9999997764825821E-3</v>
      </c>
      <c r="AZ35"/>
      <c r="BA35" s="276">
        <v>4.5100755989551544E-2</v>
      </c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0.56999999284744263</v>
      </c>
      <c r="C36">
        <v>2.8499972075223923E-2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 s="10">
        <v>1.7977948800762533E-6</v>
      </c>
      <c r="S36" s="10">
        <v>2.9963262022647541E-6</v>
      </c>
      <c r="T36" s="10">
        <v>1.1236223826927016E-6</v>
      </c>
      <c r="U36"/>
      <c r="V36"/>
      <c r="W36" s="10">
        <v>1.117003193940036E-4</v>
      </c>
      <c r="X36" s="18">
        <v>9.6974615007638931E-3</v>
      </c>
      <c r="Y36" s="11">
        <v>2.5024688802659512E-3</v>
      </c>
      <c r="Z36"/>
      <c r="AA36"/>
      <c r="AB36"/>
      <c r="AC36"/>
      <c r="AD36"/>
      <c r="AE36"/>
      <c r="AF36"/>
      <c r="AG36" s="11">
        <v>1.8061402952298522E-3</v>
      </c>
      <c r="AH36"/>
      <c r="AI36"/>
      <c r="AJ36" s="65">
        <v>3.5522650927305222E-2</v>
      </c>
      <c r="AK36" s="226">
        <v>2.280016802251339E-2</v>
      </c>
      <c r="AL36"/>
      <c r="AM36"/>
      <c r="AN36" s="10">
        <v>7.4622326096118741E-9</v>
      </c>
      <c r="AO36" s="17">
        <v>7.2527695447206497E-3</v>
      </c>
      <c r="AP36"/>
      <c r="AQ36"/>
      <c r="AR36"/>
      <c r="AS36"/>
      <c r="AT36"/>
      <c r="AU36" s="280">
        <v>0.24332202970981598</v>
      </c>
      <c r="AV36"/>
      <c r="AW36"/>
      <c r="AX36"/>
      <c r="AY36" s="225">
        <v>0.1505703330039978</v>
      </c>
      <c r="AZ36"/>
      <c r="BA36" s="135">
        <v>6.7908354103565216E-2</v>
      </c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2.5</v>
      </c>
      <c r="C37">
        <v>0.12499973177909851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 s="10">
        <v>2.3164609956438653E-5</v>
      </c>
      <c r="S37" s="10">
        <v>6.8942322286602575E-6</v>
      </c>
      <c r="T37" s="10">
        <v>2.7576927550398977E-6</v>
      </c>
      <c r="U37"/>
      <c r="V37"/>
      <c r="W37" s="10">
        <v>1.0280429851263762E-3</v>
      </c>
      <c r="X37" s="13">
        <v>5.8013382367789745E-3</v>
      </c>
      <c r="Y37" s="10">
        <v>1.1515836231410503E-3</v>
      </c>
      <c r="Z37" s="10">
        <v>9.1164914192631841E-4</v>
      </c>
      <c r="AA37" s="10">
        <v>2.6903409161604941E-4</v>
      </c>
      <c r="AB37"/>
      <c r="AC37"/>
      <c r="AD37" s="10">
        <v>2.3033204488456249E-3</v>
      </c>
      <c r="AE37" s="22">
        <v>1.4244506135582924E-2</v>
      </c>
      <c r="AF37" s="10">
        <v>7.568314322270453E-4</v>
      </c>
      <c r="AG37" s="10">
        <v>1.6622956609353423E-3</v>
      </c>
      <c r="AH37" s="13">
        <v>2.7916957624256611E-3</v>
      </c>
      <c r="AI37"/>
      <c r="AJ37" s="27">
        <v>8.7182819843292236E-2</v>
      </c>
      <c r="AK37" s="62">
        <v>5.5958181619644165E-2</v>
      </c>
      <c r="AL37"/>
      <c r="AM37"/>
      <c r="AN37" s="10">
        <v>4.1207549372757057E-8</v>
      </c>
      <c r="AO37" s="22">
        <v>1.3350289314985275E-2</v>
      </c>
      <c r="AP37" s="10">
        <v>1.74676813185215E-3</v>
      </c>
      <c r="AQ37"/>
      <c r="AR37"/>
      <c r="AS37"/>
      <c r="AT37"/>
      <c r="AU37" s="287">
        <v>0.89577353000640869</v>
      </c>
      <c r="AV37"/>
      <c r="AW37"/>
      <c r="AX37" s="285">
        <v>0.74929958581924438</v>
      </c>
      <c r="AY37" s="279">
        <v>0.41573584079742432</v>
      </c>
      <c r="AZ37"/>
      <c r="BA37" s="67">
        <v>0.125</v>
      </c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46.458641052246094</v>
      </c>
      <c r="C38">
        <v>9.2917280197143555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 s="10">
        <v>1.3463364448398352E-3</v>
      </c>
      <c r="AI38" s="10">
        <v>3.2107224687933922E-3</v>
      </c>
      <c r="AJ38"/>
      <c r="AK38"/>
      <c r="AL38" s="10">
        <v>2.7361342683434486E-2</v>
      </c>
      <c r="AM38" s="10">
        <v>2.2086294367909431E-2</v>
      </c>
      <c r="AN38"/>
      <c r="AO38" s="10">
        <v>9.6575608476996422E-3</v>
      </c>
      <c r="AP38" s="10">
        <v>9.4770541181787848E-4</v>
      </c>
      <c r="AQ38"/>
      <c r="AR38" s="16">
        <v>0.61874997615814209</v>
      </c>
      <c r="AS38" s="17">
        <v>0.53163003921508789</v>
      </c>
      <c r="AT38" s="291">
        <v>22.483999252319336</v>
      </c>
      <c r="AU38" s="62">
        <v>0.97200000286102295</v>
      </c>
      <c r="AV38" s="64">
        <v>2.7225000858306885</v>
      </c>
      <c r="AW38" s="290">
        <v>9.19915771484375</v>
      </c>
      <c r="AX38" s="13">
        <v>0.10840822756290436</v>
      </c>
      <c r="AY38" s="10">
        <v>3.0074210837483406E-2</v>
      </c>
      <c r="AZ38" s="11">
        <v>0.20972208678722382</v>
      </c>
      <c r="BA38" s="11">
        <v>0.22606161236763</v>
      </c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45.328639984130859</v>
      </c>
      <c r="C39">
        <v>15.865022659301758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 s="10">
        <v>7.6933513628318906E-4</v>
      </c>
      <c r="AI39" s="10">
        <v>3.145197406411171E-3</v>
      </c>
      <c r="AJ39" s="10">
        <v>3.6038745194673538E-2</v>
      </c>
      <c r="AK39" s="10">
        <v>1.3878852128982544E-2</v>
      </c>
      <c r="AL39"/>
      <c r="AM39"/>
      <c r="AN39"/>
      <c r="AO39" s="10">
        <v>2.2074425593018532E-2</v>
      </c>
      <c r="AP39" s="10">
        <v>2.4068707716651261E-4</v>
      </c>
      <c r="AQ39"/>
      <c r="AR39" s="15">
        <v>0.67500001192092896</v>
      </c>
      <c r="AS39" s="16">
        <v>0.64808225631713867</v>
      </c>
      <c r="AT39" s="257">
        <v>14.683427810668945</v>
      </c>
      <c r="AU39" s="23">
        <v>1.2219429016113281</v>
      </c>
      <c r="AV39" s="104">
        <v>3.0422859191894531</v>
      </c>
      <c r="AW39" s="254">
        <v>4.7660398483276367</v>
      </c>
      <c r="AX39" s="15">
        <v>0.74337071180343628</v>
      </c>
      <c r="AY39" s="11">
        <v>0.18330946564674377</v>
      </c>
      <c r="AZ39" s="25">
        <v>1.1504753828048706</v>
      </c>
      <c r="BA39" s="67">
        <v>2.273533821105957</v>
      </c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0.37431409955024719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 s="8">
        <v>5.0454240292310715E-2</v>
      </c>
      <c r="AK40" s="8">
        <v>8.0959975719451904E-2</v>
      </c>
      <c r="AL40"/>
      <c r="AM40"/>
      <c r="AN40"/>
      <c r="AO40"/>
      <c r="AP40"/>
      <c r="AQ40"/>
      <c r="AR40"/>
      <c r="AS40"/>
      <c r="AT40"/>
      <c r="AU40" s="8">
        <v>2.5920000076293945</v>
      </c>
      <c r="AV40"/>
      <c r="AW40"/>
      <c r="AX40" s="8">
        <v>13.225804328918457</v>
      </c>
      <c r="AY40" s="8">
        <v>3.2881138324737549</v>
      </c>
      <c r="AZ40" s="8">
        <v>23.488872528076172</v>
      </c>
      <c r="BA40" s="8">
        <v>23.872106552124023</v>
      </c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0.21955835819244385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 s="8">
        <v>4.8099998384714127E-3</v>
      </c>
      <c r="AH41"/>
      <c r="AI41"/>
      <c r="AJ41"/>
      <c r="AK41"/>
      <c r="AL41" s="8">
        <v>7.296358048915863E-2</v>
      </c>
      <c r="AM41" s="8">
        <v>5.3007103502750397E-2</v>
      </c>
      <c r="AN41"/>
      <c r="AO41" s="8">
        <v>5.4082337766885757E-2</v>
      </c>
      <c r="AP41" s="8">
        <v>4.2120236903429031E-3</v>
      </c>
      <c r="AQ41"/>
      <c r="AR41" s="8">
        <v>1.125</v>
      </c>
      <c r="AS41" s="8">
        <v>1.1341439485549927</v>
      </c>
      <c r="AT41" s="8">
        <v>12.847999572753906</v>
      </c>
      <c r="AU41" s="8">
        <v>2.5920000076293945</v>
      </c>
      <c r="AV41" s="8">
        <v>2.4200000762939453</v>
      </c>
      <c r="AW41" s="8">
        <v>7.849947452545166</v>
      </c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topLeftCell="A13" workbookViewId="0">
      <selection activeCell="J43" sqref="J43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2" t="s">
        <v>192</v>
      </c>
      <c r="E5">
        <v>4</v>
      </c>
      <c r="F5">
        <v>3.13</v>
      </c>
      <c r="G5">
        <v>4</v>
      </c>
      <c r="H5" s="193" t="s">
        <v>192</v>
      </c>
      <c r="J5" s="55"/>
      <c r="K5" s="56"/>
    </row>
    <row r="6" spans="1:12" ht="14" thickBot="1" x14ac:dyDescent="0.2">
      <c r="A6" s="39" t="s">
        <v>121</v>
      </c>
      <c r="D6" s="192" t="s">
        <v>193</v>
      </c>
      <c r="E6">
        <v>5</v>
      </c>
      <c r="F6">
        <v>3.13</v>
      </c>
      <c r="G6">
        <v>5</v>
      </c>
      <c r="H6" s="193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2" t="s">
        <v>194</v>
      </c>
      <c r="E7">
        <v>6</v>
      </c>
      <c r="F7">
        <v>3.13</v>
      </c>
      <c r="G7">
        <v>6</v>
      </c>
      <c r="H7" s="193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2" t="s">
        <v>195</v>
      </c>
      <c r="E8">
        <v>7</v>
      </c>
      <c r="F8">
        <v>3.13</v>
      </c>
      <c r="G8">
        <v>7</v>
      </c>
      <c r="H8" s="193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2" t="s">
        <v>196</v>
      </c>
      <c r="E9">
        <v>8</v>
      </c>
      <c r="F9">
        <v>3.13</v>
      </c>
      <c r="G9">
        <v>8</v>
      </c>
      <c r="H9" s="193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2" t="s">
        <v>197</v>
      </c>
      <c r="E10">
        <v>9</v>
      </c>
      <c r="F10">
        <v>3.13</v>
      </c>
      <c r="G10">
        <v>9</v>
      </c>
      <c r="H10" s="193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2" t="s">
        <v>198</v>
      </c>
      <c r="E11">
        <v>10</v>
      </c>
      <c r="F11">
        <v>3.13</v>
      </c>
      <c r="G11">
        <v>10</v>
      </c>
      <c r="H11" s="193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2" t="s">
        <v>199</v>
      </c>
      <c r="E12">
        <v>11</v>
      </c>
      <c r="F12">
        <v>3.13</v>
      </c>
      <c r="G12">
        <v>11</v>
      </c>
      <c r="H12" s="193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2" t="s">
        <v>200</v>
      </c>
      <c r="E13">
        <v>12</v>
      </c>
      <c r="F13">
        <v>3.13</v>
      </c>
      <c r="G13">
        <v>12</v>
      </c>
      <c r="H13" s="193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2" t="s">
        <v>201</v>
      </c>
      <c r="E14">
        <v>13</v>
      </c>
      <c r="F14">
        <v>3.13</v>
      </c>
      <c r="G14">
        <v>13</v>
      </c>
      <c r="H14" s="193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2" t="s">
        <v>202</v>
      </c>
      <c r="E15">
        <v>14</v>
      </c>
      <c r="F15">
        <v>3.13</v>
      </c>
      <c r="G15">
        <v>14</v>
      </c>
      <c r="H15" s="193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2" t="s">
        <v>203</v>
      </c>
      <c r="E16">
        <v>15</v>
      </c>
      <c r="F16">
        <v>3.13</v>
      </c>
      <c r="G16">
        <v>15</v>
      </c>
      <c r="H16" s="193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2" t="s">
        <v>204</v>
      </c>
      <c r="E17">
        <v>16</v>
      </c>
      <c r="F17">
        <v>3.13</v>
      </c>
      <c r="G17">
        <v>16</v>
      </c>
      <c r="H17" s="193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2" t="s">
        <v>205</v>
      </c>
      <c r="E18">
        <v>17</v>
      </c>
      <c r="F18">
        <v>3.13</v>
      </c>
      <c r="G18">
        <v>17</v>
      </c>
      <c r="H18" s="193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2" t="s">
        <v>206</v>
      </c>
      <c r="E19">
        <v>18</v>
      </c>
      <c r="F19">
        <v>3.13</v>
      </c>
      <c r="G19">
        <v>18</v>
      </c>
      <c r="H19" s="193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2" t="s">
        <v>207</v>
      </c>
      <c r="E20">
        <v>19</v>
      </c>
      <c r="F20">
        <v>3.13</v>
      </c>
      <c r="G20">
        <v>19</v>
      </c>
      <c r="H20" s="193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2" t="s">
        <v>208</v>
      </c>
      <c r="E21">
        <v>20</v>
      </c>
      <c r="F21">
        <v>3.12</v>
      </c>
      <c r="G21">
        <v>20</v>
      </c>
      <c r="H21" s="193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2" t="s">
        <v>209</v>
      </c>
      <c r="E22">
        <v>21</v>
      </c>
      <c r="F22">
        <v>3.12</v>
      </c>
      <c r="G22">
        <v>21</v>
      </c>
      <c r="H22" s="193" t="s">
        <v>209</v>
      </c>
    </row>
    <row r="23" spans="1:12" x14ac:dyDescent="0.15">
      <c r="A23" s="34" t="s">
        <v>129</v>
      </c>
      <c r="B23" s="42">
        <v>4</v>
      </c>
      <c r="C23" s="36"/>
      <c r="D23" s="192" t="s">
        <v>210</v>
      </c>
      <c r="E23">
        <v>22</v>
      </c>
      <c r="F23">
        <v>3.22</v>
      </c>
      <c r="G23">
        <v>22</v>
      </c>
      <c r="H23" s="193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92" t="s">
        <v>211</v>
      </c>
      <c r="E24">
        <v>23</v>
      </c>
      <c r="F24">
        <v>3</v>
      </c>
      <c r="G24">
        <v>23</v>
      </c>
      <c r="H24" s="193" t="s">
        <v>211</v>
      </c>
    </row>
    <row r="25" spans="1:12" x14ac:dyDescent="0.15">
      <c r="A25" s="34" t="s">
        <v>70</v>
      </c>
      <c r="B25" s="42">
        <v>4.2</v>
      </c>
      <c r="C25" s="36"/>
      <c r="D25" s="192" t="s">
        <v>212</v>
      </c>
      <c r="E25">
        <v>24</v>
      </c>
      <c r="F25">
        <v>3.12</v>
      </c>
      <c r="G25">
        <v>24</v>
      </c>
      <c r="H25" s="193" t="s">
        <v>212</v>
      </c>
    </row>
    <row r="26" spans="1:12" x14ac:dyDescent="0.15">
      <c r="A26" s="34" t="s">
        <v>123</v>
      </c>
      <c r="B26" s="42">
        <v>4.3</v>
      </c>
      <c r="C26" s="36"/>
      <c r="D26" s="192" t="s">
        <v>213</v>
      </c>
      <c r="E26">
        <v>25</v>
      </c>
      <c r="F26">
        <v>3.12</v>
      </c>
      <c r="G26">
        <v>25</v>
      </c>
      <c r="H26" s="193" t="s">
        <v>213</v>
      </c>
    </row>
    <row r="27" spans="1:12" x14ac:dyDescent="0.15">
      <c r="A27" s="34" t="s">
        <v>125</v>
      </c>
      <c r="B27" s="42">
        <v>6.1</v>
      </c>
      <c r="D27" s="192" t="s">
        <v>214</v>
      </c>
      <c r="E27">
        <v>26</v>
      </c>
      <c r="F27">
        <v>3.12</v>
      </c>
      <c r="G27">
        <v>26</v>
      </c>
      <c r="H27" s="193" t="s">
        <v>214</v>
      </c>
    </row>
    <row r="28" spans="1:12" x14ac:dyDescent="0.15">
      <c r="A28" s="34" t="s">
        <v>124</v>
      </c>
      <c r="B28" s="42">
        <v>6.2</v>
      </c>
      <c r="D28" s="192" t="s">
        <v>215</v>
      </c>
      <c r="E28">
        <v>27</v>
      </c>
      <c r="F28">
        <v>3</v>
      </c>
      <c r="G28">
        <v>27</v>
      </c>
      <c r="H28" s="193" t="s">
        <v>215</v>
      </c>
    </row>
    <row r="29" spans="1:12" x14ac:dyDescent="0.15">
      <c r="A29" s="34" t="s">
        <v>44</v>
      </c>
      <c r="B29" s="42">
        <v>5</v>
      </c>
      <c r="D29" s="192" t="s">
        <v>216</v>
      </c>
      <c r="E29">
        <v>28</v>
      </c>
      <c r="F29">
        <v>3</v>
      </c>
      <c r="G29">
        <v>28</v>
      </c>
      <c r="H29" s="193" t="s">
        <v>216</v>
      </c>
    </row>
    <row r="30" spans="1:12" x14ac:dyDescent="0.15">
      <c r="A30" s="34" t="s">
        <v>73</v>
      </c>
      <c r="B30" s="42">
        <v>7</v>
      </c>
      <c r="D30" s="192" t="s">
        <v>217</v>
      </c>
      <c r="E30">
        <v>29</v>
      </c>
      <c r="F30">
        <v>3.12</v>
      </c>
      <c r="G30">
        <v>29</v>
      </c>
      <c r="H30" s="193" t="s">
        <v>217</v>
      </c>
    </row>
    <row r="31" spans="1:12" x14ac:dyDescent="0.15">
      <c r="A31" s="34" t="s">
        <v>169</v>
      </c>
      <c r="B31" s="42">
        <v>3.14</v>
      </c>
      <c r="D31" s="192" t="s">
        <v>218</v>
      </c>
      <c r="E31">
        <v>30</v>
      </c>
      <c r="F31">
        <v>3.11</v>
      </c>
      <c r="G31">
        <v>30</v>
      </c>
      <c r="H31" s="193" t="s">
        <v>218</v>
      </c>
    </row>
    <row r="32" spans="1:12" ht="12" customHeight="1" thickBot="1" x14ac:dyDescent="0.2">
      <c r="A32" s="40" t="s">
        <v>170</v>
      </c>
      <c r="B32" s="43">
        <v>9</v>
      </c>
      <c r="D32" s="192" t="s">
        <v>219</v>
      </c>
      <c r="E32">
        <v>31</v>
      </c>
      <c r="F32">
        <v>3.12</v>
      </c>
      <c r="G32">
        <v>31</v>
      </c>
      <c r="H32" s="193" t="s">
        <v>219</v>
      </c>
    </row>
    <row r="33" spans="4:8" customFormat="1" ht="12" customHeight="1" x14ac:dyDescent="0.15">
      <c r="D33" s="192" t="s">
        <v>220</v>
      </c>
      <c r="E33">
        <v>32</v>
      </c>
      <c r="F33">
        <v>3.11</v>
      </c>
      <c r="G33">
        <v>32</v>
      </c>
      <c r="H33" s="193" t="s">
        <v>220</v>
      </c>
    </row>
    <row r="34" spans="4:8" customFormat="1" ht="12" customHeight="1" x14ac:dyDescent="0.15">
      <c r="D34" s="192" t="s">
        <v>221</v>
      </c>
      <c r="E34">
        <v>33</v>
      </c>
      <c r="F34">
        <v>3</v>
      </c>
      <c r="G34">
        <v>33</v>
      </c>
      <c r="H34" s="193" t="s">
        <v>221</v>
      </c>
    </row>
    <row r="35" spans="4:8" customFormat="1" x14ac:dyDescent="0.15">
      <c r="D35" s="192" t="s">
        <v>222</v>
      </c>
      <c r="E35">
        <v>34</v>
      </c>
      <c r="F35">
        <v>3.11</v>
      </c>
      <c r="G35">
        <v>34</v>
      </c>
      <c r="H35" s="193" t="s">
        <v>222</v>
      </c>
    </row>
    <row r="36" spans="4:8" customFormat="1" x14ac:dyDescent="0.15">
      <c r="D36" s="192" t="s">
        <v>223</v>
      </c>
      <c r="E36">
        <v>35</v>
      </c>
      <c r="F36">
        <v>3.14</v>
      </c>
      <c r="G36">
        <v>35</v>
      </c>
      <c r="H36" s="193" t="s">
        <v>223</v>
      </c>
    </row>
    <row r="37" spans="4:8" customFormat="1" ht="12" customHeight="1" x14ac:dyDescent="0.15">
      <c r="D37" s="192" t="s">
        <v>224</v>
      </c>
      <c r="E37">
        <v>36</v>
      </c>
      <c r="F37">
        <v>3</v>
      </c>
      <c r="G37">
        <v>36</v>
      </c>
      <c r="H37" s="193" t="s">
        <v>224</v>
      </c>
    </row>
    <row r="38" spans="4:8" customFormat="1" x14ac:dyDescent="0.15">
      <c r="D38" s="192" t="s">
        <v>225</v>
      </c>
      <c r="E38">
        <v>37</v>
      </c>
      <c r="F38">
        <v>3.21</v>
      </c>
      <c r="G38">
        <v>37</v>
      </c>
      <c r="H38" s="193" t="s">
        <v>225</v>
      </c>
    </row>
    <row r="39" spans="4:8" customFormat="1" x14ac:dyDescent="0.15">
      <c r="D39" s="192" t="s">
        <v>226</v>
      </c>
      <c r="E39">
        <v>38</v>
      </c>
      <c r="F39">
        <v>3.21</v>
      </c>
      <c r="G39">
        <v>38</v>
      </c>
      <c r="H39" s="193" t="s">
        <v>226</v>
      </c>
    </row>
    <row r="40" spans="4:8" customFormat="1" x14ac:dyDescent="0.15">
      <c r="D40" s="192" t="s">
        <v>227</v>
      </c>
      <c r="E40">
        <v>39</v>
      </c>
      <c r="F40">
        <v>3.2</v>
      </c>
      <c r="G40">
        <v>39</v>
      </c>
      <c r="H40" s="193" t="s">
        <v>227</v>
      </c>
    </row>
    <row r="41" spans="4:8" customFormat="1" x14ac:dyDescent="0.15">
      <c r="D41" s="192" t="s">
        <v>228</v>
      </c>
      <c r="E41">
        <v>40</v>
      </c>
      <c r="F41">
        <v>2</v>
      </c>
      <c r="G41">
        <v>40</v>
      </c>
      <c r="H41" s="193" t="s">
        <v>228</v>
      </c>
    </row>
    <row r="42" spans="4:8" customFormat="1" x14ac:dyDescent="0.15">
      <c r="D42" s="192" t="s">
        <v>229</v>
      </c>
      <c r="E42">
        <v>41</v>
      </c>
      <c r="F42">
        <v>2</v>
      </c>
      <c r="G42">
        <v>41</v>
      </c>
      <c r="H42" s="193" t="s">
        <v>229</v>
      </c>
    </row>
    <row r="43" spans="4:8" customFormat="1" x14ac:dyDescent="0.15">
      <c r="D43" s="192" t="s">
        <v>230</v>
      </c>
      <c r="E43">
        <v>42</v>
      </c>
      <c r="F43">
        <v>4.3</v>
      </c>
      <c r="G43">
        <v>42</v>
      </c>
      <c r="H43" s="193" t="s">
        <v>230</v>
      </c>
    </row>
    <row r="44" spans="4:8" customFormat="1" x14ac:dyDescent="0.15">
      <c r="D44" s="192" t="s">
        <v>231</v>
      </c>
      <c r="E44">
        <v>43</v>
      </c>
      <c r="F44">
        <v>4.0999999999999996</v>
      </c>
      <c r="G44">
        <v>43</v>
      </c>
      <c r="H44" s="193" t="s">
        <v>231</v>
      </c>
    </row>
    <row r="45" spans="4:8" customFormat="1" x14ac:dyDescent="0.15">
      <c r="D45" s="192" t="s">
        <v>193</v>
      </c>
      <c r="E45">
        <v>44</v>
      </c>
      <c r="F45">
        <v>5</v>
      </c>
      <c r="G45">
        <v>44</v>
      </c>
      <c r="H45" s="193" t="s">
        <v>193</v>
      </c>
    </row>
    <row r="46" spans="4:8" customFormat="1" x14ac:dyDescent="0.15">
      <c r="D46" s="192" t="s">
        <v>232</v>
      </c>
      <c r="E46">
        <v>45</v>
      </c>
      <c r="F46">
        <v>5</v>
      </c>
      <c r="G46">
        <v>45</v>
      </c>
      <c r="H46" s="193" t="s">
        <v>232</v>
      </c>
    </row>
    <row r="47" spans="4:8" customFormat="1" x14ac:dyDescent="0.15">
      <c r="D47" s="192" t="s">
        <v>233</v>
      </c>
      <c r="E47">
        <v>46</v>
      </c>
      <c r="F47">
        <v>5</v>
      </c>
      <c r="G47">
        <v>46</v>
      </c>
      <c r="H47" s="193" t="s">
        <v>233</v>
      </c>
    </row>
    <row r="48" spans="4:8" customFormat="1" x14ac:dyDescent="0.15">
      <c r="D48" s="192" t="s">
        <v>234</v>
      </c>
      <c r="E48">
        <v>47</v>
      </c>
      <c r="F48">
        <v>5</v>
      </c>
      <c r="G48">
        <v>47</v>
      </c>
      <c r="H48" s="193" t="s">
        <v>234</v>
      </c>
    </row>
    <row r="49" spans="4:8" customFormat="1" x14ac:dyDescent="0.15">
      <c r="D49" s="192" t="s">
        <v>197</v>
      </c>
      <c r="E49">
        <v>48</v>
      </c>
      <c r="F49">
        <v>5</v>
      </c>
      <c r="G49">
        <v>48</v>
      </c>
      <c r="H49" s="193" t="s">
        <v>197</v>
      </c>
    </row>
    <row r="50" spans="4:8" customFormat="1" ht="12" customHeight="1" x14ac:dyDescent="0.15">
      <c r="D50" s="192" t="s">
        <v>196</v>
      </c>
      <c r="E50">
        <v>49</v>
      </c>
      <c r="F50">
        <v>5</v>
      </c>
      <c r="G50">
        <v>49</v>
      </c>
      <c r="H50" s="193" t="s">
        <v>196</v>
      </c>
    </row>
    <row r="51" spans="4:8" customFormat="1" x14ac:dyDescent="0.15">
      <c r="D51" s="192" t="s">
        <v>235</v>
      </c>
      <c r="E51">
        <v>50</v>
      </c>
      <c r="F51">
        <v>5</v>
      </c>
      <c r="G51">
        <v>50</v>
      </c>
      <c r="H51" s="193" t="s">
        <v>235</v>
      </c>
    </row>
    <row r="52" spans="4:8" customFormat="1" ht="12" customHeight="1" x14ac:dyDescent="0.15">
      <c r="D52" s="192" t="s">
        <v>236</v>
      </c>
      <c r="E52">
        <v>51</v>
      </c>
      <c r="F52">
        <v>5</v>
      </c>
      <c r="G52">
        <v>51</v>
      </c>
      <c r="H52" s="193" t="s">
        <v>236</v>
      </c>
    </row>
    <row r="53" spans="4:8" customFormat="1" x14ac:dyDescent="0.15">
      <c r="D53" s="192" t="s">
        <v>204</v>
      </c>
      <c r="E53">
        <v>52</v>
      </c>
      <c r="F53">
        <v>5</v>
      </c>
      <c r="G53">
        <v>52</v>
      </c>
      <c r="H53" s="193" t="s">
        <v>204</v>
      </c>
    </row>
    <row r="54" spans="4:8" customFormat="1" ht="12" customHeight="1" x14ac:dyDescent="0.15">
      <c r="D54" s="192" t="s">
        <v>205</v>
      </c>
      <c r="E54">
        <v>53</v>
      </c>
      <c r="F54">
        <v>5</v>
      </c>
      <c r="G54">
        <v>53</v>
      </c>
      <c r="H54" s="193" t="s">
        <v>205</v>
      </c>
    </row>
    <row r="55" spans="4:8" customFormat="1" ht="12" customHeight="1" x14ac:dyDescent="0.15">
      <c r="D55" s="192" t="s">
        <v>237</v>
      </c>
      <c r="E55">
        <v>54</v>
      </c>
      <c r="F55">
        <v>5</v>
      </c>
      <c r="G55">
        <v>54</v>
      </c>
      <c r="H55" s="193" t="s">
        <v>237</v>
      </c>
    </row>
    <row r="56" spans="4:8" customFormat="1" x14ac:dyDescent="0.15">
      <c r="D56" s="192" t="s">
        <v>238</v>
      </c>
      <c r="E56">
        <v>55</v>
      </c>
      <c r="F56">
        <v>5</v>
      </c>
      <c r="G56">
        <v>55</v>
      </c>
      <c r="H56" s="193" t="s">
        <v>238</v>
      </c>
    </row>
    <row r="57" spans="4:8" customFormat="1" x14ac:dyDescent="0.15">
      <c r="D57" s="192" t="s">
        <v>239</v>
      </c>
      <c r="E57">
        <v>56</v>
      </c>
      <c r="F57">
        <v>5</v>
      </c>
      <c r="G57">
        <v>56</v>
      </c>
      <c r="H57" s="193" t="s">
        <v>239</v>
      </c>
    </row>
    <row r="58" spans="4:8" customFormat="1" x14ac:dyDescent="0.15">
      <c r="D58" s="192" t="s">
        <v>240</v>
      </c>
      <c r="E58">
        <v>57</v>
      </c>
      <c r="F58">
        <v>5</v>
      </c>
      <c r="G58">
        <v>57</v>
      </c>
      <c r="H58" s="193" t="s">
        <v>240</v>
      </c>
    </row>
    <row r="59" spans="4:8" customFormat="1" x14ac:dyDescent="0.15">
      <c r="D59" s="192" t="s">
        <v>138</v>
      </c>
      <c r="E59">
        <v>58</v>
      </c>
      <c r="F59">
        <v>6.1</v>
      </c>
      <c r="G59">
        <v>58</v>
      </c>
      <c r="H59" s="193" t="s">
        <v>138</v>
      </c>
    </row>
    <row r="60" spans="4:8" customFormat="1" x14ac:dyDescent="0.15">
      <c r="D60" s="192" t="s">
        <v>45</v>
      </c>
      <c r="E60">
        <v>59</v>
      </c>
      <c r="F60">
        <v>6.2</v>
      </c>
      <c r="G60">
        <v>59</v>
      </c>
      <c r="H60" s="193" t="s">
        <v>45</v>
      </c>
    </row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7.1640625" style="81" bestFit="1" customWidth="1"/>
    <col min="2" max="2" width="12.83203125" style="80" customWidth="1"/>
    <col min="3" max="3" width="17.1640625" style="80" customWidth="1"/>
    <col min="4" max="4" width="9.83203125" style="80" customWidth="1"/>
    <col min="5" max="5" width="12.83203125" style="80" customWidth="1"/>
    <col min="6" max="6" width="21" style="80" bestFit="1" customWidth="1"/>
    <col min="7" max="9" width="2.33203125" style="80" customWidth="1"/>
    <col min="10" max="10" width="2.33203125" style="80" bestFit="1" customWidth="1"/>
    <col min="11" max="15" width="3.83203125" style="80" customWidth="1"/>
    <col min="16" max="16" width="3.8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4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7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7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4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1</v>
      </c>
      <c r="L6" s="80">
        <v>0</v>
      </c>
      <c r="M6" s="80">
        <v>1</v>
      </c>
      <c r="N6" s="80">
        <v>0</v>
      </c>
      <c r="O6" s="80">
        <v>1</v>
      </c>
      <c r="P6" s="70">
        <v>0</v>
      </c>
      <c r="Q6" s="80">
        <v>0</v>
      </c>
      <c r="R6" s="71">
        <v>1</v>
      </c>
      <c r="S6"/>
      <c r="T6"/>
    </row>
    <row r="7" spans="1:23" ht="15" customHeight="1" thickBot="1" x14ac:dyDescent="0.2">
      <c r="F7" s="194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70">
        <v>0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0.70084018807082593</v>
      </c>
      <c r="C8" s="195" t="s">
        <v>228</v>
      </c>
      <c r="D8" s="84" t="s">
        <v>160</v>
      </c>
      <c r="F8" s="194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0">
        <v>0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1" t="s">
        <v>168</v>
      </c>
      <c r="B9" s="91">
        <v>0.29915981192917418</v>
      </c>
      <c r="C9" s="195" t="s">
        <v>229</v>
      </c>
      <c r="D9" s="84" t="s">
        <v>160</v>
      </c>
      <c r="F9" s="194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0">
        <v>0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4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0">
        <v>0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4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0">
        <v>0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4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0">
        <v>0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4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0">
        <v>0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4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0">
        <v>0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4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0">
        <v>0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4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0">
        <v>0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4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0">
        <v>0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194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0">
        <v>0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0.70084018807082593</v>
      </c>
      <c r="C19" s="196" t="s">
        <v>228</v>
      </c>
      <c r="D19" s="84" t="s">
        <v>160</v>
      </c>
      <c r="F19" s="194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0">
        <v>0</v>
      </c>
      <c r="Q19" s="80">
        <v>0</v>
      </c>
      <c r="R19" s="71">
        <v>1</v>
      </c>
      <c r="S19"/>
      <c r="T19"/>
    </row>
    <row r="20" spans="1:20" ht="15" customHeight="1" x14ac:dyDescent="0.15">
      <c r="A20" s="121" t="s">
        <v>168</v>
      </c>
      <c r="B20" s="91">
        <v>0.29915981192917418</v>
      </c>
      <c r="C20" s="196" t="s">
        <v>229</v>
      </c>
      <c r="D20" s="84" t="s">
        <v>160</v>
      </c>
      <c r="F20" s="194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0">
        <v>0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4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0">
        <v>0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4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0">
        <v>0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4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0">
        <v>0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4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0">
        <v>0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4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0">
        <v>0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4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0">
        <v>0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4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0">
        <v>0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4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0">
        <v>0</v>
      </c>
      <c r="Q28" s="80">
        <v>0</v>
      </c>
      <c r="R28" s="71">
        <v>1</v>
      </c>
      <c r="S28"/>
      <c r="T28"/>
    </row>
    <row r="29" spans="1:20" ht="15" customHeight="1" x14ac:dyDescent="0.15">
      <c r="F29" s="194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0">
        <v>0</v>
      </c>
      <c r="Q29" s="80">
        <v>0</v>
      </c>
      <c r="R29" s="71">
        <v>1</v>
      </c>
      <c r="S29"/>
      <c r="T29"/>
    </row>
    <row r="30" spans="1:20" ht="15" customHeight="1" x14ac:dyDescent="0.15">
      <c r="F30" s="194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0">
        <v>0</v>
      </c>
      <c r="Q30" s="80">
        <v>0</v>
      </c>
      <c r="R30" s="71">
        <v>1</v>
      </c>
      <c r="S30"/>
      <c r="T30"/>
    </row>
    <row r="31" spans="1:20" ht="15" customHeight="1" x14ac:dyDescent="0.15">
      <c r="A31" s="122"/>
      <c r="B31" s="132" t="s">
        <v>17</v>
      </c>
      <c r="C31" s="132" t="s">
        <v>1</v>
      </c>
      <c r="D31" s="132" t="s">
        <v>161</v>
      </c>
      <c r="E31" s="133" t="s">
        <v>163</v>
      </c>
      <c r="F31" s="194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0">
        <v>0</v>
      </c>
      <c r="Q31" s="80">
        <v>0</v>
      </c>
      <c r="R31" s="71">
        <v>1</v>
      </c>
      <c r="S31"/>
      <c r="T31"/>
    </row>
    <row r="32" spans="1:20" ht="15" customHeight="1" x14ac:dyDescent="0.15">
      <c r="A32" s="197" t="s">
        <v>228</v>
      </c>
      <c r="B32" s="92">
        <v>8</v>
      </c>
      <c r="C32" s="92">
        <v>46.458640000000003</v>
      </c>
      <c r="D32" s="92">
        <v>371.66912000000002</v>
      </c>
      <c r="E32" s="123">
        <v>0.70084018807082593</v>
      </c>
      <c r="F32" s="194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0">
        <v>0</v>
      </c>
      <c r="Q32" s="80">
        <v>0</v>
      </c>
      <c r="R32" s="71">
        <v>1</v>
      </c>
      <c r="S32"/>
      <c r="T32"/>
    </row>
    <row r="33" spans="1:20" ht="15" customHeight="1" x14ac:dyDescent="0.15">
      <c r="A33" s="197" t="s">
        <v>229</v>
      </c>
      <c r="B33" s="92">
        <v>3.5</v>
      </c>
      <c r="C33" s="92">
        <v>45.32864</v>
      </c>
      <c r="D33" s="92">
        <v>158.65024</v>
      </c>
      <c r="E33" s="123">
        <v>0.29915981192917418</v>
      </c>
      <c r="F33" s="194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0">
        <v>0</v>
      </c>
      <c r="Q33" s="80">
        <v>0</v>
      </c>
      <c r="R33" s="71">
        <v>1</v>
      </c>
      <c r="S33"/>
      <c r="T33"/>
    </row>
    <row r="34" spans="1:20" ht="15" customHeight="1" x14ac:dyDescent="0.15">
      <c r="A34" s="124"/>
      <c r="B34" s="92"/>
      <c r="C34" s="92"/>
      <c r="D34" s="92"/>
      <c r="E34" s="123"/>
      <c r="F34" s="194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0">
        <v>0</v>
      </c>
      <c r="Q34" s="80">
        <v>0</v>
      </c>
      <c r="R34" s="71">
        <v>1</v>
      </c>
      <c r="S34"/>
      <c r="T34"/>
    </row>
    <row r="35" spans="1:20" ht="15" customHeight="1" x14ac:dyDescent="0.15">
      <c r="A35" s="125"/>
      <c r="B35" s="92"/>
      <c r="C35" s="92"/>
      <c r="D35" s="92"/>
      <c r="E35" s="123"/>
      <c r="F35" s="194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0.5</v>
      </c>
      <c r="L35" s="80">
        <v>0.5</v>
      </c>
      <c r="M35" s="80">
        <v>0.5</v>
      </c>
      <c r="N35" s="80">
        <v>0.5</v>
      </c>
      <c r="O35" s="80">
        <v>0.5</v>
      </c>
      <c r="P35" s="70">
        <v>0.5</v>
      </c>
      <c r="Q35" s="80">
        <v>0</v>
      </c>
      <c r="R35" s="71">
        <v>1</v>
      </c>
      <c r="S35"/>
      <c r="T35"/>
    </row>
    <row r="36" spans="1:20" ht="15" customHeight="1" x14ac:dyDescent="0.15">
      <c r="A36" s="126"/>
      <c r="B36" s="92"/>
      <c r="C36" s="92"/>
      <c r="D36" s="92"/>
      <c r="E36" s="123"/>
      <c r="F36" s="194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0">
        <v>0</v>
      </c>
      <c r="Q36" s="80">
        <v>0</v>
      </c>
      <c r="R36" s="71">
        <v>1</v>
      </c>
      <c r="S36"/>
      <c r="T36"/>
    </row>
    <row r="37" spans="1:20" ht="15" customHeight="1" x14ac:dyDescent="0.15">
      <c r="A37" s="126"/>
      <c r="B37" s="92"/>
      <c r="C37" s="92"/>
      <c r="D37" s="92"/>
      <c r="E37" s="123"/>
      <c r="F37" s="194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70">
        <v>0</v>
      </c>
      <c r="Q37" s="80">
        <v>0</v>
      </c>
      <c r="R37" s="71">
        <v>1</v>
      </c>
      <c r="S37"/>
      <c r="T37"/>
    </row>
    <row r="38" spans="1:20" ht="15" customHeight="1" x14ac:dyDescent="0.15">
      <c r="A38" s="127"/>
      <c r="B38" s="92"/>
      <c r="C38" s="92"/>
      <c r="D38" s="92"/>
      <c r="E38" s="123"/>
      <c r="F38" s="194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1</v>
      </c>
      <c r="M38" s="80">
        <v>0</v>
      </c>
      <c r="N38" s="80">
        <v>1</v>
      </c>
      <c r="O38" s="80">
        <v>0</v>
      </c>
      <c r="P38" s="70">
        <v>1</v>
      </c>
      <c r="Q38" s="80">
        <v>0</v>
      </c>
      <c r="R38" s="71">
        <v>1</v>
      </c>
      <c r="S38"/>
      <c r="T38"/>
    </row>
    <row r="39" spans="1:20" ht="15" customHeight="1" x14ac:dyDescent="0.15">
      <c r="A39" s="127"/>
      <c r="B39" s="92"/>
      <c r="C39" s="92"/>
      <c r="D39" s="92"/>
      <c r="E39" s="123"/>
      <c r="F39" s="194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1</v>
      </c>
      <c r="M39" s="80">
        <v>0</v>
      </c>
      <c r="N39" s="80">
        <v>1</v>
      </c>
      <c r="O39" s="80">
        <v>0</v>
      </c>
      <c r="P39" s="70">
        <v>1</v>
      </c>
      <c r="Q39" s="80">
        <v>0</v>
      </c>
      <c r="R39" s="71">
        <v>1</v>
      </c>
      <c r="S39"/>
      <c r="T39"/>
    </row>
    <row r="40" spans="1:20" ht="15" customHeight="1" x14ac:dyDescent="0.15">
      <c r="A40" s="127"/>
      <c r="B40" s="92"/>
      <c r="C40" s="92"/>
      <c r="D40" s="92"/>
      <c r="E40" s="123"/>
      <c r="F40" s="194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1</v>
      </c>
      <c r="M40" s="80">
        <v>0</v>
      </c>
      <c r="N40" s="80">
        <v>1</v>
      </c>
      <c r="O40" s="80">
        <v>0</v>
      </c>
      <c r="P40" s="70">
        <v>1</v>
      </c>
      <c r="Q40" s="80">
        <v>0</v>
      </c>
      <c r="R40" s="71">
        <v>1</v>
      </c>
      <c r="S40"/>
      <c r="T40"/>
    </row>
    <row r="41" spans="1:20" ht="15" customHeight="1" thickBot="1" x14ac:dyDescent="0.2">
      <c r="A41" s="127"/>
      <c r="B41" s="92"/>
      <c r="C41" s="92"/>
      <c r="D41" s="93"/>
      <c r="E41" s="128"/>
      <c r="F41" s="194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1</v>
      </c>
      <c r="M41" s="80">
        <v>0</v>
      </c>
      <c r="N41" s="80">
        <v>1</v>
      </c>
      <c r="O41" s="80">
        <v>0</v>
      </c>
      <c r="P41" s="70">
        <v>1</v>
      </c>
      <c r="Q41" s="80">
        <v>0</v>
      </c>
      <c r="R41" s="71">
        <v>1</v>
      </c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530.31935999999996</v>
      </c>
      <c r="E42" s="131">
        <f>SUM(E32:E41)</f>
        <v>1</v>
      </c>
      <c r="F42" s="194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1</v>
      </c>
      <c r="N42" s="80">
        <v>0</v>
      </c>
      <c r="O42" s="80">
        <v>0</v>
      </c>
      <c r="P42" s="70">
        <v>0</v>
      </c>
      <c r="Q42" s="80">
        <v>0</v>
      </c>
      <c r="R42" s="71">
        <v>1</v>
      </c>
      <c r="S42"/>
      <c r="T42"/>
    </row>
    <row r="43" spans="1:20" ht="15" customHeight="1" x14ac:dyDescent="0.15">
      <c r="A43" s="80"/>
      <c r="F43" s="194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</v>
      </c>
      <c r="N43" s="80">
        <v>1</v>
      </c>
      <c r="O43" s="80">
        <v>0</v>
      </c>
      <c r="P43" s="70">
        <v>0</v>
      </c>
      <c r="Q43" s="80">
        <v>0</v>
      </c>
      <c r="R43" s="71">
        <v>1</v>
      </c>
      <c r="S43"/>
      <c r="T43"/>
    </row>
    <row r="44" spans="1:20" ht="15" customHeight="1" x14ac:dyDescent="0.15">
      <c r="A44" s="80"/>
      <c r="F44" s="194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1</v>
      </c>
      <c r="M44" s="80">
        <v>0</v>
      </c>
      <c r="N44" s="80">
        <v>1</v>
      </c>
      <c r="O44" s="80">
        <v>0</v>
      </c>
      <c r="P44" s="70">
        <v>1</v>
      </c>
      <c r="Q44" s="80">
        <v>0</v>
      </c>
      <c r="R44" s="71">
        <v>1</v>
      </c>
    </row>
    <row r="45" spans="1:20" ht="15" customHeight="1" x14ac:dyDescent="0.15">
      <c r="A45" s="80"/>
      <c r="F45" s="194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1</v>
      </c>
      <c r="O45" s="80">
        <v>0</v>
      </c>
      <c r="P45" s="70">
        <v>1</v>
      </c>
      <c r="Q45" s="80">
        <v>0</v>
      </c>
      <c r="R45" s="71">
        <v>1</v>
      </c>
    </row>
    <row r="46" spans="1:20" ht="15" customHeight="1" x14ac:dyDescent="0.15">
      <c r="A46" s="80"/>
      <c r="F46" s="194" t="s">
        <v>193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1</v>
      </c>
      <c r="M46" s="80">
        <v>0</v>
      </c>
      <c r="N46" s="80">
        <v>0</v>
      </c>
      <c r="O46" s="80">
        <v>0</v>
      </c>
      <c r="P46" s="70">
        <v>0</v>
      </c>
      <c r="Q46" s="80">
        <v>0</v>
      </c>
      <c r="R46" s="71">
        <v>1</v>
      </c>
    </row>
    <row r="47" spans="1:20" ht="15" customHeight="1" x14ac:dyDescent="0.15">
      <c r="A47" s="80"/>
      <c r="F47" s="194" t="s">
        <v>232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1</v>
      </c>
      <c r="M47" s="80">
        <v>0</v>
      </c>
      <c r="N47" s="80">
        <v>0</v>
      </c>
      <c r="O47" s="80">
        <v>0</v>
      </c>
      <c r="P47" s="70">
        <v>0</v>
      </c>
      <c r="Q47" s="80">
        <v>0</v>
      </c>
      <c r="R47" s="71">
        <v>1</v>
      </c>
    </row>
    <row r="48" spans="1:20" ht="15" customHeight="1" x14ac:dyDescent="0.15">
      <c r="A48" s="80"/>
      <c r="F48" s="194" t="s">
        <v>233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1</v>
      </c>
      <c r="M48" s="80">
        <v>0</v>
      </c>
      <c r="N48" s="80">
        <v>0</v>
      </c>
      <c r="O48" s="80">
        <v>0</v>
      </c>
      <c r="P48" s="70">
        <v>0</v>
      </c>
      <c r="Q48" s="80">
        <v>0</v>
      </c>
      <c r="R48" s="71">
        <v>1</v>
      </c>
    </row>
    <row r="49" spans="6:18" s="80" customFormat="1" ht="15" customHeight="1" x14ac:dyDescent="0.15">
      <c r="F49" s="194" t="s">
        <v>234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1</v>
      </c>
      <c r="M49" s="80">
        <v>0</v>
      </c>
      <c r="N49" s="80">
        <v>0</v>
      </c>
      <c r="O49" s="80">
        <v>0</v>
      </c>
      <c r="P49" s="70">
        <v>0</v>
      </c>
      <c r="Q49" s="80">
        <v>0</v>
      </c>
      <c r="R49" s="71">
        <v>1</v>
      </c>
    </row>
    <row r="50" spans="6:18" s="80" customFormat="1" ht="15" customHeight="1" x14ac:dyDescent="0.15">
      <c r="F50" s="194" t="s">
        <v>197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1</v>
      </c>
      <c r="M50" s="80">
        <v>0</v>
      </c>
      <c r="N50" s="80">
        <v>0</v>
      </c>
      <c r="O50" s="80">
        <v>0</v>
      </c>
      <c r="P50" s="70">
        <v>0</v>
      </c>
      <c r="Q50" s="80">
        <v>0</v>
      </c>
      <c r="R50" s="71">
        <v>1</v>
      </c>
    </row>
    <row r="51" spans="6:18" s="80" customFormat="1" ht="15" customHeight="1" x14ac:dyDescent="0.15">
      <c r="F51" s="194" t="s">
        <v>196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1</v>
      </c>
      <c r="M51" s="80">
        <v>0</v>
      </c>
      <c r="N51" s="80">
        <v>0</v>
      </c>
      <c r="O51" s="80">
        <v>0</v>
      </c>
      <c r="P51" s="70">
        <v>0</v>
      </c>
      <c r="Q51" s="80">
        <v>0</v>
      </c>
      <c r="R51" s="71">
        <v>1</v>
      </c>
    </row>
    <row r="52" spans="6:18" s="80" customFormat="1" ht="15" customHeight="1" x14ac:dyDescent="0.15">
      <c r="F52" s="194" t="s">
        <v>235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1</v>
      </c>
      <c r="M52" s="80">
        <v>0</v>
      </c>
      <c r="N52" s="80">
        <v>0</v>
      </c>
      <c r="O52" s="80">
        <v>0</v>
      </c>
      <c r="P52" s="70">
        <v>0</v>
      </c>
      <c r="Q52" s="80">
        <v>0</v>
      </c>
      <c r="R52" s="71">
        <v>1</v>
      </c>
    </row>
    <row r="53" spans="6:18" s="80" customFormat="1" ht="15" customHeight="1" x14ac:dyDescent="0.15">
      <c r="F53" s="194" t="s">
        <v>236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1</v>
      </c>
      <c r="M53" s="80">
        <v>0</v>
      </c>
      <c r="N53" s="80">
        <v>0</v>
      </c>
      <c r="O53" s="80">
        <v>0</v>
      </c>
      <c r="P53" s="70">
        <v>0</v>
      </c>
      <c r="Q53" s="80">
        <v>0</v>
      </c>
      <c r="R53" s="71">
        <v>1</v>
      </c>
    </row>
    <row r="54" spans="6:18" s="80" customFormat="1" ht="15" customHeight="1" x14ac:dyDescent="0.15">
      <c r="F54" s="194" t="s">
        <v>204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1</v>
      </c>
      <c r="M54" s="80">
        <v>0</v>
      </c>
      <c r="N54" s="80">
        <v>0</v>
      </c>
      <c r="O54" s="80">
        <v>0</v>
      </c>
      <c r="P54" s="70">
        <v>0</v>
      </c>
      <c r="Q54" s="80">
        <v>0</v>
      </c>
      <c r="R54" s="71">
        <v>1</v>
      </c>
    </row>
    <row r="55" spans="6:18" s="80" customFormat="1" ht="15" customHeight="1" x14ac:dyDescent="0.15">
      <c r="F55" s="194" t="s">
        <v>205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1</v>
      </c>
      <c r="M55" s="80">
        <v>0</v>
      </c>
      <c r="N55" s="80">
        <v>0</v>
      </c>
      <c r="O55" s="80">
        <v>0</v>
      </c>
      <c r="P55" s="70">
        <v>0</v>
      </c>
      <c r="Q55" s="80">
        <v>0</v>
      </c>
      <c r="R55" s="71">
        <v>1</v>
      </c>
    </row>
    <row r="56" spans="6:18" s="80" customFormat="1" ht="15" customHeight="1" x14ac:dyDescent="0.15">
      <c r="F56" s="194" t="s">
        <v>237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1</v>
      </c>
      <c r="M56" s="80">
        <v>0</v>
      </c>
      <c r="N56" s="80">
        <v>0</v>
      </c>
      <c r="O56" s="80">
        <v>0</v>
      </c>
      <c r="P56" s="70">
        <v>0</v>
      </c>
      <c r="Q56" s="80">
        <v>0</v>
      </c>
      <c r="R56" s="71">
        <v>1</v>
      </c>
    </row>
    <row r="57" spans="6:18" s="80" customFormat="1" ht="15" customHeight="1" x14ac:dyDescent="0.15">
      <c r="F57" s="194" t="s">
        <v>238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1</v>
      </c>
      <c r="M57" s="80">
        <v>0</v>
      </c>
      <c r="N57" s="80">
        <v>0</v>
      </c>
      <c r="O57" s="80">
        <v>0</v>
      </c>
      <c r="P57" s="70">
        <v>0</v>
      </c>
      <c r="Q57" s="80">
        <v>0</v>
      </c>
      <c r="R57" s="71">
        <v>1</v>
      </c>
    </row>
    <row r="58" spans="6:18" s="80" customFormat="1" ht="15" customHeight="1" x14ac:dyDescent="0.15">
      <c r="F58" s="194" t="s">
        <v>239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1</v>
      </c>
      <c r="M58" s="80">
        <v>0</v>
      </c>
      <c r="N58" s="80">
        <v>0</v>
      </c>
      <c r="O58" s="80">
        <v>0</v>
      </c>
      <c r="P58" s="70">
        <v>0</v>
      </c>
      <c r="Q58" s="80">
        <v>0</v>
      </c>
      <c r="R58" s="71">
        <v>1</v>
      </c>
    </row>
    <row r="59" spans="6:18" s="80" customFormat="1" ht="15" customHeight="1" x14ac:dyDescent="0.15">
      <c r="F59" s="194" t="s">
        <v>240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1</v>
      </c>
      <c r="M59" s="80">
        <v>0</v>
      </c>
      <c r="N59" s="80">
        <v>0</v>
      </c>
      <c r="O59" s="80">
        <v>0</v>
      </c>
      <c r="P59" s="70">
        <v>0</v>
      </c>
      <c r="Q59" s="80">
        <v>0</v>
      </c>
      <c r="R59" s="71">
        <v>1</v>
      </c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" bestFit="1" customWidth="1"/>
    <col min="2" max="2" width="2.33203125" style="107" customWidth="1"/>
    <col min="3" max="5" width="7.83203125" style="107" customWidth="1"/>
    <col min="6" max="8" width="8.83203125" style="6"/>
    <col min="9" max="9" width="15" style="6" customWidth="1"/>
    <col min="10" max="10" width="13.1640625" style="6" customWidth="1"/>
    <col min="11" max="11" width="14.6640625" style="6" customWidth="1"/>
    <col min="12" max="12" width="11.33203125" style="6" customWidth="1"/>
    <col min="13" max="13" width="7.83203125" style="6" customWidth="1"/>
    <col min="14" max="14" width="8.83203125" style="6" customWidth="1"/>
    <col min="15" max="16" width="9" style="6" customWidth="1"/>
    <col min="17" max="17" width="12.5" style="6" customWidth="1"/>
    <col min="18" max="18" width="12" style="6" customWidth="1"/>
    <col min="19" max="19" width="11.33203125" style="6" customWidth="1"/>
    <col min="20" max="20" width="9.1640625" style="6" customWidth="1"/>
    <col min="21" max="21" width="8.83203125" style="6" customWidth="1"/>
    <col min="22" max="22" width="9.5" style="6" customWidth="1"/>
    <col min="23" max="23" width="13" style="6" customWidth="1"/>
    <col min="24" max="24" width="8.5" style="6" customWidth="1"/>
    <col min="25" max="25" width="10.5" style="6" customWidth="1"/>
    <col min="26" max="26" width="14.5" style="6" customWidth="1"/>
    <col min="27" max="27" width="10.6640625" style="6" customWidth="1"/>
    <col min="28" max="28" width="16.5" style="6" customWidth="1"/>
    <col min="29" max="29" width="7.5" style="6" customWidth="1"/>
    <col min="30" max="30" width="10" style="6" customWidth="1"/>
    <col min="31" max="31" width="12" style="6" customWidth="1"/>
    <col min="32" max="32" width="16.1640625" style="6" customWidth="1"/>
    <col min="33" max="33" width="12.6640625" style="6" customWidth="1"/>
    <col min="34" max="34" width="12" style="6" customWidth="1"/>
    <col min="35" max="35" width="16.5" style="6" customWidth="1"/>
    <col min="36" max="36" width="11" style="6" customWidth="1"/>
    <col min="37" max="37" width="9.5" style="6" customWidth="1"/>
    <col min="38" max="38" width="11.6640625" style="6" customWidth="1"/>
    <col min="39" max="39" width="21" customWidth="1"/>
    <col min="40" max="40" width="15.83203125" customWidth="1"/>
    <col min="41" max="41" width="13.5" customWidth="1"/>
    <col min="42" max="42" width="12.1640625" customWidth="1"/>
    <col min="43" max="43" width="7.83203125" customWidth="1"/>
    <col min="44" max="44" width="13.33203125" customWidth="1"/>
    <col min="45" max="45" width="17.1640625" customWidth="1"/>
    <col min="46" max="46" width="9" customWidth="1"/>
    <col min="47" max="47" width="10.6640625" customWidth="1"/>
    <col min="48" max="48" width="14.5" customWidth="1"/>
    <col min="49" max="49" width="13.1640625" customWidth="1"/>
    <col min="50" max="50" width="15" customWidth="1"/>
    <col min="51" max="51" width="13" customWidth="1"/>
    <col min="52" max="52" width="10.6640625" customWidth="1"/>
    <col min="53" max="53" width="8.83203125" customWidth="1"/>
    <col min="54" max="54" width="7.83203125" customWidth="1"/>
    <col min="55" max="56" width="9" customWidth="1"/>
    <col min="57" max="57" width="8.83203125" customWidth="1"/>
    <col min="58" max="58" width="9.5" customWidth="1"/>
    <col min="59" max="59" width="8.83203125" customWidth="1"/>
    <col min="60" max="60" width="7.5" customWidth="1"/>
    <col min="61" max="61" width="11.5" customWidth="1"/>
    <col min="62" max="62" width="7.33203125" customWidth="1"/>
    <col min="81" max="81" width="22.1640625" bestFit="1" customWidth="1"/>
  </cols>
  <sheetData>
    <row r="1" spans="1:62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9" t="s">
        <v>192</v>
      </c>
      <c r="J1" s="199" t="s">
        <v>193</v>
      </c>
      <c r="K1" s="199" t="s">
        <v>194</v>
      </c>
      <c r="L1" s="199" t="s">
        <v>195</v>
      </c>
      <c r="M1" s="199" t="s">
        <v>196</v>
      </c>
      <c r="N1" s="199" t="s">
        <v>197</v>
      </c>
      <c r="O1" s="199" t="s">
        <v>198</v>
      </c>
      <c r="P1" s="199" t="s">
        <v>199</v>
      </c>
      <c r="Q1" s="199" t="s">
        <v>200</v>
      </c>
      <c r="R1" s="199" t="s">
        <v>201</v>
      </c>
      <c r="S1" s="199" t="s">
        <v>202</v>
      </c>
      <c r="T1" s="199" t="s">
        <v>203</v>
      </c>
      <c r="U1" s="199" t="s">
        <v>204</v>
      </c>
      <c r="V1" s="199" t="s">
        <v>205</v>
      </c>
      <c r="W1" s="199" t="s">
        <v>206</v>
      </c>
      <c r="X1" s="199" t="s">
        <v>207</v>
      </c>
      <c r="Y1" s="199" t="s">
        <v>208</v>
      </c>
      <c r="Z1" s="199" t="s">
        <v>209</v>
      </c>
      <c r="AA1" s="199" t="s">
        <v>210</v>
      </c>
      <c r="AB1" s="199" t="s">
        <v>211</v>
      </c>
      <c r="AC1" s="199" t="s">
        <v>212</v>
      </c>
      <c r="AD1" s="199" t="s">
        <v>213</v>
      </c>
      <c r="AE1" s="199" t="s">
        <v>214</v>
      </c>
      <c r="AF1" s="199" t="s">
        <v>215</v>
      </c>
      <c r="AG1" s="199" t="s">
        <v>216</v>
      </c>
      <c r="AH1" s="199" t="s">
        <v>217</v>
      </c>
      <c r="AI1" s="199" t="s">
        <v>218</v>
      </c>
      <c r="AJ1" s="199" t="s">
        <v>219</v>
      </c>
      <c r="AK1" s="199" t="s">
        <v>220</v>
      </c>
      <c r="AL1" s="199" t="s">
        <v>221</v>
      </c>
      <c r="AM1" s="199" t="s">
        <v>222</v>
      </c>
      <c r="AN1" s="199" t="s">
        <v>223</v>
      </c>
      <c r="AO1" s="199" t="s">
        <v>224</v>
      </c>
      <c r="AP1" s="199" t="s">
        <v>225</v>
      </c>
      <c r="AQ1" s="199" t="s">
        <v>226</v>
      </c>
      <c r="AR1" s="199" t="s">
        <v>227</v>
      </c>
      <c r="AS1" s="199" t="s">
        <v>228</v>
      </c>
      <c r="AT1" s="199" t="s">
        <v>229</v>
      </c>
      <c r="AU1" s="199" t="s">
        <v>230</v>
      </c>
      <c r="AV1" s="199" t="s">
        <v>231</v>
      </c>
      <c r="AW1" s="199" t="s">
        <v>193</v>
      </c>
      <c r="AX1" s="199" t="s">
        <v>232</v>
      </c>
      <c r="AY1" s="199" t="s">
        <v>233</v>
      </c>
      <c r="AZ1" s="199" t="s">
        <v>234</v>
      </c>
      <c r="BA1" s="199" t="s">
        <v>197</v>
      </c>
      <c r="BB1" s="199" t="s">
        <v>196</v>
      </c>
      <c r="BC1" s="199" t="s">
        <v>235</v>
      </c>
      <c r="BD1" s="199" t="s">
        <v>236</v>
      </c>
      <c r="BE1" s="199" t="s">
        <v>204</v>
      </c>
      <c r="BF1" s="199" t="s">
        <v>205</v>
      </c>
      <c r="BG1" s="199" t="s">
        <v>237</v>
      </c>
      <c r="BH1" s="199" t="s">
        <v>238</v>
      </c>
      <c r="BI1" s="199" t="s">
        <v>239</v>
      </c>
      <c r="BJ1" s="199" t="s">
        <v>240</v>
      </c>
    </row>
    <row r="2" spans="1:62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2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2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2" x14ac:dyDescent="0.15">
      <c r="A5" s="198" t="s">
        <v>192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2" x14ac:dyDescent="0.15">
      <c r="A6" s="198" t="s">
        <v>193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2" x14ac:dyDescent="0.15">
      <c r="A7" s="198" t="s">
        <v>194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2" x14ac:dyDescent="0.15">
      <c r="A8" s="198" t="s">
        <v>195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2" x14ac:dyDescent="0.15">
      <c r="A9" s="198" t="s">
        <v>196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2" x14ac:dyDescent="0.15">
      <c r="A10" s="198" t="s">
        <v>197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2" x14ac:dyDescent="0.15">
      <c r="A11" s="198" t="s">
        <v>198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2" x14ac:dyDescent="0.15">
      <c r="A12" s="198" t="s">
        <v>199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2" x14ac:dyDescent="0.15">
      <c r="A13" s="198" t="s">
        <v>200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2" x14ac:dyDescent="0.15">
      <c r="A14" s="198" t="s">
        <v>201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2" x14ac:dyDescent="0.15">
      <c r="A15" s="198" t="s">
        <v>202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2" x14ac:dyDescent="0.15">
      <c r="A16" s="198" t="s">
        <v>203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8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8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8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8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8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8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8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8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8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8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8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8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8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8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8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8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8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8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8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8" t="s">
        <v>223</v>
      </c>
      <c r="B36" s="107">
        <v>0</v>
      </c>
      <c r="C36"/>
      <c r="D36"/>
    </row>
    <row r="37" spans="1:38" ht="15" customHeight="1" x14ac:dyDescent="0.15">
      <c r="A37" s="198" t="s">
        <v>224</v>
      </c>
      <c r="B37" s="107">
        <v>0</v>
      </c>
      <c r="C37"/>
      <c r="D37"/>
    </row>
    <row r="38" spans="1:38" ht="15" customHeight="1" x14ac:dyDescent="0.15">
      <c r="A38" s="198" t="s">
        <v>225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8" t="s">
        <v>226</v>
      </c>
      <c r="B39" s="107">
        <v>0</v>
      </c>
      <c r="C39"/>
      <c r="D39"/>
    </row>
    <row r="40" spans="1:38" ht="15" customHeight="1" x14ac:dyDescent="0.15">
      <c r="A40" s="198" t="s">
        <v>227</v>
      </c>
      <c r="B40" s="107">
        <v>0</v>
      </c>
      <c r="C40"/>
      <c r="D40"/>
    </row>
    <row r="41" spans="1:38" ht="15" customHeight="1" x14ac:dyDescent="0.15">
      <c r="A41" s="198" t="s">
        <v>228</v>
      </c>
      <c r="B41" s="107">
        <v>0</v>
      </c>
      <c r="C41"/>
      <c r="D41"/>
    </row>
    <row r="42" spans="1:38" ht="15" customHeight="1" x14ac:dyDescent="0.15">
      <c r="A42" s="198" t="s">
        <v>229</v>
      </c>
      <c r="B42" s="107">
        <v>0</v>
      </c>
    </row>
    <row r="43" spans="1:38" ht="15" customHeight="1" x14ac:dyDescent="0.15">
      <c r="A43" s="198" t="s">
        <v>230</v>
      </c>
      <c r="B43" s="107">
        <v>0</v>
      </c>
    </row>
    <row r="44" spans="1:38" ht="15" customHeight="1" x14ac:dyDescent="0.15">
      <c r="A44" s="198" t="s">
        <v>231</v>
      </c>
      <c r="B44" s="107">
        <v>0</v>
      </c>
    </row>
    <row r="45" spans="1:38" ht="15" customHeight="1" x14ac:dyDescent="0.15">
      <c r="A45" s="198" t="s">
        <v>193</v>
      </c>
      <c r="B45" s="107">
        <v>0</v>
      </c>
    </row>
    <row r="46" spans="1:38" ht="15" customHeight="1" x14ac:dyDescent="0.15">
      <c r="A46" s="198" t="s">
        <v>232</v>
      </c>
      <c r="B46" s="107">
        <v>0</v>
      </c>
    </row>
    <row r="47" spans="1:38" ht="15" customHeight="1" x14ac:dyDescent="0.15">
      <c r="A47" s="198" t="s">
        <v>233</v>
      </c>
      <c r="B47" s="107">
        <v>0</v>
      </c>
    </row>
    <row r="48" spans="1:38" ht="15" customHeight="1" x14ac:dyDescent="0.15">
      <c r="A48" s="198" t="s">
        <v>234</v>
      </c>
      <c r="B48" s="107">
        <v>0</v>
      </c>
    </row>
    <row r="49" spans="1:38" ht="15" customHeight="1" x14ac:dyDescent="0.15">
      <c r="A49" s="198" t="s">
        <v>197</v>
      </c>
      <c r="B49" s="107">
        <v>0</v>
      </c>
    </row>
    <row r="50" spans="1:38" ht="15" customHeight="1" x14ac:dyDescent="0.15">
      <c r="A50" s="198" t="s">
        <v>196</v>
      </c>
      <c r="B50" s="107">
        <v>0</v>
      </c>
    </row>
    <row r="51" spans="1:38" ht="15" customHeight="1" x14ac:dyDescent="0.15">
      <c r="A51" s="198" t="s">
        <v>235</v>
      </c>
      <c r="B51" s="107">
        <v>0</v>
      </c>
    </row>
    <row r="52" spans="1:38" ht="15" customHeight="1" x14ac:dyDescent="0.15">
      <c r="A52" s="198" t="s">
        <v>236</v>
      </c>
      <c r="B52" s="107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98" t="s">
        <v>204</v>
      </c>
      <c r="B53" s="107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98" t="s">
        <v>205</v>
      </c>
      <c r="B54" s="107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98" t="s">
        <v>237</v>
      </c>
      <c r="B55" s="107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98" t="s">
        <v>238</v>
      </c>
      <c r="B56" s="107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98" t="s">
        <v>239</v>
      </c>
      <c r="B57" s="107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98" t="s">
        <v>240</v>
      </c>
      <c r="B58" s="107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2022-10-24T04:29:57Z</dcterms:modified>
</cp:coreProperties>
</file>