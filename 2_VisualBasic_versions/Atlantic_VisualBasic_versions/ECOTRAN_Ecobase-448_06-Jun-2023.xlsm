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Atlantic/Atlantic_ECOTRAN_K-path_versions/"/>
    </mc:Choice>
  </mc:AlternateContent>
  <xr:revisionPtr revIDLastSave="0" documentId="13_ncr:1_{54F2B2EF-0636-4D4B-995E-D1D8AD7FF5A0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Main!$C$2:$N$64</definedName>
    <definedName name="matDetritus">Detritus!$C$2:$G$64</definedName>
    <definedName name="matDiet">Diets!$B$2:$AY$56</definedName>
    <definedName name="matDiscards">Discards!$C$2:$K$55</definedName>
    <definedName name="matFishery">Fishing!$C$2:$K$55</definedName>
    <definedName name="matFishing">Fishing!#REF!</definedName>
    <definedName name="matMort">Mortalities!$A$1:$BN$55</definedName>
    <definedName name="matOut">MainOutputs!$A$2:$I$64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<sst xmlns="http://schemas.openxmlformats.org/spreadsheetml/2006/main" count="1543" uniqueCount="268">
  <si>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</si>
  <si>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</si>
  <si>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</si>
  <si>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</si>
  <si>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</si>
  <si>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</si>
  <si>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</si>
  <si>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</si>
  <si>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</si>
  <si>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</si>
  <si>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</si>
  <si>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</si>
  <si>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</si>
  <si>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</si>
  <si>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</si>
  <si>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</si>
  <si>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</si>
  <si>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</si>
  <si>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</si>
  <si>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</si>
  <si>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</si>
  <si>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</si>
  <si>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</si>
  <si>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</si>
  <si>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</si>
  <si>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</si>
  <si>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</si>
  <si>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</si>
  <si>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</si>
  <si>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</si>
  <si>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</si>
  <si>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</si>
  <si>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</si>
  <si>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</si>
  <si>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</si>
  <si>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</si>
  <si>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</si>
  <si>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</si>
  <si>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</si>
  <si>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</si>
  <si>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</si>
  <si>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</si>
  <si>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</si>
  <si>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</si>
  <si>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</si>
  <si>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</si>
  <si>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</si>
  <si>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</si>
  <si>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</si>
  <si>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</si>
  <si>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</si>
  <si>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</si>
  <si>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</si>
  <si>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</si>
  <si>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</si>
  <si>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</si>
  <si>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</si>
  <si>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</si>
  <si>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</si>
  <si>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</si>
  <si>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</si>
  <si>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</si>
  <si>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</si>
  <si>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</si>
  <si>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</si>
  <si>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</si>
  <si>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</si>
  <si>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</si>
  <si>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</si>
  <si>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</si>
  <si>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</si>
  <si>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</si>
  <si>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</si>
  <si>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</si>
  <si>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</si>
  <si>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</si>
  <si>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</si>
  <si>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</si>
  <si>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</si>
  <si>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</si>
  <si>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</si>
  <si>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</si>
  <si>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</si>
  <si>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</si>
  <si>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</si>
  <si>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</si>
  <si>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</si>
  <si>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</si>
  <si>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</si>
  <si>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</si>
  <si>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</si>
  <si>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</si>
  <si>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</si>
  <si>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</si>
  <si>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</si>
  <si>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</si>
  <si>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</si>
  <si>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</si>
  <si>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</si>
  <si>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</si>
  <si>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</si>
  <si>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</si>
  <si>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</si>
  <si>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</si>
  <si>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</si>
  <si>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</si>
  <si>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</si>
  <si>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</si>
  <si>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</si>
  <si>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</si>
  <si>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</si>
  <si>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</si>
  <si>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</si>
  <si>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</si>
  <si>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</si>
  <si>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</si>
  <si>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</si>
  <si>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</si>
  <si>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</si>
  <si>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</si>
  <si>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</si>
  <si>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</si>
  <si>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</si>
  <si>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</si>
  <si>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</si>
  <si>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</si>
  <si>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</si>
  <si>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</si>
  <si>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</si>
  <si>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</si>
  <si>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</si>
  <si>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</si>
  <si>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</si>
  <si>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</si>
  <si>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</si>
  <si>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</si>
  <si>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</si>
  <si>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</si>
  <si>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</si>
  <si>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</si>
  <si>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</si>
  <si>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</si>
  <si>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</si>
  <si>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</si>
  <si>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</si>
  <si>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</si>
  <si>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</si>
  <si>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</si>
  <si>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</si>
  <si>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</si>
  <si>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</si>
  <si>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</si>
  <si>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</si>
  <si>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</si>
  <si>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</si>
  <si>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</si>
  <si>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</si>
  <si>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</si>
  <si>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</si>
  <si>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</si>
  <si>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</si>
  <si>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</si>
  <si>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</si>
  <si>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</si>
  <si>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</si>
  <si>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</si>
  <si>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</si>
  <si>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</si>
  <si>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</si>
  <si>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</si>
  <si>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</si>
  <si>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</si>
  <si>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</si>
  <si>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</si>
  <si>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</si>
  <si>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</si>
  <si>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</si>
  <si>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</si>
  <si>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</si>
  <si>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</si>
  <si>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</si>
  <si>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</si>
  <si>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</si>
  <si>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</si>
  <si>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</si>
  <si>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Irish Sea</t>
  </si>
  <si>
    <t>Ireland,U.K. of Great Britain and Northern Ireland</t>
  </si>
  <si>
    <t>BOX(-6.67978800439897 51.8828982352124,-2.57354225232477 55.1314425247124)</t>
  </si>
  <si>
    <t>continental shelf</t>
  </si>
  <si>
    <t>WetWeight</t>
  </si>
  <si>
    <t>; 03/11/2006 16:10:57; 06/11/2006 14:25:32; 03/06/2009 20:21:02; 03/06/2009 20:24:01</t>
  </si>
  <si>
    <t>Lees K.,Mackinson S.(2007). An Ecopath model of the Irish Sea: ecosystems properties and sensitivity analysis. Science Series Technical Report</t>
  </si>
  <si>
    <t>Toothed Whales</t>
  </si>
  <si>
    <t>Baleen Whales</t>
  </si>
  <si>
    <t>Seals</t>
  </si>
  <si>
    <t>Seabirds</t>
  </si>
  <si>
    <t>Basking Sharks</t>
  </si>
  <si>
    <t>Bass</t>
  </si>
  <si>
    <t>Adult Cod 2+</t>
  </si>
  <si>
    <t>Juvenile Cod Age 1</t>
  </si>
  <si>
    <t>Adult Haddock 2+</t>
  </si>
  <si>
    <t>Juvenile Haddock Age 1</t>
  </si>
  <si>
    <t>Adult Plaice 2+</t>
  </si>
  <si>
    <t>Juvenile Plaice Age 1</t>
  </si>
  <si>
    <t>Whiting</t>
  </si>
  <si>
    <t>Sole</t>
  </si>
  <si>
    <t>Seatrout</t>
  </si>
  <si>
    <t>Sandeels</t>
  </si>
  <si>
    <t>Small Flatfish</t>
  </si>
  <si>
    <t>Medium Flatfish</t>
  </si>
  <si>
    <t>Large Flatfish</t>
  </si>
  <si>
    <t>Dragonets</t>
  </si>
  <si>
    <t>Other Large Demersals</t>
  </si>
  <si>
    <t>Gurnards</t>
  </si>
  <si>
    <t>Mackerel</t>
  </si>
  <si>
    <t>Monkfish</t>
  </si>
  <si>
    <t>Mullet</t>
  </si>
  <si>
    <t>Other Large Gadoids</t>
  </si>
  <si>
    <t>Other Small Demersal</t>
  </si>
  <si>
    <t>Other Small Gadoids</t>
  </si>
  <si>
    <t>Small Pelagic Planktivorous Fish</t>
  </si>
  <si>
    <t>Small Sharks</t>
  </si>
  <si>
    <t>Large Sharks</t>
  </si>
  <si>
    <t>Skates and Rays</t>
  </si>
  <si>
    <t>Epifaunal Macrobenthos</t>
  </si>
  <si>
    <t>Epifaunal Mesobenthos</t>
  </si>
  <si>
    <t>Infauna (Polycheate)</t>
  </si>
  <si>
    <t>Infaunal Macrobenthos</t>
  </si>
  <si>
    <t>Infaunal Mesobenthos</t>
  </si>
  <si>
    <t>Lobster and Large Crabs</t>
  </si>
  <si>
    <t>Nephrops</t>
  </si>
  <si>
    <t>Cephalopods</t>
  </si>
  <si>
    <t>Prawns and Shrimp</t>
  </si>
  <si>
    <t>Sessile Epifauna</t>
  </si>
  <si>
    <t>Meiofauna</t>
  </si>
  <si>
    <t>Gelatinous Zooplankton</t>
  </si>
  <si>
    <t>Carnivorous Zooplankton</t>
  </si>
  <si>
    <t>Omnivorous Zooplankton</t>
  </si>
  <si>
    <t>Herbivorous Zooplankton</t>
  </si>
  <si>
    <t>Seaweed</t>
  </si>
  <si>
    <t>Microflora</t>
  </si>
  <si>
    <t>Phytoplankton</t>
  </si>
  <si>
    <t>Particulate Organic Matter</t>
  </si>
  <si>
    <t>Dissolved Organic Matter</t>
  </si>
  <si>
    <t>Discards</t>
  </si>
  <si>
    <t>detritus_TerminalBenthic</t>
  </si>
  <si>
    <t>Beam trawlers</t>
  </si>
  <si>
    <t>Otter trawlers</t>
  </si>
  <si>
    <t>Midwater trawlers</t>
  </si>
  <si>
    <t>Other nets</t>
  </si>
  <si>
    <t>Seine nets</t>
  </si>
  <si>
    <t>Pickers and gatherers</t>
  </si>
  <si>
    <t>Pots and lines</t>
  </si>
  <si>
    <t>Dredges</t>
  </si>
  <si>
    <t>Nephrops Trawls</t>
  </si>
  <si>
    <t>Import</t>
  </si>
  <si>
    <t>export</t>
  </si>
  <si>
    <t>sum</t>
  </si>
  <si>
    <t>TOTAL</t>
  </si>
  <si>
    <t>F Beam trawlers</t>
  </si>
  <si>
    <t>F Otter trawlers</t>
  </si>
  <si>
    <t>F Midwater trawlers</t>
  </si>
  <si>
    <t>F Other nets</t>
  </si>
  <si>
    <t>F Seine nets</t>
  </si>
  <si>
    <t>F Pickers and gatherers</t>
  </si>
  <si>
    <t>F Pots and lines</t>
  </si>
  <si>
    <t>F Dredges</t>
  </si>
  <si>
    <t>F Nephrops Trawls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</si>
</sst>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9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3FF00"/>
        <bgColor indexed="64"/>
      </patternFill>
    </fill>
    <fill>
      <patternFill patternType="solid">
        <fgColor rgb="FFC0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CAFF00"/>
        <bgColor indexed="64"/>
      </patternFill>
    </fill>
    <fill>
      <patternFill patternType="solid">
        <fgColor rgb="FFF5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5F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C8FF00"/>
        <bgColor indexed="64"/>
      </patternFill>
    </fill>
    <fill>
      <patternFill patternType="solid">
        <fgColor rgb="FFD5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90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7DFF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A8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E3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FF5900"/>
        <bgColor indexed="64"/>
      </patternFill>
    </fill>
    <fill>
      <patternFill patternType="solid">
        <fgColor rgb="FFFF75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D9FF00"/>
        <bgColor indexed="64"/>
      </patternFill>
    </fill>
    <fill>
      <patternFill patternType="solid">
        <fgColor rgb="FFF7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FF2B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FFE5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B2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8D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47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FFC900"/>
        <bgColor indexed="64"/>
      </patternFill>
    </fill>
    <fill>
      <patternFill patternType="solid">
        <fgColor rgb="FF77FF00"/>
        <bgColor indexed="64"/>
      </patternFill>
    </fill>
    <fill>
      <patternFill patternType="solid">
        <fgColor rgb="FFFF26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FF3D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A6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FF7800"/>
        <bgColor indexed="64"/>
      </patternFill>
    </fill>
    <fill>
      <patternFill patternType="solid">
        <fgColor rgb="FFFA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2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8" borderId="0" xfId="0" applyFill="1"/>
    <xf numFmtId="0" fontId="0" fillId="49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8" fillId="82" borderId="0" xfId="0" applyFont="1" applyFill="1" applyAlignment="1">
      <alignment horizontal="center"/>
    </xf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16" customWidth="1"/>
    <col min="3" max="3" width="122.1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3" x14ac:dyDescent="0.15">
      <c r="B49" s="49" t="s">
        <v>44</v>
      </c>
      <c r="C49" s="33">
        <v>5</v>
      </c>
    </row>
    <row r="50" spans="2:3" x14ac:dyDescent="0.15">
      <c r="B50" s="49"/>
      <c r="C50" s="33"/>
    </row>
    <row r="51" spans="2:3" ht="14" thickBot="1" x14ac:dyDescent="0.2">
      <c r="B51" s="50" t="s">
        <v>73</v>
      </c>
      <c r="C51" s="34">
        <v>7</v>
      </c>
    </row>
    <row r="53" spans="2:3" x14ac:dyDescent="0.15">
      <c r="B53" s="176" t="s">
        <v>171</v>
      </c>
      <c r="C53">
        <v>448</v>
      </c>
    </row>
    <row r="54" spans="2:3" x14ac:dyDescent="0.15">
      <c r="B54" s="176" t="s">
        <v>172</v>
      </c>
      <c r="C54" s="176" t="s">
        <v>185</v>
      </c>
    </row>
    <row r="55" spans="2:3" x14ac:dyDescent="0.15">
      <c r="B55" s="176" t="s">
        <v>173</v>
      </c>
      <c r="C55" s="176" t="s">
        <v>186</v>
      </c>
    </row>
    <row r="56" spans="2:3" x14ac:dyDescent="0.15">
      <c r="B56" s="176" t="s">
        <v>174</v>
      </c>
      <c r="C56">
        <v>58000</v>
      </c>
    </row>
    <row r="57" spans="2:3" x14ac:dyDescent="0.15">
      <c r="B57" s="176" t="s">
        <v>175</v>
      </c>
      <c r="C57" s="176" t="s">
        <v>187</v>
      </c>
    </row>
    <row r="58" spans="2:3" x14ac:dyDescent="0.15">
      <c r="B58" s="176" t="s">
        <v>176</v>
      </c>
      <c r="C58" s="176" t="s">
        <v>188</v>
      </c>
    </row>
    <row r="59" spans="2:3" x14ac:dyDescent="0.15">
      <c r="B59" s="176" t="s">
        <v>177</v>
      </c>
      <c r="C59" s="176" t="s">
        <v>189</v>
      </c>
    </row>
    <row r="60" spans="2:3" x14ac:dyDescent="0.15">
      <c r="B60" s="176" t="s">
        <v>178</v>
      </c>
      <c r="C60" s="176" t="s">
        <v>190</v>
      </c>
    </row>
    <row r="61" spans="2:3" x14ac:dyDescent="0.15">
      <c r="B61" s="176" t="s">
        <v>179</v>
      </c>
      <c r="C61">
        <v>53</v>
      </c>
    </row>
    <row r="62" spans="2:3" x14ac:dyDescent="0.15">
      <c r="B62" s="176" t="s">
        <v>180</v>
      </c>
      <c r="C62">
        <v>9</v>
      </c>
    </row>
    <row r="63" spans="2:3" x14ac:dyDescent="0.15">
      <c r="B63" s="176" t="s">
        <v>181</v>
      </c>
      <c r="C63">
        <v>1973</v>
      </c>
    </row>
    <row r="64" spans="2:3" x14ac:dyDescent="0.15">
      <c r="B64" s="176" t="s">
        <v>182</v>
      </c>
      <c r="C64">
        <v>1</v>
      </c>
    </row>
    <row r="65" spans="2:3" x14ac:dyDescent="0.15">
      <c r="B65" s="176" t="s">
        <v>183</v>
      </c>
      <c r="C65" s="176" t="s">
        <v>191</v>
      </c>
    </row>
    <row r="66" spans="2:3" x14ac:dyDescent="0.15">
      <c r="B66" s="176" t="s">
        <v>184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35" activePane="bottomLeft" state="frozenSplit"/>
      <selection activeCell="E1" sqref="E1"/>
      <selection pane="bottomLeft" activeCell="A52" sqref="A52"/>
    </sheetView>
  </sheetViews>
  <sheetFormatPr baseColWidth="10" defaultColWidth="8.83203125" defaultRowHeight="15" customHeight="1" x14ac:dyDescent="0.15"/>
  <cols>
    <col min="1" max="1" width="22.5" style="84" customWidth="1"/>
    <col min="2" max="3" width="3.33203125" style="84" customWidth="1"/>
    <col min="4" max="4" width="14.33203125" style="84" customWidth="1"/>
    <col min="5" max="5" width="28.5" style="84" bestFit="1" customWidth="1"/>
    <col min="6" max="6" width="2.33203125" style="84" bestFit="1" customWidth="1"/>
    <col min="7" max="7" width="12.83203125" style="84" bestFit="1" customWidth="1"/>
    <col min="8" max="8" width="8.83203125" style="84" customWidth="1"/>
    <col min="9" max="9" width="10.83203125" style="84" customWidth="1"/>
    <col min="10" max="11" width="13.83203125" style="84" customWidth="1"/>
    <col min="12" max="12" width="2.33203125" style="84" customWidth="1"/>
    <col min="13" max="13" width="4.83203125" style="84" customWidth="1"/>
    <col min="14" max="14" width="2.33203125" style="84" customWidth="1"/>
    <col min="16" max="25" width="8.83203125" style="84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4"/>
  </cols>
  <sheetData>
    <row r="1" spans="1:46" s="101" customFormat="1" ht="15" customHeight="1" x14ac:dyDescent="0.15">
      <c r="A1" s="80" t="s">
        <v>18</v>
      </c>
      <c r="C1" s="81" t="s">
        <v>8</v>
      </c>
      <c r="D1" s="80" t="s">
        <v>23</v>
      </c>
      <c r="E1" s="80" t="s">
        <v>0</v>
      </c>
      <c r="F1" s="80" t="s">
        <v>7</v>
      </c>
      <c r="G1" s="82" t="s">
        <v>13</v>
      </c>
      <c r="H1" s="80" t="s">
        <v>1</v>
      </c>
      <c r="I1" s="80" t="s">
        <v>2</v>
      </c>
      <c r="J1" s="80" t="s">
        <v>14</v>
      </c>
      <c r="K1" s="80" t="s">
        <v>3</v>
      </c>
      <c r="L1" s="80" t="s">
        <v>4</v>
      </c>
      <c r="M1" s="80" t="s">
        <v>5</v>
      </c>
      <c r="N1" s="80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1">
        <v>1</v>
      </c>
      <c r="D2"/>
      <c r="E2" s="177" t="s">
        <v>192</v>
      </c>
      <c r="F2" s="84">
        <v>0</v>
      </c>
      <c r="G2" s="84">
        <v>8.0000000000000007E-5</v>
      </c>
      <c r="H2" s="84">
        <v>0.02</v>
      </c>
      <c r="I2" s="6">
        <v>8.67</v>
      </c>
      <c r="J2" s="6">
        <v>6.25E-2</v>
      </c>
      <c r="K2" s="6">
        <v>2.3068049999999999E-3</v>
      </c>
      <c r="L2" s="6">
        <v>0</v>
      </c>
      <c r="M2" s="84">
        <v>0.2</v>
      </c>
      <c r="N2" s="84">
        <v>0</v>
      </c>
    </row>
    <row r="3" spans="1:46" ht="15" customHeight="1" x14ac:dyDescent="0.15">
      <c r="A3" s="1" t="s">
        <v>9</v>
      </c>
      <c r="B3" s="4">
        <v>50</v>
      </c>
      <c r="C3" s="84">
        <v>2</v>
      </c>
      <c r="D3"/>
      <c r="E3" s="177" t="s">
        <v>193</v>
      </c>
      <c r="F3" s="84">
        <v>0</v>
      </c>
      <c r="G3" s="84">
        <v>3.4000000000000002E-4</v>
      </c>
      <c r="H3" s="84">
        <v>0.02</v>
      </c>
      <c r="I3" s="84">
        <v>10</v>
      </c>
      <c r="J3" s="84">
        <v>0.14705883</v>
      </c>
      <c r="K3" s="84">
        <v>1.9999998600000002E-3</v>
      </c>
      <c r="L3" s="84">
        <v>0</v>
      </c>
      <c r="M3" s="84">
        <v>0.2</v>
      </c>
      <c r="N3" s="84">
        <v>0</v>
      </c>
    </row>
    <row r="4" spans="1:46" ht="15" customHeight="1" x14ac:dyDescent="0.15">
      <c r="A4" s="1" t="s">
        <v>10</v>
      </c>
      <c r="B4" s="4">
        <v>4</v>
      </c>
      <c r="C4" s="84">
        <v>3</v>
      </c>
      <c r="D4"/>
      <c r="E4" s="177" t="s">
        <v>194</v>
      </c>
      <c r="F4" s="84">
        <v>0</v>
      </c>
      <c r="G4" s="84">
        <v>1.0999999999999999E-2</v>
      </c>
      <c r="H4" s="84">
        <v>0.06</v>
      </c>
      <c r="I4" s="84">
        <v>14.55</v>
      </c>
      <c r="J4" s="84">
        <v>0</v>
      </c>
      <c r="K4" s="84">
        <v>4.1237110000000004E-3</v>
      </c>
      <c r="L4" s="84">
        <v>0</v>
      </c>
      <c r="M4" s="84">
        <v>0.2</v>
      </c>
      <c r="N4" s="84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9</v>
      </c>
      <c r="C5" s="84">
        <v>4</v>
      </c>
      <c r="D5"/>
      <c r="E5" s="177" t="s">
        <v>195</v>
      </c>
      <c r="F5" s="84">
        <v>0</v>
      </c>
      <c r="G5" s="84">
        <v>5.11E-2</v>
      </c>
      <c r="H5" s="84">
        <v>1.074632</v>
      </c>
      <c r="I5" s="84">
        <v>82.664000000000001</v>
      </c>
      <c r="J5" s="84">
        <v>0.77000075599999995</v>
      </c>
      <c r="K5" s="84">
        <v>1.2999999999999999E-2</v>
      </c>
      <c r="L5" s="84">
        <v>0</v>
      </c>
      <c r="M5" s="84">
        <v>0.2</v>
      </c>
      <c r="N5" s="84">
        <v>0</v>
      </c>
      <c r="P5" s="73"/>
      <c r="Q5" s="73"/>
      <c r="R5" s="73"/>
    </row>
    <row r="6" spans="1:46" ht="15" customHeight="1" thickBot="1" x14ac:dyDescent="0.2">
      <c r="B6" s="1"/>
      <c r="C6" s="84">
        <v>5</v>
      </c>
      <c r="D6"/>
      <c r="E6" s="177" t="s">
        <v>196</v>
      </c>
      <c r="F6" s="84">
        <v>0</v>
      </c>
      <c r="G6" s="84">
        <v>1.4E-3</v>
      </c>
      <c r="H6" s="84">
        <v>7.0000000000000007E-2</v>
      </c>
      <c r="I6" s="84">
        <v>3.7</v>
      </c>
      <c r="J6" s="84">
        <v>1.0204082399999999E-3</v>
      </c>
      <c r="K6" s="84">
        <v>1.8918918400000002E-2</v>
      </c>
      <c r="L6" s="84">
        <v>0</v>
      </c>
      <c r="M6" s="84">
        <v>0.2</v>
      </c>
      <c r="N6" s="84">
        <v>0</v>
      </c>
      <c r="P6" s="73"/>
      <c r="Q6" s="73"/>
      <c r="R6" s="73"/>
      <c r="W6" s="36" t="s">
        <v>31</v>
      </c>
      <c r="X6" s="52">
        <f>MAX(MainOutputs!G:G)</f>
        <v>0.99547380208969116</v>
      </c>
    </row>
    <row r="7" spans="1:46" ht="15" customHeight="1" x14ac:dyDescent="0.15">
      <c r="A7" s="2" t="s">
        <v>27</v>
      </c>
      <c r="B7" s="84">
        <f ca="1">COUNTIF(OFFSET(cornerDiets,1,1,NumLiving+NumDead+1,NumLiving+NumDead),"&gt;0")+NumLiving+NumDead+1</f>
        <v>612</v>
      </c>
      <c r="C7" s="84">
        <v>6</v>
      </c>
      <c r="D7"/>
      <c r="E7" s="177" t="s">
        <v>197</v>
      </c>
      <c r="F7" s="84">
        <v>0</v>
      </c>
      <c r="G7" s="84">
        <v>1.2800000000000001E-2</v>
      </c>
      <c r="H7" s="84">
        <v>0.5</v>
      </c>
      <c r="I7" s="84">
        <v>2.68</v>
      </c>
      <c r="J7" s="84">
        <v>0.8745288</v>
      </c>
      <c r="K7" s="84">
        <v>0.18656715800000001</v>
      </c>
      <c r="L7" s="84">
        <v>0</v>
      </c>
      <c r="M7" s="84">
        <v>0.2</v>
      </c>
      <c r="N7" s="84">
        <v>0</v>
      </c>
      <c r="P7" s="73"/>
      <c r="Q7" s="73"/>
      <c r="R7" s="73"/>
    </row>
    <row r="8" spans="1:46" ht="15" customHeight="1" x14ac:dyDescent="0.15">
      <c r="A8" s="2" t="s">
        <v>28</v>
      </c>
      <c r="B8" s="84">
        <f ca="1">COUNTIF(OFFSET(cornerFishing,1,2,NumLiving+NumDead,NumGears),"&gt;0")+NumDead*COUNTIF(OFFSET(cornerDiscards,1,2,NumLiving+NumDead,NumGears),"&gt;0")+NumLiving+NumDead+1</f>
        <v>491</v>
      </c>
      <c r="C8" s="84">
        <v>7</v>
      </c>
      <c r="D8"/>
      <c r="E8" s="177" t="s">
        <v>198</v>
      </c>
      <c r="F8" s="84">
        <v>0</v>
      </c>
      <c r="G8" s="84">
        <v>0.35699969999999998</v>
      </c>
      <c r="H8" s="84">
        <v>0.97199999999999998</v>
      </c>
      <c r="I8" s="84">
        <v>3.0000028599999999</v>
      </c>
      <c r="J8" s="84">
        <v>0.92248606700000002</v>
      </c>
      <c r="K8" s="84">
        <v>0.3239997</v>
      </c>
      <c r="L8" s="84">
        <v>0</v>
      </c>
      <c r="M8" s="84">
        <v>0.2</v>
      </c>
      <c r="N8" s="84">
        <v>0</v>
      </c>
      <c r="P8" s="73"/>
      <c r="Q8" s="73"/>
      <c r="R8" s="73"/>
    </row>
    <row r="9" spans="1:46" ht="15" customHeight="1" x14ac:dyDescent="0.15">
      <c r="B9" s="1"/>
      <c r="C9" s="84">
        <v>8</v>
      </c>
      <c r="D9"/>
      <c r="E9" s="177" t="s">
        <v>199</v>
      </c>
      <c r="F9" s="84">
        <v>0</v>
      </c>
      <c r="G9" s="84">
        <v>0.19583858500000001</v>
      </c>
      <c r="H9" s="84">
        <v>1.944</v>
      </c>
      <c r="I9" s="84">
        <v>7.7652325600000003</v>
      </c>
      <c r="J9" s="84">
        <v>0.6499701</v>
      </c>
      <c r="K9" s="84">
        <v>0.25034666100000003</v>
      </c>
      <c r="L9" s="84">
        <v>0</v>
      </c>
      <c r="M9" s="84">
        <v>0.2</v>
      </c>
      <c r="N9" s="84">
        <v>0</v>
      </c>
      <c r="P9" s="73"/>
      <c r="Q9" s="73"/>
      <c r="R9" s="73"/>
    </row>
    <row r="10" spans="1:46" ht="15" customHeight="1" x14ac:dyDescent="0.15">
      <c r="B10" s="1"/>
      <c r="C10" s="84">
        <v>9</v>
      </c>
      <c r="D10"/>
      <c r="E10" s="177" t="s">
        <v>200</v>
      </c>
      <c r="F10" s="84">
        <v>0</v>
      </c>
      <c r="G10" s="84">
        <v>7.0000044999999997E-2</v>
      </c>
      <c r="H10" s="84">
        <v>1.421</v>
      </c>
      <c r="I10" s="84">
        <v>3.9999973799999999</v>
      </c>
      <c r="J10" s="84">
        <v>0.86891269999999998</v>
      </c>
      <c r="K10" s="84">
        <v>0.35525023900000002</v>
      </c>
      <c r="L10" s="84">
        <v>0</v>
      </c>
      <c r="M10" s="84">
        <v>0.2</v>
      </c>
      <c r="N10" s="84">
        <v>0</v>
      </c>
    </row>
    <row r="11" spans="1:46" ht="15" customHeight="1" x14ac:dyDescent="0.15">
      <c r="C11" s="84">
        <v>10</v>
      </c>
      <c r="D11"/>
      <c r="E11" s="177" t="s">
        <v>201</v>
      </c>
      <c r="F11" s="84">
        <v>0</v>
      </c>
      <c r="G11" s="84">
        <v>0.174273551</v>
      </c>
      <c r="H11" s="84">
        <v>2.8420000000000001</v>
      </c>
      <c r="I11" s="84">
        <v>10.563734999999999</v>
      </c>
      <c r="J11" s="84">
        <v>0.34586936200000001</v>
      </c>
      <c r="K11" s="84">
        <v>0.26903364099999999</v>
      </c>
      <c r="L11" s="84">
        <v>0</v>
      </c>
      <c r="M11" s="84">
        <v>0.2</v>
      </c>
      <c r="N11" s="84">
        <v>0</v>
      </c>
    </row>
    <row r="12" spans="1:46" ht="15" customHeight="1" x14ac:dyDescent="0.15">
      <c r="C12" s="84">
        <v>11</v>
      </c>
      <c r="D12"/>
      <c r="E12" s="177" t="s">
        <v>202</v>
      </c>
      <c r="F12" s="84">
        <v>0</v>
      </c>
      <c r="G12" s="84">
        <v>0.20000006300000001</v>
      </c>
      <c r="H12" s="84">
        <v>0.95499999999999996</v>
      </c>
      <c r="I12" s="84">
        <v>3.6299990000000002</v>
      </c>
      <c r="J12" s="84">
        <v>0.89027345199999997</v>
      </c>
      <c r="K12" s="84">
        <v>0.26308548500000001</v>
      </c>
      <c r="L12" s="84">
        <v>0</v>
      </c>
      <c r="M12" s="84">
        <v>0.2</v>
      </c>
      <c r="N12" s="84">
        <v>0</v>
      </c>
    </row>
    <row r="13" spans="1:46" ht="15" customHeight="1" x14ac:dyDescent="0.15">
      <c r="C13" s="84">
        <v>12</v>
      </c>
      <c r="D13"/>
      <c r="E13" s="177" t="s">
        <v>203</v>
      </c>
      <c r="F13" s="84">
        <v>0</v>
      </c>
      <c r="G13" s="84">
        <v>8.3529554300000003E-2</v>
      </c>
      <c r="H13" s="84">
        <v>1.91</v>
      </c>
      <c r="I13" s="84">
        <v>10.1676731</v>
      </c>
      <c r="J13" s="84">
        <v>0.28893312799999998</v>
      </c>
      <c r="K13" s="84">
        <v>0.187850252</v>
      </c>
      <c r="L13" s="84">
        <v>0</v>
      </c>
      <c r="M13" s="84">
        <v>0.2</v>
      </c>
      <c r="N13" s="84">
        <v>0</v>
      </c>
    </row>
    <row r="14" spans="1:46" ht="15" customHeight="1" x14ac:dyDescent="0.15">
      <c r="C14" s="84">
        <v>13</v>
      </c>
      <c r="D14"/>
      <c r="E14" s="177" t="s">
        <v>204</v>
      </c>
      <c r="F14" s="84">
        <v>0</v>
      </c>
      <c r="G14" s="84">
        <v>0.50700000000000001</v>
      </c>
      <c r="H14" s="84">
        <v>0.84199999999999997</v>
      </c>
      <c r="I14" s="84">
        <v>2.97</v>
      </c>
      <c r="J14" s="84">
        <v>0.73161584099999999</v>
      </c>
      <c r="K14" s="84">
        <v>0.283501685</v>
      </c>
      <c r="L14" s="84">
        <v>0</v>
      </c>
      <c r="M14" s="84">
        <v>0.2</v>
      </c>
      <c r="N14" s="84">
        <v>0</v>
      </c>
    </row>
    <row r="15" spans="1:46" ht="15" customHeight="1" x14ac:dyDescent="0.15">
      <c r="C15" s="84">
        <v>14</v>
      </c>
      <c r="D15"/>
      <c r="E15" s="177" t="s">
        <v>205</v>
      </c>
      <c r="F15" s="84">
        <v>0</v>
      </c>
      <c r="G15" s="84">
        <v>0.16</v>
      </c>
      <c r="H15" s="84">
        <v>0.56299999999999994</v>
      </c>
      <c r="I15" s="84">
        <v>2.58</v>
      </c>
      <c r="J15" s="84">
        <v>0.9596536</v>
      </c>
      <c r="K15" s="84">
        <v>0.21821707500000001</v>
      </c>
      <c r="L15" s="84">
        <v>0</v>
      </c>
      <c r="M15" s="84">
        <v>0.2</v>
      </c>
      <c r="N15" s="84">
        <v>0</v>
      </c>
    </row>
    <row r="16" spans="1:46" ht="15" customHeight="1" x14ac:dyDescent="0.15">
      <c r="C16" s="84">
        <v>15</v>
      </c>
      <c r="D16"/>
      <c r="E16" s="177" t="s">
        <v>206</v>
      </c>
      <c r="F16" s="84">
        <v>0</v>
      </c>
      <c r="G16" s="84">
        <v>0.03</v>
      </c>
      <c r="H16" s="84">
        <v>0.59</v>
      </c>
      <c r="I16" s="84">
        <v>1.99</v>
      </c>
      <c r="J16" s="84">
        <v>0.7177154</v>
      </c>
      <c r="K16" s="84">
        <v>0.29648238399999999</v>
      </c>
      <c r="L16" s="84">
        <v>0</v>
      </c>
      <c r="M16" s="84">
        <v>0.2</v>
      </c>
      <c r="N16" s="84">
        <v>0</v>
      </c>
    </row>
    <row r="17" spans="1:22" ht="15" customHeight="1" x14ac:dyDescent="0.15">
      <c r="C17" s="84">
        <v>16</v>
      </c>
      <c r="D17"/>
      <c r="E17" s="177" t="s">
        <v>207</v>
      </c>
      <c r="F17" s="84">
        <v>0</v>
      </c>
      <c r="G17" s="84">
        <v>1.3</v>
      </c>
      <c r="H17" s="84">
        <v>1.53</v>
      </c>
      <c r="I17" s="84">
        <v>5.016</v>
      </c>
      <c r="J17" s="84">
        <v>0.57500589999999996</v>
      </c>
      <c r="K17" s="84">
        <v>0.30502393799999999</v>
      </c>
      <c r="L17" s="84">
        <v>0</v>
      </c>
      <c r="M17" s="84">
        <v>0.2</v>
      </c>
      <c r="N17" s="84">
        <v>0</v>
      </c>
      <c r="V17" s="1" t="s">
        <v>30</v>
      </c>
    </row>
    <row r="18" spans="1:22" ht="15" customHeight="1" x14ac:dyDescent="0.15">
      <c r="C18" s="84">
        <v>17</v>
      </c>
      <c r="D18"/>
      <c r="E18" s="177" t="s">
        <v>208</v>
      </c>
      <c r="F18" s="84">
        <v>0</v>
      </c>
      <c r="G18" s="84">
        <v>0.13400000000000001</v>
      </c>
      <c r="H18" s="84">
        <v>2.46</v>
      </c>
      <c r="I18" s="84">
        <v>6.5</v>
      </c>
      <c r="J18" s="84">
        <v>0.57890504600000003</v>
      </c>
      <c r="K18" s="84">
        <v>0.37846153999999999</v>
      </c>
      <c r="L18" s="84">
        <v>0</v>
      </c>
      <c r="M18" s="84">
        <v>0.2</v>
      </c>
      <c r="N18" s="84">
        <v>0</v>
      </c>
      <c r="V18" s="1"/>
    </row>
    <row r="19" spans="1:22" ht="15" customHeight="1" x14ac:dyDescent="0.15">
      <c r="C19" s="84">
        <v>18</v>
      </c>
      <c r="D19"/>
      <c r="E19" s="177" t="s">
        <v>209</v>
      </c>
      <c r="F19" s="84">
        <v>0</v>
      </c>
      <c r="G19" s="84">
        <v>0.1</v>
      </c>
      <c r="H19" s="84">
        <v>2.3940000000000001</v>
      </c>
      <c r="I19" s="84">
        <v>6.6420000000000003</v>
      </c>
      <c r="J19" s="84">
        <v>0.90206146200000004</v>
      </c>
      <c r="K19" s="84">
        <v>0.36043360000000002</v>
      </c>
      <c r="L19" s="84">
        <v>0</v>
      </c>
      <c r="M19" s="84">
        <v>0.2</v>
      </c>
      <c r="N19" s="84">
        <v>0</v>
      </c>
    </row>
    <row r="20" spans="1:22" ht="15" customHeight="1" thickBot="1" x14ac:dyDescent="0.2">
      <c r="C20" s="84">
        <v>19</v>
      </c>
      <c r="D20"/>
      <c r="E20" s="177" t="s">
        <v>210</v>
      </c>
      <c r="F20" s="84">
        <v>0</v>
      </c>
      <c r="G20" s="84">
        <v>8.9399999999999993E-2</v>
      </c>
      <c r="H20" s="84">
        <v>1.034</v>
      </c>
      <c r="I20" s="84">
        <v>3.73</v>
      </c>
      <c r="J20" s="84">
        <v>0.93717044599999999</v>
      </c>
      <c r="K20" s="84">
        <v>0.27721181499999997</v>
      </c>
      <c r="L20" s="84">
        <v>0</v>
      </c>
      <c r="M20" s="84">
        <v>0.2</v>
      </c>
      <c r="N20" s="84">
        <v>0</v>
      </c>
    </row>
    <row r="21" spans="1:22" ht="15" customHeight="1" thickBot="1" x14ac:dyDescent="0.2">
      <c r="A21" s="47" t="s">
        <v>137</v>
      </c>
      <c r="B21" s="102"/>
      <c r="C21" s="84">
        <v>20</v>
      </c>
      <c r="D21"/>
      <c r="E21" s="177" t="s">
        <v>211</v>
      </c>
      <c r="F21" s="84">
        <v>0</v>
      </c>
      <c r="G21" s="84">
        <v>0.22900000000000001</v>
      </c>
      <c r="H21" s="84">
        <v>1.54</v>
      </c>
      <c r="I21" s="84">
        <v>5.1539999999999999</v>
      </c>
      <c r="J21" s="84">
        <v>0.99464960000000002</v>
      </c>
      <c r="K21" s="84">
        <v>0.29879704099999999</v>
      </c>
      <c r="L21" s="84">
        <v>0</v>
      </c>
      <c r="M21" s="84">
        <v>0.2</v>
      </c>
      <c r="N21" s="84">
        <v>0</v>
      </c>
    </row>
    <row r="22" spans="1:22" ht="15" customHeight="1" x14ac:dyDescent="0.15">
      <c r="A22" s="103" t="s">
        <v>58</v>
      </c>
      <c r="B22" s="104">
        <v>0</v>
      </c>
      <c r="C22" s="84">
        <v>21</v>
      </c>
      <c r="D22"/>
      <c r="E22" s="177" t="s">
        <v>212</v>
      </c>
      <c r="F22" s="84">
        <v>0</v>
      </c>
      <c r="G22" s="84">
        <v>0.152</v>
      </c>
      <c r="H22" s="84">
        <v>1.3149999999999999</v>
      </c>
      <c r="I22" s="84">
        <v>5.0890000000000004</v>
      </c>
      <c r="J22" s="84">
        <v>0.55420159999999996</v>
      </c>
      <c r="K22" s="84">
        <v>0.25840046999999999</v>
      </c>
      <c r="L22" s="84">
        <v>0</v>
      </c>
      <c r="M22" s="84">
        <v>0.2</v>
      </c>
      <c r="N22" s="84">
        <v>0</v>
      </c>
    </row>
    <row r="23" spans="1:22" ht="15" customHeight="1" x14ac:dyDescent="0.15">
      <c r="A23" s="103" t="s">
        <v>59</v>
      </c>
      <c r="B23" s="104">
        <v>1</v>
      </c>
      <c r="C23" s="84">
        <v>22</v>
      </c>
      <c r="D23"/>
      <c r="E23" s="177" t="s">
        <v>213</v>
      </c>
      <c r="F23" s="84">
        <v>0</v>
      </c>
      <c r="G23" s="84">
        <v>0.44400000000000001</v>
      </c>
      <c r="H23" s="84">
        <v>2.21</v>
      </c>
      <c r="I23" s="84">
        <v>5.74</v>
      </c>
      <c r="J23" s="84">
        <v>0.45405334200000003</v>
      </c>
      <c r="K23" s="84">
        <v>0.38501745500000001</v>
      </c>
      <c r="L23" s="84">
        <v>0</v>
      </c>
      <c r="M23" s="84">
        <v>0.2</v>
      </c>
      <c r="N23" s="84">
        <v>0</v>
      </c>
    </row>
    <row r="24" spans="1:22" ht="15" customHeight="1" x14ac:dyDescent="0.15">
      <c r="A24" s="103" t="s">
        <v>60</v>
      </c>
      <c r="B24" s="104">
        <v>2</v>
      </c>
      <c r="C24" s="84">
        <v>23</v>
      </c>
      <c r="D24"/>
      <c r="E24" s="177" t="s">
        <v>214</v>
      </c>
      <c r="F24" s="84">
        <v>0</v>
      </c>
      <c r="G24" s="84">
        <v>1.143</v>
      </c>
      <c r="H24" s="84">
        <v>0.41399999999999998</v>
      </c>
      <c r="I24" s="84">
        <v>1.73</v>
      </c>
      <c r="J24" s="84">
        <v>0.90126973399999999</v>
      </c>
      <c r="K24" s="84">
        <v>0.23930636</v>
      </c>
      <c r="L24" s="84">
        <v>0</v>
      </c>
      <c r="M24" s="84">
        <v>0.2</v>
      </c>
      <c r="N24" s="84">
        <v>0</v>
      </c>
    </row>
    <row r="25" spans="1:22" ht="15" customHeight="1" thickBot="1" x14ac:dyDescent="0.2">
      <c r="A25" s="105" t="s">
        <v>44</v>
      </c>
      <c r="B25" s="106">
        <v>3</v>
      </c>
      <c r="C25" s="84">
        <v>24</v>
      </c>
      <c r="D25"/>
      <c r="E25" s="177" t="s">
        <v>215</v>
      </c>
      <c r="F25" s="84">
        <v>0</v>
      </c>
      <c r="G25" s="84">
        <v>0.125</v>
      </c>
      <c r="H25" s="84">
        <v>1.246</v>
      </c>
      <c r="I25" s="84">
        <v>4</v>
      </c>
      <c r="J25" s="84">
        <v>0.93880799999999998</v>
      </c>
      <c r="K25" s="84">
        <v>0.3115</v>
      </c>
      <c r="L25" s="84">
        <v>0</v>
      </c>
      <c r="M25" s="84">
        <v>0.2</v>
      </c>
      <c r="N25" s="84">
        <v>0</v>
      </c>
    </row>
    <row r="26" spans="1:22" ht="15" customHeight="1" x14ac:dyDescent="0.15">
      <c r="A26" s="107" t="s">
        <v>140</v>
      </c>
      <c r="C26" s="84">
        <v>25</v>
      </c>
      <c r="D26"/>
      <c r="E26" s="177" t="s">
        <v>216</v>
      </c>
      <c r="F26" s="84">
        <v>0</v>
      </c>
      <c r="G26" s="84">
        <v>8.8999999999999996E-2</v>
      </c>
      <c r="H26" s="84">
        <v>0.57499999999999996</v>
      </c>
      <c r="I26" s="84">
        <v>2.74</v>
      </c>
      <c r="J26" s="84">
        <v>0.82681143300000004</v>
      </c>
      <c r="K26" s="84">
        <v>0.20985400000000001</v>
      </c>
      <c r="L26" s="84">
        <v>0</v>
      </c>
      <c r="M26" s="84">
        <v>0.2</v>
      </c>
      <c r="N26" s="84">
        <v>0</v>
      </c>
    </row>
    <row r="27" spans="1:22" ht="15" customHeight="1" x14ac:dyDescent="0.15">
      <c r="C27" s="84">
        <v>26</v>
      </c>
      <c r="D27"/>
      <c r="E27" s="177" t="s">
        <v>217</v>
      </c>
      <c r="F27" s="84">
        <v>0</v>
      </c>
      <c r="G27" s="84">
        <v>0.19400000000000001</v>
      </c>
      <c r="H27" s="84">
        <v>0.49</v>
      </c>
      <c r="I27" s="84">
        <v>1.95</v>
      </c>
      <c r="J27" s="84">
        <v>0.99541029999999997</v>
      </c>
      <c r="K27" s="84">
        <v>0.25128203599999999</v>
      </c>
      <c r="L27" s="84">
        <v>0</v>
      </c>
      <c r="M27" s="84">
        <v>0.2</v>
      </c>
      <c r="N27" s="84">
        <v>0</v>
      </c>
    </row>
    <row r="28" spans="1:22" ht="15" customHeight="1" x14ac:dyDescent="0.15">
      <c r="C28" s="84">
        <v>27</v>
      </c>
      <c r="D28"/>
      <c r="E28" s="177" t="s">
        <v>218</v>
      </c>
      <c r="F28" s="84">
        <v>0</v>
      </c>
      <c r="G28" s="84">
        <v>0.54400000000000004</v>
      </c>
      <c r="H28" s="84">
        <v>1.57</v>
      </c>
      <c r="I28" s="84">
        <v>5.4210000000000003</v>
      </c>
      <c r="J28" s="84">
        <v>0.87245899999999998</v>
      </c>
      <c r="K28" s="84">
        <v>0.28961446899999999</v>
      </c>
      <c r="L28" s="84">
        <v>0</v>
      </c>
      <c r="M28" s="84">
        <v>0.2</v>
      </c>
      <c r="N28" s="84">
        <v>0</v>
      </c>
    </row>
    <row r="29" spans="1:22" customFormat="1" ht="15" customHeight="1" x14ac:dyDescent="0.15">
      <c r="C29" s="84">
        <v>28</v>
      </c>
      <c r="E29" s="177" t="s">
        <v>219</v>
      </c>
      <c r="F29" s="84">
        <v>0</v>
      </c>
      <c r="G29" s="84">
        <v>1.026</v>
      </c>
      <c r="H29" s="84">
        <v>1.57</v>
      </c>
      <c r="I29" s="84">
        <v>5.2350000000000003</v>
      </c>
      <c r="J29" s="84">
        <v>0.51699660000000003</v>
      </c>
      <c r="K29" s="84">
        <v>0.29990450000000002</v>
      </c>
      <c r="L29" s="84">
        <v>0</v>
      </c>
      <c r="M29" s="84">
        <v>0.2</v>
      </c>
      <c r="N29" s="84">
        <v>0</v>
      </c>
    </row>
    <row r="30" spans="1:22" customFormat="1" ht="15" customHeight="1" x14ac:dyDescent="0.15">
      <c r="C30" s="84">
        <v>29</v>
      </c>
      <c r="E30" s="177" t="s">
        <v>220</v>
      </c>
      <c r="F30" s="84">
        <v>0</v>
      </c>
      <c r="G30" s="84">
        <v>3.6429999999999998</v>
      </c>
      <c r="H30" s="84">
        <v>0.72699999999999998</v>
      </c>
      <c r="I30" s="84">
        <v>6.516</v>
      </c>
      <c r="J30" s="84">
        <v>0.52622205</v>
      </c>
      <c r="K30" s="84">
        <v>0.11157152100000001</v>
      </c>
      <c r="L30" s="84">
        <v>0</v>
      </c>
      <c r="M30" s="84">
        <v>0.2</v>
      </c>
      <c r="N30" s="84">
        <v>0</v>
      </c>
    </row>
    <row r="31" spans="1:22" customFormat="1" ht="15" customHeight="1" x14ac:dyDescent="0.15">
      <c r="C31" s="84">
        <v>30</v>
      </c>
      <c r="E31" s="177" t="s">
        <v>221</v>
      </c>
      <c r="F31" s="84">
        <v>0</v>
      </c>
      <c r="G31" s="84">
        <v>0.28799999999999998</v>
      </c>
      <c r="H31" s="84">
        <v>0.97199999999999998</v>
      </c>
      <c r="I31" s="84">
        <v>9.7200000000000006</v>
      </c>
      <c r="J31" s="84">
        <v>0.45530313300000003</v>
      </c>
      <c r="K31" s="84">
        <v>0.1</v>
      </c>
      <c r="L31" s="84">
        <v>0</v>
      </c>
      <c r="M31" s="84">
        <v>0.2</v>
      </c>
      <c r="N31" s="84">
        <v>0</v>
      </c>
    </row>
    <row r="32" spans="1:22" customFormat="1" ht="15" customHeight="1" x14ac:dyDescent="0.15">
      <c r="C32" s="84">
        <v>31</v>
      </c>
      <c r="E32" s="177" t="s">
        <v>222</v>
      </c>
      <c r="F32" s="84">
        <v>0</v>
      </c>
      <c r="G32" s="84">
        <v>0.115068965</v>
      </c>
      <c r="H32" s="84">
        <v>0.318</v>
      </c>
      <c r="I32" s="84">
        <v>3.1799998299999999</v>
      </c>
      <c r="J32" s="84">
        <v>1.25127111E-3</v>
      </c>
      <c r="K32" s="84">
        <v>0.1</v>
      </c>
      <c r="L32" s="84">
        <v>0</v>
      </c>
      <c r="M32" s="84">
        <v>0.2</v>
      </c>
      <c r="N32" s="84">
        <v>0</v>
      </c>
    </row>
    <row r="33" spans="3:14" customFormat="1" ht="15" customHeight="1" x14ac:dyDescent="0.15">
      <c r="C33" s="84">
        <v>32</v>
      </c>
      <c r="E33" s="177" t="s">
        <v>223</v>
      </c>
      <c r="F33" s="84">
        <v>0</v>
      </c>
      <c r="G33" s="84">
        <v>0.10299999999999999</v>
      </c>
      <c r="H33" s="84">
        <v>1.6</v>
      </c>
      <c r="I33" s="84">
        <v>16</v>
      </c>
      <c r="J33" s="84">
        <v>0.6503738</v>
      </c>
      <c r="K33" s="84">
        <v>0.1</v>
      </c>
      <c r="L33" s="84">
        <v>0</v>
      </c>
      <c r="M33" s="84">
        <v>0.2</v>
      </c>
      <c r="N33" s="84">
        <v>0</v>
      </c>
    </row>
    <row r="34" spans="3:14" customFormat="1" ht="15" customHeight="1" x14ac:dyDescent="0.15">
      <c r="C34" s="84">
        <v>33</v>
      </c>
      <c r="E34" s="177" t="s">
        <v>224</v>
      </c>
      <c r="F34" s="84">
        <v>0</v>
      </c>
      <c r="G34" s="84">
        <v>13</v>
      </c>
      <c r="H34" s="84">
        <v>1.661</v>
      </c>
      <c r="I34" s="84">
        <v>8.3049999999999997</v>
      </c>
      <c r="J34" s="84">
        <v>0.5865532</v>
      </c>
      <c r="K34" s="84">
        <v>0.2</v>
      </c>
      <c r="L34" s="84">
        <v>0</v>
      </c>
      <c r="M34" s="84">
        <v>0.3</v>
      </c>
      <c r="N34" s="84">
        <v>0</v>
      </c>
    </row>
    <row r="35" spans="3:14" customFormat="1" ht="15" customHeight="1" x14ac:dyDescent="0.15">
      <c r="C35" s="84">
        <v>34</v>
      </c>
      <c r="E35" s="177" t="s">
        <v>225</v>
      </c>
      <c r="F35" s="84">
        <v>0</v>
      </c>
      <c r="G35" s="84">
        <v>8.9748380000000001</v>
      </c>
      <c r="H35" s="84">
        <v>2.0619999999999998</v>
      </c>
      <c r="I35" s="84">
        <v>9.3727269999999994</v>
      </c>
      <c r="J35" s="84">
        <v>0.98999994999999996</v>
      </c>
      <c r="K35" s="84">
        <v>0.22</v>
      </c>
      <c r="L35" s="84">
        <v>0</v>
      </c>
      <c r="M35" s="84">
        <v>0.3</v>
      </c>
      <c r="N35" s="84">
        <v>0</v>
      </c>
    </row>
    <row r="36" spans="3:14" customFormat="1" ht="15" customHeight="1" x14ac:dyDescent="0.15">
      <c r="C36" s="84">
        <v>35</v>
      </c>
      <c r="E36" s="177" t="s">
        <v>226</v>
      </c>
      <c r="F36" s="84">
        <v>0</v>
      </c>
      <c r="G36" s="84">
        <v>22.726347000000001</v>
      </c>
      <c r="H36" s="84">
        <v>3.6829999999999998</v>
      </c>
      <c r="I36" s="84">
        <v>12.2766666</v>
      </c>
      <c r="J36" s="84">
        <v>0.99</v>
      </c>
      <c r="K36" s="84">
        <v>0.3</v>
      </c>
      <c r="L36" s="84">
        <v>0</v>
      </c>
      <c r="M36" s="84">
        <v>0.4</v>
      </c>
      <c r="N36" s="84">
        <v>0</v>
      </c>
    </row>
    <row r="37" spans="3:14" customFormat="1" ht="15" customHeight="1" x14ac:dyDescent="0.15">
      <c r="C37" s="84">
        <v>36</v>
      </c>
      <c r="E37" s="177" t="s">
        <v>227</v>
      </c>
      <c r="F37" s="84">
        <v>0</v>
      </c>
      <c r="G37" s="84">
        <v>8.0071060000000003</v>
      </c>
      <c r="H37" s="84">
        <v>2.6949999999999998</v>
      </c>
      <c r="I37" s="84">
        <v>13.4749994</v>
      </c>
      <c r="J37" s="84">
        <v>0.99</v>
      </c>
      <c r="K37" s="84">
        <v>0.2</v>
      </c>
      <c r="L37" s="84">
        <v>0</v>
      </c>
      <c r="M37" s="84">
        <v>0.3</v>
      </c>
      <c r="N37" s="84">
        <v>0</v>
      </c>
    </row>
    <row r="38" spans="3:14" customFormat="1" ht="15" customHeight="1" x14ac:dyDescent="0.15">
      <c r="C38" s="84">
        <v>37</v>
      </c>
      <c r="E38" s="177" t="s">
        <v>228</v>
      </c>
      <c r="F38" s="84">
        <v>0</v>
      </c>
      <c r="G38" s="84">
        <v>24.772737500000002</v>
      </c>
      <c r="H38" s="84">
        <v>2.552</v>
      </c>
      <c r="I38" s="84">
        <v>11.6</v>
      </c>
      <c r="J38" s="84">
        <v>0.98999994999999996</v>
      </c>
      <c r="K38" s="84">
        <v>0.22</v>
      </c>
      <c r="L38" s="84">
        <v>0</v>
      </c>
      <c r="M38" s="84">
        <v>0.3</v>
      </c>
      <c r="N38" s="84">
        <v>0</v>
      </c>
    </row>
    <row r="39" spans="3:14" customFormat="1" ht="15" customHeight="1" x14ac:dyDescent="0.15">
      <c r="C39" s="84">
        <v>38</v>
      </c>
      <c r="E39" s="177" t="s">
        <v>229</v>
      </c>
      <c r="F39" s="84">
        <v>0</v>
      </c>
      <c r="G39" s="84">
        <v>9.8000000000000004E-2</v>
      </c>
      <c r="H39" s="84">
        <v>0.78300000000000003</v>
      </c>
      <c r="I39" s="84">
        <v>5.22</v>
      </c>
      <c r="J39" s="84">
        <v>0.90865479999999998</v>
      </c>
      <c r="K39" s="84">
        <v>0.15</v>
      </c>
      <c r="L39" s="84">
        <v>0</v>
      </c>
      <c r="M39" s="84">
        <v>0.2</v>
      </c>
      <c r="N39" s="84">
        <v>0</v>
      </c>
    </row>
    <row r="40" spans="3:14" customFormat="1" ht="15" customHeight="1" x14ac:dyDescent="0.15">
      <c r="C40" s="84">
        <v>39</v>
      </c>
      <c r="E40" s="177" t="s">
        <v>230</v>
      </c>
      <c r="F40" s="84">
        <v>0</v>
      </c>
      <c r="G40" s="84">
        <v>0.35</v>
      </c>
      <c r="H40" s="84">
        <v>0.73</v>
      </c>
      <c r="I40" s="84">
        <v>4.8666669999999996</v>
      </c>
      <c r="J40" s="84">
        <v>0.86748945700000002</v>
      </c>
      <c r="K40" s="84">
        <v>0.15</v>
      </c>
      <c r="L40" s="84">
        <v>0</v>
      </c>
      <c r="M40" s="84">
        <v>0.2</v>
      </c>
      <c r="N40" s="84">
        <v>0</v>
      </c>
    </row>
    <row r="41" spans="3:14" customFormat="1" ht="15" customHeight="1" x14ac:dyDescent="0.15">
      <c r="C41" s="84">
        <v>40</v>
      </c>
      <c r="E41" s="177" t="s">
        <v>231</v>
      </c>
      <c r="F41" s="84">
        <v>0</v>
      </c>
      <c r="G41" s="84">
        <v>0.25029823200000001</v>
      </c>
      <c r="H41" s="84">
        <v>1.9810000000000001</v>
      </c>
      <c r="I41" s="84">
        <v>15</v>
      </c>
      <c r="J41" s="84">
        <v>0.7717543</v>
      </c>
      <c r="K41" s="84">
        <v>0.132066667</v>
      </c>
      <c r="L41" s="84">
        <v>0</v>
      </c>
      <c r="M41" s="84">
        <v>0.2</v>
      </c>
      <c r="N41" s="84">
        <v>0</v>
      </c>
    </row>
    <row r="42" spans="3:14" customFormat="1" ht="15" customHeight="1" x14ac:dyDescent="0.15">
      <c r="C42" s="84">
        <v>41</v>
      </c>
      <c r="E42" s="177" t="s">
        <v>232</v>
      </c>
      <c r="F42" s="84">
        <v>0</v>
      </c>
      <c r="G42" s="84">
        <v>4.84659672</v>
      </c>
      <c r="H42" s="84">
        <v>0.95899999999999996</v>
      </c>
      <c r="I42" s="84">
        <v>6.3933330000000002</v>
      </c>
      <c r="J42" s="84">
        <v>0.98999994999999996</v>
      </c>
      <c r="K42" s="84">
        <v>0.15</v>
      </c>
      <c r="L42" s="84">
        <v>0</v>
      </c>
      <c r="M42" s="84">
        <v>0.3</v>
      </c>
      <c r="N42" s="84">
        <v>0</v>
      </c>
    </row>
    <row r="43" spans="3:14" customFormat="1" ht="15" customHeight="1" x14ac:dyDescent="0.15">
      <c r="C43" s="84">
        <v>42</v>
      </c>
      <c r="E43" s="177" t="s">
        <v>233</v>
      </c>
      <c r="F43" s="84">
        <v>0</v>
      </c>
      <c r="G43" s="84">
        <v>7.5</v>
      </c>
      <c r="H43" s="84">
        <v>2.0659999999999998</v>
      </c>
      <c r="I43" s="84">
        <v>10.33</v>
      </c>
      <c r="J43" s="84">
        <v>0.98609860000000005</v>
      </c>
      <c r="K43" s="84">
        <v>0.2</v>
      </c>
      <c r="L43" s="84">
        <v>0</v>
      </c>
      <c r="M43" s="84">
        <v>0.3</v>
      </c>
      <c r="N43" s="84">
        <v>0</v>
      </c>
    </row>
    <row r="44" spans="3:14" customFormat="1" ht="15" customHeight="1" x14ac:dyDescent="0.15">
      <c r="C44" s="84">
        <v>43</v>
      </c>
      <c r="E44" s="177" t="s">
        <v>234</v>
      </c>
      <c r="F44" s="84">
        <v>0</v>
      </c>
      <c r="G44" s="84">
        <v>6.3139886900000004</v>
      </c>
      <c r="H44" s="84">
        <v>18.45</v>
      </c>
      <c r="I44" s="84">
        <v>61.5</v>
      </c>
      <c r="J44" s="84">
        <v>0.99</v>
      </c>
      <c r="K44" s="84">
        <v>0.3</v>
      </c>
      <c r="L44" s="84">
        <v>0</v>
      </c>
      <c r="M44" s="84">
        <v>0.4</v>
      </c>
      <c r="N44" s="84">
        <v>0</v>
      </c>
    </row>
    <row r="45" spans="3:14" customFormat="1" ht="15" customHeight="1" x14ac:dyDescent="0.15">
      <c r="C45" s="84">
        <v>44</v>
      </c>
      <c r="E45" s="177" t="s">
        <v>235</v>
      </c>
      <c r="F45" s="84">
        <v>0</v>
      </c>
      <c r="G45" s="84">
        <v>5.4395055799999996</v>
      </c>
      <c r="H45" s="84">
        <v>7.5</v>
      </c>
      <c r="I45" s="84">
        <v>24.999998099999999</v>
      </c>
      <c r="J45" s="84">
        <v>0.99</v>
      </c>
      <c r="K45" s="84">
        <v>0.3</v>
      </c>
      <c r="L45" s="84">
        <v>0</v>
      </c>
      <c r="M45" s="84">
        <v>0.38</v>
      </c>
      <c r="N45" s="84">
        <v>0</v>
      </c>
    </row>
    <row r="46" spans="3:14" customFormat="1" ht="15" customHeight="1" x14ac:dyDescent="0.15">
      <c r="C46" s="84">
        <v>45</v>
      </c>
      <c r="E46" s="177" t="s">
        <v>236</v>
      </c>
      <c r="F46" s="84">
        <v>0</v>
      </c>
      <c r="G46" s="84">
        <v>5.2607369999999998</v>
      </c>
      <c r="H46" s="84">
        <v>10</v>
      </c>
      <c r="I46" s="84">
        <v>33.3333321</v>
      </c>
      <c r="J46" s="84">
        <v>0.99</v>
      </c>
      <c r="K46" s="84">
        <v>0.3</v>
      </c>
      <c r="L46" s="84">
        <v>0</v>
      </c>
      <c r="M46" s="84">
        <v>0.4</v>
      </c>
      <c r="N46" s="84">
        <v>0</v>
      </c>
    </row>
    <row r="47" spans="3:14" customFormat="1" ht="15" customHeight="1" x14ac:dyDescent="0.15">
      <c r="C47" s="84">
        <v>46</v>
      </c>
      <c r="E47" s="177" t="s">
        <v>237</v>
      </c>
      <c r="F47" s="84">
        <v>0</v>
      </c>
      <c r="G47" s="84">
        <v>10.3156509</v>
      </c>
      <c r="H47" s="84">
        <v>17</v>
      </c>
      <c r="I47" s="84">
        <v>56.666664099999998</v>
      </c>
      <c r="J47" s="84">
        <v>0.99</v>
      </c>
      <c r="K47" s="84">
        <v>0.3</v>
      </c>
      <c r="L47" s="84">
        <v>0</v>
      </c>
      <c r="M47" s="84">
        <v>0.4</v>
      </c>
      <c r="N47" s="84">
        <v>0</v>
      </c>
    </row>
    <row r="48" spans="3:14" customFormat="1" ht="15" customHeight="1" x14ac:dyDescent="0.15">
      <c r="C48" s="84">
        <v>47</v>
      </c>
      <c r="E48" s="177" t="s">
        <v>238</v>
      </c>
      <c r="F48" s="84">
        <v>0</v>
      </c>
      <c r="G48" s="84">
        <v>19.778955499999999</v>
      </c>
      <c r="H48" s="84">
        <v>18</v>
      </c>
      <c r="I48" s="84">
        <v>59.999996199999998</v>
      </c>
      <c r="J48" s="84">
        <v>0.98999994999999996</v>
      </c>
      <c r="K48" s="84">
        <v>0.3</v>
      </c>
      <c r="L48" s="84">
        <v>0</v>
      </c>
      <c r="M48" s="84">
        <v>0.4</v>
      </c>
      <c r="N48" s="84">
        <v>0</v>
      </c>
    </row>
    <row r="49" spans="3:14" customFormat="1" ht="15" customHeight="1" x14ac:dyDescent="0.15">
      <c r="C49" s="84">
        <v>48</v>
      </c>
      <c r="E49" s="177" t="s">
        <v>239</v>
      </c>
      <c r="F49" s="84">
        <v>1</v>
      </c>
      <c r="G49" s="84">
        <v>75</v>
      </c>
      <c r="H49" s="84">
        <v>60</v>
      </c>
      <c r="I49" s="84">
        <v>0</v>
      </c>
      <c r="J49" s="84">
        <v>1.6845288899999999E-3</v>
      </c>
      <c r="K49" s="84">
        <v>0</v>
      </c>
      <c r="L49" s="84">
        <v>0</v>
      </c>
      <c r="M49" s="84">
        <v>0</v>
      </c>
      <c r="N49" s="84">
        <v>0</v>
      </c>
    </row>
    <row r="50" spans="3:14" customFormat="1" ht="15" customHeight="1" x14ac:dyDescent="0.15">
      <c r="C50" s="84">
        <v>49</v>
      </c>
      <c r="E50" s="177" t="s">
        <v>240</v>
      </c>
      <c r="F50" s="84">
        <v>1</v>
      </c>
      <c r="G50" s="84">
        <v>3.92</v>
      </c>
      <c r="H50" s="84">
        <v>587</v>
      </c>
      <c r="I50" s="84">
        <v>0</v>
      </c>
      <c r="J50" s="84">
        <v>0.17894969999999999</v>
      </c>
      <c r="K50" s="84">
        <v>0</v>
      </c>
      <c r="L50" s="84">
        <v>0</v>
      </c>
      <c r="M50" s="84">
        <v>0</v>
      </c>
      <c r="N50" s="84">
        <v>0</v>
      </c>
    </row>
    <row r="51" spans="3:14" customFormat="1" ht="15" customHeight="1" x14ac:dyDescent="0.15">
      <c r="C51" s="84">
        <v>50</v>
      </c>
      <c r="E51" s="177" t="s">
        <v>241</v>
      </c>
      <c r="F51" s="84">
        <v>1</v>
      </c>
      <c r="G51" s="84">
        <v>9.6674140000000008</v>
      </c>
      <c r="H51" s="84">
        <v>152.5</v>
      </c>
      <c r="I51" s="84">
        <v>0</v>
      </c>
      <c r="J51" s="84">
        <v>0.62284050000000002</v>
      </c>
      <c r="K51" s="84">
        <v>0</v>
      </c>
      <c r="L51" s="84">
        <v>0</v>
      </c>
      <c r="M51" s="84">
        <v>0</v>
      </c>
      <c r="N51" s="84">
        <v>0</v>
      </c>
    </row>
    <row r="52" spans="3:14" customFormat="1" ht="15" customHeight="1" x14ac:dyDescent="0.15">
      <c r="C52" s="84">
        <v>51</v>
      </c>
      <c r="E52" s="177" t="s">
        <v>242</v>
      </c>
      <c r="F52" s="84">
        <v>2</v>
      </c>
      <c r="G52" s="84">
        <v>50</v>
      </c>
      <c r="H52" s="84">
        <v>0</v>
      </c>
      <c r="I52" s="84">
        <v>0</v>
      </c>
      <c r="J52" s="84">
        <v>7.4981935299999997E-2</v>
      </c>
      <c r="K52" s="84">
        <v>0</v>
      </c>
      <c r="L52" s="84">
        <v>0</v>
      </c>
      <c r="M52" s="84">
        <v>0.2</v>
      </c>
      <c r="N52" s="84">
        <v>0</v>
      </c>
    </row>
    <row r="53" spans="3:14" customFormat="1" ht="15" customHeight="1" x14ac:dyDescent="0.15">
      <c r="C53" s="84">
        <v>52</v>
      </c>
      <c r="E53" s="177" t="s">
        <v>243</v>
      </c>
      <c r="F53" s="84">
        <v>2</v>
      </c>
      <c r="G53" s="84">
        <v>50</v>
      </c>
      <c r="H53" s="84">
        <v>0</v>
      </c>
      <c r="I53" s="84">
        <v>0</v>
      </c>
      <c r="J53" s="84">
        <v>0.118254356</v>
      </c>
      <c r="K53" s="84">
        <v>0</v>
      </c>
      <c r="L53" s="84">
        <v>0</v>
      </c>
      <c r="M53" s="84">
        <v>0.2</v>
      </c>
      <c r="N53" s="84">
        <v>0</v>
      </c>
    </row>
    <row r="54" spans="3:14" customFormat="1" ht="15" customHeight="1" x14ac:dyDescent="0.15">
      <c r="C54" s="84">
        <v>53</v>
      </c>
      <c r="E54" s="177" t="s">
        <v>244</v>
      </c>
      <c r="F54" s="84">
        <v>2</v>
      </c>
      <c r="G54" s="84">
        <v>0.193</v>
      </c>
      <c r="H54" s="84">
        <v>0</v>
      </c>
      <c r="I54" s="84">
        <v>0</v>
      </c>
      <c r="J54" s="84">
        <v>0.62711640000000002</v>
      </c>
      <c r="K54" s="84">
        <v>0</v>
      </c>
      <c r="L54" s="84">
        <v>0</v>
      </c>
      <c r="M54" s="84">
        <v>0</v>
      </c>
      <c r="N54" s="84">
        <v>0</v>
      </c>
    </row>
    <row r="55" spans="3:14" customFormat="1" ht="15" customHeight="1" x14ac:dyDescent="0.15">
      <c r="C55" s="84">
        <v>54</v>
      </c>
      <c r="E55" s="177" t="s">
        <v>245</v>
      </c>
      <c r="F55" s="84">
        <v>2</v>
      </c>
      <c r="G55" s="84">
        <v>5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0</v>
      </c>
    </row>
    <row r="56" spans="3:14" customFormat="1" ht="15" customHeight="1" x14ac:dyDescent="0.15">
      <c r="C56" s="84">
        <v>55</v>
      </c>
      <c r="E56" s="177" t="s">
        <v>246</v>
      </c>
      <c r="F56" s="84">
        <v>3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</row>
    <row r="57" spans="3:14" customFormat="1" ht="15" customHeight="1" x14ac:dyDescent="0.15">
      <c r="C57" s="84">
        <v>56</v>
      </c>
      <c r="E57" s="177" t="s">
        <v>247</v>
      </c>
      <c r="F57" s="84">
        <v>3</v>
      </c>
      <c r="G57" s="84">
        <v>0</v>
      </c>
      <c r="H57" s="84">
        <v>0</v>
      </c>
      <c r="I57" s="84">
        <v>0</v>
      </c>
      <c r="J57" s="84">
        <v>0</v>
      </c>
      <c r="K57" s="84">
        <v>0</v>
      </c>
      <c r="L57" s="84">
        <v>0</v>
      </c>
      <c r="M57" s="84">
        <v>0</v>
      </c>
      <c r="N57" s="84">
        <v>0</v>
      </c>
    </row>
    <row r="58" spans="3:14" customFormat="1" ht="15" customHeight="1" x14ac:dyDescent="0.15">
      <c r="C58" s="84">
        <v>57</v>
      </c>
      <c r="E58" s="177" t="s">
        <v>248</v>
      </c>
      <c r="F58" s="84">
        <v>3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0</v>
      </c>
      <c r="M58" s="84">
        <v>0</v>
      </c>
      <c r="N58" s="84">
        <v>0</v>
      </c>
    </row>
    <row r="59" spans="3:14" customFormat="1" ht="15" customHeight="1" x14ac:dyDescent="0.15">
      <c r="C59" s="84">
        <v>58</v>
      </c>
      <c r="E59" s="177" t="s">
        <v>249</v>
      </c>
      <c r="F59" s="84">
        <v>3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0</v>
      </c>
      <c r="M59" s="84">
        <v>0</v>
      </c>
      <c r="N59" s="84">
        <v>0</v>
      </c>
    </row>
    <row r="60" spans="3:14" customFormat="1" ht="15" customHeight="1" x14ac:dyDescent="0.15">
      <c r="C60" s="84">
        <v>59</v>
      </c>
      <c r="E60" s="177" t="s">
        <v>250</v>
      </c>
      <c r="F60" s="84">
        <v>3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0</v>
      </c>
      <c r="M60" s="84">
        <v>0</v>
      </c>
      <c r="N60" s="84">
        <v>0</v>
      </c>
    </row>
    <row r="61" spans="3:14" customFormat="1" ht="15" customHeight="1" x14ac:dyDescent="0.15">
      <c r="C61" s="84">
        <v>60</v>
      </c>
      <c r="E61" s="177" t="s">
        <v>251</v>
      </c>
      <c r="F61" s="84">
        <v>3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0</v>
      </c>
      <c r="M61" s="84">
        <v>0</v>
      </c>
      <c r="N61" s="84">
        <v>0</v>
      </c>
    </row>
    <row r="62" spans="3:14" customFormat="1" ht="15" customHeight="1" x14ac:dyDescent="0.15">
      <c r="C62" s="84">
        <v>61</v>
      </c>
      <c r="E62" s="177" t="s">
        <v>252</v>
      </c>
      <c r="F62" s="84">
        <v>3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0</v>
      </c>
      <c r="M62" s="84">
        <v>0</v>
      </c>
      <c r="N62" s="84">
        <v>0</v>
      </c>
    </row>
    <row r="63" spans="3:14" customFormat="1" ht="15" customHeight="1" x14ac:dyDescent="0.15">
      <c r="C63" s="84">
        <v>62</v>
      </c>
      <c r="E63" s="177" t="s">
        <v>253</v>
      </c>
      <c r="F63" s="84">
        <v>3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0</v>
      </c>
      <c r="M63" s="84">
        <v>0</v>
      </c>
      <c r="N63" s="84">
        <v>0</v>
      </c>
    </row>
    <row r="64" spans="3:14" customFormat="1" ht="15" customHeight="1" x14ac:dyDescent="0.15">
      <c r="C64" s="84">
        <v>63</v>
      </c>
      <c r="E64" s="177" t="s">
        <v>254</v>
      </c>
      <c r="F64" s="84">
        <v>3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0</v>
      </c>
      <c r="M64" s="84">
        <v>0</v>
      </c>
      <c r="N64" s="84">
        <v>0</v>
      </c>
    </row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C373"/>
  <sheetViews>
    <sheetView workbookViewId="0">
      <pane xSplit="1" ySplit="1" topLeftCell="B39" activePane="bottomRight" state="frozen"/>
      <selection pane="topRight" activeCell="B1" sqref="B1"/>
      <selection pane="bottomLeft" activeCell="A2" sqref="A2"/>
      <selection pane="bottomRight" activeCell="A54" sqref="A54:XFD54"/>
    </sheetView>
  </sheetViews>
  <sheetFormatPr baseColWidth="10" defaultColWidth="8.83203125" defaultRowHeight="13" x14ac:dyDescent="0.15"/>
  <cols>
    <col min="1" max="1" width="28.5" style="143" bestFit="1" customWidth="1"/>
    <col min="2" max="5" width="14.83203125" style="143" bestFit="1" customWidth="1"/>
    <col min="6" max="7" width="4.83203125" style="143" bestFit="1" customWidth="1"/>
    <col min="8" max="8" width="6.83203125" style="143" bestFit="1" customWidth="1"/>
    <col min="9" max="9" width="13.83203125" style="143" bestFit="1" customWidth="1"/>
    <col min="10" max="10" width="5.83203125" style="143" bestFit="1" customWidth="1"/>
    <col min="11" max="11" width="14.83203125" style="143" bestFit="1" customWidth="1"/>
    <col min="12" max="12" width="4.83203125" style="143" bestFit="1" customWidth="1"/>
    <col min="13" max="13" width="14.83203125" style="143" bestFit="1" customWidth="1"/>
    <col min="14" max="14" width="5.83203125" style="143" bestFit="1" customWidth="1"/>
    <col min="15" max="15" width="4.83203125" style="143" bestFit="1" customWidth="1"/>
    <col min="16" max="16" width="5.83203125" style="143" bestFit="1" customWidth="1"/>
    <col min="17" max="17" width="3.83203125" style="143" bestFit="1" customWidth="1"/>
    <col min="18" max="18" width="5.83203125" style="143" bestFit="1" customWidth="1"/>
    <col min="19" max="19" width="15.83203125" style="143" bestFit="1" customWidth="1"/>
    <col min="20" max="20" width="14.83203125" style="143" bestFit="1" customWidth="1"/>
    <col min="21" max="21" width="5.83203125" style="143" bestFit="1" customWidth="1"/>
    <col min="22" max="22" width="4.83203125" style="143" bestFit="1" customWidth="1"/>
    <col min="23" max="23" width="5.83203125" style="143" bestFit="1" customWidth="1"/>
    <col min="24" max="24" width="15.83203125" style="143" bestFit="1" customWidth="1"/>
    <col min="25" max="26" width="5.83203125" style="143" bestFit="1" customWidth="1"/>
    <col min="27" max="27" width="15.83203125" style="143" bestFit="1" customWidth="1"/>
    <col min="28" max="29" width="5.83203125" style="143" bestFit="1" customWidth="1"/>
    <col min="30" max="30" width="15.83203125" style="143" customWidth="1"/>
    <col min="31" max="31" width="13.83203125" style="143" customWidth="1"/>
    <col min="32" max="32" width="14.83203125" style="143" customWidth="1"/>
    <col min="33" max="33" width="5.83203125" style="143" customWidth="1"/>
    <col min="34" max="34" width="14.83203125" style="143" customWidth="1"/>
    <col min="35" max="35" width="13.83203125" style="143" customWidth="1"/>
    <col min="36" max="36" width="4.83203125" style="143" customWidth="1"/>
    <col min="37" max="38" width="14.83203125" style="143" customWidth="1"/>
    <col min="39" max="39" width="4.83203125" style="143" customWidth="1"/>
    <col min="40" max="41" width="14.83203125" style="143" customWidth="1"/>
    <col min="42" max="43" width="13.83203125" style="143" customWidth="1"/>
    <col min="44" max="44" width="4.83203125" style="143" customWidth="1"/>
    <col min="45" max="47" width="13.83203125" style="143" customWidth="1"/>
    <col min="48" max="48" width="14.83203125" style="143" customWidth="1"/>
    <col min="49" max="55" width="2.33203125" style="143" customWidth="1"/>
    <col min="56" max="16384" width="8.83203125" style="143"/>
  </cols>
  <sheetData>
    <row r="1" spans="1:55" x14ac:dyDescent="0.15">
      <c r="A1" s="142" t="s">
        <v>19</v>
      </c>
      <c r="B1" s="179" t="s">
        <v>192</v>
      </c>
      <c r="C1" s="179" t="s">
        <v>193</v>
      </c>
      <c r="D1" s="179" t="s">
        <v>194</v>
      </c>
      <c r="E1" s="179" t="s">
        <v>195</v>
      </c>
      <c r="F1" s="179" t="s">
        <v>196</v>
      </c>
      <c r="G1" s="179" t="s">
        <v>197</v>
      </c>
      <c r="H1" s="179" t="s">
        <v>198</v>
      </c>
      <c r="I1" s="179" t="s">
        <v>199</v>
      </c>
      <c r="J1" s="179" t="s">
        <v>200</v>
      </c>
      <c r="K1" s="179" t="s">
        <v>201</v>
      </c>
      <c r="L1" s="179" t="s">
        <v>202</v>
      </c>
      <c r="M1" s="179" t="s">
        <v>203</v>
      </c>
      <c r="N1" s="179" t="s">
        <v>204</v>
      </c>
      <c r="O1" s="179" t="s">
        <v>205</v>
      </c>
      <c r="P1" s="179" t="s">
        <v>206</v>
      </c>
      <c r="Q1" s="179" t="s">
        <v>207</v>
      </c>
      <c r="R1" s="179" t="s">
        <v>208</v>
      </c>
      <c r="S1" s="179" t="s">
        <v>209</v>
      </c>
      <c r="T1" s="179" t="s">
        <v>210</v>
      </c>
      <c r="U1" s="179" t="s">
        <v>211</v>
      </c>
      <c r="V1" s="179" t="s">
        <v>212</v>
      </c>
      <c r="W1" s="179" t="s">
        <v>213</v>
      </c>
      <c r="X1" s="179" t="s">
        <v>214</v>
      </c>
      <c r="Y1" s="179" t="s">
        <v>215</v>
      </c>
      <c r="Z1" s="179" t="s">
        <v>216</v>
      </c>
      <c r="AA1" s="179" t="s">
        <v>217</v>
      </c>
      <c r="AB1" s="179" t="s">
        <v>218</v>
      </c>
      <c r="AC1" s="179" t="s">
        <v>219</v>
      </c>
      <c r="AD1" s="179" t="s">
        <v>220</v>
      </c>
      <c r="AE1" s="179" t="s">
        <v>221</v>
      </c>
      <c r="AF1" s="179" t="s">
        <v>222</v>
      </c>
      <c r="AG1" s="179" t="s">
        <v>223</v>
      </c>
      <c r="AH1" s="179" t="s">
        <v>224</v>
      </c>
      <c r="AI1" s="179" t="s">
        <v>225</v>
      </c>
      <c r="AJ1" s="179" t="s">
        <v>226</v>
      </c>
      <c r="AK1" s="179" t="s">
        <v>227</v>
      </c>
      <c r="AL1" s="179" t="s">
        <v>228</v>
      </c>
      <c r="AM1" s="179" t="s">
        <v>229</v>
      </c>
      <c r="AN1" s="179" t="s">
        <v>230</v>
      </c>
      <c r="AO1" s="179" t="s">
        <v>231</v>
      </c>
      <c r="AP1" s="179" t="s">
        <v>232</v>
      </c>
      <c r="AQ1" s="179" t="s">
        <v>233</v>
      </c>
      <c r="AR1" s="179" t="s">
        <v>234</v>
      </c>
      <c r="AS1" s="179" t="s">
        <v>235</v>
      </c>
      <c r="AT1" s="179" t="s">
        <v>236</v>
      </c>
      <c r="AU1" s="179" t="s">
        <v>237</v>
      </c>
      <c r="AV1" s="179" t="s">
        <v>238</v>
      </c>
      <c r="AW1" s="179" t="s">
        <v>239</v>
      </c>
      <c r="AX1" s="179" t="s">
        <v>240</v>
      </c>
      <c r="AY1" s="179" t="s">
        <v>241</v>
      </c>
      <c r="AZ1" s="179" t="s">
        <v>242</v>
      </c>
      <c r="BA1" s="179" t="s">
        <v>243</v>
      </c>
      <c r="BB1" s="179" t="s">
        <v>244</v>
      </c>
      <c r="BC1" s="179" t="s">
        <v>245</v>
      </c>
    </row>
    <row r="2" spans="1:55" customFormat="1" x14ac:dyDescent="0.15">
      <c r="A2" s="178" t="s">
        <v>192</v>
      </c>
      <c r="B2" s="143">
        <v>0</v>
      </c>
      <c r="C2" s="143">
        <v>0</v>
      </c>
      <c r="D2" s="143">
        <v>0</v>
      </c>
      <c r="E2" s="143">
        <v>0</v>
      </c>
      <c r="F2" s="143">
        <v>0</v>
      </c>
      <c r="G2" s="143">
        <v>0</v>
      </c>
      <c r="H2" s="143">
        <v>0</v>
      </c>
      <c r="I2" s="143">
        <v>0</v>
      </c>
      <c r="J2" s="143">
        <v>0</v>
      </c>
      <c r="K2" s="143">
        <v>0</v>
      </c>
      <c r="L2" s="143">
        <v>0</v>
      </c>
      <c r="M2" s="143">
        <v>0</v>
      </c>
      <c r="N2" s="143">
        <v>0</v>
      </c>
      <c r="O2" s="143">
        <v>0</v>
      </c>
      <c r="P2" s="143">
        <v>0</v>
      </c>
      <c r="Q2" s="143">
        <v>0</v>
      </c>
      <c r="R2" s="143">
        <v>0</v>
      </c>
      <c r="S2" s="143">
        <v>0</v>
      </c>
      <c r="T2" s="143">
        <v>0</v>
      </c>
      <c r="U2" s="143">
        <v>0</v>
      </c>
      <c r="V2" s="143">
        <v>0</v>
      </c>
      <c r="W2" s="143">
        <v>0</v>
      </c>
      <c r="X2" s="143">
        <v>0</v>
      </c>
      <c r="Y2" s="143">
        <v>0</v>
      </c>
      <c r="Z2" s="143">
        <v>0</v>
      </c>
      <c r="AA2" s="143">
        <v>0</v>
      </c>
      <c r="AB2" s="143">
        <v>0</v>
      </c>
      <c r="AC2" s="143">
        <v>0</v>
      </c>
      <c r="AD2" s="143">
        <v>0</v>
      </c>
      <c r="AE2" s="143">
        <v>0</v>
      </c>
      <c r="AF2" s="143">
        <v>0</v>
      </c>
      <c r="AG2" s="143">
        <v>0</v>
      </c>
      <c r="AH2" s="143">
        <v>0</v>
      </c>
      <c r="AI2" s="143">
        <v>0</v>
      </c>
      <c r="AJ2" s="143">
        <v>0</v>
      </c>
      <c r="AK2" s="143">
        <v>0</v>
      </c>
      <c r="AL2" s="143">
        <v>0</v>
      </c>
      <c r="AM2" s="143">
        <v>0</v>
      </c>
      <c r="AN2" s="143">
        <v>0</v>
      </c>
      <c r="AO2" s="143">
        <v>0</v>
      </c>
      <c r="AP2" s="143">
        <v>0</v>
      </c>
      <c r="AQ2" s="143">
        <v>0</v>
      </c>
      <c r="AR2" s="143">
        <v>0</v>
      </c>
      <c r="AS2" s="143">
        <v>0</v>
      </c>
      <c r="AT2" s="143">
        <v>0</v>
      </c>
      <c r="AU2" s="143">
        <v>0</v>
      </c>
      <c r="AV2" s="143">
        <v>0</v>
      </c>
      <c r="AW2" s="143">
        <v>0</v>
      </c>
      <c r="AX2" s="143">
        <v>0</v>
      </c>
      <c r="AY2" s="143">
        <v>0</v>
      </c>
      <c r="AZ2" s="143">
        <v>0</v>
      </c>
      <c r="BA2" s="143">
        <v>0</v>
      </c>
      <c r="BB2" s="143">
        <v>0</v>
      </c>
      <c r="BC2" s="143">
        <v>0</v>
      </c>
    </row>
    <row r="3" spans="1:55" customFormat="1" x14ac:dyDescent="0.15">
      <c r="A3" s="178" t="s">
        <v>193</v>
      </c>
      <c r="B3" s="143">
        <v>0</v>
      </c>
      <c r="C3" s="143">
        <v>0</v>
      </c>
      <c r="D3" s="143">
        <v>0</v>
      </c>
      <c r="E3" s="143">
        <v>0</v>
      </c>
      <c r="F3" s="143">
        <v>0</v>
      </c>
      <c r="G3" s="143">
        <v>0</v>
      </c>
      <c r="H3" s="143">
        <v>0</v>
      </c>
      <c r="I3" s="143">
        <v>0</v>
      </c>
      <c r="J3" s="143">
        <v>0</v>
      </c>
      <c r="K3" s="143">
        <v>0</v>
      </c>
      <c r="L3" s="143">
        <v>0</v>
      </c>
      <c r="M3" s="143">
        <v>0</v>
      </c>
      <c r="N3" s="143">
        <v>0</v>
      </c>
      <c r="O3" s="143">
        <v>0</v>
      </c>
      <c r="P3" s="143">
        <v>0</v>
      </c>
      <c r="Q3" s="143">
        <v>0</v>
      </c>
      <c r="R3" s="143">
        <v>0</v>
      </c>
      <c r="S3" s="143">
        <v>0</v>
      </c>
      <c r="T3" s="143">
        <v>0</v>
      </c>
      <c r="U3" s="143">
        <v>0</v>
      </c>
      <c r="V3" s="143">
        <v>0</v>
      </c>
      <c r="W3" s="143">
        <v>0</v>
      </c>
      <c r="X3" s="143">
        <v>0</v>
      </c>
      <c r="Y3" s="143">
        <v>0</v>
      </c>
      <c r="Z3" s="143">
        <v>0</v>
      </c>
      <c r="AA3" s="143">
        <v>0</v>
      </c>
      <c r="AB3" s="143">
        <v>0</v>
      </c>
      <c r="AC3" s="143">
        <v>0</v>
      </c>
      <c r="AD3" s="143">
        <v>0</v>
      </c>
      <c r="AE3" s="143">
        <v>0</v>
      </c>
      <c r="AF3" s="143">
        <v>0</v>
      </c>
      <c r="AG3" s="143">
        <v>0</v>
      </c>
      <c r="AH3" s="143">
        <v>0</v>
      </c>
      <c r="AI3" s="143">
        <v>0</v>
      </c>
      <c r="AJ3" s="143">
        <v>0</v>
      </c>
      <c r="AK3" s="143">
        <v>0</v>
      </c>
      <c r="AL3" s="143">
        <v>0</v>
      </c>
      <c r="AM3" s="143">
        <v>0</v>
      </c>
      <c r="AN3" s="143">
        <v>0</v>
      </c>
      <c r="AO3" s="143">
        <v>0</v>
      </c>
      <c r="AP3" s="143">
        <v>0</v>
      </c>
      <c r="AQ3" s="143">
        <v>0</v>
      </c>
      <c r="AR3" s="143">
        <v>0</v>
      </c>
      <c r="AS3" s="143">
        <v>0</v>
      </c>
      <c r="AT3" s="143">
        <v>0</v>
      </c>
      <c r="AU3" s="143">
        <v>0</v>
      </c>
      <c r="AV3" s="143">
        <v>0</v>
      </c>
      <c r="AW3" s="143">
        <v>0</v>
      </c>
      <c r="AX3" s="143">
        <v>0</v>
      </c>
      <c r="AY3" s="143">
        <v>0</v>
      </c>
      <c r="AZ3" s="143">
        <v>0</v>
      </c>
      <c r="BA3" s="143">
        <v>0</v>
      </c>
      <c r="BB3" s="143">
        <v>0</v>
      </c>
      <c r="BC3" s="143">
        <v>0</v>
      </c>
    </row>
    <row r="4" spans="1:55" customFormat="1" x14ac:dyDescent="0.15">
      <c r="A4" s="178" t="s">
        <v>194</v>
      </c>
      <c r="B4" s="143">
        <v>0</v>
      </c>
      <c r="C4" s="143">
        <v>0</v>
      </c>
      <c r="D4" s="143">
        <v>0</v>
      </c>
      <c r="E4" s="143">
        <v>0</v>
      </c>
      <c r="F4" s="143">
        <v>0</v>
      </c>
      <c r="G4" s="143">
        <v>0</v>
      </c>
      <c r="H4" s="143">
        <v>0</v>
      </c>
      <c r="I4" s="143">
        <v>0</v>
      </c>
      <c r="J4" s="143">
        <v>0</v>
      </c>
      <c r="K4" s="143">
        <v>0</v>
      </c>
      <c r="L4" s="143">
        <v>0</v>
      </c>
      <c r="M4" s="143">
        <v>0</v>
      </c>
      <c r="N4" s="143">
        <v>0</v>
      </c>
      <c r="O4" s="143">
        <v>0</v>
      </c>
      <c r="P4" s="143">
        <v>0</v>
      </c>
      <c r="Q4" s="143">
        <v>0</v>
      </c>
      <c r="R4" s="143">
        <v>0</v>
      </c>
      <c r="S4" s="143">
        <v>0</v>
      </c>
      <c r="T4" s="143">
        <v>0</v>
      </c>
      <c r="U4" s="143">
        <v>0</v>
      </c>
      <c r="V4" s="143">
        <v>0</v>
      </c>
      <c r="W4" s="143">
        <v>0</v>
      </c>
      <c r="X4" s="143">
        <v>0</v>
      </c>
      <c r="Y4" s="143">
        <v>0</v>
      </c>
      <c r="Z4" s="143">
        <v>0</v>
      </c>
      <c r="AA4" s="143">
        <v>0</v>
      </c>
      <c r="AB4" s="143">
        <v>0</v>
      </c>
      <c r="AC4" s="143">
        <v>0</v>
      </c>
      <c r="AD4" s="143">
        <v>0</v>
      </c>
      <c r="AE4" s="143">
        <v>0</v>
      </c>
      <c r="AF4" s="143">
        <v>0</v>
      </c>
      <c r="AG4" s="143">
        <v>0</v>
      </c>
      <c r="AH4" s="143">
        <v>0</v>
      </c>
      <c r="AI4" s="143">
        <v>0</v>
      </c>
      <c r="AJ4" s="143">
        <v>0</v>
      </c>
      <c r="AK4" s="143">
        <v>0</v>
      </c>
      <c r="AL4" s="143">
        <v>0</v>
      </c>
      <c r="AM4" s="143">
        <v>0</v>
      </c>
      <c r="AN4" s="143">
        <v>0</v>
      </c>
      <c r="AO4" s="143">
        <v>0</v>
      </c>
      <c r="AP4" s="143">
        <v>0</v>
      </c>
      <c r="AQ4" s="143">
        <v>0</v>
      </c>
      <c r="AR4" s="143">
        <v>0</v>
      </c>
      <c r="AS4" s="143">
        <v>0</v>
      </c>
      <c r="AT4" s="143">
        <v>0</v>
      </c>
      <c r="AU4" s="143">
        <v>0</v>
      </c>
      <c r="AV4" s="143">
        <v>0</v>
      </c>
      <c r="AW4" s="143">
        <v>0</v>
      </c>
      <c r="AX4" s="143">
        <v>0</v>
      </c>
      <c r="AY4" s="143">
        <v>0</v>
      </c>
      <c r="AZ4" s="143">
        <v>0</v>
      </c>
      <c r="BA4" s="143">
        <v>0</v>
      </c>
      <c r="BB4" s="143">
        <v>0</v>
      </c>
      <c r="BC4" s="143">
        <v>0</v>
      </c>
    </row>
    <row r="5" spans="1:55" customFormat="1" x14ac:dyDescent="0.15">
      <c r="A5" s="178" t="s">
        <v>195</v>
      </c>
      <c r="B5" s="143">
        <v>0</v>
      </c>
      <c r="C5" s="143">
        <v>0</v>
      </c>
      <c r="D5" s="143">
        <v>0</v>
      </c>
      <c r="E5" s="143">
        <v>1.0010963202413613E-2</v>
      </c>
      <c r="F5" s="143">
        <v>0</v>
      </c>
      <c r="G5" s="143">
        <v>0</v>
      </c>
      <c r="H5" s="143">
        <v>0</v>
      </c>
      <c r="I5" s="143">
        <v>0</v>
      </c>
      <c r="J5" s="143">
        <v>0</v>
      </c>
      <c r="K5" s="143">
        <v>0</v>
      </c>
      <c r="L5" s="143">
        <v>0</v>
      </c>
      <c r="M5" s="143">
        <v>0</v>
      </c>
      <c r="N5" s="143">
        <v>0</v>
      </c>
      <c r="O5" s="143">
        <v>0</v>
      </c>
      <c r="P5" s="143">
        <v>0</v>
      </c>
      <c r="Q5" s="143">
        <v>0</v>
      </c>
      <c r="R5" s="143">
        <v>0</v>
      </c>
      <c r="S5" s="143">
        <v>0</v>
      </c>
      <c r="T5" s="143">
        <v>0</v>
      </c>
      <c r="U5" s="143">
        <v>0</v>
      </c>
      <c r="V5" s="143">
        <v>0</v>
      </c>
      <c r="W5" s="143">
        <v>0</v>
      </c>
      <c r="X5" s="143">
        <v>0</v>
      </c>
      <c r="Y5" s="143">
        <v>0</v>
      </c>
      <c r="Z5" s="143">
        <v>0</v>
      </c>
      <c r="AA5" s="143">
        <v>0</v>
      </c>
      <c r="AB5" s="143">
        <v>0</v>
      </c>
      <c r="AC5" s="143">
        <v>0</v>
      </c>
      <c r="AD5" s="143">
        <v>0</v>
      </c>
      <c r="AE5" s="143">
        <v>0</v>
      </c>
      <c r="AF5" s="143">
        <v>0</v>
      </c>
      <c r="AG5" s="143">
        <v>0</v>
      </c>
      <c r="AH5" s="143">
        <v>0</v>
      </c>
      <c r="AI5" s="143">
        <v>0</v>
      </c>
      <c r="AJ5" s="143">
        <v>0</v>
      </c>
      <c r="AK5" s="143">
        <v>0</v>
      </c>
      <c r="AL5" s="143">
        <v>0</v>
      </c>
      <c r="AM5" s="143">
        <v>0</v>
      </c>
      <c r="AN5" s="143">
        <v>0</v>
      </c>
      <c r="AO5" s="143">
        <v>0</v>
      </c>
      <c r="AP5" s="143">
        <v>0</v>
      </c>
      <c r="AQ5" s="143">
        <v>0</v>
      </c>
      <c r="AR5" s="143">
        <v>0</v>
      </c>
      <c r="AS5" s="143">
        <v>0</v>
      </c>
      <c r="AT5" s="143">
        <v>0</v>
      </c>
      <c r="AU5" s="143">
        <v>0</v>
      </c>
      <c r="AV5" s="143">
        <v>0</v>
      </c>
      <c r="AW5" s="143">
        <v>0</v>
      </c>
      <c r="AX5" s="143">
        <v>0</v>
      </c>
      <c r="AY5" s="143">
        <v>0</v>
      </c>
      <c r="AZ5" s="143">
        <v>0</v>
      </c>
      <c r="BA5" s="143">
        <v>0</v>
      </c>
      <c r="BB5" s="143">
        <v>0</v>
      </c>
      <c r="BC5" s="143">
        <v>0</v>
      </c>
    </row>
    <row r="6" spans="1:55" customFormat="1" x14ac:dyDescent="0.15">
      <c r="A6" s="178" t="s">
        <v>196</v>
      </c>
      <c r="B6" s="143">
        <v>0</v>
      </c>
      <c r="C6" s="143">
        <v>0</v>
      </c>
      <c r="D6" s="143">
        <v>0</v>
      </c>
      <c r="E6" s="143">
        <v>0</v>
      </c>
      <c r="F6" s="143">
        <v>0</v>
      </c>
      <c r="G6" s="143">
        <v>0</v>
      </c>
      <c r="H6" s="143">
        <v>0</v>
      </c>
      <c r="I6" s="143">
        <v>0</v>
      </c>
      <c r="J6" s="143">
        <v>0</v>
      </c>
      <c r="K6" s="143">
        <v>0</v>
      </c>
      <c r="L6" s="143">
        <v>0</v>
      </c>
      <c r="M6" s="143">
        <v>0</v>
      </c>
      <c r="N6" s="143">
        <v>0</v>
      </c>
      <c r="O6" s="143">
        <v>0</v>
      </c>
      <c r="P6" s="143">
        <v>0</v>
      </c>
      <c r="Q6" s="143">
        <v>0</v>
      </c>
      <c r="R6" s="143">
        <v>0</v>
      </c>
      <c r="S6" s="143">
        <v>0</v>
      </c>
      <c r="T6" s="143">
        <v>0</v>
      </c>
      <c r="U6" s="143">
        <v>0</v>
      </c>
      <c r="V6" s="143">
        <v>0</v>
      </c>
      <c r="W6" s="143">
        <v>0</v>
      </c>
      <c r="X6" s="143">
        <v>0</v>
      </c>
      <c r="Y6" s="143">
        <v>0</v>
      </c>
      <c r="Z6" s="143">
        <v>0</v>
      </c>
      <c r="AA6" s="143">
        <v>0</v>
      </c>
      <c r="AB6" s="143">
        <v>0</v>
      </c>
      <c r="AC6" s="143">
        <v>0</v>
      </c>
      <c r="AD6" s="143">
        <v>0</v>
      </c>
      <c r="AE6" s="143">
        <v>0</v>
      </c>
      <c r="AF6" s="143">
        <v>0</v>
      </c>
      <c r="AG6" s="143">
        <v>0</v>
      </c>
      <c r="AH6" s="143">
        <v>0</v>
      </c>
      <c r="AI6" s="143">
        <v>0</v>
      </c>
      <c r="AJ6" s="143">
        <v>0</v>
      </c>
      <c r="AK6" s="143">
        <v>0</v>
      </c>
      <c r="AL6" s="143">
        <v>0</v>
      </c>
      <c r="AM6" s="143">
        <v>0</v>
      </c>
      <c r="AN6" s="143">
        <v>0</v>
      </c>
      <c r="AO6" s="143">
        <v>0</v>
      </c>
      <c r="AP6" s="143">
        <v>0</v>
      </c>
      <c r="AQ6" s="143">
        <v>0</v>
      </c>
      <c r="AR6" s="143">
        <v>0</v>
      </c>
      <c r="AS6" s="143">
        <v>0</v>
      </c>
      <c r="AT6" s="143">
        <v>0</v>
      </c>
      <c r="AU6" s="143">
        <v>0</v>
      </c>
      <c r="AV6" s="143">
        <v>0</v>
      </c>
      <c r="AW6" s="143">
        <v>0</v>
      </c>
      <c r="AX6" s="143">
        <v>0</v>
      </c>
      <c r="AY6" s="143">
        <v>0</v>
      </c>
      <c r="AZ6" s="143">
        <v>0</v>
      </c>
      <c r="BA6" s="143">
        <v>0</v>
      </c>
      <c r="BB6" s="143">
        <v>0</v>
      </c>
      <c r="BC6" s="143">
        <v>0</v>
      </c>
    </row>
    <row r="7" spans="1:55" customFormat="1" x14ac:dyDescent="0.15">
      <c r="A7" s="178" t="s">
        <v>197</v>
      </c>
      <c r="B7" s="143">
        <v>1.6865079747023809E-2</v>
      </c>
      <c r="C7" s="143">
        <v>1.9960081117764549E-3</v>
      </c>
      <c r="D7" s="143">
        <v>0</v>
      </c>
      <c r="E7" s="143">
        <v>0</v>
      </c>
      <c r="F7" s="143">
        <v>0</v>
      </c>
      <c r="G7" s="143">
        <v>0</v>
      </c>
      <c r="H7" s="143">
        <v>2.4999999999999996E-3</v>
      </c>
      <c r="I7" s="143">
        <v>0</v>
      </c>
      <c r="J7" s="143">
        <v>0</v>
      </c>
      <c r="K7" s="143">
        <v>0</v>
      </c>
      <c r="L7" s="143">
        <v>0</v>
      </c>
      <c r="M7" s="143">
        <v>0</v>
      </c>
      <c r="N7" s="143">
        <v>0</v>
      </c>
      <c r="O7" s="143">
        <v>0</v>
      </c>
      <c r="P7" s="143">
        <v>0</v>
      </c>
      <c r="Q7" s="143">
        <v>0</v>
      </c>
      <c r="R7" s="143">
        <v>0</v>
      </c>
      <c r="S7" s="143">
        <v>0</v>
      </c>
      <c r="T7" s="143">
        <v>0</v>
      </c>
      <c r="U7" s="143">
        <v>0</v>
      </c>
      <c r="V7" s="143">
        <v>0</v>
      </c>
      <c r="W7" s="143">
        <v>0</v>
      </c>
      <c r="X7" s="143">
        <v>0</v>
      </c>
      <c r="Y7" s="143">
        <v>0</v>
      </c>
      <c r="Z7" s="143">
        <v>0</v>
      </c>
      <c r="AA7" s="143">
        <v>0</v>
      </c>
      <c r="AB7" s="143">
        <v>0</v>
      </c>
      <c r="AC7" s="143">
        <v>0</v>
      </c>
      <c r="AD7" s="143">
        <v>0</v>
      </c>
      <c r="AE7" s="143">
        <v>0</v>
      </c>
      <c r="AF7" s="143">
        <v>0</v>
      </c>
      <c r="AG7" s="143">
        <v>0</v>
      </c>
      <c r="AH7" s="143">
        <v>0</v>
      </c>
      <c r="AI7" s="143">
        <v>0</v>
      </c>
      <c r="AJ7" s="143">
        <v>0</v>
      </c>
      <c r="AK7" s="143">
        <v>0</v>
      </c>
      <c r="AL7" s="143">
        <v>0</v>
      </c>
      <c r="AM7" s="143">
        <v>0</v>
      </c>
      <c r="AN7" s="143">
        <v>0</v>
      </c>
      <c r="AO7" s="143">
        <v>0</v>
      </c>
      <c r="AP7" s="143">
        <v>0</v>
      </c>
      <c r="AQ7" s="143">
        <v>0</v>
      </c>
      <c r="AR7" s="143">
        <v>0</v>
      </c>
      <c r="AS7" s="143">
        <v>0</v>
      </c>
      <c r="AT7" s="143">
        <v>0</v>
      </c>
      <c r="AU7" s="143">
        <v>0</v>
      </c>
      <c r="AV7" s="143">
        <v>0</v>
      </c>
      <c r="AW7" s="143">
        <v>0</v>
      </c>
      <c r="AX7" s="143">
        <v>0</v>
      </c>
      <c r="AY7" s="143">
        <v>0</v>
      </c>
      <c r="AZ7" s="143">
        <v>0</v>
      </c>
      <c r="BA7" s="143">
        <v>0</v>
      </c>
      <c r="BB7" s="143">
        <v>0</v>
      </c>
      <c r="BC7" s="143">
        <v>0</v>
      </c>
    </row>
    <row r="8" spans="1:55" customFormat="1" x14ac:dyDescent="0.15">
      <c r="A8" s="178" t="s">
        <v>198</v>
      </c>
      <c r="B8" s="143">
        <v>1.6865079747023809E-2</v>
      </c>
      <c r="C8" s="143">
        <v>1.9960081117764549E-3</v>
      </c>
      <c r="D8" s="143">
        <v>0</v>
      </c>
      <c r="E8" s="143">
        <v>1.0010963202413613E-2</v>
      </c>
      <c r="F8" s="143">
        <v>0</v>
      </c>
      <c r="G8" s="143">
        <v>0</v>
      </c>
      <c r="H8" s="143">
        <v>0</v>
      </c>
      <c r="I8" s="143">
        <v>0</v>
      </c>
      <c r="J8" s="143">
        <v>0</v>
      </c>
      <c r="K8" s="143">
        <v>0</v>
      </c>
      <c r="L8" s="143">
        <v>0</v>
      </c>
      <c r="M8" s="143">
        <v>0</v>
      </c>
      <c r="N8" s="143">
        <v>0</v>
      </c>
      <c r="O8" s="143">
        <v>0</v>
      </c>
      <c r="P8" s="143">
        <v>0</v>
      </c>
      <c r="Q8" s="143">
        <v>0</v>
      </c>
      <c r="R8" s="143">
        <v>0</v>
      </c>
      <c r="S8" s="143">
        <v>1.9993602047344854E-3</v>
      </c>
      <c r="T8" s="143">
        <v>9.9999994104000723E-3</v>
      </c>
      <c r="U8" s="143">
        <v>0</v>
      </c>
      <c r="V8" s="143">
        <v>0</v>
      </c>
      <c r="W8" s="143">
        <v>0</v>
      </c>
      <c r="X8" s="143">
        <v>0</v>
      </c>
      <c r="Y8" s="143">
        <v>0.1</v>
      </c>
      <c r="Z8" s="143">
        <v>0</v>
      </c>
      <c r="AA8" s="143">
        <v>5.0021008823705949E-2</v>
      </c>
      <c r="AB8" s="143">
        <v>0</v>
      </c>
      <c r="AC8" s="143">
        <v>0</v>
      </c>
      <c r="AD8" s="143">
        <v>0</v>
      </c>
      <c r="AE8" s="143">
        <v>0</v>
      </c>
      <c r="AF8" s="143">
        <v>0</v>
      </c>
      <c r="AG8" s="143">
        <v>0</v>
      </c>
      <c r="AH8" s="143">
        <v>0</v>
      </c>
      <c r="AI8" s="143">
        <v>0</v>
      </c>
      <c r="AJ8" s="143">
        <v>0</v>
      </c>
      <c r="AK8" s="143">
        <v>0</v>
      </c>
      <c r="AL8" s="143">
        <v>0</v>
      </c>
      <c r="AM8" s="143">
        <v>0</v>
      </c>
      <c r="AN8" s="143">
        <v>0</v>
      </c>
      <c r="AO8" s="143">
        <v>0</v>
      </c>
      <c r="AP8" s="143">
        <v>0</v>
      </c>
      <c r="AQ8" s="143">
        <v>0</v>
      </c>
      <c r="AR8" s="143">
        <v>0</v>
      </c>
      <c r="AS8" s="143">
        <v>0</v>
      </c>
      <c r="AT8" s="143">
        <v>0</v>
      </c>
      <c r="AU8" s="143">
        <v>0</v>
      </c>
      <c r="AV8" s="143">
        <v>0</v>
      </c>
      <c r="AW8" s="143">
        <v>0</v>
      </c>
      <c r="AX8" s="143">
        <v>0</v>
      </c>
      <c r="AY8" s="143">
        <v>0</v>
      </c>
      <c r="AZ8" s="143">
        <v>0</v>
      </c>
      <c r="BA8" s="143">
        <v>0</v>
      </c>
      <c r="BB8" s="143">
        <v>0</v>
      </c>
      <c r="BC8" s="143">
        <v>0</v>
      </c>
    </row>
    <row r="9" spans="1:55" customFormat="1" x14ac:dyDescent="0.15">
      <c r="A9" s="178" t="s">
        <v>199</v>
      </c>
      <c r="B9" s="143">
        <v>1.6865079747023809E-2</v>
      </c>
      <c r="C9" s="143">
        <v>1.9960081117764549E-3</v>
      </c>
      <c r="D9" s="143">
        <v>0</v>
      </c>
      <c r="E9" s="143">
        <v>3.1033984267324222E-2</v>
      </c>
      <c r="F9" s="143">
        <v>0</v>
      </c>
      <c r="G9" s="143">
        <v>0</v>
      </c>
      <c r="H9" s="143">
        <v>0</v>
      </c>
      <c r="I9" s="143">
        <v>1.0000000328000011E-2</v>
      </c>
      <c r="J9" s="143">
        <v>0</v>
      </c>
      <c r="K9" s="143">
        <v>0</v>
      </c>
      <c r="L9" s="143">
        <v>0</v>
      </c>
      <c r="M9" s="143">
        <v>0</v>
      </c>
      <c r="N9" s="143">
        <v>0.02</v>
      </c>
      <c r="O9" s="143">
        <v>0</v>
      </c>
      <c r="P9" s="143">
        <v>0</v>
      </c>
      <c r="Q9" s="143">
        <v>0</v>
      </c>
      <c r="R9" s="143">
        <v>0</v>
      </c>
      <c r="S9" s="143">
        <v>0</v>
      </c>
      <c r="T9" s="143">
        <v>0.10000000310399958</v>
      </c>
      <c r="U9" s="143">
        <v>0</v>
      </c>
      <c r="V9" s="143">
        <v>0</v>
      </c>
      <c r="W9" s="143">
        <v>0</v>
      </c>
      <c r="X9" s="143">
        <v>0</v>
      </c>
      <c r="Y9" s="143">
        <v>0</v>
      </c>
      <c r="Z9" s="143">
        <v>0</v>
      </c>
      <c r="AA9" s="143">
        <v>0</v>
      </c>
      <c r="AB9" s="143">
        <v>0</v>
      </c>
      <c r="AC9" s="143">
        <v>0</v>
      </c>
      <c r="AD9" s="143">
        <v>0</v>
      </c>
      <c r="AE9" s="143">
        <v>0</v>
      </c>
      <c r="AF9" s="143">
        <v>0</v>
      </c>
      <c r="AG9" s="143">
        <v>0</v>
      </c>
      <c r="AH9" s="143">
        <v>0</v>
      </c>
      <c r="AI9" s="143">
        <v>0</v>
      </c>
      <c r="AJ9" s="143">
        <v>0</v>
      </c>
      <c r="AK9" s="143">
        <v>0</v>
      </c>
      <c r="AL9" s="143">
        <v>0</v>
      </c>
      <c r="AM9" s="143">
        <v>0</v>
      </c>
      <c r="AN9" s="143">
        <v>0</v>
      </c>
      <c r="AO9" s="143">
        <v>1.0010010050050049E-2</v>
      </c>
      <c r="AP9" s="143">
        <v>0</v>
      </c>
      <c r="AQ9" s="143">
        <v>0</v>
      </c>
      <c r="AR9" s="143">
        <v>0</v>
      </c>
      <c r="AS9" s="143">
        <v>0</v>
      </c>
      <c r="AT9" s="143">
        <v>0</v>
      </c>
      <c r="AU9" s="143">
        <v>0</v>
      </c>
      <c r="AV9" s="143">
        <v>0</v>
      </c>
      <c r="AW9" s="143">
        <v>0</v>
      </c>
      <c r="AX9" s="143">
        <v>0</v>
      </c>
      <c r="AY9" s="143">
        <v>0</v>
      </c>
      <c r="AZ9" s="143">
        <v>0</v>
      </c>
      <c r="BA9" s="143">
        <v>0</v>
      </c>
      <c r="BB9" s="143">
        <v>0</v>
      </c>
      <c r="BC9" s="143">
        <v>0</v>
      </c>
    </row>
    <row r="10" spans="1:55" customFormat="1" x14ac:dyDescent="0.15">
      <c r="A10" s="178" t="s">
        <v>200</v>
      </c>
      <c r="B10" s="143">
        <v>1.6865079747023809E-2</v>
      </c>
      <c r="C10" s="143">
        <v>1.9960081117764549E-3</v>
      </c>
      <c r="D10" s="143">
        <v>0</v>
      </c>
      <c r="E10" s="143">
        <v>5.0054815812049019E-3</v>
      </c>
      <c r="F10" s="143">
        <v>0</v>
      </c>
      <c r="G10" s="143">
        <v>0</v>
      </c>
      <c r="H10" s="143">
        <v>1.3999999999999997E-2</v>
      </c>
      <c r="I10" s="143">
        <v>0</v>
      </c>
      <c r="J10" s="143">
        <v>0</v>
      </c>
      <c r="K10" s="143">
        <v>0</v>
      </c>
      <c r="L10" s="143">
        <v>0</v>
      </c>
      <c r="M10" s="143">
        <v>0</v>
      </c>
      <c r="N10" s="143">
        <v>0</v>
      </c>
      <c r="O10" s="143">
        <v>0</v>
      </c>
      <c r="P10" s="143">
        <v>0</v>
      </c>
      <c r="Q10" s="143">
        <v>0</v>
      </c>
      <c r="R10" s="143">
        <v>0</v>
      </c>
      <c r="S10" s="143">
        <v>1.9993602047344854E-3</v>
      </c>
      <c r="T10" s="143">
        <v>9.9999994104000723E-3</v>
      </c>
      <c r="U10" s="143">
        <v>0</v>
      </c>
      <c r="V10" s="143">
        <v>0</v>
      </c>
      <c r="W10" s="143">
        <v>0</v>
      </c>
      <c r="X10" s="143">
        <v>0</v>
      </c>
      <c r="Y10" s="143">
        <v>5.0000000000000001E-3</v>
      </c>
      <c r="Z10" s="143">
        <v>0</v>
      </c>
      <c r="AA10" s="143">
        <v>5.0021008823705948E-3</v>
      </c>
      <c r="AB10" s="143">
        <v>0</v>
      </c>
      <c r="AC10" s="143">
        <v>0</v>
      </c>
      <c r="AD10" s="143">
        <v>0</v>
      </c>
      <c r="AE10" s="143">
        <v>0</v>
      </c>
      <c r="AF10" s="143">
        <v>0</v>
      </c>
      <c r="AG10" s="143">
        <v>0</v>
      </c>
      <c r="AH10" s="143">
        <v>0</v>
      </c>
      <c r="AI10" s="143">
        <v>0</v>
      </c>
      <c r="AJ10" s="143">
        <v>0</v>
      </c>
      <c r="AK10" s="143">
        <v>0</v>
      </c>
      <c r="AL10" s="143">
        <v>0</v>
      </c>
      <c r="AM10" s="143">
        <v>0</v>
      </c>
      <c r="AN10" s="143">
        <v>0</v>
      </c>
      <c r="AO10" s="143">
        <v>0</v>
      </c>
      <c r="AP10" s="143">
        <v>0</v>
      </c>
      <c r="AQ10" s="143">
        <v>0</v>
      </c>
      <c r="AR10" s="143">
        <v>0</v>
      </c>
      <c r="AS10" s="143">
        <v>0</v>
      </c>
      <c r="AT10" s="143">
        <v>0</v>
      </c>
      <c r="AU10" s="143">
        <v>0</v>
      </c>
      <c r="AV10" s="143">
        <v>0</v>
      </c>
      <c r="AW10" s="143">
        <v>0</v>
      </c>
      <c r="AX10" s="143">
        <v>0</v>
      </c>
      <c r="AY10" s="143">
        <v>0</v>
      </c>
      <c r="AZ10" s="143">
        <v>0</v>
      </c>
      <c r="BA10" s="143">
        <v>0</v>
      </c>
      <c r="BB10" s="143">
        <v>0</v>
      </c>
      <c r="BC10" s="143">
        <v>0</v>
      </c>
    </row>
    <row r="11" spans="1:55" customFormat="1" x14ac:dyDescent="0.15">
      <c r="A11" s="178" t="s">
        <v>201</v>
      </c>
      <c r="B11" s="143">
        <v>1.6865079747023809E-2</v>
      </c>
      <c r="C11" s="143">
        <v>1.9960081117764549E-3</v>
      </c>
      <c r="D11" s="143">
        <v>0</v>
      </c>
      <c r="E11" s="143">
        <v>1.1001046814730618E-2</v>
      </c>
      <c r="F11" s="143">
        <v>0</v>
      </c>
      <c r="G11" s="143">
        <v>0</v>
      </c>
      <c r="H11" s="143">
        <v>4.9999999999999992E-3</v>
      </c>
      <c r="I11" s="143">
        <v>0</v>
      </c>
      <c r="J11" s="143">
        <v>0</v>
      </c>
      <c r="K11" s="143">
        <v>9.9999995850000457E-3</v>
      </c>
      <c r="L11" s="143">
        <v>0</v>
      </c>
      <c r="M11" s="143">
        <v>0</v>
      </c>
      <c r="N11" s="143">
        <v>0.02</v>
      </c>
      <c r="O11" s="143">
        <v>0</v>
      </c>
      <c r="P11" s="143">
        <v>0</v>
      </c>
      <c r="Q11" s="143">
        <v>0</v>
      </c>
      <c r="R11" s="143">
        <v>0</v>
      </c>
      <c r="S11" s="143">
        <v>0</v>
      </c>
      <c r="T11" s="143">
        <v>0.10000000310399958</v>
      </c>
      <c r="U11" s="143">
        <v>0</v>
      </c>
      <c r="V11" s="143">
        <v>0</v>
      </c>
      <c r="W11" s="143">
        <v>0</v>
      </c>
      <c r="X11" s="143">
        <v>0</v>
      </c>
      <c r="Y11" s="143">
        <v>0</v>
      </c>
      <c r="Z11" s="143">
        <v>0</v>
      </c>
      <c r="AA11" s="143">
        <v>0</v>
      </c>
      <c r="AB11" s="143">
        <v>0</v>
      </c>
      <c r="AC11" s="143">
        <v>0</v>
      </c>
      <c r="AD11" s="143">
        <v>0</v>
      </c>
      <c r="AE11" s="143">
        <v>0</v>
      </c>
      <c r="AF11" s="143">
        <v>0</v>
      </c>
      <c r="AG11" s="143">
        <v>0</v>
      </c>
      <c r="AH11" s="143">
        <v>0</v>
      </c>
      <c r="AI11" s="143">
        <v>0</v>
      </c>
      <c r="AJ11" s="143">
        <v>0</v>
      </c>
      <c r="AK11" s="143">
        <v>0</v>
      </c>
      <c r="AL11" s="143">
        <v>0</v>
      </c>
      <c r="AM11" s="143">
        <v>0</v>
      </c>
      <c r="AN11" s="143">
        <v>0</v>
      </c>
      <c r="AO11" s="143">
        <v>1.0010010050050049E-2</v>
      </c>
      <c r="AP11" s="143">
        <v>0</v>
      </c>
      <c r="AQ11" s="143">
        <v>0</v>
      </c>
      <c r="AR11" s="143">
        <v>0</v>
      </c>
      <c r="AS11" s="143">
        <v>0</v>
      </c>
      <c r="AT11" s="143">
        <v>0</v>
      </c>
      <c r="AU11" s="143">
        <v>0</v>
      </c>
      <c r="AV11" s="143">
        <v>0</v>
      </c>
      <c r="AW11" s="143">
        <v>0</v>
      </c>
      <c r="AX11" s="143">
        <v>0</v>
      </c>
      <c r="AY11" s="143">
        <v>0</v>
      </c>
      <c r="AZ11" s="143">
        <v>0</v>
      </c>
      <c r="BA11" s="143">
        <v>0</v>
      </c>
      <c r="BB11" s="143">
        <v>0</v>
      </c>
      <c r="BC11" s="143">
        <v>0</v>
      </c>
    </row>
    <row r="12" spans="1:55" customFormat="1" x14ac:dyDescent="0.15">
      <c r="A12" s="178" t="s">
        <v>202</v>
      </c>
      <c r="B12" s="143">
        <v>1.6865079747023809E-2</v>
      </c>
      <c r="C12" s="143">
        <v>1.9960081117764549E-3</v>
      </c>
      <c r="D12" s="143">
        <v>0</v>
      </c>
      <c r="E12" s="143">
        <v>5.0054815812049019E-3</v>
      </c>
      <c r="F12" s="143">
        <v>0</v>
      </c>
      <c r="G12" s="143">
        <v>0</v>
      </c>
      <c r="H12" s="143">
        <v>0</v>
      </c>
      <c r="I12" s="143">
        <v>0</v>
      </c>
      <c r="J12" s="143">
        <v>0</v>
      </c>
      <c r="K12" s="143">
        <v>0</v>
      </c>
      <c r="L12" s="143">
        <v>0</v>
      </c>
      <c r="M12" s="143">
        <v>0</v>
      </c>
      <c r="N12" s="143">
        <v>0</v>
      </c>
      <c r="O12" s="143">
        <v>0</v>
      </c>
      <c r="P12" s="143">
        <v>0</v>
      </c>
      <c r="Q12" s="143">
        <v>0</v>
      </c>
      <c r="R12" s="143">
        <v>0</v>
      </c>
      <c r="S12" s="143">
        <v>0</v>
      </c>
      <c r="T12" s="143">
        <v>0</v>
      </c>
      <c r="U12" s="143">
        <v>0</v>
      </c>
      <c r="V12" s="143">
        <v>0</v>
      </c>
      <c r="W12" s="143">
        <v>0</v>
      </c>
      <c r="X12" s="143">
        <v>0</v>
      </c>
      <c r="Y12" s="143">
        <v>9.5000000000000001E-2</v>
      </c>
      <c r="Z12" s="143">
        <v>0</v>
      </c>
      <c r="AA12" s="143">
        <v>0</v>
      </c>
      <c r="AB12" s="143">
        <v>0</v>
      </c>
      <c r="AC12" s="143">
        <v>0</v>
      </c>
      <c r="AD12" s="143">
        <v>0</v>
      </c>
      <c r="AE12" s="143">
        <v>0</v>
      </c>
      <c r="AF12" s="143">
        <v>0</v>
      </c>
      <c r="AG12" s="143">
        <v>0</v>
      </c>
      <c r="AH12" s="143">
        <v>0</v>
      </c>
      <c r="AI12" s="143">
        <v>0</v>
      </c>
      <c r="AJ12" s="143">
        <v>0</v>
      </c>
      <c r="AK12" s="143">
        <v>0</v>
      </c>
      <c r="AL12" s="143">
        <v>0</v>
      </c>
      <c r="AM12" s="143">
        <v>0</v>
      </c>
      <c r="AN12" s="143">
        <v>0</v>
      </c>
      <c r="AO12" s="143">
        <v>0</v>
      </c>
      <c r="AP12" s="143">
        <v>0</v>
      </c>
      <c r="AQ12" s="143">
        <v>0</v>
      </c>
      <c r="AR12" s="143">
        <v>0</v>
      </c>
      <c r="AS12" s="143">
        <v>0</v>
      </c>
      <c r="AT12" s="143">
        <v>0</v>
      </c>
      <c r="AU12" s="143">
        <v>0</v>
      </c>
      <c r="AV12" s="143">
        <v>0</v>
      </c>
      <c r="AW12" s="143">
        <v>0</v>
      </c>
      <c r="AX12" s="143">
        <v>0</v>
      </c>
      <c r="AY12" s="143">
        <v>0</v>
      </c>
      <c r="AZ12" s="143">
        <v>0</v>
      </c>
      <c r="BA12" s="143">
        <v>0</v>
      </c>
      <c r="BB12" s="143">
        <v>0</v>
      </c>
      <c r="BC12" s="143">
        <v>0</v>
      </c>
    </row>
    <row r="13" spans="1:55" customFormat="1" x14ac:dyDescent="0.15">
      <c r="A13" s="178" t="s">
        <v>203</v>
      </c>
      <c r="B13" s="143">
        <v>1.6865079747023809E-2</v>
      </c>
      <c r="C13" s="143">
        <v>1.9960081117764549E-3</v>
      </c>
      <c r="D13" s="143">
        <v>0</v>
      </c>
      <c r="E13" s="143">
        <v>0</v>
      </c>
      <c r="F13" s="143">
        <v>0</v>
      </c>
      <c r="G13" s="143">
        <v>0</v>
      </c>
      <c r="H13" s="143">
        <v>0</v>
      </c>
      <c r="I13" s="143">
        <v>0</v>
      </c>
      <c r="J13" s="143">
        <v>0</v>
      </c>
      <c r="K13" s="143">
        <v>0</v>
      </c>
      <c r="L13" s="143">
        <v>0</v>
      </c>
      <c r="M13" s="143">
        <v>9.9999995820000166E-3</v>
      </c>
      <c r="N13" s="143">
        <v>0</v>
      </c>
      <c r="O13" s="143">
        <v>0</v>
      </c>
      <c r="P13" s="143">
        <v>0</v>
      </c>
      <c r="Q13" s="143">
        <v>0</v>
      </c>
      <c r="R13" s="143">
        <v>0</v>
      </c>
      <c r="S13" s="143">
        <v>0</v>
      </c>
      <c r="T13" s="143">
        <v>0</v>
      </c>
      <c r="U13" s="143">
        <v>0</v>
      </c>
      <c r="V13" s="143">
        <v>0</v>
      </c>
      <c r="W13" s="143">
        <v>0</v>
      </c>
      <c r="X13" s="143">
        <v>0</v>
      </c>
      <c r="Y13" s="143">
        <v>0</v>
      </c>
      <c r="Z13" s="143">
        <v>0</v>
      </c>
      <c r="AA13" s="143">
        <v>0</v>
      </c>
      <c r="AB13" s="143">
        <v>0</v>
      </c>
      <c r="AC13" s="143">
        <v>0</v>
      </c>
      <c r="AD13" s="143">
        <v>0</v>
      </c>
      <c r="AE13" s="143">
        <v>0</v>
      </c>
      <c r="AF13" s="143">
        <v>0</v>
      </c>
      <c r="AG13" s="143">
        <v>0</v>
      </c>
      <c r="AH13" s="143">
        <v>0</v>
      </c>
      <c r="AI13" s="143">
        <v>0</v>
      </c>
      <c r="AJ13" s="143">
        <v>0</v>
      </c>
      <c r="AK13" s="143">
        <v>0</v>
      </c>
      <c r="AL13" s="143">
        <v>0</v>
      </c>
      <c r="AM13" s="143">
        <v>0</v>
      </c>
      <c r="AN13" s="143">
        <v>0</v>
      </c>
      <c r="AO13" s="143">
        <v>1.0010010050050049E-2</v>
      </c>
      <c r="AP13" s="143">
        <v>0</v>
      </c>
      <c r="AQ13" s="143">
        <v>0</v>
      </c>
      <c r="AR13" s="143">
        <v>0</v>
      </c>
      <c r="AS13" s="143">
        <v>0</v>
      </c>
      <c r="AT13" s="143">
        <v>0</v>
      </c>
      <c r="AU13" s="143">
        <v>0</v>
      </c>
      <c r="AV13" s="143">
        <v>0</v>
      </c>
      <c r="AW13" s="143">
        <v>0</v>
      </c>
      <c r="AX13" s="143">
        <v>0</v>
      </c>
      <c r="AY13" s="143">
        <v>0</v>
      </c>
      <c r="AZ13" s="143">
        <v>0</v>
      </c>
      <c r="BA13" s="143">
        <v>0</v>
      </c>
      <c r="BB13" s="143">
        <v>0</v>
      </c>
      <c r="BC13" s="143">
        <v>0</v>
      </c>
    </row>
    <row r="14" spans="1:55" customFormat="1" x14ac:dyDescent="0.15">
      <c r="A14" s="178" t="s">
        <v>204</v>
      </c>
      <c r="B14" s="143">
        <v>1.6865079747023809E-2</v>
      </c>
      <c r="C14" s="143">
        <v>1.9960081117764549E-3</v>
      </c>
      <c r="D14" s="143">
        <v>0</v>
      </c>
      <c r="E14" s="143">
        <v>2.4002283959412261E-2</v>
      </c>
      <c r="F14" s="143">
        <v>0</v>
      </c>
      <c r="G14" s="143">
        <v>0</v>
      </c>
      <c r="H14" s="143">
        <v>2.9499999999999992E-2</v>
      </c>
      <c r="I14" s="143">
        <v>0</v>
      </c>
      <c r="J14" s="143">
        <v>0</v>
      </c>
      <c r="K14" s="143">
        <v>0</v>
      </c>
      <c r="L14" s="143">
        <v>0</v>
      </c>
      <c r="M14" s="143">
        <v>0</v>
      </c>
      <c r="N14" s="143">
        <v>0.01</v>
      </c>
      <c r="O14" s="143">
        <v>0</v>
      </c>
      <c r="P14" s="143">
        <v>0</v>
      </c>
      <c r="Q14" s="143">
        <v>0</v>
      </c>
      <c r="R14" s="143">
        <v>0</v>
      </c>
      <c r="S14" s="143">
        <v>1.9993602047344854E-3</v>
      </c>
      <c r="T14" s="143">
        <v>0</v>
      </c>
      <c r="U14" s="143">
        <v>0</v>
      </c>
      <c r="V14" s="143">
        <v>0</v>
      </c>
      <c r="W14" s="143">
        <v>0.01</v>
      </c>
      <c r="X14" s="143">
        <v>0</v>
      </c>
      <c r="Y14" s="143">
        <v>0.01</v>
      </c>
      <c r="Z14" s="143">
        <v>0</v>
      </c>
      <c r="AA14" s="143">
        <v>9.6040336941515415E-4</v>
      </c>
      <c r="AB14" s="143">
        <v>0</v>
      </c>
      <c r="AC14" s="143">
        <v>0</v>
      </c>
      <c r="AD14" s="143">
        <v>0</v>
      </c>
      <c r="AE14" s="143">
        <v>0</v>
      </c>
      <c r="AF14" s="143">
        <v>0</v>
      </c>
      <c r="AG14" s="143">
        <v>8.0000000000000002E-3</v>
      </c>
      <c r="AH14" s="143">
        <v>0</v>
      </c>
      <c r="AI14" s="143">
        <v>0</v>
      </c>
      <c r="AJ14" s="143">
        <v>0</v>
      </c>
      <c r="AK14" s="143">
        <v>0</v>
      </c>
      <c r="AL14" s="143">
        <v>0</v>
      </c>
      <c r="AM14" s="143">
        <v>0</v>
      </c>
      <c r="AN14" s="143">
        <v>0</v>
      </c>
      <c r="AO14" s="143">
        <v>1.0010010050050052E-3</v>
      </c>
      <c r="AP14" s="143">
        <v>0</v>
      </c>
      <c r="AQ14" s="143">
        <v>0</v>
      </c>
      <c r="AR14" s="143">
        <v>0</v>
      </c>
      <c r="AS14" s="143">
        <v>0</v>
      </c>
      <c r="AT14" s="143">
        <v>0</v>
      </c>
      <c r="AU14" s="143">
        <v>0</v>
      </c>
      <c r="AV14" s="143">
        <v>0</v>
      </c>
      <c r="AW14" s="143">
        <v>0</v>
      </c>
      <c r="AX14" s="143">
        <v>0</v>
      </c>
      <c r="AY14" s="143">
        <v>0</v>
      </c>
      <c r="AZ14" s="143">
        <v>0</v>
      </c>
      <c r="BA14" s="143">
        <v>0</v>
      </c>
      <c r="BB14" s="143">
        <v>0</v>
      </c>
      <c r="BC14" s="143">
        <v>0</v>
      </c>
    </row>
    <row r="15" spans="1:55" customFormat="1" x14ac:dyDescent="0.15">
      <c r="A15" s="178" t="s">
        <v>205</v>
      </c>
      <c r="B15" s="143">
        <v>1.6865079747023809E-2</v>
      </c>
      <c r="C15" s="143">
        <v>1.9960081117764549E-3</v>
      </c>
      <c r="D15" s="143">
        <v>0</v>
      </c>
      <c r="E15" s="143">
        <v>7.007674311696189E-3</v>
      </c>
      <c r="F15" s="143">
        <v>0</v>
      </c>
      <c r="G15" s="143">
        <v>0</v>
      </c>
      <c r="H15" s="143">
        <v>0</v>
      </c>
      <c r="I15" s="143">
        <v>0</v>
      </c>
      <c r="J15" s="143">
        <v>0</v>
      </c>
      <c r="K15" s="143">
        <v>0</v>
      </c>
      <c r="L15" s="143">
        <v>0</v>
      </c>
      <c r="M15" s="143">
        <v>0</v>
      </c>
      <c r="N15" s="143">
        <v>0.01</v>
      </c>
      <c r="O15" s="143">
        <v>0</v>
      </c>
      <c r="P15" s="143">
        <v>0</v>
      </c>
      <c r="Q15" s="143">
        <v>0</v>
      </c>
      <c r="R15" s="143">
        <v>0</v>
      </c>
      <c r="S15" s="143">
        <v>0</v>
      </c>
      <c r="T15" s="143">
        <v>0</v>
      </c>
      <c r="U15" s="143">
        <v>0</v>
      </c>
      <c r="V15" s="143">
        <v>0</v>
      </c>
      <c r="W15" s="143">
        <v>0</v>
      </c>
      <c r="X15" s="143">
        <v>0</v>
      </c>
      <c r="Y15" s="143">
        <v>0.04</v>
      </c>
      <c r="Z15" s="143">
        <v>0</v>
      </c>
      <c r="AA15" s="143">
        <v>3.9016386882490636E-2</v>
      </c>
      <c r="AB15" s="143">
        <v>0</v>
      </c>
      <c r="AC15" s="143">
        <v>0</v>
      </c>
      <c r="AD15" s="143">
        <v>0</v>
      </c>
      <c r="AE15" s="143">
        <v>0</v>
      </c>
      <c r="AF15" s="143">
        <v>0</v>
      </c>
      <c r="AG15" s="143">
        <v>0</v>
      </c>
      <c r="AH15" s="143">
        <v>0</v>
      </c>
      <c r="AI15" s="143">
        <v>0</v>
      </c>
      <c r="AJ15" s="143">
        <v>0</v>
      </c>
      <c r="AK15" s="143">
        <v>0</v>
      </c>
      <c r="AL15" s="143">
        <v>0</v>
      </c>
      <c r="AM15" s="143">
        <v>0</v>
      </c>
      <c r="AN15" s="143">
        <v>0</v>
      </c>
      <c r="AO15" s="143">
        <v>0</v>
      </c>
      <c r="AP15" s="143">
        <v>0</v>
      </c>
      <c r="AQ15" s="143">
        <v>0</v>
      </c>
      <c r="AR15" s="143">
        <v>0</v>
      </c>
      <c r="AS15" s="143">
        <v>0</v>
      </c>
      <c r="AT15" s="143">
        <v>0</v>
      </c>
      <c r="AU15" s="143">
        <v>0</v>
      </c>
      <c r="AV15" s="143">
        <v>0</v>
      </c>
      <c r="AW15" s="143">
        <v>0</v>
      </c>
      <c r="AX15" s="143">
        <v>0</v>
      </c>
      <c r="AY15" s="143">
        <v>0</v>
      </c>
      <c r="AZ15" s="143">
        <v>0</v>
      </c>
      <c r="BA15" s="143">
        <v>0</v>
      </c>
      <c r="BB15" s="143">
        <v>0</v>
      </c>
      <c r="BC15" s="143">
        <v>0</v>
      </c>
    </row>
    <row r="16" spans="1:55" customFormat="1" x14ac:dyDescent="0.15">
      <c r="A16" s="178" t="s">
        <v>206</v>
      </c>
      <c r="B16" s="143">
        <v>1.6865079747023809E-2</v>
      </c>
      <c r="C16" s="143">
        <v>1.9960081117764549E-3</v>
      </c>
      <c r="D16" s="143">
        <v>0</v>
      </c>
      <c r="E16" s="143">
        <v>3.0032887807069542E-3</v>
      </c>
      <c r="F16" s="143">
        <v>0</v>
      </c>
      <c r="G16" s="143">
        <v>0</v>
      </c>
      <c r="H16" s="143">
        <v>0</v>
      </c>
      <c r="I16" s="143">
        <v>0</v>
      </c>
      <c r="J16" s="143">
        <v>0</v>
      </c>
      <c r="K16" s="143">
        <v>0</v>
      </c>
      <c r="L16" s="143">
        <v>0</v>
      </c>
      <c r="M16" s="143">
        <v>0</v>
      </c>
      <c r="N16" s="143">
        <v>0</v>
      </c>
      <c r="O16" s="143">
        <v>0</v>
      </c>
      <c r="P16" s="143">
        <v>0</v>
      </c>
      <c r="Q16" s="143">
        <v>0</v>
      </c>
      <c r="R16" s="143">
        <v>0</v>
      </c>
      <c r="S16" s="143">
        <v>0</v>
      </c>
      <c r="T16" s="143">
        <v>0</v>
      </c>
      <c r="U16" s="143">
        <v>0</v>
      </c>
      <c r="V16" s="143">
        <v>0</v>
      </c>
      <c r="W16" s="143">
        <v>0</v>
      </c>
      <c r="X16" s="143">
        <v>0</v>
      </c>
      <c r="Y16" s="143">
        <v>0</v>
      </c>
      <c r="Z16" s="143">
        <v>0</v>
      </c>
      <c r="AA16" s="143">
        <v>0</v>
      </c>
      <c r="AB16" s="143">
        <v>0</v>
      </c>
      <c r="AC16" s="143">
        <v>0</v>
      </c>
      <c r="AD16" s="143">
        <v>0</v>
      </c>
      <c r="AE16" s="143">
        <v>0</v>
      </c>
      <c r="AF16" s="143">
        <v>0</v>
      </c>
      <c r="AG16" s="143">
        <v>0</v>
      </c>
      <c r="AH16" s="143">
        <v>0</v>
      </c>
      <c r="AI16" s="143">
        <v>0</v>
      </c>
      <c r="AJ16" s="143">
        <v>0</v>
      </c>
      <c r="AK16" s="143">
        <v>0</v>
      </c>
      <c r="AL16" s="143">
        <v>0</v>
      </c>
      <c r="AM16" s="143">
        <v>0</v>
      </c>
      <c r="AN16" s="143">
        <v>0</v>
      </c>
      <c r="AO16" s="143">
        <v>0</v>
      </c>
      <c r="AP16" s="143">
        <v>0</v>
      </c>
      <c r="AQ16" s="143">
        <v>0</v>
      </c>
      <c r="AR16" s="143">
        <v>0</v>
      </c>
      <c r="AS16" s="143">
        <v>0</v>
      </c>
      <c r="AT16" s="143">
        <v>0</v>
      </c>
      <c r="AU16" s="143">
        <v>0</v>
      </c>
      <c r="AV16" s="143">
        <v>0</v>
      </c>
      <c r="AW16" s="143">
        <v>0</v>
      </c>
      <c r="AX16" s="143">
        <v>0</v>
      </c>
      <c r="AY16" s="143">
        <v>0</v>
      </c>
      <c r="AZ16" s="143">
        <v>0</v>
      </c>
      <c r="BA16" s="143">
        <v>0</v>
      </c>
      <c r="BB16" s="143">
        <v>0</v>
      </c>
      <c r="BC16" s="143">
        <v>0</v>
      </c>
    </row>
    <row r="17" spans="1:55" customFormat="1" x14ac:dyDescent="0.15">
      <c r="A17" s="178" t="s">
        <v>207</v>
      </c>
      <c r="B17" s="143">
        <v>9.9206348511904796E-2</v>
      </c>
      <c r="C17" s="143">
        <v>0.1497006083832341</v>
      </c>
      <c r="D17" s="143">
        <v>0.25025025293293324</v>
      </c>
      <c r="E17" s="143">
        <v>0.14801408441637559</v>
      </c>
      <c r="F17" s="143">
        <v>0</v>
      </c>
      <c r="G17" s="143">
        <v>0.33</v>
      </c>
      <c r="H17" s="143">
        <v>1.1999999999999997E-2</v>
      </c>
      <c r="I17" s="143">
        <v>4.0000001312000044E-2</v>
      </c>
      <c r="J17" s="143">
        <v>3.5000000000000003E-2</v>
      </c>
      <c r="K17" s="143">
        <v>0</v>
      </c>
      <c r="L17" s="143">
        <v>0.02</v>
      </c>
      <c r="M17" s="143">
        <v>0</v>
      </c>
      <c r="N17" s="143">
        <v>0.11</v>
      </c>
      <c r="O17" s="143">
        <v>0</v>
      </c>
      <c r="P17" s="143">
        <v>0.249</v>
      </c>
      <c r="Q17" s="143">
        <v>0</v>
      </c>
      <c r="R17" s="143">
        <v>0</v>
      </c>
      <c r="S17" s="143">
        <v>1.9993602047344853E-2</v>
      </c>
      <c r="T17" s="143">
        <v>0.27999999489120059</v>
      </c>
      <c r="U17" s="143">
        <v>0</v>
      </c>
      <c r="V17" s="143">
        <v>0</v>
      </c>
      <c r="W17" s="143">
        <v>0</v>
      </c>
      <c r="X17" s="143">
        <v>0</v>
      </c>
      <c r="Y17" s="143">
        <v>0.01</v>
      </c>
      <c r="Z17" s="143">
        <v>0</v>
      </c>
      <c r="AA17" s="143">
        <v>4.5018907941335347E-2</v>
      </c>
      <c r="AB17" s="143">
        <v>0</v>
      </c>
      <c r="AC17" s="143">
        <v>0</v>
      </c>
      <c r="AD17" s="143">
        <v>0</v>
      </c>
      <c r="AE17" s="143">
        <v>0</v>
      </c>
      <c r="AF17" s="143">
        <v>0.13400000472595952</v>
      </c>
      <c r="AG17" s="143">
        <v>4.0000000000000001E-3</v>
      </c>
      <c r="AH17" s="143">
        <v>0</v>
      </c>
      <c r="AI17" s="143">
        <v>0</v>
      </c>
      <c r="AJ17" s="143">
        <v>0</v>
      </c>
      <c r="AK17" s="143">
        <v>0</v>
      </c>
      <c r="AL17" s="143">
        <v>0</v>
      </c>
      <c r="AM17" s="143">
        <v>0</v>
      </c>
      <c r="AN17" s="143">
        <v>0</v>
      </c>
      <c r="AO17" s="143">
        <v>1.0010010050050052E-3</v>
      </c>
      <c r="AP17" s="143">
        <v>0</v>
      </c>
      <c r="AQ17" s="143">
        <v>0</v>
      </c>
      <c r="AR17" s="143">
        <v>0</v>
      </c>
      <c r="AS17" s="143">
        <v>0</v>
      </c>
      <c r="AT17" s="143">
        <v>0</v>
      </c>
      <c r="AU17" s="143">
        <v>0</v>
      </c>
      <c r="AV17" s="143">
        <v>0</v>
      </c>
      <c r="AW17" s="143">
        <v>0</v>
      </c>
      <c r="AX17" s="143">
        <v>0</v>
      </c>
      <c r="AY17" s="143">
        <v>0</v>
      </c>
      <c r="AZ17" s="143">
        <v>0</v>
      </c>
      <c r="BA17" s="143">
        <v>0</v>
      </c>
      <c r="BB17" s="143">
        <v>0</v>
      </c>
      <c r="BC17" s="143">
        <v>0</v>
      </c>
    </row>
    <row r="18" spans="1:55" customFormat="1" x14ac:dyDescent="0.15">
      <c r="A18" s="178" t="s">
        <v>208</v>
      </c>
      <c r="B18" s="143">
        <v>1.6865079747023809E-2</v>
      </c>
      <c r="C18" s="143">
        <v>1.9960081117764549E-3</v>
      </c>
      <c r="D18" s="143">
        <v>0</v>
      </c>
      <c r="E18" s="143">
        <v>3.0032887807069542E-3</v>
      </c>
      <c r="F18" s="143">
        <v>0</v>
      </c>
      <c r="G18" s="143">
        <v>0</v>
      </c>
      <c r="H18" s="143">
        <v>4.9999999999999992E-3</v>
      </c>
      <c r="I18" s="143">
        <v>0</v>
      </c>
      <c r="J18" s="143">
        <v>0</v>
      </c>
      <c r="K18" s="143">
        <v>0</v>
      </c>
      <c r="L18" s="143">
        <v>0</v>
      </c>
      <c r="M18" s="143">
        <v>0</v>
      </c>
      <c r="N18" s="143">
        <v>0.05</v>
      </c>
      <c r="O18" s="143">
        <v>0</v>
      </c>
      <c r="P18" s="143">
        <v>0</v>
      </c>
      <c r="Q18" s="143">
        <v>0</v>
      </c>
      <c r="R18" s="143">
        <v>0</v>
      </c>
      <c r="S18" s="143">
        <v>1.9993602047344854E-3</v>
      </c>
      <c r="T18" s="143">
        <v>0</v>
      </c>
      <c r="U18" s="143">
        <v>0</v>
      </c>
      <c r="V18" s="143">
        <v>0</v>
      </c>
      <c r="W18" s="143">
        <v>0</v>
      </c>
      <c r="X18" s="143">
        <v>0</v>
      </c>
      <c r="Y18" s="143">
        <v>9.6000000000000002E-2</v>
      </c>
      <c r="Z18" s="143">
        <v>0</v>
      </c>
      <c r="AA18" s="143">
        <v>9.6040336941515415E-4</v>
      </c>
      <c r="AB18" s="143">
        <v>0</v>
      </c>
      <c r="AC18" s="143">
        <v>2E-3</v>
      </c>
      <c r="AD18" s="143">
        <v>0</v>
      </c>
      <c r="AE18" s="143">
        <v>0</v>
      </c>
      <c r="AF18" s="143">
        <v>9.3999994888360514E-2</v>
      </c>
      <c r="AG18" s="143">
        <v>1E-3</v>
      </c>
      <c r="AH18" s="143">
        <v>0</v>
      </c>
      <c r="AI18" s="143">
        <v>0</v>
      </c>
      <c r="AJ18" s="143">
        <v>0</v>
      </c>
      <c r="AK18" s="143">
        <v>0</v>
      </c>
      <c r="AL18" s="143">
        <v>0</v>
      </c>
      <c r="AM18" s="143">
        <v>0</v>
      </c>
      <c r="AN18" s="143">
        <v>0</v>
      </c>
      <c r="AO18" s="143">
        <v>0</v>
      </c>
      <c r="AP18" s="143">
        <v>0</v>
      </c>
      <c r="AQ18" s="143">
        <v>0</v>
      </c>
      <c r="AR18" s="143">
        <v>0</v>
      </c>
      <c r="AS18" s="143">
        <v>0</v>
      </c>
      <c r="AT18" s="143">
        <v>0</v>
      </c>
      <c r="AU18" s="143">
        <v>0</v>
      </c>
      <c r="AV18" s="143">
        <v>0</v>
      </c>
      <c r="AW18" s="143">
        <v>0</v>
      </c>
      <c r="AX18" s="143">
        <v>0</v>
      </c>
      <c r="AY18" s="143">
        <v>0</v>
      </c>
      <c r="AZ18" s="143">
        <v>0</v>
      </c>
      <c r="BA18" s="143">
        <v>0</v>
      </c>
      <c r="BB18" s="143">
        <v>0</v>
      </c>
      <c r="BC18" s="143">
        <v>0</v>
      </c>
    </row>
    <row r="19" spans="1:55" customFormat="1" x14ac:dyDescent="0.15">
      <c r="A19" s="178" t="s">
        <v>209</v>
      </c>
      <c r="B19" s="143">
        <v>1.6865079747023809E-2</v>
      </c>
      <c r="C19" s="143">
        <v>1.9960081117764549E-3</v>
      </c>
      <c r="D19" s="143">
        <v>0</v>
      </c>
      <c r="E19" s="143">
        <v>1.0010963202413613E-2</v>
      </c>
      <c r="F19" s="143">
        <v>0</v>
      </c>
      <c r="G19" s="143">
        <v>0</v>
      </c>
      <c r="H19" s="143">
        <v>4.9999999999999992E-3</v>
      </c>
      <c r="I19" s="143">
        <v>0</v>
      </c>
      <c r="J19" s="143">
        <v>0</v>
      </c>
      <c r="K19" s="143">
        <v>0</v>
      </c>
      <c r="L19" s="143">
        <v>0</v>
      </c>
      <c r="M19" s="143">
        <v>0</v>
      </c>
      <c r="N19" s="143">
        <v>0.03</v>
      </c>
      <c r="O19" s="143">
        <v>0</v>
      </c>
      <c r="P19" s="143">
        <v>0</v>
      </c>
      <c r="Q19" s="143">
        <v>0</v>
      </c>
      <c r="R19" s="143">
        <v>0</v>
      </c>
      <c r="S19" s="143">
        <v>1.9993602047344854E-3</v>
      </c>
      <c r="T19" s="143">
        <v>0</v>
      </c>
      <c r="U19" s="143">
        <v>0</v>
      </c>
      <c r="V19" s="143">
        <v>0</v>
      </c>
      <c r="W19" s="143">
        <v>0</v>
      </c>
      <c r="X19" s="143">
        <v>0</v>
      </c>
      <c r="Y19" s="143">
        <v>9.7000000000000003E-2</v>
      </c>
      <c r="Z19" s="143">
        <v>0</v>
      </c>
      <c r="AA19" s="143">
        <v>3.0012605294223567E-2</v>
      </c>
      <c r="AB19" s="143">
        <v>0</v>
      </c>
      <c r="AC19" s="143">
        <v>3.0000000000000001E-3</v>
      </c>
      <c r="AD19" s="143">
        <v>0</v>
      </c>
      <c r="AE19" s="143">
        <v>0</v>
      </c>
      <c r="AF19" s="143">
        <v>0</v>
      </c>
      <c r="AG19" s="143">
        <v>3.0000000000000001E-3</v>
      </c>
      <c r="AH19" s="143">
        <v>0</v>
      </c>
      <c r="AI19" s="143">
        <v>0</v>
      </c>
      <c r="AJ19" s="143">
        <v>0</v>
      </c>
      <c r="AK19" s="143">
        <v>0</v>
      </c>
      <c r="AL19" s="143">
        <v>0</v>
      </c>
      <c r="AM19" s="143">
        <v>0</v>
      </c>
      <c r="AN19" s="143">
        <v>0</v>
      </c>
      <c r="AO19" s="143">
        <v>0</v>
      </c>
      <c r="AP19" s="143">
        <v>0</v>
      </c>
      <c r="AQ19" s="143">
        <v>0</v>
      </c>
      <c r="AR19" s="143">
        <v>0</v>
      </c>
      <c r="AS19" s="143">
        <v>0</v>
      </c>
      <c r="AT19" s="143">
        <v>0</v>
      </c>
      <c r="AU19" s="143">
        <v>0</v>
      </c>
      <c r="AV19" s="143">
        <v>0</v>
      </c>
      <c r="AW19" s="143">
        <v>0</v>
      </c>
      <c r="AX19" s="143">
        <v>0</v>
      </c>
      <c r="AY19" s="143">
        <v>0</v>
      </c>
      <c r="AZ19" s="143">
        <v>0</v>
      </c>
      <c r="BA19" s="143">
        <v>0</v>
      </c>
      <c r="BB19" s="143">
        <v>0</v>
      </c>
      <c r="BC19" s="143">
        <v>0</v>
      </c>
    </row>
    <row r="20" spans="1:55" customFormat="1" x14ac:dyDescent="0.15">
      <c r="A20" s="178" t="s">
        <v>210</v>
      </c>
      <c r="B20" s="143">
        <v>1.6865079747023809E-2</v>
      </c>
      <c r="C20" s="143">
        <v>1.9960081117764549E-3</v>
      </c>
      <c r="D20" s="143">
        <v>0</v>
      </c>
      <c r="E20" s="143">
        <v>2.0021926304817708E-2</v>
      </c>
      <c r="F20" s="143">
        <v>0</v>
      </c>
      <c r="G20" s="143">
        <v>0</v>
      </c>
      <c r="H20" s="143">
        <v>0</v>
      </c>
      <c r="I20" s="143">
        <v>0</v>
      </c>
      <c r="J20" s="143">
        <v>0</v>
      </c>
      <c r="K20" s="143">
        <v>0</v>
      </c>
      <c r="L20" s="143">
        <v>0</v>
      </c>
      <c r="M20" s="143">
        <v>0</v>
      </c>
      <c r="N20" s="143">
        <v>0</v>
      </c>
      <c r="O20" s="143">
        <v>0</v>
      </c>
      <c r="P20" s="143">
        <v>0</v>
      </c>
      <c r="Q20" s="143">
        <v>0</v>
      </c>
      <c r="R20" s="143">
        <v>0</v>
      </c>
      <c r="S20" s="143">
        <v>0</v>
      </c>
      <c r="T20" s="143">
        <v>0</v>
      </c>
      <c r="U20" s="143">
        <v>0</v>
      </c>
      <c r="V20" s="143">
        <v>0</v>
      </c>
      <c r="W20" s="143">
        <v>0</v>
      </c>
      <c r="X20" s="143">
        <v>0</v>
      </c>
      <c r="Y20" s="143">
        <v>0</v>
      </c>
      <c r="Z20" s="143">
        <v>0</v>
      </c>
      <c r="AA20" s="143">
        <v>0</v>
      </c>
      <c r="AB20" s="143">
        <v>0</v>
      </c>
      <c r="AC20" s="143">
        <v>0</v>
      </c>
      <c r="AD20" s="143">
        <v>0</v>
      </c>
      <c r="AE20" s="143">
        <v>0</v>
      </c>
      <c r="AF20" s="143">
        <v>0</v>
      </c>
      <c r="AG20" s="143">
        <v>0</v>
      </c>
      <c r="AH20" s="143">
        <v>0</v>
      </c>
      <c r="AI20" s="143">
        <v>0</v>
      </c>
      <c r="AJ20" s="143">
        <v>0</v>
      </c>
      <c r="AK20" s="143">
        <v>0</v>
      </c>
      <c r="AL20" s="143">
        <v>0</v>
      </c>
      <c r="AM20" s="143">
        <v>0</v>
      </c>
      <c r="AN20" s="143">
        <v>0</v>
      </c>
      <c r="AO20" s="143">
        <v>0</v>
      </c>
      <c r="AP20" s="143">
        <v>0</v>
      </c>
      <c r="AQ20" s="143">
        <v>0</v>
      </c>
      <c r="AR20" s="143">
        <v>0</v>
      </c>
      <c r="AS20" s="143">
        <v>0</v>
      </c>
      <c r="AT20" s="143">
        <v>0</v>
      </c>
      <c r="AU20" s="143">
        <v>0</v>
      </c>
      <c r="AV20" s="143">
        <v>0</v>
      </c>
      <c r="AW20" s="143">
        <v>0</v>
      </c>
      <c r="AX20" s="143">
        <v>0</v>
      </c>
      <c r="AY20" s="143">
        <v>0</v>
      </c>
      <c r="AZ20" s="143">
        <v>0</v>
      </c>
      <c r="BA20" s="143">
        <v>0</v>
      </c>
      <c r="BB20" s="143">
        <v>0</v>
      </c>
      <c r="BC20" s="143">
        <v>0</v>
      </c>
    </row>
    <row r="21" spans="1:55" customFormat="1" x14ac:dyDescent="0.15">
      <c r="A21" s="178" t="s">
        <v>211</v>
      </c>
      <c r="B21" s="143">
        <v>1.6865079747023809E-2</v>
      </c>
      <c r="C21" s="143">
        <v>1.9960081117764549E-3</v>
      </c>
      <c r="D21" s="143">
        <v>0</v>
      </c>
      <c r="E21" s="143">
        <v>1.210115149620368E-2</v>
      </c>
      <c r="F21" s="143">
        <v>0</v>
      </c>
      <c r="G21" s="143">
        <v>0</v>
      </c>
      <c r="H21" s="143">
        <v>9.9999999999999985E-3</v>
      </c>
      <c r="I21" s="143">
        <v>0</v>
      </c>
      <c r="J21" s="143">
        <v>6.0000000000000001E-3</v>
      </c>
      <c r="K21" s="143">
        <v>0</v>
      </c>
      <c r="L21" s="143">
        <v>0.01</v>
      </c>
      <c r="M21" s="143">
        <v>0</v>
      </c>
      <c r="N21" s="143">
        <v>6.0000000000000001E-3</v>
      </c>
      <c r="O21" s="143">
        <v>0</v>
      </c>
      <c r="P21" s="143">
        <v>0</v>
      </c>
      <c r="Q21" s="143">
        <v>0</v>
      </c>
      <c r="R21" s="143">
        <v>0</v>
      </c>
      <c r="S21" s="143">
        <v>9.9968010236724261E-2</v>
      </c>
      <c r="T21" s="143">
        <v>0</v>
      </c>
      <c r="U21" s="143">
        <v>0</v>
      </c>
      <c r="V21" s="143">
        <v>0</v>
      </c>
      <c r="W21" s="143">
        <v>1.7999999999999999E-2</v>
      </c>
      <c r="X21" s="143">
        <v>0</v>
      </c>
      <c r="Y21" s="143">
        <v>9.6000000000000002E-2</v>
      </c>
      <c r="Z21" s="143">
        <v>0</v>
      </c>
      <c r="AA21" s="143">
        <v>9.6040336941515415E-4</v>
      </c>
      <c r="AB21" s="143">
        <v>0</v>
      </c>
      <c r="AC21" s="143">
        <v>1.4999999999999999E-2</v>
      </c>
      <c r="AD21" s="143">
        <v>0</v>
      </c>
      <c r="AE21" s="143">
        <v>0</v>
      </c>
      <c r="AF21" s="143">
        <v>0</v>
      </c>
      <c r="AG21" s="143">
        <v>1.7999999999999999E-2</v>
      </c>
      <c r="AH21" s="143">
        <v>0</v>
      </c>
      <c r="AI21" s="143">
        <v>0</v>
      </c>
      <c r="AJ21" s="143">
        <v>0</v>
      </c>
      <c r="AK21" s="143">
        <v>0</v>
      </c>
      <c r="AL21" s="143">
        <v>0</v>
      </c>
      <c r="AM21" s="143">
        <v>0</v>
      </c>
      <c r="AN21" s="143">
        <v>0</v>
      </c>
      <c r="AO21" s="143">
        <v>0</v>
      </c>
      <c r="AP21" s="143">
        <v>0</v>
      </c>
      <c r="AQ21" s="143">
        <v>0</v>
      </c>
      <c r="AR21" s="143">
        <v>0</v>
      </c>
      <c r="AS21" s="143">
        <v>0</v>
      </c>
      <c r="AT21" s="143">
        <v>0</v>
      </c>
      <c r="AU21" s="143">
        <v>0</v>
      </c>
      <c r="AV21" s="143">
        <v>0</v>
      </c>
      <c r="AW21" s="143">
        <v>0</v>
      </c>
      <c r="AX21" s="143">
        <v>0</v>
      </c>
      <c r="AY21" s="143">
        <v>0</v>
      </c>
      <c r="AZ21" s="143">
        <v>0</v>
      </c>
      <c r="BA21" s="143">
        <v>0</v>
      </c>
      <c r="BB21" s="143">
        <v>0</v>
      </c>
      <c r="BC21" s="143">
        <v>0</v>
      </c>
    </row>
    <row r="22" spans="1:55" customFormat="1" x14ac:dyDescent="0.15">
      <c r="A22" s="178" t="s">
        <v>212</v>
      </c>
      <c r="B22" s="143">
        <v>1.6865079747023809E-2</v>
      </c>
      <c r="C22" s="143">
        <v>1.9960081117764549E-3</v>
      </c>
      <c r="D22" s="143">
        <v>0</v>
      </c>
      <c r="E22" s="143">
        <v>2.6028504066250648E-2</v>
      </c>
      <c r="F22" s="143">
        <v>0</v>
      </c>
      <c r="G22" s="143">
        <v>0</v>
      </c>
      <c r="H22" s="143">
        <v>0</v>
      </c>
      <c r="I22" s="143">
        <v>0</v>
      </c>
      <c r="J22" s="143">
        <v>0</v>
      </c>
      <c r="K22" s="143">
        <v>0</v>
      </c>
      <c r="L22" s="143">
        <v>0</v>
      </c>
      <c r="M22" s="143">
        <v>0</v>
      </c>
      <c r="N22" s="143">
        <v>0</v>
      </c>
      <c r="O22" s="143">
        <v>0</v>
      </c>
      <c r="P22" s="143">
        <v>0</v>
      </c>
      <c r="Q22" s="143">
        <v>0</v>
      </c>
      <c r="R22" s="143">
        <v>0</v>
      </c>
      <c r="S22" s="143">
        <v>0</v>
      </c>
      <c r="T22" s="143">
        <v>0</v>
      </c>
      <c r="U22" s="143">
        <v>0</v>
      </c>
      <c r="V22" s="143">
        <v>0</v>
      </c>
      <c r="W22" s="143">
        <v>0</v>
      </c>
      <c r="X22" s="143">
        <v>0</v>
      </c>
      <c r="Y22" s="143">
        <v>0</v>
      </c>
      <c r="Z22" s="143">
        <v>0</v>
      </c>
      <c r="AA22" s="143">
        <v>0</v>
      </c>
      <c r="AB22" s="143">
        <v>0</v>
      </c>
      <c r="AC22" s="143">
        <v>0</v>
      </c>
      <c r="AD22" s="143">
        <v>0</v>
      </c>
      <c r="AE22" s="143">
        <v>0</v>
      </c>
      <c r="AF22" s="143">
        <v>0</v>
      </c>
      <c r="AG22" s="143">
        <v>0</v>
      </c>
      <c r="AH22" s="143">
        <v>0</v>
      </c>
      <c r="AI22" s="143">
        <v>0</v>
      </c>
      <c r="AJ22" s="143">
        <v>0</v>
      </c>
      <c r="AK22" s="143">
        <v>0</v>
      </c>
      <c r="AL22" s="143">
        <v>0</v>
      </c>
      <c r="AM22" s="143">
        <v>0</v>
      </c>
      <c r="AN22" s="143">
        <v>0</v>
      </c>
      <c r="AO22" s="143">
        <v>0</v>
      </c>
      <c r="AP22" s="143">
        <v>0</v>
      </c>
      <c r="AQ22" s="143">
        <v>0</v>
      </c>
      <c r="AR22" s="143">
        <v>0</v>
      </c>
      <c r="AS22" s="143">
        <v>0</v>
      </c>
      <c r="AT22" s="143">
        <v>0</v>
      </c>
      <c r="AU22" s="143">
        <v>0</v>
      </c>
      <c r="AV22" s="143">
        <v>0</v>
      </c>
      <c r="AW22" s="143">
        <v>0</v>
      </c>
      <c r="AX22" s="143">
        <v>0</v>
      </c>
      <c r="AY22" s="143">
        <v>0</v>
      </c>
      <c r="AZ22" s="143">
        <v>0</v>
      </c>
      <c r="BA22" s="143">
        <v>0</v>
      </c>
      <c r="BB22" s="143">
        <v>0</v>
      </c>
      <c r="BC22" s="143">
        <v>0</v>
      </c>
    </row>
    <row r="23" spans="1:55" customFormat="1" x14ac:dyDescent="0.15">
      <c r="A23" s="178" t="s">
        <v>213</v>
      </c>
      <c r="B23" s="143">
        <v>1.6865079747023809E-2</v>
      </c>
      <c r="C23" s="143">
        <v>1.9960081117764549E-3</v>
      </c>
      <c r="D23" s="143">
        <v>0</v>
      </c>
      <c r="E23" s="143">
        <v>6.4070166655652669E-2</v>
      </c>
      <c r="F23" s="143">
        <v>0</v>
      </c>
      <c r="G23" s="143">
        <v>0</v>
      </c>
      <c r="H23" s="143">
        <v>1.9999999999999996E-3</v>
      </c>
      <c r="I23" s="143">
        <v>0</v>
      </c>
      <c r="J23" s="143">
        <v>0</v>
      </c>
      <c r="K23" s="143">
        <v>0</v>
      </c>
      <c r="L23" s="143">
        <v>0</v>
      </c>
      <c r="M23" s="143">
        <v>0</v>
      </c>
      <c r="N23" s="143">
        <v>0.05</v>
      </c>
      <c r="O23" s="143">
        <v>0</v>
      </c>
      <c r="P23" s="143">
        <v>1E-3</v>
      </c>
      <c r="Q23" s="143">
        <v>0</v>
      </c>
      <c r="R23" s="143">
        <v>0</v>
      </c>
      <c r="S23" s="143">
        <v>0.10396673064619323</v>
      </c>
      <c r="T23" s="143">
        <v>0</v>
      </c>
      <c r="U23" s="143">
        <v>0</v>
      </c>
      <c r="V23" s="143">
        <v>0</v>
      </c>
      <c r="W23" s="143">
        <v>0</v>
      </c>
      <c r="X23" s="143">
        <v>0</v>
      </c>
      <c r="Y23" s="143">
        <v>0</v>
      </c>
      <c r="Z23" s="143">
        <v>0</v>
      </c>
      <c r="AA23" s="143">
        <v>0</v>
      </c>
      <c r="AB23" s="143">
        <v>0</v>
      </c>
      <c r="AC23" s="143">
        <v>0</v>
      </c>
      <c r="AD23" s="143">
        <v>0</v>
      </c>
      <c r="AE23" s="143">
        <v>0</v>
      </c>
      <c r="AF23" s="143">
        <v>3.9999998837600109E-2</v>
      </c>
      <c r="AG23" s="143">
        <v>0</v>
      </c>
      <c r="AH23" s="143">
        <v>0</v>
      </c>
      <c r="AI23" s="143">
        <v>0</v>
      </c>
      <c r="AJ23" s="143">
        <v>0</v>
      </c>
      <c r="AK23" s="143">
        <v>0</v>
      </c>
      <c r="AL23" s="143">
        <v>0</v>
      </c>
      <c r="AM23" s="143">
        <v>0</v>
      </c>
      <c r="AN23" s="143">
        <v>0</v>
      </c>
      <c r="AO23" s="143">
        <v>0</v>
      </c>
      <c r="AP23" s="143">
        <v>0</v>
      </c>
      <c r="AQ23" s="143">
        <v>0</v>
      </c>
      <c r="AR23" s="143">
        <v>0</v>
      </c>
      <c r="AS23" s="143">
        <v>0</v>
      </c>
      <c r="AT23" s="143">
        <v>0</v>
      </c>
      <c r="AU23" s="143">
        <v>0</v>
      </c>
      <c r="AV23" s="143">
        <v>0</v>
      </c>
      <c r="AW23" s="143">
        <v>0</v>
      </c>
      <c r="AX23" s="143">
        <v>0</v>
      </c>
      <c r="AY23" s="143">
        <v>0</v>
      </c>
      <c r="AZ23" s="143">
        <v>0</v>
      </c>
      <c r="BA23" s="143">
        <v>0</v>
      </c>
      <c r="BB23" s="143">
        <v>0</v>
      </c>
      <c r="BC23" s="143">
        <v>0</v>
      </c>
    </row>
    <row r="24" spans="1:55" customFormat="1" x14ac:dyDescent="0.15">
      <c r="A24" s="178" t="s">
        <v>214</v>
      </c>
      <c r="B24" s="143">
        <v>9.9206348511904796E-2</v>
      </c>
      <c r="C24" s="143">
        <v>1.9960081117764549E-3</v>
      </c>
      <c r="D24" s="143">
        <v>0.25025025293293324</v>
      </c>
      <c r="E24" s="143">
        <v>3.9042755149285562E-2</v>
      </c>
      <c r="F24" s="143">
        <v>0</v>
      </c>
      <c r="G24" s="143">
        <v>0</v>
      </c>
      <c r="H24" s="143">
        <v>3.599999999999999E-2</v>
      </c>
      <c r="I24" s="143">
        <v>0</v>
      </c>
      <c r="J24" s="143">
        <v>3.0000000000000001E-3</v>
      </c>
      <c r="K24" s="143">
        <v>0</v>
      </c>
      <c r="L24" s="143">
        <v>0</v>
      </c>
      <c r="M24" s="143">
        <v>0</v>
      </c>
      <c r="N24" s="143">
        <v>2.4E-2</v>
      </c>
      <c r="O24" s="143">
        <v>0</v>
      </c>
      <c r="P24" s="143">
        <v>0</v>
      </c>
      <c r="Q24" s="143">
        <v>0</v>
      </c>
      <c r="R24" s="143">
        <v>0</v>
      </c>
      <c r="S24" s="143">
        <v>4.9984005118362132E-3</v>
      </c>
      <c r="T24" s="143">
        <v>0</v>
      </c>
      <c r="U24" s="143">
        <v>0</v>
      </c>
      <c r="V24" s="143">
        <v>0</v>
      </c>
      <c r="W24" s="143">
        <v>0</v>
      </c>
      <c r="X24" s="143">
        <v>7.1021306391917585E-4</v>
      </c>
      <c r="Y24" s="143">
        <v>0.124</v>
      </c>
      <c r="Z24" s="143">
        <v>0</v>
      </c>
      <c r="AA24" s="143">
        <v>0.1220512615298425</v>
      </c>
      <c r="AB24" s="143">
        <v>0</v>
      </c>
      <c r="AC24" s="143">
        <v>0</v>
      </c>
      <c r="AD24" s="143">
        <v>0</v>
      </c>
      <c r="AE24" s="143">
        <v>0</v>
      </c>
      <c r="AF24" s="143">
        <v>0</v>
      </c>
      <c r="AG24" s="143">
        <v>6.0000000000000001E-3</v>
      </c>
      <c r="AH24" s="143">
        <v>0</v>
      </c>
      <c r="AI24" s="143">
        <v>0</v>
      </c>
      <c r="AJ24" s="143">
        <v>0</v>
      </c>
      <c r="AK24" s="143">
        <v>0</v>
      </c>
      <c r="AL24" s="143">
        <v>0</v>
      </c>
      <c r="AM24" s="143">
        <v>0</v>
      </c>
      <c r="AN24" s="143">
        <v>0</v>
      </c>
      <c r="AO24" s="143">
        <v>0</v>
      </c>
      <c r="AP24" s="143">
        <v>0</v>
      </c>
      <c r="AQ24" s="143">
        <v>0</v>
      </c>
      <c r="AR24" s="143">
        <v>0</v>
      </c>
      <c r="AS24" s="143">
        <v>0</v>
      </c>
      <c r="AT24" s="143">
        <v>0</v>
      </c>
      <c r="AU24" s="143">
        <v>0</v>
      </c>
      <c r="AV24" s="143">
        <v>0</v>
      </c>
      <c r="AW24" s="143">
        <v>0</v>
      </c>
      <c r="AX24" s="143">
        <v>0</v>
      </c>
      <c r="AY24" s="143">
        <v>0</v>
      </c>
      <c r="AZ24" s="143">
        <v>0</v>
      </c>
      <c r="BA24" s="143">
        <v>0</v>
      </c>
      <c r="BB24" s="143">
        <v>0</v>
      </c>
      <c r="BC24" s="143">
        <v>0</v>
      </c>
    </row>
    <row r="25" spans="1:55" customFormat="1" x14ac:dyDescent="0.15">
      <c r="A25" s="178" t="s">
        <v>215</v>
      </c>
      <c r="B25" s="143">
        <v>1.6865079747023809E-2</v>
      </c>
      <c r="C25" s="143">
        <v>1.9960081117764549E-3</v>
      </c>
      <c r="D25" s="143">
        <v>0</v>
      </c>
      <c r="E25" s="143">
        <v>1.0010963602451678E-3</v>
      </c>
      <c r="F25" s="143">
        <v>0</v>
      </c>
      <c r="G25" s="143">
        <v>0</v>
      </c>
      <c r="H25" s="143">
        <v>0</v>
      </c>
      <c r="I25" s="143">
        <v>0</v>
      </c>
      <c r="J25" s="143">
        <v>0</v>
      </c>
      <c r="K25" s="143">
        <v>0</v>
      </c>
      <c r="L25" s="143">
        <v>0</v>
      </c>
      <c r="M25" s="143">
        <v>0</v>
      </c>
      <c r="N25" s="143">
        <v>0.05</v>
      </c>
      <c r="O25" s="143">
        <v>0</v>
      </c>
      <c r="P25" s="143">
        <v>0</v>
      </c>
      <c r="Q25" s="143">
        <v>0</v>
      </c>
      <c r="R25" s="143">
        <v>0</v>
      </c>
      <c r="S25" s="143">
        <v>9.9968010236724261E-2</v>
      </c>
      <c r="T25" s="143">
        <v>0</v>
      </c>
      <c r="U25" s="143">
        <v>0</v>
      </c>
      <c r="V25" s="143">
        <v>0</v>
      </c>
      <c r="W25" s="143">
        <v>0</v>
      </c>
      <c r="X25" s="143">
        <v>0</v>
      </c>
      <c r="Y25" s="143">
        <v>0</v>
      </c>
      <c r="Z25" s="143">
        <v>0</v>
      </c>
      <c r="AA25" s="143">
        <v>0</v>
      </c>
      <c r="AB25" s="143">
        <v>0</v>
      </c>
      <c r="AC25" s="143">
        <v>0</v>
      </c>
      <c r="AD25" s="143">
        <v>0</v>
      </c>
      <c r="AE25" s="143">
        <v>0</v>
      </c>
      <c r="AF25" s="143">
        <v>0</v>
      </c>
      <c r="AG25" s="143">
        <v>0</v>
      </c>
      <c r="AH25" s="143">
        <v>0</v>
      </c>
      <c r="AI25" s="143">
        <v>0</v>
      </c>
      <c r="AJ25" s="143">
        <v>0</v>
      </c>
      <c r="AK25" s="143">
        <v>0</v>
      </c>
      <c r="AL25" s="143">
        <v>0</v>
      </c>
      <c r="AM25" s="143">
        <v>0</v>
      </c>
      <c r="AN25" s="143">
        <v>0</v>
      </c>
      <c r="AO25" s="143">
        <v>0</v>
      </c>
      <c r="AP25" s="143">
        <v>0</v>
      </c>
      <c r="AQ25" s="143">
        <v>0</v>
      </c>
      <c r="AR25" s="143">
        <v>0</v>
      </c>
      <c r="AS25" s="143">
        <v>0</v>
      </c>
      <c r="AT25" s="143">
        <v>0</v>
      </c>
      <c r="AU25" s="143">
        <v>0</v>
      </c>
      <c r="AV25" s="143">
        <v>0</v>
      </c>
      <c r="AW25" s="143">
        <v>0</v>
      </c>
      <c r="AX25" s="143">
        <v>0</v>
      </c>
      <c r="AY25" s="143">
        <v>0</v>
      </c>
      <c r="AZ25" s="143">
        <v>0</v>
      </c>
      <c r="BA25" s="143">
        <v>0</v>
      </c>
      <c r="BB25" s="143">
        <v>0</v>
      </c>
      <c r="BC25" s="143">
        <v>0</v>
      </c>
    </row>
    <row r="26" spans="1:55" customFormat="1" x14ac:dyDescent="0.15">
      <c r="A26" s="178" t="s">
        <v>216</v>
      </c>
      <c r="B26" s="143">
        <v>1.6865079747023809E-2</v>
      </c>
      <c r="C26" s="143">
        <v>1.9960081117764549E-3</v>
      </c>
      <c r="D26" s="143">
        <v>0</v>
      </c>
      <c r="E26" s="143">
        <v>1.0010963202413613E-2</v>
      </c>
      <c r="F26" s="143">
        <v>0</v>
      </c>
      <c r="G26" s="143">
        <v>0</v>
      </c>
      <c r="H26" s="143">
        <v>0</v>
      </c>
      <c r="I26" s="143">
        <v>0</v>
      </c>
      <c r="J26" s="143">
        <v>0</v>
      </c>
      <c r="K26" s="143">
        <v>0</v>
      </c>
      <c r="L26" s="143">
        <v>0</v>
      </c>
      <c r="M26" s="143">
        <v>0</v>
      </c>
      <c r="N26" s="143">
        <v>0</v>
      </c>
      <c r="O26" s="143">
        <v>0</v>
      </c>
      <c r="P26" s="143">
        <v>0</v>
      </c>
      <c r="Q26" s="143">
        <v>0</v>
      </c>
      <c r="R26" s="143">
        <v>0</v>
      </c>
      <c r="S26" s="143">
        <v>0</v>
      </c>
      <c r="T26" s="143">
        <v>0</v>
      </c>
      <c r="U26" s="143">
        <v>0</v>
      </c>
      <c r="V26" s="143">
        <v>0</v>
      </c>
      <c r="W26" s="143">
        <v>0</v>
      </c>
      <c r="X26" s="143">
        <v>0</v>
      </c>
      <c r="Y26" s="143">
        <v>0</v>
      </c>
      <c r="Z26" s="143">
        <v>0</v>
      </c>
      <c r="AA26" s="143">
        <v>0</v>
      </c>
      <c r="AB26" s="143">
        <v>0</v>
      </c>
      <c r="AC26" s="143">
        <v>0</v>
      </c>
      <c r="AD26" s="143">
        <v>0</v>
      </c>
      <c r="AE26" s="143">
        <v>0</v>
      </c>
      <c r="AF26" s="143">
        <v>0</v>
      </c>
      <c r="AG26" s="143">
        <v>0</v>
      </c>
      <c r="AH26" s="143">
        <v>0</v>
      </c>
      <c r="AI26" s="143">
        <v>0</v>
      </c>
      <c r="AJ26" s="143">
        <v>0</v>
      </c>
      <c r="AK26" s="143">
        <v>0</v>
      </c>
      <c r="AL26" s="143">
        <v>0</v>
      </c>
      <c r="AM26" s="143">
        <v>0</v>
      </c>
      <c r="AN26" s="143">
        <v>0</v>
      </c>
      <c r="AO26" s="143">
        <v>0</v>
      </c>
      <c r="AP26" s="143">
        <v>0</v>
      </c>
      <c r="AQ26" s="143">
        <v>0</v>
      </c>
      <c r="AR26" s="143">
        <v>0</v>
      </c>
      <c r="AS26" s="143">
        <v>0</v>
      </c>
      <c r="AT26" s="143">
        <v>0</v>
      </c>
      <c r="AU26" s="143">
        <v>0</v>
      </c>
      <c r="AV26" s="143">
        <v>0</v>
      </c>
      <c r="AW26" s="143">
        <v>0</v>
      </c>
      <c r="AX26" s="143">
        <v>0</v>
      </c>
      <c r="AY26" s="143">
        <v>0</v>
      </c>
      <c r="AZ26" s="143">
        <v>0</v>
      </c>
      <c r="BA26" s="143">
        <v>0</v>
      </c>
      <c r="BB26" s="143">
        <v>0</v>
      </c>
      <c r="BC26" s="143">
        <v>0</v>
      </c>
    </row>
    <row r="27" spans="1:55" customFormat="1" x14ac:dyDescent="0.15">
      <c r="A27" s="178" t="s">
        <v>217</v>
      </c>
      <c r="B27" s="143">
        <v>1.6865079747023809E-2</v>
      </c>
      <c r="C27" s="143">
        <v>1.9960081117764549E-3</v>
      </c>
      <c r="D27" s="143">
        <v>0</v>
      </c>
      <c r="E27" s="143">
        <v>1.0010963202413613E-2</v>
      </c>
      <c r="F27" s="143">
        <v>0</v>
      </c>
      <c r="G27" s="143">
        <v>0</v>
      </c>
      <c r="H27" s="143">
        <v>0</v>
      </c>
      <c r="I27" s="143">
        <v>0</v>
      </c>
      <c r="J27" s="143">
        <v>0</v>
      </c>
      <c r="K27" s="143">
        <v>0</v>
      </c>
      <c r="L27" s="143">
        <v>0</v>
      </c>
      <c r="M27" s="143">
        <v>0</v>
      </c>
      <c r="N27" s="143">
        <v>0</v>
      </c>
      <c r="O27" s="143">
        <v>0</v>
      </c>
      <c r="P27" s="143">
        <v>0</v>
      </c>
      <c r="Q27" s="143">
        <v>0</v>
      </c>
      <c r="R27" s="143">
        <v>0</v>
      </c>
      <c r="S27" s="143">
        <v>9.9968010236724269E-4</v>
      </c>
      <c r="T27" s="143">
        <v>0</v>
      </c>
      <c r="U27" s="143">
        <v>0</v>
      </c>
      <c r="V27" s="143">
        <v>0</v>
      </c>
      <c r="W27" s="143">
        <v>0</v>
      </c>
      <c r="X27" s="143">
        <v>0</v>
      </c>
      <c r="Y27" s="143">
        <v>0.01</v>
      </c>
      <c r="Z27" s="143">
        <v>0</v>
      </c>
      <c r="AA27" s="143">
        <v>1.4005882470637665E-2</v>
      </c>
      <c r="AB27" s="143">
        <v>0</v>
      </c>
      <c r="AC27" s="143">
        <v>0</v>
      </c>
      <c r="AD27" s="143">
        <v>0</v>
      </c>
      <c r="AE27" s="143">
        <v>0</v>
      </c>
      <c r="AF27" s="143">
        <v>0</v>
      </c>
      <c r="AG27" s="143">
        <v>0</v>
      </c>
      <c r="AH27" s="143">
        <v>0</v>
      </c>
      <c r="AI27" s="143">
        <v>0</v>
      </c>
      <c r="AJ27" s="143">
        <v>0</v>
      </c>
      <c r="AK27" s="143">
        <v>0</v>
      </c>
      <c r="AL27" s="143">
        <v>0</v>
      </c>
      <c r="AM27" s="143">
        <v>0</v>
      </c>
      <c r="AN27" s="143">
        <v>0</v>
      </c>
      <c r="AO27" s="143">
        <v>1.0010010050050052E-3</v>
      </c>
      <c r="AP27" s="143">
        <v>0</v>
      </c>
      <c r="AQ27" s="143">
        <v>0</v>
      </c>
      <c r="AR27" s="143">
        <v>0</v>
      </c>
      <c r="AS27" s="143">
        <v>0</v>
      </c>
      <c r="AT27" s="143">
        <v>0</v>
      </c>
      <c r="AU27" s="143">
        <v>0</v>
      </c>
      <c r="AV27" s="143">
        <v>0</v>
      </c>
      <c r="AW27" s="143">
        <v>0</v>
      </c>
      <c r="AX27" s="143">
        <v>0</v>
      </c>
      <c r="AY27" s="143">
        <v>0</v>
      </c>
      <c r="AZ27" s="143">
        <v>0</v>
      </c>
      <c r="BA27" s="143">
        <v>0</v>
      </c>
      <c r="BB27" s="143">
        <v>0</v>
      </c>
      <c r="BC27" s="143">
        <v>0</v>
      </c>
    </row>
    <row r="28" spans="1:55" customFormat="1" x14ac:dyDescent="0.15">
      <c r="A28" s="178" t="s">
        <v>218</v>
      </c>
      <c r="B28" s="143">
        <v>1.6865079747023809E-2</v>
      </c>
      <c r="C28" s="143">
        <v>1.9960081117764549E-3</v>
      </c>
      <c r="D28" s="143">
        <v>0</v>
      </c>
      <c r="E28" s="143">
        <v>4.0043854509816228E-3</v>
      </c>
      <c r="F28" s="143">
        <v>0</v>
      </c>
      <c r="G28" s="143">
        <v>0</v>
      </c>
      <c r="H28" s="143">
        <v>1.9999999999999996E-3</v>
      </c>
      <c r="I28" s="143">
        <v>0</v>
      </c>
      <c r="J28" s="143">
        <v>0</v>
      </c>
      <c r="K28" s="143">
        <v>0</v>
      </c>
      <c r="L28" s="143">
        <v>0.01</v>
      </c>
      <c r="M28" s="143">
        <v>0</v>
      </c>
      <c r="N28" s="143">
        <v>6.0000000000000001E-3</v>
      </c>
      <c r="O28" s="143">
        <v>0</v>
      </c>
      <c r="P28" s="143">
        <v>0</v>
      </c>
      <c r="Q28" s="143">
        <v>0</v>
      </c>
      <c r="R28" s="143">
        <v>6.7000000000000004E-2</v>
      </c>
      <c r="S28" s="143">
        <v>4.9984005118362131E-2</v>
      </c>
      <c r="T28" s="143">
        <v>1.0000000310399959E-3</v>
      </c>
      <c r="U28" s="143">
        <v>0</v>
      </c>
      <c r="V28" s="143">
        <v>0</v>
      </c>
      <c r="W28" s="143">
        <v>2.1000000000000001E-2</v>
      </c>
      <c r="X28" s="143">
        <v>0</v>
      </c>
      <c r="Y28" s="143">
        <v>3.7999999999999999E-2</v>
      </c>
      <c r="Z28" s="143">
        <v>0</v>
      </c>
      <c r="AA28" s="143">
        <v>2.2009243882430612E-2</v>
      </c>
      <c r="AB28" s="143">
        <v>0</v>
      </c>
      <c r="AC28" s="143">
        <v>2.3E-2</v>
      </c>
      <c r="AD28" s="143">
        <v>1.0004802305106452E-2</v>
      </c>
      <c r="AE28" s="143">
        <v>0</v>
      </c>
      <c r="AF28" s="143">
        <v>3.4000002231959779E-2</v>
      </c>
      <c r="AG28" s="143">
        <v>5.7000000000000002E-2</v>
      </c>
      <c r="AH28" s="143">
        <v>0</v>
      </c>
      <c r="AI28" s="143">
        <v>0</v>
      </c>
      <c r="AJ28" s="143">
        <v>0</v>
      </c>
      <c r="AK28" s="143">
        <v>0</v>
      </c>
      <c r="AL28" s="143">
        <v>0</v>
      </c>
      <c r="AM28" s="143">
        <v>0</v>
      </c>
      <c r="AN28" s="143">
        <v>6.9976884535731315E-3</v>
      </c>
      <c r="AO28" s="143">
        <v>1.0010010050050052E-3</v>
      </c>
      <c r="AP28" s="143">
        <v>0</v>
      </c>
      <c r="AQ28" s="143">
        <v>0</v>
      </c>
      <c r="AR28" s="143">
        <v>0</v>
      </c>
      <c r="AS28" s="143">
        <v>0</v>
      </c>
      <c r="AT28" s="143">
        <v>0</v>
      </c>
      <c r="AU28" s="143">
        <v>0</v>
      </c>
      <c r="AV28" s="143">
        <v>0</v>
      </c>
      <c r="AW28" s="143">
        <v>0</v>
      </c>
      <c r="AX28" s="143">
        <v>0</v>
      </c>
      <c r="AY28" s="143">
        <v>0</v>
      </c>
      <c r="AZ28" s="143">
        <v>0</v>
      </c>
      <c r="BA28" s="143">
        <v>0</v>
      </c>
      <c r="BB28" s="143">
        <v>0</v>
      </c>
      <c r="BC28" s="143">
        <v>0</v>
      </c>
    </row>
    <row r="29" spans="1:55" customFormat="1" x14ac:dyDescent="0.15">
      <c r="A29" s="178" t="s">
        <v>219</v>
      </c>
      <c r="B29" s="143">
        <v>1.6865079747023809E-2</v>
      </c>
      <c r="C29" s="143">
        <v>1.9960081117764549E-3</v>
      </c>
      <c r="D29" s="143">
        <v>0</v>
      </c>
      <c r="E29" s="143">
        <v>5.6061394573577131E-2</v>
      </c>
      <c r="F29" s="143">
        <v>0</v>
      </c>
      <c r="G29" s="143">
        <v>0</v>
      </c>
      <c r="H29" s="143">
        <v>3.599999999999999E-2</v>
      </c>
      <c r="I29" s="143">
        <v>0</v>
      </c>
      <c r="J29" s="143">
        <v>0</v>
      </c>
      <c r="K29" s="143">
        <v>0</v>
      </c>
      <c r="L29" s="143">
        <v>0</v>
      </c>
      <c r="M29" s="143">
        <v>0</v>
      </c>
      <c r="N29" s="143">
        <v>0.11799999999999999</v>
      </c>
      <c r="O29" s="143">
        <v>0</v>
      </c>
      <c r="P29" s="143">
        <v>0</v>
      </c>
      <c r="Q29" s="143">
        <v>0</v>
      </c>
      <c r="R29" s="143">
        <v>0</v>
      </c>
      <c r="S29" s="143">
        <v>6.4979206653870775E-2</v>
      </c>
      <c r="T29" s="143">
        <v>0.17699999317408086</v>
      </c>
      <c r="U29" s="143">
        <v>0</v>
      </c>
      <c r="V29" s="143">
        <v>0</v>
      </c>
      <c r="W29" s="143">
        <v>0.01</v>
      </c>
      <c r="X29" s="143">
        <v>1.0003000900270082E-3</v>
      </c>
      <c r="Y29" s="143">
        <v>0.13400000000000001</v>
      </c>
      <c r="Z29" s="143">
        <v>0</v>
      </c>
      <c r="AA29" s="143">
        <v>0.13405630364753193</v>
      </c>
      <c r="AB29" s="143">
        <v>0</v>
      </c>
      <c r="AC29" s="143">
        <v>8.0000000000000002E-3</v>
      </c>
      <c r="AD29" s="143">
        <v>0</v>
      </c>
      <c r="AE29" s="143">
        <v>0</v>
      </c>
      <c r="AF29" s="143">
        <v>0.17399999276356073</v>
      </c>
      <c r="AG29" s="143">
        <v>7.0000000000000001E-3</v>
      </c>
      <c r="AH29" s="143">
        <v>0</v>
      </c>
      <c r="AI29" s="143">
        <v>0</v>
      </c>
      <c r="AJ29" s="143">
        <v>0</v>
      </c>
      <c r="AK29" s="143">
        <v>0</v>
      </c>
      <c r="AL29" s="143">
        <v>0</v>
      </c>
      <c r="AM29" s="143">
        <v>0</v>
      </c>
      <c r="AN29" s="143">
        <v>1.9993395581637519E-3</v>
      </c>
      <c r="AO29" s="143">
        <v>1.0010010050050052E-3</v>
      </c>
      <c r="AP29" s="143">
        <v>0</v>
      </c>
      <c r="AQ29" s="143">
        <v>0</v>
      </c>
      <c r="AR29" s="143">
        <v>0</v>
      </c>
      <c r="AS29" s="143">
        <v>0</v>
      </c>
      <c r="AT29" s="143">
        <v>0</v>
      </c>
      <c r="AU29" s="143">
        <v>0</v>
      </c>
      <c r="AV29" s="143">
        <v>0</v>
      </c>
      <c r="AW29" s="143">
        <v>0</v>
      </c>
      <c r="AX29" s="143">
        <v>0</v>
      </c>
      <c r="AY29" s="143">
        <v>0</v>
      </c>
      <c r="AZ29" s="143">
        <v>0</v>
      </c>
      <c r="BA29" s="143">
        <v>0</v>
      </c>
      <c r="BB29" s="143">
        <v>0</v>
      </c>
      <c r="BC29" s="143">
        <v>0</v>
      </c>
    </row>
    <row r="30" spans="1:55" customFormat="1" x14ac:dyDescent="0.15">
      <c r="A30" s="178" t="s">
        <v>220</v>
      </c>
      <c r="B30" s="143">
        <v>9.9206348511904796E-2</v>
      </c>
      <c r="C30" s="143">
        <v>0.1497006083832341</v>
      </c>
      <c r="D30" s="143">
        <v>0.25025025293293324</v>
      </c>
      <c r="E30" s="143">
        <v>6.0065775614139083E-3</v>
      </c>
      <c r="F30" s="143">
        <v>0</v>
      </c>
      <c r="G30" s="143">
        <v>0.67</v>
      </c>
      <c r="H30" s="143">
        <v>1.8999999999999996E-2</v>
      </c>
      <c r="I30" s="143">
        <v>0</v>
      </c>
      <c r="J30" s="143">
        <v>0</v>
      </c>
      <c r="K30" s="143">
        <v>0</v>
      </c>
      <c r="L30" s="143">
        <v>0</v>
      </c>
      <c r="M30" s="143">
        <v>0</v>
      </c>
      <c r="N30" s="143">
        <v>0.14399999999999999</v>
      </c>
      <c r="O30" s="143">
        <v>0</v>
      </c>
      <c r="P30" s="143">
        <v>0.15</v>
      </c>
      <c r="Q30" s="143">
        <v>0</v>
      </c>
      <c r="R30" s="143">
        <v>0</v>
      </c>
      <c r="S30" s="143">
        <v>3.7987843889955221E-2</v>
      </c>
      <c r="T30" s="143">
        <v>0.12200000026687995</v>
      </c>
      <c r="U30" s="143">
        <v>0</v>
      </c>
      <c r="V30" s="143">
        <v>0</v>
      </c>
      <c r="W30" s="143">
        <v>1E-3</v>
      </c>
      <c r="X30" s="143">
        <v>9.0027008102430729E-3</v>
      </c>
      <c r="Y30" s="143">
        <v>9.6000000000000002E-2</v>
      </c>
      <c r="Z30" s="143">
        <v>0</v>
      </c>
      <c r="AA30" s="143">
        <v>0.24810420376558148</v>
      </c>
      <c r="AB30" s="143">
        <v>0</v>
      </c>
      <c r="AC30" s="143">
        <v>7.0000000000000001E-3</v>
      </c>
      <c r="AD30" s="143">
        <v>2.0009604610212901E-3</v>
      </c>
      <c r="AE30" s="143">
        <v>0</v>
      </c>
      <c r="AF30" s="143">
        <v>0.15399999874476011</v>
      </c>
      <c r="AG30" s="143">
        <v>8.0000000000000002E-3</v>
      </c>
      <c r="AH30" s="143">
        <v>0</v>
      </c>
      <c r="AI30" s="143">
        <v>0</v>
      </c>
      <c r="AJ30" s="143">
        <v>0</v>
      </c>
      <c r="AK30" s="143">
        <v>0</v>
      </c>
      <c r="AL30" s="143">
        <v>0</v>
      </c>
      <c r="AM30" s="143">
        <v>0</v>
      </c>
      <c r="AN30" s="143">
        <v>0</v>
      </c>
      <c r="AO30" s="143">
        <v>1.0010010050050052E-3</v>
      </c>
      <c r="AP30" s="143">
        <v>0</v>
      </c>
      <c r="AQ30" s="143">
        <v>0</v>
      </c>
      <c r="AR30" s="143">
        <v>0</v>
      </c>
      <c r="AS30" s="143">
        <v>0</v>
      </c>
      <c r="AT30" s="143">
        <v>0</v>
      </c>
      <c r="AU30" s="143">
        <v>0</v>
      </c>
      <c r="AV30" s="143">
        <v>0</v>
      </c>
      <c r="AW30" s="143">
        <v>0</v>
      </c>
      <c r="AX30" s="143">
        <v>0</v>
      </c>
      <c r="AY30" s="143">
        <v>0</v>
      </c>
      <c r="AZ30" s="143">
        <v>0</v>
      </c>
      <c r="BA30" s="143">
        <v>0</v>
      </c>
      <c r="BB30" s="143">
        <v>0</v>
      </c>
      <c r="BC30" s="143">
        <v>0</v>
      </c>
    </row>
    <row r="31" spans="1:55" customFormat="1" x14ac:dyDescent="0.15">
      <c r="A31" s="178" t="s">
        <v>221</v>
      </c>
      <c r="B31" s="143">
        <v>1.9841269702380961E-3</v>
      </c>
      <c r="C31" s="143">
        <v>0</v>
      </c>
      <c r="D31" s="143">
        <v>0</v>
      </c>
      <c r="E31" s="143">
        <v>1.0010963602451678E-3</v>
      </c>
      <c r="F31" s="143">
        <v>0</v>
      </c>
      <c r="G31" s="143">
        <v>0</v>
      </c>
      <c r="H31" s="143">
        <v>0</v>
      </c>
      <c r="I31" s="143">
        <v>0</v>
      </c>
      <c r="J31" s="143">
        <v>0</v>
      </c>
      <c r="K31" s="143">
        <v>0</v>
      </c>
      <c r="L31" s="143">
        <v>0</v>
      </c>
      <c r="M31" s="143">
        <v>0</v>
      </c>
      <c r="N31" s="143">
        <v>0</v>
      </c>
      <c r="O31" s="143">
        <v>0</v>
      </c>
      <c r="P31" s="143">
        <v>0</v>
      </c>
      <c r="Q31" s="143">
        <v>0</v>
      </c>
      <c r="R31" s="143">
        <v>0</v>
      </c>
      <c r="S31" s="143">
        <v>0</v>
      </c>
      <c r="T31" s="143">
        <v>0</v>
      </c>
      <c r="U31" s="143">
        <v>0</v>
      </c>
      <c r="V31" s="143">
        <v>0</v>
      </c>
      <c r="W31" s="143">
        <v>0</v>
      </c>
      <c r="X31" s="143">
        <v>0</v>
      </c>
      <c r="Y31" s="143">
        <v>0</v>
      </c>
      <c r="Z31" s="143">
        <v>0</v>
      </c>
      <c r="AA31" s="143">
        <v>0</v>
      </c>
      <c r="AB31" s="143">
        <v>0</v>
      </c>
      <c r="AC31" s="143">
        <v>0</v>
      </c>
      <c r="AD31" s="143">
        <v>0</v>
      </c>
      <c r="AE31" s="143">
        <v>0</v>
      </c>
      <c r="AF31" s="143">
        <v>0</v>
      </c>
      <c r="AG31" s="143">
        <v>6.0000000000000001E-3</v>
      </c>
      <c r="AH31" s="143">
        <v>0</v>
      </c>
      <c r="AI31" s="143">
        <v>0</v>
      </c>
      <c r="AJ31" s="143">
        <v>0</v>
      </c>
      <c r="AK31" s="143">
        <v>0</v>
      </c>
      <c r="AL31" s="143">
        <v>0</v>
      </c>
      <c r="AM31" s="143">
        <v>0</v>
      </c>
      <c r="AN31" s="143">
        <v>0</v>
      </c>
      <c r="AO31" s="143">
        <v>0</v>
      </c>
      <c r="AP31" s="143">
        <v>0</v>
      </c>
      <c r="AQ31" s="143">
        <v>0</v>
      </c>
      <c r="AR31" s="143">
        <v>0</v>
      </c>
      <c r="AS31" s="143">
        <v>0</v>
      </c>
      <c r="AT31" s="143">
        <v>0</v>
      </c>
      <c r="AU31" s="143">
        <v>0</v>
      </c>
      <c r="AV31" s="143">
        <v>0</v>
      </c>
      <c r="AW31" s="143">
        <v>0</v>
      </c>
      <c r="AX31" s="143">
        <v>0</v>
      </c>
      <c r="AY31" s="143">
        <v>0</v>
      </c>
      <c r="AZ31" s="143">
        <v>0</v>
      </c>
      <c r="BA31" s="143">
        <v>0</v>
      </c>
      <c r="BB31" s="143">
        <v>0</v>
      </c>
      <c r="BC31" s="143">
        <v>0</v>
      </c>
    </row>
    <row r="32" spans="1:55" customFormat="1" x14ac:dyDescent="0.15">
      <c r="A32" s="178" t="s">
        <v>222</v>
      </c>
      <c r="B32" s="143">
        <v>0</v>
      </c>
      <c r="C32" s="143">
        <v>1.9960081117764549E-3</v>
      </c>
      <c r="D32" s="143">
        <v>0</v>
      </c>
      <c r="E32" s="143">
        <v>0</v>
      </c>
      <c r="F32" s="143">
        <v>0</v>
      </c>
      <c r="G32" s="143">
        <v>0</v>
      </c>
      <c r="H32" s="143">
        <v>0</v>
      </c>
      <c r="I32" s="143">
        <v>0</v>
      </c>
      <c r="J32" s="143">
        <v>0</v>
      </c>
      <c r="K32" s="143">
        <v>0</v>
      </c>
      <c r="L32" s="143">
        <v>0</v>
      </c>
      <c r="M32" s="143">
        <v>0</v>
      </c>
      <c r="N32" s="143">
        <v>0</v>
      </c>
      <c r="O32" s="143">
        <v>0</v>
      </c>
      <c r="P32" s="143">
        <v>0</v>
      </c>
      <c r="Q32" s="143">
        <v>0</v>
      </c>
      <c r="R32" s="143">
        <v>0</v>
      </c>
      <c r="S32" s="143">
        <v>0</v>
      </c>
      <c r="T32" s="143">
        <v>0</v>
      </c>
      <c r="U32" s="143">
        <v>0</v>
      </c>
      <c r="V32" s="143">
        <v>0</v>
      </c>
      <c r="W32" s="143">
        <v>0</v>
      </c>
      <c r="X32" s="143">
        <v>0</v>
      </c>
      <c r="Y32" s="143">
        <v>0</v>
      </c>
      <c r="Z32" s="143">
        <v>0</v>
      </c>
      <c r="AA32" s="143">
        <v>0</v>
      </c>
      <c r="AB32" s="143">
        <v>0</v>
      </c>
      <c r="AC32" s="143">
        <v>0</v>
      </c>
      <c r="AD32" s="143">
        <v>0</v>
      </c>
      <c r="AE32" s="143">
        <v>0</v>
      </c>
      <c r="AF32" s="143">
        <v>0</v>
      </c>
      <c r="AG32" s="143">
        <v>0</v>
      </c>
      <c r="AH32" s="143">
        <v>0</v>
      </c>
      <c r="AI32" s="143">
        <v>0</v>
      </c>
      <c r="AJ32" s="143">
        <v>0</v>
      </c>
      <c r="AK32" s="143">
        <v>0</v>
      </c>
      <c r="AL32" s="143">
        <v>0</v>
      </c>
      <c r="AM32" s="143">
        <v>0</v>
      </c>
      <c r="AN32" s="143">
        <v>0</v>
      </c>
      <c r="AO32" s="143">
        <v>0</v>
      </c>
      <c r="AP32" s="143">
        <v>0</v>
      </c>
      <c r="AQ32" s="143">
        <v>0</v>
      </c>
      <c r="AR32" s="143">
        <v>0</v>
      </c>
      <c r="AS32" s="143">
        <v>0</v>
      </c>
      <c r="AT32" s="143">
        <v>0</v>
      </c>
      <c r="AU32" s="143">
        <v>0</v>
      </c>
      <c r="AV32" s="143">
        <v>0</v>
      </c>
      <c r="AW32" s="143">
        <v>0</v>
      </c>
      <c r="AX32" s="143">
        <v>0</v>
      </c>
      <c r="AY32" s="143">
        <v>0</v>
      </c>
      <c r="AZ32" s="143">
        <v>0</v>
      </c>
      <c r="BA32" s="143">
        <v>0</v>
      </c>
      <c r="BB32" s="143">
        <v>0</v>
      </c>
      <c r="BC32" s="143">
        <v>0</v>
      </c>
    </row>
    <row r="33" spans="1:55" customFormat="1" x14ac:dyDescent="0.15">
      <c r="A33" s="178" t="s">
        <v>223</v>
      </c>
      <c r="B33" s="143">
        <v>0</v>
      </c>
      <c r="C33" s="143">
        <v>1.9960081117764549E-3</v>
      </c>
      <c r="D33" s="143">
        <v>0</v>
      </c>
      <c r="E33" s="143">
        <v>4.0043854509816228E-3</v>
      </c>
      <c r="F33" s="143">
        <v>0</v>
      </c>
      <c r="G33" s="143">
        <v>0</v>
      </c>
      <c r="H33" s="143">
        <v>0</v>
      </c>
      <c r="I33" s="143">
        <v>0</v>
      </c>
      <c r="J33" s="143">
        <v>0</v>
      </c>
      <c r="K33" s="143">
        <v>0</v>
      </c>
      <c r="L33" s="143">
        <v>0</v>
      </c>
      <c r="M33" s="143">
        <v>0</v>
      </c>
      <c r="N33" s="143">
        <v>0</v>
      </c>
      <c r="O33" s="143">
        <v>0</v>
      </c>
      <c r="P33" s="143">
        <v>0</v>
      </c>
      <c r="Q33" s="143">
        <v>0</v>
      </c>
      <c r="R33" s="143">
        <v>0</v>
      </c>
      <c r="S33" s="143">
        <v>0</v>
      </c>
      <c r="T33" s="143">
        <v>0</v>
      </c>
      <c r="U33" s="143">
        <v>0</v>
      </c>
      <c r="V33" s="143">
        <v>0</v>
      </c>
      <c r="W33" s="143">
        <v>0</v>
      </c>
      <c r="X33" s="143">
        <v>1.0003000900270082E-3</v>
      </c>
      <c r="Y33" s="143">
        <v>0</v>
      </c>
      <c r="Z33" s="143">
        <v>0</v>
      </c>
      <c r="AA33" s="143">
        <v>0</v>
      </c>
      <c r="AB33" s="143">
        <v>0</v>
      </c>
      <c r="AC33" s="143">
        <v>0</v>
      </c>
      <c r="AD33" s="143">
        <v>0</v>
      </c>
      <c r="AE33" s="143">
        <v>0</v>
      </c>
      <c r="AF33" s="143">
        <v>0</v>
      </c>
      <c r="AG33" s="143">
        <v>3.0000000000000001E-3</v>
      </c>
      <c r="AH33" s="143">
        <v>0</v>
      </c>
      <c r="AI33" s="143">
        <v>0</v>
      </c>
      <c r="AJ33" s="143">
        <v>0</v>
      </c>
      <c r="AK33" s="143">
        <v>0</v>
      </c>
      <c r="AL33" s="143">
        <v>0</v>
      </c>
      <c r="AM33" s="143">
        <v>0</v>
      </c>
      <c r="AN33" s="143">
        <v>0</v>
      </c>
      <c r="AO33" s="143">
        <v>0</v>
      </c>
      <c r="AP33" s="143">
        <v>0</v>
      </c>
      <c r="AQ33" s="143">
        <v>0</v>
      </c>
      <c r="AR33" s="143">
        <v>0</v>
      </c>
      <c r="AS33" s="143">
        <v>0</v>
      </c>
      <c r="AT33" s="143">
        <v>0</v>
      </c>
      <c r="AU33" s="143">
        <v>0</v>
      </c>
      <c r="AV33" s="143">
        <v>0</v>
      </c>
      <c r="AW33" s="143">
        <v>0</v>
      </c>
      <c r="AX33" s="143">
        <v>0</v>
      </c>
      <c r="AY33" s="143">
        <v>0</v>
      </c>
      <c r="AZ33" s="143">
        <v>0</v>
      </c>
      <c r="BA33" s="143">
        <v>0</v>
      </c>
      <c r="BB33" s="143">
        <v>0</v>
      </c>
      <c r="BC33" s="143">
        <v>0</v>
      </c>
    </row>
    <row r="34" spans="1:55" customFormat="1" x14ac:dyDescent="0.15">
      <c r="A34" s="178" t="s">
        <v>224</v>
      </c>
      <c r="B34" s="143">
        <v>4.9603169255952474E-3</v>
      </c>
      <c r="C34" s="143">
        <v>0</v>
      </c>
      <c r="D34" s="143">
        <v>3.10310296836835E-2</v>
      </c>
      <c r="E34" s="143">
        <v>5.2057008132501296E-2</v>
      </c>
      <c r="F34" s="143">
        <v>0</v>
      </c>
      <c r="G34" s="143">
        <v>0</v>
      </c>
      <c r="H34" s="143">
        <v>0.66199999999999992</v>
      </c>
      <c r="I34" s="143">
        <v>0</v>
      </c>
      <c r="J34" s="143">
        <v>0.46700000000000003</v>
      </c>
      <c r="K34" s="143">
        <v>0</v>
      </c>
      <c r="L34" s="143">
        <v>0.1</v>
      </c>
      <c r="M34" s="143">
        <v>0</v>
      </c>
      <c r="N34" s="143">
        <v>0.11600000000000001</v>
      </c>
      <c r="O34" s="143">
        <v>0.1</v>
      </c>
      <c r="P34" s="143">
        <v>0.27500000000000002</v>
      </c>
      <c r="Q34" s="143">
        <v>0</v>
      </c>
      <c r="R34" s="143">
        <v>0.2</v>
      </c>
      <c r="S34" s="143">
        <v>0.15395073576455537</v>
      </c>
      <c r="T34" s="143">
        <v>2.5000000875999882E-2</v>
      </c>
      <c r="U34" s="143">
        <v>0.64200000000000002</v>
      </c>
      <c r="V34" s="143">
        <v>0.5</v>
      </c>
      <c r="W34" s="143">
        <v>0.109</v>
      </c>
      <c r="X34" s="143">
        <v>2.8008402520756228E-2</v>
      </c>
      <c r="Y34" s="143">
        <v>0.01</v>
      </c>
      <c r="Z34" s="143">
        <v>5.2999999999999999E-2</v>
      </c>
      <c r="AA34" s="143">
        <v>1.5006302647111783E-2</v>
      </c>
      <c r="AB34" s="143">
        <v>3.3000000000000002E-2</v>
      </c>
      <c r="AC34" s="143">
        <v>9.8000000000000004E-2</v>
      </c>
      <c r="AD34" s="143">
        <v>2.8013446454298065E-2</v>
      </c>
      <c r="AE34" s="143">
        <v>0.66454865719592515</v>
      </c>
      <c r="AF34" s="143">
        <v>0.31400000889515911</v>
      </c>
      <c r="AG34" s="143">
        <v>0.251</v>
      </c>
      <c r="AH34" s="143">
        <v>2.7000000272059968E-2</v>
      </c>
      <c r="AI34" s="143">
        <v>0</v>
      </c>
      <c r="AJ34" s="143">
        <v>0</v>
      </c>
      <c r="AK34" s="143">
        <v>2.2004882542508038E-2</v>
      </c>
      <c r="AL34" s="143">
        <v>0</v>
      </c>
      <c r="AM34" s="143">
        <v>0.05</v>
      </c>
      <c r="AN34" s="143">
        <v>7.0046931397151582E-2</v>
      </c>
      <c r="AO34" s="143">
        <v>2.0020020100100098E-2</v>
      </c>
      <c r="AP34" s="143">
        <v>0</v>
      </c>
      <c r="AQ34" s="143">
        <v>0</v>
      </c>
      <c r="AR34" s="143">
        <v>0</v>
      </c>
      <c r="AS34" s="143">
        <v>0</v>
      </c>
      <c r="AT34" s="143">
        <v>0</v>
      </c>
      <c r="AU34" s="143">
        <v>0</v>
      </c>
      <c r="AV34" s="143">
        <v>0</v>
      </c>
      <c r="AW34" s="143">
        <v>0</v>
      </c>
      <c r="AX34" s="143">
        <v>0</v>
      </c>
      <c r="AY34" s="143">
        <v>0</v>
      </c>
      <c r="AZ34" s="143">
        <v>0</v>
      </c>
      <c r="BA34" s="143">
        <v>0</v>
      </c>
      <c r="BB34" s="143">
        <v>0</v>
      </c>
      <c r="BC34" s="143">
        <v>0</v>
      </c>
    </row>
    <row r="35" spans="1:55" customFormat="1" x14ac:dyDescent="0.15">
      <c r="A35" s="178" t="s">
        <v>225</v>
      </c>
      <c r="B35" s="143">
        <v>4.9603169255952474E-3</v>
      </c>
      <c r="C35" s="143">
        <v>0</v>
      </c>
      <c r="D35" s="143">
        <v>3.10310296836835E-2</v>
      </c>
      <c r="E35" s="143">
        <v>5.2057008132501296E-2</v>
      </c>
      <c r="F35" s="143">
        <v>0</v>
      </c>
      <c r="G35" s="143">
        <v>0</v>
      </c>
      <c r="H35" s="143">
        <v>4.0999999999999995E-2</v>
      </c>
      <c r="I35" s="143">
        <v>5.0000001640000055E-2</v>
      </c>
      <c r="J35" s="143">
        <v>0.21</v>
      </c>
      <c r="K35" s="143">
        <v>3.9999998340000183E-2</v>
      </c>
      <c r="L35" s="143">
        <v>0.25</v>
      </c>
      <c r="M35" s="143">
        <v>0</v>
      </c>
      <c r="N35" s="143">
        <v>1.7000000000000001E-2</v>
      </c>
      <c r="O35" s="143">
        <v>0.25</v>
      </c>
      <c r="P35" s="143">
        <v>0.125</v>
      </c>
      <c r="Q35" s="143">
        <v>0</v>
      </c>
      <c r="R35" s="143">
        <v>0</v>
      </c>
      <c r="S35" s="143">
        <v>1.9993602047344854E-3</v>
      </c>
      <c r="T35" s="143">
        <v>2.5000000875999882E-2</v>
      </c>
      <c r="U35" s="143">
        <v>0</v>
      </c>
      <c r="V35" s="143">
        <v>0</v>
      </c>
      <c r="W35" s="143">
        <v>9.0999999999999998E-2</v>
      </c>
      <c r="X35" s="143">
        <v>9.0027008102430729E-3</v>
      </c>
      <c r="Y35" s="143">
        <v>0</v>
      </c>
      <c r="Z35" s="143">
        <v>0.52</v>
      </c>
      <c r="AA35" s="143">
        <v>1.000420176474119E-2</v>
      </c>
      <c r="AB35" s="143">
        <v>1.2999999999999999E-2</v>
      </c>
      <c r="AC35" s="143">
        <v>8.6999999999999994E-2</v>
      </c>
      <c r="AD35" s="143">
        <v>6.0028813830638713E-3</v>
      </c>
      <c r="AE35" s="143">
        <v>1.5012395101413995E-2</v>
      </c>
      <c r="AF35" s="143">
        <v>0</v>
      </c>
      <c r="AG35" s="143">
        <v>3.1E-2</v>
      </c>
      <c r="AH35" s="143">
        <v>0.10400000103311989</v>
      </c>
      <c r="AI35" s="143">
        <v>1.000015232999741E-2</v>
      </c>
      <c r="AJ35" s="143">
        <v>0</v>
      </c>
      <c r="AK35" s="143">
        <v>2.2004882542508038E-2</v>
      </c>
      <c r="AL35" s="143">
        <v>5.9940057831268665E-3</v>
      </c>
      <c r="AM35" s="143">
        <v>0.05</v>
      </c>
      <c r="AN35" s="143">
        <v>7.0046931397151582E-2</v>
      </c>
      <c r="AO35" s="143">
        <v>2.0020020100100098E-2</v>
      </c>
      <c r="AP35" s="143">
        <v>0</v>
      </c>
      <c r="AQ35" s="143">
        <v>0</v>
      </c>
      <c r="AR35" s="143">
        <v>0</v>
      </c>
      <c r="AS35" s="143">
        <v>0</v>
      </c>
      <c r="AT35" s="143">
        <v>0</v>
      </c>
      <c r="AU35" s="143">
        <v>0</v>
      </c>
      <c r="AV35" s="143">
        <v>0</v>
      </c>
      <c r="AW35" s="143">
        <v>0</v>
      </c>
      <c r="AX35" s="143">
        <v>0</v>
      </c>
      <c r="AY35" s="143">
        <v>0</v>
      </c>
      <c r="AZ35" s="143">
        <v>0</v>
      </c>
      <c r="BA35" s="143">
        <v>0</v>
      </c>
      <c r="BB35" s="143">
        <v>0</v>
      </c>
      <c r="BC35" s="143">
        <v>0</v>
      </c>
    </row>
    <row r="36" spans="1:55" customFormat="1" x14ac:dyDescent="0.15">
      <c r="A36" s="178" t="s">
        <v>226</v>
      </c>
      <c r="B36" s="143">
        <v>0</v>
      </c>
      <c r="C36" s="143">
        <v>0</v>
      </c>
      <c r="D36" s="143">
        <v>0</v>
      </c>
      <c r="E36" s="143">
        <v>0.10511511232521921</v>
      </c>
      <c r="F36" s="143">
        <v>0</v>
      </c>
      <c r="G36" s="143">
        <v>0</v>
      </c>
      <c r="H36" s="143">
        <v>4.9999999999999992E-3</v>
      </c>
      <c r="I36" s="143">
        <v>0.15000000492000015</v>
      </c>
      <c r="J36" s="143">
        <v>0.11799999999999999</v>
      </c>
      <c r="K36" s="143">
        <v>4.9999998925000122E-2</v>
      </c>
      <c r="L36" s="143">
        <v>0.25</v>
      </c>
      <c r="M36" s="143">
        <v>0.20999999122200033</v>
      </c>
      <c r="N36" s="143">
        <v>1.2E-2</v>
      </c>
      <c r="O36" s="143">
        <v>0.25</v>
      </c>
      <c r="P36" s="143">
        <v>0.125</v>
      </c>
      <c r="Q36" s="143">
        <v>0</v>
      </c>
      <c r="R36" s="143">
        <v>0.2</v>
      </c>
      <c r="S36" s="143">
        <v>0.11396353166986566</v>
      </c>
      <c r="T36" s="143">
        <v>2.5000000875999882E-2</v>
      </c>
      <c r="U36" s="143">
        <v>0.28599999999999998</v>
      </c>
      <c r="V36" s="143">
        <v>0</v>
      </c>
      <c r="W36" s="143">
        <v>1E-3</v>
      </c>
      <c r="X36" s="143">
        <v>7.1021306391917585E-4</v>
      </c>
      <c r="Y36" s="143">
        <v>0.01</v>
      </c>
      <c r="Z36" s="143">
        <v>0.25</v>
      </c>
      <c r="AA36" s="143">
        <v>0</v>
      </c>
      <c r="AB36" s="143">
        <v>0</v>
      </c>
      <c r="AC36" s="143">
        <v>2.3E-2</v>
      </c>
      <c r="AD36" s="143">
        <v>2.0009604610212901E-3</v>
      </c>
      <c r="AE36" s="143">
        <v>3.5028921169965963E-2</v>
      </c>
      <c r="AF36" s="143">
        <v>0</v>
      </c>
      <c r="AG36" s="143">
        <v>2.1000000000000001E-2</v>
      </c>
      <c r="AH36" s="143">
        <v>0.17800000265283974</v>
      </c>
      <c r="AI36" s="143">
        <v>0.32000451755992315</v>
      </c>
      <c r="AJ36" s="143">
        <v>0</v>
      </c>
      <c r="AK36" s="143">
        <v>0.13336289527760187</v>
      </c>
      <c r="AL36" s="143">
        <v>5.5944057102517507E-2</v>
      </c>
      <c r="AM36" s="143">
        <v>0</v>
      </c>
      <c r="AN36" s="143">
        <v>5.0033522426536844E-2</v>
      </c>
      <c r="AO36" s="143">
        <v>1.0010010050050049E-2</v>
      </c>
      <c r="AP36" s="143">
        <v>0</v>
      </c>
      <c r="AQ36" s="143">
        <v>0</v>
      </c>
      <c r="AR36" s="143">
        <v>0.01</v>
      </c>
      <c r="AS36" s="143">
        <v>0</v>
      </c>
      <c r="AT36" s="143">
        <v>0</v>
      </c>
      <c r="AU36" s="143">
        <v>0</v>
      </c>
      <c r="AV36" s="143">
        <v>0</v>
      </c>
      <c r="AW36" s="143">
        <v>0</v>
      </c>
      <c r="AX36" s="143">
        <v>0</v>
      </c>
      <c r="AY36" s="143">
        <v>0</v>
      </c>
      <c r="AZ36" s="143">
        <v>0</v>
      </c>
      <c r="BA36" s="143">
        <v>0</v>
      </c>
      <c r="BB36" s="143">
        <v>0</v>
      </c>
      <c r="BC36" s="143">
        <v>0</v>
      </c>
    </row>
    <row r="37" spans="1:55" customFormat="1" x14ac:dyDescent="0.15">
      <c r="A37" s="178" t="s">
        <v>227</v>
      </c>
      <c r="B37" s="143">
        <v>4.9603169255952474E-3</v>
      </c>
      <c r="C37" s="143">
        <v>0</v>
      </c>
      <c r="D37" s="143">
        <v>3.10310296836835E-2</v>
      </c>
      <c r="E37" s="143">
        <v>0</v>
      </c>
      <c r="F37" s="143">
        <v>0</v>
      </c>
      <c r="G37" s="143">
        <v>0</v>
      </c>
      <c r="H37" s="143">
        <v>0</v>
      </c>
      <c r="I37" s="143">
        <v>0</v>
      </c>
      <c r="J37" s="143">
        <v>0.05</v>
      </c>
      <c r="K37" s="143">
        <v>0</v>
      </c>
      <c r="L37" s="143">
        <v>0.21</v>
      </c>
      <c r="M37" s="143">
        <v>0</v>
      </c>
      <c r="N37" s="143">
        <v>0</v>
      </c>
      <c r="O37" s="143">
        <v>0.25</v>
      </c>
      <c r="P37" s="143">
        <v>0.05</v>
      </c>
      <c r="Q37" s="143">
        <v>0</v>
      </c>
      <c r="R37" s="143">
        <v>0</v>
      </c>
      <c r="S37" s="143">
        <v>0</v>
      </c>
      <c r="T37" s="143">
        <v>2.5000000875999882E-2</v>
      </c>
      <c r="U37" s="143">
        <v>0</v>
      </c>
      <c r="V37" s="143">
        <v>0</v>
      </c>
      <c r="W37" s="143">
        <v>0</v>
      </c>
      <c r="X37" s="143">
        <v>0</v>
      </c>
      <c r="Y37" s="143">
        <v>0</v>
      </c>
      <c r="Z37" s="143">
        <v>0</v>
      </c>
      <c r="AA37" s="143">
        <v>0</v>
      </c>
      <c r="AB37" s="143">
        <v>0</v>
      </c>
      <c r="AC37" s="143">
        <v>0</v>
      </c>
      <c r="AD37" s="143">
        <v>0</v>
      </c>
      <c r="AE37" s="143">
        <v>0.20016527868552028</v>
      </c>
      <c r="AF37" s="143">
        <v>1.000000060939994E-3</v>
      </c>
      <c r="AG37" s="143">
        <v>0</v>
      </c>
      <c r="AH37" s="143">
        <v>0.17599999882528006</v>
      </c>
      <c r="AI37" s="143">
        <v>0</v>
      </c>
      <c r="AJ37" s="143">
        <v>0</v>
      </c>
      <c r="AK37" s="143">
        <v>1.2004241653652371E-2</v>
      </c>
      <c r="AL37" s="143">
        <v>0</v>
      </c>
      <c r="AM37" s="143">
        <v>0.05</v>
      </c>
      <c r="AN37" s="143">
        <v>7.0046931397151582E-2</v>
      </c>
      <c r="AO37" s="143">
        <v>2.0020020100100098E-2</v>
      </c>
      <c r="AP37" s="143">
        <v>0</v>
      </c>
      <c r="AQ37" s="143">
        <v>0</v>
      </c>
      <c r="AR37" s="143">
        <v>0</v>
      </c>
      <c r="AS37" s="143">
        <v>0</v>
      </c>
      <c r="AT37" s="143">
        <v>0</v>
      </c>
      <c r="AU37" s="143">
        <v>0</v>
      </c>
      <c r="AV37" s="143">
        <v>0</v>
      </c>
      <c r="AW37" s="143">
        <v>0</v>
      </c>
      <c r="AX37" s="143">
        <v>0</v>
      </c>
      <c r="AY37" s="143">
        <v>0</v>
      </c>
      <c r="AZ37" s="143">
        <v>0</v>
      </c>
      <c r="BA37" s="143">
        <v>0</v>
      </c>
      <c r="BB37" s="143">
        <v>0</v>
      </c>
      <c r="BC37" s="143">
        <v>0</v>
      </c>
    </row>
    <row r="38" spans="1:55" customFormat="1" x14ac:dyDescent="0.15">
      <c r="A38" s="178" t="s">
        <v>228</v>
      </c>
      <c r="B38" s="143">
        <v>4.9603169255952474E-3</v>
      </c>
      <c r="C38" s="143">
        <v>0</v>
      </c>
      <c r="D38" s="143">
        <v>3.10310296836835E-2</v>
      </c>
      <c r="E38" s="143">
        <v>0</v>
      </c>
      <c r="F38" s="143">
        <v>0</v>
      </c>
      <c r="G38" s="143">
        <v>0</v>
      </c>
      <c r="H38" s="143">
        <v>0</v>
      </c>
      <c r="I38" s="143">
        <v>0</v>
      </c>
      <c r="J38" s="143">
        <v>0.05</v>
      </c>
      <c r="K38" s="143">
        <v>0</v>
      </c>
      <c r="L38" s="143">
        <v>0.15</v>
      </c>
      <c r="M38" s="143">
        <v>4.9999983710000674E-2</v>
      </c>
      <c r="N38" s="143">
        <v>0</v>
      </c>
      <c r="O38" s="143">
        <v>0.15</v>
      </c>
      <c r="P38" s="143">
        <v>2.5000000000000001E-2</v>
      </c>
      <c r="Q38" s="143">
        <v>0</v>
      </c>
      <c r="R38" s="143">
        <v>0</v>
      </c>
      <c r="S38" s="143">
        <v>0</v>
      </c>
      <c r="T38" s="143">
        <v>0</v>
      </c>
      <c r="U38" s="143">
        <v>0</v>
      </c>
      <c r="V38" s="143">
        <v>0</v>
      </c>
      <c r="W38" s="143">
        <v>0</v>
      </c>
      <c r="X38" s="143">
        <v>0</v>
      </c>
      <c r="Y38" s="143">
        <v>0</v>
      </c>
      <c r="Z38" s="143">
        <v>0</v>
      </c>
      <c r="AA38" s="143">
        <v>0</v>
      </c>
      <c r="AB38" s="143">
        <v>0</v>
      </c>
      <c r="AC38" s="143">
        <v>0</v>
      </c>
      <c r="AD38" s="143">
        <v>0</v>
      </c>
      <c r="AE38" s="143">
        <v>0</v>
      </c>
      <c r="AF38" s="143">
        <v>1.000000060939994E-3</v>
      </c>
      <c r="AG38" s="143">
        <v>0</v>
      </c>
      <c r="AH38" s="143">
        <v>0.17700000073905992</v>
      </c>
      <c r="AI38" s="143">
        <v>0.31998997356017039</v>
      </c>
      <c r="AJ38" s="143">
        <v>0</v>
      </c>
      <c r="AK38" s="143">
        <v>0.13336289527760187</v>
      </c>
      <c r="AL38" s="143">
        <v>5.9940057831268665E-3</v>
      </c>
      <c r="AM38" s="143">
        <v>0.05</v>
      </c>
      <c r="AN38" s="143">
        <v>7.0046931397151582E-2</v>
      </c>
      <c r="AO38" s="143">
        <v>2.0020020100100098E-2</v>
      </c>
      <c r="AP38" s="143">
        <v>0</v>
      </c>
      <c r="AQ38" s="143">
        <v>0</v>
      </c>
      <c r="AR38" s="143">
        <v>0</v>
      </c>
      <c r="AS38" s="143">
        <v>0</v>
      </c>
      <c r="AT38" s="143">
        <v>0</v>
      </c>
      <c r="AU38" s="143">
        <v>0</v>
      </c>
      <c r="AV38" s="143">
        <v>0</v>
      </c>
      <c r="AW38" s="143">
        <v>0</v>
      </c>
      <c r="AX38" s="143">
        <v>0</v>
      </c>
      <c r="AY38" s="143">
        <v>0</v>
      </c>
      <c r="AZ38" s="143">
        <v>0</v>
      </c>
      <c r="BA38" s="143">
        <v>0</v>
      </c>
      <c r="BB38" s="143">
        <v>0</v>
      </c>
      <c r="BC38" s="143">
        <v>0</v>
      </c>
    </row>
    <row r="39" spans="1:55" x14ac:dyDescent="0.15">
      <c r="A39" s="178" t="s">
        <v>229</v>
      </c>
      <c r="B39" s="143">
        <v>4.2658729360119073E-2</v>
      </c>
      <c r="C39" s="143">
        <v>0</v>
      </c>
      <c r="D39" s="143">
        <v>8.0080080538538576E-3</v>
      </c>
      <c r="E39" s="143">
        <v>2.0021927304912871E-3</v>
      </c>
      <c r="F39" s="143">
        <v>0</v>
      </c>
      <c r="G39" s="143">
        <v>0</v>
      </c>
      <c r="H39" s="143">
        <v>0</v>
      </c>
      <c r="I39" s="143">
        <v>0</v>
      </c>
      <c r="J39" s="143">
        <v>0</v>
      </c>
      <c r="K39" s="143">
        <v>0</v>
      </c>
      <c r="L39" s="143">
        <v>0</v>
      </c>
      <c r="M39" s="143">
        <v>0</v>
      </c>
      <c r="N39" s="143">
        <v>0</v>
      </c>
      <c r="O39" s="143">
        <v>0</v>
      </c>
      <c r="P39" s="143">
        <v>0</v>
      </c>
      <c r="Q39" s="143">
        <v>0</v>
      </c>
      <c r="R39" s="143">
        <v>0</v>
      </c>
      <c r="S39" s="143">
        <v>0</v>
      </c>
      <c r="T39" s="143">
        <v>0</v>
      </c>
      <c r="U39" s="143">
        <v>0</v>
      </c>
      <c r="V39" s="143">
        <v>0</v>
      </c>
      <c r="W39" s="143">
        <v>0</v>
      </c>
      <c r="X39" s="143">
        <v>0</v>
      </c>
      <c r="Y39" s="143">
        <v>7.0000000000000001E-3</v>
      </c>
      <c r="Z39" s="143">
        <v>0</v>
      </c>
      <c r="AA39" s="143">
        <v>0</v>
      </c>
      <c r="AB39" s="143">
        <v>0</v>
      </c>
      <c r="AC39" s="143">
        <v>0</v>
      </c>
      <c r="AD39" s="143">
        <v>0</v>
      </c>
      <c r="AE39" s="143">
        <v>0</v>
      </c>
      <c r="AF39" s="143">
        <v>3.9999998837600109E-2</v>
      </c>
      <c r="AG39" s="143">
        <v>0</v>
      </c>
      <c r="AH39" s="143">
        <v>0</v>
      </c>
      <c r="AI39" s="143">
        <v>0</v>
      </c>
      <c r="AJ39" s="143">
        <v>0</v>
      </c>
      <c r="AK39" s="143">
        <v>0</v>
      </c>
      <c r="AL39" s="143">
        <v>0</v>
      </c>
      <c r="AM39" s="143">
        <v>0.03</v>
      </c>
      <c r="AN39" s="143">
        <v>0</v>
      </c>
      <c r="AO39" s="143">
        <v>5.0050050250250245E-3</v>
      </c>
      <c r="AP39" s="143">
        <v>0</v>
      </c>
      <c r="AQ39" s="143">
        <v>0</v>
      </c>
      <c r="AR39" s="143">
        <v>0</v>
      </c>
      <c r="AS39" s="143">
        <v>0</v>
      </c>
      <c r="AT39" s="143">
        <v>0</v>
      </c>
      <c r="AU39" s="143">
        <v>0</v>
      </c>
      <c r="AV39" s="143">
        <v>0</v>
      </c>
      <c r="AW39" s="143">
        <v>0</v>
      </c>
      <c r="AX39" s="143">
        <v>0</v>
      </c>
      <c r="AY39" s="143">
        <v>0</v>
      </c>
      <c r="AZ39" s="143">
        <v>0</v>
      </c>
      <c r="BA39" s="143">
        <v>0</v>
      </c>
      <c r="BB39" s="143">
        <v>0</v>
      </c>
      <c r="BC39" s="143">
        <v>0</v>
      </c>
    </row>
    <row r="40" spans="1:55" x14ac:dyDescent="0.15">
      <c r="A40" s="178" t="s">
        <v>230</v>
      </c>
      <c r="B40" s="143">
        <v>4.2658729360119073E-2</v>
      </c>
      <c r="C40" s="143">
        <v>0</v>
      </c>
      <c r="D40" s="143">
        <v>8.0080080538538576E-3</v>
      </c>
      <c r="E40" s="143">
        <v>0</v>
      </c>
      <c r="F40" s="143">
        <v>0</v>
      </c>
      <c r="G40" s="143">
        <v>0</v>
      </c>
      <c r="H40" s="143">
        <v>4.8999999999999988E-2</v>
      </c>
      <c r="I40" s="143">
        <v>0</v>
      </c>
      <c r="J40" s="143">
        <v>0</v>
      </c>
      <c r="K40" s="143">
        <v>0</v>
      </c>
      <c r="L40" s="143">
        <v>0</v>
      </c>
      <c r="M40" s="143">
        <v>0</v>
      </c>
      <c r="N40" s="143">
        <v>1E-3</v>
      </c>
      <c r="O40" s="143">
        <v>0</v>
      </c>
      <c r="P40" s="143">
        <v>0</v>
      </c>
      <c r="Q40" s="143">
        <v>0</v>
      </c>
      <c r="R40" s="143">
        <v>0</v>
      </c>
      <c r="S40" s="143">
        <v>8.7971849008317352E-4</v>
      </c>
      <c r="T40" s="143">
        <v>0</v>
      </c>
      <c r="U40" s="143">
        <v>0</v>
      </c>
      <c r="V40" s="143">
        <v>0.05</v>
      </c>
      <c r="W40" s="143">
        <v>1E-3</v>
      </c>
      <c r="X40" s="143">
        <v>0</v>
      </c>
      <c r="Y40" s="143">
        <v>3.0000000000000001E-3</v>
      </c>
      <c r="Z40" s="143">
        <v>0</v>
      </c>
      <c r="AA40" s="143">
        <v>7.0029412353188325E-4</v>
      </c>
      <c r="AB40" s="143">
        <v>0</v>
      </c>
      <c r="AC40" s="143">
        <v>0</v>
      </c>
      <c r="AD40" s="143">
        <v>0</v>
      </c>
      <c r="AE40" s="143">
        <v>0</v>
      </c>
      <c r="AF40" s="143">
        <v>0</v>
      </c>
      <c r="AG40" s="143">
        <v>1E-3</v>
      </c>
      <c r="AH40" s="143">
        <v>0</v>
      </c>
      <c r="AI40" s="143">
        <v>0</v>
      </c>
      <c r="AJ40" s="143">
        <v>0</v>
      </c>
      <c r="AK40" s="143">
        <v>0</v>
      </c>
      <c r="AL40" s="143">
        <v>0</v>
      </c>
      <c r="AM40" s="143">
        <v>0</v>
      </c>
      <c r="AN40" s="143">
        <v>0</v>
      </c>
      <c r="AO40" s="143">
        <v>1.0010010050050052E-3</v>
      </c>
      <c r="AP40" s="143">
        <v>0</v>
      </c>
      <c r="AQ40" s="143">
        <v>0</v>
      </c>
      <c r="AR40" s="143">
        <v>0</v>
      </c>
      <c r="AS40" s="143">
        <v>0</v>
      </c>
      <c r="AT40" s="143">
        <v>0</v>
      </c>
      <c r="AU40" s="143">
        <v>0</v>
      </c>
      <c r="AV40" s="143">
        <v>0</v>
      </c>
      <c r="AW40" s="143">
        <v>0</v>
      </c>
      <c r="AX40" s="143">
        <v>0</v>
      </c>
      <c r="AY40" s="143">
        <v>0</v>
      </c>
      <c r="AZ40" s="143">
        <v>0</v>
      </c>
      <c r="BA40" s="143">
        <v>0</v>
      </c>
      <c r="BB40" s="143">
        <v>0</v>
      </c>
      <c r="BC40" s="143">
        <v>0</v>
      </c>
    </row>
    <row r="41" spans="1:55" x14ac:dyDescent="0.15">
      <c r="A41" s="178" t="s">
        <v>231</v>
      </c>
      <c r="B41" s="143">
        <v>0.19841269702380959</v>
      </c>
      <c r="C41" s="143">
        <v>1.9960081117764549E-3</v>
      </c>
      <c r="D41" s="143">
        <v>0.10010009817317291</v>
      </c>
      <c r="E41" s="143">
        <v>0</v>
      </c>
      <c r="F41" s="143">
        <v>0</v>
      </c>
      <c r="G41" s="143">
        <v>0</v>
      </c>
      <c r="H41" s="143">
        <v>3.9999999999999992E-3</v>
      </c>
      <c r="I41" s="143">
        <v>0</v>
      </c>
      <c r="J41" s="143">
        <v>6.0000000000000001E-3</v>
      </c>
      <c r="K41" s="143">
        <v>0</v>
      </c>
      <c r="L41" s="143">
        <v>0</v>
      </c>
      <c r="M41" s="143">
        <v>0</v>
      </c>
      <c r="N41" s="143">
        <v>1.6E-2</v>
      </c>
      <c r="O41" s="143">
        <v>0</v>
      </c>
      <c r="P41" s="143">
        <v>0</v>
      </c>
      <c r="Q41" s="143">
        <v>0</v>
      </c>
      <c r="R41" s="143">
        <v>0</v>
      </c>
      <c r="S41" s="143">
        <v>6.9977607165706982E-3</v>
      </c>
      <c r="T41" s="143">
        <v>0.10000000310399958</v>
      </c>
      <c r="U41" s="143">
        <v>0</v>
      </c>
      <c r="V41" s="143">
        <v>0</v>
      </c>
      <c r="W41" s="143">
        <v>3.0000000000000001E-3</v>
      </c>
      <c r="X41" s="143">
        <v>1.0003000900270082E-3</v>
      </c>
      <c r="Y41" s="143">
        <v>0</v>
      </c>
      <c r="Z41" s="143">
        <v>1.2E-2</v>
      </c>
      <c r="AA41" s="143">
        <v>1.8007563176534139E-2</v>
      </c>
      <c r="AB41" s="143">
        <v>0</v>
      </c>
      <c r="AC41" s="143">
        <v>2E-3</v>
      </c>
      <c r="AD41" s="143">
        <v>5.2024971986553543E-4</v>
      </c>
      <c r="AE41" s="143">
        <v>8.5244747847174562E-2</v>
      </c>
      <c r="AF41" s="143">
        <v>0</v>
      </c>
      <c r="AG41" s="143">
        <v>7.0000000000000001E-3</v>
      </c>
      <c r="AH41" s="143">
        <v>0</v>
      </c>
      <c r="AI41" s="143">
        <v>0</v>
      </c>
      <c r="AJ41" s="143">
        <v>0</v>
      </c>
      <c r="AK41" s="143">
        <v>0</v>
      </c>
      <c r="AL41" s="143">
        <v>0</v>
      </c>
      <c r="AM41" s="143">
        <v>0</v>
      </c>
      <c r="AN41" s="143">
        <v>0</v>
      </c>
      <c r="AO41" s="143">
        <v>1.0010010050050052E-3</v>
      </c>
      <c r="AP41" s="143">
        <v>0</v>
      </c>
      <c r="AQ41" s="143">
        <v>0</v>
      </c>
      <c r="AR41" s="143">
        <v>0</v>
      </c>
      <c r="AS41" s="143">
        <v>0</v>
      </c>
      <c r="AT41" s="143">
        <v>0</v>
      </c>
      <c r="AU41" s="143">
        <v>0</v>
      </c>
      <c r="AV41" s="143">
        <v>0</v>
      </c>
      <c r="AW41" s="143">
        <v>0</v>
      </c>
      <c r="AX41" s="143">
        <v>0</v>
      </c>
      <c r="AY41" s="143">
        <v>0</v>
      </c>
      <c r="AZ41" s="143">
        <v>0</v>
      </c>
      <c r="BA41" s="143">
        <v>0</v>
      </c>
      <c r="BB41" s="143">
        <v>0</v>
      </c>
      <c r="BC41" s="143">
        <v>0</v>
      </c>
    </row>
    <row r="42" spans="1:55" x14ac:dyDescent="0.15">
      <c r="A42" s="178" t="s">
        <v>232</v>
      </c>
      <c r="B42" s="143">
        <v>4.2658729360119073E-2</v>
      </c>
      <c r="C42" s="143">
        <v>0</v>
      </c>
      <c r="D42" s="143">
        <v>9.0090081855854747E-3</v>
      </c>
      <c r="E42" s="143">
        <v>0.16818417571997007</v>
      </c>
      <c r="F42" s="143">
        <v>0</v>
      </c>
      <c r="G42" s="143">
        <v>0</v>
      </c>
      <c r="H42" s="143">
        <v>5.4999999999999986E-2</v>
      </c>
      <c r="I42" s="143">
        <v>4.9999968839998979E-2</v>
      </c>
      <c r="J42" s="143">
        <v>4.2999999999999997E-2</v>
      </c>
      <c r="K42" s="143">
        <v>4.9999998925000122E-2</v>
      </c>
      <c r="L42" s="143">
        <v>0</v>
      </c>
      <c r="M42" s="143">
        <v>0.15000005972999747</v>
      </c>
      <c r="N42" s="143">
        <v>8.5000000000000006E-2</v>
      </c>
      <c r="O42" s="143">
        <v>0</v>
      </c>
      <c r="P42" s="143">
        <v>0</v>
      </c>
      <c r="Q42" s="143">
        <v>0</v>
      </c>
      <c r="R42" s="143">
        <v>0.2</v>
      </c>
      <c r="S42" s="143">
        <v>0.10696577095329496</v>
      </c>
      <c r="T42" s="143">
        <v>0</v>
      </c>
      <c r="U42" s="143">
        <v>0</v>
      </c>
      <c r="V42" s="143">
        <v>0.45</v>
      </c>
      <c r="W42" s="143">
        <v>0.41599999999999998</v>
      </c>
      <c r="X42" s="143">
        <v>0</v>
      </c>
      <c r="Y42" s="143">
        <v>1.9E-2</v>
      </c>
      <c r="Z42" s="143">
        <v>0.13500000000000001</v>
      </c>
      <c r="AA42" s="143">
        <v>7.6031933412033029E-2</v>
      </c>
      <c r="AB42" s="143">
        <v>3.0000000000000001E-3</v>
      </c>
      <c r="AC42" s="143">
        <v>0.121</v>
      </c>
      <c r="AD42" s="143">
        <v>6.0028813830638713E-3</v>
      </c>
      <c r="AE42" s="143">
        <v>0</v>
      </c>
      <c r="AF42" s="143">
        <v>1.000000060939994E-3</v>
      </c>
      <c r="AG42" s="143">
        <v>0.45300000000000001</v>
      </c>
      <c r="AH42" s="143">
        <v>0</v>
      </c>
      <c r="AI42" s="143">
        <v>0</v>
      </c>
      <c r="AJ42" s="143">
        <v>0</v>
      </c>
      <c r="AK42" s="143">
        <v>0</v>
      </c>
      <c r="AL42" s="143">
        <v>0</v>
      </c>
      <c r="AM42" s="143">
        <v>0.15</v>
      </c>
      <c r="AN42" s="143">
        <v>0</v>
      </c>
      <c r="AO42" s="143">
        <v>1.0010010050050049E-2</v>
      </c>
      <c r="AP42" s="143">
        <v>0</v>
      </c>
      <c r="AQ42" s="143">
        <v>0</v>
      </c>
      <c r="AR42" s="143">
        <v>0</v>
      </c>
      <c r="AS42" s="143">
        <v>0</v>
      </c>
      <c r="AT42" s="143">
        <v>0</v>
      </c>
      <c r="AU42" s="143">
        <v>0</v>
      </c>
      <c r="AV42" s="143">
        <v>0</v>
      </c>
      <c r="AW42" s="143">
        <v>0</v>
      </c>
      <c r="AX42" s="143">
        <v>0</v>
      </c>
      <c r="AY42" s="143">
        <v>0</v>
      </c>
      <c r="AZ42" s="143">
        <v>0</v>
      </c>
      <c r="BA42" s="143">
        <v>0</v>
      </c>
      <c r="BB42" s="143">
        <v>0</v>
      </c>
      <c r="BC42" s="143">
        <v>0</v>
      </c>
    </row>
    <row r="43" spans="1:55" x14ac:dyDescent="0.15">
      <c r="A43" s="178" t="s">
        <v>233</v>
      </c>
      <c r="B43" s="143">
        <v>0</v>
      </c>
      <c r="C43" s="143">
        <v>0</v>
      </c>
      <c r="D43" s="143">
        <v>0</v>
      </c>
      <c r="E43" s="143">
        <v>0</v>
      </c>
      <c r="F43" s="143">
        <v>0</v>
      </c>
      <c r="G43" s="143">
        <v>0</v>
      </c>
      <c r="H43" s="143">
        <v>0</v>
      </c>
      <c r="I43" s="143">
        <v>0</v>
      </c>
      <c r="J43" s="143">
        <v>3.0000000000000001E-3</v>
      </c>
      <c r="K43" s="143">
        <v>0</v>
      </c>
      <c r="L43" s="143">
        <v>0</v>
      </c>
      <c r="M43" s="143">
        <v>0</v>
      </c>
      <c r="N43" s="143">
        <v>0</v>
      </c>
      <c r="O43" s="143">
        <v>0</v>
      </c>
      <c r="P43" s="143">
        <v>0</v>
      </c>
      <c r="Q43" s="143">
        <v>0</v>
      </c>
      <c r="R43" s="143">
        <v>0</v>
      </c>
      <c r="S43" s="143">
        <v>4.3985924504158676E-4</v>
      </c>
      <c r="T43" s="143">
        <v>0</v>
      </c>
      <c r="U43" s="143">
        <v>0</v>
      </c>
      <c r="V43" s="143">
        <v>0</v>
      </c>
      <c r="W43" s="143">
        <v>0</v>
      </c>
      <c r="X43" s="143">
        <v>0</v>
      </c>
      <c r="Y43" s="143">
        <v>0</v>
      </c>
      <c r="Z43" s="143">
        <v>0</v>
      </c>
      <c r="AA43" s="143">
        <v>0</v>
      </c>
      <c r="AB43" s="143">
        <v>0</v>
      </c>
      <c r="AC43" s="143">
        <v>0</v>
      </c>
      <c r="AD43" s="143">
        <v>0</v>
      </c>
      <c r="AE43" s="143">
        <v>0</v>
      </c>
      <c r="AF43" s="143">
        <v>0</v>
      </c>
      <c r="AG43" s="143">
        <v>0</v>
      </c>
      <c r="AH43" s="143">
        <v>6.0000000026799978E-3</v>
      </c>
      <c r="AI43" s="143">
        <v>0</v>
      </c>
      <c r="AJ43" s="143">
        <v>0</v>
      </c>
      <c r="AK43" s="143">
        <v>0</v>
      </c>
      <c r="AL43" s="143">
        <v>4.9950051609390658E-2</v>
      </c>
      <c r="AM43" s="143">
        <v>0</v>
      </c>
      <c r="AN43" s="143">
        <v>0.16094683443218202</v>
      </c>
      <c r="AO43" s="143">
        <v>0</v>
      </c>
      <c r="AP43" s="143">
        <v>0</v>
      </c>
      <c r="AQ43" s="143">
        <v>0</v>
      </c>
      <c r="AR43" s="143">
        <v>0</v>
      </c>
      <c r="AS43" s="143">
        <v>0</v>
      </c>
      <c r="AT43" s="143">
        <v>0</v>
      </c>
      <c r="AU43" s="143">
        <v>0</v>
      </c>
      <c r="AV43" s="143">
        <v>0</v>
      </c>
      <c r="AW43" s="143">
        <v>0</v>
      </c>
      <c r="AX43" s="143">
        <v>0</v>
      </c>
      <c r="AY43" s="143">
        <v>0</v>
      </c>
      <c r="AZ43" s="143">
        <v>0</v>
      </c>
      <c r="BA43" s="143">
        <v>0</v>
      </c>
      <c r="BB43" s="143">
        <v>0</v>
      </c>
      <c r="BC43" s="143">
        <v>0</v>
      </c>
    </row>
    <row r="44" spans="1:55" x14ac:dyDescent="0.15">
      <c r="A44" s="178" t="s">
        <v>234</v>
      </c>
      <c r="B44" s="143">
        <v>0</v>
      </c>
      <c r="C44" s="143">
        <v>0</v>
      </c>
      <c r="D44" s="143">
        <v>0</v>
      </c>
      <c r="E44" s="143">
        <v>0</v>
      </c>
      <c r="F44" s="143">
        <v>0</v>
      </c>
      <c r="G44" s="143">
        <v>0</v>
      </c>
      <c r="H44" s="143">
        <v>0</v>
      </c>
      <c r="I44" s="143">
        <v>0</v>
      </c>
      <c r="J44" s="143">
        <v>0</v>
      </c>
      <c r="K44" s="143">
        <v>0</v>
      </c>
      <c r="L44" s="143">
        <v>0</v>
      </c>
      <c r="M44" s="143">
        <v>0</v>
      </c>
      <c r="N44" s="143">
        <v>0</v>
      </c>
      <c r="O44" s="143">
        <v>0</v>
      </c>
      <c r="P44" s="143">
        <v>0</v>
      </c>
      <c r="Q44" s="143">
        <v>0</v>
      </c>
      <c r="R44" s="143">
        <v>0</v>
      </c>
      <c r="S44" s="143">
        <v>0</v>
      </c>
      <c r="T44" s="143">
        <v>0</v>
      </c>
      <c r="U44" s="143">
        <v>0</v>
      </c>
      <c r="V44" s="143">
        <v>0</v>
      </c>
      <c r="W44" s="143">
        <v>0</v>
      </c>
      <c r="X44" s="143">
        <v>0</v>
      </c>
      <c r="Y44" s="143">
        <v>0</v>
      </c>
      <c r="Z44" s="143">
        <v>0</v>
      </c>
      <c r="AA44" s="143">
        <v>0</v>
      </c>
      <c r="AB44" s="143">
        <v>0</v>
      </c>
      <c r="AC44" s="143">
        <v>0</v>
      </c>
      <c r="AD44" s="143">
        <v>0</v>
      </c>
      <c r="AE44" s="143">
        <v>0</v>
      </c>
      <c r="AF44" s="143">
        <v>0</v>
      </c>
      <c r="AG44" s="143">
        <v>0</v>
      </c>
      <c r="AH44" s="143">
        <v>0</v>
      </c>
      <c r="AI44" s="143">
        <v>0.30000459489992187</v>
      </c>
      <c r="AJ44" s="143">
        <v>0</v>
      </c>
      <c r="AK44" s="143">
        <v>0.11202486456468046</v>
      </c>
      <c r="AL44" s="143">
        <v>0.1498501498281718</v>
      </c>
      <c r="AM44" s="143">
        <v>0</v>
      </c>
      <c r="AN44" s="143">
        <v>0</v>
      </c>
      <c r="AO44" s="143">
        <v>0</v>
      </c>
      <c r="AP44" s="143">
        <v>0</v>
      </c>
      <c r="AQ44" s="143">
        <v>0</v>
      </c>
      <c r="AR44" s="143">
        <v>0.09</v>
      </c>
      <c r="AS44" s="143">
        <v>0</v>
      </c>
      <c r="AT44" s="143">
        <v>0</v>
      </c>
      <c r="AU44" s="143">
        <v>0</v>
      </c>
      <c r="AV44" s="143">
        <v>0</v>
      </c>
      <c r="AW44" s="143">
        <v>0</v>
      </c>
      <c r="AX44" s="143">
        <v>0</v>
      </c>
      <c r="AY44" s="143">
        <v>0</v>
      </c>
      <c r="AZ44" s="143">
        <v>0</v>
      </c>
      <c r="BA44" s="143">
        <v>0</v>
      </c>
      <c r="BB44" s="143">
        <v>0</v>
      </c>
      <c r="BC44" s="143">
        <v>0</v>
      </c>
    </row>
    <row r="45" spans="1:55" x14ac:dyDescent="0.15">
      <c r="A45" s="178" t="s">
        <v>235</v>
      </c>
      <c r="B45" s="143">
        <v>0</v>
      </c>
      <c r="C45" s="143">
        <v>0.16267464510978016</v>
      </c>
      <c r="D45" s="143">
        <v>0</v>
      </c>
      <c r="E45" s="143">
        <v>0</v>
      </c>
      <c r="F45" s="143">
        <v>0.25</v>
      </c>
      <c r="G45" s="143">
        <v>0</v>
      </c>
      <c r="H45" s="143">
        <v>0</v>
      </c>
      <c r="I45" s="143">
        <v>0</v>
      </c>
      <c r="J45" s="143">
        <v>0</v>
      </c>
      <c r="K45" s="143">
        <v>9.9999997850000244E-2</v>
      </c>
      <c r="L45" s="143">
        <v>0</v>
      </c>
      <c r="M45" s="143">
        <v>0</v>
      </c>
      <c r="N45" s="143">
        <v>0</v>
      </c>
      <c r="O45" s="143">
        <v>0</v>
      </c>
      <c r="P45" s="143">
        <v>0</v>
      </c>
      <c r="Q45" s="143">
        <v>0.2</v>
      </c>
      <c r="R45" s="143">
        <v>0</v>
      </c>
      <c r="S45" s="143">
        <v>0</v>
      </c>
      <c r="T45" s="143">
        <v>0</v>
      </c>
      <c r="U45" s="143">
        <v>0</v>
      </c>
      <c r="V45" s="143">
        <v>0</v>
      </c>
      <c r="W45" s="143">
        <v>0</v>
      </c>
      <c r="X45" s="143">
        <v>0</v>
      </c>
      <c r="Y45" s="143">
        <v>0</v>
      </c>
      <c r="Z45" s="143">
        <v>0</v>
      </c>
      <c r="AA45" s="143">
        <v>0</v>
      </c>
      <c r="AB45" s="143">
        <v>0</v>
      </c>
      <c r="AC45" s="143">
        <v>0</v>
      </c>
      <c r="AD45" s="143">
        <v>0</v>
      </c>
      <c r="AE45" s="143">
        <v>0</v>
      </c>
      <c r="AF45" s="143">
        <v>9.9999997094000273E-3</v>
      </c>
      <c r="AG45" s="143">
        <v>0</v>
      </c>
      <c r="AH45" s="143">
        <v>1.8999999661820022E-2</v>
      </c>
      <c r="AI45" s="143">
        <v>0</v>
      </c>
      <c r="AJ45" s="143">
        <v>0</v>
      </c>
      <c r="AK45" s="143">
        <v>6.870211083254274E-2</v>
      </c>
      <c r="AL45" s="143">
        <v>0</v>
      </c>
      <c r="AM45" s="143">
        <v>0</v>
      </c>
      <c r="AN45" s="143">
        <v>0</v>
      </c>
      <c r="AO45" s="143">
        <v>0.19019018195095092</v>
      </c>
      <c r="AP45" s="143">
        <v>0</v>
      </c>
      <c r="AQ45" s="143">
        <v>0</v>
      </c>
      <c r="AR45" s="143">
        <v>0</v>
      </c>
      <c r="AS45" s="143">
        <v>4.9999982994999692E-2</v>
      </c>
      <c r="AT45" s="143">
        <v>0.12500000432499964</v>
      </c>
      <c r="AU45" s="143">
        <v>0</v>
      </c>
      <c r="AV45" s="143">
        <v>0</v>
      </c>
      <c r="AW45" s="143">
        <v>0</v>
      </c>
      <c r="AX45" s="143">
        <v>0</v>
      </c>
      <c r="AY45" s="143">
        <v>0</v>
      </c>
      <c r="AZ45" s="143">
        <v>0</v>
      </c>
      <c r="BA45" s="143">
        <v>0</v>
      </c>
      <c r="BB45" s="143">
        <v>0</v>
      </c>
      <c r="BC45" s="143">
        <v>0</v>
      </c>
    </row>
    <row r="46" spans="1:55" x14ac:dyDescent="0.15">
      <c r="A46" s="178" t="s">
        <v>236</v>
      </c>
      <c r="B46" s="143">
        <v>0</v>
      </c>
      <c r="C46" s="143">
        <v>0.16267464510978016</v>
      </c>
      <c r="D46" s="143">
        <v>0</v>
      </c>
      <c r="E46" s="143">
        <v>0</v>
      </c>
      <c r="F46" s="143">
        <v>0.25</v>
      </c>
      <c r="G46" s="143">
        <v>0</v>
      </c>
      <c r="H46" s="143">
        <v>1.9999999999999996E-3</v>
      </c>
      <c r="I46" s="143">
        <v>0.15000000492000015</v>
      </c>
      <c r="J46" s="143">
        <v>2E-3</v>
      </c>
      <c r="K46" s="143">
        <v>0.15000000427499954</v>
      </c>
      <c r="L46" s="143">
        <v>0</v>
      </c>
      <c r="M46" s="143">
        <v>0.11999999498400019</v>
      </c>
      <c r="N46" s="143">
        <v>3.5000000000000003E-2</v>
      </c>
      <c r="O46" s="143">
        <v>0</v>
      </c>
      <c r="P46" s="143">
        <v>0</v>
      </c>
      <c r="Q46" s="143">
        <v>0.1</v>
      </c>
      <c r="R46" s="143">
        <v>0.111</v>
      </c>
      <c r="S46" s="143">
        <v>3.9987204094689706E-2</v>
      </c>
      <c r="T46" s="143">
        <v>0</v>
      </c>
      <c r="U46" s="143">
        <v>2.4E-2</v>
      </c>
      <c r="V46" s="143">
        <v>0</v>
      </c>
      <c r="W46" s="143">
        <v>0.106</v>
      </c>
      <c r="X46" s="143">
        <v>0.31209362808842656</v>
      </c>
      <c r="Y46" s="143">
        <v>0</v>
      </c>
      <c r="Z46" s="143">
        <v>0.01</v>
      </c>
      <c r="AA46" s="143">
        <v>5.602352988255066E-2</v>
      </c>
      <c r="AB46" s="143">
        <v>0.317</v>
      </c>
      <c r="AC46" s="143">
        <v>0.14899999999999999</v>
      </c>
      <c r="AD46" s="143">
        <v>0.51524731871298224</v>
      </c>
      <c r="AE46" s="143">
        <v>0</v>
      </c>
      <c r="AF46" s="143">
        <v>1.000000060939994E-3</v>
      </c>
      <c r="AG46" s="143">
        <v>3.5999999999999997E-2</v>
      </c>
      <c r="AH46" s="143">
        <v>1.8999999661820022E-2</v>
      </c>
      <c r="AI46" s="143">
        <v>0</v>
      </c>
      <c r="AJ46" s="143">
        <v>0</v>
      </c>
      <c r="AK46" s="143">
        <v>8.0053316538398374E-3</v>
      </c>
      <c r="AL46" s="143">
        <v>1.0989010354065912E-2</v>
      </c>
      <c r="AM46" s="143">
        <v>0</v>
      </c>
      <c r="AN46" s="143">
        <v>0</v>
      </c>
      <c r="AO46" s="143">
        <v>0.12512512562562564</v>
      </c>
      <c r="AP46" s="143">
        <v>2.9999998731000108E-2</v>
      </c>
      <c r="AQ46" s="143">
        <v>9.9042445642132382E-2</v>
      </c>
      <c r="AR46" s="143">
        <v>0</v>
      </c>
      <c r="AS46" s="143">
        <v>5.0000000895000014E-2</v>
      </c>
      <c r="AT46" s="143">
        <v>2.5000000064999996E-2</v>
      </c>
      <c r="AU46" s="143">
        <v>1.6003833947963578E-2</v>
      </c>
      <c r="AV46" s="143">
        <v>0</v>
      </c>
      <c r="AW46" s="143">
        <v>0</v>
      </c>
      <c r="AX46" s="143">
        <v>0</v>
      </c>
      <c r="AY46" s="143">
        <v>0</v>
      </c>
      <c r="AZ46" s="143">
        <v>0</v>
      </c>
      <c r="BA46" s="143">
        <v>0</v>
      </c>
      <c r="BB46" s="143">
        <v>0</v>
      </c>
      <c r="BC46" s="143">
        <v>0</v>
      </c>
    </row>
    <row r="47" spans="1:55" x14ac:dyDescent="0.15">
      <c r="A47" s="178" t="s">
        <v>237</v>
      </c>
      <c r="B47" s="143">
        <v>0</v>
      </c>
      <c r="C47" s="143">
        <v>0.16267464510978016</v>
      </c>
      <c r="D47" s="143">
        <v>0</v>
      </c>
      <c r="E47" s="143">
        <v>0</v>
      </c>
      <c r="F47" s="143">
        <v>0.25</v>
      </c>
      <c r="G47" s="143">
        <v>0</v>
      </c>
      <c r="H47" s="143">
        <v>1.9999999999999996E-3</v>
      </c>
      <c r="I47" s="143">
        <v>0.25000000820000023</v>
      </c>
      <c r="J47" s="143">
        <v>2E-3</v>
      </c>
      <c r="K47" s="143">
        <v>0.25000000212499979</v>
      </c>
      <c r="L47" s="143">
        <v>0</v>
      </c>
      <c r="M47" s="143">
        <v>0.19999999164000035</v>
      </c>
      <c r="N47" s="143">
        <v>3.5000000000000003E-2</v>
      </c>
      <c r="O47" s="143">
        <v>0</v>
      </c>
      <c r="P47" s="143">
        <v>0</v>
      </c>
      <c r="Q47" s="143">
        <v>0.2</v>
      </c>
      <c r="R47" s="143">
        <v>0.111</v>
      </c>
      <c r="S47" s="143">
        <v>3.9987204094689706E-2</v>
      </c>
      <c r="T47" s="143">
        <v>0</v>
      </c>
      <c r="U47" s="143">
        <v>2.4E-2</v>
      </c>
      <c r="V47" s="143">
        <v>0</v>
      </c>
      <c r="W47" s="143">
        <v>0.106</v>
      </c>
      <c r="X47" s="143">
        <v>0.31209362808842656</v>
      </c>
      <c r="Y47" s="143">
        <v>0</v>
      </c>
      <c r="Z47" s="143">
        <v>0.01</v>
      </c>
      <c r="AA47" s="143">
        <v>5.602352988255066E-2</v>
      </c>
      <c r="AB47" s="143">
        <v>0.317</v>
      </c>
      <c r="AC47" s="143">
        <v>0.14899999999999999</v>
      </c>
      <c r="AD47" s="143">
        <v>0.21510324955978871</v>
      </c>
      <c r="AE47" s="143">
        <v>0</v>
      </c>
      <c r="AF47" s="143">
        <v>1.000000060939994E-3</v>
      </c>
      <c r="AG47" s="143">
        <v>3.5999999999999997E-2</v>
      </c>
      <c r="AH47" s="143">
        <v>1.8999999661820022E-2</v>
      </c>
      <c r="AI47" s="143">
        <v>0</v>
      </c>
      <c r="AJ47" s="143">
        <v>0</v>
      </c>
      <c r="AK47" s="143">
        <v>6.870211083254274E-2</v>
      </c>
      <c r="AL47" s="143">
        <v>1.0989010354065912E-2</v>
      </c>
      <c r="AM47" s="143">
        <v>0</v>
      </c>
      <c r="AN47" s="143">
        <v>0</v>
      </c>
      <c r="AO47" s="143">
        <v>0.200200201001001</v>
      </c>
      <c r="AP47" s="143">
        <v>2.9999998731000108E-2</v>
      </c>
      <c r="AQ47" s="143">
        <v>9.9042445642132382E-2</v>
      </c>
      <c r="AR47" s="143">
        <v>0</v>
      </c>
      <c r="AS47" s="143">
        <v>0.25000000447500004</v>
      </c>
      <c r="AT47" s="143">
        <v>0.32499999024500087</v>
      </c>
      <c r="AU47" s="143">
        <v>6.5776533775122936E-2</v>
      </c>
      <c r="AV47" s="143">
        <v>1.0000083076318297E-2</v>
      </c>
      <c r="AW47" s="143">
        <v>0</v>
      </c>
      <c r="AX47" s="143">
        <v>0</v>
      </c>
      <c r="AY47" s="143">
        <v>0</v>
      </c>
      <c r="AZ47" s="143">
        <v>0</v>
      </c>
      <c r="BA47" s="143">
        <v>0</v>
      </c>
      <c r="BB47" s="143">
        <v>0</v>
      </c>
      <c r="BC47" s="143">
        <v>0</v>
      </c>
    </row>
    <row r="48" spans="1:55" x14ac:dyDescent="0.15">
      <c r="A48" s="178" t="s">
        <v>238</v>
      </c>
      <c r="B48" s="143">
        <v>0</v>
      </c>
      <c r="C48" s="143">
        <v>0.16267464510978016</v>
      </c>
      <c r="D48" s="143">
        <v>0</v>
      </c>
      <c r="E48" s="143">
        <v>0</v>
      </c>
      <c r="F48" s="143">
        <v>0.25</v>
      </c>
      <c r="G48" s="143">
        <v>0</v>
      </c>
      <c r="H48" s="143">
        <v>1.9999999999999996E-3</v>
      </c>
      <c r="I48" s="143">
        <v>0.25000000820000023</v>
      </c>
      <c r="J48" s="143">
        <v>2E-3</v>
      </c>
      <c r="K48" s="143">
        <v>0.15000000427499954</v>
      </c>
      <c r="L48" s="143">
        <v>0</v>
      </c>
      <c r="M48" s="143">
        <v>0.15999999331200027</v>
      </c>
      <c r="N48" s="143">
        <v>3.5000000000000003E-2</v>
      </c>
      <c r="O48" s="143">
        <v>0</v>
      </c>
      <c r="P48" s="143">
        <v>0</v>
      </c>
      <c r="Q48" s="143">
        <v>0.1</v>
      </c>
      <c r="R48" s="143">
        <v>0.111</v>
      </c>
      <c r="S48" s="143">
        <v>4.1986564299424191E-2</v>
      </c>
      <c r="T48" s="143">
        <v>0</v>
      </c>
      <c r="U48" s="143">
        <v>2.4E-2</v>
      </c>
      <c r="V48" s="143">
        <v>0</v>
      </c>
      <c r="W48" s="143">
        <v>0.107</v>
      </c>
      <c r="X48" s="143">
        <v>0.31309392817845355</v>
      </c>
      <c r="Y48" s="143">
        <v>0</v>
      </c>
      <c r="Z48" s="143">
        <v>0.01</v>
      </c>
      <c r="AA48" s="143">
        <v>5.602352988255066E-2</v>
      </c>
      <c r="AB48" s="143">
        <v>0.317</v>
      </c>
      <c r="AC48" s="143">
        <v>0.14899999999999999</v>
      </c>
      <c r="AD48" s="143">
        <v>0.21510324955978871</v>
      </c>
      <c r="AE48" s="143">
        <v>0</v>
      </c>
      <c r="AF48" s="143">
        <v>1.000000060939994E-3</v>
      </c>
      <c r="AG48" s="143">
        <v>3.5999999999999997E-2</v>
      </c>
      <c r="AH48" s="143">
        <v>1.8999999661820022E-2</v>
      </c>
      <c r="AI48" s="143">
        <v>0</v>
      </c>
      <c r="AJ48" s="143">
        <v>0</v>
      </c>
      <c r="AK48" s="143">
        <v>1.8011992569849467E-2</v>
      </c>
      <c r="AL48" s="143">
        <v>1.0989010354065912E-2</v>
      </c>
      <c r="AM48" s="143">
        <v>0</v>
      </c>
      <c r="AN48" s="143">
        <v>0</v>
      </c>
      <c r="AO48" s="143">
        <v>0.14114114670570571</v>
      </c>
      <c r="AP48" s="143">
        <v>2.9999998731000108E-2</v>
      </c>
      <c r="AQ48" s="143">
        <v>9.9042445642132382E-2</v>
      </c>
      <c r="AR48" s="143">
        <v>0</v>
      </c>
      <c r="AS48" s="143">
        <v>0.10000000179000003</v>
      </c>
      <c r="AT48" s="143">
        <v>0.22499998978500088</v>
      </c>
      <c r="AU48" s="143">
        <v>0.46611139557194181</v>
      </c>
      <c r="AV48" s="143">
        <v>1.0000084276259344E-3</v>
      </c>
      <c r="AW48" s="143">
        <v>0</v>
      </c>
      <c r="AX48" s="143">
        <v>0</v>
      </c>
      <c r="AY48" s="143">
        <v>0</v>
      </c>
      <c r="AZ48" s="143">
        <v>0</v>
      </c>
      <c r="BA48" s="143">
        <v>0</v>
      </c>
      <c r="BB48" s="143">
        <v>0</v>
      </c>
      <c r="BC48" s="143">
        <v>0</v>
      </c>
    </row>
    <row r="49" spans="1:55" x14ac:dyDescent="0.15">
      <c r="A49" s="178" t="s">
        <v>239</v>
      </c>
      <c r="B49" s="143">
        <v>0</v>
      </c>
      <c r="C49" s="143">
        <v>0</v>
      </c>
      <c r="D49" s="143">
        <v>0</v>
      </c>
      <c r="E49" s="143">
        <v>0</v>
      </c>
      <c r="F49" s="143">
        <v>0</v>
      </c>
      <c r="G49" s="143">
        <v>0</v>
      </c>
      <c r="H49" s="143">
        <v>0</v>
      </c>
      <c r="I49" s="143">
        <v>0</v>
      </c>
      <c r="J49" s="143">
        <v>3.0000000000000001E-3</v>
      </c>
      <c r="K49" s="143">
        <v>0</v>
      </c>
      <c r="L49" s="143">
        <v>0</v>
      </c>
      <c r="M49" s="143">
        <v>0</v>
      </c>
      <c r="N49" s="143">
        <v>0</v>
      </c>
      <c r="O49" s="143">
        <v>0</v>
      </c>
      <c r="P49" s="143">
        <v>0</v>
      </c>
      <c r="Q49" s="143">
        <v>0</v>
      </c>
      <c r="R49" s="143">
        <v>0</v>
      </c>
      <c r="S49" s="143">
        <v>0</v>
      </c>
      <c r="T49" s="143">
        <v>0</v>
      </c>
      <c r="U49" s="143">
        <v>0</v>
      </c>
      <c r="V49" s="143">
        <v>0</v>
      </c>
      <c r="W49" s="143">
        <v>0</v>
      </c>
      <c r="X49" s="143">
        <v>0</v>
      </c>
      <c r="Y49" s="143">
        <v>0</v>
      </c>
      <c r="Z49" s="143">
        <v>0</v>
      </c>
      <c r="AA49" s="143">
        <v>0</v>
      </c>
      <c r="AB49" s="143">
        <v>0</v>
      </c>
      <c r="AC49" s="143">
        <v>0</v>
      </c>
      <c r="AD49" s="143">
        <v>0</v>
      </c>
      <c r="AE49" s="143">
        <v>0</v>
      </c>
      <c r="AF49" s="143">
        <v>0</v>
      </c>
      <c r="AG49" s="143">
        <v>0</v>
      </c>
      <c r="AH49" s="143">
        <v>3.9000001137419887E-2</v>
      </c>
      <c r="AI49" s="143">
        <v>4.0000609319989638E-2</v>
      </c>
      <c r="AJ49" s="143">
        <v>0</v>
      </c>
      <c r="AK49" s="143">
        <v>0</v>
      </c>
      <c r="AL49" s="143">
        <v>0</v>
      </c>
      <c r="AM49" s="143">
        <v>0</v>
      </c>
      <c r="AN49" s="143">
        <v>0</v>
      </c>
      <c r="AO49" s="143">
        <v>0</v>
      </c>
      <c r="AP49" s="143">
        <v>0</v>
      </c>
      <c r="AQ49" s="143">
        <v>0</v>
      </c>
      <c r="AR49" s="143">
        <v>0</v>
      </c>
      <c r="AS49" s="143">
        <v>0</v>
      </c>
      <c r="AT49" s="143">
        <v>0</v>
      </c>
      <c r="AU49" s="143">
        <v>0</v>
      </c>
      <c r="AV49" s="143">
        <v>0</v>
      </c>
      <c r="AW49" s="143">
        <v>0</v>
      </c>
      <c r="AX49" s="143">
        <v>0</v>
      </c>
      <c r="AY49" s="143">
        <v>0</v>
      </c>
      <c r="AZ49" s="143">
        <v>0</v>
      </c>
      <c r="BA49" s="143">
        <v>0</v>
      </c>
      <c r="BB49" s="143">
        <v>0</v>
      </c>
      <c r="BC49" s="143">
        <v>0</v>
      </c>
    </row>
    <row r="50" spans="1:55" x14ac:dyDescent="0.15">
      <c r="A50" s="178" t="s">
        <v>240</v>
      </c>
      <c r="B50" s="143">
        <v>0</v>
      </c>
      <c r="C50" s="143">
        <v>0</v>
      </c>
      <c r="D50" s="143">
        <v>0</v>
      </c>
      <c r="E50" s="143">
        <v>0</v>
      </c>
      <c r="F50" s="143">
        <v>0</v>
      </c>
      <c r="G50" s="143">
        <v>0</v>
      </c>
      <c r="H50" s="143">
        <v>0</v>
      </c>
      <c r="I50" s="143">
        <v>0</v>
      </c>
      <c r="J50" s="143">
        <v>0</v>
      </c>
      <c r="K50" s="143">
        <v>0</v>
      </c>
      <c r="L50" s="143">
        <v>0</v>
      </c>
      <c r="M50" s="143">
        <v>0</v>
      </c>
      <c r="N50" s="143">
        <v>0</v>
      </c>
      <c r="O50" s="143">
        <v>0</v>
      </c>
      <c r="P50" s="143">
        <v>0</v>
      </c>
      <c r="Q50" s="143">
        <v>0</v>
      </c>
      <c r="R50" s="143">
        <v>0</v>
      </c>
      <c r="S50" s="143">
        <v>0</v>
      </c>
      <c r="T50" s="143">
        <v>0</v>
      </c>
      <c r="U50" s="143">
        <v>0</v>
      </c>
      <c r="V50" s="143">
        <v>0</v>
      </c>
      <c r="W50" s="143">
        <v>0</v>
      </c>
      <c r="X50" s="143">
        <v>0</v>
      </c>
      <c r="Y50" s="143">
        <v>0</v>
      </c>
      <c r="Z50" s="143">
        <v>0</v>
      </c>
      <c r="AA50" s="143">
        <v>0</v>
      </c>
      <c r="AB50" s="143">
        <v>0</v>
      </c>
      <c r="AC50" s="143">
        <v>0</v>
      </c>
      <c r="AD50" s="143">
        <v>0</v>
      </c>
      <c r="AE50" s="143">
        <v>0</v>
      </c>
      <c r="AF50" s="143">
        <v>0</v>
      </c>
      <c r="AG50" s="143">
        <v>0</v>
      </c>
      <c r="AH50" s="143">
        <v>3.7000001009859902E-2</v>
      </c>
      <c r="AI50" s="143">
        <v>1.000015232999741E-2</v>
      </c>
      <c r="AJ50" s="143">
        <v>0.33</v>
      </c>
      <c r="AK50" s="143">
        <v>1.0006664417246776E-3</v>
      </c>
      <c r="AL50" s="143">
        <v>0.11088911057284713</v>
      </c>
      <c r="AM50" s="143">
        <v>0</v>
      </c>
      <c r="AN50" s="143">
        <v>0</v>
      </c>
      <c r="AO50" s="143">
        <v>0</v>
      </c>
      <c r="AP50" s="143">
        <v>0</v>
      </c>
      <c r="AQ50" s="143">
        <v>0.14291840171159031</v>
      </c>
      <c r="AR50" s="143">
        <v>0.7</v>
      </c>
      <c r="AS50" s="143">
        <v>0</v>
      </c>
      <c r="AT50" s="143">
        <v>0</v>
      </c>
      <c r="AU50" s="143">
        <v>0</v>
      </c>
      <c r="AV50" s="143">
        <v>0</v>
      </c>
      <c r="AW50" s="143">
        <v>0</v>
      </c>
      <c r="AX50" s="143">
        <v>0</v>
      </c>
      <c r="AY50" s="143">
        <v>0</v>
      </c>
      <c r="AZ50" s="143">
        <v>0</v>
      </c>
      <c r="BA50" s="143">
        <v>0</v>
      </c>
      <c r="BB50" s="143">
        <v>0</v>
      </c>
      <c r="BC50" s="143">
        <v>0</v>
      </c>
    </row>
    <row r="51" spans="1:55" x14ac:dyDescent="0.15">
      <c r="A51" s="178" t="s">
        <v>241</v>
      </c>
      <c r="B51" s="143">
        <v>0</v>
      </c>
      <c r="C51" s="143">
        <v>0</v>
      </c>
      <c r="D51" s="143">
        <v>0</v>
      </c>
      <c r="E51" s="143">
        <v>0</v>
      </c>
      <c r="F51" s="143">
        <v>0</v>
      </c>
      <c r="G51" s="143">
        <v>0</v>
      </c>
      <c r="H51" s="143">
        <v>0</v>
      </c>
      <c r="I51" s="143">
        <v>5.0000001640000055E-2</v>
      </c>
      <c r="J51" s="143">
        <v>0</v>
      </c>
      <c r="K51" s="143">
        <v>0.19999999570000049</v>
      </c>
      <c r="L51" s="143">
        <v>0</v>
      </c>
      <c r="M51" s="143">
        <v>9.9999985820000581E-2</v>
      </c>
      <c r="N51" s="143">
        <v>0</v>
      </c>
      <c r="O51" s="143">
        <v>0</v>
      </c>
      <c r="P51" s="143">
        <v>0</v>
      </c>
      <c r="Q51" s="143">
        <v>0.1</v>
      </c>
      <c r="R51" s="143">
        <v>0</v>
      </c>
      <c r="S51" s="143">
        <v>0</v>
      </c>
      <c r="T51" s="143">
        <v>0</v>
      </c>
      <c r="U51" s="143">
        <v>0</v>
      </c>
      <c r="V51" s="143">
        <v>0</v>
      </c>
      <c r="W51" s="143">
        <v>0</v>
      </c>
      <c r="X51" s="143">
        <v>2.8008402520756227E-4</v>
      </c>
      <c r="Y51" s="143">
        <v>0</v>
      </c>
      <c r="Z51" s="143">
        <v>0</v>
      </c>
      <c r="AA51" s="143">
        <v>0</v>
      </c>
      <c r="AB51" s="143">
        <v>0</v>
      </c>
      <c r="AC51" s="143">
        <v>0</v>
      </c>
      <c r="AD51" s="143">
        <v>0</v>
      </c>
      <c r="AE51" s="143">
        <v>0</v>
      </c>
      <c r="AF51" s="143">
        <v>0</v>
      </c>
      <c r="AG51" s="143">
        <v>0</v>
      </c>
      <c r="AH51" s="143">
        <v>1.8999999661820022E-2</v>
      </c>
      <c r="AI51" s="143">
        <v>0</v>
      </c>
      <c r="AJ51" s="143">
        <v>0</v>
      </c>
      <c r="AK51" s="143">
        <v>0.27076717456304727</v>
      </c>
      <c r="AL51" s="143">
        <v>0.11088911057284713</v>
      </c>
      <c r="AM51" s="143">
        <v>0</v>
      </c>
      <c r="AN51" s="143">
        <v>0</v>
      </c>
      <c r="AO51" s="143">
        <v>0.200200201001001</v>
      </c>
      <c r="AP51" s="143">
        <v>7.9999999116000087E-2</v>
      </c>
      <c r="AQ51" s="143">
        <v>0.14291840171159031</v>
      </c>
      <c r="AR51" s="143">
        <v>0</v>
      </c>
      <c r="AS51" s="143">
        <v>0.15000000268500002</v>
      </c>
      <c r="AT51" s="143">
        <v>2.9999998638000118E-2</v>
      </c>
      <c r="AU51" s="143">
        <v>0.15603735851764514</v>
      </c>
      <c r="AV51" s="143">
        <v>0.60900507838684892</v>
      </c>
      <c r="AW51" s="143">
        <v>0</v>
      </c>
      <c r="AX51" s="143">
        <v>0</v>
      </c>
      <c r="AY51" s="143">
        <v>0</v>
      </c>
      <c r="AZ51" s="143">
        <v>0</v>
      </c>
      <c r="BA51" s="143">
        <v>0</v>
      </c>
      <c r="BB51" s="143">
        <v>0</v>
      </c>
      <c r="BC51" s="143">
        <v>0</v>
      </c>
    </row>
    <row r="52" spans="1:55" x14ac:dyDescent="0.15">
      <c r="A52" s="178" t="s">
        <v>242</v>
      </c>
      <c r="B52" s="143">
        <v>0</v>
      </c>
      <c r="C52" s="143">
        <v>0</v>
      </c>
      <c r="D52" s="143">
        <v>0</v>
      </c>
      <c r="E52" s="143">
        <v>0</v>
      </c>
      <c r="F52" s="143">
        <v>0</v>
      </c>
      <c r="G52" s="143">
        <v>0</v>
      </c>
      <c r="H52" s="143">
        <v>0</v>
      </c>
      <c r="I52" s="143">
        <v>0</v>
      </c>
      <c r="J52" s="143">
        <v>0</v>
      </c>
      <c r="K52" s="143">
        <v>0</v>
      </c>
      <c r="L52" s="143">
        <v>0</v>
      </c>
      <c r="M52" s="143">
        <v>0</v>
      </c>
      <c r="N52" s="143">
        <v>0</v>
      </c>
      <c r="O52" s="143">
        <v>0</v>
      </c>
      <c r="P52" s="143">
        <v>0</v>
      </c>
      <c r="Q52" s="143">
        <v>0.3</v>
      </c>
      <c r="R52" s="143">
        <v>0</v>
      </c>
      <c r="S52" s="143">
        <v>0</v>
      </c>
      <c r="T52" s="143">
        <v>0</v>
      </c>
      <c r="U52" s="143">
        <v>0</v>
      </c>
      <c r="V52" s="143">
        <v>0</v>
      </c>
      <c r="W52" s="143">
        <v>0</v>
      </c>
      <c r="X52" s="143">
        <v>1.2003601080324099E-2</v>
      </c>
      <c r="Y52" s="143">
        <v>0</v>
      </c>
      <c r="Z52" s="143">
        <v>0</v>
      </c>
      <c r="AA52" s="143">
        <v>0</v>
      </c>
      <c r="AB52" s="143">
        <v>0</v>
      </c>
      <c r="AC52" s="143">
        <v>0.16400000000000001</v>
      </c>
      <c r="AD52" s="143">
        <v>0</v>
      </c>
      <c r="AE52" s="143">
        <v>0</v>
      </c>
      <c r="AF52" s="143">
        <v>0</v>
      </c>
      <c r="AG52" s="143">
        <v>7.0000000000000001E-3</v>
      </c>
      <c r="AH52" s="143">
        <v>0.12099999656738027</v>
      </c>
      <c r="AI52" s="143">
        <v>0</v>
      </c>
      <c r="AJ52" s="143">
        <v>0.34</v>
      </c>
      <c r="AK52" s="143">
        <v>6.5022975623950346E-2</v>
      </c>
      <c r="AL52" s="143">
        <v>0.11088911057284713</v>
      </c>
      <c r="AM52" s="143">
        <v>0.62</v>
      </c>
      <c r="AN52" s="143">
        <v>0</v>
      </c>
      <c r="AO52" s="143">
        <v>0</v>
      </c>
      <c r="AP52" s="143">
        <v>0.51999999820400011</v>
      </c>
      <c r="AQ52" s="143">
        <v>0.14291840171159031</v>
      </c>
      <c r="AR52" s="143">
        <v>0.2</v>
      </c>
      <c r="AS52" s="143">
        <v>0.20000000358000006</v>
      </c>
      <c r="AT52" s="143">
        <v>0.13500000847099927</v>
      </c>
      <c r="AU52" s="143">
        <v>0.16003829847963619</v>
      </c>
      <c r="AV52" s="143">
        <v>0.14499287621580548</v>
      </c>
      <c r="AW52" s="143">
        <v>0</v>
      </c>
      <c r="AX52" s="143">
        <v>0</v>
      </c>
      <c r="AY52" s="143">
        <v>0</v>
      </c>
      <c r="AZ52" s="143">
        <v>0</v>
      </c>
      <c r="BA52" s="143">
        <v>0</v>
      </c>
      <c r="BB52" s="143">
        <v>0</v>
      </c>
      <c r="BC52" s="143">
        <v>0</v>
      </c>
    </row>
    <row r="53" spans="1:55" x14ac:dyDescent="0.15">
      <c r="A53" s="178" t="s">
        <v>243</v>
      </c>
      <c r="B53" s="143">
        <v>0</v>
      </c>
      <c r="C53" s="143">
        <v>0</v>
      </c>
      <c r="D53" s="143">
        <v>0</v>
      </c>
      <c r="E53" s="143">
        <v>0</v>
      </c>
      <c r="F53" s="143">
        <v>0</v>
      </c>
      <c r="G53" s="143">
        <v>0</v>
      </c>
      <c r="H53" s="143">
        <v>0</v>
      </c>
      <c r="I53" s="143">
        <v>0</v>
      </c>
      <c r="J53" s="143">
        <v>0</v>
      </c>
      <c r="K53" s="143">
        <v>0</v>
      </c>
      <c r="L53" s="143">
        <v>0</v>
      </c>
      <c r="M53" s="143">
        <v>0</v>
      </c>
      <c r="N53" s="143">
        <v>0</v>
      </c>
      <c r="O53" s="143">
        <v>0</v>
      </c>
      <c r="P53" s="143">
        <v>0</v>
      </c>
      <c r="Q53" s="143">
        <v>0</v>
      </c>
      <c r="R53" s="143">
        <v>0</v>
      </c>
      <c r="S53" s="143">
        <v>0</v>
      </c>
      <c r="T53" s="143">
        <v>0</v>
      </c>
      <c r="U53" s="143">
        <v>0</v>
      </c>
      <c r="V53" s="143">
        <v>0</v>
      </c>
      <c r="W53" s="143">
        <v>0</v>
      </c>
      <c r="X53" s="143">
        <v>0</v>
      </c>
      <c r="Y53" s="143">
        <v>0</v>
      </c>
      <c r="Z53" s="143">
        <v>0</v>
      </c>
      <c r="AA53" s="143">
        <v>0</v>
      </c>
      <c r="AB53" s="143">
        <v>0</v>
      </c>
      <c r="AC53" s="143">
        <v>0</v>
      </c>
      <c r="AD53" s="143">
        <v>0</v>
      </c>
      <c r="AE53" s="143">
        <v>0</v>
      </c>
      <c r="AF53" s="143">
        <v>0</v>
      </c>
      <c r="AG53" s="143">
        <v>0</v>
      </c>
      <c r="AH53" s="143">
        <v>1.8999999661820022E-2</v>
      </c>
      <c r="AI53" s="143">
        <v>0</v>
      </c>
      <c r="AJ53" s="143">
        <v>0.33</v>
      </c>
      <c r="AK53" s="143">
        <v>6.5022975623950346E-2</v>
      </c>
      <c r="AL53" s="143">
        <v>0.31068931001040956</v>
      </c>
      <c r="AM53" s="143">
        <v>0</v>
      </c>
      <c r="AN53" s="143">
        <v>0</v>
      </c>
      <c r="AO53" s="143">
        <v>0</v>
      </c>
      <c r="AP53" s="143">
        <v>0.31000000648699949</v>
      </c>
      <c r="AQ53" s="143">
        <v>0.2741174579388318</v>
      </c>
      <c r="AR53" s="143">
        <v>0</v>
      </c>
      <c r="AS53" s="143">
        <v>0.20000000358000006</v>
      </c>
      <c r="AT53" s="143">
        <v>0.13500000847099927</v>
      </c>
      <c r="AU53" s="143">
        <v>0.13603257970769053</v>
      </c>
      <c r="AV53" s="143">
        <v>0.23500195389340137</v>
      </c>
      <c r="AW53" s="143">
        <v>0</v>
      </c>
      <c r="AX53" s="143">
        <v>0</v>
      </c>
      <c r="AY53" s="143">
        <v>0</v>
      </c>
      <c r="AZ53" s="143">
        <v>0</v>
      </c>
      <c r="BA53" s="143">
        <v>0</v>
      </c>
      <c r="BB53" s="143">
        <v>0</v>
      </c>
      <c r="BC53" s="143">
        <v>0</v>
      </c>
    </row>
    <row r="54" spans="1:55" x14ac:dyDescent="0.15">
      <c r="A54" s="178" t="s">
        <v>244</v>
      </c>
      <c r="B54" s="143">
        <v>0</v>
      </c>
      <c r="C54" s="143">
        <v>0</v>
      </c>
      <c r="D54" s="143">
        <v>0</v>
      </c>
      <c r="E54" s="143">
        <v>0.10010963302423127</v>
      </c>
      <c r="F54" s="143">
        <v>0</v>
      </c>
      <c r="G54" s="143">
        <v>0</v>
      </c>
      <c r="H54" s="143">
        <v>0</v>
      </c>
      <c r="I54" s="143">
        <v>0</v>
      </c>
      <c r="J54" s="143">
        <v>0</v>
      </c>
      <c r="K54" s="143">
        <v>0</v>
      </c>
      <c r="L54" s="143">
        <v>0</v>
      </c>
      <c r="M54" s="143">
        <v>0</v>
      </c>
      <c r="N54" s="143">
        <v>0</v>
      </c>
      <c r="O54" s="143">
        <v>0</v>
      </c>
      <c r="P54" s="143">
        <v>0</v>
      </c>
      <c r="Q54" s="143">
        <v>0</v>
      </c>
      <c r="R54" s="143">
        <v>0</v>
      </c>
      <c r="S54" s="143">
        <v>0</v>
      </c>
      <c r="T54" s="143">
        <v>0</v>
      </c>
      <c r="U54" s="143">
        <v>0</v>
      </c>
      <c r="V54" s="143">
        <v>0</v>
      </c>
      <c r="W54" s="143">
        <v>0</v>
      </c>
      <c r="X54" s="143">
        <v>0</v>
      </c>
      <c r="Y54" s="143">
        <v>0</v>
      </c>
      <c r="Z54" s="143">
        <v>0</v>
      </c>
      <c r="AA54" s="143">
        <v>0</v>
      </c>
      <c r="AB54" s="143">
        <v>0</v>
      </c>
      <c r="AC54" s="143">
        <v>0</v>
      </c>
      <c r="AD54" s="143">
        <v>0</v>
      </c>
      <c r="AE54" s="143">
        <v>0</v>
      </c>
      <c r="AF54" s="143">
        <v>0</v>
      </c>
      <c r="AG54" s="143">
        <v>0</v>
      </c>
      <c r="AH54" s="143">
        <v>2.0999999789380011E-2</v>
      </c>
      <c r="AI54" s="143">
        <v>0</v>
      </c>
      <c r="AJ54" s="143">
        <v>0</v>
      </c>
      <c r="AK54" s="143">
        <v>0</v>
      </c>
      <c r="AL54" s="143">
        <v>5.5944057102517507E-2</v>
      </c>
      <c r="AM54" s="143">
        <v>0</v>
      </c>
      <c r="AN54" s="143">
        <v>0.49983488954093797</v>
      </c>
      <c r="AO54" s="143">
        <v>0</v>
      </c>
      <c r="AP54" s="143">
        <v>0</v>
      </c>
      <c r="AQ54" s="143">
        <v>0</v>
      </c>
      <c r="AR54" s="143">
        <v>0</v>
      </c>
      <c r="AS54" s="143">
        <v>0</v>
      </c>
      <c r="AT54" s="143">
        <v>0</v>
      </c>
      <c r="AU54" s="143">
        <v>0</v>
      </c>
      <c r="AV54" s="143">
        <v>0</v>
      </c>
      <c r="AW54" s="143">
        <v>0</v>
      </c>
      <c r="AX54" s="143">
        <v>0</v>
      </c>
      <c r="AY54" s="143">
        <v>0</v>
      </c>
      <c r="AZ54" s="143">
        <v>0</v>
      </c>
      <c r="BA54" s="143">
        <v>0</v>
      </c>
      <c r="BB54" s="143">
        <v>0</v>
      </c>
      <c r="BC54" s="143">
        <v>0</v>
      </c>
    </row>
    <row r="55" spans="1:55" x14ac:dyDescent="0.15">
      <c r="A55" s="178" t="s">
        <v>245</v>
      </c>
      <c r="B55" s="143">
        <v>0</v>
      </c>
      <c r="C55" s="143">
        <v>0</v>
      </c>
      <c r="D55" s="143">
        <v>0</v>
      </c>
      <c r="E55" s="143">
        <v>0</v>
      </c>
      <c r="F55" s="143">
        <v>0</v>
      </c>
      <c r="G55" s="143">
        <v>0</v>
      </c>
      <c r="H55" s="143">
        <v>0</v>
      </c>
      <c r="I55" s="143">
        <v>0</v>
      </c>
      <c r="J55" s="143">
        <v>0</v>
      </c>
      <c r="K55" s="143">
        <v>0</v>
      </c>
      <c r="L55" s="143">
        <v>0</v>
      </c>
      <c r="M55" s="143">
        <v>0</v>
      </c>
      <c r="N55" s="143">
        <v>0</v>
      </c>
      <c r="O55" s="143">
        <v>0</v>
      </c>
      <c r="P55" s="143">
        <v>0</v>
      </c>
      <c r="Q55" s="143">
        <v>0</v>
      </c>
      <c r="R55" s="143">
        <v>0</v>
      </c>
      <c r="S55" s="143">
        <v>0</v>
      </c>
      <c r="T55" s="143">
        <v>0</v>
      </c>
      <c r="U55" s="143">
        <v>0</v>
      </c>
      <c r="V55" s="143">
        <v>0</v>
      </c>
      <c r="W55" s="143">
        <v>0</v>
      </c>
      <c r="X55" s="143">
        <v>0</v>
      </c>
      <c r="Y55" s="143">
        <v>0</v>
      </c>
      <c r="Z55" s="143">
        <v>0</v>
      </c>
      <c r="AA55" s="143">
        <v>0</v>
      </c>
      <c r="AB55" s="143">
        <v>0</v>
      </c>
      <c r="AC55" s="143">
        <v>0</v>
      </c>
      <c r="AD55" s="143">
        <v>0</v>
      </c>
      <c r="AE55" s="143">
        <v>0</v>
      </c>
      <c r="AF55" s="143">
        <v>0</v>
      </c>
      <c r="AG55" s="143">
        <v>0</v>
      </c>
      <c r="AH55" s="143">
        <v>0</v>
      </c>
      <c r="AI55" s="143">
        <v>0</v>
      </c>
      <c r="AJ55" s="143">
        <v>0</v>
      </c>
      <c r="AK55" s="143">
        <v>0</v>
      </c>
      <c r="AL55" s="143">
        <v>0</v>
      </c>
      <c r="AM55" s="143">
        <v>0</v>
      </c>
      <c r="AN55" s="143">
        <v>0</v>
      </c>
      <c r="AO55" s="143">
        <v>0</v>
      </c>
      <c r="AP55" s="143">
        <v>0</v>
      </c>
      <c r="AQ55" s="143">
        <v>0</v>
      </c>
      <c r="AR55" s="143">
        <v>0</v>
      </c>
      <c r="AS55" s="143">
        <v>0</v>
      </c>
      <c r="AT55" s="143">
        <v>0</v>
      </c>
      <c r="AU55" s="143">
        <v>0</v>
      </c>
      <c r="AV55" s="143">
        <v>0</v>
      </c>
      <c r="AW55" s="143">
        <v>0</v>
      </c>
      <c r="AX55" s="143">
        <v>0</v>
      </c>
      <c r="AY55" s="143">
        <v>0</v>
      </c>
      <c r="AZ55" s="143">
        <v>0</v>
      </c>
      <c r="BA55" s="143">
        <v>0</v>
      </c>
      <c r="BB55" s="143">
        <v>0</v>
      </c>
      <c r="BC55" s="143">
        <v>0</v>
      </c>
    </row>
    <row r="56" spans="1:55" x14ac:dyDescent="0.15">
      <c r="A56" s="178" t="s">
        <v>255</v>
      </c>
      <c r="B56" s="143">
        <v>0</v>
      </c>
      <c r="C56" s="143">
        <v>0</v>
      </c>
      <c r="D56" s="143">
        <v>0</v>
      </c>
      <c r="E56" s="143">
        <v>0</v>
      </c>
      <c r="F56" s="143">
        <v>0</v>
      </c>
      <c r="G56" s="143">
        <v>0</v>
      </c>
      <c r="H56" s="143">
        <v>0</v>
      </c>
      <c r="I56" s="143">
        <v>0</v>
      </c>
      <c r="J56" s="143">
        <v>0</v>
      </c>
      <c r="K56" s="143">
        <v>0</v>
      </c>
      <c r="L56" s="143">
        <v>0</v>
      </c>
      <c r="M56" s="143">
        <v>0</v>
      </c>
      <c r="N56" s="143">
        <v>0</v>
      </c>
      <c r="O56" s="143">
        <v>0</v>
      </c>
      <c r="P56" s="143">
        <v>0</v>
      </c>
      <c r="Q56" s="143">
        <v>0</v>
      </c>
      <c r="R56" s="143">
        <v>0</v>
      </c>
      <c r="S56" s="143">
        <v>0</v>
      </c>
      <c r="T56" s="143">
        <v>0</v>
      </c>
      <c r="U56" s="143">
        <v>0</v>
      </c>
      <c r="V56" s="143">
        <v>0</v>
      </c>
      <c r="W56" s="143">
        <v>0</v>
      </c>
      <c r="X56" s="143">
        <v>0</v>
      </c>
      <c r="Y56" s="143">
        <v>0</v>
      </c>
      <c r="Z56" s="143">
        <v>0</v>
      </c>
      <c r="AA56" s="143">
        <v>0</v>
      </c>
      <c r="AB56" s="143">
        <v>0</v>
      </c>
      <c r="AC56" s="143">
        <v>0</v>
      </c>
      <c r="AD56" s="143">
        <v>0</v>
      </c>
      <c r="AE56" s="143">
        <v>0</v>
      </c>
      <c r="AF56" s="143">
        <v>0</v>
      </c>
      <c r="AG56" s="143">
        <v>0</v>
      </c>
      <c r="AH56" s="143">
        <v>0</v>
      </c>
      <c r="AI56" s="143">
        <v>0</v>
      </c>
      <c r="AJ56" s="143">
        <v>0</v>
      </c>
      <c r="AK56" s="143">
        <v>0</v>
      </c>
      <c r="AL56" s="143">
        <v>0</v>
      </c>
      <c r="AM56" s="143">
        <v>0</v>
      </c>
      <c r="AN56" s="143">
        <v>0</v>
      </c>
      <c r="AO56" s="143">
        <v>0</v>
      </c>
      <c r="AP56" s="143">
        <v>0</v>
      </c>
      <c r="AQ56" s="143">
        <v>0</v>
      </c>
      <c r="AR56" s="143">
        <v>0</v>
      </c>
      <c r="AS56" s="143">
        <v>0</v>
      </c>
      <c r="AT56" s="143">
        <v>0</v>
      </c>
      <c r="AU56" s="143">
        <v>0</v>
      </c>
      <c r="AV56" s="143">
        <v>0</v>
      </c>
      <c r="AW56" s="143">
        <v>0</v>
      </c>
      <c r="AX56" s="143">
        <v>0</v>
      </c>
      <c r="AY56" s="143">
        <v>0</v>
      </c>
      <c r="AZ56" s="143">
        <v>0</v>
      </c>
      <c r="BA56" s="143">
        <v>0</v>
      </c>
      <c r="BB56" s="143">
        <v>0</v>
      </c>
      <c r="BC56" s="143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47" activePane="bottomRight" state="frozen"/>
      <selection pane="topRight" activeCell="C1" sqref="C1"/>
      <selection pane="bottomLeft" activeCell="A2" sqref="A2"/>
      <selection pane="bottomRight" activeCell="D67" sqref="D67"/>
    </sheetView>
  </sheetViews>
  <sheetFormatPr baseColWidth="10" defaultColWidth="8.83203125" defaultRowHeight="13" x14ac:dyDescent="0.15"/>
  <cols>
    <col min="1" max="1" width="3.33203125" customWidth="1"/>
    <col min="2" max="2" width="28.5" customWidth="1"/>
    <col min="3" max="4" width="18.83203125" style="114" customWidth="1"/>
    <col min="5" max="6" width="18.83203125" style="113" customWidth="1"/>
    <col min="7" max="8" width="18.83203125" style="114" customWidth="1"/>
  </cols>
  <sheetData>
    <row r="1" spans="1:8" ht="70" x14ac:dyDescent="0.15">
      <c r="A1" s="5" t="s">
        <v>20</v>
      </c>
      <c r="B1" s="1" t="s">
        <v>0</v>
      </c>
      <c r="C1" s="181" t="s">
        <v>242</v>
      </c>
      <c r="D1" s="181" t="s">
        <v>243</v>
      </c>
      <c r="E1" s="181" t="s">
        <v>244</v>
      </c>
      <c r="F1" s="181" t="s">
        <v>245</v>
      </c>
      <c r="G1" s="181" t="s">
        <v>256</v>
      </c>
      <c r="H1" s="181" t="s">
        <v>257</v>
      </c>
    </row>
    <row r="2" spans="1:8" x14ac:dyDescent="0.15">
      <c r="A2">
        <v>1</v>
      </c>
      <c r="B2" s="180" t="s">
        <v>192</v>
      </c>
      <c r="C2" s="114">
        <v>0.5</v>
      </c>
      <c r="D2" s="114">
        <v>0.5</v>
      </c>
      <c r="E2" s="113">
        <v>0</v>
      </c>
      <c r="F2" s="113">
        <v>0</v>
      </c>
      <c r="G2" s="114">
        <v>0</v>
      </c>
      <c r="H2" s="114">
        <f>SUM(C2:G2)</f>
        <v>1</v>
      </c>
    </row>
    <row r="3" spans="1:8" x14ac:dyDescent="0.15">
      <c r="A3">
        <v>2</v>
      </c>
      <c r="B3" s="180" t="s">
        <v>193</v>
      </c>
      <c r="C3" s="114">
        <v>0.5</v>
      </c>
      <c r="D3" s="114">
        <v>0.5</v>
      </c>
      <c r="E3" s="113">
        <v>0</v>
      </c>
      <c r="F3" s="113">
        <v>0</v>
      </c>
      <c r="G3" s="114">
        <v>0</v>
      </c>
      <c r="H3" s="114">
        <f t="shared" ref="H3:H64" si="0">SUM(C3:G3)</f>
        <v>1</v>
      </c>
    </row>
    <row r="4" spans="1:8" x14ac:dyDescent="0.15">
      <c r="A4">
        <v>3</v>
      </c>
      <c r="B4" s="180" t="s">
        <v>194</v>
      </c>
      <c r="C4" s="114">
        <v>0.5</v>
      </c>
      <c r="D4" s="114">
        <v>0.5</v>
      </c>
      <c r="E4" s="113">
        <v>0</v>
      </c>
      <c r="F4" s="113">
        <v>0</v>
      </c>
      <c r="G4" s="114">
        <v>0</v>
      </c>
      <c r="H4" s="114">
        <f t="shared" si="0"/>
        <v>1</v>
      </c>
    </row>
    <row r="5" spans="1:8" x14ac:dyDescent="0.15">
      <c r="A5">
        <v>4</v>
      </c>
      <c r="B5" s="180" t="s">
        <v>195</v>
      </c>
      <c r="C5" s="114">
        <v>0.5</v>
      </c>
      <c r="D5" s="114">
        <v>0.5</v>
      </c>
      <c r="E5" s="113">
        <v>0</v>
      </c>
      <c r="F5" s="113">
        <v>0</v>
      </c>
      <c r="G5" s="114">
        <v>0</v>
      </c>
      <c r="H5" s="114">
        <f t="shared" si="0"/>
        <v>1</v>
      </c>
    </row>
    <row r="6" spans="1:8" x14ac:dyDescent="0.15">
      <c r="A6">
        <v>5</v>
      </c>
      <c r="B6" s="180" t="s">
        <v>196</v>
      </c>
      <c r="C6" s="114">
        <v>0.5</v>
      </c>
      <c r="D6" s="114">
        <v>0.5</v>
      </c>
      <c r="E6" s="113">
        <v>0</v>
      </c>
      <c r="F6" s="113">
        <v>0</v>
      </c>
      <c r="G6" s="114">
        <v>0</v>
      </c>
      <c r="H6" s="114">
        <f t="shared" si="0"/>
        <v>1</v>
      </c>
    </row>
    <row r="7" spans="1:8" x14ac:dyDescent="0.15">
      <c r="A7">
        <v>6</v>
      </c>
      <c r="B7" s="180" t="s">
        <v>197</v>
      </c>
      <c r="C7" s="114">
        <v>0.5</v>
      </c>
      <c r="D7" s="114">
        <v>0.25</v>
      </c>
      <c r="E7" s="113">
        <v>0.25</v>
      </c>
      <c r="F7" s="113">
        <v>0</v>
      </c>
      <c r="G7" s="114">
        <v>0</v>
      </c>
      <c r="H7" s="114">
        <f t="shared" si="0"/>
        <v>1</v>
      </c>
    </row>
    <row r="8" spans="1:8" x14ac:dyDescent="0.15">
      <c r="A8">
        <v>7</v>
      </c>
      <c r="B8" s="180" t="s">
        <v>198</v>
      </c>
      <c r="C8" s="114">
        <v>0.5</v>
      </c>
      <c r="D8" s="114">
        <v>0.25</v>
      </c>
      <c r="E8" s="113">
        <v>0.25</v>
      </c>
      <c r="F8" s="113">
        <v>0</v>
      </c>
      <c r="G8" s="114">
        <v>0</v>
      </c>
      <c r="H8" s="114">
        <f t="shared" si="0"/>
        <v>1</v>
      </c>
    </row>
    <row r="9" spans="1:8" x14ac:dyDescent="0.15">
      <c r="A9">
        <v>8</v>
      </c>
      <c r="B9" s="180" t="s">
        <v>199</v>
      </c>
      <c r="C9" s="114">
        <v>0.5</v>
      </c>
      <c r="D9" s="114">
        <v>0.25</v>
      </c>
      <c r="E9" s="113">
        <v>0.25</v>
      </c>
      <c r="F9" s="113">
        <v>0</v>
      </c>
      <c r="G9" s="114">
        <v>0</v>
      </c>
      <c r="H9" s="114">
        <f t="shared" si="0"/>
        <v>1</v>
      </c>
    </row>
    <row r="10" spans="1:8" x14ac:dyDescent="0.15">
      <c r="A10">
        <v>9</v>
      </c>
      <c r="B10" s="180" t="s">
        <v>200</v>
      </c>
      <c r="C10" s="114">
        <v>0.5</v>
      </c>
      <c r="D10" s="114">
        <v>0.25</v>
      </c>
      <c r="E10" s="113">
        <v>0.25</v>
      </c>
      <c r="F10" s="113">
        <v>0</v>
      </c>
      <c r="G10" s="114">
        <v>0</v>
      </c>
      <c r="H10" s="114">
        <f t="shared" si="0"/>
        <v>1</v>
      </c>
    </row>
    <row r="11" spans="1:8" x14ac:dyDescent="0.15">
      <c r="A11">
        <v>10</v>
      </c>
      <c r="B11" s="180" t="s">
        <v>201</v>
      </c>
      <c r="C11" s="114">
        <v>0.5</v>
      </c>
      <c r="D11" s="114">
        <v>0.25</v>
      </c>
      <c r="E11" s="113">
        <v>0.25</v>
      </c>
      <c r="F11" s="113">
        <v>0</v>
      </c>
      <c r="G11" s="114">
        <v>0</v>
      </c>
      <c r="H11" s="114">
        <f t="shared" si="0"/>
        <v>1</v>
      </c>
    </row>
    <row r="12" spans="1:8" x14ac:dyDescent="0.15">
      <c r="A12">
        <v>11</v>
      </c>
      <c r="B12" s="180" t="s">
        <v>202</v>
      </c>
      <c r="C12" s="114">
        <v>0.5</v>
      </c>
      <c r="D12" s="114">
        <v>0.25</v>
      </c>
      <c r="E12" s="113">
        <v>0.25</v>
      </c>
      <c r="F12" s="113">
        <v>0</v>
      </c>
      <c r="G12" s="114">
        <v>0</v>
      </c>
      <c r="H12" s="114">
        <f t="shared" si="0"/>
        <v>1</v>
      </c>
    </row>
    <row r="13" spans="1:8" x14ac:dyDescent="0.15">
      <c r="A13">
        <v>12</v>
      </c>
      <c r="B13" s="180" t="s">
        <v>203</v>
      </c>
      <c r="C13" s="114">
        <v>0.5</v>
      </c>
      <c r="D13" s="114">
        <v>0.25</v>
      </c>
      <c r="E13" s="113">
        <v>0.25</v>
      </c>
      <c r="F13" s="113">
        <v>0</v>
      </c>
      <c r="G13" s="114">
        <v>0</v>
      </c>
      <c r="H13" s="114">
        <f t="shared" si="0"/>
        <v>1</v>
      </c>
    </row>
    <row r="14" spans="1:8" x14ac:dyDescent="0.15">
      <c r="A14">
        <v>13</v>
      </c>
      <c r="B14" s="180" t="s">
        <v>204</v>
      </c>
      <c r="C14" s="114">
        <v>0.5</v>
      </c>
      <c r="D14" s="114">
        <v>0.25</v>
      </c>
      <c r="E14" s="113">
        <v>0.25</v>
      </c>
      <c r="F14" s="113">
        <v>0</v>
      </c>
      <c r="G14" s="114">
        <v>0</v>
      </c>
      <c r="H14" s="114">
        <f t="shared" si="0"/>
        <v>1</v>
      </c>
    </row>
    <row r="15" spans="1:8" x14ac:dyDescent="0.15">
      <c r="A15">
        <v>14</v>
      </c>
      <c r="B15" s="180" t="s">
        <v>205</v>
      </c>
      <c r="C15" s="114">
        <v>0.5</v>
      </c>
      <c r="D15" s="114">
        <v>0.25</v>
      </c>
      <c r="E15" s="113">
        <v>0.25</v>
      </c>
      <c r="F15" s="113">
        <v>0</v>
      </c>
      <c r="G15" s="114">
        <v>0</v>
      </c>
      <c r="H15" s="114">
        <f t="shared" si="0"/>
        <v>1</v>
      </c>
    </row>
    <row r="16" spans="1:8" x14ac:dyDescent="0.15">
      <c r="A16">
        <v>15</v>
      </c>
      <c r="B16" s="180" t="s">
        <v>206</v>
      </c>
      <c r="C16" s="114">
        <v>0.5</v>
      </c>
      <c r="D16" s="114">
        <v>0.25</v>
      </c>
      <c r="E16" s="113">
        <v>0.25</v>
      </c>
      <c r="F16" s="113">
        <v>0</v>
      </c>
      <c r="G16" s="114">
        <v>0</v>
      </c>
      <c r="H16" s="114">
        <f t="shared" si="0"/>
        <v>1</v>
      </c>
    </row>
    <row r="17" spans="1:8" ht="15" customHeight="1" x14ac:dyDescent="0.15">
      <c r="A17">
        <v>16</v>
      </c>
      <c r="B17" s="180" t="s">
        <v>207</v>
      </c>
      <c r="C17" s="114">
        <v>0.5</v>
      </c>
      <c r="D17" s="114">
        <v>0.25</v>
      </c>
      <c r="E17" s="113">
        <v>0.25</v>
      </c>
      <c r="F17" s="113">
        <v>0</v>
      </c>
      <c r="G17" s="114">
        <v>0</v>
      </c>
      <c r="H17" s="114">
        <f t="shared" si="0"/>
        <v>1</v>
      </c>
    </row>
    <row r="18" spans="1:8" ht="15" customHeight="1" x14ac:dyDescent="0.15">
      <c r="A18">
        <v>17</v>
      </c>
      <c r="B18" s="180" t="s">
        <v>208</v>
      </c>
      <c r="C18" s="114">
        <v>0.5</v>
      </c>
      <c r="D18" s="114">
        <v>0.25</v>
      </c>
      <c r="E18" s="113">
        <v>0.25</v>
      </c>
      <c r="F18" s="113">
        <v>0</v>
      </c>
      <c r="G18" s="114">
        <v>0</v>
      </c>
      <c r="H18" s="114">
        <f t="shared" si="0"/>
        <v>1</v>
      </c>
    </row>
    <row r="19" spans="1:8" ht="15" customHeight="1" x14ac:dyDescent="0.15">
      <c r="A19">
        <v>18</v>
      </c>
      <c r="B19" s="180" t="s">
        <v>209</v>
      </c>
      <c r="C19" s="114">
        <v>0.5</v>
      </c>
      <c r="D19" s="114">
        <v>0.25</v>
      </c>
      <c r="E19" s="113">
        <v>0.25</v>
      </c>
      <c r="F19" s="113">
        <v>0</v>
      </c>
      <c r="G19" s="114">
        <v>0</v>
      </c>
      <c r="H19" s="114">
        <f t="shared" si="0"/>
        <v>1</v>
      </c>
    </row>
    <row r="20" spans="1:8" ht="15" customHeight="1" x14ac:dyDescent="0.15">
      <c r="A20">
        <v>19</v>
      </c>
      <c r="B20" s="180" t="s">
        <v>210</v>
      </c>
      <c r="C20" s="114">
        <v>0.5</v>
      </c>
      <c r="D20" s="114">
        <v>0.25</v>
      </c>
      <c r="E20" s="113">
        <v>0.25</v>
      </c>
      <c r="F20" s="113">
        <v>0</v>
      </c>
      <c r="G20" s="114">
        <v>0</v>
      </c>
      <c r="H20" s="114">
        <f t="shared" si="0"/>
        <v>1</v>
      </c>
    </row>
    <row r="21" spans="1:8" ht="15" customHeight="1" x14ac:dyDescent="0.15">
      <c r="A21">
        <v>20</v>
      </c>
      <c r="B21" s="180" t="s">
        <v>211</v>
      </c>
      <c r="C21" s="114">
        <v>0.5</v>
      </c>
      <c r="D21" s="114">
        <v>0.25</v>
      </c>
      <c r="E21" s="113">
        <v>0.25</v>
      </c>
      <c r="F21" s="113">
        <v>0</v>
      </c>
      <c r="G21" s="114">
        <v>0</v>
      </c>
      <c r="H21" s="114">
        <f t="shared" si="0"/>
        <v>1</v>
      </c>
    </row>
    <row r="22" spans="1:8" ht="15" customHeight="1" x14ac:dyDescent="0.15">
      <c r="A22">
        <v>21</v>
      </c>
      <c r="B22" s="180" t="s">
        <v>212</v>
      </c>
      <c r="C22" s="114">
        <v>0.5</v>
      </c>
      <c r="D22" s="114">
        <v>0.25</v>
      </c>
      <c r="E22" s="113">
        <v>0.25</v>
      </c>
      <c r="F22" s="113">
        <v>0</v>
      </c>
      <c r="G22" s="114">
        <v>0</v>
      </c>
      <c r="H22" s="114">
        <f t="shared" si="0"/>
        <v>1</v>
      </c>
    </row>
    <row r="23" spans="1:8" ht="15" customHeight="1" x14ac:dyDescent="0.15">
      <c r="A23">
        <v>22</v>
      </c>
      <c r="B23" s="180" t="s">
        <v>213</v>
      </c>
      <c r="C23" s="114">
        <v>0.5</v>
      </c>
      <c r="D23" s="114">
        <v>0.25</v>
      </c>
      <c r="E23" s="113">
        <v>0.25</v>
      </c>
      <c r="F23" s="113">
        <v>0</v>
      </c>
      <c r="G23" s="114">
        <v>0</v>
      </c>
      <c r="H23" s="114">
        <f t="shared" si="0"/>
        <v>1</v>
      </c>
    </row>
    <row r="24" spans="1:8" ht="15" customHeight="1" x14ac:dyDescent="0.15">
      <c r="A24">
        <v>23</v>
      </c>
      <c r="B24" s="180" t="s">
        <v>214</v>
      </c>
      <c r="C24" s="114">
        <v>0.5</v>
      </c>
      <c r="D24" s="114">
        <v>0.25</v>
      </c>
      <c r="E24" s="113">
        <v>0.25</v>
      </c>
      <c r="F24" s="113">
        <v>0</v>
      </c>
      <c r="G24" s="114">
        <v>0</v>
      </c>
      <c r="H24" s="114">
        <f t="shared" si="0"/>
        <v>1</v>
      </c>
    </row>
    <row r="25" spans="1:8" ht="15" customHeight="1" x14ac:dyDescent="0.15">
      <c r="A25">
        <v>24</v>
      </c>
      <c r="B25" s="180" t="s">
        <v>215</v>
      </c>
      <c r="C25" s="114">
        <v>0.5</v>
      </c>
      <c r="D25" s="114">
        <v>0.25</v>
      </c>
      <c r="E25" s="113">
        <v>0.25</v>
      </c>
      <c r="F25" s="113">
        <v>0</v>
      </c>
      <c r="G25" s="114">
        <v>0</v>
      </c>
      <c r="H25" s="114">
        <f t="shared" si="0"/>
        <v>1</v>
      </c>
    </row>
    <row r="26" spans="1:8" ht="15" customHeight="1" x14ac:dyDescent="0.15">
      <c r="A26">
        <v>25</v>
      </c>
      <c r="B26" s="180" t="s">
        <v>216</v>
      </c>
      <c r="C26" s="114">
        <v>0.5</v>
      </c>
      <c r="D26" s="114">
        <v>0.25</v>
      </c>
      <c r="E26" s="113">
        <v>0.25</v>
      </c>
      <c r="F26" s="113">
        <v>0</v>
      </c>
      <c r="G26" s="114">
        <v>0</v>
      </c>
      <c r="H26" s="114">
        <f t="shared" si="0"/>
        <v>1</v>
      </c>
    </row>
    <row r="27" spans="1:8" ht="15" customHeight="1" x14ac:dyDescent="0.15">
      <c r="A27">
        <v>26</v>
      </c>
      <c r="B27" s="180" t="s">
        <v>217</v>
      </c>
      <c r="C27" s="114">
        <v>0.5</v>
      </c>
      <c r="D27" s="114">
        <v>0.25</v>
      </c>
      <c r="E27" s="113">
        <v>0.25</v>
      </c>
      <c r="F27" s="113">
        <v>0</v>
      </c>
      <c r="G27" s="114">
        <v>0</v>
      </c>
      <c r="H27" s="114">
        <f t="shared" si="0"/>
        <v>1</v>
      </c>
    </row>
    <row r="28" spans="1:8" ht="15" customHeight="1" x14ac:dyDescent="0.15">
      <c r="A28">
        <v>27</v>
      </c>
      <c r="B28" s="180" t="s">
        <v>218</v>
      </c>
      <c r="C28" s="114">
        <v>0.5</v>
      </c>
      <c r="D28" s="114">
        <v>0.25</v>
      </c>
      <c r="E28" s="113">
        <v>0.25</v>
      </c>
      <c r="F28" s="113">
        <v>0</v>
      </c>
      <c r="G28" s="114">
        <v>0</v>
      </c>
      <c r="H28" s="114">
        <f t="shared" si="0"/>
        <v>1</v>
      </c>
    </row>
    <row r="29" spans="1:8" ht="15" customHeight="1" x14ac:dyDescent="0.15">
      <c r="A29">
        <v>28</v>
      </c>
      <c r="B29" s="180" t="s">
        <v>219</v>
      </c>
      <c r="C29" s="114">
        <v>0.5</v>
      </c>
      <c r="D29" s="114">
        <v>0.25</v>
      </c>
      <c r="E29" s="113">
        <v>0.25</v>
      </c>
      <c r="F29" s="113">
        <v>0</v>
      </c>
      <c r="G29" s="114">
        <v>0</v>
      </c>
      <c r="H29" s="114">
        <f t="shared" si="0"/>
        <v>1</v>
      </c>
    </row>
    <row r="30" spans="1:8" ht="15" customHeight="1" x14ac:dyDescent="0.15">
      <c r="A30">
        <v>29</v>
      </c>
      <c r="B30" s="180" t="s">
        <v>220</v>
      </c>
      <c r="C30" s="114">
        <v>0.5</v>
      </c>
      <c r="D30" s="114">
        <v>0.25</v>
      </c>
      <c r="E30" s="113">
        <v>0.25</v>
      </c>
      <c r="F30" s="113">
        <v>0</v>
      </c>
      <c r="G30" s="114">
        <v>0</v>
      </c>
      <c r="H30" s="114">
        <f t="shared" si="0"/>
        <v>1</v>
      </c>
    </row>
    <row r="31" spans="1:8" ht="15" customHeight="1" x14ac:dyDescent="0.15">
      <c r="A31">
        <v>30</v>
      </c>
      <c r="B31" s="180" t="s">
        <v>221</v>
      </c>
      <c r="C31" s="114">
        <v>0.5</v>
      </c>
      <c r="D31" s="114">
        <v>0.25</v>
      </c>
      <c r="E31" s="113">
        <v>0.25</v>
      </c>
      <c r="F31" s="113">
        <v>0</v>
      </c>
      <c r="G31" s="114">
        <v>0</v>
      </c>
      <c r="H31" s="114">
        <f t="shared" si="0"/>
        <v>1</v>
      </c>
    </row>
    <row r="32" spans="1:8" ht="15" customHeight="1" x14ac:dyDescent="0.15">
      <c r="A32">
        <v>31</v>
      </c>
      <c r="B32" s="180" t="s">
        <v>222</v>
      </c>
      <c r="C32" s="114">
        <v>0.5</v>
      </c>
      <c r="D32" s="114">
        <v>0.25</v>
      </c>
      <c r="E32" s="113">
        <v>0.25</v>
      </c>
      <c r="F32" s="113">
        <v>0</v>
      </c>
      <c r="G32" s="114">
        <v>0</v>
      </c>
      <c r="H32" s="114">
        <f t="shared" si="0"/>
        <v>1</v>
      </c>
    </row>
    <row r="33" spans="1:8" ht="15" customHeight="1" x14ac:dyDescent="0.15">
      <c r="A33">
        <v>32</v>
      </c>
      <c r="B33" s="180" t="s">
        <v>223</v>
      </c>
      <c r="C33" s="114">
        <v>0.5</v>
      </c>
      <c r="D33" s="114">
        <v>0.25</v>
      </c>
      <c r="E33" s="113">
        <v>0.25</v>
      </c>
      <c r="F33" s="113">
        <v>0</v>
      </c>
      <c r="G33" s="114">
        <v>0</v>
      </c>
      <c r="H33" s="114">
        <f t="shared" si="0"/>
        <v>1</v>
      </c>
    </row>
    <row r="34" spans="1:8" ht="15" customHeight="1" x14ac:dyDescent="0.15">
      <c r="A34">
        <v>33</v>
      </c>
      <c r="B34" s="180" t="s">
        <v>224</v>
      </c>
      <c r="C34" s="114">
        <v>0.5</v>
      </c>
      <c r="D34" s="114">
        <v>0.25</v>
      </c>
      <c r="E34" s="113">
        <v>0.25</v>
      </c>
      <c r="F34" s="113">
        <v>0</v>
      </c>
      <c r="G34" s="114">
        <v>0</v>
      </c>
      <c r="H34" s="114">
        <f t="shared" si="0"/>
        <v>1</v>
      </c>
    </row>
    <row r="35" spans="1:8" ht="15" customHeight="1" x14ac:dyDescent="0.15">
      <c r="A35">
        <v>34</v>
      </c>
      <c r="B35" s="180" t="s">
        <v>225</v>
      </c>
      <c r="C35" s="114">
        <v>0.5</v>
      </c>
      <c r="D35" s="114">
        <v>0.5</v>
      </c>
      <c r="E35" s="113">
        <v>0</v>
      </c>
      <c r="F35" s="113">
        <v>0</v>
      </c>
      <c r="G35" s="114">
        <v>0</v>
      </c>
      <c r="H35" s="114">
        <f t="shared" si="0"/>
        <v>1</v>
      </c>
    </row>
    <row r="36" spans="1:8" ht="15" customHeight="1" x14ac:dyDescent="0.15">
      <c r="A36">
        <v>35</v>
      </c>
      <c r="B36" s="180" t="s">
        <v>226</v>
      </c>
      <c r="C36" s="114">
        <v>0.5</v>
      </c>
      <c r="D36" s="114">
        <v>0.5</v>
      </c>
      <c r="E36" s="114">
        <v>0</v>
      </c>
      <c r="F36" s="114">
        <v>0</v>
      </c>
      <c r="G36" s="114">
        <v>0</v>
      </c>
      <c r="H36" s="114">
        <f t="shared" si="0"/>
        <v>1</v>
      </c>
    </row>
    <row r="37" spans="1:8" ht="15" customHeight="1" x14ac:dyDescent="0.15">
      <c r="A37">
        <v>36</v>
      </c>
      <c r="B37" s="180" t="s">
        <v>227</v>
      </c>
      <c r="C37" s="114">
        <v>0.5</v>
      </c>
      <c r="D37" s="114">
        <v>0.25</v>
      </c>
      <c r="E37" s="114">
        <v>0.25</v>
      </c>
      <c r="F37" s="114">
        <v>0</v>
      </c>
      <c r="G37" s="114">
        <v>0</v>
      </c>
      <c r="H37" s="114">
        <f t="shared" si="0"/>
        <v>1</v>
      </c>
    </row>
    <row r="38" spans="1:8" ht="15" customHeight="1" x14ac:dyDescent="0.15">
      <c r="A38">
        <v>37</v>
      </c>
      <c r="B38" s="180" t="s">
        <v>228</v>
      </c>
      <c r="C38" s="114">
        <v>0.5</v>
      </c>
      <c r="D38" s="114">
        <v>0.5</v>
      </c>
      <c r="E38" s="114">
        <v>0</v>
      </c>
      <c r="F38" s="114">
        <v>0</v>
      </c>
      <c r="G38" s="114">
        <v>0</v>
      </c>
      <c r="H38" s="114">
        <f t="shared" si="0"/>
        <v>1</v>
      </c>
    </row>
    <row r="39" spans="1:8" ht="15" customHeight="1" x14ac:dyDescent="0.15">
      <c r="A39">
        <v>38</v>
      </c>
      <c r="B39" s="180" t="s">
        <v>229</v>
      </c>
      <c r="C39" s="114">
        <v>0.5</v>
      </c>
      <c r="D39" s="114">
        <v>0.25</v>
      </c>
      <c r="E39" s="114">
        <v>0.25</v>
      </c>
      <c r="F39" s="114">
        <v>0</v>
      </c>
      <c r="G39" s="114">
        <v>0</v>
      </c>
      <c r="H39" s="114">
        <f t="shared" si="0"/>
        <v>1</v>
      </c>
    </row>
    <row r="40" spans="1:8" ht="15" customHeight="1" x14ac:dyDescent="0.15">
      <c r="A40">
        <v>39</v>
      </c>
      <c r="B40" s="180" t="s">
        <v>230</v>
      </c>
      <c r="C40" s="114">
        <v>0.5</v>
      </c>
      <c r="D40" s="114">
        <v>0.25</v>
      </c>
      <c r="E40" s="114">
        <v>0.25</v>
      </c>
      <c r="F40" s="114">
        <v>0</v>
      </c>
      <c r="G40" s="114">
        <v>0</v>
      </c>
      <c r="H40" s="114">
        <f t="shared" si="0"/>
        <v>1</v>
      </c>
    </row>
    <row r="41" spans="1:8" ht="15" customHeight="1" x14ac:dyDescent="0.15">
      <c r="A41">
        <v>40</v>
      </c>
      <c r="B41" s="180" t="s">
        <v>231</v>
      </c>
      <c r="C41" s="114">
        <v>0.5</v>
      </c>
      <c r="D41" s="114">
        <v>0.25</v>
      </c>
      <c r="E41" s="114">
        <v>0.25</v>
      </c>
      <c r="F41" s="114">
        <v>0</v>
      </c>
      <c r="G41" s="114">
        <v>0</v>
      </c>
      <c r="H41" s="114">
        <f t="shared" si="0"/>
        <v>1</v>
      </c>
    </row>
    <row r="42" spans="1:8" ht="15" customHeight="1" x14ac:dyDescent="0.15">
      <c r="A42">
        <v>41</v>
      </c>
      <c r="B42" s="180" t="s">
        <v>232</v>
      </c>
      <c r="C42" s="114">
        <v>0.5</v>
      </c>
      <c r="D42" s="114">
        <v>0.25</v>
      </c>
      <c r="E42" s="114">
        <v>0.25</v>
      </c>
      <c r="F42" s="114">
        <v>0</v>
      </c>
      <c r="G42" s="114">
        <v>0</v>
      </c>
      <c r="H42" s="114">
        <f t="shared" si="0"/>
        <v>1</v>
      </c>
    </row>
    <row r="43" spans="1:8" ht="15" customHeight="1" x14ac:dyDescent="0.15">
      <c r="A43">
        <v>42</v>
      </c>
      <c r="B43" s="180" t="s">
        <v>233</v>
      </c>
      <c r="C43" s="114">
        <v>0.5</v>
      </c>
      <c r="D43" s="114">
        <v>0.25</v>
      </c>
      <c r="E43" s="114">
        <v>0.25</v>
      </c>
      <c r="F43" s="114">
        <v>0</v>
      </c>
      <c r="G43" s="114">
        <v>0</v>
      </c>
      <c r="H43" s="114">
        <f t="shared" si="0"/>
        <v>1</v>
      </c>
    </row>
    <row r="44" spans="1:8" ht="15" customHeight="1" x14ac:dyDescent="0.15">
      <c r="A44">
        <v>43</v>
      </c>
      <c r="B44" s="180" t="s">
        <v>234</v>
      </c>
      <c r="C44" s="114">
        <v>0.5</v>
      </c>
      <c r="D44" s="114">
        <v>0.5</v>
      </c>
      <c r="E44" s="113">
        <v>0</v>
      </c>
      <c r="F44" s="113">
        <v>0</v>
      </c>
      <c r="G44" s="114">
        <v>0</v>
      </c>
      <c r="H44" s="114">
        <f t="shared" si="0"/>
        <v>1</v>
      </c>
    </row>
    <row r="45" spans="1:8" ht="15" customHeight="1" x14ac:dyDescent="0.15">
      <c r="A45">
        <v>44</v>
      </c>
      <c r="B45" s="180" t="s">
        <v>235</v>
      </c>
      <c r="C45" s="114">
        <v>0.5</v>
      </c>
      <c r="D45" s="114">
        <v>0.5</v>
      </c>
      <c r="E45" s="113">
        <v>0</v>
      </c>
      <c r="F45" s="113">
        <v>0</v>
      </c>
      <c r="G45" s="114">
        <v>0</v>
      </c>
      <c r="H45" s="114">
        <f t="shared" si="0"/>
        <v>1</v>
      </c>
    </row>
    <row r="46" spans="1:8" ht="15" customHeight="1" x14ac:dyDescent="0.15">
      <c r="A46">
        <v>45</v>
      </c>
      <c r="B46" s="180" t="s">
        <v>236</v>
      </c>
      <c r="C46" s="114">
        <v>0.5</v>
      </c>
      <c r="D46" s="114">
        <v>0.5</v>
      </c>
      <c r="E46" s="114">
        <v>0</v>
      </c>
      <c r="F46" s="114">
        <v>0</v>
      </c>
      <c r="G46" s="114">
        <v>0</v>
      </c>
      <c r="H46" s="114">
        <f t="shared" si="0"/>
        <v>1</v>
      </c>
    </row>
    <row r="47" spans="1:8" ht="15" customHeight="1" x14ac:dyDescent="0.15">
      <c r="A47">
        <v>46</v>
      </c>
      <c r="B47" s="180" t="s">
        <v>237</v>
      </c>
      <c r="C47" s="114">
        <v>0.5</v>
      </c>
      <c r="D47" s="114">
        <v>0.5</v>
      </c>
      <c r="E47" s="113">
        <v>0</v>
      </c>
      <c r="F47" s="113">
        <v>0</v>
      </c>
      <c r="G47" s="114">
        <v>0</v>
      </c>
      <c r="H47" s="114">
        <f t="shared" si="0"/>
        <v>1</v>
      </c>
    </row>
    <row r="48" spans="1:8" ht="15" customHeight="1" x14ac:dyDescent="0.15">
      <c r="A48">
        <v>47</v>
      </c>
      <c r="B48" s="180" t="s">
        <v>238</v>
      </c>
      <c r="C48" s="114">
        <v>0.5</v>
      </c>
      <c r="D48" s="114">
        <v>0.5</v>
      </c>
      <c r="E48" s="113">
        <v>0</v>
      </c>
      <c r="F48" s="113">
        <v>0</v>
      </c>
      <c r="G48" s="114">
        <v>0</v>
      </c>
      <c r="H48" s="114">
        <f t="shared" si="0"/>
        <v>1</v>
      </c>
    </row>
    <row r="49" spans="1:8" ht="15" customHeight="1" x14ac:dyDescent="0.15">
      <c r="A49">
        <v>48</v>
      </c>
      <c r="B49" s="180" t="s">
        <v>239</v>
      </c>
      <c r="C49" s="114">
        <v>0.5</v>
      </c>
      <c r="D49" s="114">
        <v>0.5</v>
      </c>
      <c r="E49" s="113">
        <v>0</v>
      </c>
      <c r="F49" s="113">
        <v>0</v>
      </c>
      <c r="G49" s="114">
        <v>0</v>
      </c>
      <c r="H49" s="114">
        <f t="shared" si="0"/>
        <v>1</v>
      </c>
    </row>
    <row r="50" spans="1:8" ht="15" customHeight="1" x14ac:dyDescent="0.15">
      <c r="A50">
        <v>49</v>
      </c>
      <c r="B50" s="180" t="s">
        <v>240</v>
      </c>
      <c r="C50" s="114">
        <v>0</v>
      </c>
      <c r="D50" s="114">
        <v>1</v>
      </c>
      <c r="E50" s="113">
        <v>0</v>
      </c>
      <c r="F50" s="113">
        <v>0</v>
      </c>
      <c r="G50" s="114">
        <v>0</v>
      </c>
      <c r="H50" s="114">
        <f t="shared" si="0"/>
        <v>1</v>
      </c>
    </row>
    <row r="51" spans="1:8" ht="15" customHeight="1" x14ac:dyDescent="0.15">
      <c r="A51">
        <v>50</v>
      </c>
      <c r="B51" s="180" t="s">
        <v>241</v>
      </c>
      <c r="C51" s="114">
        <v>0</v>
      </c>
      <c r="D51" s="114">
        <v>1</v>
      </c>
      <c r="E51" s="113">
        <v>0</v>
      </c>
      <c r="F51" s="113">
        <v>0</v>
      </c>
      <c r="G51" s="114">
        <v>0</v>
      </c>
      <c r="H51" s="114">
        <f t="shared" si="0"/>
        <v>1</v>
      </c>
    </row>
    <row r="52" spans="1:8" ht="15" customHeight="1" x14ac:dyDescent="0.15">
      <c r="A52">
        <v>51</v>
      </c>
      <c r="B52" s="180" t="s">
        <v>242</v>
      </c>
      <c r="C52" s="114">
        <v>0</v>
      </c>
      <c r="D52" s="114">
        <v>0</v>
      </c>
      <c r="E52" s="113">
        <v>0</v>
      </c>
      <c r="F52" s="113">
        <v>1</v>
      </c>
      <c r="G52" s="114">
        <v>0</v>
      </c>
      <c r="H52" s="114">
        <f t="shared" si="0"/>
        <v>1</v>
      </c>
    </row>
    <row r="53" spans="1:8" ht="15" customHeight="1" x14ac:dyDescent="0.15">
      <c r="A53">
        <v>52</v>
      </c>
      <c r="B53" s="180" t="s">
        <v>243</v>
      </c>
      <c r="C53" s="114">
        <v>1</v>
      </c>
      <c r="D53" s="114">
        <v>0</v>
      </c>
      <c r="E53" s="113">
        <v>0</v>
      </c>
      <c r="F53" s="113">
        <v>0</v>
      </c>
      <c r="G53" s="114">
        <v>0</v>
      </c>
      <c r="H53" s="114">
        <f t="shared" si="0"/>
        <v>1</v>
      </c>
    </row>
    <row r="54" spans="1:8" ht="15" customHeight="1" x14ac:dyDescent="0.15">
      <c r="A54">
        <v>53</v>
      </c>
      <c r="B54" s="180" t="s">
        <v>244</v>
      </c>
      <c r="C54" s="114">
        <v>0</v>
      </c>
      <c r="D54" s="114">
        <v>0</v>
      </c>
      <c r="E54" s="113">
        <v>0</v>
      </c>
      <c r="F54" s="203">
        <v>1</v>
      </c>
      <c r="G54" s="203">
        <v>0</v>
      </c>
      <c r="H54" s="114">
        <f t="shared" si="0"/>
        <v>1</v>
      </c>
    </row>
    <row r="55" spans="1:8" ht="15" customHeight="1" x14ac:dyDescent="0.15">
      <c r="A55">
        <v>54</v>
      </c>
      <c r="B55" s="180" t="s">
        <v>245</v>
      </c>
      <c r="C55" s="114">
        <v>0</v>
      </c>
      <c r="D55" s="114">
        <v>0</v>
      </c>
      <c r="E55" s="113">
        <v>0</v>
      </c>
      <c r="F55" s="113">
        <v>0</v>
      </c>
      <c r="G55" s="114">
        <v>1</v>
      </c>
      <c r="H55" s="114">
        <f t="shared" si="0"/>
        <v>1</v>
      </c>
    </row>
    <row r="56" spans="1:8" ht="15" customHeight="1" x14ac:dyDescent="0.15">
      <c r="A56">
        <v>55</v>
      </c>
      <c r="B56" s="180" t="s">
        <v>246</v>
      </c>
      <c r="C56" s="114">
        <v>0</v>
      </c>
      <c r="D56" s="114">
        <v>0</v>
      </c>
      <c r="E56" s="113">
        <v>1</v>
      </c>
      <c r="F56" s="113">
        <v>0</v>
      </c>
      <c r="G56" s="114">
        <v>0</v>
      </c>
      <c r="H56" s="114">
        <f t="shared" si="0"/>
        <v>1</v>
      </c>
    </row>
    <row r="57" spans="1:8" ht="15" customHeight="1" x14ac:dyDescent="0.15">
      <c r="A57">
        <v>56</v>
      </c>
      <c r="B57" s="180" t="s">
        <v>247</v>
      </c>
      <c r="C57" s="114">
        <v>0</v>
      </c>
      <c r="D57" s="114">
        <v>0</v>
      </c>
      <c r="E57" s="113">
        <v>1</v>
      </c>
      <c r="F57" s="113">
        <v>0</v>
      </c>
      <c r="G57" s="114">
        <v>0</v>
      </c>
      <c r="H57" s="114">
        <f t="shared" si="0"/>
        <v>1</v>
      </c>
    </row>
    <row r="58" spans="1:8" ht="15" customHeight="1" x14ac:dyDescent="0.15">
      <c r="A58">
        <v>57</v>
      </c>
      <c r="B58" s="180" t="s">
        <v>248</v>
      </c>
      <c r="C58" s="114">
        <v>0</v>
      </c>
      <c r="D58" s="114">
        <v>0</v>
      </c>
      <c r="E58" s="113">
        <v>1</v>
      </c>
      <c r="F58" s="113">
        <v>0</v>
      </c>
      <c r="G58" s="114">
        <v>0</v>
      </c>
      <c r="H58" s="114">
        <f t="shared" si="0"/>
        <v>1</v>
      </c>
    </row>
    <row r="59" spans="1:8" ht="15" customHeight="1" x14ac:dyDescent="0.15">
      <c r="A59">
        <v>58</v>
      </c>
      <c r="B59" s="180" t="s">
        <v>249</v>
      </c>
      <c r="C59" s="114">
        <v>0</v>
      </c>
      <c r="D59" s="114">
        <v>0</v>
      </c>
      <c r="E59" s="113">
        <v>1</v>
      </c>
      <c r="F59" s="113">
        <v>0</v>
      </c>
      <c r="G59" s="114">
        <v>0</v>
      </c>
      <c r="H59" s="114">
        <f t="shared" si="0"/>
        <v>1</v>
      </c>
    </row>
    <row r="60" spans="1:8" ht="15" customHeight="1" x14ac:dyDescent="0.15">
      <c r="A60">
        <v>59</v>
      </c>
      <c r="B60" s="180" t="s">
        <v>250</v>
      </c>
      <c r="C60" s="114">
        <v>0</v>
      </c>
      <c r="D60" s="114">
        <v>0</v>
      </c>
      <c r="E60" s="113">
        <v>1</v>
      </c>
      <c r="F60" s="113">
        <v>0</v>
      </c>
      <c r="G60" s="114">
        <v>0</v>
      </c>
      <c r="H60" s="114">
        <f t="shared" si="0"/>
        <v>1</v>
      </c>
    </row>
    <row r="61" spans="1:8" ht="15" customHeight="1" x14ac:dyDescent="0.15">
      <c r="A61">
        <v>60</v>
      </c>
      <c r="B61" s="180" t="s">
        <v>251</v>
      </c>
      <c r="C61" s="114">
        <v>0</v>
      </c>
      <c r="D61" s="114">
        <v>0</v>
      </c>
      <c r="E61" s="113">
        <v>1</v>
      </c>
      <c r="F61" s="113">
        <v>0</v>
      </c>
      <c r="G61" s="114">
        <v>0</v>
      </c>
      <c r="H61" s="114">
        <f t="shared" si="0"/>
        <v>1</v>
      </c>
    </row>
    <row r="62" spans="1:8" ht="15" customHeight="1" x14ac:dyDescent="0.15">
      <c r="A62">
        <v>61</v>
      </c>
      <c r="B62" s="180" t="s">
        <v>252</v>
      </c>
      <c r="C62" s="114">
        <v>0</v>
      </c>
      <c r="D62" s="114">
        <v>0</v>
      </c>
      <c r="E62" s="113">
        <v>1</v>
      </c>
      <c r="F62" s="113">
        <v>0</v>
      </c>
      <c r="G62" s="114">
        <v>0</v>
      </c>
      <c r="H62" s="114">
        <f t="shared" si="0"/>
        <v>1</v>
      </c>
    </row>
    <row r="63" spans="1:8" ht="15" customHeight="1" x14ac:dyDescent="0.15">
      <c r="A63">
        <v>62</v>
      </c>
      <c r="B63" s="180" t="s">
        <v>253</v>
      </c>
      <c r="C63" s="114">
        <v>0</v>
      </c>
      <c r="D63" s="114">
        <v>0</v>
      </c>
      <c r="E63" s="113">
        <v>1</v>
      </c>
      <c r="F63" s="113">
        <v>0</v>
      </c>
      <c r="G63" s="114">
        <v>0</v>
      </c>
      <c r="H63" s="114">
        <f t="shared" si="0"/>
        <v>1</v>
      </c>
    </row>
    <row r="64" spans="1:8" ht="15" customHeight="1" x14ac:dyDescent="0.15">
      <c r="A64">
        <v>63</v>
      </c>
      <c r="B64" s="180" t="s">
        <v>254</v>
      </c>
      <c r="C64" s="114">
        <v>0</v>
      </c>
      <c r="D64" s="114">
        <v>0</v>
      </c>
      <c r="E64" s="113">
        <v>1</v>
      </c>
      <c r="F64" s="113">
        <v>0</v>
      </c>
      <c r="G64" s="114">
        <v>0</v>
      </c>
      <c r="H64" s="114">
        <f t="shared" si="0"/>
        <v>1</v>
      </c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L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8.5" bestFit="1" customWidth="1"/>
    <col min="3" max="3" width="5.83203125" bestFit="1" customWidth="1"/>
    <col min="4" max="4" width="6.83203125" bestFit="1" customWidth="1"/>
    <col min="5" max="5" width="5.83203125" bestFit="1" customWidth="1"/>
    <col min="6" max="6" width="6.83203125" customWidth="1"/>
    <col min="7" max="9" width="5.83203125" customWidth="1"/>
    <col min="10" max="10" width="4.83203125" customWidth="1"/>
    <col min="11" max="11" width="3.83203125" customWidth="1"/>
    <col min="12" max="12" width="6.83203125" customWidth="1"/>
  </cols>
  <sheetData>
    <row r="1" spans="1:12" s="115" customFormat="1" ht="112" x14ac:dyDescent="0.15">
      <c r="A1" s="5" t="s">
        <v>21</v>
      </c>
      <c r="B1" s="3" t="s">
        <v>0</v>
      </c>
      <c r="C1" s="183" t="s">
        <v>246</v>
      </c>
      <c r="D1" s="183" t="s">
        <v>247</v>
      </c>
      <c r="E1" s="183" t="s">
        <v>248</v>
      </c>
      <c r="F1" s="183" t="s">
        <v>249</v>
      </c>
      <c r="G1" s="183" t="s">
        <v>250</v>
      </c>
      <c r="H1" s="183" t="s">
        <v>251</v>
      </c>
      <c r="I1" s="183" t="s">
        <v>252</v>
      </c>
      <c r="J1" s="183" t="s">
        <v>253</v>
      </c>
      <c r="K1" s="183" t="s">
        <v>254</v>
      </c>
      <c r="L1" s="183" t="s">
        <v>258</v>
      </c>
    </row>
    <row r="2" spans="1:12" ht="15" customHeight="1" x14ac:dyDescent="0.15">
      <c r="A2">
        <v>1</v>
      </c>
      <c r="B2" s="182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ht="15" customHeight="1" x14ac:dyDescent="0.15">
      <c r="A3">
        <v>2</v>
      </c>
      <c r="B3" s="182" t="s">
        <v>193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 ht="15" customHeight="1" x14ac:dyDescent="0.15">
      <c r="A4">
        <v>3</v>
      </c>
      <c r="B4" s="182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ht="15" customHeight="1" x14ac:dyDescent="0.15">
      <c r="A5">
        <v>4</v>
      </c>
      <c r="B5" s="182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ht="15" customHeight="1" x14ac:dyDescent="0.15">
      <c r="A6">
        <v>5</v>
      </c>
      <c r="B6" s="182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</row>
    <row r="7" spans="1:12" ht="15" customHeight="1" x14ac:dyDescent="0.15">
      <c r="A7">
        <v>6</v>
      </c>
      <c r="B7" s="182" t="s">
        <v>197</v>
      </c>
      <c r="C7">
        <v>0</v>
      </c>
      <c r="D7">
        <v>2.9999999999999997E-4</v>
      </c>
      <c r="E7">
        <v>0</v>
      </c>
      <c r="F7">
        <v>5.9999999999999995E-4</v>
      </c>
      <c r="G7">
        <v>0</v>
      </c>
      <c r="H7">
        <v>0</v>
      </c>
      <c r="I7">
        <v>2E-3</v>
      </c>
      <c r="J7">
        <v>0</v>
      </c>
      <c r="K7">
        <v>0</v>
      </c>
      <c r="L7">
        <v>2.8999999999999998E-3</v>
      </c>
    </row>
    <row r="8" spans="1:12" ht="15" customHeight="1" x14ac:dyDescent="0.15">
      <c r="A8">
        <v>7</v>
      </c>
      <c r="B8" s="182" t="s">
        <v>198</v>
      </c>
      <c r="C8">
        <v>2E-3</v>
      </c>
      <c r="D8">
        <v>0.19500000000000001</v>
      </c>
      <c r="E8">
        <v>0</v>
      </c>
      <c r="F8">
        <v>0</v>
      </c>
      <c r="G8">
        <v>6.0000000000000001E-3</v>
      </c>
      <c r="H8">
        <v>0</v>
      </c>
      <c r="I8">
        <v>0</v>
      </c>
      <c r="J8">
        <v>0</v>
      </c>
      <c r="K8">
        <v>0</v>
      </c>
      <c r="L8">
        <v>0.20300000000000001</v>
      </c>
    </row>
    <row r="9" spans="1:12" ht="15" customHeight="1" x14ac:dyDescent="0.15">
      <c r="A9">
        <v>8</v>
      </c>
      <c r="B9" s="182" t="s">
        <v>199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 ht="15" customHeight="1" x14ac:dyDescent="0.15">
      <c r="A10">
        <v>9</v>
      </c>
      <c r="B10" s="182" t="s">
        <v>200</v>
      </c>
      <c r="C10">
        <v>0</v>
      </c>
      <c r="D10">
        <v>4.1000000000000002E-2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4.1000000000000002E-2</v>
      </c>
    </row>
    <row r="11" spans="1:12" ht="15" customHeight="1" x14ac:dyDescent="0.15">
      <c r="A11">
        <v>10</v>
      </c>
      <c r="B11" s="182" t="s">
        <v>201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1:12" ht="15" customHeight="1" x14ac:dyDescent="0.15">
      <c r="A12">
        <v>11</v>
      </c>
      <c r="B12" s="182" t="s">
        <v>202</v>
      </c>
      <c r="C12">
        <v>3.0000000000000001E-3</v>
      </c>
      <c r="D12">
        <v>7.1999999999999995E-2</v>
      </c>
      <c r="E12">
        <v>0</v>
      </c>
      <c r="F12">
        <v>0</v>
      </c>
      <c r="G12">
        <v>1.2999999999999999E-2</v>
      </c>
      <c r="H12">
        <v>0</v>
      </c>
      <c r="I12">
        <v>0</v>
      </c>
      <c r="J12">
        <v>0</v>
      </c>
      <c r="K12">
        <v>0</v>
      </c>
      <c r="L12">
        <v>8.7999999999999995E-2</v>
      </c>
    </row>
    <row r="13" spans="1:12" ht="15" customHeight="1" x14ac:dyDescent="0.15">
      <c r="A13">
        <v>12</v>
      </c>
      <c r="B13" s="182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 ht="15" customHeight="1" x14ac:dyDescent="0.15">
      <c r="A14">
        <v>13</v>
      </c>
      <c r="B14" s="182" t="s">
        <v>204</v>
      </c>
      <c r="C14">
        <v>0</v>
      </c>
      <c r="D14">
        <v>0.111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0.111</v>
      </c>
    </row>
    <row r="15" spans="1:12" ht="15" customHeight="1" x14ac:dyDescent="0.15">
      <c r="A15">
        <v>14</v>
      </c>
      <c r="B15" s="182" t="s">
        <v>205</v>
      </c>
      <c r="C15">
        <v>4.0000000000000001E-3</v>
      </c>
      <c r="D15">
        <v>3.0000000000000001E-3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7.0000000000000001E-3</v>
      </c>
    </row>
    <row r="16" spans="1:12" ht="15" customHeight="1" x14ac:dyDescent="0.15">
      <c r="A16">
        <v>15</v>
      </c>
      <c r="B16" s="182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ht="15" customHeight="1" x14ac:dyDescent="0.15">
      <c r="A17">
        <v>16</v>
      </c>
      <c r="B17" s="182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 ht="15" customHeight="1" x14ac:dyDescent="0.15">
      <c r="A18">
        <v>17</v>
      </c>
      <c r="B18" s="182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2" ht="15" customHeight="1" x14ac:dyDescent="0.15">
      <c r="A19">
        <v>18</v>
      </c>
      <c r="B19" s="182" t="s">
        <v>209</v>
      </c>
      <c r="C19">
        <v>2E-3</v>
      </c>
      <c r="D19">
        <v>1.4999999999999999E-2</v>
      </c>
      <c r="E19">
        <v>0</v>
      </c>
      <c r="F19">
        <v>1.4999999999999999E-2</v>
      </c>
      <c r="G19">
        <v>0</v>
      </c>
      <c r="H19">
        <v>0</v>
      </c>
      <c r="I19">
        <v>0</v>
      </c>
      <c r="J19">
        <v>0</v>
      </c>
      <c r="K19">
        <v>0</v>
      </c>
      <c r="L19">
        <v>3.2000000000000001E-2</v>
      </c>
    </row>
    <row r="20" spans="1:12" ht="15" customHeight="1" x14ac:dyDescent="0.15">
      <c r="A20">
        <v>19</v>
      </c>
      <c r="B20" s="182" t="s">
        <v>210</v>
      </c>
      <c r="C20">
        <v>0</v>
      </c>
      <c r="D20">
        <v>2E-3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2E-3</v>
      </c>
    </row>
    <row r="21" spans="1:12" ht="15" customHeight="1" x14ac:dyDescent="0.15">
      <c r="A21">
        <v>20</v>
      </c>
      <c r="B21" s="182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ht="15" customHeight="1" x14ac:dyDescent="0.15">
      <c r="A22">
        <v>21</v>
      </c>
      <c r="B22" s="182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</row>
    <row r="23" spans="1:12" ht="15" customHeight="1" x14ac:dyDescent="0.15">
      <c r="A23">
        <v>22</v>
      </c>
      <c r="B23" s="182" t="s">
        <v>213</v>
      </c>
      <c r="C23">
        <v>0</v>
      </c>
      <c r="D23">
        <v>1.2999999999999999E-2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1.2999999999999999E-2</v>
      </c>
    </row>
    <row r="24" spans="1:12" ht="15" customHeight="1" x14ac:dyDescent="0.15">
      <c r="A24">
        <v>23</v>
      </c>
      <c r="B24" s="182" t="s">
        <v>214</v>
      </c>
      <c r="C24">
        <v>0</v>
      </c>
      <c r="D24">
        <v>0</v>
      </c>
      <c r="E24">
        <v>0</v>
      </c>
      <c r="F24">
        <v>0</v>
      </c>
      <c r="G24">
        <v>2.1999999999999999E-2</v>
      </c>
      <c r="H24">
        <v>0</v>
      </c>
      <c r="I24">
        <v>0</v>
      </c>
      <c r="J24">
        <v>0</v>
      </c>
      <c r="K24">
        <v>0</v>
      </c>
      <c r="L24">
        <v>2.1999999999999999E-2</v>
      </c>
    </row>
    <row r="25" spans="1:12" ht="15" customHeight="1" x14ac:dyDescent="0.15">
      <c r="A25">
        <v>24</v>
      </c>
      <c r="B25" s="182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 ht="15" customHeight="1" x14ac:dyDescent="0.15">
      <c r="A26">
        <v>25</v>
      </c>
      <c r="B26" s="182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 ht="15" customHeight="1" x14ac:dyDescent="0.15">
      <c r="A27">
        <v>26</v>
      </c>
      <c r="B27" s="182" t="s">
        <v>217</v>
      </c>
      <c r="C27">
        <v>0</v>
      </c>
      <c r="D27">
        <v>3.2000000000000001E-2</v>
      </c>
      <c r="E27">
        <v>0</v>
      </c>
      <c r="F27">
        <v>0</v>
      </c>
      <c r="G27">
        <v>0</v>
      </c>
      <c r="H27">
        <v>0</v>
      </c>
      <c r="I27">
        <v>1E-3</v>
      </c>
      <c r="J27">
        <v>0</v>
      </c>
      <c r="K27">
        <v>0</v>
      </c>
      <c r="L27">
        <v>3.3000000000000002E-2</v>
      </c>
    </row>
    <row r="28" spans="1:12" ht="15" customHeight="1" x14ac:dyDescent="0.15">
      <c r="A28">
        <v>27</v>
      </c>
      <c r="B28" s="182" t="s">
        <v>218</v>
      </c>
      <c r="C28">
        <v>0</v>
      </c>
      <c r="D28">
        <v>5.3999999999999999E-2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5.3999999999999999E-2</v>
      </c>
    </row>
    <row r="29" spans="1:12" ht="15" customHeight="1" x14ac:dyDescent="0.15">
      <c r="A29">
        <v>28</v>
      </c>
      <c r="B29" s="182" t="s">
        <v>219</v>
      </c>
      <c r="C29">
        <v>1E-3</v>
      </c>
      <c r="D29">
        <v>6.0000000000000001E-3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7.0000000000000001E-3</v>
      </c>
    </row>
    <row r="30" spans="1:12" ht="15" customHeight="1" x14ac:dyDescent="0.15">
      <c r="A30">
        <v>29</v>
      </c>
      <c r="B30" s="182" t="s">
        <v>220</v>
      </c>
      <c r="C30">
        <v>0</v>
      </c>
      <c r="D30">
        <v>3.6999999999999998E-2</v>
      </c>
      <c r="E30">
        <v>0.495</v>
      </c>
      <c r="F30">
        <v>0.14000000000000001</v>
      </c>
      <c r="G30">
        <v>0</v>
      </c>
      <c r="H30">
        <v>0</v>
      </c>
      <c r="I30">
        <v>0</v>
      </c>
      <c r="J30">
        <v>0</v>
      </c>
      <c r="K30">
        <v>0</v>
      </c>
      <c r="L30">
        <v>0.67200000000000004</v>
      </c>
    </row>
    <row r="31" spans="1:12" ht="15" customHeight="1" x14ac:dyDescent="0.15">
      <c r="A31">
        <v>30</v>
      </c>
      <c r="B31" s="182" t="s">
        <v>221</v>
      </c>
      <c r="C31">
        <v>2E-3</v>
      </c>
      <c r="D31">
        <v>2.1999999999999999E-2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2.4E-2</v>
      </c>
    </row>
    <row r="32" spans="1:12" ht="15" customHeight="1" x14ac:dyDescent="0.15">
      <c r="A32">
        <v>31</v>
      </c>
      <c r="B32" s="182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ht="15" customHeight="1" x14ac:dyDescent="0.15">
      <c r="A33">
        <v>32</v>
      </c>
      <c r="B33" s="182" t="s">
        <v>223</v>
      </c>
      <c r="C33">
        <v>1E-3</v>
      </c>
      <c r="D33">
        <v>7.0000000000000007E-2</v>
      </c>
      <c r="E33">
        <v>0</v>
      </c>
      <c r="F33">
        <v>2E-3</v>
      </c>
      <c r="G33">
        <v>1E-3</v>
      </c>
      <c r="H33">
        <v>0</v>
      </c>
      <c r="I33">
        <v>0</v>
      </c>
      <c r="J33">
        <v>0</v>
      </c>
      <c r="K33">
        <v>0</v>
      </c>
      <c r="L33">
        <v>7.400000000000001E-2</v>
      </c>
    </row>
    <row r="34" spans="1:12" ht="15" customHeight="1" x14ac:dyDescent="0.15">
      <c r="A34">
        <v>33</v>
      </c>
      <c r="B34" s="182" t="s">
        <v>224</v>
      </c>
      <c r="C34">
        <v>1E-3</v>
      </c>
      <c r="D34">
        <v>8.0000000000000002E-3</v>
      </c>
      <c r="E34">
        <v>0</v>
      </c>
      <c r="F34">
        <v>0</v>
      </c>
      <c r="G34">
        <v>0</v>
      </c>
      <c r="H34">
        <v>2E-3</v>
      </c>
      <c r="I34">
        <v>2E-3</v>
      </c>
      <c r="J34">
        <v>0.28999999999999998</v>
      </c>
      <c r="K34">
        <v>0</v>
      </c>
      <c r="L34">
        <v>0.30299999999999999</v>
      </c>
    </row>
    <row r="35" spans="1:12" ht="15" customHeight="1" x14ac:dyDescent="0.15">
      <c r="A35">
        <v>34</v>
      </c>
      <c r="B35" s="182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 ht="15" customHeight="1" x14ac:dyDescent="0.15">
      <c r="A36">
        <v>35</v>
      </c>
      <c r="B36" s="182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</row>
    <row r="37" spans="1:12" ht="15" customHeight="1" x14ac:dyDescent="0.15">
      <c r="A37">
        <v>36</v>
      </c>
      <c r="B37" s="182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</row>
    <row r="38" spans="1:12" ht="15" customHeight="1" x14ac:dyDescent="0.15">
      <c r="A38">
        <v>37</v>
      </c>
      <c r="B38" s="182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ht="15" customHeight="1" x14ac:dyDescent="0.15">
      <c r="A39">
        <v>38</v>
      </c>
      <c r="B39" s="182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7.0000000000000001E-3</v>
      </c>
      <c r="J39">
        <v>0</v>
      </c>
      <c r="K39">
        <v>0</v>
      </c>
      <c r="L39">
        <v>7.0000000000000001E-3</v>
      </c>
    </row>
    <row r="40" spans="1:12" ht="15" customHeight="1" x14ac:dyDescent="0.15">
      <c r="A40">
        <v>39</v>
      </c>
      <c r="B40" s="182" t="s">
        <v>230</v>
      </c>
      <c r="C40">
        <v>0</v>
      </c>
      <c r="D40">
        <v>2E-3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0.1</v>
      </c>
      <c r="L40">
        <v>0.10200000000000001</v>
      </c>
    </row>
    <row r="41" spans="1:12" ht="15" customHeight="1" x14ac:dyDescent="0.15">
      <c r="A41">
        <v>40</v>
      </c>
      <c r="B41" s="182" t="s">
        <v>231</v>
      </c>
      <c r="C41">
        <v>0</v>
      </c>
      <c r="D41">
        <v>1E-3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1E-3</v>
      </c>
    </row>
    <row r="42" spans="1:12" ht="15" customHeight="1" x14ac:dyDescent="0.15">
      <c r="A42">
        <v>41</v>
      </c>
      <c r="B42" s="182" t="s">
        <v>232</v>
      </c>
      <c r="C42">
        <v>4.0000000000000001E-3</v>
      </c>
      <c r="D42">
        <v>0</v>
      </c>
      <c r="E42">
        <v>0</v>
      </c>
      <c r="F42">
        <v>3.0000000000000001E-3</v>
      </c>
      <c r="G42">
        <v>0</v>
      </c>
      <c r="H42">
        <v>0</v>
      </c>
      <c r="I42">
        <v>0</v>
      </c>
      <c r="J42">
        <v>0</v>
      </c>
      <c r="K42">
        <v>0</v>
      </c>
      <c r="L42">
        <v>7.0000000000000001E-3</v>
      </c>
    </row>
    <row r="43" spans="1:12" ht="15" customHeight="1" x14ac:dyDescent="0.15">
      <c r="A43">
        <v>42</v>
      </c>
      <c r="B43" s="182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1:12" ht="15" customHeight="1" x14ac:dyDescent="0.15">
      <c r="A44">
        <v>43</v>
      </c>
      <c r="B44" s="182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ht="15" customHeight="1" x14ac:dyDescent="0.15">
      <c r="A45">
        <v>44</v>
      </c>
      <c r="B45" s="182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ht="15" customHeight="1" x14ac:dyDescent="0.15">
      <c r="A46">
        <v>45</v>
      </c>
      <c r="B46" s="182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1:12" ht="15" customHeight="1" x14ac:dyDescent="0.15">
      <c r="A47">
        <v>46</v>
      </c>
      <c r="B47" s="182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 ht="15" customHeight="1" x14ac:dyDescent="0.15">
      <c r="A48">
        <v>47</v>
      </c>
      <c r="B48" s="182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1:12" ht="15" customHeight="1" x14ac:dyDescent="0.15">
      <c r="A49">
        <v>48</v>
      </c>
      <c r="B49" s="182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</row>
    <row r="50" spans="1:12" x14ac:dyDescent="0.15">
      <c r="A50">
        <v>49</v>
      </c>
      <c r="B50" s="182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x14ac:dyDescent="0.15">
      <c r="A51">
        <v>50</v>
      </c>
      <c r="B51" s="182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15">
      <c r="A52">
        <v>51</v>
      </c>
      <c r="B52" s="182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15">
      <c r="A53">
        <v>52</v>
      </c>
      <c r="B53" s="182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15">
      <c r="A54">
        <v>53</v>
      </c>
      <c r="B54" s="182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 x14ac:dyDescent="0.15">
      <c r="A55">
        <v>54</v>
      </c>
      <c r="B55" s="182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L5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8.5" bestFit="1" customWidth="1"/>
    <col min="3" max="4" width="8.83203125" bestFit="1" customWidth="1"/>
    <col min="5" max="5" width="6.83203125" bestFit="1" customWidth="1"/>
    <col min="6" max="6" width="7.5" customWidth="1"/>
    <col min="7" max="7" width="8.83203125" customWidth="1"/>
    <col min="8" max="9" width="2.33203125" customWidth="1"/>
    <col min="10" max="11" width="6.83203125" customWidth="1"/>
    <col min="12" max="12" width="9.83203125" customWidth="1"/>
  </cols>
  <sheetData>
    <row r="1" spans="1:12" s="115" customFormat="1" ht="112" x14ac:dyDescent="0.15">
      <c r="A1" s="5" t="s">
        <v>22</v>
      </c>
      <c r="B1" s="3" t="s">
        <v>0</v>
      </c>
      <c r="C1" s="185" t="s">
        <v>246</v>
      </c>
      <c r="D1" s="185" t="s">
        <v>247</v>
      </c>
      <c r="E1" s="185" t="s">
        <v>248</v>
      </c>
      <c r="F1" s="185" t="s">
        <v>249</v>
      </c>
      <c r="G1" s="185" t="s">
        <v>250</v>
      </c>
      <c r="H1" s="185" t="s">
        <v>251</v>
      </c>
      <c r="I1" s="185" t="s">
        <v>252</v>
      </c>
      <c r="J1" s="185" t="s">
        <v>253</v>
      </c>
      <c r="K1" s="185" t="s">
        <v>254</v>
      </c>
      <c r="L1" s="185" t="s">
        <v>258</v>
      </c>
    </row>
    <row r="2" spans="1:12" x14ac:dyDescent="0.15">
      <c r="A2">
        <v>1</v>
      </c>
      <c r="B2" s="184" t="s">
        <v>192</v>
      </c>
      <c r="C2">
        <v>0</v>
      </c>
      <c r="D2">
        <v>0</v>
      </c>
      <c r="E2">
        <v>9.9999999999999995E-8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9.9999999999999995E-8</v>
      </c>
    </row>
    <row r="3" spans="1:12" x14ac:dyDescent="0.15">
      <c r="A3">
        <v>2</v>
      </c>
      <c r="B3" s="184" t="s">
        <v>193</v>
      </c>
      <c r="C3">
        <v>0</v>
      </c>
      <c r="D3">
        <v>0</v>
      </c>
      <c r="E3">
        <v>9.9999999999999995E-7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9.9999999999999995E-7</v>
      </c>
    </row>
    <row r="4" spans="1:12" x14ac:dyDescent="0.15">
      <c r="A4">
        <v>3</v>
      </c>
      <c r="B4" s="184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 x14ac:dyDescent="0.15">
      <c r="A5">
        <v>4</v>
      </c>
      <c r="B5" s="184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</row>
    <row r="6" spans="1:12" x14ac:dyDescent="0.15">
      <c r="A6">
        <v>5</v>
      </c>
      <c r="B6" s="184" t="s">
        <v>196</v>
      </c>
      <c r="C6">
        <v>0</v>
      </c>
      <c r="D6">
        <v>0</v>
      </c>
      <c r="E6">
        <v>9.9999999999999995E-8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9.9999999999999995E-8</v>
      </c>
    </row>
    <row r="7" spans="1:12" x14ac:dyDescent="0.15">
      <c r="A7">
        <v>6</v>
      </c>
      <c r="B7" s="184" t="s">
        <v>197</v>
      </c>
      <c r="C7">
        <v>0</v>
      </c>
      <c r="D7">
        <v>0</v>
      </c>
      <c r="E7">
        <v>0</v>
      </c>
      <c r="F7">
        <v>9.9999999999999995E-7</v>
      </c>
      <c r="G7">
        <v>0</v>
      </c>
      <c r="H7">
        <v>0</v>
      </c>
      <c r="I7">
        <v>0</v>
      </c>
      <c r="J7">
        <v>0</v>
      </c>
      <c r="K7">
        <v>0</v>
      </c>
      <c r="L7">
        <v>9.9999999999999995E-7</v>
      </c>
    </row>
    <row r="8" spans="1:12" x14ac:dyDescent="0.15">
      <c r="A8">
        <v>7</v>
      </c>
      <c r="B8" s="184" t="s">
        <v>198</v>
      </c>
      <c r="C8">
        <v>5.1699999999999999E-4</v>
      </c>
      <c r="D8">
        <v>6.5799999999999995E-4</v>
      </c>
      <c r="E8">
        <v>1.0000000000000001E-5</v>
      </c>
      <c r="F8">
        <v>4.1E-5</v>
      </c>
      <c r="G8">
        <v>0</v>
      </c>
      <c r="H8">
        <v>0</v>
      </c>
      <c r="I8">
        <v>0</v>
      </c>
      <c r="J8">
        <v>0</v>
      </c>
      <c r="K8">
        <v>0</v>
      </c>
      <c r="L8">
        <v>1.2259999999999999E-3</v>
      </c>
    </row>
    <row r="9" spans="1:12" x14ac:dyDescent="0.15">
      <c r="A9">
        <v>8</v>
      </c>
      <c r="B9" s="184" t="s">
        <v>199</v>
      </c>
      <c r="C9">
        <v>0</v>
      </c>
      <c r="D9">
        <v>0</v>
      </c>
      <c r="E9">
        <v>1E-4</v>
      </c>
      <c r="F9">
        <v>9.9999999999999995E-7</v>
      </c>
      <c r="G9">
        <v>0</v>
      </c>
      <c r="H9">
        <v>0</v>
      </c>
      <c r="I9">
        <v>0</v>
      </c>
      <c r="J9">
        <v>0</v>
      </c>
      <c r="K9">
        <v>0</v>
      </c>
      <c r="L9">
        <v>1.01E-4</v>
      </c>
    </row>
    <row r="10" spans="1:12" x14ac:dyDescent="0.15">
      <c r="A10">
        <v>9</v>
      </c>
      <c r="B10" s="184" t="s">
        <v>200</v>
      </c>
      <c r="C10">
        <v>0</v>
      </c>
      <c r="D10">
        <v>2.1100000000000001E-4</v>
      </c>
      <c r="E10">
        <v>1.0000000000000001E-5</v>
      </c>
      <c r="F10">
        <v>9.9999999999999995E-7</v>
      </c>
      <c r="G10">
        <v>0</v>
      </c>
      <c r="H10">
        <v>0</v>
      </c>
      <c r="I10">
        <v>0</v>
      </c>
      <c r="J10">
        <v>0</v>
      </c>
      <c r="K10">
        <v>0</v>
      </c>
      <c r="L10">
        <v>2.22E-4</v>
      </c>
    </row>
    <row r="11" spans="1:12" x14ac:dyDescent="0.15">
      <c r="A11">
        <v>10</v>
      </c>
      <c r="B11" s="184" t="s">
        <v>201</v>
      </c>
      <c r="C11">
        <v>0</v>
      </c>
      <c r="D11">
        <v>0</v>
      </c>
      <c r="E11">
        <v>1.0000000000000001E-5</v>
      </c>
      <c r="F11">
        <v>9.9999999999999995E-7</v>
      </c>
      <c r="G11">
        <v>0</v>
      </c>
      <c r="H11">
        <v>0</v>
      </c>
      <c r="I11">
        <v>0</v>
      </c>
      <c r="J11">
        <v>0</v>
      </c>
      <c r="K11">
        <v>0</v>
      </c>
      <c r="L11">
        <v>1.1000000000000001E-5</v>
      </c>
    </row>
    <row r="12" spans="1:12" x14ac:dyDescent="0.15">
      <c r="A12">
        <v>11</v>
      </c>
      <c r="B12" s="184" t="s">
        <v>202</v>
      </c>
      <c r="C12">
        <v>1.3382E-2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1.3382E-2</v>
      </c>
    </row>
    <row r="13" spans="1:12" x14ac:dyDescent="0.15">
      <c r="A13">
        <v>12</v>
      </c>
      <c r="B13" s="184" t="s">
        <v>203</v>
      </c>
      <c r="C13">
        <v>1.9999999999999999E-6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9.9999999999999995E-7</v>
      </c>
      <c r="K13">
        <v>0</v>
      </c>
      <c r="L13">
        <v>3.0000000000000001E-6</v>
      </c>
    </row>
    <row r="14" spans="1:12" x14ac:dyDescent="0.15">
      <c r="A14">
        <v>13</v>
      </c>
      <c r="B14" s="184" t="s">
        <v>204</v>
      </c>
      <c r="C14">
        <v>1.407E-3</v>
      </c>
      <c r="D14">
        <v>2.6450000000000002E-3</v>
      </c>
      <c r="E14">
        <v>1E-4</v>
      </c>
      <c r="F14">
        <v>9.9999999999999995E-7</v>
      </c>
      <c r="G14">
        <v>0</v>
      </c>
      <c r="H14">
        <v>0</v>
      </c>
      <c r="I14">
        <v>0</v>
      </c>
      <c r="J14">
        <v>0</v>
      </c>
      <c r="K14">
        <v>0</v>
      </c>
      <c r="L14">
        <v>4.1530000000000004E-3</v>
      </c>
    </row>
    <row r="15" spans="1:12" x14ac:dyDescent="0.15">
      <c r="A15">
        <v>14</v>
      </c>
      <c r="B15" s="184" t="s">
        <v>205</v>
      </c>
      <c r="C15">
        <v>0</v>
      </c>
      <c r="D15">
        <v>1.5999999999999999E-5</v>
      </c>
      <c r="E15">
        <v>0</v>
      </c>
      <c r="F15">
        <v>0</v>
      </c>
      <c r="G15">
        <v>0</v>
      </c>
      <c r="H15">
        <v>0</v>
      </c>
      <c r="I15">
        <v>0</v>
      </c>
      <c r="J15">
        <v>9.9999999999999995E-7</v>
      </c>
      <c r="K15">
        <v>0</v>
      </c>
      <c r="L15">
        <v>1.7E-5</v>
      </c>
    </row>
    <row r="16" spans="1:12" x14ac:dyDescent="0.15">
      <c r="A16">
        <v>15</v>
      </c>
      <c r="B16" s="184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</row>
    <row r="17" spans="1:12" x14ac:dyDescent="0.15">
      <c r="A17">
        <v>16</v>
      </c>
      <c r="B17" s="184" t="s">
        <v>207</v>
      </c>
      <c r="C17">
        <v>0</v>
      </c>
      <c r="D17">
        <v>0</v>
      </c>
      <c r="E17">
        <v>0</v>
      </c>
      <c r="F17">
        <v>9.9999999999999995E-7</v>
      </c>
      <c r="G17">
        <v>0</v>
      </c>
      <c r="H17">
        <v>0</v>
      </c>
      <c r="I17">
        <v>0</v>
      </c>
      <c r="J17">
        <v>0</v>
      </c>
      <c r="K17">
        <v>0</v>
      </c>
      <c r="L17">
        <v>9.9999999999999995E-7</v>
      </c>
    </row>
    <row r="18" spans="1:12" x14ac:dyDescent="0.15">
      <c r="A18">
        <v>17</v>
      </c>
      <c r="B18" s="184" t="s">
        <v>208</v>
      </c>
      <c r="C18">
        <v>0</v>
      </c>
      <c r="D18">
        <v>3.0000000000000001E-6</v>
      </c>
      <c r="E18">
        <v>0</v>
      </c>
      <c r="F18">
        <v>0</v>
      </c>
      <c r="G18">
        <v>0</v>
      </c>
      <c r="H18">
        <v>0</v>
      </c>
      <c r="I18">
        <v>0</v>
      </c>
      <c r="J18">
        <v>1E-3</v>
      </c>
      <c r="K18">
        <v>9.9999999999999995E-7</v>
      </c>
      <c r="L18">
        <v>1.0039999999999999E-3</v>
      </c>
    </row>
    <row r="19" spans="1:12" x14ac:dyDescent="0.15">
      <c r="A19">
        <v>18</v>
      </c>
      <c r="B19" s="184" t="s">
        <v>209</v>
      </c>
      <c r="C19">
        <v>8.1980000000000004E-3</v>
      </c>
      <c r="D19">
        <v>5.4199999999999995E-4</v>
      </c>
      <c r="E19">
        <v>0</v>
      </c>
      <c r="F19">
        <v>0</v>
      </c>
      <c r="G19">
        <v>3.8000000000000002E-5</v>
      </c>
      <c r="H19">
        <v>0</v>
      </c>
      <c r="I19">
        <v>0</v>
      </c>
      <c r="J19">
        <v>1E-4</v>
      </c>
      <c r="K19">
        <v>1.0000000000000001E-5</v>
      </c>
      <c r="L19">
        <v>8.8880000000000001E-3</v>
      </c>
    </row>
    <row r="20" spans="1:12" x14ac:dyDescent="0.15">
      <c r="A20">
        <v>19</v>
      </c>
      <c r="B20" s="184" t="s">
        <v>210</v>
      </c>
      <c r="C20">
        <v>3.6000000000000001E-5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1.0000000000000001E-5</v>
      </c>
      <c r="K20">
        <v>0</v>
      </c>
      <c r="L20">
        <v>4.6E-5</v>
      </c>
    </row>
    <row r="21" spans="1:12" x14ac:dyDescent="0.15">
      <c r="A21">
        <v>20</v>
      </c>
      <c r="B21" s="184" t="s">
        <v>211</v>
      </c>
      <c r="C21">
        <v>3.8000000000000002E-5</v>
      </c>
      <c r="D21">
        <v>1.2E-5</v>
      </c>
      <c r="E21">
        <v>2.0000000000000002E-5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7.0000000000000007E-5</v>
      </c>
    </row>
    <row r="22" spans="1:12" x14ac:dyDescent="0.15">
      <c r="A22">
        <v>21</v>
      </c>
      <c r="B22" s="184" t="s">
        <v>212</v>
      </c>
      <c r="C22">
        <v>0</v>
      </c>
      <c r="D22">
        <v>8.0800000000000002E-4</v>
      </c>
      <c r="E22">
        <v>1.0000000000000001E-5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8.1800000000000004E-4</v>
      </c>
    </row>
    <row r="23" spans="1:12" x14ac:dyDescent="0.15">
      <c r="A23">
        <v>22</v>
      </c>
      <c r="B23" s="184" t="s">
        <v>213</v>
      </c>
      <c r="C23">
        <v>7.9999999999999996E-6</v>
      </c>
      <c r="D23">
        <v>2.9399999999999999E-4</v>
      </c>
      <c r="E23">
        <v>2.9999999999999997E-4</v>
      </c>
      <c r="F23">
        <v>0</v>
      </c>
      <c r="G23">
        <v>9.5000000000000005E-5</v>
      </c>
      <c r="H23">
        <v>0</v>
      </c>
      <c r="I23">
        <v>0</v>
      </c>
      <c r="J23">
        <v>0</v>
      </c>
      <c r="K23">
        <v>0</v>
      </c>
      <c r="L23">
        <v>6.9699999999999992E-4</v>
      </c>
    </row>
    <row r="24" spans="1:12" x14ac:dyDescent="0.15">
      <c r="A24">
        <v>23</v>
      </c>
      <c r="B24" s="184" t="s">
        <v>214</v>
      </c>
      <c r="C24">
        <v>0</v>
      </c>
      <c r="D24">
        <v>1.1379999999999999E-3</v>
      </c>
      <c r="E24">
        <v>1.0000000000000001E-5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1.1479999999999999E-3</v>
      </c>
    </row>
    <row r="25" spans="1:12" x14ac:dyDescent="0.15">
      <c r="A25">
        <v>24</v>
      </c>
      <c r="B25" s="184" t="s">
        <v>215</v>
      </c>
      <c r="C25">
        <v>8.0000000000000007E-5</v>
      </c>
      <c r="D25">
        <v>1.7200000000000001E-4</v>
      </c>
      <c r="E25">
        <v>9.9999999999999995E-7</v>
      </c>
      <c r="F25">
        <v>0</v>
      </c>
      <c r="G25">
        <v>0</v>
      </c>
      <c r="H25">
        <v>0</v>
      </c>
      <c r="I25">
        <v>0</v>
      </c>
      <c r="J25">
        <v>1.0000000000000001E-5</v>
      </c>
      <c r="K25">
        <v>0</v>
      </c>
      <c r="L25">
        <v>2.6300000000000005E-4</v>
      </c>
    </row>
    <row r="26" spans="1:12" x14ac:dyDescent="0.15">
      <c r="A26">
        <v>25</v>
      </c>
      <c r="B26" s="184" t="s">
        <v>216</v>
      </c>
      <c r="C26">
        <v>0</v>
      </c>
      <c r="D26">
        <v>0</v>
      </c>
      <c r="E26">
        <v>1.0000000000000001E-5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1.0000000000000001E-5</v>
      </c>
    </row>
    <row r="27" spans="1:12" x14ac:dyDescent="0.15">
      <c r="A27">
        <v>26</v>
      </c>
      <c r="B27" s="184" t="s">
        <v>217</v>
      </c>
      <c r="C27">
        <v>8.9599999999999999E-4</v>
      </c>
      <c r="D27">
        <v>3.7060000000000001E-3</v>
      </c>
      <c r="E27">
        <v>9.9999999999999995E-7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4.6030000000000003E-3</v>
      </c>
    </row>
    <row r="28" spans="1:12" x14ac:dyDescent="0.15">
      <c r="A28">
        <v>27</v>
      </c>
      <c r="B28" s="184" t="s">
        <v>218</v>
      </c>
      <c r="C28">
        <v>1.8E-5</v>
      </c>
      <c r="D28">
        <v>4.6E-5</v>
      </c>
      <c r="E28">
        <v>0</v>
      </c>
      <c r="F28">
        <v>2.0999999999999998E-6</v>
      </c>
      <c r="G28">
        <v>0</v>
      </c>
      <c r="H28">
        <v>0</v>
      </c>
      <c r="I28">
        <v>0</v>
      </c>
      <c r="J28">
        <v>0</v>
      </c>
      <c r="K28">
        <v>0</v>
      </c>
      <c r="L28">
        <v>6.6099999999999994E-5</v>
      </c>
    </row>
    <row r="29" spans="1:12" x14ac:dyDescent="0.15">
      <c r="A29">
        <v>28</v>
      </c>
      <c r="B29" s="184" t="s">
        <v>219</v>
      </c>
      <c r="C29">
        <v>1.0000000000000001E-5</v>
      </c>
      <c r="D29">
        <v>3.6000000000000001E-5</v>
      </c>
      <c r="E29">
        <v>0</v>
      </c>
      <c r="F29">
        <v>0</v>
      </c>
      <c r="G29">
        <v>6.0000000000000002E-6</v>
      </c>
      <c r="H29">
        <v>0</v>
      </c>
      <c r="I29">
        <v>0</v>
      </c>
      <c r="J29">
        <v>0</v>
      </c>
      <c r="K29">
        <v>0</v>
      </c>
      <c r="L29">
        <v>5.2000000000000004E-5</v>
      </c>
    </row>
    <row r="30" spans="1:12" x14ac:dyDescent="0.15">
      <c r="A30">
        <v>29</v>
      </c>
      <c r="B30" s="184" t="s">
        <v>220</v>
      </c>
      <c r="C30">
        <v>0</v>
      </c>
      <c r="D30">
        <v>3.9999999999999998E-6</v>
      </c>
      <c r="E30">
        <v>1E-4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1.0400000000000001E-4</v>
      </c>
    </row>
    <row r="31" spans="1:12" x14ac:dyDescent="0.15">
      <c r="A31">
        <v>30</v>
      </c>
      <c r="B31" s="184" t="s">
        <v>221</v>
      </c>
      <c r="C31">
        <v>0</v>
      </c>
      <c r="D31">
        <v>8.9064000000000004E-2</v>
      </c>
      <c r="E31">
        <v>0</v>
      </c>
      <c r="F31">
        <v>0</v>
      </c>
      <c r="G31">
        <v>2.7399999999999999E-4</v>
      </c>
      <c r="H31">
        <v>0</v>
      </c>
      <c r="I31">
        <v>0</v>
      </c>
      <c r="J31">
        <v>0</v>
      </c>
      <c r="K31">
        <v>0</v>
      </c>
      <c r="L31">
        <v>8.9338000000000001E-2</v>
      </c>
    </row>
    <row r="32" spans="1:12" x14ac:dyDescent="0.15">
      <c r="A32">
        <v>31</v>
      </c>
      <c r="B32" s="184" t="s">
        <v>222</v>
      </c>
      <c r="C32">
        <v>0</v>
      </c>
      <c r="D32">
        <v>3.8999999999999999E-5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3.8999999999999999E-5</v>
      </c>
    </row>
    <row r="33" spans="1:12" x14ac:dyDescent="0.15">
      <c r="A33">
        <v>32</v>
      </c>
      <c r="B33" s="184" t="s">
        <v>223</v>
      </c>
      <c r="C33">
        <v>0</v>
      </c>
      <c r="D33">
        <v>9.2759999999999995E-3</v>
      </c>
      <c r="E33">
        <v>0</v>
      </c>
      <c r="F33">
        <v>0</v>
      </c>
      <c r="G33">
        <v>6.3999999999999997E-5</v>
      </c>
      <c r="H33">
        <v>0</v>
      </c>
      <c r="I33">
        <v>0</v>
      </c>
      <c r="J33">
        <v>0</v>
      </c>
      <c r="K33">
        <v>0</v>
      </c>
      <c r="L33">
        <v>9.3399999999999993E-3</v>
      </c>
    </row>
    <row r="34" spans="1:12" x14ac:dyDescent="0.15">
      <c r="A34">
        <v>33</v>
      </c>
      <c r="B34" s="184" t="s">
        <v>224</v>
      </c>
      <c r="C34">
        <v>1.9193999999999999E-2</v>
      </c>
      <c r="D34">
        <v>1.7279999999999999E-3</v>
      </c>
      <c r="E34">
        <v>0</v>
      </c>
      <c r="F34">
        <v>0</v>
      </c>
      <c r="G34">
        <v>2.0000000000000002E-5</v>
      </c>
      <c r="H34">
        <v>0</v>
      </c>
      <c r="I34">
        <v>0</v>
      </c>
      <c r="J34">
        <v>1E-4</v>
      </c>
      <c r="K34">
        <v>9.9999999999999995E-7</v>
      </c>
      <c r="L34">
        <v>2.1042999999999999E-2</v>
      </c>
    </row>
    <row r="35" spans="1:12" x14ac:dyDescent="0.15">
      <c r="A35">
        <v>34</v>
      </c>
      <c r="B35" s="184" t="s">
        <v>225</v>
      </c>
      <c r="C35">
        <v>7.8910000000000004E-3</v>
      </c>
      <c r="D35">
        <v>1.4809999999999999E-3</v>
      </c>
      <c r="E35">
        <v>0</v>
      </c>
      <c r="F35">
        <v>0</v>
      </c>
      <c r="G35">
        <v>3.6999999999999998E-5</v>
      </c>
      <c r="H35">
        <v>0</v>
      </c>
      <c r="I35">
        <v>0</v>
      </c>
      <c r="J35">
        <v>9.9999999999999995E-8</v>
      </c>
      <c r="K35">
        <v>1.0000000000000001E-5</v>
      </c>
      <c r="L35">
        <v>9.4190999999999997E-3</v>
      </c>
    </row>
    <row r="36" spans="1:12" x14ac:dyDescent="0.15">
      <c r="A36">
        <v>35</v>
      </c>
      <c r="B36" s="184" t="s">
        <v>226</v>
      </c>
      <c r="C36">
        <v>5.9500000000000004E-4</v>
      </c>
      <c r="D36">
        <v>4.28E-4</v>
      </c>
      <c r="E36">
        <v>0</v>
      </c>
      <c r="F36">
        <v>0</v>
      </c>
      <c r="G36">
        <v>6.9999999999999999E-6</v>
      </c>
      <c r="H36">
        <v>0</v>
      </c>
      <c r="I36">
        <v>0</v>
      </c>
      <c r="J36">
        <v>0</v>
      </c>
      <c r="K36">
        <v>0</v>
      </c>
      <c r="L36">
        <v>1.0300000000000001E-3</v>
      </c>
    </row>
    <row r="37" spans="1:12" x14ac:dyDescent="0.15">
      <c r="A37">
        <v>36</v>
      </c>
      <c r="B37" s="184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1.0000000000000001E-5</v>
      </c>
      <c r="K37">
        <v>1.0000000000000001E-5</v>
      </c>
      <c r="L37">
        <v>2.0000000000000002E-5</v>
      </c>
    </row>
    <row r="38" spans="1:12" x14ac:dyDescent="0.15">
      <c r="A38">
        <v>37</v>
      </c>
      <c r="B38" s="184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15">
      <c r="A39">
        <v>38</v>
      </c>
      <c r="B39" s="184" t="s">
        <v>229</v>
      </c>
      <c r="C39">
        <v>0</v>
      </c>
      <c r="D39">
        <v>6.7199999999999996E-4</v>
      </c>
      <c r="E39">
        <v>0</v>
      </c>
      <c r="F39">
        <v>0</v>
      </c>
      <c r="G39">
        <v>0</v>
      </c>
      <c r="H39">
        <v>0</v>
      </c>
      <c r="I39">
        <v>0</v>
      </c>
      <c r="J39">
        <v>1.0000000000000001E-5</v>
      </c>
      <c r="K39">
        <v>0</v>
      </c>
      <c r="L39">
        <v>6.8199999999999999E-4</v>
      </c>
    </row>
    <row r="40" spans="1:12" x14ac:dyDescent="0.15">
      <c r="A40">
        <v>39</v>
      </c>
      <c r="B40" s="184" t="s">
        <v>230</v>
      </c>
      <c r="C40">
        <v>0</v>
      </c>
      <c r="D40">
        <v>1.5367E-2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1.5367E-2</v>
      </c>
    </row>
    <row r="41" spans="1:12" x14ac:dyDescent="0.15">
      <c r="A41">
        <v>40</v>
      </c>
      <c r="B41" s="184" t="s">
        <v>231</v>
      </c>
      <c r="C41">
        <v>6.5099999999999999E-4</v>
      </c>
      <c r="D41">
        <v>4.2900000000000002E-4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1.08E-3</v>
      </c>
    </row>
    <row r="42" spans="1:12" x14ac:dyDescent="0.15">
      <c r="A42">
        <v>41</v>
      </c>
      <c r="B42" s="184" t="s">
        <v>232</v>
      </c>
      <c r="C42">
        <v>5.3200000000000003E-4</v>
      </c>
      <c r="D42">
        <v>3.8699999999999997E-4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1E-4</v>
      </c>
      <c r="L42">
        <v>1.0189999999999999E-3</v>
      </c>
    </row>
    <row r="43" spans="1:12" x14ac:dyDescent="0.15">
      <c r="A43">
        <v>42</v>
      </c>
      <c r="B43" s="184" t="s">
        <v>233</v>
      </c>
      <c r="C43">
        <v>2.15E-3</v>
      </c>
      <c r="D43">
        <v>4.2099999999999999E-4</v>
      </c>
      <c r="E43">
        <v>0</v>
      </c>
      <c r="F43">
        <v>0</v>
      </c>
      <c r="G43">
        <v>1.4E-5</v>
      </c>
      <c r="H43">
        <v>0</v>
      </c>
      <c r="I43">
        <v>0</v>
      </c>
      <c r="J43">
        <v>1.0000000000000001E-5</v>
      </c>
      <c r="K43">
        <v>1.0000000000000001E-5</v>
      </c>
      <c r="L43">
        <v>2.6050000000000001E-3</v>
      </c>
    </row>
    <row r="44" spans="1:12" x14ac:dyDescent="0.15">
      <c r="A44">
        <v>43</v>
      </c>
      <c r="B44" s="184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x14ac:dyDescent="0.15">
      <c r="A45">
        <v>44</v>
      </c>
      <c r="B45" s="184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15">
      <c r="A46">
        <v>45</v>
      </c>
      <c r="B46" s="184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1:12" x14ac:dyDescent="0.15">
      <c r="A47">
        <v>46</v>
      </c>
      <c r="B47" s="184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 x14ac:dyDescent="0.15">
      <c r="A48">
        <v>47</v>
      </c>
      <c r="B48" s="184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1:12" x14ac:dyDescent="0.15">
      <c r="A49">
        <v>48</v>
      </c>
      <c r="B49" s="184" t="s">
        <v>239</v>
      </c>
      <c r="C49">
        <v>1.083E-3</v>
      </c>
      <c r="D49">
        <v>3.0119999999999999E-3</v>
      </c>
      <c r="E49">
        <v>0</v>
      </c>
      <c r="F49">
        <v>0</v>
      </c>
      <c r="G49">
        <v>9.0000000000000002E-6</v>
      </c>
      <c r="H49">
        <v>0</v>
      </c>
      <c r="I49">
        <v>0</v>
      </c>
      <c r="J49">
        <v>0</v>
      </c>
      <c r="K49">
        <v>0</v>
      </c>
      <c r="L49">
        <v>4.104E-3</v>
      </c>
    </row>
    <row r="50" spans="1:12" x14ac:dyDescent="0.15">
      <c r="A50">
        <v>49</v>
      </c>
      <c r="B50" s="184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x14ac:dyDescent="0.15">
      <c r="A51">
        <v>50</v>
      </c>
      <c r="B51" s="184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15">
      <c r="A52">
        <v>51</v>
      </c>
      <c r="B52" s="184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15">
      <c r="A53">
        <v>52</v>
      </c>
      <c r="B53" s="184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15">
      <c r="A54">
        <v>53</v>
      </c>
      <c r="B54" s="184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 x14ac:dyDescent="0.15">
      <c r="A55">
        <v>54</v>
      </c>
      <c r="B55" s="184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8.5" bestFit="1" customWidth="1"/>
    <col min="6" max="6" width="4.83203125" bestFit="1" customWidth="1"/>
    <col min="7" max="9" width="3.83203125" bestFit="1" customWidth="1"/>
    <col min="10" max="11" width="4.83203125" style="114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6" customFormat="1" ht="14" thickBot="1" x14ac:dyDescent="0.2">
      <c r="D1" s="117" t="s">
        <v>8</v>
      </c>
      <c r="E1" s="117" t="s">
        <v>0</v>
      </c>
      <c r="F1" s="118" t="s">
        <v>99</v>
      </c>
      <c r="G1" s="119" t="s">
        <v>84</v>
      </c>
      <c r="H1" s="119" t="s">
        <v>85</v>
      </c>
      <c r="I1" s="119" t="s">
        <v>86</v>
      </c>
      <c r="J1" s="119" t="s">
        <v>87</v>
      </c>
      <c r="K1" s="119" t="s">
        <v>88</v>
      </c>
      <c r="L1" s="120" t="s">
        <v>89</v>
      </c>
      <c r="M1" s="120" t="s">
        <v>93</v>
      </c>
      <c r="N1" s="120" t="s">
        <v>92</v>
      </c>
      <c r="O1" s="120" t="s">
        <v>90</v>
      </c>
      <c r="P1" s="120" t="s">
        <v>91</v>
      </c>
      <c r="Q1" s="121" t="s">
        <v>94</v>
      </c>
      <c r="R1" s="121" t="s">
        <v>95</v>
      </c>
      <c r="S1" s="121" t="s">
        <v>96</v>
      </c>
      <c r="T1" s="121" t="s">
        <v>97</v>
      </c>
      <c r="U1" s="121" t="s">
        <v>98</v>
      </c>
      <c r="V1" s="119" t="s">
        <v>100</v>
      </c>
      <c r="W1" s="119" t="s">
        <v>101</v>
      </c>
      <c r="X1" s="119" t="s">
        <v>102</v>
      </c>
      <c r="Y1" s="119" t="s">
        <v>134</v>
      </c>
      <c r="Z1" s="120" t="s">
        <v>103</v>
      </c>
      <c r="AA1" s="120" t="s">
        <v>104</v>
      </c>
      <c r="AB1" s="120" t="s">
        <v>105</v>
      </c>
      <c r="AC1" s="122" t="s">
        <v>135</v>
      </c>
      <c r="AD1" s="121" t="s">
        <v>106</v>
      </c>
      <c r="AE1" s="121" t="s">
        <v>107</v>
      </c>
      <c r="AF1" s="121" t="s">
        <v>108</v>
      </c>
      <c r="AG1" s="121" t="s">
        <v>136</v>
      </c>
      <c r="AH1" s="119" t="s">
        <v>109</v>
      </c>
      <c r="AI1" s="119" t="s">
        <v>111</v>
      </c>
      <c r="AJ1" s="119" t="s">
        <v>110</v>
      </c>
      <c r="AK1" s="120" t="s">
        <v>115</v>
      </c>
      <c r="AL1" s="120" t="s">
        <v>116</v>
      </c>
      <c r="AM1" s="120" t="s">
        <v>117</v>
      </c>
      <c r="AN1" s="121" t="s">
        <v>112</v>
      </c>
      <c r="AO1" s="121" t="s">
        <v>113</v>
      </c>
      <c r="AP1" s="121" t="s">
        <v>114</v>
      </c>
    </row>
    <row r="2" spans="1:42" x14ac:dyDescent="0.15">
      <c r="A2" s="123" t="s">
        <v>74</v>
      </c>
      <c r="B2" s="124">
        <v>1</v>
      </c>
      <c r="D2">
        <v>1</v>
      </c>
      <c r="E2" s="186" t="s">
        <v>192</v>
      </c>
      <c r="F2">
        <v>0.98</v>
      </c>
      <c r="G2">
        <v>0.8</v>
      </c>
      <c r="H2">
        <v>0.8</v>
      </c>
      <c r="I2">
        <v>0.8</v>
      </c>
      <c r="J2" s="114">
        <v>0.25</v>
      </c>
      <c r="K2" s="114">
        <v>0.05</v>
      </c>
    </row>
    <row r="3" spans="1:42" x14ac:dyDescent="0.15">
      <c r="A3" s="123" t="s">
        <v>75</v>
      </c>
      <c r="B3" s="125">
        <v>1</v>
      </c>
      <c r="D3">
        <v>2</v>
      </c>
      <c r="E3" s="186" t="s">
        <v>193</v>
      </c>
      <c r="F3">
        <v>0.98</v>
      </c>
      <c r="G3">
        <v>0.8</v>
      </c>
      <c r="H3">
        <v>0.8</v>
      </c>
      <c r="I3">
        <v>0.8</v>
      </c>
      <c r="J3" s="114">
        <v>0.25</v>
      </c>
      <c r="K3" s="114">
        <v>0.05</v>
      </c>
    </row>
    <row r="4" spans="1:42" x14ac:dyDescent="0.15">
      <c r="A4" s="123" t="s">
        <v>76</v>
      </c>
      <c r="B4" s="125">
        <v>1</v>
      </c>
      <c r="D4">
        <v>3</v>
      </c>
      <c r="E4" s="186" t="s">
        <v>194</v>
      </c>
      <c r="F4">
        <v>0.98</v>
      </c>
      <c r="G4">
        <v>0.8</v>
      </c>
      <c r="H4">
        <v>0.8</v>
      </c>
      <c r="I4">
        <v>0.8</v>
      </c>
      <c r="J4" s="114">
        <v>0.25</v>
      </c>
      <c r="K4" s="114">
        <v>0.05</v>
      </c>
    </row>
    <row r="5" spans="1:42" x14ac:dyDescent="0.15">
      <c r="A5" s="123" t="s">
        <v>77</v>
      </c>
      <c r="B5" s="125">
        <v>1</v>
      </c>
      <c r="D5">
        <v>4</v>
      </c>
      <c r="E5" s="186" t="s">
        <v>195</v>
      </c>
      <c r="F5">
        <v>0.98</v>
      </c>
      <c r="G5">
        <v>0.8</v>
      </c>
      <c r="H5">
        <v>0.8</v>
      </c>
      <c r="I5">
        <v>0.8</v>
      </c>
      <c r="J5" s="114">
        <v>0.25</v>
      </c>
      <c r="K5" s="114">
        <v>0.05</v>
      </c>
    </row>
    <row r="6" spans="1:42" x14ac:dyDescent="0.15">
      <c r="A6" s="123" t="s">
        <v>78</v>
      </c>
      <c r="B6" s="125">
        <v>1</v>
      </c>
      <c r="D6">
        <v>5</v>
      </c>
      <c r="E6" s="186" t="s">
        <v>196</v>
      </c>
      <c r="F6">
        <v>0.98</v>
      </c>
      <c r="G6">
        <v>0.8</v>
      </c>
      <c r="H6">
        <v>0.8</v>
      </c>
      <c r="I6">
        <v>0.8</v>
      </c>
      <c r="J6" s="114">
        <v>0.25</v>
      </c>
      <c r="K6" s="114">
        <v>0.05</v>
      </c>
    </row>
    <row r="7" spans="1:42" x14ac:dyDescent="0.15">
      <c r="A7" s="123" t="s">
        <v>79</v>
      </c>
      <c r="B7" s="125">
        <v>1</v>
      </c>
      <c r="D7">
        <v>6</v>
      </c>
      <c r="E7" s="186" t="s">
        <v>197</v>
      </c>
      <c r="F7">
        <v>0.98</v>
      </c>
      <c r="G7">
        <v>0.8</v>
      </c>
      <c r="H7">
        <v>0.8</v>
      </c>
      <c r="I7">
        <v>0.8</v>
      </c>
      <c r="J7" s="114">
        <v>0.25</v>
      </c>
      <c r="K7" s="114">
        <v>0.05</v>
      </c>
    </row>
    <row r="8" spans="1:42" x14ac:dyDescent="0.15">
      <c r="A8" s="123" t="s">
        <v>80</v>
      </c>
      <c r="B8" s="125">
        <v>1</v>
      </c>
      <c r="D8">
        <v>7</v>
      </c>
      <c r="E8" s="186" t="s">
        <v>198</v>
      </c>
      <c r="F8">
        <v>0.98</v>
      </c>
      <c r="G8">
        <v>0.8</v>
      </c>
      <c r="H8">
        <v>0.8</v>
      </c>
      <c r="I8">
        <v>0.8</v>
      </c>
      <c r="J8" s="114">
        <v>0.25</v>
      </c>
      <c r="K8" s="114">
        <v>0.05</v>
      </c>
    </row>
    <row r="9" spans="1:42" x14ac:dyDescent="0.15">
      <c r="A9" s="123" t="s">
        <v>81</v>
      </c>
      <c r="B9" s="125">
        <v>0.1</v>
      </c>
      <c r="C9" s="61" t="s">
        <v>150</v>
      </c>
      <c r="D9">
        <v>8</v>
      </c>
      <c r="E9" s="186" t="s">
        <v>199</v>
      </c>
      <c r="F9">
        <v>0.98</v>
      </c>
      <c r="G9">
        <v>0.8</v>
      </c>
      <c r="H9">
        <v>0.8</v>
      </c>
      <c r="I9">
        <v>0.8</v>
      </c>
      <c r="J9" s="114">
        <v>0.25</v>
      </c>
      <c r="K9" s="114">
        <v>0.05</v>
      </c>
    </row>
    <row r="10" spans="1:42" ht="14" thickBot="1" x14ac:dyDescent="0.2">
      <c r="A10" s="123" t="s">
        <v>149</v>
      </c>
      <c r="B10" s="126">
        <f>1/3</f>
        <v>0.33333333333333331</v>
      </c>
      <c r="C10" s="61" t="s">
        <v>150</v>
      </c>
      <c r="D10">
        <v>9</v>
      </c>
      <c r="E10" s="186" t="s">
        <v>200</v>
      </c>
      <c r="F10">
        <v>0.98</v>
      </c>
      <c r="G10">
        <v>0.8</v>
      </c>
      <c r="H10">
        <v>0.8</v>
      </c>
      <c r="I10">
        <v>0.8</v>
      </c>
      <c r="J10" s="114">
        <v>0.25</v>
      </c>
      <c r="K10" s="114">
        <v>0.05</v>
      </c>
    </row>
    <row r="11" spans="1:42" x14ac:dyDescent="0.15">
      <c r="D11">
        <v>10</v>
      </c>
      <c r="E11" s="186" t="s">
        <v>201</v>
      </c>
      <c r="F11">
        <v>0.98</v>
      </c>
      <c r="G11">
        <v>0.8</v>
      </c>
      <c r="H11">
        <v>0.8</v>
      </c>
      <c r="I11">
        <v>0.8</v>
      </c>
      <c r="J11" s="114">
        <v>0.25</v>
      </c>
      <c r="K11" s="114">
        <v>0.05</v>
      </c>
    </row>
    <row r="12" spans="1:42" x14ac:dyDescent="0.15">
      <c r="D12">
        <v>11</v>
      </c>
      <c r="E12" s="186" t="s">
        <v>202</v>
      </c>
      <c r="F12">
        <v>0.98</v>
      </c>
      <c r="G12">
        <v>0.8</v>
      </c>
      <c r="H12">
        <v>0.8</v>
      </c>
      <c r="I12">
        <v>0.8</v>
      </c>
      <c r="J12" s="114">
        <v>0.25</v>
      </c>
      <c r="K12" s="114">
        <v>0.05</v>
      </c>
    </row>
    <row r="13" spans="1:42" x14ac:dyDescent="0.15">
      <c r="D13">
        <v>12</v>
      </c>
      <c r="E13" s="186" t="s">
        <v>203</v>
      </c>
      <c r="F13">
        <v>0.98</v>
      </c>
      <c r="G13">
        <v>0.8</v>
      </c>
      <c r="H13">
        <v>0.8</v>
      </c>
      <c r="I13">
        <v>0.8</v>
      </c>
      <c r="J13" s="114">
        <v>0.25</v>
      </c>
      <c r="K13" s="114">
        <v>0.05</v>
      </c>
    </row>
    <row r="14" spans="1:42" x14ac:dyDescent="0.15">
      <c r="D14">
        <v>13</v>
      </c>
      <c r="E14" s="186" t="s">
        <v>204</v>
      </c>
      <c r="F14">
        <v>0.98</v>
      </c>
      <c r="G14">
        <v>0.8</v>
      </c>
      <c r="H14">
        <v>0.8</v>
      </c>
      <c r="I14">
        <v>0.8</v>
      </c>
      <c r="J14" s="114">
        <v>0.25</v>
      </c>
      <c r="K14" s="114">
        <v>0.05</v>
      </c>
    </row>
    <row r="15" spans="1:42" x14ac:dyDescent="0.15">
      <c r="D15">
        <v>14</v>
      </c>
      <c r="E15" s="186" t="s">
        <v>205</v>
      </c>
      <c r="F15">
        <v>0.98</v>
      </c>
      <c r="G15">
        <v>0.8</v>
      </c>
      <c r="H15">
        <v>0.8</v>
      </c>
      <c r="I15">
        <v>0.8</v>
      </c>
      <c r="J15" s="114">
        <v>0.25</v>
      </c>
      <c r="K15" s="114">
        <v>0.05</v>
      </c>
    </row>
    <row r="16" spans="1:42" x14ac:dyDescent="0.15">
      <c r="D16">
        <v>15</v>
      </c>
      <c r="E16" s="186" t="s">
        <v>206</v>
      </c>
      <c r="F16">
        <v>0.98</v>
      </c>
      <c r="G16">
        <v>0.8</v>
      </c>
      <c r="H16">
        <v>0.8</v>
      </c>
      <c r="I16">
        <v>0.8</v>
      </c>
      <c r="J16" s="114">
        <v>0.25</v>
      </c>
      <c r="K16" s="114">
        <v>0.05</v>
      </c>
    </row>
    <row r="17" spans="4:33" ht="15" customHeight="1" x14ac:dyDescent="0.15">
      <c r="D17">
        <v>16</v>
      </c>
      <c r="E17" s="186" t="s">
        <v>207</v>
      </c>
      <c r="F17">
        <v>0.98</v>
      </c>
      <c r="G17">
        <v>0.8</v>
      </c>
      <c r="H17">
        <v>0.8</v>
      </c>
      <c r="I17">
        <v>0.8</v>
      </c>
      <c r="J17" s="114">
        <v>0.25</v>
      </c>
      <c r="K17" s="114">
        <v>0.05</v>
      </c>
    </row>
    <row r="18" spans="4:33" ht="15" customHeight="1" x14ac:dyDescent="0.15">
      <c r="D18">
        <v>17</v>
      </c>
      <c r="E18" s="186" t="s">
        <v>208</v>
      </c>
      <c r="F18">
        <v>0.98</v>
      </c>
      <c r="G18">
        <v>0.8</v>
      </c>
      <c r="H18">
        <v>0.8</v>
      </c>
      <c r="I18">
        <v>0.8</v>
      </c>
      <c r="J18" s="114">
        <v>0.25</v>
      </c>
      <c r="K18" s="114">
        <v>0.05</v>
      </c>
    </row>
    <row r="19" spans="4:33" ht="15" customHeight="1" x14ac:dyDescent="0.15">
      <c r="D19">
        <v>18</v>
      </c>
      <c r="E19" s="186" t="s">
        <v>209</v>
      </c>
      <c r="F19">
        <v>0.98</v>
      </c>
      <c r="G19">
        <v>0.8</v>
      </c>
      <c r="H19">
        <v>0.8</v>
      </c>
      <c r="I19">
        <v>0.8</v>
      </c>
      <c r="J19" s="114">
        <v>0.25</v>
      </c>
      <c r="K19" s="114">
        <v>0.05</v>
      </c>
    </row>
    <row r="20" spans="4:33" ht="15" customHeight="1" x14ac:dyDescent="0.15">
      <c r="D20">
        <v>19</v>
      </c>
      <c r="E20" s="186" t="s">
        <v>210</v>
      </c>
      <c r="F20">
        <v>0.98</v>
      </c>
      <c r="G20">
        <v>0.8</v>
      </c>
      <c r="H20">
        <v>0.8</v>
      </c>
      <c r="I20">
        <v>0.8</v>
      </c>
      <c r="J20" s="114">
        <v>0.25</v>
      </c>
      <c r="K20" s="114">
        <v>0.05</v>
      </c>
    </row>
    <row r="21" spans="4:33" ht="15" customHeight="1" x14ac:dyDescent="0.15">
      <c r="D21">
        <v>20</v>
      </c>
      <c r="E21" s="186" t="s">
        <v>211</v>
      </c>
      <c r="F21">
        <v>0.98</v>
      </c>
      <c r="G21">
        <v>0.8</v>
      </c>
      <c r="H21">
        <v>0.8</v>
      </c>
      <c r="I21">
        <v>0.8</v>
      </c>
      <c r="J21" s="114">
        <v>0.25</v>
      </c>
      <c r="K21" s="114">
        <v>0.05</v>
      </c>
    </row>
    <row r="22" spans="4:33" ht="15" customHeight="1" x14ac:dyDescent="0.15">
      <c r="D22">
        <v>21</v>
      </c>
      <c r="E22" s="186" t="s">
        <v>212</v>
      </c>
      <c r="F22">
        <v>0.98</v>
      </c>
      <c r="G22">
        <v>0.8</v>
      </c>
      <c r="H22">
        <v>0.8</v>
      </c>
      <c r="I22">
        <v>0.8</v>
      </c>
      <c r="J22" s="114">
        <v>0.25</v>
      </c>
      <c r="K22" s="114">
        <v>0.05</v>
      </c>
    </row>
    <row r="23" spans="4:33" ht="15" customHeight="1" x14ac:dyDescent="0.15">
      <c r="D23">
        <v>22</v>
      </c>
      <c r="E23" s="186" t="s">
        <v>213</v>
      </c>
      <c r="F23">
        <v>0.98</v>
      </c>
      <c r="G23">
        <v>0.8</v>
      </c>
      <c r="H23">
        <v>0.8</v>
      </c>
      <c r="I23">
        <v>0.8</v>
      </c>
      <c r="J23" s="114">
        <v>0.25</v>
      </c>
      <c r="K23" s="114">
        <v>0.05</v>
      </c>
    </row>
    <row r="24" spans="4:33" ht="15" customHeight="1" x14ac:dyDescent="0.15">
      <c r="D24">
        <v>23</v>
      </c>
      <c r="E24" s="186" t="s">
        <v>214</v>
      </c>
      <c r="F24">
        <v>0.98</v>
      </c>
      <c r="G24">
        <v>0.8</v>
      </c>
      <c r="H24">
        <v>0.8</v>
      </c>
      <c r="I24">
        <v>0.8</v>
      </c>
      <c r="J24" s="114">
        <v>0.25</v>
      </c>
      <c r="K24" s="114">
        <v>0.05</v>
      </c>
    </row>
    <row r="25" spans="4:33" ht="15" customHeight="1" x14ac:dyDescent="0.15">
      <c r="D25">
        <v>24</v>
      </c>
      <c r="E25" s="186" t="s">
        <v>215</v>
      </c>
      <c r="F25">
        <v>0.98</v>
      </c>
      <c r="G25">
        <v>0.8</v>
      </c>
      <c r="H25">
        <v>0.8</v>
      </c>
      <c r="I25">
        <v>0.8</v>
      </c>
      <c r="J25" s="114">
        <v>0.25</v>
      </c>
      <c r="K25" s="114">
        <v>0.05</v>
      </c>
    </row>
    <row r="26" spans="4:33" ht="15" customHeight="1" x14ac:dyDescent="0.15">
      <c r="D26">
        <v>25</v>
      </c>
      <c r="E26" s="186" t="s">
        <v>216</v>
      </c>
      <c r="F26">
        <v>0.98</v>
      </c>
      <c r="G26">
        <v>0.8</v>
      </c>
      <c r="H26">
        <v>0.8</v>
      </c>
      <c r="I26">
        <v>0.8</v>
      </c>
      <c r="J26" s="114">
        <v>0.25</v>
      </c>
      <c r="K26" s="114">
        <v>0.05</v>
      </c>
    </row>
    <row r="27" spans="4:33" ht="15" customHeight="1" x14ac:dyDescent="0.15">
      <c r="D27">
        <v>26</v>
      </c>
      <c r="E27" s="186" t="s">
        <v>217</v>
      </c>
      <c r="F27">
        <v>0.98</v>
      </c>
      <c r="G27">
        <v>0.8</v>
      </c>
      <c r="H27">
        <v>0.8</v>
      </c>
      <c r="I27">
        <v>0.8</v>
      </c>
      <c r="J27" s="114">
        <v>0.25</v>
      </c>
      <c r="K27" s="114">
        <v>0.05</v>
      </c>
    </row>
    <row r="28" spans="4:33" ht="15" customHeight="1" x14ac:dyDescent="0.15">
      <c r="D28">
        <v>27</v>
      </c>
      <c r="E28" s="186" t="s">
        <v>218</v>
      </c>
      <c r="F28">
        <v>0.98</v>
      </c>
      <c r="G28">
        <v>0.8</v>
      </c>
      <c r="H28">
        <v>0.8</v>
      </c>
      <c r="I28">
        <v>0.8</v>
      </c>
      <c r="J28" s="114">
        <v>0.25</v>
      </c>
      <c r="K28" s="114">
        <v>0.05</v>
      </c>
    </row>
    <row r="29" spans="4:33" ht="15" customHeight="1" x14ac:dyDescent="0.15">
      <c r="D29">
        <v>28</v>
      </c>
      <c r="E29" s="186" t="s">
        <v>219</v>
      </c>
      <c r="F29">
        <v>0.98</v>
      </c>
      <c r="G29">
        <v>0.8</v>
      </c>
      <c r="H29">
        <v>0.8</v>
      </c>
      <c r="I29">
        <v>0.8</v>
      </c>
      <c r="J29" s="114">
        <v>0.25</v>
      </c>
      <c r="K29" s="114">
        <v>0.05</v>
      </c>
      <c r="Y29"/>
      <c r="AC29"/>
      <c r="AG29"/>
    </row>
    <row r="30" spans="4:33" ht="15" customHeight="1" x14ac:dyDescent="0.15">
      <c r="D30">
        <v>29</v>
      </c>
      <c r="E30" s="186" t="s">
        <v>220</v>
      </c>
      <c r="F30">
        <v>0.98</v>
      </c>
      <c r="G30">
        <v>0.8</v>
      </c>
      <c r="H30">
        <v>0.8</v>
      </c>
      <c r="I30">
        <v>0.8</v>
      </c>
      <c r="J30" s="114">
        <v>0.25</v>
      </c>
      <c r="K30" s="114">
        <v>0.05</v>
      </c>
      <c r="Y30"/>
      <c r="AC30"/>
      <c r="AG30"/>
    </row>
    <row r="31" spans="4:33" ht="15" customHeight="1" x14ac:dyDescent="0.15">
      <c r="D31">
        <v>30</v>
      </c>
      <c r="E31" s="186" t="s">
        <v>221</v>
      </c>
      <c r="F31">
        <v>0.98</v>
      </c>
      <c r="G31">
        <v>0.8</v>
      </c>
      <c r="H31">
        <v>0.8</v>
      </c>
      <c r="I31">
        <v>0.8</v>
      </c>
      <c r="J31" s="114">
        <v>0.25</v>
      </c>
      <c r="K31" s="114">
        <v>0.05</v>
      </c>
      <c r="Y31"/>
      <c r="AC31"/>
      <c r="AG31"/>
    </row>
    <row r="32" spans="4:33" ht="15" customHeight="1" x14ac:dyDescent="0.15">
      <c r="D32">
        <v>31</v>
      </c>
      <c r="E32" s="186" t="s">
        <v>222</v>
      </c>
      <c r="F32">
        <v>0.98</v>
      </c>
      <c r="G32">
        <v>0.8</v>
      </c>
      <c r="H32">
        <v>0.8</v>
      </c>
      <c r="I32">
        <v>0.8</v>
      </c>
      <c r="J32" s="114">
        <v>0.25</v>
      </c>
      <c r="K32" s="114">
        <v>0.05</v>
      </c>
      <c r="Y32"/>
      <c r="AC32"/>
      <c r="AG32"/>
    </row>
    <row r="33" spans="4:33" ht="15" customHeight="1" x14ac:dyDescent="0.15">
      <c r="D33">
        <v>32</v>
      </c>
      <c r="E33" s="186" t="s">
        <v>223</v>
      </c>
      <c r="F33">
        <v>0.98</v>
      </c>
      <c r="G33">
        <v>0.8</v>
      </c>
      <c r="H33">
        <v>0.8</v>
      </c>
      <c r="I33">
        <v>0.8</v>
      </c>
      <c r="J33" s="114">
        <v>0.25</v>
      </c>
      <c r="K33" s="114">
        <v>0.05</v>
      </c>
      <c r="Y33"/>
      <c r="AC33"/>
      <c r="AG33"/>
    </row>
    <row r="34" spans="4:33" ht="15" customHeight="1" x14ac:dyDescent="0.15">
      <c r="D34">
        <v>33</v>
      </c>
      <c r="E34" s="186" t="s">
        <v>224</v>
      </c>
      <c r="F34">
        <v>0.98</v>
      </c>
      <c r="G34">
        <v>0.8</v>
      </c>
      <c r="H34">
        <v>0.8</v>
      </c>
      <c r="I34">
        <v>0.8</v>
      </c>
      <c r="J34" s="114">
        <v>0.25</v>
      </c>
      <c r="K34" s="114">
        <v>0.05</v>
      </c>
      <c r="Y34"/>
      <c r="AC34"/>
      <c r="AG34"/>
    </row>
    <row r="35" spans="4:33" ht="15" customHeight="1" x14ac:dyDescent="0.15">
      <c r="D35">
        <v>34</v>
      </c>
      <c r="E35" s="186" t="s">
        <v>225</v>
      </c>
      <c r="F35">
        <v>0.98</v>
      </c>
      <c r="G35">
        <v>0.8</v>
      </c>
      <c r="H35">
        <v>0.8</v>
      </c>
      <c r="I35">
        <v>0.8</v>
      </c>
      <c r="J35" s="114">
        <v>0.25</v>
      </c>
      <c r="K35" s="114">
        <v>0.05</v>
      </c>
      <c r="Y35"/>
      <c r="AC35"/>
      <c r="AG35"/>
    </row>
    <row r="36" spans="4:33" ht="15" customHeight="1" x14ac:dyDescent="0.15">
      <c r="D36">
        <v>35</v>
      </c>
      <c r="E36" s="186" t="s">
        <v>226</v>
      </c>
      <c r="F36">
        <v>0.98</v>
      </c>
      <c r="G36">
        <v>0.8</v>
      </c>
      <c r="H36">
        <v>0.8</v>
      </c>
      <c r="I36">
        <v>0.8</v>
      </c>
      <c r="J36" s="114">
        <v>0.25</v>
      </c>
      <c r="K36" s="114">
        <v>0.05</v>
      </c>
      <c r="Y36"/>
      <c r="AC36"/>
      <c r="AG36"/>
    </row>
    <row r="37" spans="4:33" ht="15" customHeight="1" x14ac:dyDescent="0.15">
      <c r="D37">
        <v>36</v>
      </c>
      <c r="E37" s="186" t="s">
        <v>227</v>
      </c>
      <c r="F37">
        <v>0.98</v>
      </c>
      <c r="G37">
        <v>0.8</v>
      </c>
      <c r="H37">
        <v>0.8</v>
      </c>
      <c r="I37">
        <v>0.8</v>
      </c>
      <c r="J37" s="114">
        <v>0.25</v>
      </c>
      <c r="K37" s="114">
        <v>0.05</v>
      </c>
      <c r="Y37"/>
      <c r="AC37"/>
      <c r="AG37"/>
    </row>
    <row r="38" spans="4:33" ht="15" customHeight="1" x14ac:dyDescent="0.15">
      <c r="D38">
        <v>37</v>
      </c>
      <c r="E38" s="186" t="s">
        <v>228</v>
      </c>
      <c r="F38">
        <v>0.98</v>
      </c>
      <c r="G38">
        <v>0.8</v>
      </c>
      <c r="H38">
        <v>0.8</v>
      </c>
      <c r="I38">
        <v>0.8</v>
      </c>
      <c r="J38" s="114">
        <v>0.25</v>
      </c>
      <c r="K38" s="114">
        <v>0.05</v>
      </c>
      <c r="Y38"/>
      <c r="AC38"/>
      <c r="AG38"/>
    </row>
    <row r="39" spans="4:33" ht="15" customHeight="1" x14ac:dyDescent="0.15">
      <c r="D39">
        <v>38</v>
      </c>
      <c r="E39" s="186" t="s">
        <v>229</v>
      </c>
      <c r="F39">
        <v>0.98</v>
      </c>
      <c r="G39">
        <v>0.8</v>
      </c>
      <c r="H39">
        <v>0.8</v>
      </c>
      <c r="I39">
        <v>0.8</v>
      </c>
      <c r="J39" s="114">
        <v>0.25</v>
      </c>
      <c r="K39" s="114">
        <v>0.05</v>
      </c>
    </row>
    <row r="40" spans="4:33" ht="15" customHeight="1" x14ac:dyDescent="0.15">
      <c r="D40">
        <v>39</v>
      </c>
      <c r="E40" s="186" t="s">
        <v>230</v>
      </c>
      <c r="F40">
        <v>0.98</v>
      </c>
      <c r="G40">
        <v>0.8</v>
      </c>
      <c r="H40">
        <v>0.8</v>
      </c>
      <c r="I40">
        <v>0.8</v>
      </c>
      <c r="J40" s="114">
        <v>0.25</v>
      </c>
      <c r="K40" s="114">
        <v>0.05</v>
      </c>
      <c r="Y40"/>
      <c r="AC40"/>
      <c r="AG40"/>
    </row>
    <row r="41" spans="4:33" ht="15" customHeight="1" x14ac:dyDescent="0.15">
      <c r="D41">
        <v>40</v>
      </c>
      <c r="E41" s="186" t="s">
        <v>231</v>
      </c>
      <c r="F41">
        <v>0.98</v>
      </c>
      <c r="G41">
        <v>0.8</v>
      </c>
      <c r="H41">
        <v>0.8</v>
      </c>
      <c r="I41">
        <v>0.8</v>
      </c>
      <c r="J41" s="114">
        <v>0.25</v>
      </c>
      <c r="K41" s="114">
        <v>0.05</v>
      </c>
      <c r="Y41"/>
      <c r="AC41"/>
      <c r="AG41"/>
    </row>
    <row r="42" spans="4:33" ht="15" customHeight="1" x14ac:dyDescent="0.15">
      <c r="D42">
        <v>41</v>
      </c>
      <c r="E42" s="186" t="s">
        <v>232</v>
      </c>
      <c r="F42">
        <v>0.98</v>
      </c>
      <c r="G42">
        <v>0.8</v>
      </c>
      <c r="H42">
        <v>0.8</v>
      </c>
      <c r="I42">
        <v>0.8</v>
      </c>
      <c r="J42" s="114">
        <v>0.25</v>
      </c>
      <c r="K42" s="114">
        <v>0.05</v>
      </c>
      <c r="Y42"/>
      <c r="AC42"/>
      <c r="AG42"/>
    </row>
    <row r="43" spans="4:33" ht="15" customHeight="1" x14ac:dyDescent="0.15">
      <c r="D43">
        <v>42</v>
      </c>
      <c r="E43" s="186" t="s">
        <v>233</v>
      </c>
      <c r="F43">
        <v>0.98</v>
      </c>
      <c r="G43">
        <v>0.8</v>
      </c>
      <c r="H43">
        <v>0.8</v>
      </c>
      <c r="I43">
        <v>0.8</v>
      </c>
      <c r="J43" s="114">
        <v>0.25</v>
      </c>
      <c r="K43" s="114">
        <v>0.05</v>
      </c>
      <c r="Y43"/>
      <c r="AC43"/>
      <c r="AG43"/>
    </row>
    <row r="44" spans="4:33" ht="15" customHeight="1" x14ac:dyDescent="0.15">
      <c r="D44">
        <v>43</v>
      </c>
      <c r="E44" s="186" t="s">
        <v>234</v>
      </c>
      <c r="F44">
        <v>0.98</v>
      </c>
      <c r="G44">
        <v>0.8</v>
      </c>
      <c r="H44">
        <v>0.8</v>
      </c>
      <c r="I44">
        <v>0.8</v>
      </c>
      <c r="J44" s="114">
        <v>0.25</v>
      </c>
      <c r="K44" s="114">
        <v>0.05</v>
      </c>
      <c r="Y44"/>
      <c r="AC44"/>
      <c r="AG44"/>
    </row>
    <row r="45" spans="4:33" ht="15" customHeight="1" x14ac:dyDescent="0.15">
      <c r="D45">
        <v>44</v>
      </c>
      <c r="E45" s="186" t="s">
        <v>235</v>
      </c>
      <c r="F45">
        <v>0.98</v>
      </c>
      <c r="G45">
        <v>0.8</v>
      </c>
      <c r="H45">
        <v>0.8</v>
      </c>
      <c r="I45">
        <v>0.8</v>
      </c>
      <c r="J45" s="114">
        <v>0.25</v>
      </c>
      <c r="K45" s="114">
        <v>0.05</v>
      </c>
      <c r="Y45"/>
      <c r="AC45"/>
      <c r="AG45"/>
    </row>
    <row r="46" spans="4:33" ht="15" customHeight="1" x14ac:dyDescent="0.15">
      <c r="D46">
        <v>45</v>
      </c>
      <c r="E46" s="186" t="s">
        <v>236</v>
      </c>
      <c r="F46">
        <v>0.98</v>
      </c>
      <c r="G46">
        <v>0.8</v>
      </c>
      <c r="H46">
        <v>0.8</v>
      </c>
      <c r="I46">
        <v>0.8</v>
      </c>
      <c r="J46" s="114">
        <v>0.25</v>
      </c>
      <c r="K46" s="114">
        <v>0.05</v>
      </c>
      <c r="Y46"/>
      <c r="AC46"/>
      <c r="AG46"/>
    </row>
    <row r="47" spans="4:33" ht="15" customHeight="1" x14ac:dyDescent="0.15">
      <c r="D47">
        <v>46</v>
      </c>
      <c r="E47" s="186" t="s">
        <v>237</v>
      </c>
      <c r="F47">
        <v>0.98</v>
      </c>
      <c r="G47">
        <v>0.8</v>
      </c>
      <c r="H47">
        <v>0.8</v>
      </c>
      <c r="I47">
        <v>0.8</v>
      </c>
      <c r="J47" s="114">
        <v>0.25</v>
      </c>
      <c r="K47" s="114">
        <v>0.05</v>
      </c>
      <c r="Y47"/>
      <c r="AC47"/>
      <c r="AG47"/>
    </row>
    <row r="48" spans="4:33" ht="15" customHeight="1" x14ac:dyDescent="0.15">
      <c r="D48">
        <v>47</v>
      </c>
      <c r="E48" s="186" t="s">
        <v>238</v>
      </c>
      <c r="F48">
        <v>0.98</v>
      </c>
      <c r="G48">
        <v>0.8</v>
      </c>
      <c r="H48">
        <v>0.8</v>
      </c>
      <c r="I48">
        <v>0.8</v>
      </c>
      <c r="J48" s="114">
        <v>0.25</v>
      </c>
      <c r="K48" s="114">
        <v>0.05</v>
      </c>
      <c r="Y48"/>
      <c r="AC48"/>
      <c r="AG48"/>
    </row>
    <row r="49" spans="4:33" ht="15" customHeight="1" x14ac:dyDescent="0.15">
      <c r="D49">
        <v>48</v>
      </c>
      <c r="E49" s="186" t="s">
        <v>239</v>
      </c>
      <c r="F49">
        <v>0.98</v>
      </c>
      <c r="G49">
        <v>0.8</v>
      </c>
      <c r="H49">
        <v>0.8</v>
      </c>
      <c r="I49">
        <v>0</v>
      </c>
      <c r="J49" s="114">
        <v>0</v>
      </c>
      <c r="K49" s="114">
        <v>0</v>
      </c>
      <c r="Y49"/>
      <c r="AC49"/>
      <c r="AG49"/>
    </row>
    <row r="50" spans="4:33" ht="15" customHeight="1" x14ac:dyDescent="0.15">
      <c r="D50">
        <v>49</v>
      </c>
      <c r="E50" s="186" t="s">
        <v>240</v>
      </c>
      <c r="F50">
        <v>0.98</v>
      </c>
      <c r="G50">
        <v>0.8</v>
      </c>
      <c r="H50">
        <v>0.8</v>
      </c>
      <c r="I50">
        <v>0</v>
      </c>
      <c r="J50" s="114">
        <v>0</v>
      </c>
      <c r="K50" s="114">
        <v>0</v>
      </c>
      <c r="Y50"/>
      <c r="AC50"/>
      <c r="AG50"/>
    </row>
    <row r="51" spans="4:33" ht="15" customHeight="1" x14ac:dyDescent="0.15">
      <c r="D51">
        <v>50</v>
      </c>
      <c r="E51" s="186" t="s">
        <v>241</v>
      </c>
      <c r="F51">
        <v>0.98</v>
      </c>
      <c r="G51">
        <v>0.8</v>
      </c>
      <c r="H51">
        <v>0.8</v>
      </c>
      <c r="I51">
        <v>0</v>
      </c>
      <c r="J51" s="114">
        <v>0</v>
      </c>
      <c r="K51" s="114">
        <v>0</v>
      </c>
      <c r="Y51"/>
      <c r="AC51"/>
      <c r="AG51"/>
    </row>
    <row r="52" spans="4:33" ht="15" customHeight="1" x14ac:dyDescent="0.15">
      <c r="D52">
        <v>51</v>
      </c>
      <c r="E52" s="186" t="s">
        <v>242</v>
      </c>
      <c r="F52">
        <v>0.98</v>
      </c>
      <c r="G52">
        <v>0.8</v>
      </c>
      <c r="H52">
        <v>0</v>
      </c>
      <c r="I52">
        <v>0</v>
      </c>
      <c r="J52" s="114">
        <v>0</v>
      </c>
      <c r="K52" s="114">
        <v>0</v>
      </c>
      <c r="Y52"/>
      <c r="AC52"/>
      <c r="AG52"/>
    </row>
    <row r="53" spans="4:33" ht="15" customHeight="1" x14ac:dyDescent="0.15">
      <c r="D53">
        <v>52</v>
      </c>
      <c r="E53" s="186" t="s">
        <v>243</v>
      </c>
      <c r="F53">
        <v>0.98</v>
      </c>
      <c r="G53">
        <v>0.8</v>
      </c>
      <c r="H53">
        <v>0</v>
      </c>
      <c r="I53">
        <v>0</v>
      </c>
      <c r="J53" s="114">
        <v>0</v>
      </c>
      <c r="K53" s="114">
        <v>0</v>
      </c>
      <c r="Y53"/>
      <c r="AC53"/>
      <c r="AG53"/>
    </row>
    <row r="54" spans="4:33" ht="15" customHeight="1" x14ac:dyDescent="0.15">
      <c r="D54">
        <v>53</v>
      </c>
      <c r="E54" s="186" t="s">
        <v>244</v>
      </c>
      <c r="F54">
        <v>0.98</v>
      </c>
      <c r="G54">
        <v>0.8</v>
      </c>
      <c r="H54">
        <v>0</v>
      </c>
      <c r="I54">
        <v>0</v>
      </c>
      <c r="J54" s="114">
        <v>0</v>
      </c>
      <c r="K54" s="114">
        <v>0</v>
      </c>
      <c r="Y54"/>
      <c r="AC54"/>
      <c r="AG54"/>
    </row>
    <row r="55" spans="4:33" ht="15" customHeight="1" x14ac:dyDescent="0.15">
      <c r="D55">
        <v>54</v>
      </c>
      <c r="E55" s="186" t="s">
        <v>245</v>
      </c>
      <c r="F55">
        <v>0.98</v>
      </c>
      <c r="G55">
        <v>0.8</v>
      </c>
      <c r="H55">
        <v>0</v>
      </c>
      <c r="I55">
        <v>0</v>
      </c>
      <c r="J55" s="114">
        <v>0</v>
      </c>
      <c r="K55" s="114">
        <v>0</v>
      </c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C56"/>
  <sheetViews>
    <sheetView workbookViewId="0">
      <selection activeCell="A3" sqref="A3"/>
    </sheetView>
  </sheetViews>
  <sheetFormatPr baseColWidth="10" defaultRowHeight="13" x14ac:dyDescent="0.15"/>
  <cols>
    <col min="1" max="1" width="28.5" style="112" bestFit="1" customWidth="1"/>
    <col min="2" max="48" width="3.83203125" style="112" customWidth="1"/>
    <col min="49" max="55" width="2.33203125" style="112" customWidth="1"/>
    <col min="56" max="16384" width="10.83203125" style="112"/>
  </cols>
  <sheetData>
    <row r="1" spans="1:55" x14ac:dyDescent="0.15">
      <c r="A1" s="63" t="s">
        <v>118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  <c r="AG1" s="188" t="s">
        <v>223</v>
      </c>
      <c r="AH1" s="188" t="s">
        <v>224</v>
      </c>
      <c r="AI1" s="188" t="s">
        <v>225</v>
      </c>
      <c r="AJ1" s="188" t="s">
        <v>226</v>
      </c>
      <c r="AK1" s="188" t="s">
        <v>227</v>
      </c>
      <c r="AL1" s="188" t="s">
        <v>228</v>
      </c>
      <c r="AM1" s="188" t="s">
        <v>229</v>
      </c>
      <c r="AN1" s="188" t="s">
        <v>230</v>
      </c>
      <c r="AO1" s="188" t="s">
        <v>231</v>
      </c>
      <c r="AP1" s="188" t="s">
        <v>232</v>
      </c>
      <c r="AQ1" s="188" t="s">
        <v>233</v>
      </c>
      <c r="AR1" s="188" t="s">
        <v>234</v>
      </c>
      <c r="AS1" s="188" t="s">
        <v>235</v>
      </c>
      <c r="AT1" s="188" t="s">
        <v>236</v>
      </c>
      <c r="AU1" s="188" t="s">
        <v>237</v>
      </c>
      <c r="AV1" s="188" t="s">
        <v>238</v>
      </c>
      <c r="AW1" s="188" t="s">
        <v>239</v>
      </c>
      <c r="AX1" s="188" t="s">
        <v>240</v>
      </c>
      <c r="AY1" s="188" t="s">
        <v>241</v>
      </c>
      <c r="AZ1" s="188" t="s">
        <v>242</v>
      </c>
      <c r="BA1" s="188" t="s">
        <v>243</v>
      </c>
      <c r="BB1" s="188" t="s">
        <v>244</v>
      </c>
      <c r="BC1" s="188" t="s">
        <v>245</v>
      </c>
    </row>
    <row r="2" spans="1:55" customFormat="1" x14ac:dyDescent="0.15">
      <c r="A2" s="187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</row>
    <row r="3" spans="1:55" customFormat="1" x14ac:dyDescent="0.15">
      <c r="A3" s="187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</row>
    <row r="4" spans="1:55" customFormat="1" x14ac:dyDescent="0.15">
      <c r="A4" s="187" t="s">
        <v>194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</row>
    <row r="5" spans="1:55" customFormat="1" x14ac:dyDescent="0.15">
      <c r="A5" s="187" t="s">
        <v>195</v>
      </c>
      <c r="B5" s="112">
        <v>0</v>
      </c>
      <c r="C5" s="112">
        <v>0</v>
      </c>
      <c r="D5" s="112">
        <v>0</v>
      </c>
      <c r="E5" s="112">
        <v>0.8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</row>
    <row r="6" spans="1:55" customFormat="1" x14ac:dyDescent="0.15">
      <c r="A6" s="187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</row>
    <row r="7" spans="1:55" customFormat="1" x14ac:dyDescent="0.15">
      <c r="A7" s="187" t="s">
        <v>197</v>
      </c>
      <c r="B7" s="112">
        <v>0.8</v>
      </c>
      <c r="C7" s="112">
        <v>0.8</v>
      </c>
      <c r="D7" s="112">
        <v>0</v>
      </c>
      <c r="E7" s="112">
        <v>0</v>
      </c>
      <c r="F7" s="112">
        <v>0</v>
      </c>
      <c r="G7" s="112">
        <v>0</v>
      </c>
      <c r="H7" s="112">
        <v>0.8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</row>
    <row r="8" spans="1:55" customFormat="1" x14ac:dyDescent="0.15">
      <c r="A8" s="187" t="s">
        <v>198</v>
      </c>
      <c r="B8" s="112">
        <v>0.8</v>
      </c>
      <c r="C8" s="112">
        <v>0.8</v>
      </c>
      <c r="D8" s="112">
        <v>0</v>
      </c>
      <c r="E8" s="112">
        <v>0.8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0.8</v>
      </c>
      <c r="T8" s="112">
        <v>0.8</v>
      </c>
      <c r="U8" s="112">
        <v>0</v>
      </c>
      <c r="V8" s="112">
        <v>0</v>
      </c>
      <c r="W8" s="112">
        <v>0</v>
      </c>
      <c r="X8" s="112">
        <v>0</v>
      </c>
      <c r="Y8" s="112">
        <v>0.8</v>
      </c>
      <c r="Z8" s="112">
        <v>0</v>
      </c>
      <c r="AA8" s="112">
        <v>0.8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</row>
    <row r="9" spans="1:55" customFormat="1" x14ac:dyDescent="0.15">
      <c r="A9" s="187" t="s">
        <v>199</v>
      </c>
      <c r="B9" s="112">
        <v>0.8</v>
      </c>
      <c r="C9" s="112">
        <v>0.8</v>
      </c>
      <c r="D9" s="112">
        <v>0</v>
      </c>
      <c r="E9" s="112">
        <v>0.8</v>
      </c>
      <c r="F9" s="112">
        <v>0</v>
      </c>
      <c r="G9" s="112">
        <v>0</v>
      </c>
      <c r="H9" s="112">
        <v>0</v>
      </c>
      <c r="I9" s="112">
        <v>0.8</v>
      </c>
      <c r="J9" s="112">
        <v>0</v>
      </c>
      <c r="K9" s="112">
        <v>0</v>
      </c>
      <c r="L9" s="112">
        <v>0</v>
      </c>
      <c r="M9" s="112">
        <v>0</v>
      </c>
      <c r="N9" s="112">
        <v>0.8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0.8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0.8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</row>
    <row r="10" spans="1:55" customFormat="1" x14ac:dyDescent="0.15">
      <c r="A10" s="187" t="s">
        <v>200</v>
      </c>
      <c r="B10" s="112">
        <v>0.8</v>
      </c>
      <c r="C10" s="112">
        <v>0.8</v>
      </c>
      <c r="D10" s="112">
        <v>0</v>
      </c>
      <c r="E10" s="112">
        <v>0.8</v>
      </c>
      <c r="F10" s="112">
        <v>0</v>
      </c>
      <c r="G10" s="112">
        <v>0</v>
      </c>
      <c r="H10" s="112">
        <v>0.8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0.8</v>
      </c>
      <c r="T10" s="112">
        <v>0.8</v>
      </c>
      <c r="U10" s="112">
        <v>0</v>
      </c>
      <c r="V10" s="112">
        <v>0</v>
      </c>
      <c r="W10" s="112">
        <v>0</v>
      </c>
      <c r="X10" s="112">
        <v>0</v>
      </c>
      <c r="Y10" s="112">
        <v>0.8</v>
      </c>
      <c r="Z10" s="112">
        <v>0</v>
      </c>
      <c r="AA10" s="112">
        <v>0.8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</row>
    <row r="11" spans="1:55" customFormat="1" x14ac:dyDescent="0.15">
      <c r="A11" s="187" t="s">
        <v>201</v>
      </c>
      <c r="B11" s="112">
        <v>0.8</v>
      </c>
      <c r="C11" s="112">
        <v>0.8</v>
      </c>
      <c r="D11" s="112">
        <v>0</v>
      </c>
      <c r="E11" s="112">
        <v>0.8</v>
      </c>
      <c r="F11" s="112">
        <v>0</v>
      </c>
      <c r="G11" s="112">
        <v>0</v>
      </c>
      <c r="H11" s="112">
        <v>0.8</v>
      </c>
      <c r="I11" s="112">
        <v>0</v>
      </c>
      <c r="J11" s="112">
        <v>0</v>
      </c>
      <c r="K11" s="112">
        <v>0.8</v>
      </c>
      <c r="L11" s="112">
        <v>0</v>
      </c>
      <c r="M11" s="112">
        <v>0</v>
      </c>
      <c r="N11" s="112">
        <v>0.8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0.8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0.8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</row>
    <row r="12" spans="1:55" customFormat="1" x14ac:dyDescent="0.15">
      <c r="A12" s="187" t="s">
        <v>202</v>
      </c>
      <c r="B12" s="112">
        <v>0.8</v>
      </c>
      <c r="C12" s="112">
        <v>0.8</v>
      </c>
      <c r="D12" s="112">
        <v>0</v>
      </c>
      <c r="E12" s="112">
        <v>0.8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0.8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</row>
    <row r="13" spans="1:55" customFormat="1" x14ac:dyDescent="0.15">
      <c r="A13" s="187" t="s">
        <v>203</v>
      </c>
      <c r="B13" s="112">
        <v>0.8</v>
      </c>
      <c r="C13" s="112">
        <v>0.8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0.8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0.8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</row>
    <row r="14" spans="1:55" customFormat="1" x14ac:dyDescent="0.15">
      <c r="A14" s="187" t="s">
        <v>204</v>
      </c>
      <c r="B14" s="112">
        <v>0.8</v>
      </c>
      <c r="C14" s="112">
        <v>0.8</v>
      </c>
      <c r="D14" s="112">
        <v>0</v>
      </c>
      <c r="E14" s="112">
        <v>0.8</v>
      </c>
      <c r="F14" s="112">
        <v>0</v>
      </c>
      <c r="G14" s="112">
        <v>0</v>
      </c>
      <c r="H14" s="112">
        <v>0.8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0.8</v>
      </c>
      <c r="O14" s="112">
        <v>0</v>
      </c>
      <c r="P14" s="112">
        <v>0</v>
      </c>
      <c r="Q14" s="112">
        <v>0</v>
      </c>
      <c r="R14" s="112">
        <v>0</v>
      </c>
      <c r="S14" s="112">
        <v>0.8</v>
      </c>
      <c r="T14" s="112">
        <v>0</v>
      </c>
      <c r="U14" s="112">
        <v>0</v>
      </c>
      <c r="V14" s="112">
        <v>0</v>
      </c>
      <c r="W14" s="112">
        <v>0.8</v>
      </c>
      <c r="X14" s="112">
        <v>0</v>
      </c>
      <c r="Y14" s="112">
        <v>0.8</v>
      </c>
      <c r="Z14" s="112">
        <v>0</v>
      </c>
      <c r="AA14" s="112">
        <v>0.8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0.8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0.8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</row>
    <row r="15" spans="1:55" customFormat="1" x14ac:dyDescent="0.15">
      <c r="A15" s="187" t="s">
        <v>205</v>
      </c>
      <c r="B15" s="112">
        <v>0.8</v>
      </c>
      <c r="C15" s="112">
        <v>0.8</v>
      </c>
      <c r="D15" s="112">
        <v>0</v>
      </c>
      <c r="E15" s="112">
        <v>0.8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0.8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0.8</v>
      </c>
      <c r="Z15" s="112">
        <v>0</v>
      </c>
      <c r="AA15" s="112">
        <v>0.8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</row>
    <row r="16" spans="1:55" customFormat="1" x14ac:dyDescent="0.15">
      <c r="A16" s="187" t="s">
        <v>206</v>
      </c>
      <c r="B16" s="112">
        <v>0.8</v>
      </c>
      <c r="C16" s="112">
        <v>0.8</v>
      </c>
      <c r="D16" s="112">
        <v>0</v>
      </c>
      <c r="E16" s="112">
        <v>0.8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</row>
    <row r="17" spans="1:55" customFormat="1" x14ac:dyDescent="0.15">
      <c r="A17" s="187" t="s">
        <v>207</v>
      </c>
      <c r="B17" s="112">
        <v>0.8</v>
      </c>
      <c r="C17" s="112">
        <v>0.8</v>
      </c>
      <c r="D17" s="112">
        <v>0.8</v>
      </c>
      <c r="E17" s="112">
        <v>0.8</v>
      </c>
      <c r="F17" s="112">
        <v>0</v>
      </c>
      <c r="G17" s="112">
        <v>0.8</v>
      </c>
      <c r="H17" s="112">
        <v>0.8</v>
      </c>
      <c r="I17" s="112">
        <v>0.8</v>
      </c>
      <c r="J17" s="112">
        <v>0.8</v>
      </c>
      <c r="K17" s="112">
        <v>0</v>
      </c>
      <c r="L17" s="112">
        <v>0.8</v>
      </c>
      <c r="M17" s="112">
        <v>0</v>
      </c>
      <c r="N17" s="112">
        <v>0.8</v>
      </c>
      <c r="O17" s="112">
        <v>0</v>
      </c>
      <c r="P17" s="112">
        <v>0.8</v>
      </c>
      <c r="Q17" s="112">
        <v>0</v>
      </c>
      <c r="R17" s="112">
        <v>0</v>
      </c>
      <c r="S17" s="112">
        <v>0.8</v>
      </c>
      <c r="T17" s="112">
        <v>0.8</v>
      </c>
      <c r="U17" s="112">
        <v>0</v>
      </c>
      <c r="V17" s="112">
        <v>0</v>
      </c>
      <c r="W17" s="112">
        <v>0</v>
      </c>
      <c r="X17" s="112">
        <v>0</v>
      </c>
      <c r="Y17" s="112">
        <v>0.8</v>
      </c>
      <c r="Z17" s="112">
        <v>0</v>
      </c>
      <c r="AA17" s="112">
        <v>0.8</v>
      </c>
      <c r="AB17" s="112">
        <v>0</v>
      </c>
      <c r="AC17" s="112">
        <v>0</v>
      </c>
      <c r="AD17" s="112">
        <v>0</v>
      </c>
      <c r="AE17" s="112">
        <v>0</v>
      </c>
      <c r="AF17" s="112">
        <v>0.8</v>
      </c>
      <c r="AG17" s="112">
        <v>0.8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0.8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</row>
    <row r="18" spans="1:55" customFormat="1" x14ac:dyDescent="0.15">
      <c r="A18" s="187" t="s">
        <v>208</v>
      </c>
      <c r="B18" s="112">
        <v>0.8</v>
      </c>
      <c r="C18" s="112">
        <v>0.8</v>
      </c>
      <c r="D18" s="112">
        <v>0</v>
      </c>
      <c r="E18" s="112">
        <v>0.8</v>
      </c>
      <c r="F18" s="112">
        <v>0</v>
      </c>
      <c r="G18" s="112">
        <v>0</v>
      </c>
      <c r="H18" s="112">
        <v>0.8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0.8</v>
      </c>
      <c r="O18" s="112">
        <v>0</v>
      </c>
      <c r="P18" s="112">
        <v>0</v>
      </c>
      <c r="Q18" s="112">
        <v>0</v>
      </c>
      <c r="R18" s="112">
        <v>0</v>
      </c>
      <c r="S18" s="112">
        <v>0.8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0.8</v>
      </c>
      <c r="Z18" s="112">
        <v>0</v>
      </c>
      <c r="AA18" s="112">
        <v>0.8</v>
      </c>
      <c r="AB18" s="112">
        <v>0</v>
      </c>
      <c r="AC18" s="112">
        <v>0.8</v>
      </c>
      <c r="AD18" s="112">
        <v>0</v>
      </c>
      <c r="AE18" s="112">
        <v>0</v>
      </c>
      <c r="AF18" s="112">
        <v>0.8</v>
      </c>
      <c r="AG18" s="112">
        <v>0.8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</row>
    <row r="19" spans="1:55" customFormat="1" x14ac:dyDescent="0.15">
      <c r="A19" s="187" t="s">
        <v>209</v>
      </c>
      <c r="B19" s="112">
        <v>0.8</v>
      </c>
      <c r="C19" s="112">
        <v>0.8</v>
      </c>
      <c r="D19" s="112">
        <v>0</v>
      </c>
      <c r="E19" s="112">
        <v>0.8</v>
      </c>
      <c r="F19" s="112">
        <v>0</v>
      </c>
      <c r="G19" s="112">
        <v>0</v>
      </c>
      <c r="H19" s="112">
        <v>0.8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0.8</v>
      </c>
      <c r="O19" s="112">
        <v>0</v>
      </c>
      <c r="P19" s="112">
        <v>0</v>
      </c>
      <c r="Q19" s="112">
        <v>0</v>
      </c>
      <c r="R19" s="112">
        <v>0</v>
      </c>
      <c r="S19" s="112">
        <v>0.8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0.8</v>
      </c>
      <c r="Z19" s="112">
        <v>0</v>
      </c>
      <c r="AA19" s="112">
        <v>0.8</v>
      </c>
      <c r="AB19" s="112">
        <v>0</v>
      </c>
      <c r="AC19" s="112">
        <v>0.8</v>
      </c>
      <c r="AD19" s="112">
        <v>0</v>
      </c>
      <c r="AE19" s="112">
        <v>0</v>
      </c>
      <c r="AF19" s="112">
        <v>0</v>
      </c>
      <c r="AG19" s="112">
        <v>0.8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</row>
    <row r="20" spans="1:55" customFormat="1" x14ac:dyDescent="0.15">
      <c r="A20" s="187" t="s">
        <v>210</v>
      </c>
      <c r="B20" s="112">
        <v>0.8</v>
      </c>
      <c r="C20" s="112">
        <v>0.8</v>
      </c>
      <c r="D20" s="112">
        <v>0</v>
      </c>
      <c r="E20" s="112">
        <v>0.8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</row>
    <row r="21" spans="1:55" customFormat="1" x14ac:dyDescent="0.15">
      <c r="A21" s="187" t="s">
        <v>211</v>
      </c>
      <c r="B21" s="112">
        <v>0.8</v>
      </c>
      <c r="C21" s="112">
        <v>0.8</v>
      </c>
      <c r="D21" s="112">
        <v>0</v>
      </c>
      <c r="E21" s="112">
        <v>0.8</v>
      </c>
      <c r="F21" s="112">
        <v>0</v>
      </c>
      <c r="G21" s="112">
        <v>0</v>
      </c>
      <c r="H21" s="112">
        <v>0.8</v>
      </c>
      <c r="I21" s="112">
        <v>0</v>
      </c>
      <c r="J21" s="112">
        <v>0.8</v>
      </c>
      <c r="K21" s="112">
        <v>0</v>
      </c>
      <c r="L21" s="112">
        <v>0.8</v>
      </c>
      <c r="M21" s="112">
        <v>0</v>
      </c>
      <c r="N21" s="112">
        <v>0.8</v>
      </c>
      <c r="O21" s="112">
        <v>0</v>
      </c>
      <c r="P21" s="112">
        <v>0</v>
      </c>
      <c r="Q21" s="112">
        <v>0</v>
      </c>
      <c r="R21" s="112">
        <v>0</v>
      </c>
      <c r="S21" s="112">
        <v>0.8</v>
      </c>
      <c r="T21" s="112">
        <v>0</v>
      </c>
      <c r="U21" s="112">
        <v>0</v>
      </c>
      <c r="V21" s="112">
        <v>0</v>
      </c>
      <c r="W21" s="112">
        <v>0.8</v>
      </c>
      <c r="X21" s="112">
        <v>0</v>
      </c>
      <c r="Y21" s="112">
        <v>0.8</v>
      </c>
      <c r="Z21" s="112">
        <v>0</v>
      </c>
      <c r="AA21" s="112">
        <v>0.8</v>
      </c>
      <c r="AB21" s="112">
        <v>0</v>
      </c>
      <c r="AC21" s="112">
        <v>0.8</v>
      </c>
      <c r="AD21" s="112">
        <v>0</v>
      </c>
      <c r="AE21" s="112">
        <v>0</v>
      </c>
      <c r="AF21" s="112">
        <v>0</v>
      </c>
      <c r="AG21" s="112">
        <v>0.8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</row>
    <row r="22" spans="1:55" customFormat="1" x14ac:dyDescent="0.15">
      <c r="A22" s="187" t="s">
        <v>212</v>
      </c>
      <c r="B22" s="112">
        <v>0.8</v>
      </c>
      <c r="C22" s="112">
        <v>0.8</v>
      </c>
      <c r="D22" s="112">
        <v>0</v>
      </c>
      <c r="E22" s="112">
        <v>0.8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</row>
    <row r="23" spans="1:55" customFormat="1" x14ac:dyDescent="0.15">
      <c r="A23" s="187" t="s">
        <v>213</v>
      </c>
      <c r="B23" s="112">
        <v>0.8</v>
      </c>
      <c r="C23" s="112">
        <v>0.8</v>
      </c>
      <c r="D23" s="112">
        <v>0</v>
      </c>
      <c r="E23" s="112">
        <v>0.8</v>
      </c>
      <c r="F23" s="112">
        <v>0</v>
      </c>
      <c r="G23" s="112">
        <v>0</v>
      </c>
      <c r="H23" s="112">
        <v>0.8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0.8</v>
      </c>
      <c r="O23" s="112">
        <v>0</v>
      </c>
      <c r="P23" s="112">
        <v>0.8</v>
      </c>
      <c r="Q23" s="112">
        <v>0</v>
      </c>
      <c r="R23" s="112">
        <v>0</v>
      </c>
      <c r="S23" s="112">
        <v>0.8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0.8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</row>
    <row r="24" spans="1:55" customFormat="1" x14ac:dyDescent="0.15">
      <c r="A24" s="187" t="s">
        <v>214</v>
      </c>
      <c r="B24" s="112">
        <v>0.8</v>
      </c>
      <c r="C24" s="112">
        <v>0.8</v>
      </c>
      <c r="D24" s="112">
        <v>0.8</v>
      </c>
      <c r="E24" s="112">
        <v>0.8</v>
      </c>
      <c r="F24" s="112">
        <v>0</v>
      </c>
      <c r="G24" s="112">
        <v>0</v>
      </c>
      <c r="H24" s="112">
        <v>0.8</v>
      </c>
      <c r="I24" s="112">
        <v>0</v>
      </c>
      <c r="J24" s="112">
        <v>0.8</v>
      </c>
      <c r="K24" s="112">
        <v>0</v>
      </c>
      <c r="L24" s="112">
        <v>0</v>
      </c>
      <c r="M24" s="112">
        <v>0</v>
      </c>
      <c r="N24" s="112">
        <v>0.8</v>
      </c>
      <c r="O24" s="112">
        <v>0</v>
      </c>
      <c r="P24" s="112">
        <v>0</v>
      </c>
      <c r="Q24" s="112">
        <v>0</v>
      </c>
      <c r="R24" s="112">
        <v>0</v>
      </c>
      <c r="S24" s="112">
        <v>0.8</v>
      </c>
      <c r="T24" s="112">
        <v>0</v>
      </c>
      <c r="U24" s="112">
        <v>0</v>
      </c>
      <c r="V24" s="112">
        <v>0</v>
      </c>
      <c r="W24" s="112">
        <v>0</v>
      </c>
      <c r="X24" s="112">
        <v>0.8</v>
      </c>
      <c r="Y24" s="112">
        <v>0.8</v>
      </c>
      <c r="Z24" s="112">
        <v>0</v>
      </c>
      <c r="AA24" s="112">
        <v>0.8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0.8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</row>
    <row r="25" spans="1:55" customFormat="1" x14ac:dyDescent="0.15">
      <c r="A25" s="187" t="s">
        <v>215</v>
      </c>
      <c r="B25" s="112">
        <v>0.8</v>
      </c>
      <c r="C25" s="112">
        <v>0.8</v>
      </c>
      <c r="D25" s="112">
        <v>0</v>
      </c>
      <c r="E25" s="112">
        <v>0.8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0.8</v>
      </c>
      <c r="O25" s="112">
        <v>0</v>
      </c>
      <c r="P25" s="112">
        <v>0</v>
      </c>
      <c r="Q25" s="112">
        <v>0</v>
      </c>
      <c r="R25" s="112">
        <v>0</v>
      </c>
      <c r="S25" s="112">
        <v>0.8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</row>
    <row r="26" spans="1:55" customFormat="1" x14ac:dyDescent="0.15">
      <c r="A26" s="187" t="s">
        <v>216</v>
      </c>
      <c r="B26" s="112">
        <v>0.8</v>
      </c>
      <c r="C26" s="112">
        <v>0.8</v>
      </c>
      <c r="D26" s="112">
        <v>0</v>
      </c>
      <c r="E26" s="112">
        <v>0.8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</row>
    <row r="27" spans="1:55" customFormat="1" x14ac:dyDescent="0.15">
      <c r="A27" s="187" t="s">
        <v>217</v>
      </c>
      <c r="B27" s="112">
        <v>0.8</v>
      </c>
      <c r="C27" s="112">
        <v>0.8</v>
      </c>
      <c r="D27" s="112">
        <v>0</v>
      </c>
      <c r="E27" s="112">
        <v>0.8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0.8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0.8</v>
      </c>
      <c r="Z27" s="112">
        <v>0</v>
      </c>
      <c r="AA27" s="112">
        <v>0.8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  <c r="AO27" s="112">
        <v>0.8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</row>
    <row r="28" spans="1:55" customFormat="1" x14ac:dyDescent="0.15">
      <c r="A28" s="187" t="s">
        <v>218</v>
      </c>
      <c r="B28" s="112">
        <v>0.8</v>
      </c>
      <c r="C28" s="112">
        <v>0.8</v>
      </c>
      <c r="D28" s="112">
        <v>0</v>
      </c>
      <c r="E28" s="112">
        <v>0.8</v>
      </c>
      <c r="F28" s="112">
        <v>0</v>
      </c>
      <c r="G28" s="112">
        <v>0</v>
      </c>
      <c r="H28" s="112">
        <v>0.8</v>
      </c>
      <c r="I28" s="112">
        <v>0</v>
      </c>
      <c r="J28" s="112">
        <v>0</v>
      </c>
      <c r="K28" s="112">
        <v>0</v>
      </c>
      <c r="L28" s="112">
        <v>0.8</v>
      </c>
      <c r="M28" s="112">
        <v>0</v>
      </c>
      <c r="N28" s="112">
        <v>0.8</v>
      </c>
      <c r="O28" s="112">
        <v>0</v>
      </c>
      <c r="P28" s="112">
        <v>0</v>
      </c>
      <c r="Q28" s="112">
        <v>0</v>
      </c>
      <c r="R28" s="112">
        <v>0.8</v>
      </c>
      <c r="S28" s="112">
        <v>0.8</v>
      </c>
      <c r="T28" s="112">
        <v>0.8</v>
      </c>
      <c r="U28" s="112">
        <v>0</v>
      </c>
      <c r="V28" s="112">
        <v>0</v>
      </c>
      <c r="W28" s="112">
        <v>0.8</v>
      </c>
      <c r="X28" s="112">
        <v>0</v>
      </c>
      <c r="Y28" s="112">
        <v>0.8</v>
      </c>
      <c r="Z28" s="112">
        <v>0</v>
      </c>
      <c r="AA28" s="112">
        <v>0.8</v>
      </c>
      <c r="AB28" s="112">
        <v>0</v>
      </c>
      <c r="AC28" s="112">
        <v>0.8</v>
      </c>
      <c r="AD28" s="112">
        <v>0.8</v>
      </c>
      <c r="AE28" s="112">
        <v>0</v>
      </c>
      <c r="AF28" s="112">
        <v>0.8</v>
      </c>
      <c r="AG28" s="112">
        <v>0.8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0.8</v>
      </c>
      <c r="AO28" s="112">
        <v>0.8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</row>
    <row r="29" spans="1:55" customFormat="1" x14ac:dyDescent="0.15">
      <c r="A29" s="187" t="s">
        <v>219</v>
      </c>
      <c r="B29" s="112">
        <v>0.8</v>
      </c>
      <c r="C29" s="112">
        <v>0.8</v>
      </c>
      <c r="D29" s="112">
        <v>0</v>
      </c>
      <c r="E29" s="112">
        <v>0.8</v>
      </c>
      <c r="F29" s="112">
        <v>0</v>
      </c>
      <c r="G29" s="112">
        <v>0</v>
      </c>
      <c r="H29" s="112">
        <v>0.8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0.8</v>
      </c>
      <c r="O29" s="112">
        <v>0</v>
      </c>
      <c r="P29" s="112">
        <v>0</v>
      </c>
      <c r="Q29" s="112">
        <v>0</v>
      </c>
      <c r="R29" s="112">
        <v>0</v>
      </c>
      <c r="S29" s="112">
        <v>0.8</v>
      </c>
      <c r="T29" s="112">
        <v>0.8</v>
      </c>
      <c r="U29" s="112">
        <v>0</v>
      </c>
      <c r="V29" s="112">
        <v>0</v>
      </c>
      <c r="W29" s="112">
        <v>0.8</v>
      </c>
      <c r="X29" s="112">
        <v>0.8</v>
      </c>
      <c r="Y29" s="112">
        <v>0.8</v>
      </c>
      <c r="Z29" s="112">
        <v>0</v>
      </c>
      <c r="AA29" s="112">
        <v>0.8</v>
      </c>
      <c r="AB29" s="112">
        <v>0</v>
      </c>
      <c r="AC29" s="112">
        <v>0.8</v>
      </c>
      <c r="AD29" s="112">
        <v>0</v>
      </c>
      <c r="AE29" s="112">
        <v>0</v>
      </c>
      <c r="AF29" s="112">
        <v>0.8</v>
      </c>
      <c r="AG29" s="112">
        <v>0.8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0.8</v>
      </c>
      <c r="AO29" s="112">
        <v>0.8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</row>
    <row r="30" spans="1:55" customFormat="1" x14ac:dyDescent="0.15">
      <c r="A30" s="187" t="s">
        <v>220</v>
      </c>
      <c r="B30" s="112">
        <v>0.8</v>
      </c>
      <c r="C30" s="112">
        <v>0.8</v>
      </c>
      <c r="D30" s="112">
        <v>0.8</v>
      </c>
      <c r="E30" s="112">
        <v>0.8</v>
      </c>
      <c r="F30" s="112">
        <v>0</v>
      </c>
      <c r="G30" s="112">
        <v>0.8</v>
      </c>
      <c r="H30" s="112">
        <v>0.8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0.8</v>
      </c>
      <c r="O30" s="112">
        <v>0</v>
      </c>
      <c r="P30" s="112">
        <v>0.8</v>
      </c>
      <c r="Q30" s="112">
        <v>0</v>
      </c>
      <c r="R30" s="112">
        <v>0</v>
      </c>
      <c r="S30" s="112">
        <v>0.8</v>
      </c>
      <c r="T30" s="112">
        <v>0.8</v>
      </c>
      <c r="U30" s="112">
        <v>0</v>
      </c>
      <c r="V30" s="112">
        <v>0</v>
      </c>
      <c r="W30" s="112">
        <v>0.8</v>
      </c>
      <c r="X30" s="112">
        <v>0.8</v>
      </c>
      <c r="Y30" s="112">
        <v>0.8</v>
      </c>
      <c r="Z30" s="112">
        <v>0</v>
      </c>
      <c r="AA30" s="112">
        <v>0.8</v>
      </c>
      <c r="AB30" s="112">
        <v>0</v>
      </c>
      <c r="AC30" s="112">
        <v>0.8</v>
      </c>
      <c r="AD30" s="112">
        <v>0.8</v>
      </c>
      <c r="AE30" s="112">
        <v>0</v>
      </c>
      <c r="AF30" s="112">
        <v>0.8</v>
      </c>
      <c r="AG30" s="112">
        <v>0.8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0.8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</row>
    <row r="31" spans="1:55" customFormat="1" x14ac:dyDescent="0.15">
      <c r="A31" s="187" t="s">
        <v>221</v>
      </c>
      <c r="B31" s="112">
        <v>0.8</v>
      </c>
      <c r="C31" s="112">
        <v>0</v>
      </c>
      <c r="D31" s="112">
        <v>0</v>
      </c>
      <c r="E31" s="112">
        <v>0.8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0.8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</row>
    <row r="32" spans="1:55" customFormat="1" x14ac:dyDescent="0.15">
      <c r="A32" s="187" t="s">
        <v>222</v>
      </c>
      <c r="B32" s="112">
        <v>0</v>
      </c>
      <c r="C32" s="112">
        <v>0.8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</row>
    <row r="33" spans="1:55" x14ac:dyDescent="0.15">
      <c r="A33" s="187" t="s">
        <v>223</v>
      </c>
      <c r="B33" s="112">
        <v>0</v>
      </c>
      <c r="C33" s="112">
        <v>0.8</v>
      </c>
      <c r="D33" s="112">
        <v>0</v>
      </c>
      <c r="E33" s="112">
        <v>0.8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0.8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0.8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</row>
    <row r="34" spans="1:55" x14ac:dyDescent="0.15">
      <c r="A34" s="187" t="s">
        <v>224</v>
      </c>
      <c r="B34" s="112">
        <v>0.8</v>
      </c>
      <c r="C34" s="112">
        <v>0</v>
      </c>
      <c r="D34" s="112">
        <v>0.8</v>
      </c>
      <c r="E34" s="112">
        <v>0.8</v>
      </c>
      <c r="F34" s="112">
        <v>0</v>
      </c>
      <c r="G34" s="112">
        <v>0</v>
      </c>
      <c r="H34" s="112">
        <v>0.8</v>
      </c>
      <c r="I34" s="112">
        <v>0</v>
      </c>
      <c r="J34" s="112">
        <v>0.8</v>
      </c>
      <c r="K34" s="112">
        <v>0</v>
      </c>
      <c r="L34" s="112">
        <v>0.8</v>
      </c>
      <c r="M34" s="112">
        <v>0</v>
      </c>
      <c r="N34" s="112">
        <v>0.8</v>
      </c>
      <c r="O34" s="112">
        <v>0.8</v>
      </c>
      <c r="P34" s="112">
        <v>0.8</v>
      </c>
      <c r="Q34" s="112">
        <v>0</v>
      </c>
      <c r="R34" s="112">
        <v>0.8</v>
      </c>
      <c r="S34" s="112">
        <v>0.8</v>
      </c>
      <c r="T34" s="112">
        <v>0.8</v>
      </c>
      <c r="U34" s="112">
        <v>0.8</v>
      </c>
      <c r="V34" s="112">
        <v>0.8</v>
      </c>
      <c r="W34" s="112">
        <v>0.8</v>
      </c>
      <c r="X34" s="112">
        <v>0.8</v>
      </c>
      <c r="Y34" s="112">
        <v>0.8</v>
      </c>
      <c r="Z34" s="112">
        <v>0.8</v>
      </c>
      <c r="AA34" s="112">
        <v>0.8</v>
      </c>
      <c r="AB34" s="112">
        <v>0.8</v>
      </c>
      <c r="AC34" s="112">
        <v>0.8</v>
      </c>
      <c r="AD34" s="112">
        <v>0.8</v>
      </c>
      <c r="AE34" s="112">
        <v>0.8</v>
      </c>
      <c r="AF34" s="112">
        <v>0.8</v>
      </c>
      <c r="AG34" s="112">
        <v>0.8</v>
      </c>
      <c r="AH34" s="112">
        <v>0.8</v>
      </c>
      <c r="AI34" s="112">
        <v>0</v>
      </c>
      <c r="AJ34" s="112">
        <v>0</v>
      </c>
      <c r="AK34" s="112">
        <v>0.8</v>
      </c>
      <c r="AL34" s="112">
        <v>0</v>
      </c>
      <c r="AM34" s="112">
        <v>0.8</v>
      </c>
      <c r="AN34" s="112">
        <v>0.8</v>
      </c>
      <c r="AO34" s="112">
        <v>0.8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</row>
    <row r="35" spans="1:55" x14ac:dyDescent="0.15">
      <c r="A35" s="187" t="s">
        <v>225</v>
      </c>
      <c r="B35" s="112">
        <v>0.8</v>
      </c>
      <c r="C35" s="112">
        <v>0</v>
      </c>
      <c r="D35" s="112">
        <v>0.8</v>
      </c>
      <c r="E35" s="112">
        <v>0.8</v>
      </c>
      <c r="F35" s="112">
        <v>0</v>
      </c>
      <c r="G35" s="112">
        <v>0</v>
      </c>
      <c r="H35" s="112">
        <v>0.8</v>
      </c>
      <c r="I35" s="112">
        <v>0.8</v>
      </c>
      <c r="J35" s="112">
        <v>0.8</v>
      </c>
      <c r="K35" s="112">
        <v>0.8</v>
      </c>
      <c r="L35" s="112">
        <v>0.8</v>
      </c>
      <c r="M35" s="112">
        <v>0</v>
      </c>
      <c r="N35" s="112">
        <v>0.8</v>
      </c>
      <c r="O35" s="112">
        <v>0.8</v>
      </c>
      <c r="P35" s="112">
        <v>0.8</v>
      </c>
      <c r="Q35" s="112">
        <v>0</v>
      </c>
      <c r="R35" s="112">
        <v>0</v>
      </c>
      <c r="S35" s="112">
        <v>0.8</v>
      </c>
      <c r="T35" s="112">
        <v>0.8</v>
      </c>
      <c r="U35" s="112">
        <v>0</v>
      </c>
      <c r="V35" s="112">
        <v>0</v>
      </c>
      <c r="W35" s="112">
        <v>0.8</v>
      </c>
      <c r="X35" s="112">
        <v>0.8</v>
      </c>
      <c r="Y35" s="112">
        <v>0</v>
      </c>
      <c r="Z35" s="112">
        <v>0.8</v>
      </c>
      <c r="AA35" s="112">
        <v>0.8</v>
      </c>
      <c r="AB35" s="112">
        <v>0.8</v>
      </c>
      <c r="AC35" s="112">
        <v>0.8</v>
      </c>
      <c r="AD35" s="112">
        <v>0.8</v>
      </c>
      <c r="AE35" s="112">
        <v>0.8</v>
      </c>
      <c r="AF35" s="112">
        <v>0</v>
      </c>
      <c r="AG35" s="112">
        <v>0.8</v>
      </c>
      <c r="AH35" s="112">
        <v>0.8</v>
      </c>
      <c r="AI35" s="112">
        <v>0.8</v>
      </c>
      <c r="AJ35" s="112">
        <v>0</v>
      </c>
      <c r="AK35" s="112">
        <v>0.8</v>
      </c>
      <c r="AL35" s="112">
        <v>0.8</v>
      </c>
      <c r="AM35" s="112">
        <v>0.8</v>
      </c>
      <c r="AN35" s="112">
        <v>0.8</v>
      </c>
      <c r="AO35" s="112">
        <v>0.8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</row>
    <row r="36" spans="1:55" x14ac:dyDescent="0.15">
      <c r="A36" s="187" t="s">
        <v>226</v>
      </c>
      <c r="B36" s="112">
        <v>0</v>
      </c>
      <c r="C36" s="112">
        <v>0</v>
      </c>
      <c r="D36" s="112">
        <v>0</v>
      </c>
      <c r="E36" s="112">
        <v>0.8</v>
      </c>
      <c r="F36" s="112">
        <v>0</v>
      </c>
      <c r="G36" s="112">
        <v>0</v>
      </c>
      <c r="H36" s="112">
        <v>0.8</v>
      </c>
      <c r="I36" s="112">
        <v>0.8</v>
      </c>
      <c r="J36" s="112">
        <v>0.8</v>
      </c>
      <c r="K36" s="112">
        <v>0.8</v>
      </c>
      <c r="L36" s="112">
        <v>0.8</v>
      </c>
      <c r="M36" s="112">
        <v>0.8</v>
      </c>
      <c r="N36" s="112">
        <v>0.8</v>
      </c>
      <c r="O36" s="112">
        <v>0.8</v>
      </c>
      <c r="P36" s="112">
        <v>0.8</v>
      </c>
      <c r="Q36" s="112">
        <v>0</v>
      </c>
      <c r="R36" s="112">
        <v>0.8</v>
      </c>
      <c r="S36" s="112">
        <v>0.8</v>
      </c>
      <c r="T36" s="112">
        <v>0.8</v>
      </c>
      <c r="U36" s="112">
        <v>0.8</v>
      </c>
      <c r="V36" s="112">
        <v>0</v>
      </c>
      <c r="W36" s="112">
        <v>0.8</v>
      </c>
      <c r="X36" s="112">
        <v>0.8</v>
      </c>
      <c r="Y36" s="112">
        <v>0.8</v>
      </c>
      <c r="Z36" s="112">
        <v>0.8</v>
      </c>
      <c r="AA36" s="112">
        <v>0</v>
      </c>
      <c r="AB36" s="112">
        <v>0</v>
      </c>
      <c r="AC36" s="112">
        <v>0.8</v>
      </c>
      <c r="AD36" s="112">
        <v>0.8</v>
      </c>
      <c r="AE36" s="112">
        <v>0.8</v>
      </c>
      <c r="AF36" s="112">
        <v>0</v>
      </c>
      <c r="AG36" s="112">
        <v>0.8</v>
      </c>
      <c r="AH36" s="112">
        <v>0.8</v>
      </c>
      <c r="AI36" s="112">
        <v>0.8</v>
      </c>
      <c r="AJ36" s="112">
        <v>0</v>
      </c>
      <c r="AK36" s="112">
        <v>0.8</v>
      </c>
      <c r="AL36" s="112">
        <v>0.8</v>
      </c>
      <c r="AM36" s="112">
        <v>0</v>
      </c>
      <c r="AN36" s="112">
        <v>0.8</v>
      </c>
      <c r="AO36" s="112">
        <v>0.8</v>
      </c>
      <c r="AP36" s="112">
        <v>0</v>
      </c>
      <c r="AQ36" s="112">
        <v>0</v>
      </c>
      <c r="AR36" s="112">
        <v>0.8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</row>
    <row r="37" spans="1:55" x14ac:dyDescent="0.15">
      <c r="A37" s="187" t="s">
        <v>227</v>
      </c>
      <c r="B37" s="112">
        <v>0.8</v>
      </c>
      <c r="C37" s="112">
        <v>0</v>
      </c>
      <c r="D37" s="112">
        <v>0.8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0.8</v>
      </c>
      <c r="K37" s="112">
        <v>0</v>
      </c>
      <c r="L37" s="112">
        <v>0.8</v>
      </c>
      <c r="M37" s="112">
        <v>0</v>
      </c>
      <c r="N37" s="112">
        <v>0</v>
      </c>
      <c r="O37" s="112">
        <v>0.8</v>
      </c>
      <c r="P37" s="112">
        <v>0.8</v>
      </c>
      <c r="Q37" s="112">
        <v>0</v>
      </c>
      <c r="R37" s="112">
        <v>0</v>
      </c>
      <c r="S37" s="112">
        <v>0</v>
      </c>
      <c r="T37" s="112">
        <v>0.8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0.8</v>
      </c>
      <c r="AF37" s="112">
        <v>0.8</v>
      </c>
      <c r="AG37" s="112">
        <v>0</v>
      </c>
      <c r="AH37" s="112">
        <v>0.8</v>
      </c>
      <c r="AI37" s="112">
        <v>0</v>
      </c>
      <c r="AJ37" s="112">
        <v>0</v>
      </c>
      <c r="AK37" s="112">
        <v>0.8</v>
      </c>
      <c r="AL37" s="112">
        <v>0</v>
      </c>
      <c r="AM37" s="112">
        <v>0.8</v>
      </c>
      <c r="AN37" s="112">
        <v>0.8</v>
      </c>
      <c r="AO37" s="112">
        <v>0.8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</row>
    <row r="38" spans="1:55" x14ac:dyDescent="0.15">
      <c r="A38" s="187" t="s">
        <v>228</v>
      </c>
      <c r="B38" s="112">
        <v>0.8</v>
      </c>
      <c r="C38" s="112">
        <v>0</v>
      </c>
      <c r="D38" s="112">
        <v>0.8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0.8</v>
      </c>
      <c r="K38" s="112">
        <v>0</v>
      </c>
      <c r="L38" s="112">
        <v>0.8</v>
      </c>
      <c r="M38" s="112">
        <v>0.8</v>
      </c>
      <c r="N38" s="112">
        <v>0</v>
      </c>
      <c r="O38" s="112">
        <v>0.8</v>
      </c>
      <c r="P38" s="112">
        <v>0.8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0.8</v>
      </c>
      <c r="AG38" s="112">
        <v>0</v>
      </c>
      <c r="AH38" s="112">
        <v>0.8</v>
      </c>
      <c r="AI38" s="112">
        <v>0.8</v>
      </c>
      <c r="AJ38" s="112">
        <v>0</v>
      </c>
      <c r="AK38" s="112">
        <v>0.8</v>
      </c>
      <c r="AL38" s="112">
        <v>0.8</v>
      </c>
      <c r="AM38" s="112">
        <v>0.8</v>
      </c>
      <c r="AN38" s="112">
        <v>0.8</v>
      </c>
      <c r="AO38" s="112">
        <v>0.8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</row>
    <row r="39" spans="1:55" x14ac:dyDescent="0.15">
      <c r="A39" s="187" t="s">
        <v>229</v>
      </c>
      <c r="B39" s="112">
        <v>0.8</v>
      </c>
      <c r="C39" s="112">
        <v>0</v>
      </c>
      <c r="D39" s="112">
        <v>0.8</v>
      </c>
      <c r="E39" s="112">
        <v>0.8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0.8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0.8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0.8</v>
      </c>
      <c r="AN39" s="112">
        <v>0</v>
      </c>
      <c r="AO39" s="112">
        <v>0.8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</row>
    <row r="40" spans="1:55" x14ac:dyDescent="0.15">
      <c r="A40" s="187" t="s">
        <v>230</v>
      </c>
      <c r="B40" s="112">
        <v>0.8</v>
      </c>
      <c r="C40" s="112">
        <v>0</v>
      </c>
      <c r="D40" s="112">
        <v>0.8</v>
      </c>
      <c r="E40" s="112">
        <v>0</v>
      </c>
      <c r="F40" s="112">
        <v>0</v>
      </c>
      <c r="G40" s="112">
        <v>0</v>
      </c>
      <c r="H40" s="112">
        <v>0.8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0.8</v>
      </c>
      <c r="O40" s="112">
        <v>0</v>
      </c>
      <c r="P40" s="112">
        <v>0</v>
      </c>
      <c r="Q40" s="112">
        <v>0</v>
      </c>
      <c r="R40" s="112">
        <v>0</v>
      </c>
      <c r="S40" s="112">
        <v>0.8</v>
      </c>
      <c r="T40" s="112">
        <v>0</v>
      </c>
      <c r="U40" s="112">
        <v>0</v>
      </c>
      <c r="V40" s="112">
        <v>0.8</v>
      </c>
      <c r="W40" s="112">
        <v>0.8</v>
      </c>
      <c r="X40" s="112">
        <v>0</v>
      </c>
      <c r="Y40" s="112">
        <v>0.8</v>
      </c>
      <c r="Z40" s="112">
        <v>0</v>
      </c>
      <c r="AA40" s="112">
        <v>0.8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0.8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0.8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</row>
    <row r="41" spans="1:55" x14ac:dyDescent="0.15">
      <c r="A41" s="187" t="s">
        <v>231</v>
      </c>
      <c r="B41" s="112">
        <v>0.8</v>
      </c>
      <c r="C41" s="112">
        <v>0.8</v>
      </c>
      <c r="D41" s="112">
        <v>0.8</v>
      </c>
      <c r="E41" s="112">
        <v>0</v>
      </c>
      <c r="F41" s="112">
        <v>0</v>
      </c>
      <c r="G41" s="112">
        <v>0</v>
      </c>
      <c r="H41" s="112">
        <v>0.8</v>
      </c>
      <c r="I41" s="112">
        <v>0</v>
      </c>
      <c r="J41" s="112">
        <v>0.8</v>
      </c>
      <c r="K41" s="112">
        <v>0</v>
      </c>
      <c r="L41" s="112">
        <v>0</v>
      </c>
      <c r="M41" s="112">
        <v>0</v>
      </c>
      <c r="N41" s="112">
        <v>0.8</v>
      </c>
      <c r="O41" s="112">
        <v>0</v>
      </c>
      <c r="P41" s="112">
        <v>0</v>
      </c>
      <c r="Q41" s="112">
        <v>0</v>
      </c>
      <c r="R41" s="112">
        <v>0</v>
      </c>
      <c r="S41" s="112">
        <v>0.8</v>
      </c>
      <c r="T41" s="112">
        <v>0.8</v>
      </c>
      <c r="U41" s="112">
        <v>0</v>
      </c>
      <c r="V41" s="112">
        <v>0</v>
      </c>
      <c r="W41" s="112">
        <v>0.8</v>
      </c>
      <c r="X41" s="112">
        <v>0.8</v>
      </c>
      <c r="Y41" s="112">
        <v>0</v>
      </c>
      <c r="Z41" s="112">
        <v>0.8</v>
      </c>
      <c r="AA41" s="112">
        <v>0.8</v>
      </c>
      <c r="AB41" s="112">
        <v>0</v>
      </c>
      <c r="AC41" s="112">
        <v>0.8</v>
      </c>
      <c r="AD41" s="112">
        <v>0.8</v>
      </c>
      <c r="AE41" s="112">
        <v>0.8</v>
      </c>
      <c r="AF41" s="112">
        <v>0</v>
      </c>
      <c r="AG41" s="112">
        <v>0.8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0.8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</row>
    <row r="42" spans="1:55" x14ac:dyDescent="0.15">
      <c r="A42" s="187" t="s">
        <v>232</v>
      </c>
      <c r="B42" s="112">
        <v>0.8</v>
      </c>
      <c r="C42" s="112">
        <v>0</v>
      </c>
      <c r="D42" s="112">
        <v>0.8</v>
      </c>
      <c r="E42" s="112">
        <v>0.8</v>
      </c>
      <c r="F42" s="112">
        <v>0</v>
      </c>
      <c r="G42" s="112">
        <v>0</v>
      </c>
      <c r="H42" s="112">
        <v>0.8</v>
      </c>
      <c r="I42" s="112">
        <v>0.8</v>
      </c>
      <c r="J42" s="112">
        <v>0.8</v>
      </c>
      <c r="K42" s="112">
        <v>0.8</v>
      </c>
      <c r="L42" s="112">
        <v>0</v>
      </c>
      <c r="M42" s="112">
        <v>0.8</v>
      </c>
      <c r="N42" s="112">
        <v>0.8</v>
      </c>
      <c r="O42" s="112">
        <v>0</v>
      </c>
      <c r="P42" s="112">
        <v>0</v>
      </c>
      <c r="Q42" s="112">
        <v>0</v>
      </c>
      <c r="R42" s="112">
        <v>0.8</v>
      </c>
      <c r="S42" s="112">
        <v>0.8</v>
      </c>
      <c r="T42" s="112">
        <v>0</v>
      </c>
      <c r="U42" s="112">
        <v>0</v>
      </c>
      <c r="V42" s="112">
        <v>0.8</v>
      </c>
      <c r="W42" s="112">
        <v>0.8</v>
      </c>
      <c r="X42" s="112">
        <v>0</v>
      </c>
      <c r="Y42" s="112">
        <v>0.8</v>
      </c>
      <c r="Z42" s="112">
        <v>0.8</v>
      </c>
      <c r="AA42" s="112">
        <v>0.8</v>
      </c>
      <c r="AB42" s="112">
        <v>0.8</v>
      </c>
      <c r="AC42" s="112">
        <v>0.8</v>
      </c>
      <c r="AD42" s="112">
        <v>0.8</v>
      </c>
      <c r="AE42" s="112">
        <v>0</v>
      </c>
      <c r="AF42" s="112">
        <v>0.8</v>
      </c>
      <c r="AG42" s="112">
        <v>0.8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0.8</v>
      </c>
      <c r="AN42" s="112">
        <v>0</v>
      </c>
      <c r="AO42" s="112">
        <v>0.8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</row>
    <row r="43" spans="1:55" x14ac:dyDescent="0.15">
      <c r="A43" s="187" t="s">
        <v>233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0.8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0.8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0.8</v>
      </c>
      <c r="AI43" s="112">
        <v>0</v>
      </c>
      <c r="AJ43" s="112">
        <v>0</v>
      </c>
      <c r="AK43" s="112">
        <v>0</v>
      </c>
      <c r="AL43" s="112">
        <v>0.8</v>
      </c>
      <c r="AM43" s="112">
        <v>0</v>
      </c>
      <c r="AN43" s="112">
        <v>0.8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</row>
    <row r="44" spans="1:55" x14ac:dyDescent="0.15">
      <c r="A44" s="187" t="s">
        <v>234</v>
      </c>
      <c r="B44" s="112">
        <v>0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0.8</v>
      </c>
      <c r="AJ44" s="112">
        <v>0</v>
      </c>
      <c r="AK44" s="112">
        <v>0.8</v>
      </c>
      <c r="AL44" s="112">
        <v>0.8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0.8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</row>
    <row r="45" spans="1:55" x14ac:dyDescent="0.15">
      <c r="A45" s="187" t="s">
        <v>235</v>
      </c>
      <c r="B45" s="112">
        <v>0</v>
      </c>
      <c r="C45" s="112">
        <v>0.8</v>
      </c>
      <c r="D45" s="112">
        <v>0</v>
      </c>
      <c r="E45" s="112">
        <v>0</v>
      </c>
      <c r="F45" s="112">
        <v>0.8</v>
      </c>
      <c r="G45" s="112">
        <v>0</v>
      </c>
      <c r="H45" s="112">
        <v>0</v>
      </c>
      <c r="I45" s="112">
        <v>0</v>
      </c>
      <c r="J45" s="112">
        <v>0</v>
      </c>
      <c r="K45" s="112">
        <v>0.8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0.8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0</v>
      </c>
      <c r="AD45" s="112">
        <v>0</v>
      </c>
      <c r="AE45" s="112">
        <v>0</v>
      </c>
      <c r="AF45" s="112">
        <v>0.8</v>
      </c>
      <c r="AG45" s="112">
        <v>0</v>
      </c>
      <c r="AH45" s="112">
        <v>0.8</v>
      </c>
      <c r="AI45" s="112">
        <v>0</v>
      </c>
      <c r="AJ45" s="112">
        <v>0</v>
      </c>
      <c r="AK45" s="112">
        <v>0.8</v>
      </c>
      <c r="AL45" s="112">
        <v>0</v>
      </c>
      <c r="AM45" s="112">
        <v>0</v>
      </c>
      <c r="AN45" s="112">
        <v>0</v>
      </c>
      <c r="AO45" s="112">
        <v>0.8</v>
      </c>
      <c r="AP45" s="112">
        <v>0</v>
      </c>
      <c r="AQ45" s="112">
        <v>0</v>
      </c>
      <c r="AR45" s="112">
        <v>0</v>
      </c>
      <c r="AS45" s="112">
        <v>0.8</v>
      </c>
      <c r="AT45" s="112">
        <v>0.8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</row>
    <row r="46" spans="1:55" x14ac:dyDescent="0.15">
      <c r="A46" s="187" t="s">
        <v>236</v>
      </c>
      <c r="B46" s="112">
        <v>0</v>
      </c>
      <c r="C46" s="112">
        <v>0.8</v>
      </c>
      <c r="D46" s="112">
        <v>0</v>
      </c>
      <c r="E46" s="112">
        <v>0</v>
      </c>
      <c r="F46" s="112">
        <v>0.8</v>
      </c>
      <c r="G46" s="112">
        <v>0</v>
      </c>
      <c r="H46" s="112">
        <v>0.8</v>
      </c>
      <c r="I46" s="112">
        <v>0.8</v>
      </c>
      <c r="J46" s="112">
        <v>0.8</v>
      </c>
      <c r="K46" s="112">
        <v>0.8</v>
      </c>
      <c r="L46" s="112">
        <v>0</v>
      </c>
      <c r="M46" s="112">
        <v>0.8</v>
      </c>
      <c r="N46" s="112">
        <v>0.8</v>
      </c>
      <c r="O46" s="112">
        <v>0</v>
      </c>
      <c r="P46" s="112">
        <v>0</v>
      </c>
      <c r="Q46" s="112">
        <v>0.8</v>
      </c>
      <c r="R46" s="112">
        <v>0.8</v>
      </c>
      <c r="S46" s="112">
        <v>0.8</v>
      </c>
      <c r="T46" s="112">
        <v>0</v>
      </c>
      <c r="U46" s="112">
        <v>0.8</v>
      </c>
      <c r="V46" s="112">
        <v>0</v>
      </c>
      <c r="W46" s="112">
        <v>0.8</v>
      </c>
      <c r="X46" s="112">
        <v>0.8</v>
      </c>
      <c r="Y46" s="112">
        <v>0</v>
      </c>
      <c r="Z46" s="112">
        <v>0.8</v>
      </c>
      <c r="AA46" s="112">
        <v>0.8</v>
      </c>
      <c r="AB46" s="112">
        <v>0.8</v>
      </c>
      <c r="AC46" s="112">
        <v>0.8</v>
      </c>
      <c r="AD46" s="112">
        <v>0.8</v>
      </c>
      <c r="AE46" s="112">
        <v>0</v>
      </c>
      <c r="AF46" s="112">
        <v>0.8</v>
      </c>
      <c r="AG46" s="112">
        <v>0.8</v>
      </c>
      <c r="AH46" s="112">
        <v>0.8</v>
      </c>
      <c r="AI46" s="112">
        <v>0</v>
      </c>
      <c r="AJ46" s="112">
        <v>0</v>
      </c>
      <c r="AK46" s="112">
        <v>0.8</v>
      </c>
      <c r="AL46" s="112">
        <v>0.8</v>
      </c>
      <c r="AM46" s="112">
        <v>0</v>
      </c>
      <c r="AN46" s="112">
        <v>0</v>
      </c>
      <c r="AO46" s="112">
        <v>0.8</v>
      </c>
      <c r="AP46" s="112">
        <v>0.8</v>
      </c>
      <c r="AQ46" s="112">
        <v>0.8</v>
      </c>
      <c r="AR46" s="112">
        <v>0</v>
      </c>
      <c r="AS46" s="112">
        <v>0.8</v>
      </c>
      <c r="AT46" s="112">
        <v>0.8</v>
      </c>
      <c r="AU46" s="112">
        <v>0.8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</row>
    <row r="47" spans="1:55" x14ac:dyDescent="0.15">
      <c r="A47" s="187" t="s">
        <v>237</v>
      </c>
      <c r="B47" s="112">
        <v>0</v>
      </c>
      <c r="C47" s="112">
        <v>0.8</v>
      </c>
      <c r="D47" s="112">
        <v>0</v>
      </c>
      <c r="E47" s="112">
        <v>0</v>
      </c>
      <c r="F47" s="112">
        <v>0.8</v>
      </c>
      <c r="G47" s="112">
        <v>0</v>
      </c>
      <c r="H47" s="112">
        <v>0.8</v>
      </c>
      <c r="I47" s="112">
        <v>0.8</v>
      </c>
      <c r="J47" s="112">
        <v>0.8</v>
      </c>
      <c r="K47" s="112">
        <v>0.8</v>
      </c>
      <c r="L47" s="112">
        <v>0</v>
      </c>
      <c r="M47" s="112">
        <v>0.8</v>
      </c>
      <c r="N47" s="112">
        <v>0.8</v>
      </c>
      <c r="O47" s="112">
        <v>0</v>
      </c>
      <c r="P47" s="112">
        <v>0</v>
      </c>
      <c r="Q47" s="112">
        <v>0.8</v>
      </c>
      <c r="R47" s="112">
        <v>0.8</v>
      </c>
      <c r="S47" s="112">
        <v>0.8</v>
      </c>
      <c r="T47" s="112">
        <v>0</v>
      </c>
      <c r="U47" s="112">
        <v>0.8</v>
      </c>
      <c r="V47" s="112">
        <v>0</v>
      </c>
      <c r="W47" s="112">
        <v>0.8</v>
      </c>
      <c r="X47" s="112">
        <v>0.8</v>
      </c>
      <c r="Y47" s="112">
        <v>0</v>
      </c>
      <c r="Z47" s="112">
        <v>0.8</v>
      </c>
      <c r="AA47" s="112">
        <v>0.8</v>
      </c>
      <c r="AB47" s="112">
        <v>0.8</v>
      </c>
      <c r="AC47" s="112">
        <v>0.8</v>
      </c>
      <c r="AD47" s="112">
        <v>0.8</v>
      </c>
      <c r="AE47" s="112">
        <v>0</v>
      </c>
      <c r="AF47" s="112">
        <v>0.8</v>
      </c>
      <c r="AG47" s="112">
        <v>0.8</v>
      </c>
      <c r="AH47" s="112">
        <v>0.8</v>
      </c>
      <c r="AI47" s="112">
        <v>0</v>
      </c>
      <c r="AJ47" s="112">
        <v>0</v>
      </c>
      <c r="AK47" s="112">
        <v>0.8</v>
      </c>
      <c r="AL47" s="112">
        <v>0.8</v>
      </c>
      <c r="AM47" s="112">
        <v>0</v>
      </c>
      <c r="AN47" s="112">
        <v>0</v>
      </c>
      <c r="AO47" s="112">
        <v>0.8</v>
      </c>
      <c r="AP47" s="112">
        <v>0.8</v>
      </c>
      <c r="AQ47" s="112">
        <v>0.8</v>
      </c>
      <c r="AR47" s="112">
        <v>0</v>
      </c>
      <c r="AS47" s="112">
        <v>0.8</v>
      </c>
      <c r="AT47" s="112">
        <v>0.8</v>
      </c>
      <c r="AU47" s="112">
        <v>0.8</v>
      </c>
      <c r="AV47" s="112">
        <v>0.8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</row>
    <row r="48" spans="1:55" x14ac:dyDescent="0.15">
      <c r="A48" s="187" t="s">
        <v>238</v>
      </c>
      <c r="B48" s="112">
        <v>0</v>
      </c>
      <c r="C48" s="112">
        <v>0.8</v>
      </c>
      <c r="D48" s="112">
        <v>0</v>
      </c>
      <c r="E48" s="112">
        <v>0</v>
      </c>
      <c r="F48" s="112">
        <v>0.8</v>
      </c>
      <c r="G48" s="112">
        <v>0</v>
      </c>
      <c r="H48" s="112">
        <v>0.8</v>
      </c>
      <c r="I48" s="112">
        <v>0.8</v>
      </c>
      <c r="J48" s="112">
        <v>0.8</v>
      </c>
      <c r="K48" s="112">
        <v>0.8</v>
      </c>
      <c r="L48" s="112">
        <v>0</v>
      </c>
      <c r="M48" s="112">
        <v>0.8</v>
      </c>
      <c r="N48" s="112">
        <v>0.8</v>
      </c>
      <c r="O48" s="112">
        <v>0</v>
      </c>
      <c r="P48" s="112">
        <v>0</v>
      </c>
      <c r="Q48" s="112">
        <v>0.8</v>
      </c>
      <c r="R48" s="112">
        <v>0.8</v>
      </c>
      <c r="S48" s="112">
        <v>0.8</v>
      </c>
      <c r="T48" s="112">
        <v>0</v>
      </c>
      <c r="U48" s="112">
        <v>0.8</v>
      </c>
      <c r="V48" s="112">
        <v>0</v>
      </c>
      <c r="W48" s="112">
        <v>0.8</v>
      </c>
      <c r="X48" s="112">
        <v>0.8</v>
      </c>
      <c r="Y48" s="112">
        <v>0</v>
      </c>
      <c r="Z48" s="112">
        <v>0.8</v>
      </c>
      <c r="AA48" s="112">
        <v>0.8</v>
      </c>
      <c r="AB48" s="112">
        <v>0.8</v>
      </c>
      <c r="AC48" s="112">
        <v>0.8</v>
      </c>
      <c r="AD48" s="112">
        <v>0.8</v>
      </c>
      <c r="AE48" s="112">
        <v>0</v>
      </c>
      <c r="AF48" s="112">
        <v>0.8</v>
      </c>
      <c r="AG48" s="112">
        <v>0.8</v>
      </c>
      <c r="AH48" s="112">
        <v>0.8</v>
      </c>
      <c r="AI48" s="112">
        <v>0</v>
      </c>
      <c r="AJ48" s="112">
        <v>0</v>
      </c>
      <c r="AK48" s="112">
        <v>0.8</v>
      </c>
      <c r="AL48" s="112">
        <v>0.8</v>
      </c>
      <c r="AM48" s="112">
        <v>0</v>
      </c>
      <c r="AN48" s="112">
        <v>0</v>
      </c>
      <c r="AO48" s="112">
        <v>0.8</v>
      </c>
      <c r="AP48" s="112">
        <v>0.8</v>
      </c>
      <c r="AQ48" s="112">
        <v>0.8</v>
      </c>
      <c r="AR48" s="112">
        <v>0</v>
      </c>
      <c r="AS48" s="112">
        <v>0.8</v>
      </c>
      <c r="AT48" s="112">
        <v>0.8</v>
      </c>
      <c r="AU48" s="112">
        <v>0.8</v>
      </c>
      <c r="AV48" s="112">
        <v>0.8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</row>
    <row r="49" spans="1:55" x14ac:dyDescent="0.15">
      <c r="A49" s="187" t="s">
        <v>239</v>
      </c>
      <c r="B49" s="112">
        <v>0</v>
      </c>
      <c r="C49" s="112">
        <v>0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0.8</v>
      </c>
      <c r="K49" s="112">
        <v>0</v>
      </c>
      <c r="L49" s="112">
        <v>0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112">
        <v>0</v>
      </c>
      <c r="Y49" s="112">
        <v>0</v>
      </c>
      <c r="Z49" s="112">
        <v>0</v>
      </c>
      <c r="AA49" s="112">
        <v>0</v>
      </c>
      <c r="AB49" s="112">
        <v>0</v>
      </c>
      <c r="AC49" s="112">
        <v>0</v>
      </c>
      <c r="AD49" s="112">
        <v>0</v>
      </c>
      <c r="AE49" s="112">
        <v>0</v>
      </c>
      <c r="AF49" s="112">
        <v>0</v>
      </c>
      <c r="AG49" s="112">
        <v>0</v>
      </c>
      <c r="AH49" s="112">
        <v>0.8</v>
      </c>
      <c r="AI49" s="112">
        <v>0.8</v>
      </c>
      <c r="AJ49" s="112">
        <v>0</v>
      </c>
      <c r="AK49" s="112">
        <v>0</v>
      </c>
      <c r="AL49" s="112">
        <v>0</v>
      </c>
      <c r="AM49" s="112">
        <v>0</v>
      </c>
      <c r="AN49" s="112">
        <v>0</v>
      </c>
      <c r="AO49" s="112">
        <v>0</v>
      </c>
      <c r="AP49" s="112">
        <v>0</v>
      </c>
      <c r="AQ49" s="112">
        <v>0</v>
      </c>
      <c r="AR49" s="112">
        <v>0</v>
      </c>
      <c r="AS49" s="112">
        <v>0</v>
      </c>
      <c r="AT49" s="112">
        <v>0</v>
      </c>
      <c r="AU49" s="112">
        <v>0</v>
      </c>
      <c r="AV49" s="112">
        <v>0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</row>
    <row r="50" spans="1:55" x14ac:dyDescent="0.15">
      <c r="A50" s="187" t="s">
        <v>240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0.8</v>
      </c>
      <c r="AI50" s="112">
        <v>0.8</v>
      </c>
      <c r="AJ50" s="112">
        <v>0.8</v>
      </c>
      <c r="AK50" s="112">
        <v>0.8</v>
      </c>
      <c r="AL50" s="112">
        <v>0.8</v>
      </c>
      <c r="AM50" s="112">
        <v>0</v>
      </c>
      <c r="AN50" s="112">
        <v>0</v>
      </c>
      <c r="AO50" s="112">
        <v>0</v>
      </c>
      <c r="AP50" s="112">
        <v>0</v>
      </c>
      <c r="AQ50" s="112">
        <v>0.8</v>
      </c>
      <c r="AR50" s="112">
        <v>0.8</v>
      </c>
      <c r="AS50" s="112">
        <v>0</v>
      </c>
      <c r="AT50" s="112">
        <v>0</v>
      </c>
      <c r="AU50" s="112">
        <v>0</v>
      </c>
      <c r="AV50" s="112">
        <v>0</v>
      </c>
      <c r="AW50" s="112">
        <v>0</v>
      </c>
      <c r="AX50" s="112">
        <v>0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</row>
    <row r="51" spans="1:55" x14ac:dyDescent="0.15">
      <c r="A51" s="187" t="s">
        <v>241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0.8</v>
      </c>
      <c r="J51" s="112">
        <v>0</v>
      </c>
      <c r="K51" s="112">
        <v>0.8</v>
      </c>
      <c r="L51" s="112">
        <v>0</v>
      </c>
      <c r="M51" s="112">
        <v>0.8</v>
      </c>
      <c r="N51" s="112">
        <v>0</v>
      </c>
      <c r="O51" s="112">
        <v>0</v>
      </c>
      <c r="P51" s="112">
        <v>0</v>
      </c>
      <c r="Q51" s="112">
        <v>0.8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0.8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0.8</v>
      </c>
      <c r="AI51" s="112">
        <v>0</v>
      </c>
      <c r="AJ51" s="112">
        <v>0</v>
      </c>
      <c r="AK51" s="112">
        <v>0.8</v>
      </c>
      <c r="AL51" s="112">
        <v>0.8</v>
      </c>
      <c r="AM51" s="112">
        <v>0</v>
      </c>
      <c r="AN51" s="112">
        <v>0</v>
      </c>
      <c r="AO51" s="112">
        <v>0.8</v>
      </c>
      <c r="AP51" s="112">
        <v>0.8</v>
      </c>
      <c r="AQ51" s="112">
        <v>0.8</v>
      </c>
      <c r="AR51" s="112">
        <v>0</v>
      </c>
      <c r="AS51" s="112">
        <v>0.8</v>
      </c>
      <c r="AT51" s="112">
        <v>0.8</v>
      </c>
      <c r="AU51" s="112">
        <v>0.8</v>
      </c>
      <c r="AV51" s="112">
        <v>0.8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</row>
    <row r="52" spans="1:55" x14ac:dyDescent="0.15">
      <c r="A52" s="187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0.8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0.8</v>
      </c>
      <c r="Y52" s="112">
        <v>0</v>
      </c>
      <c r="Z52" s="112">
        <v>0</v>
      </c>
      <c r="AA52" s="112">
        <v>0</v>
      </c>
      <c r="AB52" s="112">
        <v>0</v>
      </c>
      <c r="AC52" s="112">
        <v>0.8</v>
      </c>
      <c r="AD52" s="112">
        <v>0</v>
      </c>
      <c r="AE52" s="112">
        <v>0</v>
      </c>
      <c r="AF52" s="112">
        <v>0</v>
      </c>
      <c r="AG52" s="112">
        <v>0.8</v>
      </c>
      <c r="AH52" s="112">
        <v>0.8</v>
      </c>
      <c r="AI52" s="112">
        <v>0</v>
      </c>
      <c r="AJ52" s="112">
        <v>0.8</v>
      </c>
      <c r="AK52" s="112">
        <v>0.8</v>
      </c>
      <c r="AL52" s="112">
        <v>0.8</v>
      </c>
      <c r="AM52" s="112">
        <v>0.8</v>
      </c>
      <c r="AN52" s="112">
        <v>0</v>
      </c>
      <c r="AO52" s="112">
        <v>0</v>
      </c>
      <c r="AP52" s="112">
        <v>0.8</v>
      </c>
      <c r="AQ52" s="112">
        <v>0.8</v>
      </c>
      <c r="AR52" s="112">
        <v>0.8</v>
      </c>
      <c r="AS52" s="112">
        <v>0.8</v>
      </c>
      <c r="AT52" s="112">
        <v>0.8</v>
      </c>
      <c r="AU52" s="112">
        <v>0.8</v>
      </c>
      <c r="AV52" s="112">
        <v>0.8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</row>
    <row r="53" spans="1:55" x14ac:dyDescent="0.15">
      <c r="A53" s="187" t="s">
        <v>243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0.8</v>
      </c>
      <c r="AI53" s="112">
        <v>0</v>
      </c>
      <c r="AJ53" s="112">
        <v>0.8</v>
      </c>
      <c r="AK53" s="112">
        <v>0.8</v>
      </c>
      <c r="AL53" s="112">
        <v>0.8</v>
      </c>
      <c r="AM53" s="112">
        <v>0</v>
      </c>
      <c r="AN53" s="112">
        <v>0</v>
      </c>
      <c r="AO53" s="112">
        <v>0</v>
      </c>
      <c r="AP53" s="112">
        <v>0.8</v>
      </c>
      <c r="AQ53" s="112">
        <v>0.8</v>
      </c>
      <c r="AR53" s="112">
        <v>0</v>
      </c>
      <c r="AS53" s="112">
        <v>0.8</v>
      </c>
      <c r="AT53" s="112">
        <v>0.8</v>
      </c>
      <c r="AU53" s="112">
        <v>0.8</v>
      </c>
      <c r="AV53" s="112">
        <v>0.8</v>
      </c>
      <c r="AW53" s="112">
        <v>0</v>
      </c>
      <c r="AX53" s="112">
        <v>0</v>
      </c>
      <c r="AY53" s="112">
        <v>0</v>
      </c>
      <c r="AZ53" s="112">
        <v>0</v>
      </c>
      <c r="BA53" s="112">
        <v>0</v>
      </c>
      <c r="BB53" s="112">
        <v>0</v>
      </c>
      <c r="BC53" s="112">
        <v>0</v>
      </c>
    </row>
    <row r="54" spans="1:55" x14ac:dyDescent="0.15">
      <c r="A54" s="187" t="s">
        <v>244</v>
      </c>
      <c r="B54" s="112">
        <v>0</v>
      </c>
      <c r="C54" s="112">
        <v>0</v>
      </c>
      <c r="D54" s="112">
        <v>0</v>
      </c>
      <c r="E54" s="112">
        <v>0.8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0.8</v>
      </c>
      <c r="AI54" s="112">
        <v>0</v>
      </c>
      <c r="AJ54" s="112">
        <v>0</v>
      </c>
      <c r="AK54" s="112">
        <v>0</v>
      </c>
      <c r="AL54" s="112">
        <v>0.8</v>
      </c>
      <c r="AM54" s="112">
        <v>0</v>
      </c>
      <c r="AN54" s="112">
        <v>0.8</v>
      </c>
      <c r="AO54" s="112">
        <v>0</v>
      </c>
      <c r="AP54" s="112">
        <v>0</v>
      </c>
      <c r="AQ54" s="112">
        <v>0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</v>
      </c>
      <c r="BB54" s="112">
        <v>0</v>
      </c>
      <c r="BC54" s="112">
        <v>0</v>
      </c>
    </row>
    <row r="55" spans="1:55" x14ac:dyDescent="0.15">
      <c r="A55" s="187" t="s">
        <v>245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  <c r="BC55" s="112">
        <v>0</v>
      </c>
    </row>
    <row r="56" spans="1:55" x14ac:dyDescent="0.15">
      <c r="A56" s="187" t="s">
        <v>255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0</v>
      </c>
      <c r="BC56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C56"/>
  <sheetViews>
    <sheetView workbookViewId="0">
      <selection activeCell="A3" sqref="A3"/>
    </sheetView>
  </sheetViews>
  <sheetFormatPr baseColWidth="10" defaultRowHeight="13" x14ac:dyDescent="0.15"/>
  <cols>
    <col min="1" max="1" width="28.5" style="112" bestFit="1" customWidth="1"/>
    <col min="2" max="55" width="2.33203125" style="112" customWidth="1"/>
    <col min="56" max="16384" width="10.83203125" style="112"/>
  </cols>
  <sheetData>
    <row r="1" spans="1:55" x14ac:dyDescent="0.15">
      <c r="A1" s="63" t="s">
        <v>139</v>
      </c>
      <c r="B1" s="190" t="s">
        <v>192</v>
      </c>
      <c r="C1" s="190" t="s">
        <v>193</v>
      </c>
      <c r="D1" s="190" t="s">
        <v>194</v>
      </c>
      <c r="E1" s="190" t="s">
        <v>195</v>
      </c>
      <c r="F1" s="190" t="s">
        <v>196</v>
      </c>
      <c r="G1" s="190" t="s">
        <v>197</v>
      </c>
      <c r="H1" s="190" t="s">
        <v>198</v>
      </c>
      <c r="I1" s="190" t="s">
        <v>199</v>
      </c>
      <c r="J1" s="190" t="s">
        <v>200</v>
      </c>
      <c r="K1" s="190" t="s">
        <v>201</v>
      </c>
      <c r="L1" s="190" t="s">
        <v>202</v>
      </c>
      <c r="M1" s="190" t="s">
        <v>203</v>
      </c>
      <c r="N1" s="190" t="s">
        <v>204</v>
      </c>
      <c r="O1" s="190" t="s">
        <v>205</v>
      </c>
      <c r="P1" s="190" t="s">
        <v>206</v>
      </c>
      <c r="Q1" s="190" t="s">
        <v>207</v>
      </c>
      <c r="R1" s="190" t="s">
        <v>208</v>
      </c>
      <c r="S1" s="190" t="s">
        <v>209</v>
      </c>
      <c r="T1" s="190" t="s">
        <v>210</v>
      </c>
      <c r="U1" s="190" t="s">
        <v>211</v>
      </c>
      <c r="V1" s="190" t="s">
        <v>212</v>
      </c>
      <c r="W1" s="190" t="s">
        <v>213</v>
      </c>
      <c r="X1" s="190" t="s">
        <v>214</v>
      </c>
      <c r="Y1" s="190" t="s">
        <v>215</v>
      </c>
      <c r="Z1" s="190" t="s">
        <v>216</v>
      </c>
      <c r="AA1" s="190" t="s">
        <v>217</v>
      </c>
      <c r="AB1" s="190" t="s">
        <v>218</v>
      </c>
      <c r="AC1" s="190" t="s">
        <v>219</v>
      </c>
      <c r="AD1" s="190" t="s">
        <v>220</v>
      </c>
      <c r="AE1" s="190" t="s">
        <v>221</v>
      </c>
      <c r="AF1" s="190" t="s">
        <v>222</v>
      </c>
      <c r="AG1" s="190" t="s">
        <v>223</v>
      </c>
      <c r="AH1" s="190" t="s">
        <v>224</v>
      </c>
      <c r="AI1" s="190" t="s">
        <v>225</v>
      </c>
      <c r="AJ1" s="190" t="s">
        <v>226</v>
      </c>
      <c r="AK1" s="190" t="s">
        <v>227</v>
      </c>
      <c r="AL1" s="190" t="s">
        <v>228</v>
      </c>
      <c r="AM1" s="190" t="s">
        <v>229</v>
      </c>
      <c r="AN1" s="190" t="s">
        <v>230</v>
      </c>
      <c r="AO1" s="190" t="s">
        <v>231</v>
      </c>
      <c r="AP1" s="190" t="s">
        <v>232</v>
      </c>
      <c r="AQ1" s="190" t="s">
        <v>233</v>
      </c>
      <c r="AR1" s="190" t="s">
        <v>234</v>
      </c>
      <c r="AS1" s="190" t="s">
        <v>235</v>
      </c>
      <c r="AT1" s="190" t="s">
        <v>236</v>
      </c>
      <c r="AU1" s="190" t="s">
        <v>237</v>
      </c>
      <c r="AV1" s="190" t="s">
        <v>238</v>
      </c>
      <c r="AW1" s="190" t="s">
        <v>239</v>
      </c>
      <c r="AX1" s="190" t="s">
        <v>240</v>
      </c>
      <c r="AY1" s="190" t="s">
        <v>241</v>
      </c>
      <c r="AZ1" s="190" t="s">
        <v>242</v>
      </c>
      <c r="BA1" s="190" t="s">
        <v>243</v>
      </c>
      <c r="BB1" s="190" t="s">
        <v>244</v>
      </c>
      <c r="BC1" s="190" t="s">
        <v>245</v>
      </c>
    </row>
    <row r="2" spans="1:55" customFormat="1" x14ac:dyDescent="0.15">
      <c r="A2" s="189" t="s">
        <v>192</v>
      </c>
      <c r="B2" s="112">
        <v>0</v>
      </c>
      <c r="C2" s="112">
        <v>0</v>
      </c>
      <c r="D2" s="112">
        <v>0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</v>
      </c>
      <c r="O2" s="112">
        <v>0</v>
      </c>
      <c r="P2" s="112">
        <v>0</v>
      </c>
      <c r="Q2" s="112">
        <v>0</v>
      </c>
      <c r="R2" s="112">
        <v>0</v>
      </c>
      <c r="S2" s="112">
        <v>0</v>
      </c>
      <c r="T2" s="112">
        <v>0</v>
      </c>
      <c r="U2" s="112">
        <v>0</v>
      </c>
      <c r="V2" s="112">
        <v>0</v>
      </c>
      <c r="W2" s="112">
        <v>0</v>
      </c>
      <c r="X2" s="112">
        <v>0</v>
      </c>
      <c r="Y2" s="112">
        <v>0</v>
      </c>
      <c r="Z2" s="112">
        <v>0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  <c r="AH2" s="112">
        <v>0</v>
      </c>
      <c r="AI2" s="112">
        <v>0</v>
      </c>
      <c r="AJ2" s="112">
        <v>0</v>
      </c>
      <c r="AK2" s="112">
        <v>0</v>
      </c>
      <c r="AL2" s="112">
        <v>0</v>
      </c>
      <c r="AM2" s="112">
        <v>0</v>
      </c>
      <c r="AN2" s="112">
        <v>0</v>
      </c>
      <c r="AO2" s="112">
        <v>0</v>
      </c>
      <c r="AP2" s="112">
        <v>0</v>
      </c>
      <c r="AQ2" s="112">
        <v>0</v>
      </c>
      <c r="AR2" s="112">
        <v>0</v>
      </c>
      <c r="AS2" s="112">
        <v>0</v>
      </c>
      <c r="AT2" s="112">
        <v>0</v>
      </c>
      <c r="AU2" s="112">
        <v>0</v>
      </c>
      <c r="AV2" s="112">
        <v>0</v>
      </c>
      <c r="AW2" s="112">
        <v>0</v>
      </c>
      <c r="AX2" s="112">
        <v>0</v>
      </c>
      <c r="AY2" s="112">
        <v>0</v>
      </c>
      <c r="AZ2" s="112">
        <v>0</v>
      </c>
      <c r="BA2" s="112">
        <v>0</v>
      </c>
      <c r="BB2" s="112">
        <v>0</v>
      </c>
      <c r="BC2" s="112">
        <v>0</v>
      </c>
    </row>
    <row r="3" spans="1:55" customFormat="1" x14ac:dyDescent="0.15">
      <c r="A3" s="189" t="s">
        <v>193</v>
      </c>
      <c r="B3" s="112">
        <v>0</v>
      </c>
      <c r="C3" s="112">
        <v>0</v>
      </c>
      <c r="D3" s="112">
        <v>0</v>
      </c>
      <c r="E3" s="112">
        <v>0</v>
      </c>
      <c r="F3" s="112">
        <v>0</v>
      </c>
      <c r="G3" s="112">
        <v>0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2">
        <v>0</v>
      </c>
      <c r="N3" s="112">
        <v>0</v>
      </c>
      <c r="O3" s="112">
        <v>0</v>
      </c>
      <c r="P3" s="112">
        <v>0</v>
      </c>
      <c r="Q3" s="112">
        <v>0</v>
      </c>
      <c r="R3" s="112">
        <v>0</v>
      </c>
      <c r="S3" s="112">
        <v>0</v>
      </c>
      <c r="T3" s="112">
        <v>0</v>
      </c>
      <c r="U3" s="112">
        <v>0</v>
      </c>
      <c r="V3" s="112">
        <v>0</v>
      </c>
      <c r="W3" s="112">
        <v>0</v>
      </c>
      <c r="X3" s="112">
        <v>0</v>
      </c>
      <c r="Y3" s="112">
        <v>0</v>
      </c>
      <c r="Z3" s="112">
        <v>0</v>
      </c>
      <c r="AA3" s="112">
        <v>0</v>
      </c>
      <c r="AB3" s="112">
        <v>0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  <c r="AH3" s="112">
        <v>0</v>
      </c>
      <c r="AI3" s="112">
        <v>0</v>
      </c>
      <c r="AJ3" s="112">
        <v>0</v>
      </c>
      <c r="AK3" s="112">
        <v>0</v>
      </c>
      <c r="AL3" s="112">
        <v>0</v>
      </c>
      <c r="AM3" s="112">
        <v>0</v>
      </c>
      <c r="AN3" s="112">
        <v>0</v>
      </c>
      <c r="AO3" s="112">
        <v>0</v>
      </c>
      <c r="AP3" s="112">
        <v>0</v>
      </c>
      <c r="AQ3" s="112">
        <v>0</v>
      </c>
      <c r="AR3" s="112">
        <v>0</v>
      </c>
      <c r="AS3" s="112">
        <v>0</v>
      </c>
      <c r="AT3" s="112">
        <v>0</v>
      </c>
      <c r="AU3" s="112">
        <v>0</v>
      </c>
      <c r="AV3" s="112">
        <v>0</v>
      </c>
      <c r="AW3" s="112">
        <v>0</v>
      </c>
      <c r="AX3" s="112">
        <v>0</v>
      </c>
      <c r="AY3" s="112">
        <v>0</v>
      </c>
      <c r="AZ3" s="112">
        <v>0</v>
      </c>
      <c r="BA3" s="112">
        <v>0</v>
      </c>
      <c r="BB3" s="112">
        <v>0</v>
      </c>
      <c r="BC3" s="112">
        <v>0</v>
      </c>
    </row>
    <row r="4" spans="1:55" customFormat="1" x14ac:dyDescent="0.15">
      <c r="A4" s="189" t="s">
        <v>194</v>
      </c>
      <c r="B4" s="112">
        <v>0</v>
      </c>
      <c r="C4" s="112">
        <v>0</v>
      </c>
      <c r="D4" s="112">
        <v>0</v>
      </c>
      <c r="E4" s="112">
        <v>0</v>
      </c>
      <c r="F4" s="112">
        <v>0</v>
      </c>
      <c r="G4" s="112">
        <v>0</v>
      </c>
      <c r="H4" s="112">
        <v>0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12">
        <v>0</v>
      </c>
      <c r="O4" s="112">
        <v>0</v>
      </c>
      <c r="P4" s="112">
        <v>0</v>
      </c>
      <c r="Q4" s="112">
        <v>0</v>
      </c>
      <c r="R4" s="112">
        <v>0</v>
      </c>
      <c r="S4" s="112">
        <v>0</v>
      </c>
      <c r="T4" s="112">
        <v>0</v>
      </c>
      <c r="U4" s="112">
        <v>0</v>
      </c>
      <c r="V4" s="112">
        <v>0</v>
      </c>
      <c r="W4" s="112">
        <v>0</v>
      </c>
      <c r="X4" s="112">
        <v>0</v>
      </c>
      <c r="Y4" s="112">
        <v>0</v>
      </c>
      <c r="Z4" s="112">
        <v>0</v>
      </c>
      <c r="AA4" s="112">
        <v>0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  <c r="AH4" s="112">
        <v>0</v>
      </c>
      <c r="AI4" s="112">
        <v>0</v>
      </c>
      <c r="AJ4" s="112">
        <v>0</v>
      </c>
      <c r="AK4" s="112">
        <v>0</v>
      </c>
      <c r="AL4" s="112">
        <v>0</v>
      </c>
      <c r="AM4" s="112">
        <v>0</v>
      </c>
      <c r="AN4" s="112">
        <v>0</v>
      </c>
      <c r="AO4" s="112">
        <v>0</v>
      </c>
      <c r="AP4" s="112">
        <v>0</v>
      </c>
      <c r="AQ4" s="112">
        <v>0</v>
      </c>
      <c r="AR4" s="112">
        <v>0</v>
      </c>
      <c r="AS4" s="112">
        <v>0</v>
      </c>
      <c r="AT4" s="112">
        <v>0</v>
      </c>
      <c r="AU4" s="112">
        <v>0</v>
      </c>
      <c r="AV4" s="112">
        <v>0</v>
      </c>
      <c r="AW4" s="112">
        <v>0</v>
      </c>
      <c r="AX4" s="112">
        <v>0</v>
      </c>
      <c r="AY4" s="112">
        <v>0</v>
      </c>
      <c r="AZ4" s="112">
        <v>0</v>
      </c>
      <c r="BA4" s="112">
        <v>0</v>
      </c>
      <c r="BB4" s="112">
        <v>0</v>
      </c>
      <c r="BC4" s="112">
        <v>0</v>
      </c>
    </row>
    <row r="5" spans="1:55" customFormat="1" x14ac:dyDescent="0.15">
      <c r="A5" s="189" t="s">
        <v>195</v>
      </c>
      <c r="B5" s="112">
        <v>0</v>
      </c>
      <c r="C5" s="112">
        <v>0</v>
      </c>
      <c r="D5" s="112">
        <v>0</v>
      </c>
      <c r="E5" s="112">
        <v>1</v>
      </c>
      <c r="F5" s="112">
        <v>0</v>
      </c>
      <c r="G5" s="112">
        <v>0</v>
      </c>
      <c r="H5" s="112">
        <v>0</v>
      </c>
      <c r="I5" s="112">
        <v>0</v>
      </c>
      <c r="J5" s="112">
        <v>0</v>
      </c>
      <c r="K5" s="112">
        <v>0</v>
      </c>
      <c r="L5" s="112">
        <v>0</v>
      </c>
      <c r="M5" s="112">
        <v>0</v>
      </c>
      <c r="N5" s="112">
        <v>0</v>
      </c>
      <c r="O5" s="112">
        <v>0</v>
      </c>
      <c r="P5" s="112">
        <v>0</v>
      </c>
      <c r="Q5" s="112">
        <v>0</v>
      </c>
      <c r="R5" s="112">
        <v>0</v>
      </c>
      <c r="S5" s="112">
        <v>0</v>
      </c>
      <c r="T5" s="112">
        <v>0</v>
      </c>
      <c r="U5" s="112">
        <v>0</v>
      </c>
      <c r="V5" s="112">
        <v>0</v>
      </c>
      <c r="W5" s="112">
        <v>0</v>
      </c>
      <c r="X5" s="112">
        <v>0</v>
      </c>
      <c r="Y5" s="112">
        <v>0</v>
      </c>
      <c r="Z5" s="112">
        <v>0</v>
      </c>
      <c r="AA5" s="112">
        <v>0</v>
      </c>
      <c r="AB5" s="112">
        <v>0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  <c r="AH5" s="112">
        <v>0</v>
      </c>
      <c r="AI5" s="112">
        <v>0</v>
      </c>
      <c r="AJ5" s="112">
        <v>0</v>
      </c>
      <c r="AK5" s="112">
        <v>0</v>
      </c>
      <c r="AL5" s="112">
        <v>0</v>
      </c>
      <c r="AM5" s="112">
        <v>0</v>
      </c>
      <c r="AN5" s="112">
        <v>0</v>
      </c>
      <c r="AO5" s="112">
        <v>0</v>
      </c>
      <c r="AP5" s="112">
        <v>0</v>
      </c>
      <c r="AQ5" s="112">
        <v>0</v>
      </c>
      <c r="AR5" s="112">
        <v>0</v>
      </c>
      <c r="AS5" s="112">
        <v>0</v>
      </c>
      <c r="AT5" s="112">
        <v>0</v>
      </c>
      <c r="AU5" s="112">
        <v>0</v>
      </c>
      <c r="AV5" s="112">
        <v>0</v>
      </c>
      <c r="AW5" s="112">
        <v>0</v>
      </c>
      <c r="AX5" s="112">
        <v>0</v>
      </c>
      <c r="AY5" s="112">
        <v>0</v>
      </c>
      <c r="AZ5" s="112">
        <v>0</v>
      </c>
      <c r="BA5" s="112">
        <v>0</v>
      </c>
      <c r="BB5" s="112">
        <v>0</v>
      </c>
      <c r="BC5" s="112">
        <v>0</v>
      </c>
    </row>
    <row r="6" spans="1:55" customFormat="1" x14ac:dyDescent="0.15">
      <c r="A6" s="189" t="s">
        <v>196</v>
      </c>
      <c r="B6" s="112">
        <v>0</v>
      </c>
      <c r="C6" s="112">
        <v>0</v>
      </c>
      <c r="D6" s="112">
        <v>0</v>
      </c>
      <c r="E6" s="112">
        <v>0</v>
      </c>
      <c r="F6" s="112">
        <v>0</v>
      </c>
      <c r="G6" s="112">
        <v>0</v>
      </c>
      <c r="H6" s="112">
        <v>0</v>
      </c>
      <c r="I6" s="112">
        <v>0</v>
      </c>
      <c r="J6" s="112">
        <v>0</v>
      </c>
      <c r="K6" s="112">
        <v>0</v>
      </c>
      <c r="L6" s="112">
        <v>0</v>
      </c>
      <c r="M6" s="112">
        <v>0</v>
      </c>
      <c r="N6" s="112">
        <v>0</v>
      </c>
      <c r="O6" s="112">
        <v>0</v>
      </c>
      <c r="P6" s="112">
        <v>0</v>
      </c>
      <c r="Q6" s="112">
        <v>0</v>
      </c>
      <c r="R6" s="112">
        <v>0</v>
      </c>
      <c r="S6" s="112">
        <v>0</v>
      </c>
      <c r="T6" s="112">
        <v>0</v>
      </c>
      <c r="U6" s="112">
        <v>0</v>
      </c>
      <c r="V6" s="112">
        <v>0</v>
      </c>
      <c r="W6" s="112">
        <v>0</v>
      </c>
      <c r="X6" s="112">
        <v>0</v>
      </c>
      <c r="Y6" s="112">
        <v>0</v>
      </c>
      <c r="Z6" s="112">
        <v>0</v>
      </c>
      <c r="AA6" s="112">
        <v>0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  <c r="AH6" s="112">
        <v>0</v>
      </c>
      <c r="AI6" s="112">
        <v>0</v>
      </c>
      <c r="AJ6" s="112">
        <v>0</v>
      </c>
      <c r="AK6" s="112">
        <v>0</v>
      </c>
      <c r="AL6" s="112">
        <v>0</v>
      </c>
      <c r="AM6" s="112">
        <v>0</v>
      </c>
      <c r="AN6" s="112">
        <v>0</v>
      </c>
      <c r="AO6" s="112">
        <v>0</v>
      </c>
      <c r="AP6" s="112">
        <v>0</v>
      </c>
      <c r="AQ6" s="112">
        <v>0</v>
      </c>
      <c r="AR6" s="112">
        <v>0</v>
      </c>
      <c r="AS6" s="112">
        <v>0</v>
      </c>
      <c r="AT6" s="112">
        <v>0</v>
      </c>
      <c r="AU6" s="112">
        <v>0</v>
      </c>
      <c r="AV6" s="112">
        <v>0</v>
      </c>
      <c r="AW6" s="112">
        <v>0</v>
      </c>
      <c r="AX6" s="112">
        <v>0</v>
      </c>
      <c r="AY6" s="112">
        <v>0</v>
      </c>
      <c r="AZ6" s="112">
        <v>0</v>
      </c>
      <c r="BA6" s="112">
        <v>0</v>
      </c>
      <c r="BB6" s="112">
        <v>0</v>
      </c>
      <c r="BC6" s="112">
        <v>0</v>
      </c>
    </row>
    <row r="7" spans="1:55" customFormat="1" x14ac:dyDescent="0.15">
      <c r="A7" s="189" t="s">
        <v>197</v>
      </c>
      <c r="B7" s="112">
        <v>1</v>
      </c>
      <c r="C7" s="112">
        <v>1</v>
      </c>
      <c r="D7" s="112">
        <v>0</v>
      </c>
      <c r="E7" s="112">
        <v>0</v>
      </c>
      <c r="F7" s="112">
        <v>0</v>
      </c>
      <c r="G7" s="112">
        <v>0</v>
      </c>
      <c r="H7" s="112">
        <v>1</v>
      </c>
      <c r="I7" s="112">
        <v>0</v>
      </c>
      <c r="J7" s="112">
        <v>0</v>
      </c>
      <c r="K7" s="112">
        <v>0</v>
      </c>
      <c r="L7" s="112">
        <v>0</v>
      </c>
      <c r="M7" s="112">
        <v>0</v>
      </c>
      <c r="N7" s="112">
        <v>0</v>
      </c>
      <c r="O7" s="112">
        <v>0</v>
      </c>
      <c r="P7" s="112">
        <v>0</v>
      </c>
      <c r="Q7" s="112">
        <v>0</v>
      </c>
      <c r="R7" s="112">
        <v>0</v>
      </c>
      <c r="S7" s="112">
        <v>0</v>
      </c>
      <c r="T7" s="112">
        <v>0</v>
      </c>
      <c r="U7" s="112">
        <v>0</v>
      </c>
      <c r="V7" s="112">
        <v>0</v>
      </c>
      <c r="W7" s="112">
        <v>0</v>
      </c>
      <c r="X7" s="112">
        <v>0</v>
      </c>
      <c r="Y7" s="112">
        <v>0</v>
      </c>
      <c r="Z7" s="112">
        <v>0</v>
      </c>
      <c r="AA7" s="112">
        <v>0</v>
      </c>
      <c r="AB7" s="112">
        <v>0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  <c r="AH7" s="112">
        <v>0</v>
      </c>
      <c r="AI7" s="112">
        <v>0</v>
      </c>
      <c r="AJ7" s="112">
        <v>0</v>
      </c>
      <c r="AK7" s="112">
        <v>0</v>
      </c>
      <c r="AL7" s="112">
        <v>0</v>
      </c>
      <c r="AM7" s="112">
        <v>0</v>
      </c>
      <c r="AN7" s="112">
        <v>0</v>
      </c>
      <c r="AO7" s="112">
        <v>0</v>
      </c>
      <c r="AP7" s="112">
        <v>0</v>
      </c>
      <c r="AQ7" s="112">
        <v>0</v>
      </c>
      <c r="AR7" s="112">
        <v>0</v>
      </c>
      <c r="AS7" s="112">
        <v>0</v>
      </c>
      <c r="AT7" s="112">
        <v>0</v>
      </c>
      <c r="AU7" s="112">
        <v>0</v>
      </c>
      <c r="AV7" s="112">
        <v>0</v>
      </c>
      <c r="AW7" s="112">
        <v>0</v>
      </c>
      <c r="AX7" s="112">
        <v>0</v>
      </c>
      <c r="AY7" s="112">
        <v>0</v>
      </c>
      <c r="AZ7" s="112">
        <v>0</v>
      </c>
      <c r="BA7" s="112">
        <v>0</v>
      </c>
      <c r="BB7" s="112">
        <v>0</v>
      </c>
      <c r="BC7" s="112">
        <v>0</v>
      </c>
    </row>
    <row r="8" spans="1:55" customFormat="1" x14ac:dyDescent="0.15">
      <c r="A8" s="189" t="s">
        <v>198</v>
      </c>
      <c r="B8" s="112">
        <v>1</v>
      </c>
      <c r="C8" s="112">
        <v>1</v>
      </c>
      <c r="D8" s="112">
        <v>0</v>
      </c>
      <c r="E8" s="112">
        <v>1</v>
      </c>
      <c r="F8" s="112">
        <v>0</v>
      </c>
      <c r="G8" s="112">
        <v>0</v>
      </c>
      <c r="H8" s="112">
        <v>0</v>
      </c>
      <c r="I8" s="112">
        <v>0</v>
      </c>
      <c r="J8" s="112">
        <v>0</v>
      </c>
      <c r="K8" s="112">
        <v>0</v>
      </c>
      <c r="L8" s="112">
        <v>0</v>
      </c>
      <c r="M8" s="112">
        <v>0</v>
      </c>
      <c r="N8" s="112">
        <v>0</v>
      </c>
      <c r="O8" s="112">
        <v>0</v>
      </c>
      <c r="P8" s="112">
        <v>0</v>
      </c>
      <c r="Q8" s="112">
        <v>0</v>
      </c>
      <c r="R8" s="112">
        <v>0</v>
      </c>
      <c r="S8" s="112">
        <v>1</v>
      </c>
      <c r="T8" s="112">
        <v>1</v>
      </c>
      <c r="U8" s="112">
        <v>0</v>
      </c>
      <c r="V8" s="112">
        <v>0</v>
      </c>
      <c r="W8" s="112">
        <v>0</v>
      </c>
      <c r="X8" s="112">
        <v>0</v>
      </c>
      <c r="Y8" s="112">
        <v>1</v>
      </c>
      <c r="Z8" s="112">
        <v>0</v>
      </c>
      <c r="AA8" s="112">
        <v>1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  <c r="AH8" s="112">
        <v>0</v>
      </c>
      <c r="AI8" s="112">
        <v>0</v>
      </c>
      <c r="AJ8" s="112">
        <v>0</v>
      </c>
      <c r="AK8" s="112">
        <v>0</v>
      </c>
      <c r="AL8" s="112">
        <v>0</v>
      </c>
      <c r="AM8" s="112">
        <v>0</v>
      </c>
      <c r="AN8" s="112">
        <v>0</v>
      </c>
      <c r="AO8" s="112">
        <v>0</v>
      </c>
      <c r="AP8" s="112">
        <v>0</v>
      </c>
      <c r="AQ8" s="112">
        <v>0</v>
      </c>
      <c r="AR8" s="112">
        <v>0</v>
      </c>
      <c r="AS8" s="112">
        <v>0</v>
      </c>
      <c r="AT8" s="112">
        <v>0</v>
      </c>
      <c r="AU8" s="112">
        <v>0</v>
      </c>
      <c r="AV8" s="112">
        <v>0</v>
      </c>
      <c r="AW8" s="112">
        <v>0</v>
      </c>
      <c r="AX8" s="112">
        <v>0</v>
      </c>
      <c r="AY8" s="112">
        <v>0</v>
      </c>
      <c r="AZ8" s="112">
        <v>0</v>
      </c>
      <c r="BA8" s="112">
        <v>0</v>
      </c>
      <c r="BB8" s="112">
        <v>0</v>
      </c>
      <c r="BC8" s="112">
        <v>0</v>
      </c>
    </row>
    <row r="9" spans="1:55" customFormat="1" x14ac:dyDescent="0.15">
      <c r="A9" s="189" t="s">
        <v>199</v>
      </c>
      <c r="B9" s="112">
        <v>1</v>
      </c>
      <c r="C9" s="112">
        <v>1</v>
      </c>
      <c r="D9" s="112">
        <v>0</v>
      </c>
      <c r="E9" s="112">
        <v>1</v>
      </c>
      <c r="F9" s="112">
        <v>0</v>
      </c>
      <c r="G9" s="112">
        <v>0</v>
      </c>
      <c r="H9" s="112">
        <v>0</v>
      </c>
      <c r="I9" s="112">
        <v>1</v>
      </c>
      <c r="J9" s="112">
        <v>0</v>
      </c>
      <c r="K9" s="112">
        <v>0</v>
      </c>
      <c r="L9" s="112">
        <v>0</v>
      </c>
      <c r="M9" s="112">
        <v>0</v>
      </c>
      <c r="N9" s="112">
        <v>1</v>
      </c>
      <c r="O9" s="112">
        <v>0</v>
      </c>
      <c r="P9" s="112">
        <v>0</v>
      </c>
      <c r="Q9" s="112">
        <v>0</v>
      </c>
      <c r="R9" s="112">
        <v>0</v>
      </c>
      <c r="S9" s="112">
        <v>0</v>
      </c>
      <c r="T9" s="112">
        <v>1</v>
      </c>
      <c r="U9" s="112">
        <v>0</v>
      </c>
      <c r="V9" s="112">
        <v>0</v>
      </c>
      <c r="W9" s="112">
        <v>0</v>
      </c>
      <c r="X9" s="112">
        <v>0</v>
      </c>
      <c r="Y9" s="112">
        <v>0</v>
      </c>
      <c r="Z9" s="112">
        <v>0</v>
      </c>
      <c r="AA9" s="112">
        <v>0</v>
      </c>
      <c r="AB9" s="112">
        <v>0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  <c r="AH9" s="112">
        <v>0</v>
      </c>
      <c r="AI9" s="112">
        <v>0</v>
      </c>
      <c r="AJ9" s="112">
        <v>0</v>
      </c>
      <c r="AK9" s="112">
        <v>0</v>
      </c>
      <c r="AL9" s="112">
        <v>0</v>
      </c>
      <c r="AM9" s="112">
        <v>0</v>
      </c>
      <c r="AN9" s="112">
        <v>0</v>
      </c>
      <c r="AO9" s="112">
        <v>1</v>
      </c>
      <c r="AP9" s="112">
        <v>0</v>
      </c>
      <c r="AQ9" s="112">
        <v>0</v>
      </c>
      <c r="AR9" s="112">
        <v>0</v>
      </c>
      <c r="AS9" s="112">
        <v>0</v>
      </c>
      <c r="AT9" s="112">
        <v>0</v>
      </c>
      <c r="AU9" s="112">
        <v>0</v>
      </c>
      <c r="AV9" s="112">
        <v>0</v>
      </c>
      <c r="AW9" s="112">
        <v>0</v>
      </c>
      <c r="AX9" s="112">
        <v>0</v>
      </c>
      <c r="AY9" s="112">
        <v>0</v>
      </c>
      <c r="AZ9" s="112">
        <v>0</v>
      </c>
      <c r="BA9" s="112">
        <v>0</v>
      </c>
      <c r="BB9" s="112">
        <v>0</v>
      </c>
      <c r="BC9" s="112">
        <v>0</v>
      </c>
    </row>
    <row r="10" spans="1:55" customFormat="1" x14ac:dyDescent="0.15">
      <c r="A10" s="189" t="s">
        <v>200</v>
      </c>
      <c r="B10" s="112">
        <v>1</v>
      </c>
      <c r="C10" s="112">
        <v>1</v>
      </c>
      <c r="D10" s="112">
        <v>0</v>
      </c>
      <c r="E10" s="112">
        <v>1</v>
      </c>
      <c r="F10" s="112">
        <v>0</v>
      </c>
      <c r="G10" s="112">
        <v>0</v>
      </c>
      <c r="H10" s="112">
        <v>1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1</v>
      </c>
      <c r="T10" s="112">
        <v>1</v>
      </c>
      <c r="U10" s="112">
        <v>0</v>
      </c>
      <c r="V10" s="112">
        <v>0</v>
      </c>
      <c r="W10" s="112">
        <v>0</v>
      </c>
      <c r="X10" s="112">
        <v>0</v>
      </c>
      <c r="Y10" s="112">
        <v>1</v>
      </c>
      <c r="Z10" s="112">
        <v>0</v>
      </c>
      <c r="AA10" s="112">
        <v>1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</row>
    <row r="11" spans="1:55" customFormat="1" x14ac:dyDescent="0.15">
      <c r="A11" s="189" t="s">
        <v>201</v>
      </c>
      <c r="B11" s="112">
        <v>1</v>
      </c>
      <c r="C11" s="112">
        <v>1</v>
      </c>
      <c r="D11" s="112">
        <v>0</v>
      </c>
      <c r="E11" s="112">
        <v>1</v>
      </c>
      <c r="F11" s="112">
        <v>0</v>
      </c>
      <c r="G11" s="112">
        <v>0</v>
      </c>
      <c r="H11" s="112">
        <v>1</v>
      </c>
      <c r="I11" s="112">
        <v>0</v>
      </c>
      <c r="J11" s="112">
        <v>0</v>
      </c>
      <c r="K11" s="112">
        <v>1</v>
      </c>
      <c r="L11" s="112">
        <v>0</v>
      </c>
      <c r="M11" s="112">
        <v>0</v>
      </c>
      <c r="N11" s="112">
        <v>1</v>
      </c>
      <c r="O11" s="112">
        <v>0</v>
      </c>
      <c r="P11" s="112">
        <v>0</v>
      </c>
      <c r="Q11" s="112">
        <v>0</v>
      </c>
      <c r="R11" s="112">
        <v>0</v>
      </c>
      <c r="S11" s="112">
        <v>0</v>
      </c>
      <c r="T11" s="112">
        <v>1</v>
      </c>
      <c r="U11" s="112">
        <v>0</v>
      </c>
      <c r="V11" s="112">
        <v>0</v>
      </c>
      <c r="W11" s="112">
        <v>0</v>
      </c>
      <c r="X11" s="112">
        <v>0</v>
      </c>
      <c r="Y11" s="112">
        <v>0</v>
      </c>
      <c r="Z11" s="112">
        <v>0</v>
      </c>
      <c r="AA11" s="112">
        <v>0</v>
      </c>
      <c r="AB11" s="112">
        <v>0</v>
      </c>
      <c r="AC11" s="112">
        <v>0</v>
      </c>
      <c r="AD11" s="112">
        <v>0</v>
      </c>
      <c r="AE11" s="112">
        <v>0</v>
      </c>
      <c r="AF11" s="112">
        <v>0</v>
      </c>
      <c r="AG11" s="112">
        <v>0</v>
      </c>
      <c r="AH11" s="112">
        <v>0</v>
      </c>
      <c r="AI11" s="112">
        <v>0</v>
      </c>
      <c r="AJ11" s="112">
        <v>0</v>
      </c>
      <c r="AK11" s="112">
        <v>0</v>
      </c>
      <c r="AL11" s="112">
        <v>0</v>
      </c>
      <c r="AM11" s="112">
        <v>0</v>
      </c>
      <c r="AN11" s="112">
        <v>0</v>
      </c>
      <c r="AO11" s="112">
        <v>1</v>
      </c>
      <c r="AP11" s="112">
        <v>0</v>
      </c>
      <c r="AQ11" s="112">
        <v>0</v>
      </c>
      <c r="AR11" s="112">
        <v>0</v>
      </c>
      <c r="AS11" s="112">
        <v>0</v>
      </c>
      <c r="AT11" s="112">
        <v>0</v>
      </c>
      <c r="AU11" s="112">
        <v>0</v>
      </c>
      <c r="AV11" s="112">
        <v>0</v>
      </c>
      <c r="AW11" s="112">
        <v>0</v>
      </c>
      <c r="AX11" s="112">
        <v>0</v>
      </c>
      <c r="AY11" s="112">
        <v>0</v>
      </c>
      <c r="AZ11" s="112">
        <v>0</v>
      </c>
      <c r="BA11" s="112">
        <v>0</v>
      </c>
      <c r="BB11" s="112">
        <v>0</v>
      </c>
      <c r="BC11" s="112">
        <v>0</v>
      </c>
    </row>
    <row r="12" spans="1:55" customFormat="1" x14ac:dyDescent="0.15">
      <c r="A12" s="189" t="s">
        <v>202</v>
      </c>
      <c r="B12" s="112">
        <v>1</v>
      </c>
      <c r="C12" s="112">
        <v>1</v>
      </c>
      <c r="D12" s="112">
        <v>0</v>
      </c>
      <c r="E12" s="112">
        <v>1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</v>
      </c>
      <c r="L12" s="112">
        <v>0</v>
      </c>
      <c r="M12" s="112">
        <v>0</v>
      </c>
      <c r="N12" s="112">
        <v>0</v>
      </c>
      <c r="O12" s="112">
        <v>0</v>
      </c>
      <c r="P12" s="112">
        <v>0</v>
      </c>
      <c r="Q12" s="112">
        <v>0</v>
      </c>
      <c r="R12" s="112">
        <v>0</v>
      </c>
      <c r="S12" s="112">
        <v>0</v>
      </c>
      <c r="T12" s="112">
        <v>0</v>
      </c>
      <c r="U12" s="112">
        <v>0</v>
      </c>
      <c r="V12" s="112">
        <v>0</v>
      </c>
      <c r="W12" s="112">
        <v>0</v>
      </c>
      <c r="X12" s="112">
        <v>0</v>
      </c>
      <c r="Y12" s="112">
        <v>1</v>
      </c>
      <c r="Z12" s="112">
        <v>0</v>
      </c>
      <c r="AA12" s="112">
        <v>0</v>
      </c>
      <c r="AB12" s="112">
        <v>0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  <c r="AH12" s="112">
        <v>0</v>
      </c>
      <c r="AI12" s="112">
        <v>0</v>
      </c>
      <c r="AJ12" s="112">
        <v>0</v>
      </c>
      <c r="AK12" s="112">
        <v>0</v>
      </c>
      <c r="AL12" s="112">
        <v>0</v>
      </c>
      <c r="AM12" s="112">
        <v>0</v>
      </c>
      <c r="AN12" s="112">
        <v>0</v>
      </c>
      <c r="AO12" s="112">
        <v>0</v>
      </c>
      <c r="AP12" s="112">
        <v>0</v>
      </c>
      <c r="AQ12" s="112">
        <v>0</v>
      </c>
      <c r="AR12" s="112">
        <v>0</v>
      </c>
      <c r="AS12" s="112">
        <v>0</v>
      </c>
      <c r="AT12" s="112">
        <v>0</v>
      </c>
      <c r="AU12" s="112">
        <v>0</v>
      </c>
      <c r="AV12" s="112">
        <v>0</v>
      </c>
      <c r="AW12" s="112">
        <v>0</v>
      </c>
      <c r="AX12" s="112">
        <v>0</v>
      </c>
      <c r="AY12" s="112">
        <v>0</v>
      </c>
      <c r="AZ12" s="112">
        <v>0</v>
      </c>
      <c r="BA12" s="112">
        <v>0</v>
      </c>
      <c r="BB12" s="112">
        <v>0</v>
      </c>
      <c r="BC12" s="112">
        <v>0</v>
      </c>
    </row>
    <row r="13" spans="1:55" customFormat="1" x14ac:dyDescent="0.15">
      <c r="A13" s="189" t="s">
        <v>203</v>
      </c>
      <c r="B13" s="112">
        <v>1</v>
      </c>
      <c r="C13" s="112">
        <v>1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1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  <c r="AH13" s="112">
        <v>0</v>
      </c>
      <c r="AI13" s="112">
        <v>0</v>
      </c>
      <c r="AJ13" s="112">
        <v>0</v>
      </c>
      <c r="AK13" s="112">
        <v>0</v>
      </c>
      <c r="AL13" s="112">
        <v>0</v>
      </c>
      <c r="AM13" s="112">
        <v>0</v>
      </c>
      <c r="AN13" s="112">
        <v>0</v>
      </c>
      <c r="AO13" s="112">
        <v>1</v>
      </c>
      <c r="AP13" s="112">
        <v>0</v>
      </c>
      <c r="AQ13" s="112">
        <v>0</v>
      </c>
      <c r="AR13" s="112">
        <v>0</v>
      </c>
      <c r="AS13" s="112">
        <v>0</v>
      </c>
      <c r="AT13" s="112">
        <v>0</v>
      </c>
      <c r="AU13" s="112">
        <v>0</v>
      </c>
      <c r="AV13" s="112">
        <v>0</v>
      </c>
      <c r="AW13" s="112">
        <v>0</v>
      </c>
      <c r="AX13" s="112">
        <v>0</v>
      </c>
      <c r="AY13" s="112">
        <v>0</v>
      </c>
      <c r="AZ13" s="112">
        <v>0</v>
      </c>
      <c r="BA13" s="112">
        <v>0</v>
      </c>
      <c r="BB13" s="112">
        <v>0</v>
      </c>
      <c r="BC13" s="112">
        <v>0</v>
      </c>
    </row>
    <row r="14" spans="1:55" customFormat="1" x14ac:dyDescent="0.15">
      <c r="A14" s="189" t="s">
        <v>204</v>
      </c>
      <c r="B14" s="112">
        <v>1</v>
      </c>
      <c r="C14" s="112">
        <v>1</v>
      </c>
      <c r="D14" s="112">
        <v>0</v>
      </c>
      <c r="E14" s="112">
        <v>1</v>
      </c>
      <c r="F14" s="112">
        <v>0</v>
      </c>
      <c r="G14" s="112">
        <v>0</v>
      </c>
      <c r="H14" s="112">
        <v>1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N14" s="112">
        <v>1</v>
      </c>
      <c r="O14" s="112">
        <v>0</v>
      </c>
      <c r="P14" s="112">
        <v>0</v>
      </c>
      <c r="Q14" s="112">
        <v>0</v>
      </c>
      <c r="R14" s="112">
        <v>0</v>
      </c>
      <c r="S14" s="112">
        <v>1</v>
      </c>
      <c r="T14" s="112">
        <v>0</v>
      </c>
      <c r="U14" s="112">
        <v>0</v>
      </c>
      <c r="V14" s="112">
        <v>0</v>
      </c>
      <c r="W14" s="112">
        <v>1</v>
      </c>
      <c r="X14" s="112">
        <v>0</v>
      </c>
      <c r="Y14" s="112">
        <v>1</v>
      </c>
      <c r="Z14" s="112">
        <v>0</v>
      </c>
      <c r="AA14" s="112">
        <v>1</v>
      </c>
      <c r="AB14" s="112">
        <v>0</v>
      </c>
      <c r="AC14" s="112">
        <v>0</v>
      </c>
      <c r="AD14" s="112">
        <v>0</v>
      </c>
      <c r="AE14" s="112">
        <v>0</v>
      </c>
      <c r="AF14" s="112">
        <v>0</v>
      </c>
      <c r="AG14" s="112">
        <v>1</v>
      </c>
      <c r="AH14" s="112">
        <v>0</v>
      </c>
      <c r="AI14" s="112">
        <v>0</v>
      </c>
      <c r="AJ14" s="112">
        <v>0</v>
      </c>
      <c r="AK14" s="112">
        <v>0</v>
      </c>
      <c r="AL14" s="112">
        <v>0</v>
      </c>
      <c r="AM14" s="112">
        <v>0</v>
      </c>
      <c r="AN14" s="112">
        <v>0</v>
      </c>
      <c r="AO14" s="112">
        <v>1</v>
      </c>
      <c r="AP14" s="112">
        <v>0</v>
      </c>
      <c r="AQ14" s="112">
        <v>0</v>
      </c>
      <c r="AR14" s="112">
        <v>0</v>
      </c>
      <c r="AS14" s="112">
        <v>0</v>
      </c>
      <c r="AT14" s="112">
        <v>0</v>
      </c>
      <c r="AU14" s="112">
        <v>0</v>
      </c>
      <c r="AV14" s="112">
        <v>0</v>
      </c>
      <c r="AW14" s="112">
        <v>0</v>
      </c>
      <c r="AX14" s="112">
        <v>0</v>
      </c>
      <c r="AY14" s="112">
        <v>0</v>
      </c>
      <c r="AZ14" s="112">
        <v>0</v>
      </c>
      <c r="BA14" s="112">
        <v>0</v>
      </c>
      <c r="BB14" s="112">
        <v>0</v>
      </c>
      <c r="BC14" s="112">
        <v>0</v>
      </c>
    </row>
    <row r="15" spans="1:55" customFormat="1" x14ac:dyDescent="0.15">
      <c r="A15" s="189" t="s">
        <v>205</v>
      </c>
      <c r="B15" s="112">
        <v>1</v>
      </c>
      <c r="C15" s="112">
        <v>1</v>
      </c>
      <c r="D15" s="112">
        <v>0</v>
      </c>
      <c r="E15" s="112">
        <v>1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</v>
      </c>
      <c r="L15" s="112">
        <v>0</v>
      </c>
      <c r="M15" s="112">
        <v>0</v>
      </c>
      <c r="N15" s="112">
        <v>1</v>
      </c>
      <c r="O15" s="112">
        <v>0</v>
      </c>
      <c r="P15" s="112">
        <v>0</v>
      </c>
      <c r="Q15" s="112">
        <v>0</v>
      </c>
      <c r="R15" s="112">
        <v>0</v>
      </c>
      <c r="S15" s="112">
        <v>0</v>
      </c>
      <c r="T15" s="112">
        <v>0</v>
      </c>
      <c r="U15" s="112">
        <v>0</v>
      </c>
      <c r="V15" s="112">
        <v>0</v>
      </c>
      <c r="W15" s="112">
        <v>0</v>
      </c>
      <c r="X15" s="112">
        <v>0</v>
      </c>
      <c r="Y15" s="112">
        <v>1</v>
      </c>
      <c r="Z15" s="112">
        <v>0</v>
      </c>
      <c r="AA15" s="112">
        <v>1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  <c r="AH15" s="112">
        <v>0</v>
      </c>
      <c r="AI15" s="112">
        <v>0</v>
      </c>
      <c r="AJ15" s="112">
        <v>0</v>
      </c>
      <c r="AK15" s="112">
        <v>0</v>
      </c>
      <c r="AL15" s="112">
        <v>0</v>
      </c>
      <c r="AM15" s="112">
        <v>0</v>
      </c>
      <c r="AN15" s="112">
        <v>0</v>
      </c>
      <c r="AO15" s="112">
        <v>0</v>
      </c>
      <c r="AP15" s="112">
        <v>0</v>
      </c>
      <c r="AQ15" s="112">
        <v>0</v>
      </c>
      <c r="AR15" s="112">
        <v>0</v>
      </c>
      <c r="AS15" s="112">
        <v>0</v>
      </c>
      <c r="AT15" s="112">
        <v>0</v>
      </c>
      <c r="AU15" s="112">
        <v>0</v>
      </c>
      <c r="AV15" s="112">
        <v>0</v>
      </c>
      <c r="AW15" s="112">
        <v>0</v>
      </c>
      <c r="AX15" s="112">
        <v>0</v>
      </c>
      <c r="AY15" s="112">
        <v>0</v>
      </c>
      <c r="AZ15" s="112">
        <v>0</v>
      </c>
      <c r="BA15" s="112">
        <v>0</v>
      </c>
      <c r="BB15" s="112">
        <v>0</v>
      </c>
      <c r="BC15" s="112">
        <v>0</v>
      </c>
    </row>
    <row r="16" spans="1:55" customFormat="1" x14ac:dyDescent="0.15">
      <c r="A16" s="189" t="s">
        <v>206</v>
      </c>
      <c r="B16" s="112">
        <v>1</v>
      </c>
      <c r="C16" s="112">
        <v>1</v>
      </c>
      <c r="D16" s="112">
        <v>0</v>
      </c>
      <c r="E16" s="112">
        <v>1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</v>
      </c>
      <c r="L16" s="112">
        <v>0</v>
      </c>
      <c r="M16" s="112">
        <v>0</v>
      </c>
      <c r="N16" s="112">
        <v>0</v>
      </c>
      <c r="O16" s="112">
        <v>0</v>
      </c>
      <c r="P16" s="112">
        <v>0</v>
      </c>
      <c r="Q16" s="112">
        <v>0</v>
      </c>
      <c r="R16" s="112">
        <v>0</v>
      </c>
      <c r="S16" s="112">
        <v>0</v>
      </c>
      <c r="T16" s="112">
        <v>0</v>
      </c>
      <c r="U16" s="112">
        <v>0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</v>
      </c>
      <c r="AB16" s="112">
        <v>0</v>
      </c>
      <c r="AC16" s="112">
        <v>0</v>
      </c>
      <c r="AD16" s="112">
        <v>0</v>
      </c>
      <c r="AE16" s="112">
        <v>0</v>
      </c>
      <c r="AF16" s="112">
        <v>0</v>
      </c>
      <c r="AG16" s="112">
        <v>0</v>
      </c>
      <c r="AH16" s="112">
        <v>0</v>
      </c>
      <c r="AI16" s="112">
        <v>0</v>
      </c>
      <c r="AJ16" s="112">
        <v>0</v>
      </c>
      <c r="AK16" s="112">
        <v>0</v>
      </c>
      <c r="AL16" s="112">
        <v>0</v>
      </c>
      <c r="AM16" s="112">
        <v>0</v>
      </c>
      <c r="AN16" s="112">
        <v>0</v>
      </c>
      <c r="AO16" s="112">
        <v>0</v>
      </c>
      <c r="AP16" s="112">
        <v>0</v>
      </c>
      <c r="AQ16" s="112">
        <v>0</v>
      </c>
      <c r="AR16" s="112">
        <v>0</v>
      </c>
      <c r="AS16" s="112">
        <v>0</v>
      </c>
      <c r="AT16" s="112">
        <v>0</v>
      </c>
      <c r="AU16" s="112">
        <v>0</v>
      </c>
      <c r="AV16" s="112">
        <v>0</v>
      </c>
      <c r="AW16" s="112">
        <v>0</v>
      </c>
      <c r="AX16" s="112">
        <v>0</v>
      </c>
      <c r="AY16" s="112">
        <v>0</v>
      </c>
      <c r="AZ16" s="112">
        <v>0</v>
      </c>
      <c r="BA16" s="112">
        <v>0</v>
      </c>
      <c r="BB16" s="112">
        <v>0</v>
      </c>
      <c r="BC16" s="112">
        <v>0</v>
      </c>
    </row>
    <row r="17" spans="1:55" customFormat="1" x14ac:dyDescent="0.15">
      <c r="A17" s="189" t="s">
        <v>207</v>
      </c>
      <c r="B17" s="112">
        <v>1</v>
      </c>
      <c r="C17" s="112">
        <v>1</v>
      </c>
      <c r="D17" s="112">
        <v>1</v>
      </c>
      <c r="E17" s="112">
        <v>1</v>
      </c>
      <c r="F17" s="112">
        <v>0</v>
      </c>
      <c r="G17" s="112">
        <v>1</v>
      </c>
      <c r="H17" s="112">
        <v>1</v>
      </c>
      <c r="I17" s="112">
        <v>1</v>
      </c>
      <c r="J17" s="112">
        <v>1</v>
      </c>
      <c r="K17" s="112">
        <v>0</v>
      </c>
      <c r="L17" s="112">
        <v>1</v>
      </c>
      <c r="M17" s="112">
        <v>0</v>
      </c>
      <c r="N17" s="112">
        <v>1</v>
      </c>
      <c r="O17" s="112">
        <v>0</v>
      </c>
      <c r="P17" s="112">
        <v>1</v>
      </c>
      <c r="Q17" s="112">
        <v>0</v>
      </c>
      <c r="R17" s="112">
        <v>0</v>
      </c>
      <c r="S17" s="112">
        <v>1</v>
      </c>
      <c r="T17" s="112">
        <v>1</v>
      </c>
      <c r="U17" s="112">
        <v>0</v>
      </c>
      <c r="V17" s="112">
        <v>0</v>
      </c>
      <c r="W17" s="112">
        <v>0</v>
      </c>
      <c r="X17" s="112">
        <v>0</v>
      </c>
      <c r="Y17" s="112">
        <v>1</v>
      </c>
      <c r="Z17" s="112">
        <v>0</v>
      </c>
      <c r="AA17" s="112">
        <v>1</v>
      </c>
      <c r="AB17" s="112">
        <v>0</v>
      </c>
      <c r="AC17" s="112">
        <v>0</v>
      </c>
      <c r="AD17" s="112">
        <v>0</v>
      </c>
      <c r="AE17" s="112">
        <v>0</v>
      </c>
      <c r="AF17" s="112">
        <v>1</v>
      </c>
      <c r="AG17" s="112">
        <v>1</v>
      </c>
      <c r="AH17" s="112">
        <v>0</v>
      </c>
      <c r="AI17" s="112">
        <v>0</v>
      </c>
      <c r="AJ17" s="112">
        <v>0</v>
      </c>
      <c r="AK17" s="112">
        <v>0</v>
      </c>
      <c r="AL17" s="112">
        <v>0</v>
      </c>
      <c r="AM17" s="112">
        <v>0</v>
      </c>
      <c r="AN17" s="112">
        <v>0</v>
      </c>
      <c r="AO17" s="112">
        <v>1</v>
      </c>
      <c r="AP17" s="112">
        <v>0</v>
      </c>
      <c r="AQ17" s="112">
        <v>0</v>
      </c>
      <c r="AR17" s="112">
        <v>0</v>
      </c>
      <c r="AS17" s="112">
        <v>0</v>
      </c>
      <c r="AT17" s="112">
        <v>0</v>
      </c>
      <c r="AU17" s="112">
        <v>0</v>
      </c>
      <c r="AV17" s="112">
        <v>0</v>
      </c>
      <c r="AW17" s="112">
        <v>0</v>
      </c>
      <c r="AX17" s="112">
        <v>0</v>
      </c>
      <c r="AY17" s="112">
        <v>0</v>
      </c>
      <c r="AZ17" s="112">
        <v>0</v>
      </c>
      <c r="BA17" s="112">
        <v>0</v>
      </c>
      <c r="BB17" s="112">
        <v>0</v>
      </c>
      <c r="BC17" s="112">
        <v>0</v>
      </c>
    </row>
    <row r="18" spans="1:55" customFormat="1" x14ac:dyDescent="0.15">
      <c r="A18" s="189" t="s">
        <v>208</v>
      </c>
      <c r="B18" s="112">
        <v>1</v>
      </c>
      <c r="C18" s="112">
        <v>1</v>
      </c>
      <c r="D18" s="112">
        <v>0</v>
      </c>
      <c r="E18" s="112">
        <v>1</v>
      </c>
      <c r="F18" s="112">
        <v>0</v>
      </c>
      <c r="G18" s="112">
        <v>0</v>
      </c>
      <c r="H18" s="112">
        <v>1</v>
      </c>
      <c r="I18" s="112">
        <v>0</v>
      </c>
      <c r="J18" s="112">
        <v>0</v>
      </c>
      <c r="K18" s="112">
        <v>0</v>
      </c>
      <c r="L18" s="112">
        <v>0</v>
      </c>
      <c r="M18" s="112">
        <v>0</v>
      </c>
      <c r="N18" s="112">
        <v>1</v>
      </c>
      <c r="O18" s="112">
        <v>0</v>
      </c>
      <c r="P18" s="112">
        <v>0</v>
      </c>
      <c r="Q18" s="112">
        <v>0</v>
      </c>
      <c r="R18" s="112">
        <v>0</v>
      </c>
      <c r="S18" s="112">
        <v>1</v>
      </c>
      <c r="T18" s="112">
        <v>0</v>
      </c>
      <c r="U18" s="112">
        <v>0</v>
      </c>
      <c r="V18" s="112">
        <v>0</v>
      </c>
      <c r="W18" s="112">
        <v>0</v>
      </c>
      <c r="X18" s="112">
        <v>0</v>
      </c>
      <c r="Y18" s="112">
        <v>1</v>
      </c>
      <c r="Z18" s="112">
        <v>0</v>
      </c>
      <c r="AA18" s="112">
        <v>1</v>
      </c>
      <c r="AB18" s="112">
        <v>0</v>
      </c>
      <c r="AC18" s="112">
        <v>1</v>
      </c>
      <c r="AD18" s="112">
        <v>0</v>
      </c>
      <c r="AE18" s="112">
        <v>0</v>
      </c>
      <c r="AF18" s="112">
        <v>1</v>
      </c>
      <c r="AG18" s="112">
        <v>1</v>
      </c>
      <c r="AH18" s="112">
        <v>0</v>
      </c>
      <c r="AI18" s="112">
        <v>0</v>
      </c>
      <c r="AJ18" s="112">
        <v>0</v>
      </c>
      <c r="AK18" s="112">
        <v>0</v>
      </c>
      <c r="AL18" s="112">
        <v>0</v>
      </c>
      <c r="AM18" s="112">
        <v>0</v>
      </c>
      <c r="AN18" s="112">
        <v>0</v>
      </c>
      <c r="AO18" s="112">
        <v>0</v>
      </c>
      <c r="AP18" s="112">
        <v>0</v>
      </c>
      <c r="AQ18" s="112">
        <v>0</v>
      </c>
      <c r="AR18" s="112">
        <v>0</v>
      </c>
      <c r="AS18" s="112">
        <v>0</v>
      </c>
      <c r="AT18" s="112">
        <v>0</v>
      </c>
      <c r="AU18" s="112">
        <v>0</v>
      </c>
      <c r="AV18" s="112">
        <v>0</v>
      </c>
      <c r="AW18" s="112">
        <v>0</v>
      </c>
      <c r="AX18" s="112">
        <v>0</v>
      </c>
      <c r="AY18" s="112">
        <v>0</v>
      </c>
      <c r="AZ18" s="112">
        <v>0</v>
      </c>
      <c r="BA18" s="112">
        <v>0</v>
      </c>
      <c r="BB18" s="112">
        <v>0</v>
      </c>
      <c r="BC18" s="112">
        <v>0</v>
      </c>
    </row>
    <row r="19" spans="1:55" customFormat="1" x14ac:dyDescent="0.15">
      <c r="A19" s="189" t="s">
        <v>209</v>
      </c>
      <c r="B19" s="112">
        <v>1</v>
      </c>
      <c r="C19" s="112">
        <v>1</v>
      </c>
      <c r="D19" s="112">
        <v>0</v>
      </c>
      <c r="E19" s="112">
        <v>1</v>
      </c>
      <c r="F19" s="112">
        <v>0</v>
      </c>
      <c r="G19" s="112">
        <v>0</v>
      </c>
      <c r="H19" s="112">
        <v>1</v>
      </c>
      <c r="I19" s="112">
        <v>0</v>
      </c>
      <c r="J19" s="112">
        <v>0</v>
      </c>
      <c r="K19" s="112">
        <v>0</v>
      </c>
      <c r="L19" s="112">
        <v>0</v>
      </c>
      <c r="M19" s="112">
        <v>0</v>
      </c>
      <c r="N19" s="112">
        <v>1</v>
      </c>
      <c r="O19" s="112">
        <v>0</v>
      </c>
      <c r="P19" s="112">
        <v>0</v>
      </c>
      <c r="Q19" s="112">
        <v>0</v>
      </c>
      <c r="R19" s="112">
        <v>0</v>
      </c>
      <c r="S19" s="112">
        <v>1</v>
      </c>
      <c r="T19" s="112">
        <v>0</v>
      </c>
      <c r="U19" s="112">
        <v>0</v>
      </c>
      <c r="V19" s="112">
        <v>0</v>
      </c>
      <c r="W19" s="112">
        <v>0</v>
      </c>
      <c r="X19" s="112">
        <v>0</v>
      </c>
      <c r="Y19" s="112">
        <v>1</v>
      </c>
      <c r="Z19" s="112">
        <v>0</v>
      </c>
      <c r="AA19" s="112">
        <v>1</v>
      </c>
      <c r="AB19" s="112">
        <v>0</v>
      </c>
      <c r="AC19" s="112">
        <v>1</v>
      </c>
      <c r="AD19" s="112">
        <v>0</v>
      </c>
      <c r="AE19" s="112">
        <v>0</v>
      </c>
      <c r="AF19" s="112">
        <v>0</v>
      </c>
      <c r="AG19" s="112">
        <v>1</v>
      </c>
      <c r="AH19" s="112">
        <v>0</v>
      </c>
      <c r="AI19" s="112">
        <v>0</v>
      </c>
      <c r="AJ19" s="112">
        <v>0</v>
      </c>
      <c r="AK19" s="112">
        <v>0</v>
      </c>
      <c r="AL19" s="112">
        <v>0</v>
      </c>
      <c r="AM19" s="112">
        <v>0</v>
      </c>
      <c r="AN19" s="112">
        <v>0</v>
      </c>
      <c r="AO19" s="112">
        <v>0</v>
      </c>
      <c r="AP19" s="112">
        <v>0</v>
      </c>
      <c r="AQ19" s="112">
        <v>0</v>
      </c>
      <c r="AR19" s="112">
        <v>0</v>
      </c>
      <c r="AS19" s="112">
        <v>0</v>
      </c>
      <c r="AT19" s="112">
        <v>0</v>
      </c>
      <c r="AU19" s="112">
        <v>0</v>
      </c>
      <c r="AV19" s="112">
        <v>0</v>
      </c>
      <c r="AW19" s="112">
        <v>0</v>
      </c>
      <c r="AX19" s="112">
        <v>0</v>
      </c>
      <c r="AY19" s="112">
        <v>0</v>
      </c>
      <c r="AZ19" s="112">
        <v>0</v>
      </c>
      <c r="BA19" s="112">
        <v>0</v>
      </c>
      <c r="BB19" s="112">
        <v>0</v>
      </c>
      <c r="BC19" s="112">
        <v>0</v>
      </c>
    </row>
    <row r="20" spans="1:55" customFormat="1" x14ac:dyDescent="0.15">
      <c r="A20" s="189" t="s">
        <v>210</v>
      </c>
      <c r="B20" s="112">
        <v>1</v>
      </c>
      <c r="C20" s="112">
        <v>1</v>
      </c>
      <c r="D20" s="112">
        <v>0</v>
      </c>
      <c r="E20" s="112">
        <v>1</v>
      </c>
      <c r="F20" s="112">
        <v>0</v>
      </c>
      <c r="G20" s="112">
        <v>0</v>
      </c>
      <c r="H20" s="112">
        <v>0</v>
      </c>
      <c r="I20" s="112">
        <v>0</v>
      </c>
      <c r="J20" s="112">
        <v>0</v>
      </c>
      <c r="K20" s="112">
        <v>0</v>
      </c>
      <c r="L20" s="112">
        <v>0</v>
      </c>
      <c r="M20" s="112">
        <v>0</v>
      </c>
      <c r="N20" s="112">
        <v>0</v>
      </c>
      <c r="O20" s="112">
        <v>0</v>
      </c>
      <c r="P20" s="112">
        <v>0</v>
      </c>
      <c r="Q20" s="112">
        <v>0</v>
      </c>
      <c r="R20" s="112">
        <v>0</v>
      </c>
      <c r="S20" s="112">
        <v>0</v>
      </c>
      <c r="T20" s="112">
        <v>0</v>
      </c>
      <c r="U20" s="112">
        <v>0</v>
      </c>
      <c r="V20" s="112">
        <v>0</v>
      </c>
      <c r="W20" s="112">
        <v>0</v>
      </c>
      <c r="X20" s="112">
        <v>0</v>
      </c>
      <c r="Y20" s="112">
        <v>0</v>
      </c>
      <c r="Z20" s="112">
        <v>0</v>
      </c>
      <c r="AA20" s="112">
        <v>0</v>
      </c>
      <c r="AB20" s="112">
        <v>0</v>
      </c>
      <c r="AC20" s="112">
        <v>0</v>
      </c>
      <c r="AD20" s="112">
        <v>0</v>
      </c>
      <c r="AE20" s="112">
        <v>0</v>
      </c>
      <c r="AF20" s="112">
        <v>0</v>
      </c>
      <c r="AG20" s="112">
        <v>0</v>
      </c>
      <c r="AH20" s="112">
        <v>0</v>
      </c>
      <c r="AI20" s="112">
        <v>0</v>
      </c>
      <c r="AJ20" s="112">
        <v>0</v>
      </c>
      <c r="AK20" s="112">
        <v>0</v>
      </c>
      <c r="AL20" s="112">
        <v>0</v>
      </c>
      <c r="AM20" s="112">
        <v>0</v>
      </c>
      <c r="AN20" s="112">
        <v>0</v>
      </c>
      <c r="AO20" s="112">
        <v>0</v>
      </c>
      <c r="AP20" s="112">
        <v>0</v>
      </c>
      <c r="AQ20" s="112">
        <v>0</v>
      </c>
      <c r="AR20" s="112">
        <v>0</v>
      </c>
      <c r="AS20" s="112">
        <v>0</v>
      </c>
      <c r="AT20" s="112">
        <v>0</v>
      </c>
      <c r="AU20" s="112">
        <v>0</v>
      </c>
      <c r="AV20" s="112">
        <v>0</v>
      </c>
      <c r="AW20" s="112">
        <v>0</v>
      </c>
      <c r="AX20" s="112">
        <v>0</v>
      </c>
      <c r="AY20" s="112">
        <v>0</v>
      </c>
      <c r="AZ20" s="112">
        <v>0</v>
      </c>
      <c r="BA20" s="112">
        <v>0</v>
      </c>
      <c r="BB20" s="112">
        <v>0</v>
      </c>
      <c r="BC20" s="112">
        <v>0</v>
      </c>
    </row>
    <row r="21" spans="1:55" customFormat="1" x14ac:dyDescent="0.15">
      <c r="A21" s="189" t="s">
        <v>211</v>
      </c>
      <c r="B21" s="112">
        <v>1</v>
      </c>
      <c r="C21" s="112">
        <v>1</v>
      </c>
      <c r="D21" s="112">
        <v>0</v>
      </c>
      <c r="E21" s="112">
        <v>1</v>
      </c>
      <c r="F21" s="112">
        <v>0</v>
      </c>
      <c r="G21" s="112">
        <v>0</v>
      </c>
      <c r="H21" s="112">
        <v>1</v>
      </c>
      <c r="I21" s="112">
        <v>0</v>
      </c>
      <c r="J21" s="112">
        <v>1</v>
      </c>
      <c r="K21" s="112">
        <v>0</v>
      </c>
      <c r="L21" s="112">
        <v>1</v>
      </c>
      <c r="M21" s="112">
        <v>0</v>
      </c>
      <c r="N21" s="112">
        <v>1</v>
      </c>
      <c r="O21" s="112">
        <v>0</v>
      </c>
      <c r="P21" s="112">
        <v>0</v>
      </c>
      <c r="Q21" s="112">
        <v>0</v>
      </c>
      <c r="R21" s="112">
        <v>0</v>
      </c>
      <c r="S21" s="112">
        <v>1</v>
      </c>
      <c r="T21" s="112">
        <v>0</v>
      </c>
      <c r="U21" s="112">
        <v>0</v>
      </c>
      <c r="V21" s="112">
        <v>0</v>
      </c>
      <c r="W21" s="112">
        <v>1</v>
      </c>
      <c r="X21" s="112">
        <v>0</v>
      </c>
      <c r="Y21" s="112">
        <v>1</v>
      </c>
      <c r="Z21" s="112">
        <v>0</v>
      </c>
      <c r="AA21" s="112">
        <v>1</v>
      </c>
      <c r="AB21" s="112">
        <v>0</v>
      </c>
      <c r="AC21" s="112">
        <v>1</v>
      </c>
      <c r="AD21" s="112">
        <v>0</v>
      </c>
      <c r="AE21" s="112">
        <v>0</v>
      </c>
      <c r="AF21" s="112">
        <v>0</v>
      </c>
      <c r="AG21" s="112">
        <v>1</v>
      </c>
      <c r="AH21" s="112">
        <v>0</v>
      </c>
      <c r="AI21" s="112">
        <v>0</v>
      </c>
      <c r="AJ21" s="112">
        <v>0</v>
      </c>
      <c r="AK21" s="112">
        <v>0</v>
      </c>
      <c r="AL21" s="112">
        <v>0</v>
      </c>
      <c r="AM21" s="112">
        <v>0</v>
      </c>
      <c r="AN21" s="112">
        <v>0</v>
      </c>
      <c r="AO21" s="112">
        <v>0</v>
      </c>
      <c r="AP21" s="112">
        <v>0</v>
      </c>
      <c r="AQ21" s="112">
        <v>0</v>
      </c>
      <c r="AR21" s="112">
        <v>0</v>
      </c>
      <c r="AS21" s="112">
        <v>0</v>
      </c>
      <c r="AT21" s="112">
        <v>0</v>
      </c>
      <c r="AU21" s="112">
        <v>0</v>
      </c>
      <c r="AV21" s="112">
        <v>0</v>
      </c>
      <c r="AW21" s="112">
        <v>0</v>
      </c>
      <c r="AX21" s="112">
        <v>0</v>
      </c>
      <c r="AY21" s="112">
        <v>0</v>
      </c>
      <c r="AZ21" s="112">
        <v>0</v>
      </c>
      <c r="BA21" s="112">
        <v>0</v>
      </c>
      <c r="BB21" s="112">
        <v>0</v>
      </c>
      <c r="BC21" s="112">
        <v>0</v>
      </c>
    </row>
    <row r="22" spans="1:55" customFormat="1" x14ac:dyDescent="0.15">
      <c r="A22" s="189" t="s">
        <v>212</v>
      </c>
      <c r="B22" s="112">
        <v>1</v>
      </c>
      <c r="C22" s="112">
        <v>1</v>
      </c>
      <c r="D22" s="112">
        <v>0</v>
      </c>
      <c r="E22" s="112">
        <v>1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</v>
      </c>
      <c r="L22" s="112">
        <v>0</v>
      </c>
      <c r="M22" s="112">
        <v>0</v>
      </c>
      <c r="N22" s="112">
        <v>0</v>
      </c>
      <c r="O22" s="112">
        <v>0</v>
      </c>
      <c r="P22" s="112">
        <v>0</v>
      </c>
      <c r="Q22" s="112">
        <v>0</v>
      </c>
      <c r="R22" s="112">
        <v>0</v>
      </c>
      <c r="S22" s="112">
        <v>0</v>
      </c>
      <c r="T22" s="112">
        <v>0</v>
      </c>
      <c r="U22" s="112">
        <v>0</v>
      </c>
      <c r="V22" s="112">
        <v>0</v>
      </c>
      <c r="W22" s="112">
        <v>0</v>
      </c>
      <c r="X22" s="112">
        <v>0</v>
      </c>
      <c r="Y22" s="112">
        <v>0</v>
      </c>
      <c r="Z22" s="112">
        <v>0</v>
      </c>
      <c r="AA22" s="112">
        <v>0</v>
      </c>
      <c r="AB22" s="112">
        <v>0</v>
      </c>
      <c r="AC22" s="112">
        <v>0</v>
      </c>
      <c r="AD22" s="112">
        <v>0</v>
      </c>
      <c r="AE22" s="112">
        <v>0</v>
      </c>
      <c r="AF22" s="112">
        <v>0</v>
      </c>
      <c r="AG22" s="112">
        <v>0</v>
      </c>
      <c r="AH22" s="112">
        <v>0</v>
      </c>
      <c r="AI22" s="112">
        <v>0</v>
      </c>
      <c r="AJ22" s="112">
        <v>0</v>
      </c>
      <c r="AK22" s="112">
        <v>0</v>
      </c>
      <c r="AL22" s="112">
        <v>0</v>
      </c>
      <c r="AM22" s="112">
        <v>0</v>
      </c>
      <c r="AN22" s="112">
        <v>0</v>
      </c>
      <c r="AO22" s="112">
        <v>0</v>
      </c>
      <c r="AP22" s="112">
        <v>0</v>
      </c>
      <c r="AQ22" s="112">
        <v>0</v>
      </c>
      <c r="AR22" s="112">
        <v>0</v>
      </c>
      <c r="AS22" s="112">
        <v>0</v>
      </c>
      <c r="AT22" s="112">
        <v>0</v>
      </c>
      <c r="AU22" s="112">
        <v>0</v>
      </c>
      <c r="AV22" s="112">
        <v>0</v>
      </c>
      <c r="AW22" s="112">
        <v>0</v>
      </c>
      <c r="AX22" s="112">
        <v>0</v>
      </c>
      <c r="AY22" s="112">
        <v>0</v>
      </c>
      <c r="AZ22" s="112">
        <v>0</v>
      </c>
      <c r="BA22" s="112">
        <v>0</v>
      </c>
      <c r="BB22" s="112">
        <v>0</v>
      </c>
      <c r="BC22" s="112">
        <v>0</v>
      </c>
    </row>
    <row r="23" spans="1:55" customFormat="1" x14ac:dyDescent="0.15">
      <c r="A23" s="189" t="s">
        <v>213</v>
      </c>
      <c r="B23" s="112">
        <v>1</v>
      </c>
      <c r="C23" s="112">
        <v>1</v>
      </c>
      <c r="D23" s="112">
        <v>0</v>
      </c>
      <c r="E23" s="112">
        <v>1</v>
      </c>
      <c r="F23" s="112">
        <v>0</v>
      </c>
      <c r="G23" s="112">
        <v>0</v>
      </c>
      <c r="H23" s="112">
        <v>1</v>
      </c>
      <c r="I23" s="112">
        <v>0</v>
      </c>
      <c r="J23" s="112">
        <v>0</v>
      </c>
      <c r="K23" s="112">
        <v>0</v>
      </c>
      <c r="L23" s="112">
        <v>0</v>
      </c>
      <c r="M23" s="112">
        <v>0</v>
      </c>
      <c r="N23" s="112">
        <v>1</v>
      </c>
      <c r="O23" s="112">
        <v>0</v>
      </c>
      <c r="P23" s="112">
        <v>1</v>
      </c>
      <c r="Q23" s="112">
        <v>0</v>
      </c>
      <c r="R23" s="112">
        <v>0</v>
      </c>
      <c r="S23" s="112">
        <v>1</v>
      </c>
      <c r="T23" s="112">
        <v>0</v>
      </c>
      <c r="U23" s="112">
        <v>0</v>
      </c>
      <c r="V23" s="112">
        <v>0</v>
      </c>
      <c r="W23" s="112">
        <v>0</v>
      </c>
      <c r="X23" s="112">
        <v>0</v>
      </c>
      <c r="Y23" s="112">
        <v>0</v>
      </c>
      <c r="Z23" s="112">
        <v>0</v>
      </c>
      <c r="AA23" s="112">
        <v>0</v>
      </c>
      <c r="AB23" s="112">
        <v>0</v>
      </c>
      <c r="AC23" s="112">
        <v>0</v>
      </c>
      <c r="AD23" s="112">
        <v>0</v>
      </c>
      <c r="AE23" s="112">
        <v>0</v>
      </c>
      <c r="AF23" s="112">
        <v>1</v>
      </c>
      <c r="AG23" s="112">
        <v>0</v>
      </c>
      <c r="AH23" s="112">
        <v>0</v>
      </c>
      <c r="AI23" s="112">
        <v>0</v>
      </c>
      <c r="AJ23" s="112">
        <v>0</v>
      </c>
      <c r="AK23" s="112">
        <v>0</v>
      </c>
      <c r="AL23" s="112">
        <v>0</v>
      </c>
      <c r="AM23" s="112">
        <v>0</v>
      </c>
      <c r="AN23" s="112">
        <v>0</v>
      </c>
      <c r="AO23" s="112">
        <v>0</v>
      </c>
      <c r="AP23" s="112">
        <v>0</v>
      </c>
      <c r="AQ23" s="112">
        <v>0</v>
      </c>
      <c r="AR23" s="112">
        <v>0</v>
      </c>
      <c r="AS23" s="112">
        <v>0</v>
      </c>
      <c r="AT23" s="112">
        <v>0</v>
      </c>
      <c r="AU23" s="112">
        <v>0</v>
      </c>
      <c r="AV23" s="112">
        <v>0</v>
      </c>
      <c r="AW23" s="112">
        <v>0</v>
      </c>
      <c r="AX23" s="112">
        <v>0</v>
      </c>
      <c r="AY23" s="112">
        <v>0</v>
      </c>
      <c r="AZ23" s="112">
        <v>0</v>
      </c>
      <c r="BA23" s="112">
        <v>0</v>
      </c>
      <c r="BB23" s="112">
        <v>0</v>
      </c>
      <c r="BC23" s="112">
        <v>0</v>
      </c>
    </row>
    <row r="24" spans="1:55" customFormat="1" x14ac:dyDescent="0.15">
      <c r="A24" s="189" t="s">
        <v>214</v>
      </c>
      <c r="B24" s="112">
        <v>1</v>
      </c>
      <c r="C24" s="112">
        <v>1</v>
      </c>
      <c r="D24" s="112">
        <v>1</v>
      </c>
      <c r="E24" s="112">
        <v>1</v>
      </c>
      <c r="F24" s="112">
        <v>0</v>
      </c>
      <c r="G24" s="112">
        <v>0</v>
      </c>
      <c r="H24" s="112">
        <v>1</v>
      </c>
      <c r="I24" s="112">
        <v>0</v>
      </c>
      <c r="J24" s="112">
        <v>1</v>
      </c>
      <c r="K24" s="112">
        <v>0</v>
      </c>
      <c r="L24" s="112">
        <v>0</v>
      </c>
      <c r="M24" s="112">
        <v>0</v>
      </c>
      <c r="N24" s="112">
        <v>1</v>
      </c>
      <c r="O24" s="112">
        <v>0</v>
      </c>
      <c r="P24" s="112">
        <v>0</v>
      </c>
      <c r="Q24" s="112">
        <v>0</v>
      </c>
      <c r="R24" s="112">
        <v>0</v>
      </c>
      <c r="S24" s="112">
        <v>1</v>
      </c>
      <c r="T24" s="112">
        <v>0</v>
      </c>
      <c r="U24" s="112">
        <v>0</v>
      </c>
      <c r="V24" s="112">
        <v>0</v>
      </c>
      <c r="W24" s="112">
        <v>0</v>
      </c>
      <c r="X24" s="112">
        <v>1</v>
      </c>
      <c r="Y24" s="112">
        <v>1</v>
      </c>
      <c r="Z24" s="112">
        <v>0</v>
      </c>
      <c r="AA24" s="112">
        <v>1</v>
      </c>
      <c r="AB24" s="112">
        <v>0</v>
      </c>
      <c r="AC24" s="112">
        <v>0</v>
      </c>
      <c r="AD24" s="112">
        <v>0</v>
      </c>
      <c r="AE24" s="112">
        <v>0</v>
      </c>
      <c r="AF24" s="112">
        <v>0</v>
      </c>
      <c r="AG24" s="112">
        <v>1</v>
      </c>
      <c r="AH24" s="112">
        <v>0</v>
      </c>
      <c r="AI24" s="112">
        <v>0</v>
      </c>
      <c r="AJ24" s="112">
        <v>0</v>
      </c>
      <c r="AK24" s="112">
        <v>0</v>
      </c>
      <c r="AL24" s="112">
        <v>0</v>
      </c>
      <c r="AM24" s="112">
        <v>0</v>
      </c>
      <c r="AN24" s="112">
        <v>0</v>
      </c>
      <c r="AO24" s="112">
        <v>0</v>
      </c>
      <c r="AP24" s="112">
        <v>0</v>
      </c>
      <c r="AQ24" s="112">
        <v>0</v>
      </c>
      <c r="AR24" s="112">
        <v>0</v>
      </c>
      <c r="AS24" s="112">
        <v>0</v>
      </c>
      <c r="AT24" s="112">
        <v>0</v>
      </c>
      <c r="AU24" s="112">
        <v>0</v>
      </c>
      <c r="AV24" s="112">
        <v>0</v>
      </c>
      <c r="AW24" s="112">
        <v>0</v>
      </c>
      <c r="AX24" s="112">
        <v>0</v>
      </c>
      <c r="AY24" s="112">
        <v>0</v>
      </c>
      <c r="AZ24" s="112">
        <v>0</v>
      </c>
      <c r="BA24" s="112">
        <v>0</v>
      </c>
      <c r="BB24" s="112">
        <v>0</v>
      </c>
      <c r="BC24" s="112">
        <v>0</v>
      </c>
    </row>
    <row r="25" spans="1:55" customFormat="1" x14ac:dyDescent="0.15">
      <c r="A25" s="189" t="s">
        <v>215</v>
      </c>
      <c r="B25" s="112">
        <v>1</v>
      </c>
      <c r="C25" s="112">
        <v>1</v>
      </c>
      <c r="D25" s="112">
        <v>0</v>
      </c>
      <c r="E25" s="112">
        <v>1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</v>
      </c>
      <c r="L25" s="112">
        <v>0</v>
      </c>
      <c r="M25" s="112">
        <v>0</v>
      </c>
      <c r="N25" s="112">
        <v>1</v>
      </c>
      <c r="O25" s="112">
        <v>0</v>
      </c>
      <c r="P25" s="112">
        <v>0</v>
      </c>
      <c r="Q25" s="112">
        <v>0</v>
      </c>
      <c r="R25" s="112">
        <v>0</v>
      </c>
      <c r="S25" s="112">
        <v>1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</v>
      </c>
      <c r="AB25" s="112">
        <v>0</v>
      </c>
      <c r="AC25" s="112">
        <v>0</v>
      </c>
      <c r="AD25" s="112">
        <v>0</v>
      </c>
      <c r="AE25" s="112">
        <v>0</v>
      </c>
      <c r="AF25" s="112">
        <v>0</v>
      </c>
      <c r="AG25" s="112">
        <v>0</v>
      </c>
      <c r="AH25" s="112">
        <v>0</v>
      </c>
      <c r="AI25" s="112">
        <v>0</v>
      </c>
      <c r="AJ25" s="112">
        <v>0</v>
      </c>
      <c r="AK25" s="112">
        <v>0</v>
      </c>
      <c r="AL25" s="112">
        <v>0</v>
      </c>
      <c r="AM25" s="112">
        <v>0</v>
      </c>
      <c r="AN25" s="112">
        <v>0</v>
      </c>
      <c r="AO25" s="112">
        <v>0</v>
      </c>
      <c r="AP25" s="112">
        <v>0</v>
      </c>
      <c r="AQ25" s="112">
        <v>0</v>
      </c>
      <c r="AR25" s="112">
        <v>0</v>
      </c>
      <c r="AS25" s="112">
        <v>0</v>
      </c>
      <c r="AT25" s="112">
        <v>0</v>
      </c>
      <c r="AU25" s="112">
        <v>0</v>
      </c>
      <c r="AV25" s="112">
        <v>0</v>
      </c>
      <c r="AW25" s="112">
        <v>0</v>
      </c>
      <c r="AX25" s="112">
        <v>0</v>
      </c>
      <c r="AY25" s="112">
        <v>0</v>
      </c>
      <c r="AZ25" s="112">
        <v>0</v>
      </c>
      <c r="BA25" s="112">
        <v>0</v>
      </c>
      <c r="BB25" s="112">
        <v>0</v>
      </c>
      <c r="BC25" s="112">
        <v>0</v>
      </c>
    </row>
    <row r="26" spans="1:55" customFormat="1" x14ac:dyDescent="0.15">
      <c r="A26" s="189" t="s">
        <v>216</v>
      </c>
      <c r="B26" s="112">
        <v>1</v>
      </c>
      <c r="C26" s="112">
        <v>1</v>
      </c>
      <c r="D26" s="112">
        <v>0</v>
      </c>
      <c r="E26" s="112">
        <v>1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</v>
      </c>
      <c r="L26" s="112">
        <v>0</v>
      </c>
      <c r="M26" s="112">
        <v>0</v>
      </c>
      <c r="N26" s="112">
        <v>0</v>
      </c>
      <c r="O26" s="112">
        <v>0</v>
      </c>
      <c r="P26" s="112">
        <v>0</v>
      </c>
      <c r="Q26" s="112">
        <v>0</v>
      </c>
      <c r="R26" s="112">
        <v>0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</v>
      </c>
      <c r="Y26" s="112">
        <v>0</v>
      </c>
      <c r="Z26" s="112">
        <v>0</v>
      </c>
      <c r="AA26" s="112">
        <v>0</v>
      </c>
      <c r="AB26" s="112">
        <v>0</v>
      </c>
      <c r="AC26" s="112">
        <v>0</v>
      </c>
      <c r="AD26" s="112">
        <v>0</v>
      </c>
      <c r="AE26" s="112">
        <v>0</v>
      </c>
      <c r="AF26" s="112">
        <v>0</v>
      </c>
      <c r="AG26" s="112">
        <v>0</v>
      </c>
      <c r="AH26" s="112">
        <v>0</v>
      </c>
      <c r="AI26" s="112">
        <v>0</v>
      </c>
      <c r="AJ26" s="112">
        <v>0</v>
      </c>
      <c r="AK26" s="112">
        <v>0</v>
      </c>
      <c r="AL26" s="112">
        <v>0</v>
      </c>
      <c r="AM26" s="112">
        <v>0</v>
      </c>
      <c r="AN26" s="112">
        <v>0</v>
      </c>
      <c r="AO26" s="112">
        <v>0</v>
      </c>
      <c r="AP26" s="112">
        <v>0</v>
      </c>
      <c r="AQ26" s="112">
        <v>0</v>
      </c>
      <c r="AR26" s="112">
        <v>0</v>
      </c>
      <c r="AS26" s="112">
        <v>0</v>
      </c>
      <c r="AT26" s="112">
        <v>0</v>
      </c>
      <c r="AU26" s="112">
        <v>0</v>
      </c>
      <c r="AV26" s="112">
        <v>0</v>
      </c>
      <c r="AW26" s="112">
        <v>0</v>
      </c>
      <c r="AX26" s="112">
        <v>0</v>
      </c>
      <c r="AY26" s="112">
        <v>0</v>
      </c>
      <c r="AZ26" s="112">
        <v>0</v>
      </c>
      <c r="BA26" s="112">
        <v>0</v>
      </c>
      <c r="BB26" s="112">
        <v>0</v>
      </c>
      <c r="BC26" s="112">
        <v>0</v>
      </c>
    </row>
    <row r="27" spans="1:55" customFormat="1" x14ac:dyDescent="0.15">
      <c r="A27" s="189" t="s">
        <v>217</v>
      </c>
      <c r="B27" s="112">
        <v>1</v>
      </c>
      <c r="C27" s="112">
        <v>1</v>
      </c>
      <c r="D27" s="112">
        <v>0</v>
      </c>
      <c r="E27" s="112">
        <v>1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1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1</v>
      </c>
      <c r="Z27" s="112">
        <v>0</v>
      </c>
      <c r="AA27" s="112">
        <v>1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  <c r="AH27" s="112">
        <v>0</v>
      </c>
      <c r="AI27" s="112">
        <v>0</v>
      </c>
      <c r="AJ27" s="112">
        <v>0</v>
      </c>
      <c r="AK27" s="112">
        <v>0</v>
      </c>
      <c r="AL27" s="112">
        <v>0</v>
      </c>
      <c r="AM27" s="112">
        <v>0</v>
      </c>
      <c r="AN27" s="112">
        <v>0</v>
      </c>
      <c r="AO27" s="112">
        <v>1</v>
      </c>
      <c r="AP27" s="112">
        <v>0</v>
      </c>
      <c r="AQ27" s="112">
        <v>0</v>
      </c>
      <c r="AR27" s="112">
        <v>0</v>
      </c>
      <c r="AS27" s="112">
        <v>0</v>
      </c>
      <c r="AT27" s="112">
        <v>0</v>
      </c>
      <c r="AU27" s="112">
        <v>0</v>
      </c>
      <c r="AV27" s="112">
        <v>0</v>
      </c>
      <c r="AW27" s="112">
        <v>0</v>
      </c>
      <c r="AX27" s="112">
        <v>0</v>
      </c>
      <c r="AY27" s="112">
        <v>0</v>
      </c>
      <c r="AZ27" s="112">
        <v>0</v>
      </c>
      <c r="BA27" s="112">
        <v>0</v>
      </c>
      <c r="BB27" s="112">
        <v>0</v>
      </c>
      <c r="BC27" s="112">
        <v>0</v>
      </c>
    </row>
    <row r="28" spans="1:55" customFormat="1" x14ac:dyDescent="0.15">
      <c r="A28" s="189" t="s">
        <v>218</v>
      </c>
      <c r="B28" s="112">
        <v>1</v>
      </c>
      <c r="C28" s="112">
        <v>1</v>
      </c>
      <c r="D28" s="112">
        <v>0</v>
      </c>
      <c r="E28" s="112">
        <v>1</v>
      </c>
      <c r="F28" s="112">
        <v>0</v>
      </c>
      <c r="G28" s="112">
        <v>0</v>
      </c>
      <c r="H28" s="112">
        <v>1</v>
      </c>
      <c r="I28" s="112">
        <v>0</v>
      </c>
      <c r="J28" s="112">
        <v>0</v>
      </c>
      <c r="K28" s="112">
        <v>0</v>
      </c>
      <c r="L28" s="112">
        <v>1</v>
      </c>
      <c r="M28" s="112">
        <v>0</v>
      </c>
      <c r="N28" s="112">
        <v>1</v>
      </c>
      <c r="O28" s="112">
        <v>0</v>
      </c>
      <c r="P28" s="112">
        <v>0</v>
      </c>
      <c r="Q28" s="112">
        <v>0</v>
      </c>
      <c r="R28" s="112">
        <v>1</v>
      </c>
      <c r="S28" s="112">
        <v>1</v>
      </c>
      <c r="T28" s="112">
        <v>1</v>
      </c>
      <c r="U28" s="112">
        <v>0</v>
      </c>
      <c r="V28" s="112">
        <v>0</v>
      </c>
      <c r="W28" s="112">
        <v>1</v>
      </c>
      <c r="X28" s="112">
        <v>0</v>
      </c>
      <c r="Y28" s="112">
        <v>1</v>
      </c>
      <c r="Z28" s="112">
        <v>0</v>
      </c>
      <c r="AA28" s="112">
        <v>1</v>
      </c>
      <c r="AB28" s="112">
        <v>0</v>
      </c>
      <c r="AC28" s="112">
        <v>1</v>
      </c>
      <c r="AD28" s="112">
        <v>1</v>
      </c>
      <c r="AE28" s="112">
        <v>0</v>
      </c>
      <c r="AF28" s="112">
        <v>1</v>
      </c>
      <c r="AG28" s="112">
        <v>1</v>
      </c>
      <c r="AH28" s="112">
        <v>0</v>
      </c>
      <c r="AI28" s="112">
        <v>0</v>
      </c>
      <c r="AJ28" s="112">
        <v>0</v>
      </c>
      <c r="AK28" s="112">
        <v>0</v>
      </c>
      <c r="AL28" s="112">
        <v>0</v>
      </c>
      <c r="AM28" s="112">
        <v>0</v>
      </c>
      <c r="AN28" s="112">
        <v>1</v>
      </c>
      <c r="AO28" s="112">
        <v>1</v>
      </c>
      <c r="AP28" s="112">
        <v>0</v>
      </c>
      <c r="AQ28" s="112">
        <v>0</v>
      </c>
      <c r="AR28" s="112">
        <v>0</v>
      </c>
      <c r="AS28" s="112">
        <v>0</v>
      </c>
      <c r="AT28" s="112">
        <v>0</v>
      </c>
      <c r="AU28" s="112">
        <v>0</v>
      </c>
      <c r="AV28" s="112">
        <v>0</v>
      </c>
      <c r="AW28" s="112">
        <v>0</v>
      </c>
      <c r="AX28" s="112">
        <v>0</v>
      </c>
      <c r="AY28" s="112">
        <v>0</v>
      </c>
      <c r="AZ28" s="112">
        <v>0</v>
      </c>
      <c r="BA28" s="112">
        <v>0</v>
      </c>
      <c r="BB28" s="112">
        <v>0</v>
      </c>
      <c r="BC28" s="112">
        <v>0</v>
      </c>
    </row>
    <row r="29" spans="1:55" customFormat="1" x14ac:dyDescent="0.15">
      <c r="A29" s="189" t="s">
        <v>219</v>
      </c>
      <c r="B29" s="112">
        <v>1</v>
      </c>
      <c r="C29" s="112">
        <v>1</v>
      </c>
      <c r="D29" s="112">
        <v>0</v>
      </c>
      <c r="E29" s="112">
        <v>1</v>
      </c>
      <c r="F29" s="112">
        <v>0</v>
      </c>
      <c r="G29" s="112">
        <v>0</v>
      </c>
      <c r="H29" s="112">
        <v>1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1</v>
      </c>
      <c r="O29" s="112">
        <v>0</v>
      </c>
      <c r="P29" s="112">
        <v>0</v>
      </c>
      <c r="Q29" s="112">
        <v>0</v>
      </c>
      <c r="R29" s="112">
        <v>0</v>
      </c>
      <c r="S29" s="112">
        <v>1</v>
      </c>
      <c r="T29" s="112">
        <v>1</v>
      </c>
      <c r="U29" s="112">
        <v>0</v>
      </c>
      <c r="V29" s="112">
        <v>0</v>
      </c>
      <c r="W29" s="112">
        <v>1</v>
      </c>
      <c r="X29" s="112">
        <v>1</v>
      </c>
      <c r="Y29" s="112">
        <v>1</v>
      </c>
      <c r="Z29" s="112">
        <v>0</v>
      </c>
      <c r="AA29" s="112">
        <v>1</v>
      </c>
      <c r="AB29" s="112">
        <v>0</v>
      </c>
      <c r="AC29" s="112">
        <v>1</v>
      </c>
      <c r="AD29" s="112">
        <v>0</v>
      </c>
      <c r="AE29" s="112">
        <v>0</v>
      </c>
      <c r="AF29" s="112">
        <v>1</v>
      </c>
      <c r="AG29" s="112">
        <v>1</v>
      </c>
      <c r="AH29" s="112">
        <v>0</v>
      </c>
      <c r="AI29" s="112">
        <v>0</v>
      </c>
      <c r="AJ29" s="112">
        <v>0</v>
      </c>
      <c r="AK29" s="112">
        <v>0</v>
      </c>
      <c r="AL29" s="112">
        <v>0</v>
      </c>
      <c r="AM29" s="112">
        <v>0</v>
      </c>
      <c r="AN29" s="112">
        <v>1</v>
      </c>
      <c r="AO29" s="112">
        <v>1</v>
      </c>
      <c r="AP29" s="112">
        <v>0</v>
      </c>
      <c r="AQ29" s="112">
        <v>0</v>
      </c>
      <c r="AR29" s="112">
        <v>0</v>
      </c>
      <c r="AS29" s="112">
        <v>0</v>
      </c>
      <c r="AT29" s="112">
        <v>0</v>
      </c>
      <c r="AU29" s="112">
        <v>0</v>
      </c>
      <c r="AV29" s="112">
        <v>0</v>
      </c>
      <c r="AW29" s="112">
        <v>0</v>
      </c>
      <c r="AX29" s="112">
        <v>0</v>
      </c>
      <c r="AY29" s="112">
        <v>0</v>
      </c>
      <c r="AZ29" s="112">
        <v>0</v>
      </c>
      <c r="BA29" s="112">
        <v>0</v>
      </c>
      <c r="BB29" s="112">
        <v>0</v>
      </c>
      <c r="BC29" s="112">
        <v>0</v>
      </c>
    </row>
    <row r="30" spans="1:55" customFormat="1" x14ac:dyDescent="0.15">
      <c r="A30" s="189" t="s">
        <v>220</v>
      </c>
      <c r="B30" s="112">
        <v>1</v>
      </c>
      <c r="C30" s="112">
        <v>1</v>
      </c>
      <c r="D30" s="112">
        <v>1</v>
      </c>
      <c r="E30" s="112">
        <v>1</v>
      </c>
      <c r="F30" s="112">
        <v>0</v>
      </c>
      <c r="G30" s="112">
        <v>1</v>
      </c>
      <c r="H30" s="112">
        <v>1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1</v>
      </c>
      <c r="O30" s="112">
        <v>0</v>
      </c>
      <c r="P30" s="112">
        <v>1</v>
      </c>
      <c r="Q30" s="112">
        <v>0</v>
      </c>
      <c r="R30" s="112">
        <v>0</v>
      </c>
      <c r="S30" s="112">
        <v>1</v>
      </c>
      <c r="T30" s="112">
        <v>1</v>
      </c>
      <c r="U30" s="112">
        <v>0</v>
      </c>
      <c r="V30" s="112">
        <v>0</v>
      </c>
      <c r="W30" s="112">
        <v>1</v>
      </c>
      <c r="X30" s="112">
        <v>1</v>
      </c>
      <c r="Y30" s="112">
        <v>1</v>
      </c>
      <c r="Z30" s="112">
        <v>0</v>
      </c>
      <c r="AA30" s="112">
        <v>1</v>
      </c>
      <c r="AB30" s="112">
        <v>0</v>
      </c>
      <c r="AC30" s="112">
        <v>1</v>
      </c>
      <c r="AD30" s="112">
        <v>1</v>
      </c>
      <c r="AE30" s="112">
        <v>0</v>
      </c>
      <c r="AF30" s="112">
        <v>1</v>
      </c>
      <c r="AG30" s="112">
        <v>1</v>
      </c>
      <c r="AH30" s="112">
        <v>0</v>
      </c>
      <c r="AI30" s="112">
        <v>0</v>
      </c>
      <c r="AJ30" s="112">
        <v>0</v>
      </c>
      <c r="AK30" s="112">
        <v>0</v>
      </c>
      <c r="AL30" s="112">
        <v>0</v>
      </c>
      <c r="AM30" s="112">
        <v>0</v>
      </c>
      <c r="AN30" s="112">
        <v>0</v>
      </c>
      <c r="AO30" s="112">
        <v>1</v>
      </c>
      <c r="AP30" s="112">
        <v>0</v>
      </c>
      <c r="AQ30" s="112">
        <v>0</v>
      </c>
      <c r="AR30" s="112">
        <v>0</v>
      </c>
      <c r="AS30" s="112">
        <v>0</v>
      </c>
      <c r="AT30" s="112">
        <v>0</v>
      </c>
      <c r="AU30" s="112">
        <v>0</v>
      </c>
      <c r="AV30" s="112">
        <v>0</v>
      </c>
      <c r="AW30" s="112">
        <v>0</v>
      </c>
      <c r="AX30" s="112">
        <v>0</v>
      </c>
      <c r="AY30" s="112">
        <v>0</v>
      </c>
      <c r="AZ30" s="112">
        <v>0</v>
      </c>
      <c r="BA30" s="112">
        <v>0</v>
      </c>
      <c r="BB30" s="112">
        <v>0</v>
      </c>
      <c r="BC30" s="112">
        <v>0</v>
      </c>
    </row>
    <row r="31" spans="1:55" customFormat="1" x14ac:dyDescent="0.15">
      <c r="A31" s="189" t="s">
        <v>221</v>
      </c>
      <c r="B31" s="112">
        <v>1</v>
      </c>
      <c r="C31" s="112">
        <v>0</v>
      </c>
      <c r="D31" s="112">
        <v>0</v>
      </c>
      <c r="E31" s="112">
        <v>1</v>
      </c>
      <c r="F31" s="112">
        <v>0</v>
      </c>
      <c r="G31" s="112">
        <v>0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</v>
      </c>
      <c r="AC31" s="112">
        <v>0</v>
      </c>
      <c r="AD31" s="112">
        <v>0</v>
      </c>
      <c r="AE31" s="112">
        <v>0</v>
      </c>
      <c r="AF31" s="112">
        <v>0</v>
      </c>
      <c r="AG31" s="112">
        <v>1</v>
      </c>
      <c r="AH31" s="112">
        <v>0</v>
      </c>
      <c r="AI31" s="112">
        <v>0</v>
      </c>
      <c r="AJ31" s="112">
        <v>0</v>
      </c>
      <c r="AK31" s="112">
        <v>0</v>
      </c>
      <c r="AL31" s="112">
        <v>0</v>
      </c>
      <c r="AM31" s="112">
        <v>0</v>
      </c>
      <c r="AN31" s="112">
        <v>0</v>
      </c>
      <c r="AO31" s="112">
        <v>0</v>
      </c>
      <c r="AP31" s="112">
        <v>0</v>
      </c>
      <c r="AQ31" s="112">
        <v>0</v>
      </c>
      <c r="AR31" s="112">
        <v>0</v>
      </c>
      <c r="AS31" s="112">
        <v>0</v>
      </c>
      <c r="AT31" s="112">
        <v>0</v>
      </c>
      <c r="AU31" s="112">
        <v>0</v>
      </c>
      <c r="AV31" s="112">
        <v>0</v>
      </c>
      <c r="AW31" s="112">
        <v>0</v>
      </c>
      <c r="AX31" s="112">
        <v>0</v>
      </c>
      <c r="AY31" s="112">
        <v>0</v>
      </c>
      <c r="AZ31" s="112">
        <v>0</v>
      </c>
      <c r="BA31" s="112">
        <v>0</v>
      </c>
      <c r="BB31" s="112">
        <v>0</v>
      </c>
      <c r="BC31" s="112">
        <v>0</v>
      </c>
    </row>
    <row r="32" spans="1:55" x14ac:dyDescent="0.15">
      <c r="A32" s="189" t="s">
        <v>222</v>
      </c>
      <c r="B32" s="112">
        <v>0</v>
      </c>
      <c r="C32" s="112">
        <v>1</v>
      </c>
      <c r="D32" s="112">
        <v>0</v>
      </c>
      <c r="E32" s="112">
        <v>0</v>
      </c>
      <c r="F32" s="112">
        <v>0</v>
      </c>
      <c r="G32" s="112">
        <v>0</v>
      </c>
      <c r="H32" s="112">
        <v>0</v>
      </c>
      <c r="I32" s="112">
        <v>0</v>
      </c>
      <c r="J32" s="112">
        <v>0</v>
      </c>
      <c r="K32" s="112">
        <v>0</v>
      </c>
      <c r="L32" s="112">
        <v>0</v>
      </c>
      <c r="M32" s="112">
        <v>0</v>
      </c>
      <c r="N32" s="112">
        <v>0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</v>
      </c>
      <c r="AA32" s="112">
        <v>0</v>
      </c>
      <c r="AB32" s="112">
        <v>0</v>
      </c>
      <c r="AC32" s="112">
        <v>0</v>
      </c>
      <c r="AD32" s="112">
        <v>0</v>
      </c>
      <c r="AE32" s="112">
        <v>0</v>
      </c>
      <c r="AF32" s="112">
        <v>0</v>
      </c>
      <c r="AG32" s="112">
        <v>0</v>
      </c>
      <c r="AH32" s="112">
        <v>0</v>
      </c>
      <c r="AI32" s="112">
        <v>0</v>
      </c>
      <c r="AJ32" s="112">
        <v>0</v>
      </c>
      <c r="AK32" s="112">
        <v>0</v>
      </c>
      <c r="AL32" s="112">
        <v>0</v>
      </c>
      <c r="AM32" s="112">
        <v>0</v>
      </c>
      <c r="AN32" s="112">
        <v>0</v>
      </c>
      <c r="AO32" s="112">
        <v>0</v>
      </c>
      <c r="AP32" s="112">
        <v>0</v>
      </c>
      <c r="AQ32" s="112">
        <v>0</v>
      </c>
      <c r="AR32" s="112">
        <v>0</v>
      </c>
      <c r="AS32" s="112">
        <v>0</v>
      </c>
      <c r="AT32" s="112">
        <v>0</v>
      </c>
      <c r="AU32" s="112">
        <v>0</v>
      </c>
      <c r="AV32" s="112">
        <v>0</v>
      </c>
      <c r="AW32" s="112">
        <v>0</v>
      </c>
      <c r="AX32" s="112">
        <v>0</v>
      </c>
      <c r="AY32" s="112">
        <v>0</v>
      </c>
      <c r="AZ32" s="112">
        <v>0</v>
      </c>
      <c r="BA32" s="112">
        <v>0</v>
      </c>
      <c r="BB32" s="112">
        <v>0</v>
      </c>
      <c r="BC32" s="112">
        <v>0</v>
      </c>
    </row>
    <row r="33" spans="1:55" x14ac:dyDescent="0.15">
      <c r="A33" s="189" t="s">
        <v>223</v>
      </c>
      <c r="B33" s="112">
        <v>0</v>
      </c>
      <c r="C33" s="112">
        <v>1</v>
      </c>
      <c r="D33" s="112">
        <v>0</v>
      </c>
      <c r="E33" s="112">
        <v>1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1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1</v>
      </c>
      <c r="AH33" s="112">
        <v>0</v>
      </c>
      <c r="AI33" s="112">
        <v>0</v>
      </c>
      <c r="AJ33" s="112">
        <v>0</v>
      </c>
      <c r="AK33" s="112">
        <v>0</v>
      </c>
      <c r="AL33" s="112">
        <v>0</v>
      </c>
      <c r="AM33" s="112">
        <v>0</v>
      </c>
      <c r="AN33" s="112">
        <v>0</v>
      </c>
      <c r="AO33" s="112">
        <v>0</v>
      </c>
      <c r="AP33" s="112">
        <v>0</v>
      </c>
      <c r="AQ33" s="112">
        <v>0</v>
      </c>
      <c r="AR33" s="112">
        <v>0</v>
      </c>
      <c r="AS33" s="112">
        <v>0</v>
      </c>
      <c r="AT33" s="112">
        <v>0</v>
      </c>
      <c r="AU33" s="112">
        <v>0</v>
      </c>
      <c r="AV33" s="112">
        <v>0</v>
      </c>
      <c r="AW33" s="112">
        <v>0</v>
      </c>
      <c r="AX33" s="112">
        <v>0</v>
      </c>
      <c r="AY33" s="112">
        <v>0</v>
      </c>
      <c r="AZ33" s="112">
        <v>0</v>
      </c>
      <c r="BA33" s="112">
        <v>0</v>
      </c>
      <c r="BB33" s="112">
        <v>0</v>
      </c>
      <c r="BC33" s="112">
        <v>0</v>
      </c>
    </row>
    <row r="34" spans="1:55" x14ac:dyDescent="0.15">
      <c r="A34" s="189" t="s">
        <v>224</v>
      </c>
      <c r="B34" s="112">
        <v>1</v>
      </c>
      <c r="C34" s="112">
        <v>0</v>
      </c>
      <c r="D34" s="112">
        <v>1</v>
      </c>
      <c r="E34" s="112">
        <v>1</v>
      </c>
      <c r="F34" s="112">
        <v>0</v>
      </c>
      <c r="G34" s="112">
        <v>0</v>
      </c>
      <c r="H34" s="112">
        <v>1</v>
      </c>
      <c r="I34" s="112">
        <v>0</v>
      </c>
      <c r="J34" s="112">
        <v>1</v>
      </c>
      <c r="K34" s="112">
        <v>0</v>
      </c>
      <c r="L34" s="112">
        <v>1</v>
      </c>
      <c r="M34" s="112">
        <v>0</v>
      </c>
      <c r="N34" s="112">
        <v>1</v>
      </c>
      <c r="O34" s="112">
        <v>1</v>
      </c>
      <c r="P34" s="112">
        <v>1</v>
      </c>
      <c r="Q34" s="112">
        <v>0</v>
      </c>
      <c r="R34" s="112">
        <v>1</v>
      </c>
      <c r="S34" s="112">
        <v>1</v>
      </c>
      <c r="T34" s="112">
        <v>1</v>
      </c>
      <c r="U34" s="112">
        <v>1</v>
      </c>
      <c r="V34" s="112">
        <v>1</v>
      </c>
      <c r="W34" s="112">
        <v>1</v>
      </c>
      <c r="X34" s="112">
        <v>1</v>
      </c>
      <c r="Y34" s="112">
        <v>1</v>
      </c>
      <c r="Z34" s="112">
        <v>1</v>
      </c>
      <c r="AA34" s="112">
        <v>1</v>
      </c>
      <c r="AB34" s="112">
        <v>1</v>
      </c>
      <c r="AC34" s="112">
        <v>1</v>
      </c>
      <c r="AD34" s="112">
        <v>1</v>
      </c>
      <c r="AE34" s="112">
        <v>1</v>
      </c>
      <c r="AF34" s="112">
        <v>1</v>
      </c>
      <c r="AG34" s="112">
        <v>1</v>
      </c>
      <c r="AH34" s="112">
        <v>1</v>
      </c>
      <c r="AI34" s="112">
        <v>0</v>
      </c>
      <c r="AJ34" s="112">
        <v>0</v>
      </c>
      <c r="AK34" s="112">
        <v>1</v>
      </c>
      <c r="AL34" s="112">
        <v>0</v>
      </c>
      <c r="AM34" s="112">
        <v>1</v>
      </c>
      <c r="AN34" s="112">
        <v>1</v>
      </c>
      <c r="AO34" s="112">
        <v>1</v>
      </c>
      <c r="AP34" s="112">
        <v>0</v>
      </c>
      <c r="AQ34" s="112">
        <v>0</v>
      </c>
      <c r="AR34" s="112">
        <v>0</v>
      </c>
      <c r="AS34" s="112">
        <v>0</v>
      </c>
      <c r="AT34" s="112">
        <v>0</v>
      </c>
      <c r="AU34" s="112">
        <v>0</v>
      </c>
      <c r="AV34" s="112">
        <v>0</v>
      </c>
      <c r="AW34" s="112">
        <v>0</v>
      </c>
      <c r="AX34" s="112">
        <v>0</v>
      </c>
      <c r="AY34" s="112">
        <v>0</v>
      </c>
      <c r="AZ34" s="112">
        <v>0</v>
      </c>
      <c r="BA34" s="112">
        <v>0</v>
      </c>
      <c r="BB34" s="112">
        <v>0</v>
      </c>
      <c r="BC34" s="112">
        <v>0</v>
      </c>
    </row>
    <row r="35" spans="1:55" x14ac:dyDescent="0.15">
      <c r="A35" s="189" t="s">
        <v>225</v>
      </c>
      <c r="B35" s="112">
        <v>1</v>
      </c>
      <c r="C35" s="112">
        <v>0</v>
      </c>
      <c r="D35" s="112">
        <v>1</v>
      </c>
      <c r="E35" s="112">
        <v>1</v>
      </c>
      <c r="F35" s="112">
        <v>0</v>
      </c>
      <c r="G35" s="112">
        <v>0</v>
      </c>
      <c r="H35" s="112">
        <v>1</v>
      </c>
      <c r="I35" s="112">
        <v>1</v>
      </c>
      <c r="J35" s="112">
        <v>1</v>
      </c>
      <c r="K35" s="112">
        <v>1</v>
      </c>
      <c r="L35" s="112">
        <v>1</v>
      </c>
      <c r="M35" s="112">
        <v>0</v>
      </c>
      <c r="N35" s="112">
        <v>1</v>
      </c>
      <c r="O35" s="112">
        <v>1</v>
      </c>
      <c r="P35" s="112">
        <v>1</v>
      </c>
      <c r="Q35" s="112">
        <v>0</v>
      </c>
      <c r="R35" s="112">
        <v>0</v>
      </c>
      <c r="S35" s="112">
        <v>1</v>
      </c>
      <c r="T35" s="112">
        <v>1</v>
      </c>
      <c r="U35" s="112">
        <v>0</v>
      </c>
      <c r="V35" s="112">
        <v>0</v>
      </c>
      <c r="W35" s="112">
        <v>1</v>
      </c>
      <c r="X35" s="112">
        <v>1</v>
      </c>
      <c r="Y35" s="112">
        <v>0</v>
      </c>
      <c r="Z35" s="112">
        <v>1</v>
      </c>
      <c r="AA35" s="112">
        <v>1</v>
      </c>
      <c r="AB35" s="112">
        <v>1</v>
      </c>
      <c r="AC35" s="112">
        <v>1</v>
      </c>
      <c r="AD35" s="112">
        <v>1</v>
      </c>
      <c r="AE35" s="112">
        <v>1</v>
      </c>
      <c r="AF35" s="112">
        <v>0</v>
      </c>
      <c r="AG35" s="112">
        <v>1</v>
      </c>
      <c r="AH35" s="112">
        <v>1</v>
      </c>
      <c r="AI35" s="112">
        <v>1</v>
      </c>
      <c r="AJ35" s="112">
        <v>0</v>
      </c>
      <c r="AK35" s="112">
        <v>1</v>
      </c>
      <c r="AL35" s="112">
        <v>1</v>
      </c>
      <c r="AM35" s="112">
        <v>1</v>
      </c>
      <c r="AN35" s="112">
        <v>1</v>
      </c>
      <c r="AO35" s="112">
        <v>1</v>
      </c>
      <c r="AP35" s="112">
        <v>0</v>
      </c>
      <c r="AQ35" s="112">
        <v>0</v>
      </c>
      <c r="AR35" s="112">
        <v>0</v>
      </c>
      <c r="AS35" s="112">
        <v>0</v>
      </c>
      <c r="AT35" s="112">
        <v>0</v>
      </c>
      <c r="AU35" s="112">
        <v>0</v>
      </c>
      <c r="AV35" s="112">
        <v>0</v>
      </c>
      <c r="AW35" s="112">
        <v>0</v>
      </c>
      <c r="AX35" s="112">
        <v>0</v>
      </c>
      <c r="AY35" s="112">
        <v>0</v>
      </c>
      <c r="AZ35" s="112">
        <v>0</v>
      </c>
      <c r="BA35" s="112">
        <v>0</v>
      </c>
      <c r="BB35" s="112">
        <v>0</v>
      </c>
      <c r="BC35" s="112">
        <v>0</v>
      </c>
    </row>
    <row r="36" spans="1:55" x14ac:dyDescent="0.15">
      <c r="A36" s="189" t="s">
        <v>226</v>
      </c>
      <c r="B36" s="112">
        <v>0</v>
      </c>
      <c r="C36" s="112">
        <v>0</v>
      </c>
      <c r="D36" s="112">
        <v>0</v>
      </c>
      <c r="E36" s="112">
        <v>1</v>
      </c>
      <c r="F36" s="112">
        <v>0</v>
      </c>
      <c r="G36" s="112">
        <v>0</v>
      </c>
      <c r="H36" s="112">
        <v>1</v>
      </c>
      <c r="I36" s="112">
        <v>1</v>
      </c>
      <c r="J36" s="112">
        <v>1</v>
      </c>
      <c r="K36" s="112">
        <v>1</v>
      </c>
      <c r="L36" s="112">
        <v>1</v>
      </c>
      <c r="M36" s="112">
        <v>1</v>
      </c>
      <c r="N36" s="112">
        <v>1</v>
      </c>
      <c r="O36" s="112">
        <v>1</v>
      </c>
      <c r="P36" s="112">
        <v>1</v>
      </c>
      <c r="Q36" s="112">
        <v>0</v>
      </c>
      <c r="R36" s="112">
        <v>1</v>
      </c>
      <c r="S36" s="112">
        <v>1</v>
      </c>
      <c r="T36" s="112">
        <v>1</v>
      </c>
      <c r="U36" s="112">
        <v>1</v>
      </c>
      <c r="V36" s="112">
        <v>0</v>
      </c>
      <c r="W36" s="112">
        <v>1</v>
      </c>
      <c r="X36" s="112">
        <v>1</v>
      </c>
      <c r="Y36" s="112">
        <v>1</v>
      </c>
      <c r="Z36" s="112">
        <v>1</v>
      </c>
      <c r="AA36" s="112">
        <v>0</v>
      </c>
      <c r="AB36" s="112">
        <v>0</v>
      </c>
      <c r="AC36" s="112">
        <v>1</v>
      </c>
      <c r="AD36" s="112">
        <v>1</v>
      </c>
      <c r="AE36" s="112">
        <v>1</v>
      </c>
      <c r="AF36" s="112">
        <v>0</v>
      </c>
      <c r="AG36" s="112">
        <v>1</v>
      </c>
      <c r="AH36" s="112">
        <v>1</v>
      </c>
      <c r="AI36" s="112">
        <v>1</v>
      </c>
      <c r="AJ36" s="112">
        <v>0</v>
      </c>
      <c r="AK36" s="112">
        <v>1</v>
      </c>
      <c r="AL36" s="112">
        <v>1</v>
      </c>
      <c r="AM36" s="112">
        <v>0</v>
      </c>
      <c r="AN36" s="112">
        <v>1</v>
      </c>
      <c r="AO36" s="112">
        <v>1</v>
      </c>
      <c r="AP36" s="112">
        <v>0</v>
      </c>
      <c r="AQ36" s="112">
        <v>0</v>
      </c>
      <c r="AR36" s="112">
        <v>1</v>
      </c>
      <c r="AS36" s="112">
        <v>0</v>
      </c>
      <c r="AT36" s="112">
        <v>0</v>
      </c>
      <c r="AU36" s="112">
        <v>0</v>
      </c>
      <c r="AV36" s="112">
        <v>0</v>
      </c>
      <c r="AW36" s="112">
        <v>0</v>
      </c>
      <c r="AX36" s="112">
        <v>0</v>
      </c>
      <c r="AY36" s="112">
        <v>0</v>
      </c>
      <c r="AZ36" s="112">
        <v>0</v>
      </c>
      <c r="BA36" s="112">
        <v>0</v>
      </c>
      <c r="BB36" s="112">
        <v>0</v>
      </c>
      <c r="BC36" s="112">
        <v>0</v>
      </c>
    </row>
    <row r="37" spans="1:55" x14ac:dyDescent="0.15">
      <c r="A37" s="189" t="s">
        <v>227</v>
      </c>
      <c r="B37" s="112">
        <v>1</v>
      </c>
      <c r="C37" s="112">
        <v>0</v>
      </c>
      <c r="D37" s="112">
        <v>1</v>
      </c>
      <c r="E37" s="112">
        <v>0</v>
      </c>
      <c r="F37" s="112">
        <v>0</v>
      </c>
      <c r="G37" s="112">
        <v>0</v>
      </c>
      <c r="H37" s="112">
        <v>0</v>
      </c>
      <c r="I37" s="112">
        <v>0</v>
      </c>
      <c r="J37" s="112">
        <v>1</v>
      </c>
      <c r="K37" s="112">
        <v>0</v>
      </c>
      <c r="L37" s="112">
        <v>1</v>
      </c>
      <c r="M37" s="112">
        <v>0</v>
      </c>
      <c r="N37" s="112">
        <v>0</v>
      </c>
      <c r="O37" s="112">
        <v>1</v>
      </c>
      <c r="P37" s="112">
        <v>1</v>
      </c>
      <c r="Q37" s="112">
        <v>0</v>
      </c>
      <c r="R37" s="112">
        <v>0</v>
      </c>
      <c r="S37" s="112">
        <v>0</v>
      </c>
      <c r="T37" s="112">
        <v>1</v>
      </c>
      <c r="U37" s="112">
        <v>0</v>
      </c>
      <c r="V37" s="112">
        <v>0</v>
      </c>
      <c r="W37" s="112">
        <v>0</v>
      </c>
      <c r="X37" s="112">
        <v>0</v>
      </c>
      <c r="Y37" s="112">
        <v>0</v>
      </c>
      <c r="Z37" s="112">
        <v>0</v>
      </c>
      <c r="AA37" s="112">
        <v>0</v>
      </c>
      <c r="AB37" s="112">
        <v>0</v>
      </c>
      <c r="AC37" s="112">
        <v>0</v>
      </c>
      <c r="AD37" s="112">
        <v>0</v>
      </c>
      <c r="AE37" s="112">
        <v>1</v>
      </c>
      <c r="AF37" s="112">
        <v>1</v>
      </c>
      <c r="AG37" s="112">
        <v>0</v>
      </c>
      <c r="AH37" s="112">
        <v>1</v>
      </c>
      <c r="AI37" s="112">
        <v>0</v>
      </c>
      <c r="AJ37" s="112">
        <v>0</v>
      </c>
      <c r="AK37" s="112">
        <v>1</v>
      </c>
      <c r="AL37" s="112">
        <v>0</v>
      </c>
      <c r="AM37" s="112">
        <v>1</v>
      </c>
      <c r="AN37" s="112">
        <v>1</v>
      </c>
      <c r="AO37" s="112">
        <v>1</v>
      </c>
      <c r="AP37" s="112">
        <v>0</v>
      </c>
      <c r="AQ37" s="112">
        <v>0</v>
      </c>
      <c r="AR37" s="112">
        <v>0</v>
      </c>
      <c r="AS37" s="112">
        <v>0</v>
      </c>
      <c r="AT37" s="112">
        <v>0</v>
      </c>
      <c r="AU37" s="112">
        <v>0</v>
      </c>
      <c r="AV37" s="112">
        <v>0</v>
      </c>
      <c r="AW37" s="112">
        <v>0</v>
      </c>
      <c r="AX37" s="112">
        <v>0</v>
      </c>
      <c r="AY37" s="112">
        <v>0</v>
      </c>
      <c r="AZ37" s="112">
        <v>0</v>
      </c>
      <c r="BA37" s="112">
        <v>0</v>
      </c>
      <c r="BB37" s="112">
        <v>0</v>
      </c>
      <c r="BC37" s="112">
        <v>0</v>
      </c>
    </row>
    <row r="38" spans="1:55" x14ac:dyDescent="0.15">
      <c r="A38" s="189" t="s">
        <v>228</v>
      </c>
      <c r="B38" s="112">
        <v>1</v>
      </c>
      <c r="C38" s="112">
        <v>0</v>
      </c>
      <c r="D38" s="112">
        <v>1</v>
      </c>
      <c r="E38" s="112">
        <v>0</v>
      </c>
      <c r="F38" s="112">
        <v>0</v>
      </c>
      <c r="G38" s="112">
        <v>0</v>
      </c>
      <c r="H38" s="112">
        <v>0</v>
      </c>
      <c r="I38" s="112">
        <v>0</v>
      </c>
      <c r="J38" s="112">
        <v>1</v>
      </c>
      <c r="K38" s="112">
        <v>0</v>
      </c>
      <c r="L38" s="112">
        <v>1</v>
      </c>
      <c r="M38" s="112">
        <v>1</v>
      </c>
      <c r="N38" s="112">
        <v>0</v>
      </c>
      <c r="O38" s="112">
        <v>1</v>
      </c>
      <c r="P38" s="112">
        <v>1</v>
      </c>
      <c r="Q38" s="112">
        <v>0</v>
      </c>
      <c r="R38" s="112">
        <v>0</v>
      </c>
      <c r="S38" s="112">
        <v>0</v>
      </c>
      <c r="T38" s="112">
        <v>0</v>
      </c>
      <c r="U38" s="112">
        <v>0</v>
      </c>
      <c r="V38" s="112">
        <v>0</v>
      </c>
      <c r="W38" s="112">
        <v>0</v>
      </c>
      <c r="X38" s="112">
        <v>0</v>
      </c>
      <c r="Y38" s="112">
        <v>0</v>
      </c>
      <c r="Z38" s="112">
        <v>0</v>
      </c>
      <c r="AA38" s="112">
        <v>0</v>
      </c>
      <c r="AB38" s="112">
        <v>0</v>
      </c>
      <c r="AC38" s="112">
        <v>0</v>
      </c>
      <c r="AD38" s="112">
        <v>0</v>
      </c>
      <c r="AE38" s="112">
        <v>0</v>
      </c>
      <c r="AF38" s="112">
        <v>1</v>
      </c>
      <c r="AG38" s="112">
        <v>0</v>
      </c>
      <c r="AH38" s="112">
        <v>1</v>
      </c>
      <c r="AI38" s="112">
        <v>1</v>
      </c>
      <c r="AJ38" s="112">
        <v>0</v>
      </c>
      <c r="AK38" s="112">
        <v>1</v>
      </c>
      <c r="AL38" s="112">
        <v>1</v>
      </c>
      <c r="AM38" s="112">
        <v>1</v>
      </c>
      <c r="AN38" s="112">
        <v>1</v>
      </c>
      <c r="AO38" s="112">
        <v>1</v>
      </c>
      <c r="AP38" s="112">
        <v>0</v>
      </c>
      <c r="AQ38" s="112">
        <v>0</v>
      </c>
      <c r="AR38" s="112">
        <v>0</v>
      </c>
      <c r="AS38" s="112">
        <v>0</v>
      </c>
      <c r="AT38" s="112">
        <v>0</v>
      </c>
      <c r="AU38" s="112">
        <v>0</v>
      </c>
      <c r="AV38" s="112">
        <v>0</v>
      </c>
      <c r="AW38" s="112">
        <v>0</v>
      </c>
      <c r="AX38" s="112">
        <v>0</v>
      </c>
      <c r="AY38" s="112">
        <v>0</v>
      </c>
      <c r="AZ38" s="112">
        <v>0</v>
      </c>
      <c r="BA38" s="112">
        <v>0</v>
      </c>
      <c r="BB38" s="112">
        <v>0</v>
      </c>
      <c r="BC38" s="112">
        <v>0</v>
      </c>
    </row>
    <row r="39" spans="1:55" x14ac:dyDescent="0.15">
      <c r="A39" s="189" t="s">
        <v>229</v>
      </c>
      <c r="B39" s="112">
        <v>1</v>
      </c>
      <c r="C39" s="112">
        <v>0</v>
      </c>
      <c r="D39" s="112">
        <v>1</v>
      </c>
      <c r="E39" s="112">
        <v>1</v>
      </c>
      <c r="F39" s="112">
        <v>0</v>
      </c>
      <c r="G39" s="112">
        <v>0</v>
      </c>
      <c r="H39" s="112">
        <v>0</v>
      </c>
      <c r="I39" s="112">
        <v>0</v>
      </c>
      <c r="J39" s="112">
        <v>0</v>
      </c>
      <c r="K39" s="112">
        <v>0</v>
      </c>
      <c r="L39" s="112">
        <v>0</v>
      </c>
      <c r="M39" s="112">
        <v>0</v>
      </c>
      <c r="N39" s="112">
        <v>0</v>
      </c>
      <c r="O39" s="112">
        <v>0</v>
      </c>
      <c r="P39" s="112">
        <v>0</v>
      </c>
      <c r="Q39" s="112">
        <v>0</v>
      </c>
      <c r="R39" s="112">
        <v>0</v>
      </c>
      <c r="S39" s="112">
        <v>0</v>
      </c>
      <c r="T39" s="112">
        <v>0</v>
      </c>
      <c r="U39" s="112">
        <v>0</v>
      </c>
      <c r="V39" s="112">
        <v>0</v>
      </c>
      <c r="W39" s="112">
        <v>0</v>
      </c>
      <c r="X39" s="112">
        <v>0</v>
      </c>
      <c r="Y39" s="112">
        <v>1</v>
      </c>
      <c r="Z39" s="112">
        <v>0</v>
      </c>
      <c r="AA39" s="112">
        <v>0</v>
      </c>
      <c r="AB39" s="112">
        <v>0</v>
      </c>
      <c r="AC39" s="112">
        <v>0</v>
      </c>
      <c r="AD39" s="112">
        <v>0</v>
      </c>
      <c r="AE39" s="112">
        <v>0</v>
      </c>
      <c r="AF39" s="112">
        <v>1</v>
      </c>
      <c r="AG39" s="112">
        <v>0</v>
      </c>
      <c r="AH39" s="112">
        <v>0</v>
      </c>
      <c r="AI39" s="112">
        <v>0</v>
      </c>
      <c r="AJ39" s="112">
        <v>0</v>
      </c>
      <c r="AK39" s="112">
        <v>0</v>
      </c>
      <c r="AL39" s="112">
        <v>0</v>
      </c>
      <c r="AM39" s="112">
        <v>1</v>
      </c>
      <c r="AN39" s="112">
        <v>0</v>
      </c>
      <c r="AO39" s="112">
        <v>1</v>
      </c>
      <c r="AP39" s="112">
        <v>0</v>
      </c>
      <c r="AQ39" s="112">
        <v>0</v>
      </c>
      <c r="AR39" s="112">
        <v>0</v>
      </c>
      <c r="AS39" s="112">
        <v>0</v>
      </c>
      <c r="AT39" s="112">
        <v>0</v>
      </c>
      <c r="AU39" s="112">
        <v>0</v>
      </c>
      <c r="AV39" s="112">
        <v>0</v>
      </c>
      <c r="AW39" s="112">
        <v>0</v>
      </c>
      <c r="AX39" s="112">
        <v>0</v>
      </c>
      <c r="AY39" s="112">
        <v>0</v>
      </c>
      <c r="AZ39" s="112">
        <v>0</v>
      </c>
      <c r="BA39" s="112">
        <v>0</v>
      </c>
      <c r="BB39" s="112">
        <v>0</v>
      </c>
      <c r="BC39" s="112">
        <v>0</v>
      </c>
    </row>
    <row r="40" spans="1:55" x14ac:dyDescent="0.15">
      <c r="A40" s="189" t="s">
        <v>230</v>
      </c>
      <c r="B40" s="112">
        <v>1</v>
      </c>
      <c r="C40" s="112">
        <v>0</v>
      </c>
      <c r="D40" s="112">
        <v>1</v>
      </c>
      <c r="E40" s="112">
        <v>0</v>
      </c>
      <c r="F40" s="112">
        <v>0</v>
      </c>
      <c r="G40" s="112">
        <v>0</v>
      </c>
      <c r="H40" s="112">
        <v>1</v>
      </c>
      <c r="I40" s="112">
        <v>0</v>
      </c>
      <c r="J40" s="112">
        <v>0</v>
      </c>
      <c r="K40" s="112">
        <v>0</v>
      </c>
      <c r="L40" s="112">
        <v>0</v>
      </c>
      <c r="M40" s="112">
        <v>0</v>
      </c>
      <c r="N40" s="112">
        <v>1</v>
      </c>
      <c r="O40" s="112">
        <v>0</v>
      </c>
      <c r="P40" s="112">
        <v>0</v>
      </c>
      <c r="Q40" s="112">
        <v>0</v>
      </c>
      <c r="R40" s="112">
        <v>0</v>
      </c>
      <c r="S40" s="112">
        <v>1</v>
      </c>
      <c r="T40" s="112">
        <v>0</v>
      </c>
      <c r="U40" s="112">
        <v>0</v>
      </c>
      <c r="V40" s="112">
        <v>1</v>
      </c>
      <c r="W40" s="112">
        <v>1</v>
      </c>
      <c r="X40" s="112">
        <v>0</v>
      </c>
      <c r="Y40" s="112">
        <v>1</v>
      </c>
      <c r="Z40" s="112">
        <v>0</v>
      </c>
      <c r="AA40" s="112">
        <v>1</v>
      </c>
      <c r="AB40" s="112">
        <v>0</v>
      </c>
      <c r="AC40" s="112">
        <v>0</v>
      </c>
      <c r="AD40" s="112">
        <v>0</v>
      </c>
      <c r="AE40" s="112">
        <v>0</v>
      </c>
      <c r="AF40" s="112">
        <v>0</v>
      </c>
      <c r="AG40" s="112">
        <v>1</v>
      </c>
      <c r="AH40" s="112">
        <v>0</v>
      </c>
      <c r="AI40" s="112">
        <v>0</v>
      </c>
      <c r="AJ40" s="112">
        <v>0</v>
      </c>
      <c r="AK40" s="112">
        <v>0</v>
      </c>
      <c r="AL40" s="112">
        <v>0</v>
      </c>
      <c r="AM40" s="112">
        <v>0</v>
      </c>
      <c r="AN40" s="112">
        <v>0</v>
      </c>
      <c r="AO40" s="112">
        <v>1</v>
      </c>
      <c r="AP40" s="112">
        <v>0</v>
      </c>
      <c r="AQ40" s="112">
        <v>0</v>
      </c>
      <c r="AR40" s="112">
        <v>0</v>
      </c>
      <c r="AS40" s="112">
        <v>0</v>
      </c>
      <c r="AT40" s="112">
        <v>0</v>
      </c>
      <c r="AU40" s="112">
        <v>0</v>
      </c>
      <c r="AV40" s="112">
        <v>0</v>
      </c>
      <c r="AW40" s="112">
        <v>0</v>
      </c>
      <c r="AX40" s="112">
        <v>0</v>
      </c>
      <c r="AY40" s="112">
        <v>0</v>
      </c>
      <c r="AZ40" s="112">
        <v>0</v>
      </c>
      <c r="BA40" s="112">
        <v>0</v>
      </c>
      <c r="BB40" s="112">
        <v>0</v>
      </c>
      <c r="BC40" s="112">
        <v>0</v>
      </c>
    </row>
    <row r="41" spans="1:55" x14ac:dyDescent="0.15">
      <c r="A41" s="189" t="s">
        <v>231</v>
      </c>
      <c r="B41" s="112">
        <v>1</v>
      </c>
      <c r="C41" s="112">
        <v>1</v>
      </c>
      <c r="D41" s="112">
        <v>1</v>
      </c>
      <c r="E41" s="112">
        <v>0</v>
      </c>
      <c r="F41" s="112">
        <v>0</v>
      </c>
      <c r="G41" s="112">
        <v>0</v>
      </c>
      <c r="H41" s="112">
        <v>1</v>
      </c>
      <c r="I41" s="112">
        <v>0</v>
      </c>
      <c r="J41" s="112">
        <v>1</v>
      </c>
      <c r="K41" s="112">
        <v>0</v>
      </c>
      <c r="L41" s="112">
        <v>0</v>
      </c>
      <c r="M41" s="112">
        <v>0</v>
      </c>
      <c r="N41" s="112">
        <v>1</v>
      </c>
      <c r="O41" s="112">
        <v>0</v>
      </c>
      <c r="P41" s="112">
        <v>0</v>
      </c>
      <c r="Q41" s="112">
        <v>0</v>
      </c>
      <c r="R41" s="112">
        <v>0</v>
      </c>
      <c r="S41" s="112">
        <v>1</v>
      </c>
      <c r="T41" s="112">
        <v>1</v>
      </c>
      <c r="U41" s="112">
        <v>0</v>
      </c>
      <c r="V41" s="112">
        <v>0</v>
      </c>
      <c r="W41" s="112">
        <v>1</v>
      </c>
      <c r="X41" s="112">
        <v>1</v>
      </c>
      <c r="Y41" s="112">
        <v>0</v>
      </c>
      <c r="Z41" s="112">
        <v>1</v>
      </c>
      <c r="AA41" s="112">
        <v>1</v>
      </c>
      <c r="AB41" s="112">
        <v>0</v>
      </c>
      <c r="AC41" s="112">
        <v>1</v>
      </c>
      <c r="AD41" s="112">
        <v>1</v>
      </c>
      <c r="AE41" s="112">
        <v>1</v>
      </c>
      <c r="AF41" s="112">
        <v>0</v>
      </c>
      <c r="AG41" s="112">
        <v>1</v>
      </c>
      <c r="AH41" s="112">
        <v>0</v>
      </c>
      <c r="AI41" s="112">
        <v>0</v>
      </c>
      <c r="AJ41" s="112">
        <v>0</v>
      </c>
      <c r="AK41" s="112">
        <v>0</v>
      </c>
      <c r="AL41" s="112">
        <v>0</v>
      </c>
      <c r="AM41" s="112">
        <v>0</v>
      </c>
      <c r="AN41" s="112">
        <v>0</v>
      </c>
      <c r="AO41" s="112">
        <v>1</v>
      </c>
      <c r="AP41" s="112">
        <v>0</v>
      </c>
      <c r="AQ41" s="112">
        <v>0</v>
      </c>
      <c r="AR41" s="112">
        <v>0</v>
      </c>
      <c r="AS41" s="112">
        <v>0</v>
      </c>
      <c r="AT41" s="112">
        <v>0</v>
      </c>
      <c r="AU41" s="112">
        <v>0</v>
      </c>
      <c r="AV41" s="112">
        <v>0</v>
      </c>
      <c r="AW41" s="112">
        <v>0</v>
      </c>
      <c r="AX41" s="112">
        <v>0</v>
      </c>
      <c r="AY41" s="112">
        <v>0</v>
      </c>
      <c r="AZ41" s="112">
        <v>0</v>
      </c>
      <c r="BA41" s="112">
        <v>0</v>
      </c>
      <c r="BB41" s="112">
        <v>0</v>
      </c>
      <c r="BC41" s="112">
        <v>0</v>
      </c>
    </row>
    <row r="42" spans="1:55" x14ac:dyDescent="0.15">
      <c r="A42" s="189" t="s">
        <v>232</v>
      </c>
      <c r="B42" s="112">
        <v>1</v>
      </c>
      <c r="C42" s="112">
        <v>0</v>
      </c>
      <c r="D42" s="112">
        <v>1</v>
      </c>
      <c r="E42" s="112">
        <v>1</v>
      </c>
      <c r="F42" s="112">
        <v>0</v>
      </c>
      <c r="G42" s="112">
        <v>0</v>
      </c>
      <c r="H42" s="112">
        <v>1</v>
      </c>
      <c r="I42" s="112">
        <v>1</v>
      </c>
      <c r="J42" s="112">
        <v>1</v>
      </c>
      <c r="K42" s="112">
        <v>1</v>
      </c>
      <c r="L42" s="112">
        <v>0</v>
      </c>
      <c r="M42" s="112">
        <v>1</v>
      </c>
      <c r="N42" s="112">
        <v>1</v>
      </c>
      <c r="O42" s="112">
        <v>0</v>
      </c>
      <c r="P42" s="112">
        <v>0</v>
      </c>
      <c r="Q42" s="112">
        <v>0</v>
      </c>
      <c r="R42" s="112">
        <v>1</v>
      </c>
      <c r="S42" s="112">
        <v>1</v>
      </c>
      <c r="T42" s="112">
        <v>0</v>
      </c>
      <c r="U42" s="112">
        <v>0</v>
      </c>
      <c r="V42" s="112">
        <v>1</v>
      </c>
      <c r="W42" s="112">
        <v>1</v>
      </c>
      <c r="X42" s="112">
        <v>0</v>
      </c>
      <c r="Y42" s="112">
        <v>1</v>
      </c>
      <c r="Z42" s="112">
        <v>1</v>
      </c>
      <c r="AA42" s="112">
        <v>1</v>
      </c>
      <c r="AB42" s="112">
        <v>1</v>
      </c>
      <c r="AC42" s="112">
        <v>1</v>
      </c>
      <c r="AD42" s="112">
        <v>1</v>
      </c>
      <c r="AE42" s="112">
        <v>0</v>
      </c>
      <c r="AF42" s="112">
        <v>1</v>
      </c>
      <c r="AG42" s="112">
        <v>1</v>
      </c>
      <c r="AH42" s="112">
        <v>0</v>
      </c>
      <c r="AI42" s="112">
        <v>0</v>
      </c>
      <c r="AJ42" s="112">
        <v>0</v>
      </c>
      <c r="AK42" s="112">
        <v>0</v>
      </c>
      <c r="AL42" s="112">
        <v>0</v>
      </c>
      <c r="AM42" s="112">
        <v>1</v>
      </c>
      <c r="AN42" s="112">
        <v>0</v>
      </c>
      <c r="AO42" s="112">
        <v>1</v>
      </c>
      <c r="AP42" s="112">
        <v>0</v>
      </c>
      <c r="AQ42" s="112">
        <v>0</v>
      </c>
      <c r="AR42" s="112">
        <v>0</v>
      </c>
      <c r="AS42" s="112">
        <v>0</v>
      </c>
      <c r="AT42" s="112">
        <v>0</v>
      </c>
      <c r="AU42" s="112">
        <v>0</v>
      </c>
      <c r="AV42" s="112">
        <v>0</v>
      </c>
      <c r="AW42" s="112">
        <v>0</v>
      </c>
      <c r="AX42" s="112">
        <v>0</v>
      </c>
      <c r="AY42" s="112">
        <v>0</v>
      </c>
      <c r="AZ42" s="112">
        <v>0</v>
      </c>
      <c r="BA42" s="112">
        <v>0</v>
      </c>
      <c r="BB42" s="112">
        <v>0</v>
      </c>
      <c r="BC42" s="112">
        <v>0</v>
      </c>
    </row>
    <row r="43" spans="1:55" x14ac:dyDescent="0.15">
      <c r="A43" s="189" t="s">
        <v>233</v>
      </c>
      <c r="B43" s="112">
        <v>0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0</v>
      </c>
      <c r="J43" s="112">
        <v>1</v>
      </c>
      <c r="K43" s="112">
        <v>0</v>
      </c>
      <c r="L43" s="112">
        <v>0</v>
      </c>
      <c r="M43" s="112">
        <v>0</v>
      </c>
      <c r="N43" s="112">
        <v>0</v>
      </c>
      <c r="O43" s="112">
        <v>0</v>
      </c>
      <c r="P43" s="112">
        <v>0</v>
      </c>
      <c r="Q43" s="112">
        <v>0</v>
      </c>
      <c r="R43" s="112">
        <v>0</v>
      </c>
      <c r="S43" s="112">
        <v>1</v>
      </c>
      <c r="T43" s="112">
        <v>0</v>
      </c>
      <c r="U43" s="112">
        <v>0</v>
      </c>
      <c r="V43" s="112">
        <v>0</v>
      </c>
      <c r="W43" s="112">
        <v>0</v>
      </c>
      <c r="X43" s="112">
        <v>0</v>
      </c>
      <c r="Y43" s="112">
        <v>0</v>
      </c>
      <c r="Z43" s="112">
        <v>0</v>
      </c>
      <c r="AA43" s="112">
        <v>0</v>
      </c>
      <c r="AB43" s="112">
        <v>0</v>
      </c>
      <c r="AC43" s="112">
        <v>0</v>
      </c>
      <c r="AD43" s="112">
        <v>0</v>
      </c>
      <c r="AE43" s="112">
        <v>0</v>
      </c>
      <c r="AF43" s="112">
        <v>0</v>
      </c>
      <c r="AG43" s="112">
        <v>0</v>
      </c>
      <c r="AH43" s="112">
        <v>1</v>
      </c>
      <c r="AI43" s="112">
        <v>0</v>
      </c>
      <c r="AJ43" s="112">
        <v>0</v>
      </c>
      <c r="AK43" s="112">
        <v>0</v>
      </c>
      <c r="AL43" s="112">
        <v>1</v>
      </c>
      <c r="AM43" s="112">
        <v>0</v>
      </c>
      <c r="AN43" s="112">
        <v>1</v>
      </c>
      <c r="AO43" s="112">
        <v>0</v>
      </c>
      <c r="AP43" s="112">
        <v>0</v>
      </c>
      <c r="AQ43" s="112">
        <v>0</v>
      </c>
      <c r="AR43" s="112">
        <v>0</v>
      </c>
      <c r="AS43" s="112">
        <v>0</v>
      </c>
      <c r="AT43" s="112">
        <v>0</v>
      </c>
      <c r="AU43" s="112">
        <v>0</v>
      </c>
      <c r="AV43" s="112">
        <v>0</v>
      </c>
      <c r="AW43" s="112">
        <v>0</v>
      </c>
      <c r="AX43" s="112">
        <v>0</v>
      </c>
      <c r="AY43" s="112">
        <v>0</v>
      </c>
      <c r="AZ43" s="112">
        <v>0</v>
      </c>
      <c r="BA43" s="112">
        <v>0</v>
      </c>
      <c r="BB43" s="112">
        <v>0</v>
      </c>
      <c r="BC43" s="112">
        <v>0</v>
      </c>
    </row>
    <row r="44" spans="1:55" x14ac:dyDescent="0.15">
      <c r="A44" s="189" t="s">
        <v>234</v>
      </c>
      <c r="B44" s="112">
        <v>0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0</v>
      </c>
      <c r="K44" s="112">
        <v>0</v>
      </c>
      <c r="L44" s="112">
        <v>0</v>
      </c>
      <c r="M44" s="112">
        <v>0</v>
      </c>
      <c r="N44" s="112">
        <v>0</v>
      </c>
      <c r="O44" s="112">
        <v>0</v>
      </c>
      <c r="P44" s="112">
        <v>0</v>
      </c>
      <c r="Q44" s="112">
        <v>0</v>
      </c>
      <c r="R44" s="112">
        <v>0</v>
      </c>
      <c r="S44" s="112">
        <v>0</v>
      </c>
      <c r="T44" s="112">
        <v>0</v>
      </c>
      <c r="U44" s="112">
        <v>0</v>
      </c>
      <c r="V44" s="112">
        <v>0</v>
      </c>
      <c r="W44" s="112">
        <v>0</v>
      </c>
      <c r="X44" s="112">
        <v>0</v>
      </c>
      <c r="Y44" s="112">
        <v>0</v>
      </c>
      <c r="Z44" s="112">
        <v>0</v>
      </c>
      <c r="AA44" s="112">
        <v>0</v>
      </c>
      <c r="AB44" s="112">
        <v>0</v>
      </c>
      <c r="AC44" s="112">
        <v>0</v>
      </c>
      <c r="AD44" s="112">
        <v>0</v>
      </c>
      <c r="AE44" s="112">
        <v>0</v>
      </c>
      <c r="AF44" s="112">
        <v>0</v>
      </c>
      <c r="AG44" s="112">
        <v>0</v>
      </c>
      <c r="AH44" s="112">
        <v>0</v>
      </c>
      <c r="AI44" s="112">
        <v>1</v>
      </c>
      <c r="AJ44" s="112">
        <v>0</v>
      </c>
      <c r="AK44" s="112">
        <v>1</v>
      </c>
      <c r="AL44" s="112">
        <v>1</v>
      </c>
      <c r="AM44" s="112">
        <v>0</v>
      </c>
      <c r="AN44" s="112">
        <v>0</v>
      </c>
      <c r="AO44" s="112">
        <v>0</v>
      </c>
      <c r="AP44" s="112">
        <v>0</v>
      </c>
      <c r="AQ44" s="112">
        <v>0</v>
      </c>
      <c r="AR44" s="112">
        <v>1</v>
      </c>
      <c r="AS44" s="112">
        <v>0</v>
      </c>
      <c r="AT44" s="112">
        <v>0</v>
      </c>
      <c r="AU44" s="112">
        <v>0</v>
      </c>
      <c r="AV44" s="112">
        <v>0</v>
      </c>
      <c r="AW44" s="112">
        <v>0</v>
      </c>
      <c r="AX44" s="112">
        <v>0</v>
      </c>
      <c r="AY44" s="112">
        <v>0</v>
      </c>
      <c r="AZ44" s="112">
        <v>0</v>
      </c>
      <c r="BA44" s="112">
        <v>0</v>
      </c>
      <c r="BB44" s="112">
        <v>0</v>
      </c>
      <c r="BC44" s="112">
        <v>0</v>
      </c>
    </row>
    <row r="45" spans="1:55" x14ac:dyDescent="0.15">
      <c r="A45" s="189" t="s">
        <v>235</v>
      </c>
      <c r="B45" s="112">
        <v>0</v>
      </c>
      <c r="C45" s="112">
        <v>1</v>
      </c>
      <c r="D45" s="112">
        <v>0</v>
      </c>
      <c r="E45" s="112">
        <v>0</v>
      </c>
      <c r="F45" s="112">
        <v>1</v>
      </c>
      <c r="G45" s="112">
        <v>0</v>
      </c>
      <c r="H45" s="112">
        <v>0</v>
      </c>
      <c r="I45" s="112">
        <v>0</v>
      </c>
      <c r="J45" s="112">
        <v>0</v>
      </c>
      <c r="K45" s="112">
        <v>1</v>
      </c>
      <c r="L45" s="112">
        <v>0</v>
      </c>
      <c r="M45" s="112">
        <v>0</v>
      </c>
      <c r="N45" s="112">
        <v>0</v>
      </c>
      <c r="O45" s="112">
        <v>0</v>
      </c>
      <c r="P45" s="112">
        <v>0</v>
      </c>
      <c r="Q45" s="112">
        <v>1</v>
      </c>
      <c r="R45" s="112">
        <v>0</v>
      </c>
      <c r="S45" s="112">
        <v>0</v>
      </c>
      <c r="T45" s="112">
        <v>0</v>
      </c>
      <c r="U45" s="112">
        <v>0</v>
      </c>
      <c r="V45" s="112">
        <v>0</v>
      </c>
      <c r="W45" s="112">
        <v>0</v>
      </c>
      <c r="X45" s="112">
        <v>0</v>
      </c>
      <c r="Y45" s="112">
        <v>0</v>
      </c>
      <c r="Z45" s="112">
        <v>0</v>
      </c>
      <c r="AA45" s="112">
        <v>0</v>
      </c>
      <c r="AB45" s="112">
        <v>0</v>
      </c>
      <c r="AC45" s="112">
        <v>0</v>
      </c>
      <c r="AD45" s="112">
        <v>0</v>
      </c>
      <c r="AE45" s="112">
        <v>0</v>
      </c>
      <c r="AF45" s="112">
        <v>1</v>
      </c>
      <c r="AG45" s="112">
        <v>0</v>
      </c>
      <c r="AH45" s="112">
        <v>1</v>
      </c>
      <c r="AI45" s="112">
        <v>0</v>
      </c>
      <c r="AJ45" s="112">
        <v>0</v>
      </c>
      <c r="AK45" s="112">
        <v>1</v>
      </c>
      <c r="AL45" s="112">
        <v>0</v>
      </c>
      <c r="AM45" s="112">
        <v>0</v>
      </c>
      <c r="AN45" s="112">
        <v>0</v>
      </c>
      <c r="AO45" s="112">
        <v>1</v>
      </c>
      <c r="AP45" s="112">
        <v>0</v>
      </c>
      <c r="AQ45" s="112">
        <v>0</v>
      </c>
      <c r="AR45" s="112">
        <v>0</v>
      </c>
      <c r="AS45" s="112">
        <v>1</v>
      </c>
      <c r="AT45" s="112">
        <v>1</v>
      </c>
      <c r="AU45" s="112">
        <v>0</v>
      </c>
      <c r="AV45" s="112">
        <v>0</v>
      </c>
      <c r="AW45" s="112">
        <v>0</v>
      </c>
      <c r="AX45" s="112">
        <v>0</v>
      </c>
      <c r="AY45" s="112">
        <v>0</v>
      </c>
      <c r="AZ45" s="112">
        <v>0</v>
      </c>
      <c r="BA45" s="112">
        <v>0</v>
      </c>
      <c r="BB45" s="112">
        <v>0</v>
      </c>
      <c r="BC45" s="112">
        <v>0</v>
      </c>
    </row>
    <row r="46" spans="1:55" x14ac:dyDescent="0.15">
      <c r="A46" s="189" t="s">
        <v>236</v>
      </c>
      <c r="B46" s="112">
        <v>0</v>
      </c>
      <c r="C46" s="112">
        <v>1</v>
      </c>
      <c r="D46" s="112">
        <v>0</v>
      </c>
      <c r="E46" s="112">
        <v>0</v>
      </c>
      <c r="F46" s="112">
        <v>1</v>
      </c>
      <c r="G46" s="112">
        <v>0</v>
      </c>
      <c r="H46" s="112">
        <v>1</v>
      </c>
      <c r="I46" s="112">
        <v>1</v>
      </c>
      <c r="J46" s="112">
        <v>1</v>
      </c>
      <c r="K46" s="112">
        <v>1</v>
      </c>
      <c r="L46" s="112">
        <v>0</v>
      </c>
      <c r="M46" s="112">
        <v>1</v>
      </c>
      <c r="N46" s="112">
        <v>1</v>
      </c>
      <c r="O46" s="112">
        <v>0</v>
      </c>
      <c r="P46" s="112">
        <v>0</v>
      </c>
      <c r="Q46" s="112">
        <v>1</v>
      </c>
      <c r="R46" s="112">
        <v>1</v>
      </c>
      <c r="S46" s="112">
        <v>1</v>
      </c>
      <c r="T46" s="112">
        <v>0</v>
      </c>
      <c r="U46" s="112">
        <v>1</v>
      </c>
      <c r="V46" s="112">
        <v>0</v>
      </c>
      <c r="W46" s="112">
        <v>1</v>
      </c>
      <c r="X46" s="112">
        <v>1</v>
      </c>
      <c r="Y46" s="112">
        <v>0</v>
      </c>
      <c r="Z46" s="112">
        <v>1</v>
      </c>
      <c r="AA46" s="112">
        <v>1</v>
      </c>
      <c r="AB46" s="112">
        <v>1</v>
      </c>
      <c r="AC46" s="112">
        <v>1</v>
      </c>
      <c r="AD46" s="112">
        <v>1</v>
      </c>
      <c r="AE46" s="112">
        <v>0</v>
      </c>
      <c r="AF46" s="112">
        <v>1</v>
      </c>
      <c r="AG46" s="112">
        <v>1</v>
      </c>
      <c r="AH46" s="112">
        <v>1</v>
      </c>
      <c r="AI46" s="112">
        <v>0</v>
      </c>
      <c r="AJ46" s="112">
        <v>0</v>
      </c>
      <c r="AK46" s="112">
        <v>1</v>
      </c>
      <c r="AL46" s="112">
        <v>1</v>
      </c>
      <c r="AM46" s="112">
        <v>0</v>
      </c>
      <c r="AN46" s="112">
        <v>0</v>
      </c>
      <c r="AO46" s="112">
        <v>1</v>
      </c>
      <c r="AP46" s="112">
        <v>1</v>
      </c>
      <c r="AQ46" s="112">
        <v>1</v>
      </c>
      <c r="AR46" s="112">
        <v>0</v>
      </c>
      <c r="AS46" s="112">
        <v>1</v>
      </c>
      <c r="AT46" s="112">
        <v>1</v>
      </c>
      <c r="AU46" s="112">
        <v>1</v>
      </c>
      <c r="AV46" s="112">
        <v>0</v>
      </c>
      <c r="AW46" s="112">
        <v>0</v>
      </c>
      <c r="AX46" s="112">
        <v>0</v>
      </c>
      <c r="AY46" s="112">
        <v>0</v>
      </c>
      <c r="AZ46" s="112">
        <v>0</v>
      </c>
      <c r="BA46" s="112">
        <v>0</v>
      </c>
      <c r="BB46" s="112">
        <v>0</v>
      </c>
      <c r="BC46" s="112">
        <v>0</v>
      </c>
    </row>
    <row r="47" spans="1:55" x14ac:dyDescent="0.15">
      <c r="A47" s="189" t="s">
        <v>237</v>
      </c>
      <c r="B47" s="112">
        <v>0</v>
      </c>
      <c r="C47" s="112">
        <v>1</v>
      </c>
      <c r="D47" s="112">
        <v>0</v>
      </c>
      <c r="E47" s="112">
        <v>0</v>
      </c>
      <c r="F47" s="112">
        <v>1</v>
      </c>
      <c r="G47" s="112">
        <v>0</v>
      </c>
      <c r="H47" s="112">
        <v>1</v>
      </c>
      <c r="I47" s="112">
        <v>1</v>
      </c>
      <c r="J47" s="112">
        <v>1</v>
      </c>
      <c r="K47" s="112">
        <v>1</v>
      </c>
      <c r="L47" s="112">
        <v>0</v>
      </c>
      <c r="M47" s="112">
        <v>1</v>
      </c>
      <c r="N47" s="112">
        <v>1</v>
      </c>
      <c r="O47" s="112">
        <v>0</v>
      </c>
      <c r="P47" s="112">
        <v>0</v>
      </c>
      <c r="Q47" s="112">
        <v>1</v>
      </c>
      <c r="R47" s="112">
        <v>1</v>
      </c>
      <c r="S47" s="112">
        <v>1</v>
      </c>
      <c r="T47" s="112">
        <v>0</v>
      </c>
      <c r="U47" s="112">
        <v>1</v>
      </c>
      <c r="V47" s="112">
        <v>0</v>
      </c>
      <c r="W47" s="112">
        <v>1</v>
      </c>
      <c r="X47" s="112">
        <v>1</v>
      </c>
      <c r="Y47" s="112">
        <v>0</v>
      </c>
      <c r="Z47" s="112">
        <v>1</v>
      </c>
      <c r="AA47" s="112">
        <v>1</v>
      </c>
      <c r="AB47" s="112">
        <v>1</v>
      </c>
      <c r="AC47" s="112">
        <v>1</v>
      </c>
      <c r="AD47" s="112">
        <v>1</v>
      </c>
      <c r="AE47" s="112">
        <v>0</v>
      </c>
      <c r="AF47" s="112">
        <v>1</v>
      </c>
      <c r="AG47" s="112">
        <v>1</v>
      </c>
      <c r="AH47" s="112">
        <v>1</v>
      </c>
      <c r="AI47" s="112">
        <v>0</v>
      </c>
      <c r="AJ47" s="112">
        <v>0</v>
      </c>
      <c r="AK47" s="112">
        <v>1</v>
      </c>
      <c r="AL47" s="112">
        <v>1</v>
      </c>
      <c r="AM47" s="112">
        <v>0</v>
      </c>
      <c r="AN47" s="112">
        <v>0</v>
      </c>
      <c r="AO47" s="112">
        <v>1</v>
      </c>
      <c r="AP47" s="112">
        <v>1</v>
      </c>
      <c r="AQ47" s="112">
        <v>1</v>
      </c>
      <c r="AR47" s="112">
        <v>0</v>
      </c>
      <c r="AS47" s="112">
        <v>1</v>
      </c>
      <c r="AT47" s="112">
        <v>1</v>
      </c>
      <c r="AU47" s="112">
        <v>1</v>
      </c>
      <c r="AV47" s="112">
        <v>1</v>
      </c>
      <c r="AW47" s="112">
        <v>0</v>
      </c>
      <c r="AX47" s="112">
        <v>0</v>
      </c>
      <c r="AY47" s="112">
        <v>0</v>
      </c>
      <c r="AZ47" s="112">
        <v>0</v>
      </c>
      <c r="BA47" s="112">
        <v>0</v>
      </c>
      <c r="BB47" s="112">
        <v>0</v>
      </c>
      <c r="BC47" s="112">
        <v>0</v>
      </c>
    </row>
    <row r="48" spans="1:55" x14ac:dyDescent="0.15">
      <c r="A48" s="189" t="s">
        <v>238</v>
      </c>
      <c r="B48" s="112">
        <v>0</v>
      </c>
      <c r="C48" s="112">
        <v>1</v>
      </c>
      <c r="D48" s="112">
        <v>0</v>
      </c>
      <c r="E48" s="112">
        <v>0</v>
      </c>
      <c r="F48" s="112">
        <v>1</v>
      </c>
      <c r="G48" s="112">
        <v>0</v>
      </c>
      <c r="H48" s="112">
        <v>1</v>
      </c>
      <c r="I48" s="112">
        <v>1</v>
      </c>
      <c r="J48" s="112">
        <v>1</v>
      </c>
      <c r="K48" s="112">
        <v>1</v>
      </c>
      <c r="L48" s="112">
        <v>0</v>
      </c>
      <c r="M48" s="112">
        <v>1</v>
      </c>
      <c r="N48" s="112">
        <v>1</v>
      </c>
      <c r="O48" s="112">
        <v>0</v>
      </c>
      <c r="P48" s="112">
        <v>0</v>
      </c>
      <c r="Q48" s="112">
        <v>1</v>
      </c>
      <c r="R48" s="112">
        <v>1</v>
      </c>
      <c r="S48" s="112">
        <v>1</v>
      </c>
      <c r="T48" s="112">
        <v>0</v>
      </c>
      <c r="U48" s="112">
        <v>1</v>
      </c>
      <c r="V48" s="112">
        <v>0</v>
      </c>
      <c r="W48" s="112">
        <v>1</v>
      </c>
      <c r="X48" s="112">
        <v>1</v>
      </c>
      <c r="Y48" s="112">
        <v>0</v>
      </c>
      <c r="Z48" s="112">
        <v>1</v>
      </c>
      <c r="AA48" s="112">
        <v>1</v>
      </c>
      <c r="AB48" s="112">
        <v>1</v>
      </c>
      <c r="AC48" s="112">
        <v>1</v>
      </c>
      <c r="AD48" s="112">
        <v>1</v>
      </c>
      <c r="AE48" s="112">
        <v>0</v>
      </c>
      <c r="AF48" s="112">
        <v>1</v>
      </c>
      <c r="AG48" s="112">
        <v>1</v>
      </c>
      <c r="AH48" s="112">
        <v>1</v>
      </c>
      <c r="AI48" s="112">
        <v>0</v>
      </c>
      <c r="AJ48" s="112">
        <v>0</v>
      </c>
      <c r="AK48" s="112">
        <v>1</v>
      </c>
      <c r="AL48" s="112">
        <v>1</v>
      </c>
      <c r="AM48" s="112">
        <v>0</v>
      </c>
      <c r="AN48" s="112">
        <v>0</v>
      </c>
      <c r="AO48" s="112">
        <v>1</v>
      </c>
      <c r="AP48" s="112">
        <v>1</v>
      </c>
      <c r="AQ48" s="112">
        <v>1</v>
      </c>
      <c r="AR48" s="112">
        <v>0</v>
      </c>
      <c r="AS48" s="112">
        <v>1</v>
      </c>
      <c r="AT48" s="112">
        <v>1</v>
      </c>
      <c r="AU48" s="112">
        <v>1</v>
      </c>
      <c r="AV48" s="112">
        <v>1</v>
      </c>
      <c r="AW48" s="112">
        <v>0</v>
      </c>
      <c r="AX48" s="112">
        <v>0</v>
      </c>
      <c r="AY48" s="112">
        <v>0</v>
      </c>
      <c r="AZ48" s="112">
        <v>0</v>
      </c>
      <c r="BA48" s="112">
        <v>0</v>
      </c>
      <c r="BB48" s="112">
        <v>0</v>
      </c>
      <c r="BC48" s="112">
        <v>0</v>
      </c>
    </row>
    <row r="49" spans="1:55" x14ac:dyDescent="0.15">
      <c r="A49" s="189" t="s">
        <v>239</v>
      </c>
      <c r="B49" s="112">
        <v>0</v>
      </c>
      <c r="C49" s="112">
        <v>0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1</v>
      </c>
      <c r="K49" s="112">
        <v>0</v>
      </c>
      <c r="L49" s="112">
        <v>0</v>
      </c>
      <c r="M49" s="112">
        <v>0</v>
      </c>
      <c r="N49" s="112">
        <v>0</v>
      </c>
      <c r="O49" s="112">
        <v>0</v>
      </c>
      <c r="P49" s="112">
        <v>0</v>
      </c>
      <c r="Q49" s="112">
        <v>0</v>
      </c>
      <c r="R49" s="112">
        <v>0</v>
      </c>
      <c r="S49" s="112">
        <v>0</v>
      </c>
      <c r="T49" s="112">
        <v>0</v>
      </c>
      <c r="U49" s="112">
        <v>0</v>
      </c>
      <c r="V49" s="112">
        <v>0</v>
      </c>
      <c r="W49" s="112">
        <v>0</v>
      </c>
      <c r="X49" s="112">
        <v>0</v>
      </c>
      <c r="Y49" s="112">
        <v>0</v>
      </c>
      <c r="Z49" s="112">
        <v>0</v>
      </c>
      <c r="AA49" s="112">
        <v>0</v>
      </c>
      <c r="AB49" s="112">
        <v>0</v>
      </c>
      <c r="AC49" s="112">
        <v>0</v>
      </c>
      <c r="AD49" s="112">
        <v>0</v>
      </c>
      <c r="AE49" s="112">
        <v>0</v>
      </c>
      <c r="AF49" s="112">
        <v>0</v>
      </c>
      <c r="AG49" s="112">
        <v>0</v>
      </c>
      <c r="AH49" s="112">
        <v>1</v>
      </c>
      <c r="AI49" s="112">
        <v>1</v>
      </c>
      <c r="AJ49" s="112">
        <v>0</v>
      </c>
      <c r="AK49" s="112">
        <v>0</v>
      </c>
      <c r="AL49" s="112">
        <v>0</v>
      </c>
      <c r="AM49" s="112">
        <v>0</v>
      </c>
      <c r="AN49" s="112">
        <v>0</v>
      </c>
      <c r="AO49" s="112">
        <v>0</v>
      </c>
      <c r="AP49" s="112">
        <v>0</v>
      </c>
      <c r="AQ49" s="112">
        <v>0</v>
      </c>
      <c r="AR49" s="112">
        <v>0</v>
      </c>
      <c r="AS49" s="112">
        <v>0</v>
      </c>
      <c r="AT49" s="112">
        <v>0</v>
      </c>
      <c r="AU49" s="112">
        <v>0</v>
      </c>
      <c r="AV49" s="112">
        <v>0</v>
      </c>
      <c r="AW49" s="112">
        <v>0</v>
      </c>
      <c r="AX49" s="112">
        <v>0</v>
      </c>
      <c r="AY49" s="112">
        <v>0</v>
      </c>
      <c r="AZ49" s="112">
        <v>0</v>
      </c>
      <c r="BA49" s="112">
        <v>0</v>
      </c>
      <c r="BB49" s="112">
        <v>0</v>
      </c>
      <c r="BC49" s="112">
        <v>0</v>
      </c>
    </row>
    <row r="50" spans="1:55" x14ac:dyDescent="0.15">
      <c r="A50" s="189" t="s">
        <v>240</v>
      </c>
      <c r="B50" s="112">
        <v>0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0</v>
      </c>
      <c r="P50" s="112">
        <v>0</v>
      </c>
      <c r="Q50" s="112">
        <v>0</v>
      </c>
      <c r="R50" s="112">
        <v>0</v>
      </c>
      <c r="S50" s="112">
        <v>0</v>
      </c>
      <c r="T50" s="112">
        <v>0</v>
      </c>
      <c r="U50" s="112">
        <v>0</v>
      </c>
      <c r="V50" s="112">
        <v>0</v>
      </c>
      <c r="W50" s="112">
        <v>0</v>
      </c>
      <c r="X50" s="112">
        <v>0</v>
      </c>
      <c r="Y50" s="112">
        <v>0</v>
      </c>
      <c r="Z50" s="112">
        <v>0</v>
      </c>
      <c r="AA50" s="112">
        <v>0</v>
      </c>
      <c r="AB50" s="112">
        <v>0</v>
      </c>
      <c r="AC50" s="112">
        <v>0</v>
      </c>
      <c r="AD50" s="112">
        <v>0</v>
      </c>
      <c r="AE50" s="112">
        <v>0</v>
      </c>
      <c r="AF50" s="112">
        <v>0</v>
      </c>
      <c r="AG50" s="112">
        <v>0</v>
      </c>
      <c r="AH50" s="112">
        <v>1</v>
      </c>
      <c r="AI50" s="112">
        <v>1</v>
      </c>
      <c r="AJ50" s="112">
        <v>1</v>
      </c>
      <c r="AK50" s="112">
        <v>1</v>
      </c>
      <c r="AL50" s="112">
        <v>1</v>
      </c>
      <c r="AM50" s="112">
        <v>0</v>
      </c>
      <c r="AN50" s="112">
        <v>0</v>
      </c>
      <c r="AO50" s="112">
        <v>0</v>
      </c>
      <c r="AP50" s="112">
        <v>0</v>
      </c>
      <c r="AQ50" s="112">
        <v>1</v>
      </c>
      <c r="AR50" s="112">
        <v>1</v>
      </c>
      <c r="AS50" s="112">
        <v>0</v>
      </c>
      <c r="AT50" s="112">
        <v>0</v>
      </c>
      <c r="AU50" s="112">
        <v>0</v>
      </c>
      <c r="AV50" s="112">
        <v>0</v>
      </c>
      <c r="AW50" s="112">
        <v>0</v>
      </c>
      <c r="AX50" s="112">
        <v>0</v>
      </c>
      <c r="AY50" s="112">
        <v>0</v>
      </c>
      <c r="AZ50" s="112">
        <v>0</v>
      </c>
      <c r="BA50" s="112">
        <v>0</v>
      </c>
      <c r="BB50" s="112">
        <v>0</v>
      </c>
      <c r="BC50" s="112">
        <v>0</v>
      </c>
    </row>
    <row r="51" spans="1:55" x14ac:dyDescent="0.15">
      <c r="A51" s="189" t="s">
        <v>241</v>
      </c>
      <c r="B51" s="112">
        <v>0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1</v>
      </c>
      <c r="J51" s="112">
        <v>0</v>
      </c>
      <c r="K51" s="112">
        <v>1</v>
      </c>
      <c r="L51" s="112">
        <v>0</v>
      </c>
      <c r="M51" s="112">
        <v>1</v>
      </c>
      <c r="N51" s="112">
        <v>0</v>
      </c>
      <c r="O51" s="112">
        <v>0</v>
      </c>
      <c r="P51" s="112">
        <v>0</v>
      </c>
      <c r="Q51" s="112">
        <v>1</v>
      </c>
      <c r="R51" s="112">
        <v>0</v>
      </c>
      <c r="S51" s="112">
        <v>0</v>
      </c>
      <c r="T51" s="112">
        <v>0</v>
      </c>
      <c r="U51" s="112">
        <v>0</v>
      </c>
      <c r="V51" s="112">
        <v>0</v>
      </c>
      <c r="W51" s="112">
        <v>0</v>
      </c>
      <c r="X51" s="112">
        <v>1</v>
      </c>
      <c r="Y51" s="112">
        <v>0</v>
      </c>
      <c r="Z51" s="112">
        <v>0</v>
      </c>
      <c r="AA51" s="112">
        <v>0</v>
      </c>
      <c r="AB51" s="112">
        <v>0</v>
      </c>
      <c r="AC51" s="112">
        <v>0</v>
      </c>
      <c r="AD51" s="112">
        <v>0</v>
      </c>
      <c r="AE51" s="112">
        <v>0</v>
      </c>
      <c r="AF51" s="112">
        <v>0</v>
      </c>
      <c r="AG51" s="112">
        <v>0</v>
      </c>
      <c r="AH51" s="112">
        <v>1</v>
      </c>
      <c r="AI51" s="112">
        <v>0</v>
      </c>
      <c r="AJ51" s="112">
        <v>0</v>
      </c>
      <c r="AK51" s="112">
        <v>1</v>
      </c>
      <c r="AL51" s="112">
        <v>1</v>
      </c>
      <c r="AM51" s="112">
        <v>0</v>
      </c>
      <c r="AN51" s="112">
        <v>0</v>
      </c>
      <c r="AO51" s="112">
        <v>1</v>
      </c>
      <c r="AP51" s="112">
        <v>1</v>
      </c>
      <c r="AQ51" s="112">
        <v>1</v>
      </c>
      <c r="AR51" s="112">
        <v>0</v>
      </c>
      <c r="AS51" s="112">
        <v>1</v>
      </c>
      <c r="AT51" s="112">
        <v>1</v>
      </c>
      <c r="AU51" s="112">
        <v>1</v>
      </c>
      <c r="AV51" s="112">
        <v>1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0</v>
      </c>
      <c r="BC51" s="112">
        <v>0</v>
      </c>
    </row>
    <row r="52" spans="1:55" x14ac:dyDescent="0.15">
      <c r="A52" s="189" t="s">
        <v>242</v>
      </c>
      <c r="B52" s="112">
        <v>0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0</v>
      </c>
      <c r="Q52" s="112">
        <v>1</v>
      </c>
      <c r="R52" s="112">
        <v>0</v>
      </c>
      <c r="S52" s="112">
        <v>0</v>
      </c>
      <c r="T52" s="112">
        <v>0</v>
      </c>
      <c r="U52" s="112">
        <v>0</v>
      </c>
      <c r="V52" s="112">
        <v>0</v>
      </c>
      <c r="W52" s="112">
        <v>0</v>
      </c>
      <c r="X52" s="112">
        <v>1</v>
      </c>
      <c r="Y52" s="112">
        <v>0</v>
      </c>
      <c r="Z52" s="112">
        <v>0</v>
      </c>
      <c r="AA52" s="112">
        <v>0</v>
      </c>
      <c r="AB52" s="112">
        <v>0</v>
      </c>
      <c r="AC52" s="112">
        <v>1</v>
      </c>
      <c r="AD52" s="112">
        <v>0</v>
      </c>
      <c r="AE52" s="112">
        <v>0</v>
      </c>
      <c r="AF52" s="112">
        <v>0</v>
      </c>
      <c r="AG52" s="112">
        <v>1</v>
      </c>
      <c r="AH52" s="112">
        <v>1</v>
      </c>
      <c r="AI52" s="112">
        <v>0</v>
      </c>
      <c r="AJ52" s="112">
        <v>1</v>
      </c>
      <c r="AK52" s="112">
        <v>1</v>
      </c>
      <c r="AL52" s="112">
        <v>1</v>
      </c>
      <c r="AM52" s="112">
        <v>1</v>
      </c>
      <c r="AN52" s="112">
        <v>0</v>
      </c>
      <c r="AO52" s="112">
        <v>0</v>
      </c>
      <c r="AP52" s="112">
        <v>1</v>
      </c>
      <c r="AQ52" s="112">
        <v>1</v>
      </c>
      <c r="AR52" s="112">
        <v>1</v>
      </c>
      <c r="AS52" s="112">
        <v>1</v>
      </c>
      <c r="AT52" s="112">
        <v>1</v>
      </c>
      <c r="AU52" s="112">
        <v>1</v>
      </c>
      <c r="AV52" s="112">
        <v>1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0</v>
      </c>
      <c r="BC52" s="112">
        <v>0</v>
      </c>
    </row>
    <row r="53" spans="1:55" x14ac:dyDescent="0.15">
      <c r="A53" s="189" t="s">
        <v>243</v>
      </c>
      <c r="B53" s="112">
        <v>0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0</v>
      </c>
      <c r="S53" s="112">
        <v>0</v>
      </c>
      <c r="T53" s="112">
        <v>0</v>
      </c>
      <c r="U53" s="112">
        <v>0</v>
      </c>
      <c r="V53" s="112">
        <v>0</v>
      </c>
      <c r="W53" s="112">
        <v>0</v>
      </c>
      <c r="X53" s="112">
        <v>0</v>
      </c>
      <c r="Y53" s="112">
        <v>0</v>
      </c>
      <c r="Z53" s="112">
        <v>0</v>
      </c>
      <c r="AA53" s="112">
        <v>0</v>
      </c>
      <c r="AB53" s="112">
        <v>0</v>
      </c>
      <c r="AC53" s="112">
        <v>0</v>
      </c>
      <c r="AD53" s="112">
        <v>0</v>
      </c>
      <c r="AE53" s="112">
        <v>0</v>
      </c>
      <c r="AF53" s="112">
        <v>0</v>
      </c>
      <c r="AG53" s="112">
        <v>0</v>
      </c>
      <c r="AH53" s="112">
        <v>1</v>
      </c>
      <c r="AI53" s="112">
        <v>0</v>
      </c>
      <c r="AJ53" s="112">
        <v>1</v>
      </c>
      <c r="AK53" s="112">
        <v>1</v>
      </c>
      <c r="AL53" s="112">
        <v>1</v>
      </c>
      <c r="AM53" s="112">
        <v>0</v>
      </c>
      <c r="AN53" s="112">
        <v>0</v>
      </c>
      <c r="AO53" s="112">
        <v>0</v>
      </c>
      <c r="AP53" s="112">
        <v>1</v>
      </c>
      <c r="AQ53" s="112">
        <v>1</v>
      </c>
      <c r="AR53" s="112">
        <v>0</v>
      </c>
      <c r="AS53" s="112">
        <v>1</v>
      </c>
      <c r="AT53" s="112">
        <v>1</v>
      </c>
      <c r="AU53" s="112">
        <v>1</v>
      </c>
      <c r="AV53" s="112">
        <v>1</v>
      </c>
      <c r="AW53" s="112">
        <v>0</v>
      </c>
      <c r="AX53" s="112">
        <v>0</v>
      </c>
      <c r="AY53" s="112">
        <v>0</v>
      </c>
      <c r="AZ53" s="112">
        <v>0</v>
      </c>
      <c r="BA53" s="112">
        <v>0</v>
      </c>
      <c r="BB53" s="112">
        <v>0</v>
      </c>
      <c r="BC53" s="112">
        <v>0</v>
      </c>
    </row>
    <row r="54" spans="1:55" x14ac:dyDescent="0.15">
      <c r="A54" s="189" t="s">
        <v>244</v>
      </c>
      <c r="B54" s="112">
        <v>0</v>
      </c>
      <c r="C54" s="112">
        <v>0</v>
      </c>
      <c r="D54" s="112">
        <v>0</v>
      </c>
      <c r="E54" s="112">
        <v>1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0</v>
      </c>
      <c r="T54" s="112">
        <v>0</v>
      </c>
      <c r="U54" s="112">
        <v>0</v>
      </c>
      <c r="V54" s="112">
        <v>0</v>
      </c>
      <c r="W54" s="112">
        <v>0</v>
      </c>
      <c r="X54" s="112">
        <v>0</v>
      </c>
      <c r="Y54" s="112">
        <v>0</v>
      </c>
      <c r="Z54" s="112">
        <v>0</v>
      </c>
      <c r="AA54" s="112">
        <v>0</v>
      </c>
      <c r="AB54" s="112">
        <v>0</v>
      </c>
      <c r="AC54" s="112">
        <v>0</v>
      </c>
      <c r="AD54" s="112">
        <v>0</v>
      </c>
      <c r="AE54" s="112">
        <v>0</v>
      </c>
      <c r="AF54" s="112">
        <v>0</v>
      </c>
      <c r="AG54" s="112">
        <v>0</v>
      </c>
      <c r="AH54" s="112">
        <v>1</v>
      </c>
      <c r="AI54" s="112">
        <v>0</v>
      </c>
      <c r="AJ54" s="112">
        <v>0</v>
      </c>
      <c r="AK54" s="112">
        <v>0</v>
      </c>
      <c r="AL54" s="112">
        <v>1</v>
      </c>
      <c r="AM54" s="112">
        <v>0</v>
      </c>
      <c r="AN54" s="112">
        <v>1</v>
      </c>
      <c r="AO54" s="112">
        <v>0</v>
      </c>
      <c r="AP54" s="112">
        <v>0</v>
      </c>
      <c r="AQ54" s="112">
        <v>0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</v>
      </c>
      <c r="BB54" s="112">
        <v>0</v>
      </c>
      <c r="BC54" s="112">
        <v>0</v>
      </c>
    </row>
    <row r="55" spans="1:55" x14ac:dyDescent="0.15">
      <c r="A55" s="189" t="s">
        <v>245</v>
      </c>
      <c r="B55" s="112">
        <v>0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0</v>
      </c>
      <c r="U55" s="112">
        <v>0</v>
      </c>
      <c r="V55" s="112">
        <v>0</v>
      </c>
      <c r="W55" s="112">
        <v>0</v>
      </c>
      <c r="X55" s="112">
        <v>0</v>
      </c>
      <c r="Y55" s="112">
        <v>0</v>
      </c>
      <c r="Z55" s="112">
        <v>0</v>
      </c>
      <c r="AA55" s="112">
        <v>0</v>
      </c>
      <c r="AB55" s="112">
        <v>0</v>
      </c>
      <c r="AC55" s="112">
        <v>0</v>
      </c>
      <c r="AD55" s="112">
        <v>0</v>
      </c>
      <c r="AE55" s="112">
        <v>0</v>
      </c>
      <c r="AF55" s="112">
        <v>0</v>
      </c>
      <c r="AG55" s="112">
        <v>0</v>
      </c>
      <c r="AH55" s="112">
        <v>0</v>
      </c>
      <c r="AI55" s="112">
        <v>0</v>
      </c>
      <c r="AJ55" s="112">
        <v>0</v>
      </c>
      <c r="AK55" s="112">
        <v>0</v>
      </c>
      <c r="AL55" s="112">
        <v>0</v>
      </c>
      <c r="AM55" s="112">
        <v>0</v>
      </c>
      <c r="AN55" s="112">
        <v>0</v>
      </c>
      <c r="AO55" s="112">
        <v>0</v>
      </c>
      <c r="AP55" s="112">
        <v>0</v>
      </c>
      <c r="AQ55" s="112">
        <v>0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</v>
      </c>
      <c r="BB55" s="112">
        <v>0</v>
      </c>
      <c r="BC55" s="112">
        <v>0</v>
      </c>
    </row>
    <row r="56" spans="1:55" x14ac:dyDescent="0.15">
      <c r="A56" s="189" t="s">
        <v>255</v>
      </c>
      <c r="B56" s="112">
        <v>0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0</v>
      </c>
      <c r="U56" s="112">
        <v>0</v>
      </c>
      <c r="V56" s="112">
        <v>0</v>
      </c>
      <c r="W56" s="112">
        <v>0</v>
      </c>
      <c r="X56" s="112">
        <v>0</v>
      </c>
      <c r="Y56" s="112">
        <v>0</v>
      </c>
      <c r="Z56" s="112">
        <v>0</v>
      </c>
      <c r="AA56" s="112">
        <v>0</v>
      </c>
      <c r="AB56" s="112">
        <v>0</v>
      </c>
      <c r="AC56" s="112">
        <v>0</v>
      </c>
      <c r="AD56" s="112">
        <v>0</v>
      </c>
      <c r="AE56" s="112">
        <v>0</v>
      </c>
      <c r="AF56" s="112">
        <v>0</v>
      </c>
      <c r="AG56" s="112">
        <v>0</v>
      </c>
      <c r="AH56" s="112">
        <v>0</v>
      </c>
      <c r="AI56" s="112">
        <v>0</v>
      </c>
      <c r="AJ56" s="112">
        <v>0</v>
      </c>
      <c r="AK56" s="112">
        <v>0</v>
      </c>
      <c r="AL56" s="112">
        <v>0</v>
      </c>
      <c r="AM56" s="112">
        <v>0</v>
      </c>
      <c r="AN56" s="112">
        <v>0</v>
      </c>
      <c r="AO56" s="112">
        <v>0</v>
      </c>
      <c r="AP56" s="112">
        <v>0</v>
      </c>
      <c r="AQ56" s="112">
        <v>0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0</v>
      </c>
      <c r="BC56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K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8.5" bestFit="1" customWidth="1"/>
    <col min="3" max="4" width="3.83203125" bestFit="1" customWidth="1"/>
    <col min="5" max="11" width="3.83203125" customWidth="1"/>
  </cols>
  <sheetData>
    <row r="1" spans="1:11" ht="112" x14ac:dyDescent="0.15">
      <c r="A1" s="5" t="s">
        <v>83</v>
      </c>
      <c r="B1" s="3" t="s">
        <v>0</v>
      </c>
      <c r="C1" s="192" t="s">
        <v>246</v>
      </c>
      <c r="D1" s="192" t="s">
        <v>247</v>
      </c>
      <c r="E1" s="192" t="s">
        <v>248</v>
      </c>
      <c r="F1" s="192" t="s">
        <v>249</v>
      </c>
      <c r="G1" s="192" t="s">
        <v>250</v>
      </c>
      <c r="H1" s="192" t="s">
        <v>251</v>
      </c>
      <c r="I1" s="192" t="s">
        <v>252</v>
      </c>
      <c r="J1" s="192" t="s">
        <v>253</v>
      </c>
      <c r="K1" s="192" t="s">
        <v>254</v>
      </c>
    </row>
    <row r="2" spans="1:11" x14ac:dyDescent="0.15">
      <c r="A2">
        <v>1</v>
      </c>
      <c r="B2" s="191" t="s">
        <v>192</v>
      </c>
      <c r="C2">
        <v>0</v>
      </c>
      <c r="D2">
        <v>0</v>
      </c>
      <c r="E2">
        <v>0.8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15">
      <c r="A3">
        <v>2</v>
      </c>
      <c r="B3" s="191" t="s">
        <v>193</v>
      </c>
      <c r="C3">
        <v>0</v>
      </c>
      <c r="D3">
        <v>0</v>
      </c>
      <c r="E3">
        <v>0.8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9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91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91" t="s">
        <v>196</v>
      </c>
      <c r="C6">
        <v>0</v>
      </c>
      <c r="D6">
        <v>0</v>
      </c>
      <c r="E6">
        <v>0.8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191" t="s">
        <v>197</v>
      </c>
      <c r="C7">
        <v>0</v>
      </c>
      <c r="D7">
        <v>0.8</v>
      </c>
      <c r="E7">
        <v>0</v>
      </c>
      <c r="F7">
        <v>0.8</v>
      </c>
      <c r="G7">
        <v>0</v>
      </c>
      <c r="H7">
        <v>0</v>
      </c>
      <c r="I7">
        <v>0.8</v>
      </c>
      <c r="J7">
        <v>0</v>
      </c>
      <c r="K7">
        <v>0</v>
      </c>
    </row>
    <row r="8" spans="1:11" x14ac:dyDescent="0.15">
      <c r="A8">
        <v>7</v>
      </c>
      <c r="B8" s="191" t="s">
        <v>198</v>
      </c>
      <c r="C8">
        <v>0.8</v>
      </c>
      <c r="D8">
        <v>0.8</v>
      </c>
      <c r="E8">
        <v>0.8</v>
      </c>
      <c r="F8">
        <v>0.8</v>
      </c>
      <c r="G8">
        <v>0.8</v>
      </c>
      <c r="H8">
        <v>0</v>
      </c>
      <c r="I8">
        <v>0</v>
      </c>
      <c r="J8">
        <v>0</v>
      </c>
      <c r="K8">
        <v>0</v>
      </c>
    </row>
    <row r="9" spans="1:11" x14ac:dyDescent="0.15">
      <c r="A9">
        <v>8</v>
      </c>
      <c r="B9" s="191" t="s">
        <v>199</v>
      </c>
      <c r="C9">
        <v>0</v>
      </c>
      <c r="D9">
        <v>0</v>
      </c>
      <c r="E9">
        <v>0.8</v>
      </c>
      <c r="F9">
        <v>0.8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15">
      <c r="A10">
        <v>9</v>
      </c>
      <c r="B10" s="191" t="s">
        <v>200</v>
      </c>
      <c r="C10">
        <v>0</v>
      </c>
      <c r="D10">
        <v>0.8</v>
      </c>
      <c r="E10">
        <v>0.8</v>
      </c>
      <c r="F10">
        <v>0.8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191" t="s">
        <v>201</v>
      </c>
      <c r="C11">
        <v>0</v>
      </c>
      <c r="D11">
        <v>0</v>
      </c>
      <c r="E11">
        <v>0.8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191" t="s">
        <v>202</v>
      </c>
      <c r="C12">
        <v>0.8</v>
      </c>
      <c r="D12">
        <v>0.8</v>
      </c>
      <c r="E12">
        <v>0</v>
      </c>
      <c r="F12">
        <v>0</v>
      </c>
      <c r="G12">
        <v>0.8</v>
      </c>
      <c r="H12">
        <v>0</v>
      </c>
      <c r="I12">
        <v>0</v>
      </c>
      <c r="J12">
        <v>0</v>
      </c>
      <c r="K12">
        <v>0</v>
      </c>
    </row>
    <row r="13" spans="1:11" x14ac:dyDescent="0.15">
      <c r="A13">
        <v>12</v>
      </c>
      <c r="B13" s="191" t="s">
        <v>203</v>
      </c>
      <c r="C13">
        <v>0.8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0.8</v>
      </c>
      <c r="K13">
        <v>0</v>
      </c>
    </row>
    <row r="14" spans="1:11" x14ac:dyDescent="0.15">
      <c r="A14">
        <v>13</v>
      </c>
      <c r="B14" s="191" t="s">
        <v>204</v>
      </c>
      <c r="C14">
        <v>0.8</v>
      </c>
      <c r="D14">
        <v>0.8</v>
      </c>
      <c r="E14">
        <v>0.8</v>
      </c>
      <c r="F14">
        <v>0.8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191" t="s">
        <v>205</v>
      </c>
      <c r="C15">
        <v>0.8</v>
      </c>
      <c r="D15">
        <v>0.8</v>
      </c>
      <c r="E15">
        <v>0</v>
      </c>
      <c r="F15">
        <v>0</v>
      </c>
      <c r="G15">
        <v>0</v>
      </c>
      <c r="H15">
        <v>0</v>
      </c>
      <c r="I15">
        <v>0</v>
      </c>
      <c r="J15">
        <v>0.8</v>
      </c>
      <c r="K15">
        <v>0</v>
      </c>
    </row>
    <row r="16" spans="1:11" x14ac:dyDescent="0.15">
      <c r="A16">
        <v>15</v>
      </c>
      <c r="B16" s="191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15">
      <c r="A17">
        <v>16</v>
      </c>
      <c r="B17" s="191" t="s">
        <v>207</v>
      </c>
      <c r="C17">
        <v>0</v>
      </c>
      <c r="D17">
        <v>0</v>
      </c>
      <c r="E17">
        <v>0</v>
      </c>
      <c r="F17">
        <v>0.8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x14ac:dyDescent="0.15">
      <c r="A18">
        <v>17</v>
      </c>
      <c r="B18" s="191" t="s">
        <v>208</v>
      </c>
      <c r="C18">
        <v>0</v>
      </c>
      <c r="D18">
        <v>0.8</v>
      </c>
      <c r="E18">
        <v>0</v>
      </c>
      <c r="F18">
        <v>0</v>
      </c>
      <c r="G18">
        <v>0</v>
      </c>
      <c r="H18">
        <v>0</v>
      </c>
      <c r="I18">
        <v>0</v>
      </c>
      <c r="J18">
        <v>0.8</v>
      </c>
      <c r="K18">
        <v>0.8</v>
      </c>
    </row>
    <row r="19" spans="1:11" x14ac:dyDescent="0.15">
      <c r="A19">
        <v>18</v>
      </c>
      <c r="B19" s="191" t="s">
        <v>209</v>
      </c>
      <c r="C19">
        <v>0.8</v>
      </c>
      <c r="D19">
        <v>0.8</v>
      </c>
      <c r="E19">
        <v>0</v>
      </c>
      <c r="F19">
        <v>0.8</v>
      </c>
      <c r="G19">
        <v>0.8</v>
      </c>
      <c r="H19">
        <v>0</v>
      </c>
      <c r="I19">
        <v>0</v>
      </c>
      <c r="J19">
        <v>0.8</v>
      </c>
      <c r="K19">
        <v>0.8</v>
      </c>
    </row>
    <row r="20" spans="1:11" x14ac:dyDescent="0.15">
      <c r="A20">
        <v>19</v>
      </c>
      <c r="B20" s="191" t="s">
        <v>210</v>
      </c>
      <c r="C20">
        <v>0.8</v>
      </c>
      <c r="D20">
        <v>0.8</v>
      </c>
      <c r="E20">
        <v>0</v>
      </c>
      <c r="F20">
        <v>0</v>
      </c>
      <c r="G20">
        <v>0</v>
      </c>
      <c r="H20">
        <v>0</v>
      </c>
      <c r="I20">
        <v>0</v>
      </c>
      <c r="J20">
        <v>0.8</v>
      </c>
      <c r="K20">
        <v>0</v>
      </c>
    </row>
    <row r="21" spans="1:11" x14ac:dyDescent="0.15">
      <c r="A21">
        <v>20</v>
      </c>
      <c r="B21" s="191" t="s">
        <v>211</v>
      </c>
      <c r="C21">
        <v>0.8</v>
      </c>
      <c r="D21">
        <v>0.8</v>
      </c>
      <c r="E21">
        <v>0.8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191" t="s">
        <v>212</v>
      </c>
      <c r="C22">
        <v>0</v>
      </c>
      <c r="D22">
        <v>0.8</v>
      </c>
      <c r="E22">
        <v>0.8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15">
      <c r="A23">
        <v>22</v>
      </c>
      <c r="B23" s="191" t="s">
        <v>213</v>
      </c>
      <c r="C23">
        <v>0.8</v>
      </c>
      <c r="D23">
        <v>0.8</v>
      </c>
      <c r="E23">
        <v>0.8</v>
      </c>
      <c r="F23">
        <v>0</v>
      </c>
      <c r="G23">
        <v>0.8</v>
      </c>
      <c r="H23">
        <v>0</v>
      </c>
      <c r="I23">
        <v>0</v>
      </c>
      <c r="J23">
        <v>0</v>
      </c>
      <c r="K23">
        <v>0</v>
      </c>
    </row>
    <row r="24" spans="1:11" x14ac:dyDescent="0.15">
      <c r="A24">
        <v>23</v>
      </c>
      <c r="B24" s="191" t="s">
        <v>214</v>
      </c>
      <c r="C24">
        <v>0</v>
      </c>
      <c r="D24">
        <v>0.8</v>
      </c>
      <c r="E24">
        <v>0.8</v>
      </c>
      <c r="F24">
        <v>0</v>
      </c>
      <c r="G24">
        <v>0.8</v>
      </c>
      <c r="H24">
        <v>0</v>
      </c>
      <c r="I24">
        <v>0</v>
      </c>
      <c r="J24">
        <v>0</v>
      </c>
      <c r="K24">
        <v>0</v>
      </c>
    </row>
    <row r="25" spans="1:11" x14ac:dyDescent="0.15">
      <c r="A25">
        <v>24</v>
      </c>
      <c r="B25" s="191" t="s">
        <v>215</v>
      </c>
      <c r="C25">
        <v>0.8</v>
      </c>
      <c r="D25">
        <v>0.8</v>
      </c>
      <c r="E25">
        <v>0.8</v>
      </c>
      <c r="F25">
        <v>0</v>
      </c>
      <c r="G25">
        <v>0</v>
      </c>
      <c r="H25">
        <v>0</v>
      </c>
      <c r="I25">
        <v>0</v>
      </c>
      <c r="J25">
        <v>0.8</v>
      </c>
      <c r="K25">
        <v>0</v>
      </c>
    </row>
    <row r="26" spans="1:11" x14ac:dyDescent="0.15">
      <c r="A26">
        <v>25</v>
      </c>
      <c r="B26" s="191" t="s">
        <v>216</v>
      </c>
      <c r="C26">
        <v>0</v>
      </c>
      <c r="D26">
        <v>0</v>
      </c>
      <c r="E26">
        <v>0.8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15">
      <c r="A27">
        <v>26</v>
      </c>
      <c r="B27" s="191" t="s">
        <v>217</v>
      </c>
      <c r="C27">
        <v>0.8</v>
      </c>
      <c r="D27">
        <v>0.8</v>
      </c>
      <c r="E27">
        <v>0.8</v>
      </c>
      <c r="F27">
        <v>0</v>
      </c>
      <c r="G27">
        <v>0</v>
      </c>
      <c r="H27">
        <v>0</v>
      </c>
      <c r="I27">
        <v>0.8</v>
      </c>
      <c r="J27">
        <v>0</v>
      </c>
      <c r="K27">
        <v>0</v>
      </c>
    </row>
    <row r="28" spans="1:11" x14ac:dyDescent="0.15">
      <c r="A28">
        <v>27</v>
      </c>
      <c r="B28" s="191" t="s">
        <v>218</v>
      </c>
      <c r="C28">
        <v>0.8</v>
      </c>
      <c r="D28">
        <v>0.8</v>
      </c>
      <c r="E28">
        <v>0</v>
      </c>
      <c r="F28">
        <v>0.8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15">
      <c r="A29">
        <v>28</v>
      </c>
      <c r="B29" s="191" t="s">
        <v>219</v>
      </c>
      <c r="C29">
        <v>0.8</v>
      </c>
      <c r="D29">
        <v>0.8</v>
      </c>
      <c r="E29">
        <v>0</v>
      </c>
      <c r="F29">
        <v>0</v>
      </c>
      <c r="G29">
        <v>0.8</v>
      </c>
      <c r="H29">
        <v>0</v>
      </c>
      <c r="I29">
        <v>0</v>
      </c>
      <c r="J29">
        <v>0</v>
      </c>
      <c r="K29">
        <v>0</v>
      </c>
    </row>
    <row r="30" spans="1:11" x14ac:dyDescent="0.15">
      <c r="A30">
        <v>29</v>
      </c>
      <c r="B30" s="191" t="s">
        <v>220</v>
      </c>
      <c r="C30">
        <v>0</v>
      </c>
      <c r="D30">
        <v>0.8</v>
      </c>
      <c r="E30">
        <v>0.8</v>
      </c>
      <c r="F30">
        <v>0.8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15">
      <c r="A31">
        <v>30</v>
      </c>
      <c r="B31" s="191" t="s">
        <v>221</v>
      </c>
      <c r="C31">
        <v>0.8</v>
      </c>
      <c r="D31">
        <v>0.8</v>
      </c>
      <c r="E31">
        <v>0</v>
      </c>
      <c r="F31">
        <v>0</v>
      </c>
      <c r="G31">
        <v>0.8</v>
      </c>
      <c r="H31">
        <v>0</v>
      </c>
      <c r="I31">
        <v>0</v>
      </c>
      <c r="J31">
        <v>0</v>
      </c>
      <c r="K31">
        <v>0</v>
      </c>
    </row>
    <row r="32" spans="1:11" x14ac:dyDescent="0.15">
      <c r="A32">
        <v>31</v>
      </c>
      <c r="B32" s="191" t="s">
        <v>222</v>
      </c>
      <c r="C32">
        <v>0</v>
      </c>
      <c r="D32">
        <v>0.8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15">
      <c r="A33">
        <v>32</v>
      </c>
      <c r="B33" s="191" t="s">
        <v>223</v>
      </c>
      <c r="C33">
        <v>0.8</v>
      </c>
      <c r="D33">
        <v>0.8</v>
      </c>
      <c r="E33">
        <v>0</v>
      </c>
      <c r="F33">
        <v>0.8</v>
      </c>
      <c r="G33">
        <v>0.8</v>
      </c>
      <c r="H33">
        <v>0</v>
      </c>
      <c r="I33">
        <v>0</v>
      </c>
      <c r="J33">
        <v>0</v>
      </c>
      <c r="K33">
        <v>0</v>
      </c>
    </row>
    <row r="34" spans="1:11" x14ac:dyDescent="0.15">
      <c r="A34">
        <v>33</v>
      </c>
      <c r="B34" s="191" t="s">
        <v>224</v>
      </c>
      <c r="C34">
        <v>0.8</v>
      </c>
      <c r="D34">
        <v>0.8</v>
      </c>
      <c r="E34">
        <v>0</v>
      </c>
      <c r="F34">
        <v>0</v>
      </c>
      <c r="G34">
        <v>0.8</v>
      </c>
      <c r="H34">
        <v>0.8</v>
      </c>
      <c r="I34">
        <v>0.8</v>
      </c>
      <c r="J34">
        <v>0.8</v>
      </c>
      <c r="K34">
        <v>0.8</v>
      </c>
    </row>
    <row r="35" spans="1:11" x14ac:dyDescent="0.15">
      <c r="A35">
        <v>34</v>
      </c>
      <c r="B35" s="191" t="s">
        <v>225</v>
      </c>
      <c r="C35">
        <v>0.8</v>
      </c>
      <c r="D35">
        <v>0.8</v>
      </c>
      <c r="E35">
        <v>0</v>
      </c>
      <c r="F35">
        <v>0</v>
      </c>
      <c r="G35">
        <v>0.8</v>
      </c>
      <c r="H35">
        <v>0</v>
      </c>
      <c r="I35">
        <v>0</v>
      </c>
      <c r="J35">
        <v>0.8</v>
      </c>
      <c r="K35">
        <v>0.8</v>
      </c>
    </row>
    <row r="36" spans="1:11" x14ac:dyDescent="0.15">
      <c r="A36">
        <v>35</v>
      </c>
      <c r="B36" s="191" t="s">
        <v>226</v>
      </c>
      <c r="C36">
        <v>0.8</v>
      </c>
      <c r="D36">
        <v>0.8</v>
      </c>
      <c r="E36">
        <v>0</v>
      </c>
      <c r="F36">
        <v>0</v>
      </c>
      <c r="G36">
        <v>0.8</v>
      </c>
      <c r="H36">
        <v>0</v>
      </c>
      <c r="I36">
        <v>0</v>
      </c>
      <c r="J36">
        <v>0</v>
      </c>
      <c r="K36">
        <v>0</v>
      </c>
    </row>
    <row r="37" spans="1:11" x14ac:dyDescent="0.15">
      <c r="A37">
        <v>36</v>
      </c>
      <c r="B37" s="191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0.8</v>
      </c>
      <c r="K37">
        <v>0.8</v>
      </c>
    </row>
    <row r="38" spans="1:11" x14ac:dyDescent="0.15">
      <c r="A38">
        <v>37</v>
      </c>
      <c r="B38" s="191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 x14ac:dyDescent="0.15">
      <c r="A39">
        <v>38</v>
      </c>
      <c r="B39" s="191" t="s">
        <v>229</v>
      </c>
      <c r="C39">
        <v>0</v>
      </c>
      <c r="D39">
        <v>0.8</v>
      </c>
      <c r="E39">
        <v>0</v>
      </c>
      <c r="F39">
        <v>0</v>
      </c>
      <c r="G39">
        <v>0</v>
      </c>
      <c r="H39">
        <v>0</v>
      </c>
      <c r="I39">
        <v>0.8</v>
      </c>
      <c r="J39">
        <v>0.8</v>
      </c>
      <c r="K39">
        <v>0</v>
      </c>
    </row>
    <row r="40" spans="1:11" x14ac:dyDescent="0.15">
      <c r="A40">
        <v>39</v>
      </c>
      <c r="B40" s="191" t="s">
        <v>230</v>
      </c>
      <c r="C40">
        <v>0</v>
      </c>
      <c r="D40">
        <v>0.8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0.8</v>
      </c>
    </row>
    <row r="41" spans="1:11" x14ac:dyDescent="0.15">
      <c r="A41">
        <v>40</v>
      </c>
      <c r="B41" s="191" t="s">
        <v>231</v>
      </c>
      <c r="C41">
        <v>0.8</v>
      </c>
      <c r="D41">
        <v>0.8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15">
      <c r="A42">
        <v>41</v>
      </c>
      <c r="B42" s="191" t="s">
        <v>232</v>
      </c>
      <c r="C42">
        <v>0.8</v>
      </c>
      <c r="D42">
        <v>0.8</v>
      </c>
      <c r="E42">
        <v>0</v>
      </c>
      <c r="F42">
        <v>0.8</v>
      </c>
      <c r="G42">
        <v>0</v>
      </c>
      <c r="H42">
        <v>0</v>
      </c>
      <c r="I42">
        <v>0</v>
      </c>
      <c r="J42">
        <v>0</v>
      </c>
      <c r="K42">
        <v>0.8</v>
      </c>
    </row>
    <row r="43" spans="1:11" x14ac:dyDescent="0.15">
      <c r="A43">
        <v>42</v>
      </c>
      <c r="B43" s="191" t="s">
        <v>233</v>
      </c>
      <c r="C43">
        <v>0.8</v>
      </c>
      <c r="D43">
        <v>0.8</v>
      </c>
      <c r="E43">
        <v>0</v>
      </c>
      <c r="F43">
        <v>0</v>
      </c>
      <c r="G43">
        <v>0.8</v>
      </c>
      <c r="H43">
        <v>0</v>
      </c>
      <c r="I43">
        <v>0</v>
      </c>
      <c r="J43">
        <v>0.8</v>
      </c>
      <c r="K43">
        <v>0.8</v>
      </c>
    </row>
    <row r="44" spans="1:11" x14ac:dyDescent="0.15">
      <c r="A44">
        <v>43</v>
      </c>
      <c r="B44" s="191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 x14ac:dyDescent="0.15">
      <c r="A45">
        <v>44</v>
      </c>
      <c r="B45" s="191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</row>
    <row r="46" spans="1:11" x14ac:dyDescent="0.15">
      <c r="A46">
        <v>45</v>
      </c>
      <c r="B46" s="191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 x14ac:dyDescent="0.15">
      <c r="A47">
        <v>46</v>
      </c>
      <c r="B47" s="191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15">
      <c r="A48">
        <v>47</v>
      </c>
      <c r="B48" s="191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1:11" x14ac:dyDescent="0.15">
      <c r="A49">
        <v>48</v>
      </c>
      <c r="B49" s="191" t="s">
        <v>239</v>
      </c>
      <c r="C49">
        <v>0.8</v>
      </c>
      <c r="D49">
        <v>0.8</v>
      </c>
      <c r="E49">
        <v>0</v>
      </c>
      <c r="F49">
        <v>0</v>
      </c>
      <c r="G49">
        <v>0.8</v>
      </c>
      <c r="H49">
        <v>0</v>
      </c>
      <c r="I49">
        <v>0</v>
      </c>
      <c r="J49">
        <v>0</v>
      </c>
      <c r="K49">
        <v>0</v>
      </c>
    </row>
    <row r="50" spans="1:11" x14ac:dyDescent="0.15">
      <c r="A50">
        <v>49</v>
      </c>
      <c r="B50" s="191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15">
      <c r="A51">
        <v>50</v>
      </c>
      <c r="B51" s="191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 x14ac:dyDescent="0.15">
      <c r="A52">
        <v>51</v>
      </c>
      <c r="B52" s="191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15">
      <c r="A53">
        <v>52</v>
      </c>
      <c r="B53" s="191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15">
      <c r="A54">
        <v>53</v>
      </c>
      <c r="B54" s="191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 x14ac:dyDescent="0.15">
      <c r="A55">
        <v>54</v>
      </c>
      <c r="B55" s="191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K5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8.5" bestFit="1" customWidth="1"/>
    <col min="3" max="4" width="3.83203125" bestFit="1" customWidth="1"/>
    <col min="5" max="11" width="3.83203125" customWidth="1"/>
  </cols>
  <sheetData>
    <row r="1" spans="1:11" ht="112" x14ac:dyDescent="0.15">
      <c r="A1" s="5" t="s">
        <v>82</v>
      </c>
      <c r="B1" s="3" t="s">
        <v>0</v>
      </c>
      <c r="C1" s="194" t="s">
        <v>246</v>
      </c>
      <c r="D1" s="194" t="s">
        <v>247</v>
      </c>
      <c r="E1" s="194" t="s">
        <v>248</v>
      </c>
      <c r="F1" s="194" t="s">
        <v>249</v>
      </c>
      <c r="G1" s="194" t="s">
        <v>250</v>
      </c>
      <c r="H1" s="194" t="s">
        <v>251</v>
      </c>
      <c r="I1" s="194" t="s">
        <v>252</v>
      </c>
      <c r="J1" s="194" t="s">
        <v>253</v>
      </c>
      <c r="K1" s="194" t="s">
        <v>254</v>
      </c>
    </row>
    <row r="2" spans="1:11" x14ac:dyDescent="0.15">
      <c r="A2">
        <v>1</v>
      </c>
      <c r="B2" s="193" t="s">
        <v>192</v>
      </c>
      <c r="C2">
        <v>0</v>
      </c>
      <c r="D2">
        <v>0</v>
      </c>
      <c r="E2">
        <v>0.8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</row>
    <row r="3" spans="1:11" x14ac:dyDescent="0.15">
      <c r="A3">
        <v>2</v>
      </c>
      <c r="B3" s="193" t="s">
        <v>193</v>
      </c>
      <c r="C3">
        <v>0</v>
      </c>
      <c r="D3">
        <v>0</v>
      </c>
      <c r="E3">
        <v>0.8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</row>
    <row r="4" spans="1:11" x14ac:dyDescent="0.15">
      <c r="A4">
        <v>3</v>
      </c>
      <c r="B4" s="193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</row>
    <row r="5" spans="1:11" x14ac:dyDescent="0.15">
      <c r="A5">
        <v>4</v>
      </c>
      <c r="B5" s="193" t="s">
        <v>195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</row>
    <row r="6" spans="1:11" x14ac:dyDescent="0.15">
      <c r="A6">
        <v>5</v>
      </c>
      <c r="B6" s="193" t="s">
        <v>196</v>
      </c>
      <c r="C6">
        <v>0</v>
      </c>
      <c r="D6">
        <v>0</v>
      </c>
      <c r="E6">
        <v>0.8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</row>
    <row r="7" spans="1:11" x14ac:dyDescent="0.15">
      <c r="A7">
        <v>6</v>
      </c>
      <c r="B7" s="193" t="s">
        <v>197</v>
      </c>
      <c r="C7">
        <v>0</v>
      </c>
      <c r="D7">
        <v>0.8</v>
      </c>
      <c r="E7">
        <v>0</v>
      </c>
      <c r="F7">
        <v>0.8</v>
      </c>
      <c r="G7">
        <v>0</v>
      </c>
      <c r="H7">
        <v>0</v>
      </c>
      <c r="I7">
        <v>0.8</v>
      </c>
      <c r="J7">
        <v>0</v>
      </c>
      <c r="K7">
        <v>0</v>
      </c>
    </row>
    <row r="8" spans="1:11" x14ac:dyDescent="0.15">
      <c r="A8">
        <v>7</v>
      </c>
      <c r="B8" s="193" t="s">
        <v>198</v>
      </c>
      <c r="C8">
        <v>0.8</v>
      </c>
      <c r="D8">
        <v>0.8</v>
      </c>
      <c r="E8">
        <v>0.8</v>
      </c>
      <c r="F8">
        <v>0.8</v>
      </c>
      <c r="G8">
        <v>0.8</v>
      </c>
      <c r="H8">
        <v>0</v>
      </c>
      <c r="I8">
        <v>0</v>
      </c>
      <c r="J8">
        <v>0</v>
      </c>
      <c r="K8">
        <v>0</v>
      </c>
    </row>
    <row r="9" spans="1:11" x14ac:dyDescent="0.15">
      <c r="A9">
        <v>8</v>
      </c>
      <c r="B9" s="193" t="s">
        <v>199</v>
      </c>
      <c r="C9">
        <v>0</v>
      </c>
      <c r="D9">
        <v>0</v>
      </c>
      <c r="E9">
        <v>0.8</v>
      </c>
      <c r="F9">
        <v>0.8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15">
      <c r="A10">
        <v>9</v>
      </c>
      <c r="B10" s="193" t="s">
        <v>200</v>
      </c>
      <c r="C10">
        <v>0</v>
      </c>
      <c r="D10">
        <v>0.8</v>
      </c>
      <c r="E10">
        <v>0.8</v>
      </c>
      <c r="F10">
        <v>0.8</v>
      </c>
      <c r="G10">
        <v>0</v>
      </c>
      <c r="H10">
        <v>0</v>
      </c>
      <c r="I10">
        <v>0</v>
      </c>
      <c r="J10">
        <v>0</v>
      </c>
      <c r="K10">
        <v>0</v>
      </c>
    </row>
    <row r="11" spans="1:11" x14ac:dyDescent="0.15">
      <c r="A11">
        <v>10</v>
      </c>
      <c r="B11" s="193" t="s">
        <v>201</v>
      </c>
      <c r="C11">
        <v>0</v>
      </c>
      <c r="D11">
        <v>0</v>
      </c>
      <c r="E11">
        <v>0.8</v>
      </c>
      <c r="F11">
        <v>0.8</v>
      </c>
      <c r="G11">
        <v>0</v>
      </c>
      <c r="H11">
        <v>0</v>
      </c>
      <c r="I11">
        <v>0</v>
      </c>
      <c r="J11">
        <v>0</v>
      </c>
      <c r="K11">
        <v>0</v>
      </c>
    </row>
    <row r="12" spans="1:11" x14ac:dyDescent="0.15">
      <c r="A12">
        <v>11</v>
      </c>
      <c r="B12" s="193" t="s">
        <v>202</v>
      </c>
      <c r="C12">
        <v>0.8</v>
      </c>
      <c r="D12">
        <v>0.8</v>
      </c>
      <c r="E12">
        <v>0</v>
      </c>
      <c r="F12">
        <v>0</v>
      </c>
      <c r="G12">
        <v>0.8</v>
      </c>
      <c r="H12">
        <v>0</v>
      </c>
      <c r="I12">
        <v>0</v>
      </c>
      <c r="J12">
        <v>0</v>
      </c>
      <c r="K12">
        <v>0</v>
      </c>
    </row>
    <row r="13" spans="1:11" x14ac:dyDescent="0.15">
      <c r="A13">
        <v>12</v>
      </c>
      <c r="B13" s="193" t="s">
        <v>203</v>
      </c>
      <c r="C13">
        <v>0.8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0.8</v>
      </c>
      <c r="K13">
        <v>0</v>
      </c>
    </row>
    <row r="14" spans="1:11" x14ac:dyDescent="0.15">
      <c r="A14">
        <v>13</v>
      </c>
      <c r="B14" s="193" t="s">
        <v>204</v>
      </c>
      <c r="C14">
        <v>0.8</v>
      </c>
      <c r="D14">
        <v>0.8</v>
      </c>
      <c r="E14">
        <v>0.8</v>
      </c>
      <c r="F14">
        <v>0.8</v>
      </c>
      <c r="G14">
        <v>0</v>
      </c>
      <c r="H14">
        <v>0</v>
      </c>
      <c r="I14">
        <v>0</v>
      </c>
      <c r="J14">
        <v>0</v>
      </c>
      <c r="K14">
        <v>0</v>
      </c>
    </row>
    <row r="15" spans="1:11" x14ac:dyDescent="0.15">
      <c r="A15">
        <v>14</v>
      </c>
      <c r="B15" s="193" t="s">
        <v>205</v>
      </c>
      <c r="C15">
        <v>0.8</v>
      </c>
      <c r="D15">
        <v>0.8</v>
      </c>
      <c r="E15">
        <v>0</v>
      </c>
      <c r="F15">
        <v>0</v>
      </c>
      <c r="G15">
        <v>0</v>
      </c>
      <c r="H15">
        <v>0</v>
      </c>
      <c r="I15">
        <v>0</v>
      </c>
      <c r="J15">
        <v>0.8</v>
      </c>
      <c r="K15">
        <v>0</v>
      </c>
    </row>
    <row r="16" spans="1:11" x14ac:dyDescent="0.15">
      <c r="A16">
        <v>15</v>
      </c>
      <c r="B16" s="193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</row>
    <row r="17" spans="1:11" x14ac:dyDescent="0.15">
      <c r="A17">
        <v>16</v>
      </c>
      <c r="B17" s="193" t="s">
        <v>207</v>
      </c>
      <c r="C17">
        <v>0</v>
      </c>
      <c r="D17">
        <v>0</v>
      </c>
      <c r="E17">
        <v>0</v>
      </c>
      <c r="F17">
        <v>0.8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 x14ac:dyDescent="0.15">
      <c r="A18">
        <v>17</v>
      </c>
      <c r="B18" s="193" t="s">
        <v>208</v>
      </c>
      <c r="C18">
        <v>0</v>
      </c>
      <c r="D18">
        <v>0.8</v>
      </c>
      <c r="E18">
        <v>0</v>
      </c>
      <c r="F18">
        <v>0</v>
      </c>
      <c r="G18">
        <v>0</v>
      </c>
      <c r="H18">
        <v>0</v>
      </c>
      <c r="I18">
        <v>0</v>
      </c>
      <c r="J18">
        <v>0.8</v>
      </c>
      <c r="K18">
        <v>0.8</v>
      </c>
    </row>
    <row r="19" spans="1:11" x14ac:dyDescent="0.15">
      <c r="A19">
        <v>18</v>
      </c>
      <c r="B19" s="193" t="s">
        <v>209</v>
      </c>
      <c r="C19">
        <v>0.8</v>
      </c>
      <c r="D19">
        <v>0.8</v>
      </c>
      <c r="E19">
        <v>0</v>
      </c>
      <c r="F19">
        <v>0.8</v>
      </c>
      <c r="G19">
        <v>0.8</v>
      </c>
      <c r="H19">
        <v>0</v>
      </c>
      <c r="I19">
        <v>0</v>
      </c>
      <c r="J19">
        <v>0.8</v>
      </c>
      <c r="K19">
        <v>0.8</v>
      </c>
    </row>
    <row r="20" spans="1:11" x14ac:dyDescent="0.15">
      <c r="A20">
        <v>19</v>
      </c>
      <c r="B20" s="193" t="s">
        <v>210</v>
      </c>
      <c r="C20">
        <v>0.8</v>
      </c>
      <c r="D20">
        <v>0.8</v>
      </c>
      <c r="E20">
        <v>0</v>
      </c>
      <c r="F20">
        <v>0</v>
      </c>
      <c r="G20">
        <v>0</v>
      </c>
      <c r="H20">
        <v>0</v>
      </c>
      <c r="I20">
        <v>0</v>
      </c>
      <c r="J20">
        <v>0.8</v>
      </c>
      <c r="K20">
        <v>0</v>
      </c>
    </row>
    <row r="21" spans="1:11" x14ac:dyDescent="0.15">
      <c r="A21">
        <v>20</v>
      </c>
      <c r="B21" s="193" t="s">
        <v>211</v>
      </c>
      <c r="C21">
        <v>0.8</v>
      </c>
      <c r="D21">
        <v>0.8</v>
      </c>
      <c r="E21">
        <v>0.8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</row>
    <row r="22" spans="1:11" x14ac:dyDescent="0.15">
      <c r="A22">
        <v>21</v>
      </c>
      <c r="B22" s="193" t="s">
        <v>212</v>
      </c>
      <c r="C22">
        <v>0</v>
      </c>
      <c r="D22">
        <v>0.8</v>
      </c>
      <c r="E22">
        <v>0.8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 x14ac:dyDescent="0.15">
      <c r="A23">
        <v>22</v>
      </c>
      <c r="B23" s="193" t="s">
        <v>213</v>
      </c>
      <c r="C23">
        <v>0.8</v>
      </c>
      <c r="D23">
        <v>0.8</v>
      </c>
      <c r="E23">
        <v>0.8</v>
      </c>
      <c r="F23">
        <v>0</v>
      </c>
      <c r="G23">
        <v>0.8</v>
      </c>
      <c r="H23">
        <v>0</v>
      </c>
      <c r="I23">
        <v>0</v>
      </c>
      <c r="J23">
        <v>0</v>
      </c>
      <c r="K23">
        <v>0</v>
      </c>
    </row>
    <row r="24" spans="1:11" x14ac:dyDescent="0.15">
      <c r="A24">
        <v>23</v>
      </c>
      <c r="B24" s="193" t="s">
        <v>214</v>
      </c>
      <c r="C24">
        <v>0</v>
      </c>
      <c r="D24">
        <v>0.8</v>
      </c>
      <c r="E24">
        <v>0.8</v>
      </c>
      <c r="F24">
        <v>0</v>
      </c>
      <c r="G24">
        <v>0.8</v>
      </c>
      <c r="H24">
        <v>0</v>
      </c>
      <c r="I24">
        <v>0</v>
      </c>
      <c r="J24">
        <v>0</v>
      </c>
      <c r="K24">
        <v>0</v>
      </c>
    </row>
    <row r="25" spans="1:11" x14ac:dyDescent="0.15">
      <c r="A25">
        <v>24</v>
      </c>
      <c r="B25" s="193" t="s">
        <v>215</v>
      </c>
      <c r="C25">
        <v>0.8</v>
      </c>
      <c r="D25">
        <v>0.8</v>
      </c>
      <c r="E25">
        <v>0.8</v>
      </c>
      <c r="F25">
        <v>0</v>
      </c>
      <c r="G25">
        <v>0</v>
      </c>
      <c r="H25">
        <v>0</v>
      </c>
      <c r="I25">
        <v>0</v>
      </c>
      <c r="J25">
        <v>0.8</v>
      </c>
      <c r="K25">
        <v>0</v>
      </c>
    </row>
    <row r="26" spans="1:11" x14ac:dyDescent="0.15">
      <c r="A26">
        <v>25</v>
      </c>
      <c r="B26" s="193" t="s">
        <v>216</v>
      </c>
      <c r="C26">
        <v>0</v>
      </c>
      <c r="D26">
        <v>0</v>
      </c>
      <c r="E26">
        <v>0.8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</row>
    <row r="27" spans="1:11" x14ac:dyDescent="0.15">
      <c r="A27">
        <v>26</v>
      </c>
      <c r="B27" s="193" t="s">
        <v>217</v>
      </c>
      <c r="C27">
        <v>0.8</v>
      </c>
      <c r="D27">
        <v>0.8</v>
      </c>
      <c r="E27">
        <v>0.8</v>
      </c>
      <c r="F27">
        <v>0</v>
      </c>
      <c r="G27">
        <v>0</v>
      </c>
      <c r="H27">
        <v>0</v>
      </c>
      <c r="I27">
        <v>0.8</v>
      </c>
      <c r="J27">
        <v>0</v>
      </c>
      <c r="K27">
        <v>0</v>
      </c>
    </row>
    <row r="28" spans="1:11" x14ac:dyDescent="0.15">
      <c r="A28">
        <v>27</v>
      </c>
      <c r="B28" s="193" t="s">
        <v>218</v>
      </c>
      <c r="C28">
        <v>0.8</v>
      </c>
      <c r="D28">
        <v>0.8</v>
      </c>
      <c r="E28">
        <v>0</v>
      </c>
      <c r="F28">
        <v>0.8</v>
      </c>
      <c r="G28">
        <v>0</v>
      </c>
      <c r="H28">
        <v>0</v>
      </c>
      <c r="I28">
        <v>0</v>
      </c>
      <c r="J28">
        <v>0</v>
      </c>
      <c r="K28">
        <v>0</v>
      </c>
    </row>
    <row r="29" spans="1:11" x14ac:dyDescent="0.15">
      <c r="A29">
        <v>28</v>
      </c>
      <c r="B29" s="193" t="s">
        <v>219</v>
      </c>
      <c r="C29">
        <v>0.8</v>
      </c>
      <c r="D29">
        <v>0.8</v>
      </c>
      <c r="E29">
        <v>0</v>
      </c>
      <c r="F29">
        <v>0</v>
      </c>
      <c r="G29">
        <v>0.8</v>
      </c>
      <c r="H29">
        <v>0</v>
      </c>
      <c r="I29">
        <v>0</v>
      </c>
      <c r="J29">
        <v>0</v>
      </c>
      <c r="K29">
        <v>0</v>
      </c>
    </row>
    <row r="30" spans="1:11" x14ac:dyDescent="0.15">
      <c r="A30">
        <v>29</v>
      </c>
      <c r="B30" s="193" t="s">
        <v>220</v>
      </c>
      <c r="C30">
        <v>0</v>
      </c>
      <c r="D30">
        <v>0.8</v>
      </c>
      <c r="E30">
        <v>0.8</v>
      </c>
      <c r="F30">
        <v>0.8</v>
      </c>
      <c r="G30">
        <v>0</v>
      </c>
      <c r="H30">
        <v>0</v>
      </c>
      <c r="I30">
        <v>0</v>
      </c>
      <c r="J30">
        <v>0</v>
      </c>
      <c r="K30">
        <v>0</v>
      </c>
    </row>
    <row r="31" spans="1:11" x14ac:dyDescent="0.15">
      <c r="A31">
        <v>30</v>
      </c>
      <c r="B31" s="193" t="s">
        <v>221</v>
      </c>
      <c r="C31">
        <v>0.8</v>
      </c>
      <c r="D31">
        <v>0.8</v>
      </c>
      <c r="E31">
        <v>0</v>
      </c>
      <c r="F31">
        <v>0</v>
      </c>
      <c r="G31">
        <v>0.8</v>
      </c>
      <c r="H31">
        <v>0</v>
      </c>
      <c r="I31">
        <v>0</v>
      </c>
      <c r="J31">
        <v>0</v>
      </c>
      <c r="K31">
        <v>0</v>
      </c>
    </row>
    <row r="32" spans="1:11" x14ac:dyDescent="0.15">
      <c r="A32">
        <v>31</v>
      </c>
      <c r="B32" s="193" t="s">
        <v>222</v>
      </c>
      <c r="C32">
        <v>0</v>
      </c>
      <c r="D32">
        <v>0.8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 x14ac:dyDescent="0.15">
      <c r="A33">
        <v>32</v>
      </c>
      <c r="B33" s="193" t="s">
        <v>223</v>
      </c>
      <c r="C33">
        <v>0.8</v>
      </c>
      <c r="D33">
        <v>0.8</v>
      </c>
      <c r="E33">
        <v>0</v>
      </c>
      <c r="F33">
        <v>0.8</v>
      </c>
      <c r="G33">
        <v>0.8</v>
      </c>
      <c r="H33">
        <v>0</v>
      </c>
      <c r="I33">
        <v>0</v>
      </c>
      <c r="J33">
        <v>0</v>
      </c>
      <c r="K33">
        <v>0</v>
      </c>
    </row>
    <row r="34" spans="1:11" x14ac:dyDescent="0.15">
      <c r="A34">
        <v>33</v>
      </c>
      <c r="B34" s="193" t="s">
        <v>224</v>
      </c>
      <c r="C34">
        <v>0.8</v>
      </c>
      <c r="D34">
        <v>0.8</v>
      </c>
      <c r="E34">
        <v>0</v>
      </c>
      <c r="F34">
        <v>0</v>
      </c>
      <c r="G34">
        <v>0.8</v>
      </c>
      <c r="H34">
        <v>0.8</v>
      </c>
      <c r="I34">
        <v>0.8</v>
      </c>
      <c r="J34">
        <v>0.8</v>
      </c>
      <c r="K34">
        <v>0.8</v>
      </c>
    </row>
    <row r="35" spans="1:11" x14ac:dyDescent="0.15">
      <c r="A35">
        <v>34</v>
      </c>
      <c r="B35" s="193" t="s">
        <v>225</v>
      </c>
      <c r="C35">
        <v>0.8</v>
      </c>
      <c r="D35">
        <v>0.8</v>
      </c>
      <c r="E35">
        <v>0</v>
      </c>
      <c r="F35">
        <v>0</v>
      </c>
      <c r="G35">
        <v>0.8</v>
      </c>
      <c r="H35">
        <v>0</v>
      </c>
      <c r="I35">
        <v>0</v>
      </c>
      <c r="J35">
        <v>0.8</v>
      </c>
      <c r="K35">
        <v>0.8</v>
      </c>
    </row>
    <row r="36" spans="1:11" x14ac:dyDescent="0.15">
      <c r="A36">
        <v>35</v>
      </c>
      <c r="B36" s="193" t="s">
        <v>226</v>
      </c>
      <c r="C36">
        <v>0.8</v>
      </c>
      <c r="D36">
        <v>0.8</v>
      </c>
      <c r="E36">
        <v>0</v>
      </c>
      <c r="F36">
        <v>0</v>
      </c>
      <c r="G36">
        <v>0.8</v>
      </c>
      <c r="H36">
        <v>0</v>
      </c>
      <c r="I36">
        <v>0</v>
      </c>
      <c r="J36">
        <v>0</v>
      </c>
      <c r="K36">
        <v>0</v>
      </c>
    </row>
    <row r="37" spans="1:11" x14ac:dyDescent="0.15">
      <c r="A37">
        <v>36</v>
      </c>
      <c r="B37" s="193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0.8</v>
      </c>
      <c r="K37">
        <v>0.8</v>
      </c>
    </row>
    <row r="38" spans="1:11" x14ac:dyDescent="0.15">
      <c r="A38">
        <v>37</v>
      </c>
      <c r="B38" s="193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 x14ac:dyDescent="0.15">
      <c r="A39">
        <v>38</v>
      </c>
      <c r="B39" s="193" t="s">
        <v>229</v>
      </c>
      <c r="C39">
        <v>0</v>
      </c>
      <c r="D39">
        <v>0.8</v>
      </c>
      <c r="E39">
        <v>0</v>
      </c>
      <c r="F39">
        <v>0</v>
      </c>
      <c r="G39">
        <v>0</v>
      </c>
      <c r="H39">
        <v>0</v>
      </c>
      <c r="I39">
        <v>0.8</v>
      </c>
      <c r="J39">
        <v>0.8</v>
      </c>
      <c r="K39">
        <v>0</v>
      </c>
    </row>
    <row r="40" spans="1:11" x14ac:dyDescent="0.15">
      <c r="A40">
        <v>39</v>
      </c>
      <c r="B40" s="193" t="s">
        <v>230</v>
      </c>
      <c r="C40">
        <v>0</v>
      </c>
      <c r="D40">
        <v>0.8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0.8</v>
      </c>
    </row>
    <row r="41" spans="1:11" x14ac:dyDescent="0.15">
      <c r="A41">
        <v>40</v>
      </c>
      <c r="B41" s="193" t="s">
        <v>231</v>
      </c>
      <c r="C41">
        <v>0.8</v>
      </c>
      <c r="D41">
        <v>0.8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</row>
    <row r="42" spans="1:11" x14ac:dyDescent="0.15">
      <c r="A42">
        <v>41</v>
      </c>
      <c r="B42" s="193" t="s">
        <v>232</v>
      </c>
      <c r="C42">
        <v>0.8</v>
      </c>
      <c r="D42">
        <v>0.8</v>
      </c>
      <c r="E42">
        <v>0</v>
      </c>
      <c r="F42">
        <v>0.8</v>
      </c>
      <c r="G42">
        <v>0</v>
      </c>
      <c r="H42">
        <v>0</v>
      </c>
      <c r="I42">
        <v>0</v>
      </c>
      <c r="J42">
        <v>0</v>
      </c>
      <c r="K42">
        <v>0.8</v>
      </c>
    </row>
    <row r="43" spans="1:11" x14ac:dyDescent="0.15">
      <c r="A43">
        <v>42</v>
      </c>
      <c r="B43" s="193" t="s">
        <v>233</v>
      </c>
      <c r="C43">
        <v>0.8</v>
      </c>
      <c r="D43">
        <v>0.8</v>
      </c>
      <c r="E43">
        <v>0</v>
      </c>
      <c r="F43">
        <v>0</v>
      </c>
      <c r="G43">
        <v>0.8</v>
      </c>
      <c r="H43">
        <v>0</v>
      </c>
      <c r="I43">
        <v>0</v>
      </c>
      <c r="J43">
        <v>0.8</v>
      </c>
      <c r="K43">
        <v>0.8</v>
      </c>
    </row>
    <row r="44" spans="1:11" x14ac:dyDescent="0.15">
      <c r="A44">
        <v>43</v>
      </c>
      <c r="B44" s="193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</row>
    <row r="45" spans="1:11" x14ac:dyDescent="0.15">
      <c r="A45">
        <v>44</v>
      </c>
      <c r="B45" s="193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</row>
    <row r="46" spans="1:11" x14ac:dyDescent="0.15">
      <c r="A46">
        <v>45</v>
      </c>
      <c r="B46" s="193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</row>
    <row r="47" spans="1:11" x14ac:dyDescent="0.15">
      <c r="A47">
        <v>46</v>
      </c>
      <c r="B47" s="193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1:11" x14ac:dyDescent="0.15">
      <c r="A48">
        <v>47</v>
      </c>
      <c r="B48" s="193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1:11" x14ac:dyDescent="0.15">
      <c r="A49">
        <v>48</v>
      </c>
      <c r="B49" s="193" t="s">
        <v>239</v>
      </c>
      <c r="C49">
        <v>0.8</v>
      </c>
      <c r="D49">
        <v>0.8</v>
      </c>
      <c r="E49">
        <v>0</v>
      </c>
      <c r="F49">
        <v>0</v>
      </c>
      <c r="G49">
        <v>0.8</v>
      </c>
      <c r="H49">
        <v>0</v>
      </c>
      <c r="I49">
        <v>0</v>
      </c>
      <c r="J49">
        <v>0</v>
      </c>
      <c r="K49">
        <v>0</v>
      </c>
    </row>
    <row r="50" spans="1:11" x14ac:dyDescent="0.15">
      <c r="A50">
        <v>49</v>
      </c>
      <c r="B50" s="193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1:11" x14ac:dyDescent="0.15">
      <c r="A51">
        <v>50</v>
      </c>
      <c r="B51" s="193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1:11" x14ac:dyDescent="0.15">
      <c r="A52">
        <v>51</v>
      </c>
      <c r="B52" s="193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1:11" x14ac:dyDescent="0.15">
      <c r="A53">
        <v>52</v>
      </c>
      <c r="B53" s="193" t="s">
        <v>243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1:11" x14ac:dyDescent="0.15">
      <c r="A54">
        <v>53</v>
      </c>
      <c r="B54" s="193" t="s">
        <v>244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1:11" x14ac:dyDescent="0.15">
      <c r="A55">
        <v>54</v>
      </c>
      <c r="B55" s="193" t="s">
        <v>245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G17" sqref="G17"/>
    </sheetView>
  </sheetViews>
  <sheetFormatPr baseColWidth="10" defaultColWidth="8.83203125" defaultRowHeight="15" customHeight="1" x14ac:dyDescent="0.15"/>
  <cols>
    <col min="1" max="1" width="8.83203125" style="84"/>
    <col min="2" max="2" width="41.83203125" style="84" bestFit="1" customWidth="1"/>
    <col min="3" max="3" width="9.33203125" style="84" bestFit="1" customWidth="1"/>
    <col min="4" max="4" width="13" style="84" bestFit="1" customWidth="1"/>
    <col min="5" max="6" width="9.33203125" style="84" bestFit="1" customWidth="1"/>
    <col min="7" max="7" width="9.33203125" style="100" bestFit="1" customWidth="1"/>
    <col min="8" max="8" width="9.33203125" style="84" bestFit="1" customWidth="1"/>
    <col min="9" max="9" width="11" style="84" customWidth="1"/>
    <col min="10" max="10" width="8.83203125" style="84"/>
    <col min="15" max="16384" width="8.83203125" style="84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46">
        <v>1</v>
      </c>
      <c r="B2" s="146" t="s">
        <v>192</v>
      </c>
      <c r="C2" s="8">
        <v>4.4181652069091797</v>
      </c>
      <c r="D2" s="9">
        <v>7.9999997979030013E-5</v>
      </c>
      <c r="E2" s="9">
        <v>1.9999999552965164E-2</v>
      </c>
      <c r="F2" s="9">
        <v>8.6700000762939453</v>
      </c>
      <c r="G2" s="9">
        <v>6.25E-2</v>
      </c>
      <c r="H2" s="9">
        <v>2.3068049922585487E-3</v>
      </c>
      <c r="I2">
        <v>1.0000000116860974E-7</v>
      </c>
      <c r="J2"/>
    </row>
    <row r="3" spans="1:10" ht="15" customHeight="1" x14ac:dyDescent="0.15">
      <c r="A3" s="147">
        <v>2</v>
      </c>
      <c r="B3" s="147" t="s">
        <v>193</v>
      </c>
      <c r="C3" s="8">
        <v>3.8716204166412354</v>
      </c>
      <c r="D3" s="9">
        <v>3.3999999868683517E-4</v>
      </c>
      <c r="E3" s="9">
        <v>1.9999999552965164E-2</v>
      </c>
      <c r="F3" s="9">
        <v>10</v>
      </c>
      <c r="G3" s="9">
        <v>0.14705882966518402</v>
      </c>
      <c r="H3" s="9">
        <v>1.999999862164259E-3</v>
      </c>
      <c r="I3">
        <v>9.9999999747524271E-7</v>
      </c>
      <c r="J3"/>
    </row>
    <row r="4" spans="1:10" ht="15" customHeight="1" x14ac:dyDescent="0.15">
      <c r="A4" s="148">
        <v>3</v>
      </c>
      <c r="B4" s="148" t="s">
        <v>194</v>
      </c>
      <c r="C4" s="8">
        <v>4.3125948905944824</v>
      </c>
      <c r="D4" s="9">
        <v>1.0999999940395355E-2</v>
      </c>
      <c r="E4" s="9">
        <v>5.9999998658895493E-2</v>
      </c>
      <c r="F4" s="9">
        <v>14.550000190734863</v>
      </c>
      <c r="G4" s="7">
        <v>0</v>
      </c>
      <c r="H4" s="9">
        <v>4.1237110272049904E-3</v>
      </c>
      <c r="I4">
        <v>0</v>
      </c>
      <c r="J4"/>
    </row>
    <row r="5" spans="1:10" ht="15" customHeight="1" x14ac:dyDescent="0.15">
      <c r="A5" s="149">
        <v>4</v>
      </c>
      <c r="B5" s="149" t="s">
        <v>195</v>
      </c>
      <c r="C5" s="8">
        <v>3.8151431083679199</v>
      </c>
      <c r="D5" s="9">
        <v>5.1100000739097595E-2</v>
      </c>
      <c r="E5" s="9">
        <v>1.0746320486068726</v>
      </c>
      <c r="F5" s="9">
        <v>82.66400146484375</v>
      </c>
      <c r="G5" s="9">
        <v>0.77007406949996948</v>
      </c>
      <c r="H5" s="9">
        <v>1.3000000268220901E-2</v>
      </c>
      <c r="I5">
        <v>0</v>
      </c>
      <c r="J5"/>
    </row>
    <row r="6" spans="1:10" ht="15" customHeight="1" x14ac:dyDescent="0.15">
      <c r="A6" s="150">
        <v>5</v>
      </c>
      <c r="B6" s="150" t="s">
        <v>196</v>
      </c>
      <c r="C6" s="8">
        <v>3.5835211277008057</v>
      </c>
      <c r="D6" s="9">
        <v>1.39999995008111E-3</v>
      </c>
      <c r="E6" s="9">
        <v>7.0000000298023224E-2</v>
      </c>
      <c r="F6" s="9">
        <v>3.7000000476837158</v>
      </c>
      <c r="G6" s="9">
        <v>1.0204082354903221E-3</v>
      </c>
      <c r="H6" s="9">
        <v>1.8918918445706367E-2</v>
      </c>
      <c r="I6">
        <v>1.0000000116860974E-7</v>
      </c>
      <c r="J6"/>
    </row>
    <row r="7" spans="1:10" ht="15" customHeight="1" x14ac:dyDescent="0.15">
      <c r="A7" s="151">
        <v>6</v>
      </c>
      <c r="B7" s="151" t="s">
        <v>197</v>
      </c>
      <c r="C7" s="8">
        <v>4.4688124656677246</v>
      </c>
      <c r="D7" s="9">
        <v>1.2799999676644802E-2</v>
      </c>
      <c r="E7" s="9">
        <v>0.5</v>
      </c>
      <c r="F7" s="9">
        <v>2.6800000667572021</v>
      </c>
      <c r="G7" s="9">
        <v>0.87452888488769531</v>
      </c>
      <c r="H7" s="9">
        <v>0.18656715750694275</v>
      </c>
      <c r="I7">
        <v>2.9010002035647631E-3</v>
      </c>
      <c r="J7"/>
    </row>
    <row r="8" spans="1:10" ht="15" customHeight="1" x14ac:dyDescent="0.15">
      <c r="A8" s="152">
        <v>7</v>
      </c>
      <c r="B8" s="152" t="s">
        <v>198</v>
      </c>
      <c r="C8" s="8">
        <v>4.1606216430664062</v>
      </c>
      <c r="D8" s="9">
        <v>0.35699969530105591</v>
      </c>
      <c r="E8" s="9">
        <v>0.97200000286102295</v>
      </c>
      <c r="F8" s="9">
        <v>3.0000028610229492</v>
      </c>
      <c r="G8" s="9">
        <v>0.92251932621002197</v>
      </c>
      <c r="H8" s="9">
        <v>0.32399970293045044</v>
      </c>
      <c r="I8">
        <v>0.20422598719596863</v>
      </c>
      <c r="J8"/>
    </row>
    <row r="9" spans="1:10" ht="15" customHeight="1" x14ac:dyDescent="0.15">
      <c r="A9" s="153">
        <v>8</v>
      </c>
      <c r="B9" s="153" t="s">
        <v>199</v>
      </c>
      <c r="C9" s="8">
        <v>3.3743939399719238</v>
      </c>
      <c r="D9" s="9">
        <v>0.19583858549594879</v>
      </c>
      <c r="E9" s="9">
        <v>1.9440000057220459</v>
      </c>
      <c r="F9" s="9">
        <v>7.7652325630187988</v>
      </c>
      <c r="G9" s="9">
        <v>0.65000289678573608</v>
      </c>
      <c r="H9" s="9">
        <v>0.25034666061401367</v>
      </c>
      <c r="I9">
        <v>1.0099999781232327E-4</v>
      </c>
      <c r="J9"/>
    </row>
    <row r="10" spans="1:10" ht="15" customHeight="1" x14ac:dyDescent="0.15">
      <c r="A10" s="154">
        <v>9</v>
      </c>
      <c r="B10" s="154" t="s">
        <v>200</v>
      </c>
      <c r="C10" s="8">
        <v>3.8925597667694092</v>
      </c>
      <c r="D10" s="9">
        <v>7.0000045001506805E-2</v>
      </c>
      <c r="E10" s="9">
        <v>1.4210000038146973</v>
      </c>
      <c r="F10" s="9">
        <v>3.9999973773956299</v>
      </c>
      <c r="G10" s="9">
        <v>0.86893665790557861</v>
      </c>
      <c r="H10" s="9">
        <v>0.35525023937225342</v>
      </c>
      <c r="I10">
        <v>4.1221998631954193E-2</v>
      </c>
      <c r="J10"/>
    </row>
    <row r="11" spans="1:10" ht="15" customHeight="1" x14ac:dyDescent="0.15">
      <c r="A11" s="155">
        <v>10</v>
      </c>
      <c r="B11" s="155" t="s">
        <v>201</v>
      </c>
      <c r="C11" s="8">
        <v>3.2406852245330811</v>
      </c>
      <c r="D11" s="9">
        <v>0.17427355051040649</v>
      </c>
      <c r="E11" s="9">
        <v>2.8420000076293945</v>
      </c>
      <c r="F11" s="9">
        <v>10.563735008239746</v>
      </c>
      <c r="G11" s="9">
        <v>0.3458782434463501</v>
      </c>
      <c r="H11" s="9">
        <v>0.26903364062309265</v>
      </c>
      <c r="I11">
        <v>1.1000000085914508E-5</v>
      </c>
      <c r="J11"/>
    </row>
    <row r="12" spans="1:10" ht="15" customHeight="1" x14ac:dyDescent="0.15">
      <c r="A12" s="156">
        <v>11</v>
      </c>
      <c r="B12" s="156" t="s">
        <v>202</v>
      </c>
      <c r="C12" s="8">
        <v>3.6718907356262207</v>
      </c>
      <c r="D12" s="9">
        <v>0.20000006258487701</v>
      </c>
      <c r="E12" s="9">
        <v>0.95499998331069946</v>
      </c>
      <c r="F12" s="9">
        <v>3.6299989223480225</v>
      </c>
      <c r="G12" s="9">
        <v>0.89028400182723999</v>
      </c>
      <c r="H12" s="9">
        <v>0.26308548450469971</v>
      </c>
      <c r="I12">
        <v>0.10138200223445892</v>
      </c>
      <c r="J12"/>
    </row>
    <row r="13" spans="1:10" ht="15" customHeight="1" x14ac:dyDescent="0.15">
      <c r="A13" s="157">
        <v>12</v>
      </c>
      <c r="B13" s="157" t="s">
        <v>203</v>
      </c>
      <c r="C13" s="8">
        <v>3.1981964111328125</v>
      </c>
      <c r="D13" s="9">
        <v>8.3529554307460785E-2</v>
      </c>
      <c r="E13" s="9">
        <v>1.9099999666213989</v>
      </c>
      <c r="F13" s="9">
        <v>10.167673110961914</v>
      </c>
      <c r="G13" s="9">
        <v>0.28893312811851501</v>
      </c>
      <c r="H13" s="9">
        <v>0.18785025179386139</v>
      </c>
      <c r="I13">
        <v>3.0000001061125658E-6</v>
      </c>
      <c r="J13"/>
    </row>
    <row r="14" spans="1:10" ht="15" customHeight="1" x14ac:dyDescent="0.15">
      <c r="A14" s="158">
        <v>13</v>
      </c>
      <c r="B14" s="158" t="s">
        <v>204</v>
      </c>
      <c r="C14" s="8">
        <v>4.2647385597229004</v>
      </c>
      <c r="D14" s="9">
        <v>0.50700002908706665</v>
      </c>
      <c r="E14" s="9">
        <v>0.84200000762939453</v>
      </c>
      <c r="F14" s="9">
        <v>2.9700000286102295</v>
      </c>
      <c r="G14" s="9">
        <v>0.73163783550262451</v>
      </c>
      <c r="H14" s="9">
        <v>0.28350168466567993</v>
      </c>
      <c r="I14">
        <v>0.1151529997587204</v>
      </c>
      <c r="J14"/>
    </row>
    <row r="15" spans="1:10" ht="15" customHeight="1" x14ac:dyDescent="0.15">
      <c r="A15" s="159">
        <v>14</v>
      </c>
      <c r="B15" s="159" t="s">
        <v>205</v>
      </c>
      <c r="C15" s="8">
        <v>3.6517987251281738</v>
      </c>
      <c r="D15" s="9">
        <v>0.15999999642372131</v>
      </c>
      <c r="E15" s="9">
        <v>0.56300002336502075</v>
      </c>
      <c r="F15" s="9">
        <v>2.5799999237060547</v>
      </c>
      <c r="G15" s="9">
        <v>0.95975369215011597</v>
      </c>
      <c r="H15" s="9">
        <v>0.21821707487106323</v>
      </c>
      <c r="I15">
        <v>7.0170001126825809E-3</v>
      </c>
      <c r="J15"/>
    </row>
    <row r="16" spans="1:10" ht="15" customHeight="1" x14ac:dyDescent="0.15">
      <c r="A16" s="160">
        <v>15</v>
      </c>
      <c r="B16" s="160" t="s">
        <v>206</v>
      </c>
      <c r="C16" s="8">
        <v>4.0033812522888184</v>
      </c>
      <c r="D16" s="9">
        <v>2.9999999329447746E-2</v>
      </c>
      <c r="E16" s="9">
        <v>0.5899999737739563</v>
      </c>
      <c r="F16" s="9">
        <v>1.9900000095367432</v>
      </c>
      <c r="G16" s="9">
        <v>0.71778357028961182</v>
      </c>
      <c r="H16" s="9">
        <v>0.2964823842048645</v>
      </c>
      <c r="I16">
        <v>0</v>
      </c>
      <c r="J16"/>
    </row>
    <row r="17" spans="1:10" ht="15" customHeight="1" x14ac:dyDescent="0.15">
      <c r="A17" s="161">
        <v>16</v>
      </c>
      <c r="B17" s="161" t="s">
        <v>207</v>
      </c>
      <c r="C17" s="8">
        <v>2.9636526107788086</v>
      </c>
      <c r="D17" s="9">
        <v>1.2999999523162842</v>
      </c>
      <c r="E17" s="9">
        <v>1.5299999713897705</v>
      </c>
      <c r="F17" s="9">
        <v>5.0159997940063477</v>
      </c>
      <c r="G17" s="9">
        <v>0.57503724098205566</v>
      </c>
      <c r="H17" s="9">
        <v>0.30502393841743469</v>
      </c>
      <c r="I17">
        <v>9.9999999747524271E-7</v>
      </c>
      <c r="J17"/>
    </row>
    <row r="18" spans="1:10" ht="15" customHeight="1" x14ac:dyDescent="0.15">
      <c r="A18" s="162">
        <v>17</v>
      </c>
      <c r="B18" s="162" t="s">
        <v>208</v>
      </c>
      <c r="C18" s="8">
        <v>3.545081615447998</v>
      </c>
      <c r="D18" s="9">
        <v>0.13400000333786011</v>
      </c>
      <c r="E18" s="9">
        <v>2.4600000381469727</v>
      </c>
      <c r="F18" s="9">
        <v>6.5</v>
      </c>
      <c r="G18" s="9">
        <v>0.57890784740447998</v>
      </c>
      <c r="H18" s="9">
        <v>0.37846153974533081</v>
      </c>
      <c r="I18">
        <v>1.0040000779554248E-3</v>
      </c>
      <c r="J18"/>
    </row>
    <row r="19" spans="1:10" ht="15" customHeight="1" x14ac:dyDescent="0.15">
      <c r="A19" s="163">
        <v>18</v>
      </c>
      <c r="B19" s="163" t="s">
        <v>209</v>
      </c>
      <c r="C19" s="8">
        <v>4.1605973243713379</v>
      </c>
      <c r="D19" s="9">
        <v>0.10000000149011612</v>
      </c>
      <c r="E19" s="9">
        <v>2.3940000534057617</v>
      </c>
      <c r="F19" s="9">
        <v>6.6420001983642578</v>
      </c>
      <c r="G19" s="9">
        <v>0.90209639072418213</v>
      </c>
      <c r="H19" s="9">
        <v>0.36043360829353333</v>
      </c>
      <c r="I19">
        <v>4.0888000279664993E-2</v>
      </c>
      <c r="J19"/>
    </row>
    <row r="20" spans="1:10" ht="15" customHeight="1" x14ac:dyDescent="0.15">
      <c r="A20" s="164">
        <v>19</v>
      </c>
      <c r="B20" s="164" t="s">
        <v>210</v>
      </c>
      <c r="C20" s="8">
        <v>4.2392511367797852</v>
      </c>
      <c r="D20" s="9">
        <v>8.9400000870227814E-2</v>
      </c>
      <c r="E20" s="9">
        <v>1.034000039100647</v>
      </c>
      <c r="F20" s="9">
        <v>3.7300000190734863</v>
      </c>
      <c r="G20" s="9">
        <v>0.93725752830505371</v>
      </c>
      <c r="H20" s="9">
        <v>0.27721181511878967</v>
      </c>
      <c r="I20">
        <v>2.046000212430954E-3</v>
      </c>
      <c r="J20"/>
    </row>
    <row r="21" spans="1:10" ht="15" customHeight="1" x14ac:dyDescent="0.15">
      <c r="A21" s="165">
        <v>20</v>
      </c>
      <c r="B21" s="165" t="s">
        <v>211</v>
      </c>
      <c r="C21" s="8">
        <v>3.7754447460174561</v>
      </c>
      <c r="D21" s="9">
        <v>0.22900000214576721</v>
      </c>
      <c r="E21" s="9">
        <v>1.5399999618530273</v>
      </c>
      <c r="F21" s="9">
        <v>5.1539998054504395</v>
      </c>
      <c r="G21" s="9">
        <v>0.99460351467132568</v>
      </c>
      <c r="H21" s="9">
        <v>0.29879704117774963</v>
      </c>
      <c r="I21">
        <v>6.9999994593672454E-5</v>
      </c>
      <c r="J21"/>
    </row>
    <row r="22" spans="1:10" ht="15" customHeight="1" x14ac:dyDescent="0.15">
      <c r="A22" s="166">
        <v>21</v>
      </c>
      <c r="B22" s="166" t="s">
        <v>212</v>
      </c>
      <c r="C22" s="8">
        <v>3.6773490905761719</v>
      </c>
      <c r="D22" s="9">
        <v>0.15199999511241913</v>
      </c>
      <c r="E22" s="9">
        <v>1.315000057220459</v>
      </c>
      <c r="F22" s="9">
        <v>5.0890002250671387</v>
      </c>
      <c r="G22" s="9">
        <v>0.55425399541854858</v>
      </c>
      <c r="H22" s="9">
        <v>0.25840047001838684</v>
      </c>
      <c r="I22">
        <v>8.1800000043585896E-4</v>
      </c>
      <c r="J22"/>
    </row>
    <row r="23" spans="1:10" ht="15" customHeight="1" x14ac:dyDescent="0.15">
      <c r="A23" s="167">
        <v>22</v>
      </c>
      <c r="B23" s="167" t="s">
        <v>213</v>
      </c>
      <c r="C23" s="8">
        <v>3.5665268898010254</v>
      </c>
      <c r="D23" s="9">
        <v>0.4440000057220459</v>
      </c>
      <c r="E23" s="9">
        <v>2.2100000381469727</v>
      </c>
      <c r="F23" s="9">
        <v>5.7399997711181641</v>
      </c>
      <c r="G23" s="9">
        <v>0.45405703783035278</v>
      </c>
      <c r="H23" s="9">
        <v>0.38501745462417603</v>
      </c>
      <c r="I23">
        <v>1.3697000220417976E-2</v>
      </c>
      <c r="J23"/>
    </row>
    <row r="24" spans="1:10" ht="15" customHeight="1" x14ac:dyDescent="0.15">
      <c r="A24" s="168">
        <v>23</v>
      </c>
      <c r="B24" s="168" t="s">
        <v>214</v>
      </c>
      <c r="C24" s="8">
        <v>3.5638811588287354</v>
      </c>
      <c r="D24" s="9">
        <v>1.1430000066757202</v>
      </c>
      <c r="E24" s="9">
        <v>0.414000004529953</v>
      </c>
      <c r="F24" s="9">
        <v>1.7300000190734863</v>
      </c>
      <c r="G24" s="9">
        <v>0.90134263038635254</v>
      </c>
      <c r="H24" s="9">
        <v>0.23930636048316956</v>
      </c>
      <c r="I24">
        <v>2.3148000240325928E-2</v>
      </c>
      <c r="J24"/>
    </row>
    <row r="25" spans="1:10" ht="15" customHeight="1" x14ac:dyDescent="0.15">
      <c r="A25" s="169">
        <v>24</v>
      </c>
      <c r="B25" s="169" t="s">
        <v>215</v>
      </c>
      <c r="C25" s="8">
        <v>4.6619348526000977</v>
      </c>
      <c r="D25" s="9">
        <v>0.125</v>
      </c>
      <c r="E25" s="9">
        <v>1.2460000514984131</v>
      </c>
      <c r="F25" s="9">
        <v>4</v>
      </c>
      <c r="G25" s="9">
        <v>0.93867415189743042</v>
      </c>
      <c r="H25" s="9">
        <v>0.31150001287460327</v>
      </c>
      <c r="I25">
        <v>2.6299999444745481E-4</v>
      </c>
      <c r="J25"/>
    </row>
    <row r="26" spans="1:10" ht="15" customHeight="1" x14ac:dyDescent="0.15">
      <c r="A26" s="170">
        <v>25</v>
      </c>
      <c r="B26" s="170" t="s">
        <v>216</v>
      </c>
      <c r="C26" s="8">
        <v>3.6896913051605225</v>
      </c>
      <c r="D26" s="9">
        <v>8.9000001549720764E-2</v>
      </c>
      <c r="E26" s="9">
        <v>0.57499998807907104</v>
      </c>
      <c r="F26" s="9">
        <v>2.7400000095367432</v>
      </c>
      <c r="G26" s="9">
        <v>0.82689005136489868</v>
      </c>
      <c r="H26" s="9">
        <v>0.20985400676727295</v>
      </c>
      <c r="I26">
        <v>9.9999997473787516E-6</v>
      </c>
      <c r="J26"/>
    </row>
    <row r="27" spans="1:10" ht="15" customHeight="1" x14ac:dyDescent="0.15">
      <c r="A27" s="171">
        <v>26</v>
      </c>
      <c r="B27" s="171" t="s">
        <v>217</v>
      </c>
      <c r="C27" s="8">
        <v>4.3232889175415039</v>
      </c>
      <c r="D27" s="9">
        <v>0.1940000057220459</v>
      </c>
      <c r="E27" s="9">
        <v>0.49000000953674316</v>
      </c>
      <c r="F27" s="9">
        <v>1.9500000476837158</v>
      </c>
      <c r="G27" s="9">
        <v>0.99547380208969116</v>
      </c>
      <c r="H27" s="9">
        <v>0.25128203630447388</v>
      </c>
      <c r="I27">
        <v>3.7602998316287994E-2</v>
      </c>
      <c r="J27"/>
    </row>
    <row r="28" spans="1:10" ht="15" customHeight="1" x14ac:dyDescent="0.15">
      <c r="A28" s="172">
        <v>27</v>
      </c>
      <c r="B28" s="172" t="s">
        <v>218</v>
      </c>
      <c r="C28" s="8">
        <v>3.5738611221313477</v>
      </c>
      <c r="D28" s="9">
        <v>0.54400002956390381</v>
      </c>
      <c r="E28" s="9">
        <v>1.5700000524520874</v>
      </c>
      <c r="F28" s="9">
        <v>5.4210000038146973</v>
      </c>
      <c r="G28" s="9">
        <v>0.8725813627243042</v>
      </c>
      <c r="H28" s="9">
        <v>0.2896144688129425</v>
      </c>
      <c r="I28">
        <v>5.406610295176506E-2</v>
      </c>
      <c r="J28"/>
    </row>
    <row r="29" spans="1:10" ht="15" customHeight="1" x14ac:dyDescent="0.15">
      <c r="A29" s="173">
        <v>28</v>
      </c>
      <c r="B29" s="173" t="s">
        <v>219</v>
      </c>
      <c r="C29" s="8">
        <v>3.4051523208618164</v>
      </c>
      <c r="D29" s="9">
        <v>1.0260000228881836</v>
      </c>
      <c r="E29" s="9">
        <v>1.5700000524520874</v>
      </c>
      <c r="F29" s="9">
        <v>5.2350001335144043</v>
      </c>
      <c r="G29" s="9">
        <v>0.51701498031616211</v>
      </c>
      <c r="H29" s="9">
        <v>0.29990449547767639</v>
      </c>
      <c r="I29">
        <v>7.0520001463592052E-3</v>
      </c>
      <c r="J29"/>
    </row>
    <row r="30" spans="1:10" ht="15" customHeight="1" x14ac:dyDescent="0.15">
      <c r="A30" s="174">
        <v>29</v>
      </c>
      <c r="B30" s="174" t="s">
        <v>220</v>
      </c>
      <c r="C30" s="8">
        <v>3.7176227569580078</v>
      </c>
      <c r="D30" s="9">
        <v>3.6429998874664307</v>
      </c>
      <c r="E30" s="9">
        <v>0.72699999809265137</v>
      </c>
      <c r="F30" s="9">
        <v>6.5159997940063477</v>
      </c>
      <c r="G30" s="9">
        <v>0.52624541521072388</v>
      </c>
      <c r="H30" s="9">
        <v>0.11157152056694031</v>
      </c>
      <c r="I30">
        <v>0.67210400104522705</v>
      </c>
      <c r="J30"/>
    </row>
    <row r="31" spans="1:10" ht="15" customHeight="1" x14ac:dyDescent="0.15">
      <c r="A31" s="175">
        <v>30</v>
      </c>
      <c r="B31" s="175" t="s">
        <v>221</v>
      </c>
      <c r="C31" s="8">
        <v>4.0534296035766602</v>
      </c>
      <c r="D31" s="9">
        <v>0.28799998760223389</v>
      </c>
      <c r="E31" s="9">
        <v>0.97200000286102295</v>
      </c>
      <c r="F31" s="9">
        <v>9.7200002670288086</v>
      </c>
      <c r="G31" s="9">
        <v>0.4553045928478241</v>
      </c>
      <c r="H31" s="9">
        <v>9.9999994039535522E-2</v>
      </c>
      <c r="I31">
        <v>0.11333800107240677</v>
      </c>
      <c r="J31"/>
    </row>
    <row r="32" spans="1:10" ht="15" customHeight="1" x14ac:dyDescent="0.15">
      <c r="A32" s="204">
        <v>31</v>
      </c>
      <c r="B32" s="204" t="s">
        <v>222</v>
      </c>
      <c r="C32" s="8">
        <v>4.2930154800415039</v>
      </c>
      <c r="D32" s="9">
        <v>0.11506896466016769</v>
      </c>
      <c r="E32" s="9">
        <v>0.31799998879432678</v>
      </c>
      <c r="F32" s="9">
        <v>3.179999828338623</v>
      </c>
      <c r="G32" s="9">
        <v>1.2512711109593511E-3</v>
      </c>
      <c r="H32" s="9">
        <v>0.10000000149011612</v>
      </c>
      <c r="I32">
        <v>3.8999998650979251E-5</v>
      </c>
      <c r="J32"/>
    </row>
    <row r="33" spans="1:10" ht="15" customHeight="1" x14ac:dyDescent="0.15">
      <c r="A33" s="205">
        <v>32</v>
      </c>
      <c r="B33" s="205" t="s">
        <v>223</v>
      </c>
      <c r="C33" s="8">
        <v>3.6493747234344482</v>
      </c>
      <c r="D33" s="9">
        <v>0.10300000011920929</v>
      </c>
      <c r="E33" s="9">
        <v>1.6000000238418579</v>
      </c>
      <c r="F33" s="9">
        <v>16</v>
      </c>
      <c r="G33" s="9">
        <v>0.6503872275352478</v>
      </c>
      <c r="H33" s="9">
        <v>0.10000000149011612</v>
      </c>
      <c r="I33">
        <v>8.3339996635913849E-2</v>
      </c>
      <c r="J33"/>
    </row>
    <row r="34" spans="1:10" ht="15" customHeight="1" x14ac:dyDescent="0.15">
      <c r="A34" s="206">
        <v>33</v>
      </c>
      <c r="B34" s="206" t="s">
        <v>224</v>
      </c>
      <c r="C34" s="8">
        <v>3.1463983058929443</v>
      </c>
      <c r="D34" s="9">
        <v>13</v>
      </c>
      <c r="E34" s="9">
        <v>1.6610000133514404</v>
      </c>
      <c r="F34" s="9">
        <v>8.3050003051757812</v>
      </c>
      <c r="G34" s="9">
        <v>0.58660537004470825</v>
      </c>
      <c r="H34" s="9">
        <v>0.19999998807907104</v>
      </c>
      <c r="I34">
        <v>0.32404300570487976</v>
      </c>
      <c r="J34"/>
    </row>
    <row r="35" spans="1:10" ht="15" customHeight="1" x14ac:dyDescent="0.15">
      <c r="A35" s="207">
        <v>34</v>
      </c>
      <c r="B35" s="207" t="s">
        <v>225</v>
      </c>
      <c r="C35" s="8">
        <v>3.1115410327911377</v>
      </c>
      <c r="D35" s="9">
        <v>8.9748382568359375</v>
      </c>
      <c r="E35" s="9">
        <v>2.062000036239624</v>
      </c>
      <c r="F35" s="9">
        <v>9.3727273941040039</v>
      </c>
      <c r="G35" s="9">
        <v>0.99004852771759033</v>
      </c>
      <c r="H35" s="9">
        <v>0.2199999988079071</v>
      </c>
      <c r="I35">
        <v>9.4190994277596474E-3</v>
      </c>
      <c r="J35"/>
    </row>
    <row r="36" spans="1:10" ht="15" customHeight="1" x14ac:dyDescent="0.15">
      <c r="A36" s="208">
        <v>35</v>
      </c>
      <c r="B36" s="208" t="s">
        <v>226</v>
      </c>
      <c r="C36" s="8">
        <v>2</v>
      </c>
      <c r="D36" s="9">
        <v>22.726346969604492</v>
      </c>
      <c r="E36" s="9">
        <v>3.6830000877380371</v>
      </c>
      <c r="F36" s="9">
        <v>12.276666641235352</v>
      </c>
      <c r="G36" s="9">
        <v>0.99006092548370361</v>
      </c>
      <c r="H36" s="9">
        <v>0.30000001192092896</v>
      </c>
      <c r="I36">
        <v>1.0300000431016088E-3</v>
      </c>
      <c r="J36"/>
    </row>
    <row r="37" spans="1:10" ht="15" customHeight="1" x14ac:dyDescent="0.15">
      <c r="A37" s="209">
        <v>36</v>
      </c>
      <c r="B37" s="209" t="s">
        <v>227</v>
      </c>
      <c r="C37" s="8">
        <v>2.816852331161499</v>
      </c>
      <c r="D37" s="9">
        <v>8.007105827331543</v>
      </c>
      <c r="E37" s="9">
        <v>2.6949999332427979</v>
      </c>
      <c r="F37" s="9">
        <v>13.47499942779541</v>
      </c>
      <c r="G37" s="9">
        <v>0.99001938104629517</v>
      </c>
      <c r="H37" s="9">
        <v>0.20000000298023224</v>
      </c>
      <c r="I37">
        <v>1.9999999494757503E-5</v>
      </c>
      <c r="J37"/>
    </row>
    <row r="38" spans="1:10" ht="15" customHeight="1" x14ac:dyDescent="0.15">
      <c r="A38" s="210">
        <v>37</v>
      </c>
      <c r="B38" s="210" t="s">
        <v>228</v>
      </c>
      <c r="C38" s="8">
        <v>2.3670704364776611</v>
      </c>
      <c r="D38" s="9">
        <v>24.772737503051758</v>
      </c>
      <c r="E38" s="9">
        <v>2.5520000457763672</v>
      </c>
      <c r="F38" s="9">
        <v>11.600000381469727</v>
      </c>
      <c r="G38" s="9">
        <v>0.99007982015609741</v>
      </c>
      <c r="H38" s="9">
        <v>0.2199999988079071</v>
      </c>
      <c r="I38">
        <v>0</v>
      </c>
      <c r="J38"/>
    </row>
    <row r="39" spans="1:10" ht="15" customHeight="1" x14ac:dyDescent="0.15">
      <c r="A39" s="211">
        <v>38</v>
      </c>
      <c r="B39" s="211" t="s">
        <v>229</v>
      </c>
      <c r="C39" s="8">
        <v>2.5907125473022461</v>
      </c>
      <c r="D39" s="9">
        <v>9.7999997437000275E-2</v>
      </c>
      <c r="E39" s="9">
        <v>0.78299999237060547</v>
      </c>
      <c r="F39" s="9">
        <v>5.2199997901916504</v>
      </c>
      <c r="G39" s="9">
        <v>0.90866535902023315</v>
      </c>
      <c r="H39" s="9">
        <v>0.15000000596046448</v>
      </c>
      <c r="I39">
        <v>7.6820002868771553E-3</v>
      </c>
      <c r="J39"/>
    </row>
    <row r="40" spans="1:10" ht="15" customHeight="1" x14ac:dyDescent="0.15">
      <c r="A40" s="212">
        <v>39</v>
      </c>
      <c r="B40" s="212" t="s">
        <v>230</v>
      </c>
      <c r="C40" s="8">
        <v>2.829108715057373</v>
      </c>
      <c r="D40" s="9">
        <v>0.34999999403953552</v>
      </c>
      <c r="E40" s="9">
        <v>0.73000001907348633</v>
      </c>
      <c r="F40" s="9">
        <v>4.8666667938232422</v>
      </c>
      <c r="G40" s="9">
        <v>0.86748921871185303</v>
      </c>
      <c r="H40" s="9">
        <v>0.15000000596046448</v>
      </c>
      <c r="I40">
        <v>0.11736699938774109</v>
      </c>
      <c r="J40"/>
    </row>
    <row r="41" spans="1:10" ht="15" customHeight="1" x14ac:dyDescent="0.15">
      <c r="A41" s="213">
        <v>40</v>
      </c>
      <c r="B41" s="213" t="s">
        <v>231</v>
      </c>
      <c r="C41" s="8">
        <v>3.3068253993988037</v>
      </c>
      <c r="D41" s="9">
        <v>0.25029823184013367</v>
      </c>
      <c r="E41" s="9">
        <v>1.9809999465942383</v>
      </c>
      <c r="F41" s="9">
        <v>15</v>
      </c>
      <c r="G41" s="9">
        <v>0.77177029848098755</v>
      </c>
      <c r="H41" s="9">
        <v>0.13206666707992554</v>
      </c>
      <c r="I41">
        <v>2.0800000056624413E-3</v>
      </c>
      <c r="J41"/>
    </row>
    <row r="42" spans="1:10" ht="15" customHeight="1" x14ac:dyDescent="0.15">
      <c r="A42" s="214">
        <v>41</v>
      </c>
      <c r="B42" s="214" t="s">
        <v>232</v>
      </c>
      <c r="C42" s="8">
        <v>2.1393213272094727</v>
      </c>
      <c r="D42" s="9">
        <v>4.8465967178344727</v>
      </c>
      <c r="E42" s="9">
        <v>0.95899999141693115</v>
      </c>
      <c r="F42" s="9">
        <v>6.3933329582214355</v>
      </c>
      <c r="G42" s="9">
        <v>0.99002695083618164</v>
      </c>
      <c r="H42" s="9">
        <v>0.15000000596046448</v>
      </c>
      <c r="I42">
        <v>8.0190002918243408E-3</v>
      </c>
      <c r="J42"/>
    </row>
    <row r="43" spans="1:10" ht="15" customHeight="1" x14ac:dyDescent="0.15">
      <c r="A43" s="215">
        <v>42</v>
      </c>
      <c r="B43" s="215" t="s">
        <v>233</v>
      </c>
      <c r="C43" s="8">
        <v>2.4599573612213135</v>
      </c>
      <c r="D43" s="9">
        <v>7.5</v>
      </c>
      <c r="E43" s="9">
        <v>2.0659999847412109</v>
      </c>
      <c r="F43" s="9">
        <v>10.329999923706055</v>
      </c>
      <c r="G43" s="9">
        <v>0.98609280586242676</v>
      </c>
      <c r="H43" s="9">
        <v>0.20000000298023224</v>
      </c>
      <c r="I43">
        <v>2.6050002779811621E-3</v>
      </c>
      <c r="J43"/>
    </row>
    <row r="44" spans="1:10" ht="15" customHeight="1" x14ac:dyDescent="0.15">
      <c r="A44" s="216">
        <v>43</v>
      </c>
      <c r="B44" s="216" t="s">
        <v>234</v>
      </c>
      <c r="C44" s="8">
        <v>2.1098902225494385</v>
      </c>
      <c r="D44" s="9">
        <v>6.3139886856079102</v>
      </c>
      <c r="E44" s="9">
        <v>18.450000762939453</v>
      </c>
      <c r="F44" s="9">
        <v>61.5</v>
      </c>
      <c r="G44" s="9">
        <v>0.9900367259979248</v>
      </c>
      <c r="H44" s="9">
        <v>0.30000001192092896</v>
      </c>
      <c r="I44">
        <v>0</v>
      </c>
      <c r="J44"/>
    </row>
    <row r="45" spans="1:10" ht="15" customHeight="1" x14ac:dyDescent="0.15">
      <c r="A45" s="217">
        <v>44</v>
      </c>
      <c r="B45" s="217" t="s">
        <v>235</v>
      </c>
      <c r="C45" s="8">
        <v>2.6900408267974854</v>
      </c>
      <c r="D45" s="9">
        <v>5.4395055770874023</v>
      </c>
      <c r="E45" s="9">
        <v>7.5</v>
      </c>
      <c r="F45" s="9">
        <v>24.999998092651367</v>
      </c>
      <c r="G45" s="9">
        <v>0.99006420373916626</v>
      </c>
      <c r="H45" s="9">
        <v>0.30000001192092896</v>
      </c>
      <c r="I45">
        <v>0</v>
      </c>
      <c r="J45"/>
    </row>
    <row r="46" spans="1:10" ht="15" customHeight="1" x14ac:dyDescent="0.15">
      <c r="A46" s="218">
        <v>45</v>
      </c>
      <c r="B46" s="218" t="s">
        <v>236</v>
      </c>
      <c r="C46" s="8">
        <v>3.0145039558410645</v>
      </c>
      <c r="D46" s="9">
        <v>5.2607369422912598</v>
      </c>
      <c r="E46" s="9">
        <v>10</v>
      </c>
      <c r="F46" s="9">
        <v>33.333332061767578</v>
      </c>
      <c r="G46" s="9">
        <v>0.99012094736099243</v>
      </c>
      <c r="H46" s="9">
        <v>0.30000001192092896</v>
      </c>
      <c r="I46">
        <v>0</v>
      </c>
      <c r="J46"/>
    </row>
    <row r="47" spans="1:10" ht="15" customHeight="1" x14ac:dyDescent="0.15">
      <c r="A47" s="219">
        <v>46</v>
      </c>
      <c r="B47" s="219" t="s">
        <v>237</v>
      </c>
      <c r="C47" s="8">
        <v>2.612398624420166</v>
      </c>
      <c r="D47" s="9">
        <v>10.315650939941406</v>
      </c>
      <c r="E47" s="9">
        <v>17</v>
      </c>
      <c r="F47" s="9">
        <v>56.666664123535156</v>
      </c>
      <c r="G47" s="9">
        <v>0.99002659320831299</v>
      </c>
      <c r="H47" s="9">
        <v>0.30000001192092896</v>
      </c>
      <c r="I47">
        <v>0</v>
      </c>
      <c r="J47"/>
    </row>
    <row r="48" spans="1:10" ht="15" customHeight="1" x14ac:dyDescent="0.15">
      <c r="A48" s="220">
        <v>47</v>
      </c>
      <c r="B48" s="220" t="s">
        <v>238</v>
      </c>
      <c r="C48" s="8">
        <v>2.0171411037445068</v>
      </c>
      <c r="D48" s="9">
        <v>19.778955459594727</v>
      </c>
      <c r="E48" s="9">
        <v>18</v>
      </c>
      <c r="F48" s="9">
        <v>59.999996185302734</v>
      </c>
      <c r="G48" s="9">
        <v>0.9900091290473938</v>
      </c>
      <c r="H48" s="9">
        <v>0.30000001192092896</v>
      </c>
      <c r="I48">
        <v>0</v>
      </c>
      <c r="J48"/>
    </row>
    <row r="49" spans="1:10" ht="15" customHeight="1" x14ac:dyDescent="0.15">
      <c r="A49" s="221">
        <v>48</v>
      </c>
      <c r="B49" s="221" t="s">
        <v>239</v>
      </c>
      <c r="C49" s="8">
        <v>1</v>
      </c>
      <c r="D49" s="9">
        <v>75</v>
      </c>
      <c r="E49" s="9">
        <v>60</v>
      </c>
      <c r="F49" s="10"/>
      <c r="G49" s="9">
        <v>1.684528891928494E-3</v>
      </c>
      <c r="H49" s="10"/>
      <c r="I49">
        <v>4.1039995849132538E-3</v>
      </c>
      <c r="J49"/>
    </row>
    <row r="50" spans="1:10" ht="15" customHeight="1" x14ac:dyDescent="0.15">
      <c r="A50" s="222">
        <v>49</v>
      </c>
      <c r="B50" s="222" t="s">
        <v>240</v>
      </c>
      <c r="C50" s="8">
        <v>1</v>
      </c>
      <c r="D50" s="9">
        <v>3.9200000762939453</v>
      </c>
      <c r="E50" s="9">
        <v>587</v>
      </c>
      <c r="F50" s="10"/>
      <c r="G50" s="9">
        <v>0.17894971370697021</v>
      </c>
      <c r="H50" s="10"/>
      <c r="I50">
        <v>0</v>
      </c>
      <c r="J50"/>
    </row>
    <row r="51" spans="1:10" ht="15" customHeight="1" x14ac:dyDescent="0.15">
      <c r="A51" s="223">
        <v>50</v>
      </c>
      <c r="B51" s="223" t="s">
        <v>241</v>
      </c>
      <c r="C51" s="8">
        <v>1</v>
      </c>
      <c r="D51" s="9">
        <v>9.6674137115478516</v>
      </c>
      <c r="E51" s="9">
        <v>152.5</v>
      </c>
      <c r="F51" s="10"/>
      <c r="G51" s="9">
        <v>0.62282341718673706</v>
      </c>
      <c r="H51" s="10"/>
      <c r="I51">
        <v>0</v>
      </c>
      <c r="J51"/>
    </row>
    <row r="52" spans="1:10" ht="15" customHeight="1" x14ac:dyDescent="0.15">
      <c r="A52" s="224">
        <v>51</v>
      </c>
      <c r="B52" s="224" t="s">
        <v>242</v>
      </c>
      <c r="C52" s="8">
        <v>1</v>
      </c>
      <c r="D52" s="9">
        <v>50</v>
      </c>
      <c r="E52" s="10"/>
      <c r="F52" s="10"/>
      <c r="G52" s="9">
        <v>7.4981123208999634E-2</v>
      </c>
      <c r="H52" s="10"/>
      <c r="I52">
        <v>0</v>
      </c>
      <c r="J52"/>
    </row>
    <row r="53" spans="1:10" ht="15" customHeight="1" x14ac:dyDescent="0.15">
      <c r="A53" s="225">
        <v>52</v>
      </c>
      <c r="B53" s="225" t="s">
        <v>243</v>
      </c>
      <c r="C53" s="8">
        <v>1</v>
      </c>
      <c r="D53" s="9">
        <v>50</v>
      </c>
      <c r="E53" s="10"/>
      <c r="F53" s="10"/>
      <c r="G53" s="9">
        <v>0.11825206130743027</v>
      </c>
      <c r="H53" s="10"/>
      <c r="I53">
        <v>0</v>
      </c>
      <c r="J53"/>
    </row>
    <row r="54" spans="1:10" ht="15" customHeight="1" x14ac:dyDescent="0.15">
      <c r="A54" s="226">
        <v>53</v>
      </c>
      <c r="B54" s="226" t="s">
        <v>244</v>
      </c>
      <c r="C54" s="8">
        <v>1</v>
      </c>
      <c r="D54" s="9">
        <v>0.19300000369548798</v>
      </c>
      <c r="E54" s="10"/>
      <c r="F54" s="10"/>
      <c r="G54" s="9">
        <v>0.62329334020614624</v>
      </c>
      <c r="H54" s="10"/>
      <c r="I54">
        <v>0</v>
      </c>
      <c r="J54"/>
    </row>
    <row r="55" spans="1:10" ht="15" customHeight="1" x14ac:dyDescent="0.15">
      <c r="A55" s="227">
        <v>54</v>
      </c>
      <c r="B55" s="227" t="s">
        <v>245</v>
      </c>
      <c r="C55" s="8">
        <v>1</v>
      </c>
      <c r="D55" s="9">
        <v>5</v>
      </c>
      <c r="E55" s="10"/>
      <c r="F55" s="10"/>
      <c r="G55" s="7">
        <v>0</v>
      </c>
      <c r="H55" s="10"/>
      <c r="I55">
        <v>0</v>
      </c>
      <c r="J55"/>
    </row>
    <row r="56" spans="1:10" ht="15" customHeight="1" x14ac:dyDescent="0.15">
      <c r="A56" s="228">
        <v>55</v>
      </c>
      <c r="B56" s="228" t="s">
        <v>246</v>
      </c>
      <c r="C56" s="8">
        <v>4.4034218788146973</v>
      </c>
      <c r="D56" s="10"/>
      <c r="E56" s="10"/>
      <c r="F56" s="10"/>
      <c r="G56" s="10"/>
      <c r="H56" s="10"/>
      <c r="I56">
        <v>7.6688006520271301E-2</v>
      </c>
      <c r="J56"/>
    </row>
    <row r="57" spans="1:10" ht="15" customHeight="1" x14ac:dyDescent="0.15">
      <c r="A57" s="229">
        <v>56</v>
      </c>
      <c r="B57" s="229" t="s">
        <v>247</v>
      </c>
      <c r="C57" s="8">
        <v>4.9248204231262207</v>
      </c>
      <c r="D57" s="10"/>
      <c r="E57" s="10"/>
      <c r="F57" s="10"/>
      <c r="G57" s="10"/>
      <c r="H57" s="10"/>
      <c r="I57">
        <v>0.81689506769180298</v>
      </c>
      <c r="J57"/>
    </row>
    <row r="58" spans="1:10" ht="15" customHeight="1" x14ac:dyDescent="0.15">
      <c r="A58" s="230">
        <v>57</v>
      </c>
      <c r="B58" s="230" t="s">
        <v>248</v>
      </c>
      <c r="C58" s="8">
        <v>4.7175769805908203</v>
      </c>
      <c r="D58" s="10"/>
      <c r="E58" s="10"/>
      <c r="F58" s="10"/>
      <c r="G58" s="10"/>
      <c r="H58" s="10"/>
      <c r="I58">
        <v>0.49568319320678711</v>
      </c>
      <c r="J58"/>
    </row>
    <row r="59" spans="1:10" ht="15" customHeight="1" x14ac:dyDescent="0.15">
      <c r="A59" s="231">
        <v>58</v>
      </c>
      <c r="B59" s="231" t="s">
        <v>249</v>
      </c>
      <c r="C59" s="8">
        <v>4.7315764427185059</v>
      </c>
      <c r="D59" s="10"/>
      <c r="E59" s="10"/>
      <c r="F59" s="10"/>
      <c r="G59" s="10"/>
      <c r="H59" s="10"/>
      <c r="I59">
        <v>0.16064910590648651</v>
      </c>
      <c r="J59"/>
    </row>
    <row r="60" spans="1:10" ht="15" customHeight="1" x14ac:dyDescent="0.15">
      <c r="A60" s="232">
        <v>59</v>
      </c>
      <c r="B60" s="232" t="s">
        <v>250</v>
      </c>
      <c r="C60" s="8">
        <v>4.6850414276123047</v>
      </c>
      <c r="D60" s="10"/>
      <c r="E60" s="10"/>
      <c r="F60" s="10"/>
      <c r="G60" s="10"/>
      <c r="H60" s="10"/>
      <c r="I60">
        <v>4.2564000934362411E-2</v>
      </c>
      <c r="J60"/>
    </row>
    <row r="61" spans="1:10" ht="15" customHeight="1" x14ac:dyDescent="0.15">
      <c r="A61" s="233">
        <v>60</v>
      </c>
      <c r="B61" s="233" t="s">
        <v>251</v>
      </c>
      <c r="C61" s="8">
        <v>4.1463985443115234</v>
      </c>
      <c r="D61" s="10"/>
      <c r="E61" s="10"/>
      <c r="F61" s="10"/>
      <c r="G61" s="10"/>
      <c r="H61" s="10"/>
      <c r="I61">
        <v>2.0000000949949026E-3</v>
      </c>
      <c r="J61"/>
    </row>
    <row r="62" spans="1:10" ht="15" customHeight="1" x14ac:dyDescent="0.15">
      <c r="A62" s="234">
        <v>61</v>
      </c>
      <c r="B62" s="234" t="s">
        <v>252</v>
      </c>
      <c r="C62" s="8">
        <v>4.1407246589660645</v>
      </c>
      <c r="D62" s="10"/>
      <c r="E62" s="10"/>
      <c r="F62" s="10"/>
      <c r="G62" s="10"/>
      <c r="H62" s="10"/>
      <c r="I62">
        <v>1.2000000104308128E-2</v>
      </c>
      <c r="J62"/>
    </row>
    <row r="63" spans="1:10" ht="15" customHeight="1" x14ac:dyDescent="0.15">
      <c r="A63" s="235">
        <v>62</v>
      </c>
      <c r="B63" s="235" t="s">
        <v>253</v>
      </c>
      <c r="C63" s="8">
        <v>4.1481523513793945</v>
      </c>
      <c r="D63" s="10"/>
      <c r="E63" s="10"/>
      <c r="F63" s="10"/>
      <c r="G63" s="10"/>
      <c r="H63" s="10"/>
      <c r="I63">
        <v>0.29125213623046875</v>
      </c>
      <c r="J63"/>
    </row>
    <row r="64" spans="1:10" ht="15" customHeight="1" x14ac:dyDescent="0.15">
      <c r="A64" s="236">
        <v>63</v>
      </c>
      <c r="B64" s="236" t="s">
        <v>254</v>
      </c>
      <c r="C64" s="8">
        <v>3.8285529613494873</v>
      </c>
      <c r="D64" s="10"/>
      <c r="E64" s="10"/>
      <c r="F64" s="10"/>
      <c r="G64" s="10"/>
      <c r="H64" s="10"/>
      <c r="I64">
        <v>0.10014200210571289</v>
      </c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4" bestFit="1" customWidth="1"/>
    <col min="2" max="4" width="9.5" style="84" bestFit="1" customWidth="1"/>
    <col min="5" max="7" width="9" style="84" bestFit="1" customWidth="1"/>
    <col min="8" max="16" width="12.6640625" style="84" bestFit="1" customWidth="1"/>
    <col min="17" max="17" width="12.33203125" style="84" bestFit="1" customWidth="1"/>
    <col min="18" max="18" width="8.83203125" style="84"/>
    <col min="19" max="21" width="9.33203125" style="84" bestFit="1" customWidth="1"/>
    <col min="22" max="23" width="8.83203125" style="84"/>
    <col min="24" max="24" width="9.33203125" style="84" bestFit="1" customWidth="1"/>
    <col min="25" max="27" width="8.83203125" style="84"/>
    <col min="28" max="58" width="9" style="84" bestFit="1" customWidth="1"/>
    <col min="59" max="59" width="12.33203125" style="84" bestFit="1" customWidth="1"/>
    <col min="60" max="60" width="9" style="84" bestFit="1" customWidth="1"/>
    <col min="61" max="61" width="11.33203125" style="84" bestFit="1" customWidth="1"/>
    <col min="62" max="77" width="9" style="84" bestFit="1" customWidth="1"/>
    <col min="78" max="78" width="12.33203125" style="84" bestFit="1" customWidth="1"/>
    <col min="79" max="79" width="9" style="84" bestFit="1" customWidth="1"/>
    <col min="80" max="80" width="12.33203125" style="84" bestFit="1" customWidth="1"/>
    <col min="81" max="107" width="9" style="84" bestFit="1" customWidth="1"/>
    <col min="108" max="108" width="11.33203125" style="84" bestFit="1" customWidth="1"/>
    <col min="109" max="124" width="9" style="84" bestFit="1" customWidth="1"/>
    <col min="125" max="125" width="10.33203125" style="84" bestFit="1" customWidth="1"/>
    <col min="126" max="129" width="9.33203125" style="84" bestFit="1" customWidth="1"/>
    <col min="130" max="130" width="9" style="84" bestFit="1" customWidth="1"/>
    <col min="131" max="134" width="9.33203125" style="84" bestFit="1" customWidth="1"/>
    <col min="135" max="165" width="9" style="84" bestFit="1" customWidth="1"/>
    <col min="166" max="166" width="12.33203125" style="84" bestFit="1" customWidth="1"/>
    <col min="167" max="170" width="9" style="84" bestFit="1" customWidth="1"/>
    <col min="171" max="176" width="8.83203125" style="84"/>
    <col min="177" max="177" width="13.83203125" style="84" bestFit="1" customWidth="1"/>
    <col min="178" max="16384" width="8.83203125" style="84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259</v>
      </c>
      <c r="E1" t="s">
        <v>260</v>
      </c>
      <c r="F1" t="s">
        <v>261</v>
      </c>
      <c r="G1" t="s">
        <v>262</v>
      </c>
      <c r="H1" t="s">
        <v>263</v>
      </c>
      <c r="I1" t="s">
        <v>264</v>
      </c>
      <c r="J1" t="s">
        <v>265</v>
      </c>
      <c r="K1" t="s">
        <v>266</v>
      </c>
      <c r="L1" t="s">
        <v>267</v>
      </c>
      <c r="M1" t="s">
        <v>192</v>
      </c>
      <c r="N1" t="s">
        <v>193</v>
      </c>
      <c r="O1" t="s">
        <v>194</v>
      </c>
      <c r="P1" t="s">
        <v>195</v>
      </c>
      <c r="Q1" t="s">
        <v>196</v>
      </c>
      <c r="R1" t="s">
        <v>197</v>
      </c>
      <c r="S1" t="s">
        <v>198</v>
      </c>
      <c r="T1" t="s">
        <v>199</v>
      </c>
      <c r="U1" t="s">
        <v>200</v>
      </c>
      <c r="V1" t="s">
        <v>201</v>
      </c>
      <c r="W1" t="s">
        <v>202</v>
      </c>
      <c r="X1" t="s">
        <v>203</v>
      </c>
      <c r="Y1" t="s">
        <v>204</v>
      </c>
      <c r="Z1" t="s">
        <v>205</v>
      </c>
      <c r="AA1" t="s">
        <v>206</v>
      </c>
      <c r="AB1" t="s">
        <v>207</v>
      </c>
      <c r="AC1" t="s">
        <v>208</v>
      </c>
      <c r="AD1" t="s">
        <v>209</v>
      </c>
      <c r="AE1" t="s">
        <v>210</v>
      </c>
      <c r="AF1" t="s">
        <v>211</v>
      </c>
      <c r="AG1" t="s">
        <v>212</v>
      </c>
      <c r="AH1" t="s">
        <v>213</v>
      </c>
      <c r="AI1" t="s">
        <v>214</v>
      </c>
      <c r="AJ1" t="s">
        <v>215</v>
      </c>
      <c r="AK1" t="s">
        <v>216</v>
      </c>
      <c r="AL1" t="s">
        <v>217</v>
      </c>
      <c r="AM1" t="s">
        <v>218</v>
      </c>
      <c r="AN1" t="s">
        <v>219</v>
      </c>
      <c r="AO1" t="s">
        <v>220</v>
      </c>
      <c r="AP1" t="s">
        <v>221</v>
      </c>
      <c r="AQ1" t="s">
        <v>222</v>
      </c>
      <c r="AR1" t="s">
        <v>223</v>
      </c>
      <c r="AS1" t="s">
        <v>224</v>
      </c>
      <c r="AT1" t="s">
        <v>225</v>
      </c>
      <c r="AU1" t="s">
        <v>226</v>
      </c>
      <c r="AV1" t="s">
        <v>227</v>
      </c>
      <c r="AW1" t="s">
        <v>228</v>
      </c>
      <c r="AX1" t="s">
        <v>229</v>
      </c>
      <c r="AY1" t="s">
        <v>230</v>
      </c>
      <c r="AZ1" t="s">
        <v>231</v>
      </c>
      <c r="BA1" t="s">
        <v>232</v>
      </c>
      <c r="BB1" t="s">
        <v>233</v>
      </c>
      <c r="BC1" t="s">
        <v>234</v>
      </c>
      <c r="BD1" t="s">
        <v>235</v>
      </c>
      <c r="BE1" t="s">
        <v>236</v>
      </c>
      <c r="BF1" t="s">
        <v>237</v>
      </c>
      <c r="BG1" t="s">
        <v>238</v>
      </c>
      <c r="BH1" t="s">
        <v>239</v>
      </c>
      <c r="BI1" t="s">
        <v>240</v>
      </c>
      <c r="BJ1" t="s">
        <v>241</v>
      </c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1.9999999552965164E-2</v>
      </c>
      <c r="C2">
        <v>1.874999888241291E-2</v>
      </c>
      <c r="D2"/>
      <c r="E2"/>
      <c r="F2" s="68">
        <v>1.2500000884756446E-3</v>
      </c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1.9999999552965164E-2</v>
      </c>
      <c r="C3">
        <v>1.7058823257684708E-2</v>
      </c>
      <c r="D3"/>
      <c r="E3"/>
      <c r="F3" s="247">
        <v>2.9411765281111002E-3</v>
      </c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5.9999998658895493E-2</v>
      </c>
      <c r="C4">
        <v>5.9999998658895493E-2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1.0746320486068726</v>
      </c>
      <c r="C5">
        <v>0.24708577990531921</v>
      </c>
      <c r="D5"/>
      <c r="E5"/>
      <c r="F5"/>
      <c r="G5"/>
      <c r="H5"/>
      <c r="I5"/>
      <c r="J5"/>
      <c r="K5"/>
      <c r="L5"/>
      <c r="M5"/>
      <c r="N5"/>
      <c r="O5"/>
      <c r="P5" s="278">
        <v>0.82754623889923096</v>
      </c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7.0000000298023224E-2</v>
      </c>
      <c r="C6">
        <v>6.9928571581840515E-2</v>
      </c>
      <c r="D6"/>
      <c r="E6"/>
      <c r="F6" s="14">
        <v>7.1428577939514071E-5</v>
      </c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</v>
      </c>
      <c r="C7">
        <v>6.2735557556152344E-2</v>
      </c>
      <c r="D7"/>
      <c r="E7" s="29">
        <v>2.3437501862645149E-2</v>
      </c>
      <c r="F7"/>
      <c r="G7" s="75">
        <v>4.6953126788139343E-2</v>
      </c>
      <c r="H7"/>
      <c r="I7"/>
      <c r="J7" s="250">
        <v>0.15625001490116119</v>
      </c>
      <c r="K7"/>
      <c r="L7"/>
      <c r="M7" s="14">
        <v>9.1387663269415498E-4</v>
      </c>
      <c r="N7" s="14">
        <v>5.3018960170447826E-4</v>
      </c>
      <c r="O7"/>
      <c r="P7"/>
      <c r="Q7"/>
      <c r="R7"/>
      <c r="S7" s="252">
        <v>0.20917972922325134</v>
      </c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0.97200000286102295</v>
      </c>
      <c r="C8">
        <v>7.5311213731765747E-2</v>
      </c>
      <c r="D8" s="22">
        <v>7.0504262112081051E-3</v>
      </c>
      <c r="E8" s="239">
        <v>0.54806208610534668</v>
      </c>
      <c r="F8" s="11">
        <v>2.8011227186652832E-5</v>
      </c>
      <c r="G8" s="11">
        <v>1.1484603601275012E-4</v>
      </c>
      <c r="H8" s="19">
        <v>1.6806736588478088E-2</v>
      </c>
      <c r="I8"/>
      <c r="J8"/>
      <c r="K8"/>
      <c r="L8"/>
      <c r="M8" s="11">
        <v>3.2766471122158691E-5</v>
      </c>
      <c r="N8" s="11">
        <v>1.9009616153198294E-5</v>
      </c>
      <c r="O8"/>
      <c r="P8" s="274">
        <v>0.11845280230045319</v>
      </c>
      <c r="Q8"/>
      <c r="R8"/>
      <c r="S8"/>
      <c r="T8"/>
      <c r="U8"/>
      <c r="V8"/>
      <c r="W8"/>
      <c r="X8"/>
      <c r="Y8"/>
      <c r="Z8"/>
      <c r="AA8"/>
      <c r="AB8"/>
      <c r="AC8"/>
      <c r="AD8" s="12">
        <v>3.719821572303772E-3</v>
      </c>
      <c r="AE8" s="15">
        <v>9.3406811356544495E-3</v>
      </c>
      <c r="AF8"/>
      <c r="AG8"/>
      <c r="AH8"/>
      <c r="AI8"/>
      <c r="AJ8" s="284">
        <v>0.14005614817142487</v>
      </c>
      <c r="AK8"/>
      <c r="AL8" s="64">
        <v>5.3005501627922058E-2</v>
      </c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1.9440000057220459</v>
      </c>
      <c r="C9">
        <v>0.68039435148239136</v>
      </c>
      <c r="D9"/>
      <c r="E9"/>
      <c r="F9" s="11">
        <v>5.1062460988759995E-4</v>
      </c>
      <c r="G9" s="11">
        <v>5.1062461352557875E-6</v>
      </c>
      <c r="H9"/>
      <c r="I9"/>
      <c r="J9"/>
      <c r="K9"/>
      <c r="L9"/>
      <c r="M9" s="11">
        <v>5.97309299337212E-5</v>
      </c>
      <c r="N9" s="11">
        <v>3.4653166949283332E-5</v>
      </c>
      <c r="O9"/>
      <c r="P9" s="294">
        <v>0.66938591003417969</v>
      </c>
      <c r="Q9"/>
      <c r="R9"/>
      <c r="S9"/>
      <c r="T9" s="253">
        <v>7.7652335166931152E-2</v>
      </c>
      <c r="U9"/>
      <c r="V9"/>
      <c r="W9"/>
      <c r="X9"/>
      <c r="Y9" s="76">
        <v>0.15377868711948395</v>
      </c>
      <c r="Z9"/>
      <c r="AA9"/>
      <c r="AB9"/>
      <c r="AC9"/>
      <c r="AD9"/>
      <c r="AE9" s="269">
        <v>0.17027392983436584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 s="272">
        <v>0.19190454483032227</v>
      </c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1.4210000038146973</v>
      </c>
      <c r="C10">
        <v>0.18624101579189301</v>
      </c>
      <c r="D10"/>
      <c r="E10" s="240">
        <v>0.58872818946838379</v>
      </c>
      <c r="F10" s="11">
        <v>1.4285705401562154E-4</v>
      </c>
      <c r="G10" s="11">
        <v>1.4285705219663214E-5</v>
      </c>
      <c r="H10"/>
      <c r="I10"/>
      <c r="J10"/>
      <c r="K10"/>
      <c r="L10"/>
      <c r="M10" s="11">
        <v>1.6710876661818475E-4</v>
      </c>
      <c r="N10" s="11">
        <v>9.6948897407855839E-5</v>
      </c>
      <c r="O10"/>
      <c r="P10" s="264">
        <v>0.30205419659614563</v>
      </c>
      <c r="Q10"/>
      <c r="R10"/>
      <c r="S10" s="259">
        <v>0.21419990062713623</v>
      </c>
      <c r="T10"/>
      <c r="U10"/>
      <c r="V10"/>
      <c r="W10"/>
      <c r="X10"/>
      <c r="Y10"/>
      <c r="Z10"/>
      <c r="AA10"/>
      <c r="AB10"/>
      <c r="AC10"/>
      <c r="AD10" s="17">
        <v>1.8971061334013939E-2</v>
      </c>
      <c r="AE10" s="243">
        <v>4.7637403011322021E-2</v>
      </c>
      <c r="AF10"/>
      <c r="AG10"/>
      <c r="AH10"/>
      <c r="AI10"/>
      <c r="AJ10" s="26">
        <v>3.5714264959096909E-2</v>
      </c>
      <c r="AK10"/>
      <c r="AL10" s="21">
        <v>2.7032766491174698E-2</v>
      </c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2.8420000076293945</v>
      </c>
      <c r="C11">
        <v>1.8590140342712402</v>
      </c>
      <c r="D11"/>
      <c r="E11"/>
      <c r="F11" s="11">
        <v>5.7381053920835257E-5</v>
      </c>
      <c r="G11" s="11">
        <v>5.7381053011340555E-6</v>
      </c>
      <c r="H11"/>
      <c r="I11"/>
      <c r="J11"/>
      <c r="K11"/>
      <c r="L11"/>
      <c r="M11" s="11">
        <v>6.7122178734280169E-5</v>
      </c>
      <c r="N11" s="11">
        <v>3.8941234379308298E-5</v>
      </c>
      <c r="O11"/>
      <c r="P11" s="75">
        <v>0.26664891839027405</v>
      </c>
      <c r="Q11"/>
      <c r="R11"/>
      <c r="S11" s="18">
        <v>3.0727559700608253E-2</v>
      </c>
      <c r="T11"/>
      <c r="U11"/>
      <c r="V11" s="13">
        <v>0.10563734918832779</v>
      </c>
      <c r="W11"/>
      <c r="X11"/>
      <c r="Y11" s="145">
        <v>0.17280764877796173</v>
      </c>
      <c r="Z11"/>
      <c r="AA11"/>
      <c r="AB11"/>
      <c r="AC11"/>
      <c r="AD11"/>
      <c r="AE11" s="108">
        <v>0.19134403765201569</v>
      </c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 s="27">
        <v>0.21565128862857819</v>
      </c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0.95499998331069946</v>
      </c>
      <c r="C12">
        <v>0.10477877408266068</v>
      </c>
      <c r="D12" s="237">
        <v>8.1909976899623871E-2</v>
      </c>
      <c r="E12" s="241">
        <v>0.35999986529350281</v>
      </c>
      <c r="F12"/>
      <c r="G12"/>
      <c r="H12" s="246">
        <v>6.4999982714653015E-2</v>
      </c>
      <c r="I12"/>
      <c r="J12"/>
      <c r="K12"/>
      <c r="L12"/>
      <c r="M12" s="11">
        <v>5.8488083595875651E-5</v>
      </c>
      <c r="N12" s="11">
        <v>3.3932123187696561E-5</v>
      </c>
      <c r="O12"/>
      <c r="P12" s="254">
        <v>0.10571900010108948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 s="280">
        <v>0.23749992251396179</v>
      </c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1.9099999666213989</v>
      </c>
      <c r="C13">
        <v>1.3581377267837524</v>
      </c>
      <c r="D13" s="11">
        <v>2.3943621272337623E-5</v>
      </c>
      <c r="E13"/>
      <c r="F13"/>
      <c r="G13"/>
      <c r="H13"/>
      <c r="I13"/>
      <c r="J13"/>
      <c r="K13" s="11">
        <v>1.1971810636168811E-5</v>
      </c>
      <c r="L13"/>
      <c r="M13" s="11">
        <v>1.4004169497638941E-4</v>
      </c>
      <c r="N13" s="11">
        <v>8.1245816545560956E-5</v>
      </c>
      <c r="O13"/>
      <c r="P13"/>
      <c r="Q13"/>
      <c r="R13"/>
      <c r="S13"/>
      <c r="T13"/>
      <c r="U13"/>
      <c r="V13"/>
      <c r="W13"/>
      <c r="X13" s="249">
        <v>0.10167672485113144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 s="271">
        <v>0.44992837309837341</v>
      </c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0.84200000762939453</v>
      </c>
      <c r="C14">
        <v>0.22596094012260437</v>
      </c>
      <c r="D14" s="12">
        <v>2.7751477900892496E-3</v>
      </c>
      <c r="E14" s="242">
        <v>0.2241518646478653</v>
      </c>
      <c r="F14" s="11">
        <v>1.9723863806575537E-4</v>
      </c>
      <c r="G14" s="11">
        <v>1.9723863715626067E-6</v>
      </c>
      <c r="H14"/>
      <c r="I14"/>
      <c r="J14"/>
      <c r="K14"/>
      <c r="L14"/>
      <c r="M14" s="11">
        <v>2.307222894160077E-5</v>
      </c>
      <c r="N14" s="11">
        <v>1.3385457350523211E-5</v>
      </c>
      <c r="O14"/>
      <c r="P14" s="292">
        <v>0.19997785985469818</v>
      </c>
      <c r="Q14"/>
      <c r="R14"/>
      <c r="S14" s="268">
        <v>6.2316570430994034E-2</v>
      </c>
      <c r="T14"/>
      <c r="U14"/>
      <c r="V14"/>
      <c r="W14"/>
      <c r="X14"/>
      <c r="Y14" s="28">
        <v>2.9699999839067459E-2</v>
      </c>
      <c r="Z14"/>
      <c r="AA14"/>
      <c r="AB14"/>
      <c r="AC14"/>
      <c r="AD14" s="12">
        <v>2.6192802470177412E-3</v>
      </c>
      <c r="AE14"/>
      <c r="AF14"/>
      <c r="AG14"/>
      <c r="AH14" s="67">
        <v>5.0267450511455536E-2</v>
      </c>
      <c r="AI14"/>
      <c r="AJ14" s="18">
        <v>9.8619330674409866E-3</v>
      </c>
      <c r="AK14"/>
      <c r="AL14" s="11">
        <v>7.1660865796729922E-4</v>
      </c>
      <c r="AM14"/>
      <c r="AN14"/>
      <c r="AO14"/>
      <c r="AP14"/>
      <c r="AQ14"/>
      <c r="AR14" s="25">
        <v>2.6003945618867874E-2</v>
      </c>
      <c r="AS14"/>
      <c r="AT14"/>
      <c r="AU14"/>
      <c r="AV14"/>
      <c r="AW14"/>
      <c r="AX14"/>
      <c r="AY14"/>
      <c r="AZ14" s="22">
        <v>7.4126850813627243E-3</v>
      </c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0.56300002336502075</v>
      </c>
      <c r="C15">
        <v>2.265867218375206E-2</v>
      </c>
      <c r="D15" s="238">
        <v>2.5000002235174179E-2</v>
      </c>
      <c r="E15" s="243">
        <v>1.8850000575184822E-2</v>
      </c>
      <c r="F15"/>
      <c r="G15"/>
      <c r="H15"/>
      <c r="I15"/>
      <c r="J15"/>
      <c r="K15" s="11">
        <v>6.2500002968590707E-6</v>
      </c>
      <c r="L15"/>
      <c r="M15" s="11">
        <v>7.3110131779685616E-5</v>
      </c>
      <c r="N15" s="11">
        <v>4.2415169446030632E-5</v>
      </c>
      <c r="O15"/>
      <c r="P15" s="266">
        <v>0.18500833213329315</v>
      </c>
      <c r="Q15"/>
      <c r="R15"/>
      <c r="S15"/>
      <c r="T15"/>
      <c r="U15"/>
      <c r="V15"/>
      <c r="W15"/>
      <c r="X15"/>
      <c r="Y15" s="260">
        <v>9.4111882150173187E-2</v>
      </c>
      <c r="Z15"/>
      <c r="AA15"/>
      <c r="AB15"/>
      <c r="AC15"/>
      <c r="AD15"/>
      <c r="AE15"/>
      <c r="AF15"/>
      <c r="AG15"/>
      <c r="AH15"/>
      <c r="AI15"/>
      <c r="AJ15" s="79">
        <v>0.12500001490116119</v>
      </c>
      <c r="AK15"/>
      <c r="AL15" s="258">
        <v>9.2249378561973572E-2</v>
      </c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0.5899999737739563</v>
      </c>
      <c r="C16">
        <v>0.16650769114494324</v>
      </c>
      <c r="D16"/>
      <c r="E16"/>
      <c r="F16"/>
      <c r="G16"/>
      <c r="H16"/>
      <c r="I16"/>
      <c r="J16"/>
      <c r="K16"/>
      <c r="L16"/>
      <c r="M16" s="11">
        <v>3.8992069312371314E-4</v>
      </c>
      <c r="N16" s="11">
        <v>2.262142370454967E-4</v>
      </c>
      <c r="O16"/>
      <c r="P16" s="256">
        <v>0.42287611961364746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1.5299999713897705</v>
      </c>
      <c r="C17">
        <v>0.65019303560256958</v>
      </c>
      <c r="D17"/>
      <c r="E17"/>
      <c r="F17"/>
      <c r="G17" s="11">
        <v>7.6923078040636028E-7</v>
      </c>
      <c r="H17"/>
      <c r="I17"/>
      <c r="J17"/>
      <c r="K17"/>
      <c r="L17"/>
      <c r="M17" s="11">
        <v>5.2930412493878976E-5</v>
      </c>
      <c r="N17" s="11">
        <v>3.9152466342784464E-4</v>
      </c>
      <c r="O17" s="21">
        <v>3.0809661373496056E-2</v>
      </c>
      <c r="P17" s="298">
        <v>0.48094677925109863</v>
      </c>
      <c r="Q17"/>
      <c r="R17" s="23">
        <v>8.7079396471381187E-3</v>
      </c>
      <c r="S17" s="23">
        <v>9.8861558362841606E-3</v>
      </c>
      <c r="T17" s="25">
        <v>4.6791769564151764E-2</v>
      </c>
      <c r="U17" s="23">
        <v>7.5384625233709812E-3</v>
      </c>
      <c r="V17"/>
      <c r="W17" s="22">
        <v>1.1169230565428734E-2</v>
      </c>
      <c r="X17"/>
      <c r="Y17" s="273">
        <v>0.12741301953792572</v>
      </c>
      <c r="Z17"/>
      <c r="AA17" s="22">
        <v>1.1434846557676792E-2</v>
      </c>
      <c r="AB17"/>
      <c r="AC17"/>
      <c r="AD17" s="23">
        <v>1.0215193033218384E-2</v>
      </c>
      <c r="AE17" s="29">
        <v>7.1822598576545715E-2</v>
      </c>
      <c r="AF17"/>
      <c r="AG17"/>
      <c r="AH17"/>
      <c r="AI17"/>
      <c r="AJ17" s="14">
        <v>3.8461543153971434E-3</v>
      </c>
      <c r="AK17"/>
      <c r="AL17" s="22">
        <v>1.3100503943860531E-2</v>
      </c>
      <c r="AM17"/>
      <c r="AN17"/>
      <c r="AO17"/>
      <c r="AP17"/>
      <c r="AQ17" s="26">
        <v>3.7717845290899277E-2</v>
      </c>
      <c r="AR17" s="12">
        <v>5.0707696937024593E-3</v>
      </c>
      <c r="AS17"/>
      <c r="AT17"/>
      <c r="AU17"/>
      <c r="AV17"/>
      <c r="AW17"/>
      <c r="AX17"/>
      <c r="AY17"/>
      <c r="AZ17" s="14">
        <v>2.8909475076943636E-3</v>
      </c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2.4600000381469727</v>
      </c>
      <c r="C18">
        <v>1.0358867645263672</v>
      </c>
      <c r="D18"/>
      <c r="E18" s="11">
        <v>2.2388059733202681E-5</v>
      </c>
      <c r="F18"/>
      <c r="G18"/>
      <c r="H18"/>
      <c r="I18"/>
      <c r="J18"/>
      <c r="K18" s="12">
        <v>7.4626868590712547E-3</v>
      </c>
      <c r="L18" s="11">
        <v>7.4626864261517767E-6</v>
      </c>
      <c r="M18" s="11">
        <v>8.7295673438347876E-5</v>
      </c>
      <c r="N18" s="11">
        <v>5.0644975999603048E-5</v>
      </c>
      <c r="O18"/>
      <c r="P18" s="253">
        <v>9.4673752784729004E-2</v>
      </c>
      <c r="Q18"/>
      <c r="R18"/>
      <c r="S18" s="16">
        <v>3.9962694048881531E-2</v>
      </c>
      <c r="T18"/>
      <c r="U18"/>
      <c r="V18"/>
      <c r="W18"/>
      <c r="X18"/>
      <c r="Y18" s="289">
        <v>0.56186193227767944</v>
      </c>
      <c r="Z18"/>
      <c r="AA18"/>
      <c r="AB18"/>
      <c r="AC18"/>
      <c r="AD18" s="12">
        <v>9.9102621898055077E-3</v>
      </c>
      <c r="AE18"/>
      <c r="AF18"/>
      <c r="AG18"/>
      <c r="AH18"/>
      <c r="AI18"/>
      <c r="AJ18" s="282">
        <v>0.35820895433425903</v>
      </c>
      <c r="AK18"/>
      <c r="AL18" s="14">
        <v>2.7113477699458599E-3</v>
      </c>
      <c r="AM18"/>
      <c r="AN18" s="243">
        <v>8.016582578420639E-2</v>
      </c>
      <c r="AO18"/>
      <c r="AP18"/>
      <c r="AQ18" s="270">
        <v>0.25668966770172119</v>
      </c>
      <c r="AR18" s="23">
        <v>1.2298507615923882E-2</v>
      </c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2.3940000534057617</v>
      </c>
      <c r="C19">
        <v>0.23438124358654022</v>
      </c>
      <c r="D19" s="20">
        <v>0.10197999328374863</v>
      </c>
      <c r="E19" s="78">
        <v>0.15541999042034149</v>
      </c>
      <c r="F19"/>
      <c r="G19" s="68">
        <v>0.14999999105930328</v>
      </c>
      <c r="H19" s="11">
        <v>3.7999998312443495E-4</v>
      </c>
      <c r="I19"/>
      <c r="J19"/>
      <c r="K19" s="11">
        <v>9.9999993108212948E-4</v>
      </c>
      <c r="L19" s="11">
        <v>9.9999997473787516E-5</v>
      </c>
      <c r="M19" s="11">
        <v>1.1697620357153937E-4</v>
      </c>
      <c r="N19" s="11">
        <v>6.7864268203265965E-5</v>
      </c>
      <c r="O19"/>
      <c r="P19" s="276">
        <v>0.42287614941596985</v>
      </c>
      <c r="Q19"/>
      <c r="R19"/>
      <c r="S19" s="65">
        <v>5.3550008684396744E-2</v>
      </c>
      <c r="T19"/>
      <c r="U19"/>
      <c r="V19"/>
      <c r="W19"/>
      <c r="X19"/>
      <c r="Y19" s="279">
        <v>0.45173701643943787</v>
      </c>
      <c r="Z19"/>
      <c r="AA19"/>
      <c r="AB19"/>
      <c r="AC19"/>
      <c r="AD19" s="23">
        <v>1.3279751874506474E-2</v>
      </c>
      <c r="AE19"/>
      <c r="AF19"/>
      <c r="AG19"/>
      <c r="AH19"/>
      <c r="AI19"/>
      <c r="AJ19" s="283">
        <v>0.48500001430511475</v>
      </c>
      <c r="AK19"/>
      <c r="AL19" s="29">
        <v>0.11353769153356552</v>
      </c>
      <c r="AM19"/>
      <c r="AN19" s="108">
        <v>0.16113331913948059</v>
      </c>
      <c r="AO19"/>
      <c r="AP19"/>
      <c r="AQ19"/>
      <c r="AR19" s="65">
        <v>4.9440000206232071E-2</v>
      </c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1.034000039100647</v>
      </c>
      <c r="C20">
        <v>6.4875714480876923E-2</v>
      </c>
      <c r="D20" s="11">
        <v>4.026845854241401E-4</v>
      </c>
      <c r="E20" s="65">
        <v>2.2371364757418633E-2</v>
      </c>
      <c r="F20"/>
      <c r="G20"/>
      <c r="H20"/>
      <c r="I20"/>
      <c r="J20"/>
      <c r="K20" s="11">
        <v>1.1185681796632707E-4</v>
      </c>
      <c r="L20"/>
      <c r="M20" s="11">
        <v>1.3084587408229709E-4</v>
      </c>
      <c r="N20" s="11">
        <v>7.5910815212409943E-5</v>
      </c>
      <c r="O20"/>
      <c r="P20" s="291">
        <v>0.94603163003921509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1.5399999618530273</v>
      </c>
      <c r="C21">
        <v>8.3105871453881264E-3</v>
      </c>
      <c r="D21" s="11">
        <v>1.6593885084148496E-4</v>
      </c>
      <c r="E21" s="11">
        <v>5.2401748689590022E-5</v>
      </c>
      <c r="F21" s="11">
        <v>8.7336244178004563E-5</v>
      </c>
      <c r="G21"/>
      <c r="H21"/>
      <c r="I21"/>
      <c r="J21"/>
      <c r="K21"/>
      <c r="L21"/>
      <c r="M21" s="11">
        <v>5.1081311539746821E-5</v>
      </c>
      <c r="N21" s="11">
        <v>2.9635051760124043E-5</v>
      </c>
      <c r="O21"/>
      <c r="P21" s="282">
        <v>0.22321765124797821</v>
      </c>
      <c r="Q21"/>
      <c r="R21"/>
      <c r="S21" s="144">
        <v>4.6768568456172943E-2</v>
      </c>
      <c r="T21"/>
      <c r="U21" s="12">
        <v>7.3362449184060097E-3</v>
      </c>
      <c r="V21"/>
      <c r="W21" s="21">
        <v>3.1703054904937744E-2</v>
      </c>
      <c r="X21"/>
      <c r="Y21" s="26">
        <v>3.9453014731407166E-2</v>
      </c>
      <c r="Z21"/>
      <c r="AA21"/>
      <c r="AB21"/>
      <c r="AC21"/>
      <c r="AD21" s="279">
        <v>0.28995087742805481</v>
      </c>
      <c r="AE21"/>
      <c r="AF21"/>
      <c r="AG21"/>
      <c r="AH21" s="140">
        <v>0.20032347738742828</v>
      </c>
      <c r="AI21"/>
      <c r="AJ21" s="281">
        <v>0.20960699021816254</v>
      </c>
      <c r="AK21"/>
      <c r="AL21" s="14">
        <v>1.586552825756371E-3</v>
      </c>
      <c r="AM21"/>
      <c r="AN21" s="290">
        <v>0.35181942582130432</v>
      </c>
      <c r="AO21"/>
      <c r="AP21"/>
      <c r="AQ21"/>
      <c r="AR21" s="267">
        <v>0.12953710556030273</v>
      </c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1.315000057220459</v>
      </c>
      <c r="C22">
        <v>0.58615601062774658</v>
      </c>
      <c r="D22"/>
      <c r="E22" s="12">
        <v>5.3157894872128963E-3</v>
      </c>
      <c r="F22" s="11">
        <v>6.5789470681920648E-5</v>
      </c>
      <c r="G22"/>
      <c r="H22"/>
      <c r="I22"/>
      <c r="J22"/>
      <c r="K22"/>
      <c r="L22"/>
      <c r="M22" s="11">
        <v>7.695803651586175E-5</v>
      </c>
      <c r="N22" s="11">
        <v>4.4647549657383934E-5</v>
      </c>
      <c r="O22"/>
      <c r="P22" s="293">
        <v>0.72334080934524536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2.2100000381469727</v>
      </c>
      <c r="C23">
        <v>1.2065339088439941</v>
      </c>
      <c r="D23" s="11">
        <v>1.8018017726717517E-5</v>
      </c>
      <c r="E23" s="17">
        <v>2.9941441491246223E-2</v>
      </c>
      <c r="F23" s="11">
        <v>6.7567569203674793E-4</v>
      </c>
      <c r="G23"/>
      <c r="H23" s="11">
        <v>2.1396396914497018E-4</v>
      </c>
      <c r="I23"/>
      <c r="J23"/>
      <c r="K23"/>
      <c r="L23"/>
      <c r="M23" s="11">
        <v>2.6345991500420496E-5</v>
      </c>
      <c r="N23" s="11">
        <v>1.5284746041288599E-5</v>
      </c>
      <c r="O23"/>
      <c r="P23" s="297">
        <v>0.60955119132995605</v>
      </c>
      <c r="Q23"/>
      <c r="R23"/>
      <c r="S23" s="14">
        <v>4.8243254423141479E-3</v>
      </c>
      <c r="T23"/>
      <c r="U23"/>
      <c r="V23"/>
      <c r="W23"/>
      <c r="X23"/>
      <c r="Y23" s="27">
        <v>0.16957095265388489</v>
      </c>
      <c r="Z23"/>
      <c r="AA23" s="11">
        <v>1.3445946387946606E-4</v>
      </c>
      <c r="AB23"/>
      <c r="AC23"/>
      <c r="AD23" s="72">
        <v>0.15552860498428345</v>
      </c>
      <c r="AE23"/>
      <c r="AF23"/>
      <c r="AG23"/>
      <c r="AH23"/>
      <c r="AI23"/>
      <c r="AJ23"/>
      <c r="AK23"/>
      <c r="AL23"/>
      <c r="AM23"/>
      <c r="AN23"/>
      <c r="AO23"/>
      <c r="AP23"/>
      <c r="AQ23" s="16">
        <v>3.2965704798698425E-2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0.414000004529953</v>
      </c>
      <c r="C24">
        <v>4.0844149887561798E-2</v>
      </c>
      <c r="D24"/>
      <c r="E24" s="14">
        <v>9.956256253644824E-4</v>
      </c>
      <c r="F24" s="11">
        <v>8.7489061115775257E-6</v>
      </c>
      <c r="G24"/>
      <c r="H24" s="29">
        <v>1.9247593358159065E-2</v>
      </c>
      <c r="I24"/>
      <c r="J24"/>
      <c r="K24"/>
      <c r="L24"/>
      <c r="M24" s="11">
        <v>6.0200814914423972E-5</v>
      </c>
      <c r="N24" s="11">
        <v>5.9373815020080656E-6</v>
      </c>
      <c r="O24" s="267">
        <v>3.5041607916355133E-2</v>
      </c>
      <c r="P24" s="295">
        <v>0.14428845047950745</v>
      </c>
      <c r="Q24"/>
      <c r="R24"/>
      <c r="S24" s="273">
        <v>3.3732287585735321E-2</v>
      </c>
      <c r="T24"/>
      <c r="U24" s="14">
        <v>7.3490815702825785E-4</v>
      </c>
      <c r="V24"/>
      <c r="W24"/>
      <c r="X24"/>
      <c r="Y24" s="27">
        <v>3.1617641448974609E-2</v>
      </c>
      <c r="Z24"/>
      <c r="AA24"/>
      <c r="AB24"/>
      <c r="AC24"/>
      <c r="AD24" s="22">
        <v>2.9045825358480215E-3</v>
      </c>
      <c r="AE24"/>
      <c r="AF24"/>
      <c r="AG24"/>
      <c r="AH24"/>
      <c r="AI24" s="12">
        <v>1.2286687269806862E-3</v>
      </c>
      <c r="AJ24" s="286">
        <v>5.4243221879005432E-2</v>
      </c>
      <c r="AK24"/>
      <c r="AL24" s="272">
        <v>4.0395442396402359E-2</v>
      </c>
      <c r="AM24"/>
      <c r="AN24"/>
      <c r="AO24"/>
      <c r="AP24"/>
      <c r="AQ24"/>
      <c r="AR24" s="65">
        <v>8.6509184911847115E-3</v>
      </c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1.2460000514984131</v>
      </c>
      <c r="C25">
        <v>7.6412007212638855E-2</v>
      </c>
      <c r="D25" s="11">
        <v>6.399999838322401E-4</v>
      </c>
      <c r="E25" s="14">
        <v>1.3760000001639128E-3</v>
      </c>
      <c r="F25" s="11">
        <v>7.9999999798019417E-6</v>
      </c>
      <c r="G25"/>
      <c r="H25"/>
      <c r="I25"/>
      <c r="J25"/>
      <c r="K25" s="11">
        <v>7.9999997979030013E-5</v>
      </c>
      <c r="L25"/>
      <c r="M25" s="11">
        <v>9.3580965767614543E-5</v>
      </c>
      <c r="N25" s="11">
        <v>5.4291416745400056E-5</v>
      </c>
      <c r="O25"/>
      <c r="P25" s="24">
        <v>3.383009135723114E-2</v>
      </c>
      <c r="Q25"/>
      <c r="R25"/>
      <c r="S25"/>
      <c r="T25"/>
      <c r="U25"/>
      <c r="V25"/>
      <c r="W25"/>
      <c r="X25"/>
      <c r="Y25" s="288">
        <v>0.60231602191925049</v>
      </c>
      <c r="Z25"/>
      <c r="AA25"/>
      <c r="AB25"/>
      <c r="AC25"/>
      <c r="AD25" s="287">
        <v>0.53119003772735596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0.57499998807907104</v>
      </c>
      <c r="C26">
        <v>9.9538221955299377E-2</v>
      </c>
      <c r="D26"/>
      <c r="E26"/>
      <c r="F26" s="11">
        <v>1.1235954298172146E-4</v>
      </c>
      <c r="G26"/>
      <c r="H26"/>
      <c r="I26"/>
      <c r="J26"/>
      <c r="K26"/>
      <c r="L26"/>
      <c r="M26" s="11">
        <v>1.3143393152859062E-4</v>
      </c>
      <c r="N26" s="11">
        <v>7.6251984864939004E-5</v>
      </c>
      <c r="O26"/>
      <c r="P26" s="277">
        <v>0.4751417338848114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0.49000000953674316</v>
      </c>
      <c r="C27">
        <v>2.2178369108587503E-3</v>
      </c>
      <c r="D27" s="15">
        <v>4.6185567043721676E-3</v>
      </c>
      <c r="E27" s="241">
        <v>0.18405154347419739</v>
      </c>
      <c r="F27" s="11">
        <v>5.1546389840950724E-6</v>
      </c>
      <c r="G27"/>
      <c r="H27"/>
      <c r="I27"/>
      <c r="J27" s="15">
        <v>5.1546394824981689E-3</v>
      </c>
      <c r="K27"/>
      <c r="L27"/>
      <c r="M27" s="11">
        <v>6.0297013988019899E-5</v>
      </c>
      <c r="N27" s="11">
        <v>3.4981581848114729E-5</v>
      </c>
      <c r="O27"/>
      <c r="P27" s="275">
        <v>0.21797738969326019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 s="22">
        <v>3.4226162824779749E-3</v>
      </c>
      <c r="AE27"/>
      <c r="AF27"/>
      <c r="AG27"/>
      <c r="AH27"/>
      <c r="AI27"/>
      <c r="AJ27" s="249">
        <v>2.5773197412490845E-2</v>
      </c>
      <c r="AK27"/>
      <c r="AL27" s="64">
        <v>2.7311472222208977E-2</v>
      </c>
      <c r="AM27"/>
      <c r="AN27"/>
      <c r="AO27"/>
      <c r="AP27"/>
      <c r="AQ27"/>
      <c r="AR27"/>
      <c r="AS27"/>
      <c r="AT27"/>
      <c r="AU27"/>
      <c r="AV27"/>
      <c r="AW27"/>
      <c r="AX27"/>
      <c r="AY27"/>
      <c r="AZ27" s="253">
        <v>1.9372327253222466E-2</v>
      </c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1.5700000524520874</v>
      </c>
      <c r="C28">
        <v>0.20004726946353912</v>
      </c>
      <c r="D28" s="11">
        <v>3.3088235795730725E-5</v>
      </c>
      <c r="E28" s="68">
        <v>9.9349260330200195E-2</v>
      </c>
      <c r="F28"/>
      <c r="G28" s="11">
        <v>3.860293873003684E-6</v>
      </c>
      <c r="H28"/>
      <c r="I28"/>
      <c r="J28"/>
      <c r="K28"/>
      <c r="L28"/>
      <c r="M28" s="11">
        <v>2.1502977688214742E-5</v>
      </c>
      <c r="N28" s="11">
        <v>1.2475049516069703E-5</v>
      </c>
      <c r="O28"/>
      <c r="P28" s="21">
        <v>3.1093832105398178E-2</v>
      </c>
      <c r="Q28"/>
      <c r="R28"/>
      <c r="S28" s="14">
        <v>3.9375005289912224E-3</v>
      </c>
      <c r="T28"/>
      <c r="U28"/>
      <c r="V28"/>
      <c r="W28" s="22">
        <v>1.3345587067306042E-2</v>
      </c>
      <c r="X28"/>
      <c r="Y28" s="15">
        <v>1.6607979312539101E-2</v>
      </c>
      <c r="Z28"/>
      <c r="AA28"/>
      <c r="AB28"/>
      <c r="AC28" s="246">
        <v>0.1072738990187645</v>
      </c>
      <c r="AD28" s="253">
        <v>6.1028264462947845E-2</v>
      </c>
      <c r="AE28" s="11">
        <v>6.1298167565837502E-4</v>
      </c>
      <c r="AF28"/>
      <c r="AG28"/>
      <c r="AH28" s="68">
        <v>9.8381906747817993E-2</v>
      </c>
      <c r="AI28"/>
      <c r="AJ28" s="65">
        <v>3.4926470369100571E-2</v>
      </c>
      <c r="AK28"/>
      <c r="AL28" s="15">
        <v>1.5305325388908386E-2</v>
      </c>
      <c r="AM28"/>
      <c r="AN28" s="282">
        <v>0.2270873636007309</v>
      </c>
      <c r="AO28" s="296">
        <v>0.43656590580940247</v>
      </c>
      <c r="AP28"/>
      <c r="AQ28" s="17">
        <v>2.2869959473609924E-2</v>
      </c>
      <c r="AR28" s="254">
        <v>0.17267647385597229</v>
      </c>
      <c r="AS28"/>
      <c r="AT28"/>
      <c r="AU28"/>
      <c r="AV28"/>
      <c r="AW28"/>
      <c r="AX28"/>
      <c r="AY28" s="17">
        <v>2.1910654380917549E-2</v>
      </c>
      <c r="AZ28" s="12">
        <v>6.908513605594635E-3</v>
      </c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1.5700000524520874</v>
      </c>
      <c r="C29">
        <v>0.75828653573989868</v>
      </c>
      <c r="D29" s="11">
        <v>9.8440551664680243E-4</v>
      </c>
      <c r="E29" s="12">
        <v>5.8830408379435539E-3</v>
      </c>
      <c r="F29"/>
      <c r="G29"/>
      <c r="H29" s="11">
        <v>5.847953161719488E-6</v>
      </c>
      <c r="I29"/>
      <c r="J29"/>
      <c r="K29"/>
      <c r="L29"/>
      <c r="M29" s="11">
        <v>1.1401189112802967E-5</v>
      </c>
      <c r="N29" s="11">
        <v>6.6144511947641149E-6</v>
      </c>
      <c r="O29"/>
      <c r="P29" s="247">
        <v>0.23080959916114807</v>
      </c>
      <c r="Q29"/>
      <c r="R29"/>
      <c r="S29" s="255">
        <v>3.7578951567411423E-2</v>
      </c>
      <c r="T29"/>
      <c r="U29"/>
      <c r="V29"/>
      <c r="W29"/>
      <c r="X29"/>
      <c r="Y29" s="254">
        <v>0.17318053543567657</v>
      </c>
      <c r="Z29"/>
      <c r="AA29"/>
      <c r="AB29"/>
      <c r="AC29"/>
      <c r="AD29" s="24">
        <v>4.2065482586622238E-2</v>
      </c>
      <c r="AE29" s="13">
        <v>5.7527072727680206E-2</v>
      </c>
      <c r="AF29"/>
      <c r="AG29"/>
      <c r="AH29" s="16">
        <v>2.4839764460921288E-2</v>
      </c>
      <c r="AI29" s="14">
        <v>1.9278590334579349E-3</v>
      </c>
      <c r="AJ29" s="66">
        <v>6.5302148461341858E-2</v>
      </c>
      <c r="AK29"/>
      <c r="AL29" s="25">
        <v>4.9428362399339676E-2</v>
      </c>
      <c r="AM29"/>
      <c r="AN29" s="24">
        <v>4.1880004107952118E-2</v>
      </c>
      <c r="AO29"/>
      <c r="AP29"/>
      <c r="AQ29" s="253">
        <v>6.2056493014097214E-2</v>
      </c>
      <c r="AR29" s="22">
        <v>1.1243664659559727E-2</v>
      </c>
      <c r="AS29"/>
      <c r="AT29"/>
      <c r="AU29"/>
      <c r="AV29"/>
      <c r="AW29"/>
      <c r="AX29"/>
      <c r="AY29" s="14">
        <v>3.319241339340806E-3</v>
      </c>
      <c r="AZ29" s="14">
        <v>3.6629936657845974E-3</v>
      </c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0.72699999809265137</v>
      </c>
      <c r="C30">
        <v>0.34441956877708435</v>
      </c>
      <c r="D30"/>
      <c r="E30" s="17">
        <v>1.0157562792301178E-2</v>
      </c>
      <c r="F30" s="248">
        <v>0.13590447604656219</v>
      </c>
      <c r="G30" s="249">
        <v>3.8429867476224899E-2</v>
      </c>
      <c r="H30"/>
      <c r="I30"/>
      <c r="J30"/>
      <c r="K30"/>
      <c r="L30"/>
      <c r="M30" s="11">
        <v>1.8888151316787116E-5</v>
      </c>
      <c r="N30" s="11">
        <v>1.3971509179100394E-4</v>
      </c>
      <c r="O30" s="16">
        <v>1.0994389653205872E-2</v>
      </c>
      <c r="P30" s="15">
        <v>6.9647454656660557E-3</v>
      </c>
      <c r="Q30"/>
      <c r="R30" s="22">
        <v>6.3089984469115734E-3</v>
      </c>
      <c r="S30" s="22">
        <v>5.5857822299003601E-3</v>
      </c>
      <c r="T30"/>
      <c r="U30"/>
      <c r="V30"/>
      <c r="W30"/>
      <c r="X30"/>
      <c r="Y30" s="273">
        <v>5.95206618309021E-2</v>
      </c>
      <c r="Z30"/>
      <c r="AA30" s="12">
        <v>2.458138857036829E-3</v>
      </c>
      <c r="AB30"/>
      <c r="AC30"/>
      <c r="AD30" s="15">
        <v>6.9260303862392902E-3</v>
      </c>
      <c r="AE30" s="16">
        <v>1.1167271994054317E-2</v>
      </c>
      <c r="AF30"/>
      <c r="AG30"/>
      <c r="AH30" s="11">
        <v>6.9957732921466231E-4</v>
      </c>
      <c r="AI30" s="23">
        <v>4.8865913413465023E-3</v>
      </c>
      <c r="AJ30" s="19">
        <v>1.3175954110920429E-2</v>
      </c>
      <c r="AK30"/>
      <c r="AL30" s="28">
        <v>2.576388418674469E-2</v>
      </c>
      <c r="AM30"/>
      <c r="AN30" s="17">
        <v>1.0320552624762058E-2</v>
      </c>
      <c r="AO30" s="19">
        <v>1.3038258999586105E-2</v>
      </c>
      <c r="AP30"/>
      <c r="AQ30" s="65">
        <v>1.5468454919755459E-2</v>
      </c>
      <c r="AR30" s="23">
        <v>3.6189956590533257E-3</v>
      </c>
      <c r="AS30"/>
      <c r="AT30"/>
      <c r="AU30"/>
      <c r="AV30"/>
      <c r="AW30"/>
      <c r="AX30"/>
      <c r="AY30"/>
      <c r="AZ30" s="14">
        <v>1.0316310217604041E-3</v>
      </c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0.97200000286102295</v>
      </c>
      <c r="C31">
        <v>0.52944391965866089</v>
      </c>
      <c r="D31" s="22">
        <v>6.9444449618458748E-3</v>
      </c>
      <c r="E31" s="244">
        <v>0.38563892245292664</v>
      </c>
      <c r="F31"/>
      <c r="G31"/>
      <c r="H31" s="11">
        <v>9.5138890901580453E-4</v>
      </c>
      <c r="I31"/>
      <c r="J31"/>
      <c r="K31"/>
      <c r="L31"/>
      <c r="M31" s="11">
        <v>4.7784396883798763E-6</v>
      </c>
      <c r="N31"/>
      <c r="O31"/>
      <c r="P31" s="16">
        <v>1.4683200046420097E-2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 s="28">
        <v>3.4333333373069763E-2</v>
      </c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0.31799998879432678</v>
      </c>
      <c r="C32">
        <v>0.31760209798812866</v>
      </c>
      <c r="D32"/>
      <c r="E32" s="14">
        <v>3.3892717328853905E-4</v>
      </c>
      <c r="F32"/>
      <c r="G32"/>
      <c r="H32"/>
      <c r="I32"/>
      <c r="J32"/>
      <c r="K32"/>
      <c r="L32"/>
      <c r="M32"/>
      <c r="N32" s="11">
        <v>5.8977042499464005E-5</v>
      </c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1.6000000238418579</v>
      </c>
      <c r="C33">
        <v>0.55938047170639038</v>
      </c>
      <c r="D33" s="23">
        <v>9.7087379544973373E-3</v>
      </c>
      <c r="E33" s="245">
        <v>0.76966989040374756</v>
      </c>
      <c r="F33"/>
      <c r="G33" s="18">
        <v>1.9417475908994675E-2</v>
      </c>
      <c r="H33" s="23">
        <v>1.0330097749829292E-2</v>
      </c>
      <c r="I33"/>
      <c r="J33"/>
      <c r="K33"/>
      <c r="L33"/>
      <c r="M33"/>
      <c r="N33" s="11">
        <v>6.5887645178008825E-5</v>
      </c>
      <c r="O33"/>
      <c r="P33" s="262">
        <v>0.16422374546527863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 s="18">
        <v>1.9203722476959229E-2</v>
      </c>
      <c r="AJ33"/>
      <c r="AK33"/>
      <c r="AL33"/>
      <c r="AM33"/>
      <c r="AN33"/>
      <c r="AO33"/>
      <c r="AP33"/>
      <c r="AQ33"/>
      <c r="AR33" s="144">
        <v>4.8000000417232513E-2</v>
      </c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1.6610000133514404</v>
      </c>
      <c r="C34">
        <v>0.68664848804473877</v>
      </c>
      <c r="D34" s="11">
        <v>1.5533845871686935E-3</v>
      </c>
      <c r="E34" s="11">
        <v>7.4830773519352078E-4</v>
      </c>
      <c r="F34"/>
      <c r="G34"/>
      <c r="H34" s="11">
        <v>1.5384614471258828E-6</v>
      </c>
      <c r="I34" s="11">
        <v>1.5384616563096642E-4</v>
      </c>
      <c r="J34" s="11">
        <v>1.5384616563096642E-4</v>
      </c>
      <c r="K34" s="17">
        <v>2.2315384820103645E-2</v>
      </c>
      <c r="L34" s="11">
        <v>7.69230794617215E-8</v>
      </c>
      <c r="M34" s="11">
        <v>2.6465198743608198E-7</v>
      </c>
      <c r="N34"/>
      <c r="O34" s="11">
        <v>3.8203972508199513E-4</v>
      </c>
      <c r="P34" s="15">
        <v>1.691504567861557E-2</v>
      </c>
      <c r="Q34"/>
      <c r="R34"/>
      <c r="S34" s="243">
        <v>5.4538626223802567E-2</v>
      </c>
      <c r="T34"/>
      <c r="U34" s="23">
        <v>1.0058462619781494E-2</v>
      </c>
      <c r="V34"/>
      <c r="W34" s="12">
        <v>5.5846152827143669E-3</v>
      </c>
      <c r="X34"/>
      <c r="Y34" s="22">
        <v>1.3436281122267246E-2</v>
      </c>
      <c r="Z34" s="14">
        <v>3.1753843650221825E-3</v>
      </c>
      <c r="AA34" s="11">
        <v>1.2628845870494843E-3</v>
      </c>
      <c r="AB34"/>
      <c r="AC34" s="22">
        <v>1.34000014513731E-2</v>
      </c>
      <c r="AD34" s="12">
        <v>7.8656990081071854E-3</v>
      </c>
      <c r="AE34" s="11">
        <v>6.4127321820706129E-4</v>
      </c>
      <c r="AF34" s="28">
        <v>5.8286983519792557E-2</v>
      </c>
      <c r="AG34" s="19">
        <v>2.9751075431704521E-2</v>
      </c>
      <c r="AH34" s="17">
        <v>2.1368693560361862E-2</v>
      </c>
      <c r="AI34" s="14">
        <v>4.2602722533047199E-3</v>
      </c>
      <c r="AJ34" s="11">
        <v>3.8461541407741606E-4</v>
      </c>
      <c r="AK34" s="11">
        <v>9.9419837351888418E-4</v>
      </c>
      <c r="AL34" s="11">
        <v>4.3668344733305275E-4</v>
      </c>
      <c r="AM34" s="12">
        <v>7.4859848245978355E-3</v>
      </c>
      <c r="AN34" s="255">
        <v>4.0489908307790756E-2</v>
      </c>
      <c r="AO34" s="25">
        <v>5.1152095198631287E-2</v>
      </c>
      <c r="AP34" s="237">
        <v>0.14310082793235779</v>
      </c>
      <c r="AQ34" s="23">
        <v>8.8383601978421211E-3</v>
      </c>
      <c r="AR34" s="21">
        <v>3.1819075345993042E-2</v>
      </c>
      <c r="AS34" s="281">
        <v>0.22423502802848816</v>
      </c>
      <c r="AT34"/>
      <c r="AU34"/>
      <c r="AV34" s="254">
        <v>0.18263332545757294</v>
      </c>
      <c r="AW34"/>
      <c r="AX34" s="14">
        <v>1.9675383809953928E-3</v>
      </c>
      <c r="AY34" s="23">
        <v>9.1779446229338646E-3</v>
      </c>
      <c r="AZ34" s="12">
        <v>5.7818945497274399E-3</v>
      </c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2.062000036239624</v>
      </c>
      <c r="C35">
        <v>2.0519936457276344E-2</v>
      </c>
      <c r="D35" s="11">
        <v>8.7923591490834951E-4</v>
      </c>
      <c r="E35" s="11">
        <v>1.6501689970027655E-4</v>
      </c>
      <c r="F35"/>
      <c r="G35"/>
      <c r="H35" s="11">
        <v>4.1226371649827342E-6</v>
      </c>
      <c r="I35"/>
      <c r="J35"/>
      <c r="K35" s="11">
        <v>1.1142262223984289E-8</v>
      </c>
      <c r="L35" s="11">
        <v>1.1142261655550101E-6</v>
      </c>
      <c r="M35" s="11">
        <v>3.8334684404617292E-7</v>
      </c>
      <c r="N35"/>
      <c r="O35" s="11">
        <v>5.5338226957246661E-4</v>
      </c>
      <c r="P35" s="18">
        <v>2.4501344189047813E-2</v>
      </c>
      <c r="Q35"/>
      <c r="R35"/>
      <c r="S35" s="14">
        <v>4.892679862678051E-3</v>
      </c>
      <c r="T35" s="12">
        <v>8.4721995517611504E-3</v>
      </c>
      <c r="U35" s="12">
        <v>6.5516503527760506E-3</v>
      </c>
      <c r="V35" s="12">
        <v>8.2050710916519165E-3</v>
      </c>
      <c r="W35" s="15">
        <v>2.0223205909132957E-2</v>
      </c>
      <c r="X35"/>
      <c r="Y35" s="14">
        <v>2.8522445354610682E-3</v>
      </c>
      <c r="Z35" s="23">
        <v>1.1498814448714256E-2</v>
      </c>
      <c r="AA35" s="11">
        <v>8.3149125566706061E-4</v>
      </c>
      <c r="AB35"/>
      <c r="AC35"/>
      <c r="AD35" s="11">
        <v>1.4796647883486003E-4</v>
      </c>
      <c r="AE35" s="11">
        <v>9.2888041399419308E-4</v>
      </c>
      <c r="AF35"/>
      <c r="AG35"/>
      <c r="AH35" s="18">
        <v>2.5841016322374344E-2</v>
      </c>
      <c r="AI35" s="11">
        <v>1.9835289567708969E-3</v>
      </c>
      <c r="AJ35"/>
      <c r="AK35" s="23">
        <v>1.412919070571661E-2</v>
      </c>
      <c r="AL35" s="11">
        <v>4.2168889194726944E-4</v>
      </c>
      <c r="AM35" s="14">
        <v>4.2716441676020622E-3</v>
      </c>
      <c r="AN35" s="26">
        <v>5.2066296339035034E-2</v>
      </c>
      <c r="AO35" s="22">
        <v>1.5877179801464081E-2</v>
      </c>
      <c r="AP35" s="14">
        <v>4.6825464814901352E-3</v>
      </c>
      <c r="AQ35"/>
      <c r="AR35" s="14">
        <v>5.6923585943877697E-3</v>
      </c>
      <c r="AS35" s="304">
        <v>1.2510933876037598</v>
      </c>
      <c r="AT35" s="238">
        <v>9.3728698790073395E-2</v>
      </c>
      <c r="AU35"/>
      <c r="AV35" s="302">
        <v>0.26454329490661621</v>
      </c>
      <c r="AW35" s="69">
        <v>0.19192101061344147</v>
      </c>
      <c r="AX35" s="14">
        <v>2.8499674517661333E-3</v>
      </c>
      <c r="AY35" s="23">
        <v>1.3294197618961334E-2</v>
      </c>
      <c r="AZ35" s="12">
        <v>8.3750402554869652E-3</v>
      </c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3.6830000877380371</v>
      </c>
      <c r="C36">
        <v>3.6605611443519592E-2</v>
      </c>
      <c r="D36" s="11">
        <v>2.6181065550190397E-5</v>
      </c>
      <c r="E36" s="11">
        <v>1.8832766727427952E-5</v>
      </c>
      <c r="F36"/>
      <c r="G36"/>
      <c r="H36" s="11">
        <v>3.0801254524703836E-7</v>
      </c>
      <c r="I36"/>
      <c r="J36"/>
      <c r="K36"/>
      <c r="L36"/>
      <c r="M36"/>
      <c r="N36"/>
      <c r="O36"/>
      <c r="P36" s="23">
        <v>1.9537674263119698E-2</v>
      </c>
      <c r="Q36"/>
      <c r="R36"/>
      <c r="S36" s="11">
        <v>2.3562964634038508E-4</v>
      </c>
      <c r="T36" s="14">
        <v>1.003724243491888E-2</v>
      </c>
      <c r="U36" s="11">
        <v>1.4538193354383111E-3</v>
      </c>
      <c r="V36" s="14">
        <v>4.0503200143575668E-3</v>
      </c>
      <c r="W36" s="14">
        <v>7.9863257706165314E-3</v>
      </c>
      <c r="X36" s="14">
        <v>7.8478623181581497E-3</v>
      </c>
      <c r="Y36" s="11">
        <v>7.9508958151564002E-4</v>
      </c>
      <c r="Z36" s="14">
        <v>4.5409849844872952E-3</v>
      </c>
      <c r="AA36" s="11">
        <v>3.2836335594765842E-4</v>
      </c>
      <c r="AB36"/>
      <c r="AC36" s="14">
        <v>7.6651126146316528E-3</v>
      </c>
      <c r="AD36" s="11">
        <v>3.3306973055005074E-3</v>
      </c>
      <c r="AE36" s="11">
        <v>3.6682319478131831E-4</v>
      </c>
      <c r="AF36" s="12">
        <v>1.4853073284029961E-2</v>
      </c>
      <c r="AG36"/>
      <c r="AH36" s="11">
        <v>1.1214120604563504E-4</v>
      </c>
      <c r="AI36" s="11">
        <v>6.1794722569175065E-5</v>
      </c>
      <c r="AJ36" s="11">
        <v>2.2000898024998605E-4</v>
      </c>
      <c r="AK36" s="11">
        <v>2.6825694367289543E-3</v>
      </c>
      <c r="AL36"/>
      <c r="AM36"/>
      <c r="AN36" s="14">
        <v>5.4357848130166531E-3</v>
      </c>
      <c r="AO36" s="11">
        <v>2.0900135859847069E-3</v>
      </c>
      <c r="AP36" s="14">
        <v>4.3147518299520016E-3</v>
      </c>
      <c r="AQ36"/>
      <c r="AR36" s="11">
        <v>1.5228140400722623E-3</v>
      </c>
      <c r="AS36" s="290">
        <v>0.84561645984649658</v>
      </c>
      <c r="AT36" s="311">
        <v>1.184456467628479</v>
      </c>
      <c r="AU36"/>
      <c r="AV36" s="109">
        <v>0.63315457105636597</v>
      </c>
      <c r="AW36" s="307">
        <v>0.70738571882247925</v>
      </c>
      <c r="AX36"/>
      <c r="AY36" s="14">
        <v>3.7499982863664627E-3</v>
      </c>
      <c r="AZ36" s="11">
        <v>1.6536891926079988E-3</v>
      </c>
      <c r="BA36"/>
      <c r="BB36"/>
      <c r="BC36" s="29">
        <v>0.17086349427700043</v>
      </c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2.6949999332427979</v>
      </c>
      <c r="C37">
        <v>2.6897767558693886E-2</v>
      </c>
      <c r="D37"/>
      <c r="E37"/>
      <c r="F37"/>
      <c r="G37"/>
      <c r="H37"/>
      <c r="I37"/>
      <c r="J37"/>
      <c r="K37" s="11">
        <v>1.2488906122598564E-6</v>
      </c>
      <c r="L37" s="11">
        <v>1.2488906122598564E-6</v>
      </c>
      <c r="M37" s="11">
        <v>4.2967783997482911E-7</v>
      </c>
      <c r="N37"/>
      <c r="O37" s="11">
        <v>6.2026362866163254E-4</v>
      </c>
      <c r="P37"/>
      <c r="Q37"/>
      <c r="R37"/>
      <c r="S37"/>
      <c r="T37"/>
      <c r="U37" s="11">
        <v>1.7484471900388598E-3</v>
      </c>
      <c r="V37"/>
      <c r="W37" s="22">
        <v>1.9040586426854134E-2</v>
      </c>
      <c r="X37"/>
      <c r="Y37"/>
      <c r="Z37" s="12">
        <v>1.2888551689684391E-2</v>
      </c>
      <c r="AA37" s="11">
        <v>3.7279387470334768E-4</v>
      </c>
      <c r="AB37"/>
      <c r="AC37"/>
      <c r="AD37"/>
      <c r="AE37" s="11">
        <v>1.0411441326141357E-3</v>
      </c>
      <c r="AF37"/>
      <c r="AG37"/>
      <c r="AH37"/>
      <c r="AI37"/>
      <c r="AJ37"/>
      <c r="AK37"/>
      <c r="AL37"/>
      <c r="AM37"/>
      <c r="AN37"/>
      <c r="AO37"/>
      <c r="AP37" s="26">
        <v>6.9979667663574219E-2</v>
      </c>
      <c r="AQ37" s="11">
        <v>4.5699332986259833E-5</v>
      </c>
      <c r="AR37"/>
      <c r="AS37" s="308">
        <v>2.3731224536895752</v>
      </c>
      <c r="AT37"/>
      <c r="AU37"/>
      <c r="AV37" s="145">
        <v>0.16175717115402222</v>
      </c>
      <c r="AW37"/>
      <c r="AX37" s="14">
        <v>3.194412449374795E-3</v>
      </c>
      <c r="AY37" s="23">
        <v>1.4900924637913704E-2</v>
      </c>
      <c r="AZ37" s="12">
        <v>9.3872407451272011E-3</v>
      </c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2.5520000457763672</v>
      </c>
      <c r="C38">
        <v>2.5316299870610237E-2</v>
      </c>
      <c r="D38"/>
      <c r="E38"/>
      <c r="F38"/>
      <c r="G38"/>
      <c r="H38"/>
      <c r="I38"/>
      <c r="J38"/>
      <c r="K38"/>
      <c r="L38"/>
      <c r="M38" s="11">
        <v>1.3888153205243725E-7</v>
      </c>
      <c r="N38"/>
      <c r="O38" s="11">
        <v>2.0048314763698727E-4</v>
      </c>
      <c r="P38"/>
      <c r="Q38"/>
      <c r="R38"/>
      <c r="S38"/>
      <c r="T38"/>
      <c r="U38" s="11">
        <v>5.6513742310926318E-4</v>
      </c>
      <c r="V38"/>
      <c r="W38" s="14">
        <v>4.3959617614746094E-3</v>
      </c>
      <c r="X38" s="11">
        <v>1.7141845310106874E-3</v>
      </c>
      <c r="Y38"/>
      <c r="Z38" s="11">
        <v>2.4995219428092241E-3</v>
      </c>
      <c r="AA38" s="11">
        <v>6.0247679357416928E-5</v>
      </c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s="11">
        <v>1.4771052519790828E-5</v>
      </c>
      <c r="AR38"/>
      <c r="AS38" s="309">
        <v>0.77140480279922485</v>
      </c>
      <c r="AT38" s="287">
        <v>1.0865632295608521</v>
      </c>
      <c r="AU38"/>
      <c r="AV38" s="289">
        <v>0.58085185289382935</v>
      </c>
      <c r="AW38" s="24">
        <v>6.9530464708805084E-2</v>
      </c>
      <c r="AX38" s="11">
        <v>1.0325058829039335E-3</v>
      </c>
      <c r="AY38" s="14">
        <v>4.8163137398660183E-3</v>
      </c>
      <c r="AZ38" s="14">
        <v>3.0341672245413065E-3</v>
      </c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0.78299999237060547</v>
      </c>
      <c r="C39">
        <v>7.1515023708343506E-2</v>
      </c>
      <c r="D39"/>
      <c r="E39" s="22">
        <v>6.8571427837014198E-3</v>
      </c>
      <c r="F39"/>
      <c r="G39"/>
      <c r="H39"/>
      <c r="I39"/>
      <c r="J39" s="69">
        <v>7.1428574621677399E-2</v>
      </c>
      <c r="K39" s="11">
        <v>1.020408162730746E-4</v>
      </c>
      <c r="L39"/>
      <c r="M39" s="11">
        <v>3.0191935366019607E-4</v>
      </c>
      <c r="N39"/>
      <c r="O39" s="19">
        <v>1.3078385964035988E-2</v>
      </c>
      <c r="P39" s="254">
        <v>8.6301252245903015E-2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 s="238">
        <v>3.5714291036128998E-2</v>
      </c>
      <c r="AK39"/>
      <c r="AL39"/>
      <c r="AM39"/>
      <c r="AN39"/>
      <c r="AO39"/>
      <c r="AP39"/>
      <c r="AQ39" s="257">
        <v>0.14935483038425446</v>
      </c>
      <c r="AR39"/>
      <c r="AS39"/>
      <c r="AT39"/>
      <c r="AU39"/>
      <c r="AV39"/>
      <c r="AW39"/>
      <c r="AX39" s="261">
        <v>0.15659999847412109</v>
      </c>
      <c r="AY39"/>
      <c r="AZ39" s="263">
        <v>0.19174651801586151</v>
      </c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0.73000001907348633</v>
      </c>
      <c r="C40">
        <v>9.6732869744300842E-2</v>
      </c>
      <c r="D40"/>
      <c r="E40" s="246">
        <v>4.9620002508163452E-2</v>
      </c>
      <c r="F40"/>
      <c r="G40"/>
      <c r="H40"/>
      <c r="I40"/>
      <c r="J40"/>
      <c r="K40"/>
      <c r="L40" s="251">
        <v>0.28571429848670959</v>
      </c>
      <c r="M40" s="11">
        <v>8.4537416114471853E-5</v>
      </c>
      <c r="N40"/>
      <c r="O40" s="23">
        <v>3.6619480233639479E-3</v>
      </c>
      <c r="P40"/>
      <c r="Q40"/>
      <c r="R40"/>
      <c r="S40" s="285">
        <v>0.14994001388549805</v>
      </c>
      <c r="T40"/>
      <c r="U40"/>
      <c r="V40"/>
      <c r="W40"/>
      <c r="X40"/>
      <c r="Y40" s="23">
        <v>4.3022576719522476E-3</v>
      </c>
      <c r="Z40"/>
      <c r="AA40"/>
      <c r="AB40"/>
      <c r="AC40"/>
      <c r="AD40" s="14">
        <v>1.6694545047357678E-3</v>
      </c>
      <c r="AE40"/>
      <c r="AF40"/>
      <c r="AG40" s="259">
        <v>0.11050400137901306</v>
      </c>
      <c r="AH40" s="15">
        <v>7.2816000320017338E-3</v>
      </c>
      <c r="AI40"/>
      <c r="AJ40" s="23">
        <v>4.2857145890593529E-3</v>
      </c>
      <c r="AK40"/>
      <c r="AL40" s="14">
        <v>7.5691798701882362E-4</v>
      </c>
      <c r="AM40"/>
      <c r="AN40"/>
      <c r="AO40"/>
      <c r="AP40"/>
      <c r="AQ40"/>
      <c r="AR40" s="23">
        <v>4.7085718251764774E-3</v>
      </c>
      <c r="AS40"/>
      <c r="AT40"/>
      <c r="AU40"/>
      <c r="AV40"/>
      <c r="AW40"/>
      <c r="AX40"/>
      <c r="AY40"/>
      <c r="AZ40" s="16">
        <v>1.073780469596386E-2</v>
      </c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1.9809999465942383</v>
      </c>
      <c r="C41">
        <v>0.4521230161190033</v>
      </c>
      <c r="D41" s="14">
        <v>2.6008973363786936E-3</v>
      </c>
      <c r="E41" s="14">
        <v>5.7091894559562206E-3</v>
      </c>
      <c r="F41"/>
      <c r="G41"/>
      <c r="H41"/>
      <c r="I41"/>
      <c r="J41"/>
      <c r="K41"/>
      <c r="L41"/>
      <c r="M41" s="11">
        <v>5.498203681781888E-4</v>
      </c>
      <c r="N41" s="11">
        <v>2.7113364922115579E-5</v>
      </c>
      <c r="O41" s="25">
        <v>6.400773674249649E-2</v>
      </c>
      <c r="P41"/>
      <c r="Q41"/>
      <c r="R41"/>
      <c r="S41" s="22">
        <v>1.7115585505962372E-2</v>
      </c>
      <c r="T41"/>
      <c r="U41" s="12">
        <v>6.7119933664798737E-3</v>
      </c>
      <c r="V41"/>
      <c r="W41"/>
      <c r="X41"/>
      <c r="Y41" s="265">
        <v>9.6255742013454437E-2</v>
      </c>
      <c r="Z41"/>
      <c r="AA41"/>
      <c r="AB41"/>
      <c r="AC41"/>
      <c r="AD41" s="15">
        <v>1.8569499254226685E-2</v>
      </c>
      <c r="AE41" s="108">
        <v>0.13322588801383972</v>
      </c>
      <c r="AF41"/>
      <c r="AG41"/>
      <c r="AH41" s="16">
        <v>3.05462796241045E-2</v>
      </c>
      <c r="AI41" s="12">
        <v>7.9025067389011383E-3</v>
      </c>
      <c r="AJ41"/>
      <c r="AK41" s="23">
        <v>1.1691332794725895E-2</v>
      </c>
      <c r="AL41" s="17">
        <v>2.7216577902436256E-2</v>
      </c>
      <c r="AM41"/>
      <c r="AN41" s="65">
        <v>4.2917687445878983E-2</v>
      </c>
      <c r="AO41" s="26">
        <v>4.9339447170495987E-2</v>
      </c>
      <c r="AP41" s="245">
        <v>0.95338559150695801</v>
      </c>
      <c r="AQ41"/>
      <c r="AR41" s="255">
        <v>4.6089019626379013E-2</v>
      </c>
      <c r="AS41"/>
      <c r="AT41"/>
      <c r="AU41"/>
      <c r="AV41"/>
      <c r="AW41"/>
      <c r="AX41"/>
      <c r="AY41"/>
      <c r="AZ41" s="22">
        <v>1.5015014447271824E-2</v>
      </c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0.95899999141693115</v>
      </c>
      <c r="C42">
        <v>9.5641538500785828E-3</v>
      </c>
      <c r="D42" s="11">
        <v>9.3508919235318899E-4</v>
      </c>
      <c r="E42" s="11">
        <v>7.984984404174611E-5</v>
      </c>
      <c r="F42"/>
      <c r="G42" s="11">
        <v>6.189910345710814E-4</v>
      </c>
      <c r="H42"/>
      <c r="I42"/>
      <c r="J42"/>
      <c r="K42"/>
      <c r="L42" s="11">
        <v>2.0633035092032515E-5</v>
      </c>
      <c r="M42" s="11">
        <v>6.104922249505762E-6</v>
      </c>
      <c r="N42"/>
      <c r="O42" s="11">
        <v>2.9750604880973697E-4</v>
      </c>
      <c r="P42" s="300">
        <v>0.1465836763381958</v>
      </c>
      <c r="Q42"/>
      <c r="R42"/>
      <c r="S42" s="18">
        <v>1.2153890915215015E-2</v>
      </c>
      <c r="T42" s="16">
        <v>1.568865031003952E-2</v>
      </c>
      <c r="U42" s="14">
        <v>2.4842177517712116E-3</v>
      </c>
      <c r="V42" s="21">
        <v>1.8992496654391289E-2</v>
      </c>
      <c r="W42"/>
      <c r="X42" s="24">
        <v>2.6285504922270775E-2</v>
      </c>
      <c r="Y42" s="24">
        <v>2.6408666744828224E-2</v>
      </c>
      <c r="Z42"/>
      <c r="AA42"/>
      <c r="AB42"/>
      <c r="AC42" s="13">
        <v>3.5942748188972473E-2</v>
      </c>
      <c r="AD42" s="16">
        <v>1.4659085310995579E-2</v>
      </c>
      <c r="AE42"/>
      <c r="AF42"/>
      <c r="AG42" s="268">
        <v>7.1821041405200958E-2</v>
      </c>
      <c r="AH42" s="289">
        <v>0.21875162422657013</v>
      </c>
      <c r="AI42"/>
      <c r="AJ42" s="14">
        <v>1.9601385574787855E-3</v>
      </c>
      <c r="AK42" s="22">
        <v>6.7926226183772087E-3</v>
      </c>
      <c r="AL42" s="23">
        <v>5.9346552006900311E-3</v>
      </c>
      <c r="AM42" s="14">
        <v>1.8254196038469672E-3</v>
      </c>
      <c r="AN42" s="299">
        <v>0.13409498333930969</v>
      </c>
      <c r="AO42" s="25">
        <v>2.9401069507002831E-2</v>
      </c>
      <c r="AP42"/>
      <c r="AQ42" s="11">
        <v>7.5500276579987258E-5</v>
      </c>
      <c r="AR42" s="301">
        <v>0.15403468906879425</v>
      </c>
      <c r="AS42"/>
      <c r="AT42"/>
      <c r="AU42"/>
      <c r="AV42"/>
      <c r="AW42"/>
      <c r="AX42" s="16">
        <v>1.5832552686333656E-2</v>
      </c>
      <c r="AY42"/>
      <c r="AZ42" s="22">
        <v>7.7543724328279495E-3</v>
      </c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2.0659999847412109</v>
      </c>
      <c r="C43">
        <v>2.8732262551784515E-2</v>
      </c>
      <c r="D43" s="11">
        <v>2.8666667640209198E-4</v>
      </c>
      <c r="E43" s="11">
        <v>5.6133332691388205E-5</v>
      </c>
      <c r="F43"/>
      <c r="G43"/>
      <c r="H43" s="11">
        <v>1.8666667074285215E-6</v>
      </c>
      <c r="I43"/>
      <c r="J43"/>
      <c r="K43" s="11">
        <v>1.3333333299669903E-6</v>
      </c>
      <c r="L43" s="11">
        <v>1.3333333299669903E-6</v>
      </c>
      <c r="M43"/>
      <c r="N43"/>
      <c r="O43"/>
      <c r="P43"/>
      <c r="Q43"/>
      <c r="R43"/>
      <c r="S43"/>
      <c r="T43"/>
      <c r="U43" s="11">
        <v>1.120000088121742E-4</v>
      </c>
      <c r="V43"/>
      <c r="W43"/>
      <c r="X43"/>
      <c r="Y43"/>
      <c r="Z43"/>
      <c r="AA43"/>
      <c r="AB43"/>
      <c r="AC43"/>
      <c r="AD43" s="11">
        <v>3.8953938201302662E-5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 s="66">
        <v>8.6372010409832001E-2</v>
      </c>
      <c r="AT43"/>
      <c r="AU43"/>
      <c r="AV43"/>
      <c r="AW43" s="306">
        <v>1.9138447046279907</v>
      </c>
      <c r="AX43"/>
      <c r="AY43" s="19">
        <v>3.6552812904119492E-2</v>
      </c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18.450000762939453</v>
      </c>
      <c r="C44">
        <v>0.18382240831851959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 s="141">
        <v>3.9968395233154297</v>
      </c>
      <c r="AU44"/>
      <c r="AV44" s="270">
        <v>1.9143221378326416</v>
      </c>
      <c r="AW44" s="315">
        <v>6.8200154304504395</v>
      </c>
      <c r="AX44"/>
      <c r="AY44"/>
      <c r="AZ44"/>
      <c r="BA44"/>
      <c r="BB44"/>
      <c r="BC44" s="312">
        <v>5.5350003242492676</v>
      </c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7.5</v>
      </c>
      <c r="C45">
        <v>7.4518471956253052E-2</v>
      </c>
      <c r="D45"/>
      <c r="E45"/>
      <c r="F45"/>
      <c r="G45"/>
      <c r="H45"/>
      <c r="I45"/>
      <c r="J45"/>
      <c r="K45"/>
      <c r="L45"/>
      <c r="M45"/>
      <c r="N45" s="11">
        <v>1.0168088192585856E-4</v>
      </c>
      <c r="O45"/>
      <c r="P45"/>
      <c r="Q45" s="11">
        <v>2.3807310208212584E-4</v>
      </c>
      <c r="R45"/>
      <c r="S45"/>
      <c r="T45"/>
      <c r="U45"/>
      <c r="V45" s="12">
        <v>3.3844608813524246E-2</v>
      </c>
      <c r="W45"/>
      <c r="X45"/>
      <c r="Y45"/>
      <c r="Z45"/>
      <c r="AA45"/>
      <c r="AB45" s="25">
        <v>0.23975706100463867</v>
      </c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 s="11">
        <v>6.7270698491483927E-4</v>
      </c>
      <c r="AR45"/>
      <c r="AS45" s="70">
        <v>0.37711793184280396</v>
      </c>
      <c r="AT45"/>
      <c r="AU45"/>
      <c r="AV45" s="110">
        <v>1.3627463579177856</v>
      </c>
      <c r="AW45"/>
      <c r="AX45"/>
      <c r="AY45"/>
      <c r="AZ45" s="19">
        <v>0.13127370178699493</v>
      </c>
      <c r="BA45"/>
      <c r="BB45"/>
      <c r="BC45"/>
      <c r="BD45" s="260">
        <v>1.2499992847442627</v>
      </c>
      <c r="BE45" s="310">
        <v>4.0297298431396484</v>
      </c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10</v>
      </c>
      <c r="C46">
        <v>9.8790526390075684E-2</v>
      </c>
      <c r="D46"/>
      <c r="E46"/>
      <c r="F46"/>
      <c r="G46"/>
      <c r="H46"/>
      <c r="I46"/>
      <c r="J46"/>
      <c r="K46"/>
      <c r="L46"/>
      <c r="M46"/>
      <c r="N46" s="11">
        <v>1.0513616871321574E-4</v>
      </c>
      <c r="O46"/>
      <c r="P46"/>
      <c r="Q46" s="11">
        <v>2.4616322480142117E-4</v>
      </c>
      <c r="R46"/>
      <c r="S46" s="11">
        <v>4.0716739022172987E-4</v>
      </c>
      <c r="T46" s="12">
        <v>4.3360818177461624E-2</v>
      </c>
      <c r="U46" s="11">
        <v>1.0644897702150047E-4</v>
      </c>
      <c r="V46" s="23">
        <v>5.2492067217826843E-2</v>
      </c>
      <c r="W46"/>
      <c r="X46" s="14">
        <v>1.9372977316379547E-2</v>
      </c>
      <c r="Y46" s="14">
        <v>1.0018112137913704E-2</v>
      </c>
      <c r="Z46"/>
      <c r="AA46"/>
      <c r="AB46" s="18">
        <v>0.12395220249891281</v>
      </c>
      <c r="AC46" s="14">
        <v>1.8377844244241714E-2</v>
      </c>
      <c r="AD46" s="11">
        <v>5.0486274994909763E-3</v>
      </c>
      <c r="AE46"/>
      <c r="AF46" s="11">
        <v>5.3844894282519817E-3</v>
      </c>
      <c r="AG46"/>
      <c r="AH46" s="23">
        <v>5.1351618021726608E-2</v>
      </c>
      <c r="AI46" s="18">
        <v>0.11730881780385971</v>
      </c>
      <c r="AJ46"/>
      <c r="AK46" s="11">
        <v>4.6354721416719258E-4</v>
      </c>
      <c r="AL46" s="11">
        <v>4.0286569856107235E-3</v>
      </c>
      <c r="AM46" s="19">
        <v>0.17770147323608398</v>
      </c>
      <c r="AN46" s="16">
        <v>0.15212611854076385</v>
      </c>
      <c r="AO46" s="305">
        <v>2.3249273300170898</v>
      </c>
      <c r="AP46"/>
      <c r="AQ46" s="11">
        <v>6.9556685048155487E-5</v>
      </c>
      <c r="AR46" s="14">
        <v>1.1277507059276104E-2</v>
      </c>
      <c r="AS46" s="253">
        <v>0.3899330198764801</v>
      </c>
      <c r="AT46"/>
      <c r="AU46"/>
      <c r="AV46" s="16">
        <v>0.16418635845184326</v>
      </c>
      <c r="AW46" s="145">
        <v>0.60026633739471436</v>
      </c>
      <c r="AX46"/>
      <c r="AY46"/>
      <c r="AZ46" s="15">
        <v>8.9299075305461884E-2</v>
      </c>
      <c r="BA46" s="19">
        <v>0.17670093476772308</v>
      </c>
      <c r="BB46" s="282">
        <v>1.4586005210876465</v>
      </c>
      <c r="BC46"/>
      <c r="BD46" s="140">
        <v>1.292477011680603</v>
      </c>
      <c r="BE46" s="267">
        <v>0.83333343267440796</v>
      </c>
      <c r="BF46" s="303">
        <v>1.7782865762710571</v>
      </c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17</v>
      </c>
      <c r="C47">
        <v>0.1695479154586792</v>
      </c>
      <c r="D47"/>
      <c r="E47"/>
      <c r="F47"/>
      <c r="G47"/>
      <c r="H47"/>
      <c r="I47"/>
      <c r="J47"/>
      <c r="K47"/>
      <c r="L47"/>
      <c r="M47"/>
      <c r="N47" s="11">
        <v>5.3616950026480481E-5</v>
      </c>
      <c r="O47"/>
      <c r="P47"/>
      <c r="Q47" s="11">
        <v>1.2553739361464977E-4</v>
      </c>
      <c r="R47"/>
      <c r="S47" s="11">
        <v>2.076456876238808E-4</v>
      </c>
      <c r="T47" s="14">
        <v>3.6854974925518036E-2</v>
      </c>
      <c r="U47" s="11">
        <v>5.4286450904328376E-5</v>
      </c>
      <c r="V47" s="14">
        <v>4.4616173952817917E-2</v>
      </c>
      <c r="W47"/>
      <c r="X47" s="11">
        <v>1.6466261819005013E-2</v>
      </c>
      <c r="Y47" s="11">
        <v>5.1089995540678501E-3</v>
      </c>
      <c r="Z47"/>
      <c r="AA47"/>
      <c r="AB47" s="22">
        <v>0.1264253556728363</v>
      </c>
      <c r="AC47" s="11">
        <v>9.3722641468048096E-3</v>
      </c>
      <c r="AD47" s="11">
        <v>2.5746801402419806E-3</v>
      </c>
      <c r="AE47"/>
      <c r="AF47" s="11">
        <v>2.7459617704153061E-3</v>
      </c>
      <c r="AG47"/>
      <c r="AH47" s="14">
        <v>2.6188105344772339E-2</v>
      </c>
      <c r="AI47" s="12">
        <v>5.9824708849191666E-2</v>
      </c>
      <c r="AJ47"/>
      <c r="AK47" s="11">
        <v>2.3639806022401899E-4</v>
      </c>
      <c r="AL47" s="11">
        <v>2.0545192528516054E-3</v>
      </c>
      <c r="AM47" s="23">
        <v>9.0623527765274048E-2</v>
      </c>
      <c r="AN47" s="12">
        <v>7.7580705285072327E-2</v>
      </c>
      <c r="AO47" s="144">
        <v>0.49498334527015686</v>
      </c>
      <c r="AP47"/>
      <c r="AQ47" s="11">
        <v>3.5472254239721224E-5</v>
      </c>
      <c r="AR47" s="11">
        <v>5.7512605562806129E-3</v>
      </c>
      <c r="AS47" s="18">
        <v>0.19885657727718353</v>
      </c>
      <c r="AT47"/>
      <c r="AU47"/>
      <c r="AV47" s="20">
        <v>0.71858441829681396</v>
      </c>
      <c r="AW47" s="19">
        <v>0.3061215877532959</v>
      </c>
      <c r="AX47"/>
      <c r="AY47"/>
      <c r="AZ47" s="12">
        <v>7.2864651679992676E-2</v>
      </c>
      <c r="BA47" s="23">
        <v>9.0113274753093719E-2</v>
      </c>
      <c r="BB47" s="20">
        <v>0.74385160207748413</v>
      </c>
      <c r="BC47"/>
      <c r="BD47" s="111">
        <v>3.2956626415252686</v>
      </c>
      <c r="BE47" s="316">
        <v>5.524742603302002</v>
      </c>
      <c r="BF47" s="313">
        <v>3.7273368835449219</v>
      </c>
      <c r="BG47" s="246">
        <v>1.1504335403442383</v>
      </c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18</v>
      </c>
      <c r="C48">
        <v>0.17983567714691162</v>
      </c>
      <c r="D48"/>
      <c r="E48"/>
      <c r="F48"/>
      <c r="G48"/>
      <c r="H48"/>
      <c r="I48"/>
      <c r="J48"/>
      <c r="K48"/>
      <c r="L48"/>
      <c r="M48"/>
      <c r="N48" s="11">
        <v>2.7963747925241478E-5</v>
      </c>
      <c r="O48"/>
      <c r="P48"/>
      <c r="Q48" s="11">
        <v>6.5473628637846559E-5</v>
      </c>
      <c r="R48"/>
      <c r="S48" s="11">
        <v>1.0829694656422362E-4</v>
      </c>
      <c r="T48" s="14">
        <v>1.92215945571661E-2</v>
      </c>
      <c r="U48" s="11">
        <v>2.8312924769124947E-5</v>
      </c>
      <c r="V48" s="11">
        <v>1.3961655087769032E-2</v>
      </c>
      <c r="W48"/>
      <c r="X48" s="11">
        <v>6.8703419528901577E-3</v>
      </c>
      <c r="Y48" s="11">
        <v>2.6645823381841183E-3</v>
      </c>
      <c r="Z48"/>
      <c r="AA48"/>
      <c r="AB48" s="14">
        <v>3.2968372106552124E-2</v>
      </c>
      <c r="AC48" s="11">
        <v>4.8880744725465775E-3</v>
      </c>
      <c r="AD48" s="11">
        <v>1.4099570689722896E-3</v>
      </c>
      <c r="AE48"/>
      <c r="AF48" s="11">
        <v>1.4321475755423307E-3</v>
      </c>
      <c r="AG48"/>
      <c r="AH48" s="11">
        <v>1.378717552870512E-2</v>
      </c>
      <c r="AI48" s="14">
        <v>3.1301390379667282E-2</v>
      </c>
      <c r="AJ48"/>
      <c r="AK48" s="11">
        <v>1.2329265882726759E-4</v>
      </c>
      <c r="AL48" s="11">
        <v>1.0715279495343566E-3</v>
      </c>
      <c r="AM48" s="14">
        <v>4.7264412045478821E-2</v>
      </c>
      <c r="AN48" s="14">
        <v>4.0461968630552292E-2</v>
      </c>
      <c r="AO48" s="17">
        <v>0.25815698504447937</v>
      </c>
      <c r="AP48"/>
      <c r="AQ48" s="11">
        <v>1.8500441001378931E-5</v>
      </c>
      <c r="AR48" s="11">
        <v>2.9995515942573547E-3</v>
      </c>
      <c r="AS48" s="23">
        <v>0.1037130132317543</v>
      </c>
      <c r="AT48"/>
      <c r="AU48"/>
      <c r="AV48" s="23">
        <v>9.8256833851337433E-2</v>
      </c>
      <c r="AW48" s="15">
        <v>0.15965673327445984</v>
      </c>
      <c r="AX48"/>
      <c r="AY48"/>
      <c r="AZ48" s="14">
        <v>2.6791641488671303E-2</v>
      </c>
      <c r="BA48" s="14">
        <v>4.6998292207717896E-2</v>
      </c>
      <c r="BB48" s="65">
        <v>0.38795343041419983</v>
      </c>
      <c r="BC48"/>
      <c r="BD48" s="13">
        <v>0.68753695487976074</v>
      </c>
      <c r="BE48" s="314">
        <v>1.994823694229126</v>
      </c>
      <c r="BF48" s="318">
        <v>13.775603294372559</v>
      </c>
      <c r="BG48" s="12">
        <v>6.0000505298376083E-2</v>
      </c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60</v>
      </c>
      <c r="C49">
        <v>59.898929595947266</v>
      </c>
      <c r="D49" s="11">
        <v>1.4440000086324289E-5</v>
      </c>
      <c r="E49" s="11">
        <v>4.01599972974509E-5</v>
      </c>
      <c r="F49"/>
      <c r="G49"/>
      <c r="H49" s="11">
        <v>1.2000000992884452E-7</v>
      </c>
      <c r="I49"/>
      <c r="J49"/>
      <c r="K49"/>
      <c r="L49"/>
      <c r="M49"/>
      <c r="N49"/>
      <c r="O49"/>
      <c r="P49"/>
      <c r="Q49"/>
      <c r="R49"/>
      <c r="S49"/>
      <c r="T49"/>
      <c r="U49" s="11">
        <v>1.120000069931848E-5</v>
      </c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 s="11">
        <v>5.614180862903595E-2</v>
      </c>
      <c r="AT49" s="11">
        <v>4.4863995164632797E-2</v>
      </c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587</v>
      </c>
      <c r="C50">
        <v>481.95651245117188</v>
      </c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 s="14">
        <v>1.0190575122833252</v>
      </c>
      <c r="AT50" s="11">
        <v>0.21459181606769562</v>
      </c>
      <c r="AU50" s="253">
        <v>23.487564086914062</v>
      </c>
      <c r="AV50" s="11">
        <v>2.7542769908905029E-2</v>
      </c>
      <c r="AW50" s="17">
        <v>8.1289567947387695</v>
      </c>
      <c r="AX50"/>
      <c r="AY50"/>
      <c r="AZ50"/>
      <c r="BA50"/>
      <c r="BB50" s="12">
        <v>2.824643611907959</v>
      </c>
      <c r="BC50" s="317">
        <v>69.341117858886719</v>
      </c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152.5</v>
      </c>
      <c r="C51">
        <v>57.519428253173828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1">
        <v>7.8652491793036461E-3</v>
      </c>
      <c r="U51"/>
      <c r="V51" s="11">
        <v>3.8086287677288055E-2</v>
      </c>
      <c r="W51"/>
      <c r="X51" s="11">
        <v>8.7851937860250473E-3</v>
      </c>
      <c r="Y51"/>
      <c r="Z51"/>
      <c r="AA51"/>
      <c r="AB51" s="11">
        <v>6.7451335489749908E-2</v>
      </c>
      <c r="AC51"/>
      <c r="AD51"/>
      <c r="AE51"/>
      <c r="AF51"/>
      <c r="AG51"/>
      <c r="AH51"/>
      <c r="AI51" s="11">
        <v>5.7288885727757588E-5</v>
      </c>
      <c r="AJ51"/>
      <c r="AK51"/>
      <c r="AL51"/>
      <c r="AM51"/>
      <c r="AN51"/>
      <c r="AO51"/>
      <c r="AP51"/>
      <c r="AQ51"/>
      <c r="AR51"/>
      <c r="AS51" s="14">
        <v>0.21219068765640259</v>
      </c>
      <c r="AT51"/>
      <c r="AU51"/>
      <c r="AV51" s="21">
        <v>3.0219695568084717</v>
      </c>
      <c r="AW51" s="65">
        <v>3.2961773872375488</v>
      </c>
      <c r="AX51"/>
      <c r="AY51"/>
      <c r="AZ51" s="11">
        <v>7.7750511467456818E-2</v>
      </c>
      <c r="BA51" s="14">
        <v>0.25641527771949768</v>
      </c>
      <c r="BB51" s="22">
        <v>1.1453531980514526</v>
      </c>
      <c r="BC51"/>
      <c r="BD51" s="17">
        <v>2.1099898815155029</v>
      </c>
      <c r="BE51" s="12">
        <v>0.54417210817337036</v>
      </c>
      <c r="BF51" s="68">
        <v>9.4350147247314453</v>
      </c>
      <c r="BG51" s="319">
        <v>74.759292602539062</v>
      </c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/>
      <c r="C52">
        <v>7.4981123208999634E-2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 s="9">
        <v>1.9562399387359619</v>
      </c>
      <c r="AC52"/>
      <c r="AD52"/>
      <c r="AE52"/>
      <c r="AF52"/>
      <c r="AG52"/>
      <c r="AH52"/>
      <c r="AI52" s="9">
        <v>2.3735802620649338E-2</v>
      </c>
      <c r="AJ52"/>
      <c r="AK52"/>
      <c r="AL52"/>
      <c r="AM52"/>
      <c r="AN52" s="9">
        <v>0.88086211681365967</v>
      </c>
      <c r="AO52"/>
      <c r="AP52"/>
      <c r="AQ52"/>
      <c r="AR52" s="9">
        <v>1.1536000296473503E-2</v>
      </c>
      <c r="AS52" s="9">
        <v>13.063766479492188</v>
      </c>
      <c r="AT52"/>
      <c r="AU52" s="9">
        <v>94.861289978027344</v>
      </c>
      <c r="AV52" s="9">
        <v>7.0157032012939453</v>
      </c>
      <c r="AW52" s="9">
        <v>31.865510940551758</v>
      </c>
      <c r="AX52" s="9">
        <v>0.31716719269752502</v>
      </c>
      <c r="AY52"/>
      <c r="AZ52"/>
      <c r="BA52" s="9">
        <v>16.1126708984375</v>
      </c>
      <c r="BB52" s="9">
        <v>11.072603225708008</v>
      </c>
      <c r="BC52" s="9">
        <v>77.662063598632812</v>
      </c>
      <c r="BD52" s="9">
        <v>27.197525024414062</v>
      </c>
      <c r="BE52" s="9">
        <v>23.673318862915039</v>
      </c>
      <c r="BF52" s="9">
        <v>93.550949096679688</v>
      </c>
      <c r="BG52" s="9">
        <v>172.06845092773438</v>
      </c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243</v>
      </c>
      <c r="B53"/>
      <c r="C53">
        <v>0.11825206130743027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 s="9">
        <v>2.0513350963592529</v>
      </c>
      <c r="AT53"/>
      <c r="AU53" s="9">
        <v>92.071250915527344</v>
      </c>
      <c r="AV53" s="9">
        <v>7.0157032012939453</v>
      </c>
      <c r="AW53" s="9">
        <v>89.280845642089844</v>
      </c>
      <c r="AX53"/>
      <c r="AY53"/>
      <c r="AZ53"/>
      <c r="BA53" s="9">
        <v>9.6056308746337891</v>
      </c>
      <c r="BB53" s="9">
        <v>21.237251281738281</v>
      </c>
      <c r="BC53"/>
      <c r="BD53" s="9">
        <v>27.197525024414062</v>
      </c>
      <c r="BE53" s="9">
        <v>23.673318862915039</v>
      </c>
      <c r="BF53" s="9">
        <v>79.518325805664062</v>
      </c>
      <c r="BG53" s="9">
        <v>278.88555908203125</v>
      </c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244</v>
      </c>
      <c r="B54"/>
      <c r="C54">
        <v>0.62329334020614624</v>
      </c>
      <c r="D54"/>
      <c r="E54"/>
      <c r="F54"/>
      <c r="G54"/>
      <c r="H54"/>
      <c r="I54"/>
      <c r="J54"/>
      <c r="K54"/>
      <c r="L54"/>
      <c r="M54"/>
      <c r="N54"/>
      <c r="O54"/>
      <c r="P54" s="9">
        <v>0.42287614941596985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 s="9">
        <v>2.2672653198242188</v>
      </c>
      <c r="AT54"/>
      <c r="AU54"/>
      <c r="AV54"/>
      <c r="AW54" s="9">
        <v>16.0762939453125</v>
      </c>
      <c r="AX54"/>
      <c r="AY54" s="9">
        <v>0.85138547420501709</v>
      </c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245</v>
      </c>
      <c r="B55"/>
      <c r="C55">
        <v>0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38" workbookViewId="0">
      <selection activeCell="H71" sqref="H71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8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8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95" t="s">
        <v>192</v>
      </c>
      <c r="E5">
        <v>4</v>
      </c>
      <c r="F5">
        <v>3.16</v>
      </c>
      <c r="G5">
        <v>4</v>
      </c>
      <c r="H5" s="196" t="s">
        <v>192</v>
      </c>
      <c r="J5" s="57"/>
      <c r="K5" s="58"/>
    </row>
    <row r="6" spans="1:12" ht="14" thickBot="1" x14ac:dyDescent="0.2">
      <c r="A6" s="41" t="s">
        <v>121</v>
      </c>
      <c r="D6" s="195" t="s">
        <v>193</v>
      </c>
      <c r="E6">
        <v>5</v>
      </c>
      <c r="F6">
        <v>3.16</v>
      </c>
      <c r="G6">
        <v>5</v>
      </c>
      <c r="H6" s="196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95" t="s">
        <v>194</v>
      </c>
      <c r="E7">
        <v>6</v>
      </c>
      <c r="F7">
        <v>3.16</v>
      </c>
      <c r="G7">
        <v>6</v>
      </c>
      <c r="H7" s="196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95" t="s">
        <v>195</v>
      </c>
      <c r="E8">
        <v>7</v>
      </c>
      <c r="F8">
        <v>3.16</v>
      </c>
      <c r="G8">
        <v>7</v>
      </c>
      <c r="H8" s="196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95" t="s">
        <v>196</v>
      </c>
      <c r="E9">
        <v>8</v>
      </c>
      <c r="F9">
        <v>3.14</v>
      </c>
      <c r="G9">
        <v>8</v>
      </c>
      <c r="H9" s="196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95" t="s">
        <v>197</v>
      </c>
      <c r="E10">
        <v>9</v>
      </c>
      <c r="F10">
        <v>3.14</v>
      </c>
      <c r="G10">
        <v>9</v>
      </c>
      <c r="H10" s="196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95" t="s">
        <v>198</v>
      </c>
      <c r="E11">
        <v>10</v>
      </c>
      <c r="F11">
        <v>3.24</v>
      </c>
      <c r="G11">
        <v>10</v>
      </c>
      <c r="H11" s="196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95" t="s">
        <v>199</v>
      </c>
      <c r="E12">
        <v>11</v>
      </c>
      <c r="F12">
        <v>3.24</v>
      </c>
      <c r="G12">
        <v>11</v>
      </c>
      <c r="H12" s="196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95" t="s">
        <v>200</v>
      </c>
      <c r="E13">
        <v>12</v>
      </c>
      <c r="F13">
        <v>3.24</v>
      </c>
      <c r="G13">
        <v>12</v>
      </c>
      <c r="H13" s="196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95" t="s">
        <v>201</v>
      </c>
      <c r="E14">
        <v>13</v>
      </c>
      <c r="F14">
        <v>3.24</v>
      </c>
      <c r="G14">
        <v>13</v>
      </c>
      <c r="H14" s="196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95" t="s">
        <v>202</v>
      </c>
      <c r="E15">
        <v>14</v>
      </c>
      <c r="F15">
        <v>3.24</v>
      </c>
      <c r="G15">
        <v>14</v>
      </c>
      <c r="H15" s="196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95" t="s">
        <v>203</v>
      </c>
      <c r="E16">
        <v>15</v>
      </c>
      <c r="F16">
        <v>3.24</v>
      </c>
      <c r="G16">
        <v>15</v>
      </c>
      <c r="H16" s="196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95" t="s">
        <v>204</v>
      </c>
      <c r="E17">
        <v>16</v>
      </c>
      <c r="F17">
        <v>3.14</v>
      </c>
      <c r="G17">
        <v>16</v>
      </c>
      <c r="H17" s="196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95" t="s">
        <v>205</v>
      </c>
      <c r="E18">
        <v>17</v>
      </c>
      <c r="F18">
        <v>3.24</v>
      </c>
      <c r="G18">
        <v>17</v>
      </c>
      <c r="H18" s="196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95" t="s">
        <v>206</v>
      </c>
      <c r="E19">
        <v>18</v>
      </c>
      <c r="F19">
        <v>3.24</v>
      </c>
      <c r="G19">
        <v>18</v>
      </c>
      <c r="H19" s="196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95" t="s">
        <v>207</v>
      </c>
      <c r="E20">
        <v>19</v>
      </c>
      <c r="F20">
        <v>3.14</v>
      </c>
      <c r="G20">
        <v>19</v>
      </c>
      <c r="H20" s="196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95" t="s">
        <v>208</v>
      </c>
      <c r="E21">
        <v>20</v>
      </c>
      <c r="F21">
        <v>3.24</v>
      </c>
      <c r="G21">
        <v>20</v>
      </c>
      <c r="H21" s="196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95" t="s">
        <v>209</v>
      </c>
      <c r="E22">
        <v>21</v>
      </c>
      <c r="F22">
        <v>3.24</v>
      </c>
      <c r="G22">
        <v>21</v>
      </c>
      <c r="H22" s="196" t="s">
        <v>209</v>
      </c>
    </row>
    <row r="23" spans="1:12" x14ac:dyDescent="0.15">
      <c r="A23" s="36" t="s">
        <v>129</v>
      </c>
      <c r="B23" s="44">
        <v>4</v>
      </c>
      <c r="C23" s="38"/>
      <c r="D23" s="195" t="s">
        <v>210</v>
      </c>
      <c r="E23">
        <v>22</v>
      </c>
      <c r="F23">
        <v>3.24</v>
      </c>
      <c r="G23">
        <v>22</v>
      </c>
      <c r="H23" s="196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195" t="s">
        <v>211</v>
      </c>
      <c r="E24">
        <v>23</v>
      </c>
      <c r="F24">
        <v>3.24</v>
      </c>
      <c r="G24">
        <v>23</v>
      </c>
      <c r="H24" s="196" t="s">
        <v>211</v>
      </c>
    </row>
    <row r="25" spans="1:12" x14ac:dyDescent="0.15">
      <c r="A25" s="36" t="s">
        <v>70</v>
      </c>
      <c r="B25" s="44">
        <v>4.2</v>
      </c>
      <c r="C25" s="38"/>
      <c r="D25" s="195" t="s">
        <v>212</v>
      </c>
      <c r="E25">
        <v>24</v>
      </c>
      <c r="F25">
        <v>3.24</v>
      </c>
      <c r="G25">
        <v>24</v>
      </c>
      <c r="H25" s="196" t="s">
        <v>212</v>
      </c>
    </row>
    <row r="26" spans="1:12" x14ac:dyDescent="0.15">
      <c r="A26" s="36" t="s">
        <v>123</v>
      </c>
      <c r="B26" s="44">
        <v>4.3</v>
      </c>
      <c r="C26" s="38"/>
      <c r="D26" s="195" t="s">
        <v>213</v>
      </c>
      <c r="E26">
        <v>25</v>
      </c>
      <c r="F26">
        <v>3.24</v>
      </c>
      <c r="G26">
        <v>25</v>
      </c>
      <c r="H26" s="196" t="s">
        <v>213</v>
      </c>
    </row>
    <row r="27" spans="1:12" x14ac:dyDescent="0.15">
      <c r="A27" s="36" t="s">
        <v>125</v>
      </c>
      <c r="B27" s="44">
        <v>6.1</v>
      </c>
      <c r="D27" s="195" t="s">
        <v>214</v>
      </c>
      <c r="E27">
        <v>26</v>
      </c>
      <c r="F27">
        <v>3.14</v>
      </c>
      <c r="G27">
        <v>26</v>
      </c>
      <c r="H27" s="196" t="s">
        <v>214</v>
      </c>
    </row>
    <row r="28" spans="1:12" x14ac:dyDescent="0.15">
      <c r="A28" s="36" t="s">
        <v>124</v>
      </c>
      <c r="B28" s="44">
        <v>6.2</v>
      </c>
      <c r="D28" s="195" t="s">
        <v>215</v>
      </c>
      <c r="E28">
        <v>27</v>
      </c>
      <c r="F28">
        <v>3.24</v>
      </c>
      <c r="G28">
        <v>27</v>
      </c>
      <c r="H28" s="196" t="s">
        <v>215</v>
      </c>
    </row>
    <row r="29" spans="1:12" x14ac:dyDescent="0.15">
      <c r="A29" s="36" t="s">
        <v>44</v>
      </c>
      <c r="B29" s="44">
        <v>5</v>
      </c>
      <c r="D29" s="195" t="s">
        <v>216</v>
      </c>
      <c r="E29">
        <v>28</v>
      </c>
      <c r="F29">
        <v>3.24</v>
      </c>
      <c r="G29">
        <v>28</v>
      </c>
      <c r="H29" s="196" t="s">
        <v>216</v>
      </c>
    </row>
    <row r="30" spans="1:12" x14ac:dyDescent="0.15">
      <c r="A30" s="36" t="s">
        <v>73</v>
      </c>
      <c r="B30" s="44">
        <v>7</v>
      </c>
      <c r="D30" s="195" t="s">
        <v>217</v>
      </c>
      <c r="E30">
        <v>29</v>
      </c>
      <c r="F30">
        <v>3.24</v>
      </c>
      <c r="G30">
        <v>29</v>
      </c>
      <c r="H30" s="196" t="s">
        <v>217</v>
      </c>
    </row>
    <row r="31" spans="1:12" x14ac:dyDescent="0.15">
      <c r="A31" s="36" t="s">
        <v>169</v>
      </c>
      <c r="B31" s="44">
        <v>3.14</v>
      </c>
      <c r="D31" s="195" t="s">
        <v>218</v>
      </c>
      <c r="E31">
        <v>30</v>
      </c>
      <c r="F31">
        <v>3.24</v>
      </c>
      <c r="G31">
        <v>30</v>
      </c>
      <c r="H31" s="196" t="s">
        <v>218</v>
      </c>
    </row>
    <row r="32" spans="1:12" ht="12" customHeight="1" thickBot="1" x14ac:dyDescent="0.2">
      <c r="A32" s="42" t="s">
        <v>170</v>
      </c>
      <c r="B32" s="45">
        <v>9</v>
      </c>
      <c r="D32" s="195" t="s">
        <v>219</v>
      </c>
      <c r="E32">
        <v>31</v>
      </c>
      <c r="F32">
        <v>3.24</v>
      </c>
      <c r="G32">
        <v>31</v>
      </c>
      <c r="H32" s="196" t="s">
        <v>219</v>
      </c>
    </row>
    <row r="33" spans="4:8" customFormat="1" ht="12" customHeight="1" x14ac:dyDescent="0.15">
      <c r="D33" s="195" t="s">
        <v>220</v>
      </c>
      <c r="E33">
        <v>32</v>
      </c>
      <c r="F33">
        <v>3.14</v>
      </c>
      <c r="G33">
        <v>32</v>
      </c>
      <c r="H33" s="196" t="s">
        <v>220</v>
      </c>
    </row>
    <row r="34" spans="4:8" customFormat="1" ht="12" customHeight="1" x14ac:dyDescent="0.15">
      <c r="D34" s="195" t="s">
        <v>221</v>
      </c>
      <c r="E34">
        <v>33</v>
      </c>
      <c r="F34">
        <v>3.14</v>
      </c>
      <c r="G34">
        <v>33</v>
      </c>
      <c r="H34" s="196" t="s">
        <v>221</v>
      </c>
    </row>
    <row r="35" spans="4:8" customFormat="1" x14ac:dyDescent="0.15">
      <c r="D35" s="195" t="s">
        <v>222</v>
      </c>
      <c r="E35">
        <v>34</v>
      </c>
      <c r="F35">
        <v>3.14</v>
      </c>
      <c r="G35">
        <v>34</v>
      </c>
      <c r="H35" s="196" t="s">
        <v>222</v>
      </c>
    </row>
    <row r="36" spans="4:8" customFormat="1" x14ac:dyDescent="0.15">
      <c r="D36" s="195" t="s">
        <v>223</v>
      </c>
      <c r="E36">
        <v>35</v>
      </c>
      <c r="F36">
        <v>3.24</v>
      </c>
      <c r="G36">
        <v>35</v>
      </c>
      <c r="H36" s="196" t="s">
        <v>223</v>
      </c>
    </row>
    <row r="37" spans="4:8" customFormat="1" ht="12" customHeight="1" x14ac:dyDescent="0.15">
      <c r="D37" s="195" t="s">
        <v>224</v>
      </c>
      <c r="E37">
        <v>36</v>
      </c>
      <c r="F37">
        <v>3.21</v>
      </c>
      <c r="G37">
        <v>36</v>
      </c>
      <c r="H37" s="196" t="s">
        <v>224</v>
      </c>
    </row>
    <row r="38" spans="4:8" customFormat="1" x14ac:dyDescent="0.15">
      <c r="D38" s="195" t="s">
        <v>225</v>
      </c>
      <c r="E38">
        <v>37</v>
      </c>
      <c r="F38">
        <v>3.21</v>
      </c>
      <c r="G38">
        <v>37</v>
      </c>
      <c r="H38" s="196" t="s">
        <v>225</v>
      </c>
    </row>
    <row r="39" spans="4:8" customFormat="1" x14ac:dyDescent="0.15">
      <c r="D39" s="195" t="s">
        <v>226</v>
      </c>
      <c r="E39">
        <v>38</v>
      </c>
      <c r="F39">
        <v>3.21</v>
      </c>
      <c r="G39">
        <v>38</v>
      </c>
      <c r="H39" s="196" t="s">
        <v>226</v>
      </c>
    </row>
    <row r="40" spans="4:8" customFormat="1" x14ac:dyDescent="0.15">
      <c r="D40" s="195" t="s">
        <v>227</v>
      </c>
      <c r="E40">
        <v>39</v>
      </c>
      <c r="F40">
        <v>3.21</v>
      </c>
      <c r="G40">
        <v>39</v>
      </c>
      <c r="H40" s="196" t="s">
        <v>227</v>
      </c>
    </row>
    <row r="41" spans="4:8" customFormat="1" x14ac:dyDescent="0.15">
      <c r="D41" s="195" t="s">
        <v>228</v>
      </c>
      <c r="E41">
        <v>40</v>
      </c>
      <c r="F41">
        <v>3.21</v>
      </c>
      <c r="G41">
        <v>40</v>
      </c>
      <c r="H41" s="196" t="s">
        <v>228</v>
      </c>
    </row>
    <row r="42" spans="4:8" customFormat="1" x14ac:dyDescent="0.15">
      <c r="D42" s="195" t="s">
        <v>229</v>
      </c>
      <c r="E42">
        <v>41</v>
      </c>
      <c r="F42">
        <v>3.21</v>
      </c>
      <c r="G42">
        <v>41</v>
      </c>
      <c r="H42" s="196" t="s">
        <v>229</v>
      </c>
    </row>
    <row r="43" spans="4:8" customFormat="1" x14ac:dyDescent="0.15">
      <c r="D43" s="195" t="s">
        <v>230</v>
      </c>
      <c r="E43">
        <v>42</v>
      </c>
      <c r="F43">
        <v>3.21</v>
      </c>
      <c r="G43">
        <v>42</v>
      </c>
      <c r="H43" s="196" t="s">
        <v>230</v>
      </c>
    </row>
    <row r="44" spans="4:8" customFormat="1" x14ac:dyDescent="0.15">
      <c r="D44" s="195" t="s">
        <v>231</v>
      </c>
      <c r="E44">
        <v>43</v>
      </c>
      <c r="F44">
        <v>3.13</v>
      </c>
      <c r="G44">
        <v>43</v>
      </c>
      <c r="H44" s="196" t="s">
        <v>231</v>
      </c>
    </row>
    <row r="45" spans="4:8" customFormat="1" x14ac:dyDescent="0.15">
      <c r="D45" s="195" t="s">
        <v>232</v>
      </c>
      <c r="E45">
        <v>44</v>
      </c>
      <c r="F45">
        <v>3.02</v>
      </c>
      <c r="G45">
        <v>44</v>
      </c>
      <c r="H45" s="196" t="s">
        <v>232</v>
      </c>
    </row>
    <row r="46" spans="4:8" customFormat="1" x14ac:dyDescent="0.15">
      <c r="D46" s="195" t="s">
        <v>233</v>
      </c>
      <c r="E46">
        <v>45</v>
      </c>
      <c r="F46">
        <v>3.21</v>
      </c>
      <c r="G46">
        <v>45</v>
      </c>
      <c r="H46" s="196" t="s">
        <v>233</v>
      </c>
    </row>
    <row r="47" spans="4:8" customFormat="1" x14ac:dyDescent="0.15">
      <c r="D47" s="195" t="s">
        <v>234</v>
      </c>
      <c r="E47">
        <v>46</v>
      </c>
      <c r="F47">
        <v>3.21</v>
      </c>
      <c r="G47">
        <v>46</v>
      </c>
      <c r="H47" s="196" t="s">
        <v>234</v>
      </c>
    </row>
    <row r="48" spans="4:8" customFormat="1" x14ac:dyDescent="0.15">
      <c r="D48" s="195" t="s">
        <v>235</v>
      </c>
      <c r="E48">
        <v>47</v>
      </c>
      <c r="F48">
        <v>3.11</v>
      </c>
      <c r="G48">
        <v>47</v>
      </c>
      <c r="H48" s="196" t="s">
        <v>235</v>
      </c>
    </row>
    <row r="49" spans="4:8" customFormat="1" x14ac:dyDescent="0.15">
      <c r="D49" s="195" t="s">
        <v>236</v>
      </c>
      <c r="E49">
        <v>48</v>
      </c>
      <c r="F49">
        <v>3.11</v>
      </c>
      <c r="G49">
        <v>48</v>
      </c>
      <c r="H49" s="196" t="s">
        <v>236</v>
      </c>
    </row>
    <row r="50" spans="4:8" customFormat="1" ht="12" customHeight="1" x14ac:dyDescent="0.15">
      <c r="D50" s="195" t="s">
        <v>237</v>
      </c>
      <c r="E50">
        <v>49</v>
      </c>
      <c r="F50">
        <v>3.11</v>
      </c>
      <c r="G50">
        <v>49</v>
      </c>
      <c r="H50" s="196" t="s">
        <v>237</v>
      </c>
    </row>
    <row r="51" spans="4:8" customFormat="1" x14ac:dyDescent="0.15">
      <c r="D51" s="195" t="s">
        <v>238</v>
      </c>
      <c r="E51">
        <v>50</v>
      </c>
      <c r="F51">
        <v>3.11</v>
      </c>
      <c r="G51">
        <v>50</v>
      </c>
      <c r="H51" s="196" t="s">
        <v>238</v>
      </c>
    </row>
    <row r="52" spans="4:8" customFormat="1" ht="12" customHeight="1" x14ac:dyDescent="0.15">
      <c r="D52" s="195" t="s">
        <v>239</v>
      </c>
      <c r="E52">
        <v>51</v>
      </c>
      <c r="F52">
        <v>2.2200000000000002</v>
      </c>
      <c r="G52">
        <v>51</v>
      </c>
      <c r="H52" s="196" t="s">
        <v>239</v>
      </c>
    </row>
    <row r="53" spans="4:8" customFormat="1" x14ac:dyDescent="0.15">
      <c r="D53" s="195" t="s">
        <v>240</v>
      </c>
      <c r="E53">
        <v>52</v>
      </c>
      <c r="F53">
        <v>2</v>
      </c>
      <c r="G53">
        <v>52</v>
      </c>
      <c r="H53" s="196" t="s">
        <v>240</v>
      </c>
    </row>
    <row r="54" spans="4:8" customFormat="1" ht="12" customHeight="1" x14ac:dyDescent="0.15">
      <c r="D54" s="195" t="s">
        <v>241</v>
      </c>
      <c r="E54">
        <v>53</v>
      </c>
      <c r="F54">
        <v>2.1</v>
      </c>
      <c r="G54">
        <v>53</v>
      </c>
      <c r="H54" s="196" t="s">
        <v>241</v>
      </c>
    </row>
    <row r="55" spans="4:8" customFormat="1" ht="12" customHeight="1" x14ac:dyDescent="0.15">
      <c r="D55" s="195" t="s">
        <v>242</v>
      </c>
      <c r="E55">
        <v>54</v>
      </c>
      <c r="F55">
        <v>4.0999999999999996</v>
      </c>
      <c r="G55">
        <v>54</v>
      </c>
      <c r="H55" s="196" t="s">
        <v>242</v>
      </c>
    </row>
    <row r="56" spans="4:8" customFormat="1" x14ac:dyDescent="0.15">
      <c r="D56" s="195" t="s">
        <v>243</v>
      </c>
      <c r="E56">
        <v>55</v>
      </c>
      <c r="F56">
        <v>4</v>
      </c>
      <c r="G56">
        <v>55</v>
      </c>
      <c r="H56" s="196" t="s">
        <v>243</v>
      </c>
    </row>
    <row r="57" spans="4:8" customFormat="1" x14ac:dyDescent="0.15">
      <c r="D57" s="195" t="s">
        <v>244</v>
      </c>
      <c r="E57">
        <v>56</v>
      </c>
      <c r="F57">
        <v>4.2</v>
      </c>
      <c r="G57">
        <v>56</v>
      </c>
      <c r="H57" s="196" t="s">
        <v>244</v>
      </c>
    </row>
    <row r="58" spans="4:8" customFormat="1" x14ac:dyDescent="0.15">
      <c r="D58" s="195" t="s">
        <v>245</v>
      </c>
      <c r="E58">
        <v>57</v>
      </c>
      <c r="F58">
        <v>4.3</v>
      </c>
      <c r="G58">
        <v>57</v>
      </c>
      <c r="H58" s="196" t="s">
        <v>245</v>
      </c>
    </row>
    <row r="59" spans="4:8" customFormat="1" x14ac:dyDescent="0.15">
      <c r="D59" s="195" t="s">
        <v>246</v>
      </c>
      <c r="E59">
        <v>58</v>
      </c>
      <c r="F59">
        <v>5</v>
      </c>
      <c r="G59">
        <v>58</v>
      </c>
      <c r="H59" s="196" t="s">
        <v>246</v>
      </c>
    </row>
    <row r="60" spans="4:8" customFormat="1" x14ac:dyDescent="0.15">
      <c r="D60" s="195" t="s">
        <v>247</v>
      </c>
      <c r="E60">
        <v>59</v>
      </c>
      <c r="F60">
        <v>5</v>
      </c>
      <c r="G60">
        <v>59</v>
      </c>
      <c r="H60" s="196" t="s">
        <v>247</v>
      </c>
    </row>
    <row r="61" spans="4:8" customFormat="1" x14ac:dyDescent="0.15">
      <c r="D61" s="195" t="s">
        <v>248</v>
      </c>
      <c r="E61">
        <v>60</v>
      </c>
      <c r="F61">
        <v>5</v>
      </c>
      <c r="G61">
        <v>60</v>
      </c>
      <c r="H61" s="196" t="s">
        <v>248</v>
      </c>
    </row>
    <row r="62" spans="4:8" customFormat="1" x14ac:dyDescent="0.15">
      <c r="D62" s="195" t="s">
        <v>249</v>
      </c>
      <c r="E62">
        <v>61</v>
      </c>
      <c r="F62">
        <v>5</v>
      </c>
      <c r="G62">
        <v>61</v>
      </c>
      <c r="H62" s="196" t="s">
        <v>249</v>
      </c>
    </row>
    <row r="63" spans="4:8" customFormat="1" x14ac:dyDescent="0.15">
      <c r="D63" s="195" t="s">
        <v>250</v>
      </c>
      <c r="E63">
        <v>62</v>
      </c>
      <c r="F63">
        <v>5</v>
      </c>
      <c r="G63">
        <v>62</v>
      </c>
      <c r="H63" s="196" t="s">
        <v>250</v>
      </c>
    </row>
    <row r="64" spans="4:8" customFormat="1" x14ac:dyDescent="0.15">
      <c r="D64" s="195" t="s">
        <v>251</v>
      </c>
      <c r="E64">
        <v>63</v>
      </c>
      <c r="F64">
        <v>5</v>
      </c>
      <c r="G64">
        <v>63</v>
      </c>
      <c r="H64" s="196" t="s">
        <v>251</v>
      </c>
    </row>
    <row r="65" spans="4:8" customFormat="1" x14ac:dyDescent="0.15">
      <c r="D65" s="195" t="s">
        <v>252</v>
      </c>
      <c r="E65">
        <v>64</v>
      </c>
      <c r="F65">
        <v>5</v>
      </c>
      <c r="G65">
        <v>64</v>
      </c>
      <c r="H65" s="196" t="s">
        <v>252</v>
      </c>
    </row>
    <row r="66" spans="4:8" customFormat="1" x14ac:dyDescent="0.15">
      <c r="D66" s="195" t="s">
        <v>253</v>
      </c>
      <c r="E66">
        <v>65</v>
      </c>
      <c r="F66">
        <v>5</v>
      </c>
      <c r="G66">
        <v>65</v>
      </c>
      <c r="H66" s="196" t="s">
        <v>253</v>
      </c>
    </row>
    <row r="67" spans="4:8" customFormat="1" x14ac:dyDescent="0.15">
      <c r="D67" s="195" t="s">
        <v>254</v>
      </c>
      <c r="E67">
        <v>66</v>
      </c>
      <c r="F67">
        <v>5</v>
      </c>
      <c r="G67">
        <v>66</v>
      </c>
      <c r="H67" s="196" t="s">
        <v>254</v>
      </c>
    </row>
    <row r="68" spans="4:8" customFormat="1" x14ac:dyDescent="0.15">
      <c r="D68" s="195" t="s">
        <v>138</v>
      </c>
      <c r="E68">
        <v>67</v>
      </c>
      <c r="F68">
        <v>6.1</v>
      </c>
      <c r="G68">
        <v>67</v>
      </c>
      <c r="H68" s="196" t="s">
        <v>138</v>
      </c>
    </row>
    <row r="69" spans="4:8" customFormat="1" x14ac:dyDescent="0.15">
      <c r="D69" s="195" t="s">
        <v>45</v>
      </c>
      <c r="E69">
        <v>68</v>
      </c>
      <c r="F69">
        <v>6.2</v>
      </c>
      <c r="G69">
        <v>68</v>
      </c>
      <c r="H69" s="196" t="s">
        <v>45</v>
      </c>
    </row>
    <row r="70" spans="4:8" customFormat="1" x14ac:dyDescent="0.15"/>
    <row r="71" spans="4:8" customFormat="1" x14ac:dyDescent="0.15"/>
    <row r="72" spans="4:8" customFormat="1" x14ac:dyDescent="0.15"/>
    <row r="73" spans="4:8" customFormat="1" x14ac:dyDescent="0.15"/>
    <row r="74" spans="4:8" customFormat="1" x14ac:dyDescent="0.15"/>
    <row r="75" spans="4:8" customFormat="1" x14ac:dyDescent="0.15"/>
    <row r="76" spans="4:8" customFormat="1" x14ac:dyDescent="0.15"/>
    <row r="77" spans="4:8" customFormat="1" x14ac:dyDescent="0.15"/>
    <row r="78" spans="4:8" customFormat="1" x14ac:dyDescent="0.15"/>
    <row r="79" spans="4:8" customFormat="1" x14ac:dyDescent="0.15"/>
    <row r="80" spans="4:8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16" activePane="bottomLeft" state="frozen"/>
      <selection pane="bottomLeft" activeCell="F6" sqref="F6"/>
    </sheetView>
  </sheetViews>
  <sheetFormatPr baseColWidth="10" defaultColWidth="11.5" defaultRowHeight="15" customHeight="1" x14ac:dyDescent="0.15"/>
  <cols>
    <col min="1" max="1" width="9.33203125" style="85" bestFit="1" customWidth="1"/>
    <col min="2" max="2" width="12.83203125" style="84" customWidth="1"/>
    <col min="3" max="3" width="9.33203125" style="84" customWidth="1"/>
    <col min="4" max="4" width="7.83203125" style="84" customWidth="1"/>
    <col min="5" max="5" width="12.83203125" style="84" customWidth="1"/>
    <col min="6" max="6" width="28.5" style="84" bestFit="1" customWidth="1"/>
    <col min="7" max="9" width="2.33203125" style="84" customWidth="1"/>
    <col min="10" max="10" width="2.33203125" style="84" bestFit="1" customWidth="1"/>
    <col min="11" max="15" width="3.83203125" style="84" customWidth="1"/>
    <col min="16" max="16" width="3.83203125" style="73" customWidth="1"/>
    <col min="17" max="17" width="2.33203125" style="84" customWidth="1"/>
    <col min="18" max="18" width="2.33203125" style="74" customWidth="1"/>
    <col min="19" max="16384" width="11.5" style="84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6" t="s">
        <v>48</v>
      </c>
      <c r="L1" s="74"/>
      <c r="M1" s="86" t="s">
        <v>119</v>
      </c>
      <c r="N1" s="74"/>
      <c r="O1" s="86" t="s">
        <v>49</v>
      </c>
      <c r="P1" s="77"/>
      <c r="Q1" s="86" t="s">
        <v>50</v>
      </c>
      <c r="R1" s="71" t="s">
        <v>154</v>
      </c>
    </row>
    <row r="2" spans="1:23" ht="15" customHeight="1" x14ac:dyDescent="0.15">
      <c r="A2" s="86" t="s">
        <v>51</v>
      </c>
      <c r="B2" s="87">
        <v>0.5</v>
      </c>
      <c r="C2" s="85" t="s">
        <v>52</v>
      </c>
      <c r="D2" s="88"/>
      <c r="F2" s="1"/>
      <c r="G2" s="89"/>
      <c r="H2" s="89"/>
      <c r="I2" s="89" t="s">
        <v>133</v>
      </c>
      <c r="J2" s="89" t="s">
        <v>133</v>
      </c>
      <c r="K2" s="89" t="s">
        <v>52</v>
      </c>
      <c r="L2" s="89" t="s">
        <v>53</v>
      </c>
      <c r="M2" s="89" t="s">
        <v>52</v>
      </c>
      <c r="N2" s="89" t="s">
        <v>53</v>
      </c>
      <c r="O2" s="89" t="s">
        <v>52</v>
      </c>
      <c r="P2" s="90" t="s">
        <v>53</v>
      </c>
      <c r="Q2" s="89"/>
      <c r="R2" s="91" t="s">
        <v>155</v>
      </c>
    </row>
    <row r="3" spans="1:23" ht="15" customHeight="1" thickBot="1" x14ac:dyDescent="0.2">
      <c r="A3" s="86" t="s">
        <v>54</v>
      </c>
      <c r="B3" s="92">
        <v>0.5</v>
      </c>
      <c r="C3" s="85" t="s">
        <v>53</v>
      </c>
      <c r="D3" s="88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9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9">
        <v>0</v>
      </c>
      <c r="R4" s="113">
        <v>0</v>
      </c>
    </row>
    <row r="5" spans="1:23" ht="15" customHeight="1" x14ac:dyDescent="0.15">
      <c r="A5" s="86" t="s">
        <v>55</v>
      </c>
      <c r="B5" s="93">
        <v>0.5</v>
      </c>
      <c r="C5" s="85" t="s">
        <v>52</v>
      </c>
      <c r="D5" s="88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9">
        <v>0</v>
      </c>
      <c r="R5" s="113">
        <v>0</v>
      </c>
    </row>
    <row r="6" spans="1:23" ht="15" customHeight="1" thickBot="1" x14ac:dyDescent="0.2">
      <c r="A6" s="86"/>
      <c r="B6" s="94">
        <v>0.5</v>
      </c>
      <c r="C6" s="85" t="s">
        <v>53</v>
      </c>
      <c r="D6" s="88"/>
      <c r="F6" s="197" t="s">
        <v>192</v>
      </c>
      <c r="G6" s="84">
        <v>0</v>
      </c>
      <c r="H6" s="84">
        <v>0</v>
      </c>
      <c r="I6" s="84">
        <v>0</v>
      </c>
      <c r="J6" s="84">
        <v>0</v>
      </c>
      <c r="K6" s="84">
        <v>0.5</v>
      </c>
      <c r="L6" s="84">
        <v>0.5</v>
      </c>
      <c r="M6" s="84">
        <v>0.5</v>
      </c>
      <c r="N6" s="84">
        <v>0.5</v>
      </c>
      <c r="O6" s="84">
        <v>0.5</v>
      </c>
      <c r="P6" s="73">
        <v>0.5</v>
      </c>
      <c r="Q6" s="84">
        <v>0</v>
      </c>
      <c r="R6" s="74">
        <v>1</v>
      </c>
      <c r="S6"/>
      <c r="T6"/>
    </row>
    <row r="7" spans="1:23" ht="15" customHeight="1" thickBot="1" x14ac:dyDescent="0.2">
      <c r="F7" s="197" t="s">
        <v>193</v>
      </c>
      <c r="G7" s="84">
        <v>0</v>
      </c>
      <c r="H7" s="84">
        <v>0</v>
      </c>
      <c r="I7" s="84">
        <v>0</v>
      </c>
      <c r="J7" s="84">
        <v>0</v>
      </c>
      <c r="K7" s="84">
        <v>0.5</v>
      </c>
      <c r="L7" s="84">
        <v>0.5</v>
      </c>
      <c r="M7" s="84">
        <v>0.5</v>
      </c>
      <c r="N7" s="84">
        <v>0.5</v>
      </c>
      <c r="O7" s="84">
        <v>0.5</v>
      </c>
      <c r="P7" s="73">
        <v>0.5</v>
      </c>
      <c r="Q7" s="84">
        <v>0</v>
      </c>
      <c r="R7" s="74">
        <v>1</v>
      </c>
      <c r="S7"/>
      <c r="T7"/>
    </row>
    <row r="8" spans="1:23" ht="15" customHeight="1" x14ac:dyDescent="0.15">
      <c r="A8" s="86" t="s">
        <v>56</v>
      </c>
      <c r="B8" s="93">
        <v>0.54378557623102897</v>
      </c>
      <c r="C8" s="198" t="s">
        <v>239</v>
      </c>
      <c r="D8" s="88" t="s">
        <v>160</v>
      </c>
      <c r="F8" s="197" t="s">
        <v>194</v>
      </c>
      <c r="G8" s="84">
        <v>0</v>
      </c>
      <c r="H8" s="84">
        <v>0</v>
      </c>
      <c r="I8" s="84">
        <v>0</v>
      </c>
      <c r="J8" s="84">
        <v>0</v>
      </c>
      <c r="K8" s="84">
        <v>0.5</v>
      </c>
      <c r="L8" s="84">
        <v>0.5</v>
      </c>
      <c r="M8" s="84">
        <v>0.5</v>
      </c>
      <c r="N8" s="84">
        <v>0.5</v>
      </c>
      <c r="O8" s="84">
        <v>0.5</v>
      </c>
      <c r="P8" s="73">
        <v>0.5</v>
      </c>
      <c r="Q8" s="84">
        <v>0</v>
      </c>
      <c r="R8" s="74">
        <v>1</v>
      </c>
      <c r="S8"/>
      <c r="T8"/>
      <c r="W8"/>
    </row>
    <row r="9" spans="1:23" ht="15" customHeight="1" x14ac:dyDescent="0.15">
      <c r="A9" s="127" t="s">
        <v>168</v>
      </c>
      <c r="B9" s="95">
        <v>0.278060524962366</v>
      </c>
      <c r="C9" s="198" t="s">
        <v>240</v>
      </c>
      <c r="D9" s="88" t="s">
        <v>160</v>
      </c>
      <c r="F9" s="197" t="s">
        <v>195</v>
      </c>
      <c r="G9" s="84">
        <v>0</v>
      </c>
      <c r="H9" s="84">
        <v>0</v>
      </c>
      <c r="I9" s="84">
        <v>0</v>
      </c>
      <c r="J9" s="84">
        <v>0</v>
      </c>
      <c r="K9" s="84">
        <v>0.5</v>
      </c>
      <c r="L9" s="84">
        <v>0.5</v>
      </c>
      <c r="M9" s="84">
        <v>0.5</v>
      </c>
      <c r="N9" s="84">
        <v>0.5</v>
      </c>
      <c r="O9" s="84">
        <v>0.5</v>
      </c>
      <c r="P9" s="73">
        <v>0.5</v>
      </c>
      <c r="Q9" s="84">
        <v>0</v>
      </c>
      <c r="R9" s="74">
        <v>1</v>
      </c>
      <c r="S9"/>
      <c r="T9"/>
      <c r="W9"/>
    </row>
    <row r="10" spans="1:23" ht="15" customHeight="1" x14ac:dyDescent="0.15">
      <c r="B10" s="95">
        <v>0.17815389880660498</v>
      </c>
      <c r="C10" s="198" t="s">
        <v>241</v>
      </c>
      <c r="D10" s="88" t="s">
        <v>160</v>
      </c>
      <c r="F10" s="197" t="s">
        <v>196</v>
      </c>
      <c r="G10" s="84">
        <v>0</v>
      </c>
      <c r="H10" s="84">
        <v>0</v>
      </c>
      <c r="I10" s="84">
        <v>0</v>
      </c>
      <c r="J10" s="84">
        <v>0</v>
      </c>
      <c r="K10" s="84">
        <v>0.5</v>
      </c>
      <c r="L10" s="84">
        <v>0.5</v>
      </c>
      <c r="M10" s="84">
        <v>0.5</v>
      </c>
      <c r="N10" s="84">
        <v>0.5</v>
      </c>
      <c r="O10" s="84">
        <v>0.5</v>
      </c>
      <c r="P10" s="73">
        <v>0.5</v>
      </c>
      <c r="Q10" s="84">
        <v>0</v>
      </c>
      <c r="R10" s="74">
        <v>1</v>
      </c>
      <c r="S10"/>
      <c r="T10"/>
      <c r="W10"/>
    </row>
    <row r="11" spans="1:23" ht="15" customHeight="1" x14ac:dyDescent="0.15">
      <c r="A11" s="86"/>
      <c r="B11" s="95"/>
      <c r="C11" s="98"/>
      <c r="D11" s="88" t="s">
        <v>160</v>
      </c>
      <c r="F11" s="197" t="s">
        <v>197</v>
      </c>
      <c r="G11" s="84">
        <v>0</v>
      </c>
      <c r="H11" s="84">
        <v>0</v>
      </c>
      <c r="I11" s="84">
        <v>0</v>
      </c>
      <c r="J11" s="84">
        <v>0</v>
      </c>
      <c r="K11" s="84">
        <v>0.5</v>
      </c>
      <c r="L11" s="84">
        <v>0.5</v>
      </c>
      <c r="M11" s="84">
        <v>0.5</v>
      </c>
      <c r="N11" s="84">
        <v>0.5</v>
      </c>
      <c r="O11" s="84">
        <v>0.5</v>
      </c>
      <c r="P11" s="73">
        <v>0.5</v>
      </c>
      <c r="Q11" s="84">
        <v>0</v>
      </c>
      <c r="R11" s="74">
        <v>1</v>
      </c>
      <c r="S11"/>
      <c r="T11"/>
      <c r="W11"/>
    </row>
    <row r="12" spans="1:23" ht="15" customHeight="1" x14ac:dyDescent="0.15">
      <c r="B12" s="95"/>
      <c r="C12" s="99"/>
      <c r="D12" s="88" t="s">
        <v>160</v>
      </c>
      <c r="F12" s="197" t="s">
        <v>198</v>
      </c>
      <c r="G12" s="84">
        <v>0</v>
      </c>
      <c r="H12" s="84">
        <v>0</v>
      </c>
      <c r="I12" s="84">
        <v>0</v>
      </c>
      <c r="J12" s="84">
        <v>0</v>
      </c>
      <c r="K12" s="84">
        <v>0.5</v>
      </c>
      <c r="L12" s="84">
        <v>0.5</v>
      </c>
      <c r="M12" s="84">
        <v>0.5</v>
      </c>
      <c r="N12" s="84">
        <v>0.5</v>
      </c>
      <c r="O12" s="84">
        <v>0.5</v>
      </c>
      <c r="P12" s="73">
        <v>0.5</v>
      </c>
      <c r="Q12" s="84">
        <v>0</v>
      </c>
      <c r="R12" s="74">
        <v>1</v>
      </c>
      <c r="S12"/>
      <c r="T12"/>
      <c r="W12"/>
    </row>
    <row r="13" spans="1:23" ht="15" customHeight="1" x14ac:dyDescent="0.15">
      <c r="B13" s="95"/>
      <c r="C13" s="99"/>
      <c r="D13" s="88" t="s">
        <v>160</v>
      </c>
      <c r="F13" s="197" t="s">
        <v>199</v>
      </c>
      <c r="G13" s="84">
        <v>0</v>
      </c>
      <c r="H13" s="84">
        <v>0</v>
      </c>
      <c r="I13" s="84">
        <v>0</v>
      </c>
      <c r="J13" s="84">
        <v>0</v>
      </c>
      <c r="K13" s="84">
        <v>0.5</v>
      </c>
      <c r="L13" s="84">
        <v>0.5</v>
      </c>
      <c r="M13" s="84">
        <v>0.5</v>
      </c>
      <c r="N13" s="84">
        <v>0.5</v>
      </c>
      <c r="O13" s="84">
        <v>0.5</v>
      </c>
      <c r="P13" s="73">
        <v>0.5</v>
      </c>
      <c r="Q13" s="84">
        <v>0</v>
      </c>
      <c r="R13" s="74">
        <v>1</v>
      </c>
      <c r="S13"/>
      <c r="T13"/>
      <c r="W13"/>
    </row>
    <row r="14" spans="1:23" ht="15" customHeight="1" x14ac:dyDescent="0.15">
      <c r="B14" s="95"/>
      <c r="C14" s="83"/>
      <c r="D14" s="88" t="s">
        <v>160</v>
      </c>
      <c r="F14" s="197" t="s">
        <v>200</v>
      </c>
      <c r="G14" s="84">
        <v>0</v>
      </c>
      <c r="H14" s="84">
        <v>0</v>
      </c>
      <c r="I14" s="84">
        <v>0</v>
      </c>
      <c r="J14" s="84">
        <v>0</v>
      </c>
      <c r="K14" s="84">
        <v>0.5</v>
      </c>
      <c r="L14" s="84">
        <v>0.5</v>
      </c>
      <c r="M14" s="84">
        <v>0.5</v>
      </c>
      <c r="N14" s="84">
        <v>0.5</v>
      </c>
      <c r="O14" s="84">
        <v>0.5</v>
      </c>
      <c r="P14" s="73">
        <v>0.5</v>
      </c>
      <c r="Q14" s="84">
        <v>0</v>
      </c>
      <c r="R14" s="74">
        <v>1</v>
      </c>
      <c r="S14"/>
      <c r="T14"/>
      <c r="W14"/>
    </row>
    <row r="15" spans="1:23" ht="15" customHeight="1" x14ac:dyDescent="0.15">
      <c r="B15" s="95"/>
      <c r="C15" s="83"/>
      <c r="D15" s="88" t="s">
        <v>160</v>
      </c>
      <c r="F15" s="197" t="s">
        <v>201</v>
      </c>
      <c r="G15" s="84">
        <v>0</v>
      </c>
      <c r="H15" s="84">
        <v>0</v>
      </c>
      <c r="I15" s="84">
        <v>0</v>
      </c>
      <c r="J15" s="84">
        <v>0</v>
      </c>
      <c r="K15" s="84">
        <v>0.5</v>
      </c>
      <c r="L15" s="84">
        <v>0.5</v>
      </c>
      <c r="M15" s="84">
        <v>0.5</v>
      </c>
      <c r="N15" s="84">
        <v>0.5</v>
      </c>
      <c r="O15" s="84">
        <v>0.5</v>
      </c>
      <c r="P15" s="73">
        <v>0.5</v>
      </c>
      <c r="Q15" s="84">
        <v>0</v>
      </c>
      <c r="R15" s="74">
        <v>1</v>
      </c>
      <c r="S15"/>
      <c r="T15"/>
      <c r="W15"/>
    </row>
    <row r="16" spans="1:23" ht="15" customHeight="1" x14ac:dyDescent="0.15">
      <c r="B16" s="95"/>
      <c r="C16" s="83"/>
      <c r="D16" s="88" t="s">
        <v>160</v>
      </c>
      <c r="F16" s="197" t="s">
        <v>202</v>
      </c>
      <c r="G16" s="84">
        <v>0</v>
      </c>
      <c r="H16" s="84">
        <v>0</v>
      </c>
      <c r="I16" s="84">
        <v>0</v>
      </c>
      <c r="J16" s="84">
        <v>0</v>
      </c>
      <c r="K16" s="84">
        <v>0.5</v>
      </c>
      <c r="L16" s="84">
        <v>0.5</v>
      </c>
      <c r="M16" s="84">
        <v>0.5</v>
      </c>
      <c r="N16" s="84">
        <v>0.5</v>
      </c>
      <c r="O16" s="84">
        <v>0.5</v>
      </c>
      <c r="P16" s="73">
        <v>0.5</v>
      </c>
      <c r="Q16" s="84">
        <v>0</v>
      </c>
      <c r="R16" s="74">
        <v>1</v>
      </c>
      <c r="S16"/>
      <c r="T16"/>
    </row>
    <row r="17" spans="1:20" ht="15" customHeight="1" thickBot="1" x14ac:dyDescent="0.2">
      <c r="B17" s="94"/>
      <c r="C17" s="83"/>
      <c r="D17" s="88" t="s">
        <v>160</v>
      </c>
      <c r="F17" s="197" t="s">
        <v>203</v>
      </c>
      <c r="G17" s="84">
        <v>0</v>
      </c>
      <c r="H17" s="84">
        <v>0</v>
      </c>
      <c r="I17" s="84">
        <v>0</v>
      </c>
      <c r="J17" s="84">
        <v>0</v>
      </c>
      <c r="K17" s="84">
        <v>0.5</v>
      </c>
      <c r="L17" s="84">
        <v>0.5</v>
      </c>
      <c r="M17" s="84">
        <v>0.5</v>
      </c>
      <c r="N17" s="84">
        <v>0.5</v>
      </c>
      <c r="O17" s="84">
        <v>0.5</v>
      </c>
      <c r="P17" s="73">
        <v>0.5</v>
      </c>
      <c r="Q17" s="84">
        <v>0</v>
      </c>
      <c r="R17" s="74">
        <v>1</v>
      </c>
      <c r="S17"/>
      <c r="T17"/>
    </row>
    <row r="18" spans="1:20" ht="15" customHeight="1" thickBot="1" x14ac:dyDescent="0.2">
      <c r="B18" s="96"/>
      <c r="F18" s="197" t="s">
        <v>204</v>
      </c>
      <c r="G18" s="84">
        <v>0</v>
      </c>
      <c r="H18" s="84">
        <v>0</v>
      </c>
      <c r="I18" s="84">
        <v>0</v>
      </c>
      <c r="J18" s="84">
        <v>0</v>
      </c>
      <c r="K18" s="84">
        <v>0.5</v>
      </c>
      <c r="L18" s="84">
        <v>0.5</v>
      </c>
      <c r="M18" s="84">
        <v>0.5</v>
      </c>
      <c r="N18" s="84">
        <v>0.5</v>
      </c>
      <c r="O18" s="84">
        <v>0.5</v>
      </c>
      <c r="P18" s="73">
        <v>0.5</v>
      </c>
      <c r="Q18" s="84">
        <v>0</v>
      </c>
      <c r="R18" s="74">
        <v>1</v>
      </c>
      <c r="S18"/>
      <c r="T18"/>
    </row>
    <row r="19" spans="1:20" ht="15" customHeight="1" x14ac:dyDescent="0.15">
      <c r="A19" s="86" t="s">
        <v>57</v>
      </c>
      <c r="B19" s="93">
        <v>0.54378557623102897</v>
      </c>
      <c r="C19" s="199" t="s">
        <v>239</v>
      </c>
      <c r="D19" s="88" t="s">
        <v>160</v>
      </c>
      <c r="F19" s="197" t="s">
        <v>205</v>
      </c>
      <c r="G19" s="84">
        <v>0</v>
      </c>
      <c r="H19" s="84">
        <v>0</v>
      </c>
      <c r="I19" s="84">
        <v>0</v>
      </c>
      <c r="J19" s="84">
        <v>0</v>
      </c>
      <c r="K19" s="84">
        <v>0.5</v>
      </c>
      <c r="L19" s="84">
        <v>0.5</v>
      </c>
      <c r="M19" s="84">
        <v>0.5</v>
      </c>
      <c r="N19" s="84">
        <v>0.5</v>
      </c>
      <c r="O19" s="84">
        <v>0.5</v>
      </c>
      <c r="P19" s="73">
        <v>0.5</v>
      </c>
      <c r="Q19" s="84">
        <v>0</v>
      </c>
      <c r="R19" s="74">
        <v>1</v>
      </c>
      <c r="S19"/>
      <c r="T19"/>
    </row>
    <row r="20" spans="1:20" ht="15" customHeight="1" x14ac:dyDescent="0.15">
      <c r="A20" s="127" t="s">
        <v>168</v>
      </c>
      <c r="B20" s="95">
        <v>0.278060524962366</v>
      </c>
      <c r="C20" s="199" t="s">
        <v>240</v>
      </c>
      <c r="D20" s="88" t="s">
        <v>160</v>
      </c>
      <c r="F20" s="197" t="s">
        <v>206</v>
      </c>
      <c r="G20" s="84">
        <v>0</v>
      </c>
      <c r="H20" s="84">
        <v>0</v>
      </c>
      <c r="I20" s="84">
        <v>0</v>
      </c>
      <c r="J20" s="84">
        <v>0</v>
      </c>
      <c r="K20" s="84">
        <v>0.5</v>
      </c>
      <c r="L20" s="84">
        <v>0.5</v>
      </c>
      <c r="M20" s="84">
        <v>0.5</v>
      </c>
      <c r="N20" s="84">
        <v>0.5</v>
      </c>
      <c r="O20" s="84">
        <v>0.5</v>
      </c>
      <c r="P20" s="73">
        <v>0.5</v>
      </c>
      <c r="Q20" s="84">
        <v>0</v>
      </c>
      <c r="R20" s="74">
        <v>1</v>
      </c>
      <c r="S20"/>
      <c r="T20"/>
    </row>
    <row r="21" spans="1:20" ht="15" customHeight="1" x14ac:dyDescent="0.15">
      <c r="B21" s="95">
        <v>0.17815389880660498</v>
      </c>
      <c r="C21" s="199" t="s">
        <v>241</v>
      </c>
      <c r="D21" s="88" t="s">
        <v>160</v>
      </c>
      <c r="F21" s="197" t="s">
        <v>207</v>
      </c>
      <c r="G21" s="84">
        <v>0</v>
      </c>
      <c r="H21" s="84">
        <v>0</v>
      </c>
      <c r="I21" s="84">
        <v>0</v>
      </c>
      <c r="J21" s="84">
        <v>0</v>
      </c>
      <c r="K21" s="84">
        <v>0.5</v>
      </c>
      <c r="L21" s="84">
        <v>0.5</v>
      </c>
      <c r="M21" s="84">
        <v>0.5</v>
      </c>
      <c r="N21" s="84">
        <v>0.5</v>
      </c>
      <c r="O21" s="84">
        <v>0.5</v>
      </c>
      <c r="P21" s="73">
        <v>0.5</v>
      </c>
      <c r="Q21" s="84">
        <v>0</v>
      </c>
      <c r="R21" s="74">
        <v>1</v>
      </c>
      <c r="S21"/>
      <c r="T21"/>
    </row>
    <row r="22" spans="1:20" ht="15" customHeight="1" x14ac:dyDescent="0.15">
      <c r="A22" s="84"/>
      <c r="B22" s="95"/>
      <c r="C22" s="98"/>
      <c r="D22" s="88" t="s">
        <v>160</v>
      </c>
      <c r="F22" s="197" t="s">
        <v>208</v>
      </c>
      <c r="G22" s="84">
        <v>0</v>
      </c>
      <c r="H22" s="84">
        <v>0</v>
      </c>
      <c r="I22" s="84">
        <v>0</v>
      </c>
      <c r="J22" s="84">
        <v>0</v>
      </c>
      <c r="K22" s="84">
        <v>0.5</v>
      </c>
      <c r="L22" s="84">
        <v>0.5</v>
      </c>
      <c r="M22" s="84">
        <v>0.5</v>
      </c>
      <c r="N22" s="84">
        <v>0.5</v>
      </c>
      <c r="O22" s="84">
        <v>0.5</v>
      </c>
      <c r="P22" s="73">
        <v>0.5</v>
      </c>
      <c r="Q22" s="84">
        <v>0</v>
      </c>
      <c r="R22" s="74">
        <v>1</v>
      </c>
      <c r="S22"/>
      <c r="T22"/>
    </row>
    <row r="23" spans="1:20" ht="15" customHeight="1" x14ac:dyDescent="0.15">
      <c r="A23" s="84"/>
      <c r="B23" s="95"/>
      <c r="C23" s="99"/>
      <c r="D23" s="88" t="s">
        <v>160</v>
      </c>
      <c r="F23" s="197" t="s">
        <v>209</v>
      </c>
      <c r="G23" s="84">
        <v>0</v>
      </c>
      <c r="H23" s="84">
        <v>0</v>
      </c>
      <c r="I23" s="84">
        <v>0</v>
      </c>
      <c r="J23" s="84">
        <v>0</v>
      </c>
      <c r="K23" s="84">
        <v>0.5</v>
      </c>
      <c r="L23" s="84">
        <v>0.5</v>
      </c>
      <c r="M23" s="84">
        <v>0.5</v>
      </c>
      <c r="N23" s="84">
        <v>0.5</v>
      </c>
      <c r="O23" s="84">
        <v>0.5</v>
      </c>
      <c r="P23" s="73">
        <v>0.5</v>
      </c>
      <c r="Q23" s="84">
        <v>0</v>
      </c>
      <c r="R23" s="74">
        <v>1</v>
      </c>
      <c r="S23"/>
      <c r="T23"/>
    </row>
    <row r="24" spans="1:20" ht="15" customHeight="1" x14ac:dyDescent="0.15">
      <c r="A24" s="84"/>
      <c r="B24" s="95"/>
      <c r="C24" s="99"/>
      <c r="D24" s="88" t="s">
        <v>160</v>
      </c>
      <c r="F24" s="197" t="s">
        <v>210</v>
      </c>
      <c r="G24" s="84">
        <v>0</v>
      </c>
      <c r="H24" s="84">
        <v>0</v>
      </c>
      <c r="I24" s="84">
        <v>0</v>
      </c>
      <c r="J24" s="84">
        <v>0</v>
      </c>
      <c r="K24" s="84">
        <v>0.5</v>
      </c>
      <c r="L24" s="84">
        <v>0.5</v>
      </c>
      <c r="M24" s="84">
        <v>0.5</v>
      </c>
      <c r="N24" s="84">
        <v>0.5</v>
      </c>
      <c r="O24" s="84">
        <v>0.5</v>
      </c>
      <c r="P24" s="73">
        <v>0.5</v>
      </c>
      <c r="Q24" s="84">
        <v>0</v>
      </c>
      <c r="R24" s="74">
        <v>1</v>
      </c>
      <c r="S24"/>
      <c r="T24"/>
    </row>
    <row r="25" spans="1:20" ht="15" customHeight="1" x14ac:dyDescent="0.15">
      <c r="A25" s="84"/>
      <c r="B25" s="95"/>
      <c r="C25" s="83"/>
      <c r="D25" s="88" t="s">
        <v>160</v>
      </c>
      <c r="F25" s="197" t="s">
        <v>211</v>
      </c>
      <c r="G25" s="84">
        <v>0</v>
      </c>
      <c r="H25" s="84">
        <v>0</v>
      </c>
      <c r="I25" s="84">
        <v>0</v>
      </c>
      <c r="J25" s="84">
        <v>0</v>
      </c>
      <c r="K25" s="84">
        <v>0.5</v>
      </c>
      <c r="L25" s="84">
        <v>0.5</v>
      </c>
      <c r="M25" s="84">
        <v>0.5</v>
      </c>
      <c r="N25" s="84">
        <v>0.5</v>
      </c>
      <c r="O25" s="84">
        <v>0.5</v>
      </c>
      <c r="P25" s="73">
        <v>0.5</v>
      </c>
      <c r="Q25" s="84">
        <v>0</v>
      </c>
      <c r="R25" s="74">
        <v>1</v>
      </c>
      <c r="S25"/>
      <c r="T25"/>
    </row>
    <row r="26" spans="1:20" ht="15" customHeight="1" x14ac:dyDescent="0.15">
      <c r="B26" s="95"/>
      <c r="C26" s="83"/>
      <c r="D26" s="88" t="s">
        <v>160</v>
      </c>
      <c r="F26" s="197" t="s">
        <v>212</v>
      </c>
      <c r="G26" s="84">
        <v>0</v>
      </c>
      <c r="H26" s="84">
        <v>0</v>
      </c>
      <c r="I26" s="84">
        <v>0</v>
      </c>
      <c r="J26" s="84">
        <v>0</v>
      </c>
      <c r="K26" s="84">
        <v>0.5</v>
      </c>
      <c r="L26" s="84">
        <v>0.5</v>
      </c>
      <c r="M26" s="84">
        <v>0.5</v>
      </c>
      <c r="N26" s="84">
        <v>0.5</v>
      </c>
      <c r="O26" s="84">
        <v>0.5</v>
      </c>
      <c r="P26" s="73">
        <v>0.5</v>
      </c>
      <c r="Q26" s="84">
        <v>0</v>
      </c>
      <c r="R26" s="74">
        <v>1</v>
      </c>
      <c r="S26"/>
      <c r="T26"/>
    </row>
    <row r="27" spans="1:20" ht="15" customHeight="1" x14ac:dyDescent="0.15">
      <c r="B27" s="95"/>
      <c r="C27" s="83"/>
      <c r="D27" s="88" t="s">
        <v>160</v>
      </c>
      <c r="F27" s="197" t="s">
        <v>213</v>
      </c>
      <c r="G27" s="84">
        <v>0</v>
      </c>
      <c r="H27" s="84">
        <v>0</v>
      </c>
      <c r="I27" s="84">
        <v>0</v>
      </c>
      <c r="J27" s="84">
        <v>0</v>
      </c>
      <c r="K27" s="84">
        <v>0.5</v>
      </c>
      <c r="L27" s="84">
        <v>0.5</v>
      </c>
      <c r="M27" s="84">
        <v>0.5</v>
      </c>
      <c r="N27" s="84">
        <v>0.5</v>
      </c>
      <c r="O27" s="84">
        <v>0.5</v>
      </c>
      <c r="P27" s="73">
        <v>0.5</v>
      </c>
      <c r="Q27" s="84">
        <v>0</v>
      </c>
      <c r="R27" s="74">
        <v>1</v>
      </c>
      <c r="S27"/>
      <c r="T27"/>
    </row>
    <row r="28" spans="1:20" ht="15" customHeight="1" thickBot="1" x14ac:dyDescent="0.2">
      <c r="B28" s="94"/>
      <c r="C28" s="83"/>
      <c r="D28" s="88" t="s">
        <v>160</v>
      </c>
      <c r="F28" s="197" t="s">
        <v>214</v>
      </c>
      <c r="G28" s="84">
        <v>0</v>
      </c>
      <c r="H28" s="84">
        <v>0</v>
      </c>
      <c r="I28" s="84">
        <v>0</v>
      </c>
      <c r="J28" s="84">
        <v>0</v>
      </c>
      <c r="K28" s="84">
        <v>0.5</v>
      </c>
      <c r="L28" s="84">
        <v>0.5</v>
      </c>
      <c r="M28" s="84">
        <v>0.5</v>
      </c>
      <c r="N28" s="84">
        <v>0.5</v>
      </c>
      <c r="O28" s="84">
        <v>0.5</v>
      </c>
      <c r="P28" s="73">
        <v>0.5</v>
      </c>
      <c r="Q28" s="84">
        <v>0</v>
      </c>
      <c r="R28" s="74">
        <v>1</v>
      </c>
      <c r="S28"/>
      <c r="T28"/>
    </row>
    <row r="29" spans="1:20" ht="15" customHeight="1" x14ac:dyDescent="0.15">
      <c r="F29" s="197" t="s">
        <v>215</v>
      </c>
      <c r="G29" s="84">
        <v>0</v>
      </c>
      <c r="H29" s="84">
        <v>0</v>
      </c>
      <c r="I29" s="84">
        <v>0</v>
      </c>
      <c r="J29" s="84">
        <v>0</v>
      </c>
      <c r="K29" s="84">
        <v>0.5</v>
      </c>
      <c r="L29" s="84">
        <v>0.5</v>
      </c>
      <c r="M29" s="84">
        <v>0.5</v>
      </c>
      <c r="N29" s="84">
        <v>0.5</v>
      </c>
      <c r="O29" s="84">
        <v>0.5</v>
      </c>
      <c r="P29" s="73">
        <v>0.5</v>
      </c>
      <c r="Q29" s="84">
        <v>0</v>
      </c>
      <c r="R29" s="74">
        <v>1</v>
      </c>
      <c r="S29"/>
      <c r="T29"/>
    </row>
    <row r="30" spans="1:20" ht="15" customHeight="1" x14ac:dyDescent="0.15">
      <c r="F30" s="197" t="s">
        <v>216</v>
      </c>
      <c r="G30" s="84">
        <v>0</v>
      </c>
      <c r="H30" s="84">
        <v>0</v>
      </c>
      <c r="I30" s="84">
        <v>0</v>
      </c>
      <c r="J30" s="84">
        <v>0</v>
      </c>
      <c r="K30" s="84">
        <v>0.5</v>
      </c>
      <c r="L30" s="84">
        <v>0.5</v>
      </c>
      <c r="M30" s="84">
        <v>0.5</v>
      </c>
      <c r="N30" s="84">
        <v>0.5</v>
      </c>
      <c r="O30" s="84">
        <v>0.5</v>
      </c>
      <c r="P30" s="73">
        <v>0.5</v>
      </c>
      <c r="Q30" s="84">
        <v>0</v>
      </c>
      <c r="R30" s="74">
        <v>1</v>
      </c>
      <c r="S30"/>
      <c r="T30"/>
    </row>
    <row r="31" spans="1:20" ht="15" customHeight="1" x14ac:dyDescent="0.15">
      <c r="A31" s="128"/>
      <c r="B31" s="137" t="s">
        <v>17</v>
      </c>
      <c r="C31" s="137" t="s">
        <v>1</v>
      </c>
      <c r="D31" s="137" t="s">
        <v>161</v>
      </c>
      <c r="E31" s="138" t="s">
        <v>163</v>
      </c>
      <c r="F31" s="197" t="s">
        <v>217</v>
      </c>
      <c r="G31" s="84">
        <v>0</v>
      </c>
      <c r="H31" s="84">
        <v>0</v>
      </c>
      <c r="I31" s="84">
        <v>0</v>
      </c>
      <c r="J31" s="84">
        <v>0</v>
      </c>
      <c r="K31" s="84">
        <v>0.5</v>
      </c>
      <c r="L31" s="84">
        <v>0.5</v>
      </c>
      <c r="M31" s="84">
        <v>0.5</v>
      </c>
      <c r="N31" s="84">
        <v>0.5</v>
      </c>
      <c r="O31" s="84">
        <v>0.5</v>
      </c>
      <c r="P31" s="73">
        <v>0.5</v>
      </c>
      <c r="Q31" s="84">
        <v>0</v>
      </c>
      <c r="R31" s="74">
        <v>1</v>
      </c>
      <c r="S31"/>
      <c r="T31"/>
    </row>
    <row r="32" spans="1:20" ht="15" customHeight="1" x14ac:dyDescent="0.15">
      <c r="A32" s="200" t="s">
        <v>239</v>
      </c>
      <c r="B32" s="96">
        <v>75</v>
      </c>
      <c r="C32" s="96">
        <v>60</v>
      </c>
      <c r="D32" s="96">
        <v>4500</v>
      </c>
      <c r="E32" s="129">
        <v>0.54378557623102897</v>
      </c>
      <c r="F32" s="197" t="s">
        <v>218</v>
      </c>
      <c r="G32" s="84">
        <v>0</v>
      </c>
      <c r="H32" s="84">
        <v>0</v>
      </c>
      <c r="I32" s="84">
        <v>0</v>
      </c>
      <c r="J32" s="84">
        <v>0</v>
      </c>
      <c r="K32" s="84">
        <v>0.5</v>
      </c>
      <c r="L32" s="84">
        <v>0.5</v>
      </c>
      <c r="M32" s="84">
        <v>0.5</v>
      </c>
      <c r="N32" s="84">
        <v>0.5</v>
      </c>
      <c r="O32" s="84">
        <v>0.5</v>
      </c>
      <c r="P32" s="73">
        <v>0.5</v>
      </c>
      <c r="Q32" s="84">
        <v>0</v>
      </c>
      <c r="R32" s="74">
        <v>1</v>
      </c>
      <c r="S32"/>
      <c r="T32"/>
    </row>
    <row r="33" spans="1:20" ht="15" customHeight="1" x14ac:dyDescent="0.15">
      <c r="A33" s="200" t="s">
        <v>240</v>
      </c>
      <c r="B33" s="96">
        <v>3.92</v>
      </c>
      <c r="C33" s="96">
        <v>587</v>
      </c>
      <c r="D33" s="96">
        <v>2301.04</v>
      </c>
      <c r="E33" s="129">
        <v>0.278060524962366</v>
      </c>
      <c r="F33" s="197" t="s">
        <v>219</v>
      </c>
      <c r="G33" s="84">
        <v>0</v>
      </c>
      <c r="H33" s="84">
        <v>0</v>
      </c>
      <c r="I33" s="84">
        <v>0</v>
      </c>
      <c r="J33" s="84">
        <v>0</v>
      </c>
      <c r="K33" s="84">
        <v>0.5</v>
      </c>
      <c r="L33" s="84">
        <v>0.5</v>
      </c>
      <c r="M33" s="84">
        <v>0.5</v>
      </c>
      <c r="N33" s="84">
        <v>0.5</v>
      </c>
      <c r="O33" s="84">
        <v>0.5</v>
      </c>
      <c r="P33" s="73">
        <v>0.5</v>
      </c>
      <c r="Q33" s="84">
        <v>0</v>
      </c>
      <c r="R33" s="74">
        <v>1</v>
      </c>
      <c r="S33"/>
      <c r="T33"/>
    </row>
    <row r="34" spans="1:20" ht="15" customHeight="1" x14ac:dyDescent="0.15">
      <c r="A34" s="200" t="s">
        <v>241</v>
      </c>
      <c r="B34" s="96">
        <v>9.6674140000000008</v>
      </c>
      <c r="C34" s="96">
        <v>152.5</v>
      </c>
      <c r="D34" s="96">
        <v>1474.2806350000001</v>
      </c>
      <c r="E34" s="129">
        <v>0.17815389880660498</v>
      </c>
      <c r="F34" s="197" t="s">
        <v>220</v>
      </c>
      <c r="G34" s="84">
        <v>0</v>
      </c>
      <c r="H34" s="84">
        <v>0</v>
      </c>
      <c r="I34" s="84">
        <v>0</v>
      </c>
      <c r="J34" s="84">
        <v>0</v>
      </c>
      <c r="K34" s="84">
        <v>0.5</v>
      </c>
      <c r="L34" s="84">
        <v>0.5</v>
      </c>
      <c r="M34" s="84">
        <v>0.5</v>
      </c>
      <c r="N34" s="84">
        <v>0.5</v>
      </c>
      <c r="O34" s="84">
        <v>0.5</v>
      </c>
      <c r="P34" s="73">
        <v>0.5</v>
      </c>
      <c r="Q34" s="84">
        <v>0</v>
      </c>
      <c r="R34" s="74">
        <v>1</v>
      </c>
      <c r="S34"/>
      <c r="T34"/>
    </row>
    <row r="35" spans="1:20" ht="15" customHeight="1" x14ac:dyDescent="0.15">
      <c r="A35" s="130"/>
      <c r="B35" s="96"/>
      <c r="C35" s="96"/>
      <c r="D35" s="96"/>
      <c r="E35" s="129"/>
      <c r="F35" s="197" t="s">
        <v>221</v>
      </c>
      <c r="G35" s="84">
        <v>0</v>
      </c>
      <c r="H35" s="84">
        <v>0</v>
      </c>
      <c r="I35" s="84">
        <v>0</v>
      </c>
      <c r="J35" s="84">
        <v>0</v>
      </c>
      <c r="K35" s="84">
        <v>0.5</v>
      </c>
      <c r="L35" s="84">
        <v>0.5</v>
      </c>
      <c r="M35" s="84">
        <v>0.5</v>
      </c>
      <c r="N35" s="84">
        <v>0.5</v>
      </c>
      <c r="O35" s="84">
        <v>0.5</v>
      </c>
      <c r="P35" s="73">
        <v>0.5</v>
      </c>
      <c r="Q35" s="84">
        <v>0</v>
      </c>
      <c r="R35" s="74">
        <v>1</v>
      </c>
      <c r="S35"/>
      <c r="T35"/>
    </row>
    <row r="36" spans="1:20" ht="15" customHeight="1" x14ac:dyDescent="0.15">
      <c r="A36" s="131"/>
      <c r="B36" s="96"/>
      <c r="C36" s="96"/>
      <c r="D36" s="96"/>
      <c r="E36" s="129"/>
      <c r="F36" s="197" t="s">
        <v>222</v>
      </c>
      <c r="G36" s="84">
        <v>0</v>
      </c>
      <c r="H36" s="84">
        <v>0</v>
      </c>
      <c r="I36" s="84">
        <v>0</v>
      </c>
      <c r="J36" s="84">
        <v>0</v>
      </c>
      <c r="K36" s="84">
        <v>0.5</v>
      </c>
      <c r="L36" s="84">
        <v>0.5</v>
      </c>
      <c r="M36" s="84">
        <v>0.5</v>
      </c>
      <c r="N36" s="84">
        <v>0.5</v>
      </c>
      <c r="O36" s="84">
        <v>0.5</v>
      </c>
      <c r="P36" s="73">
        <v>0.5</v>
      </c>
      <c r="Q36" s="84">
        <v>0</v>
      </c>
      <c r="R36" s="74">
        <v>1</v>
      </c>
      <c r="S36"/>
      <c r="T36"/>
    </row>
    <row r="37" spans="1:20" ht="15" customHeight="1" x14ac:dyDescent="0.15">
      <c r="A37" s="131"/>
      <c r="B37" s="96"/>
      <c r="C37" s="96"/>
      <c r="D37" s="96"/>
      <c r="E37" s="129"/>
      <c r="F37" s="197" t="s">
        <v>223</v>
      </c>
      <c r="G37" s="84">
        <v>0</v>
      </c>
      <c r="H37" s="84">
        <v>0</v>
      </c>
      <c r="I37" s="84">
        <v>0</v>
      </c>
      <c r="J37" s="84">
        <v>0</v>
      </c>
      <c r="K37" s="84">
        <v>0.5</v>
      </c>
      <c r="L37" s="84">
        <v>0.5</v>
      </c>
      <c r="M37" s="84">
        <v>0.5</v>
      </c>
      <c r="N37" s="84">
        <v>0.5</v>
      </c>
      <c r="O37" s="84">
        <v>0.5</v>
      </c>
      <c r="P37" s="73">
        <v>0.5</v>
      </c>
      <c r="Q37" s="84">
        <v>0</v>
      </c>
      <c r="R37" s="74">
        <v>1</v>
      </c>
      <c r="S37"/>
      <c r="T37"/>
    </row>
    <row r="38" spans="1:20" ht="15" customHeight="1" x14ac:dyDescent="0.15">
      <c r="A38" s="132"/>
      <c r="B38" s="96"/>
      <c r="C38" s="96"/>
      <c r="D38" s="96"/>
      <c r="E38" s="129"/>
      <c r="F38" s="197" t="s">
        <v>224</v>
      </c>
      <c r="G38" s="84">
        <v>0</v>
      </c>
      <c r="H38" s="84">
        <v>0</v>
      </c>
      <c r="I38" s="84">
        <v>0</v>
      </c>
      <c r="J38" s="84">
        <v>0</v>
      </c>
      <c r="K38" s="84">
        <v>0.5</v>
      </c>
      <c r="L38" s="84">
        <v>0.5</v>
      </c>
      <c r="M38" s="84">
        <v>0.5</v>
      </c>
      <c r="N38" s="84">
        <v>0.5</v>
      </c>
      <c r="O38" s="84">
        <v>0.5</v>
      </c>
      <c r="P38" s="73">
        <v>0.5</v>
      </c>
      <c r="Q38" s="84">
        <v>0</v>
      </c>
      <c r="R38" s="74">
        <v>1</v>
      </c>
      <c r="S38"/>
      <c r="T38"/>
    </row>
    <row r="39" spans="1:20" ht="15" customHeight="1" x14ac:dyDescent="0.15">
      <c r="A39" s="132"/>
      <c r="B39" s="96"/>
      <c r="C39" s="96"/>
      <c r="D39" s="96"/>
      <c r="E39" s="129"/>
      <c r="F39" s="197" t="s">
        <v>225</v>
      </c>
      <c r="G39" s="84">
        <v>0</v>
      </c>
      <c r="H39" s="84">
        <v>0</v>
      </c>
      <c r="I39" s="84">
        <v>0</v>
      </c>
      <c r="J39" s="84">
        <v>0</v>
      </c>
      <c r="K39" s="84">
        <v>0.5</v>
      </c>
      <c r="L39" s="84">
        <v>0.5</v>
      </c>
      <c r="M39" s="84">
        <v>0.5</v>
      </c>
      <c r="N39" s="84">
        <v>0.5</v>
      </c>
      <c r="O39" s="84">
        <v>0.5</v>
      </c>
      <c r="P39" s="73">
        <v>0.5</v>
      </c>
      <c r="Q39" s="84">
        <v>0</v>
      </c>
      <c r="R39" s="74">
        <v>1</v>
      </c>
      <c r="S39"/>
      <c r="T39"/>
    </row>
    <row r="40" spans="1:20" ht="15" customHeight="1" x14ac:dyDescent="0.15">
      <c r="A40" s="132"/>
      <c r="B40" s="96"/>
      <c r="C40" s="96"/>
      <c r="D40" s="96"/>
      <c r="E40" s="129"/>
      <c r="F40" s="197" t="s">
        <v>226</v>
      </c>
      <c r="G40" s="84">
        <v>0</v>
      </c>
      <c r="H40" s="84">
        <v>0</v>
      </c>
      <c r="I40" s="84">
        <v>0</v>
      </c>
      <c r="J40" s="84">
        <v>0</v>
      </c>
      <c r="K40" s="84">
        <v>0.5</v>
      </c>
      <c r="L40" s="84">
        <v>0.5</v>
      </c>
      <c r="M40" s="84">
        <v>0.5</v>
      </c>
      <c r="N40" s="84">
        <v>0.5</v>
      </c>
      <c r="O40" s="84">
        <v>0.5</v>
      </c>
      <c r="P40" s="73">
        <v>0.5</v>
      </c>
      <c r="Q40" s="84">
        <v>0</v>
      </c>
      <c r="R40" s="74">
        <v>1</v>
      </c>
      <c r="S40"/>
      <c r="T40"/>
    </row>
    <row r="41" spans="1:20" ht="15" customHeight="1" thickBot="1" x14ac:dyDescent="0.2">
      <c r="A41" s="132"/>
      <c r="B41" s="96"/>
      <c r="C41" s="96"/>
      <c r="D41" s="97"/>
      <c r="E41" s="133"/>
      <c r="F41" s="197" t="s">
        <v>227</v>
      </c>
      <c r="G41" s="84">
        <v>0</v>
      </c>
      <c r="H41" s="84">
        <v>0</v>
      </c>
      <c r="I41" s="84">
        <v>0</v>
      </c>
      <c r="J41" s="84">
        <v>0</v>
      </c>
      <c r="K41" s="84">
        <v>0.5</v>
      </c>
      <c r="L41" s="84">
        <v>0.5</v>
      </c>
      <c r="M41" s="84">
        <v>0.5</v>
      </c>
      <c r="N41" s="84">
        <v>0.5</v>
      </c>
      <c r="O41" s="84">
        <v>0.5</v>
      </c>
      <c r="P41" s="73">
        <v>0.5</v>
      </c>
      <c r="Q41" s="84">
        <v>0</v>
      </c>
      <c r="R41" s="74">
        <v>1</v>
      </c>
      <c r="S41"/>
      <c r="T41"/>
    </row>
    <row r="42" spans="1:20" ht="15" customHeight="1" x14ac:dyDescent="0.15">
      <c r="A42" s="134"/>
      <c r="B42" s="135"/>
      <c r="C42" s="135" t="s">
        <v>162</v>
      </c>
      <c r="D42" s="135">
        <f>SUM(D32:D41)</f>
        <v>8275.320635</v>
      </c>
      <c r="E42" s="136">
        <f>SUM(E32:E41)</f>
        <v>1</v>
      </c>
      <c r="F42" s="197" t="s">
        <v>228</v>
      </c>
      <c r="G42" s="84">
        <v>0</v>
      </c>
      <c r="H42" s="84">
        <v>0</v>
      </c>
      <c r="I42" s="84">
        <v>0</v>
      </c>
      <c r="J42" s="84">
        <v>0</v>
      </c>
      <c r="K42" s="84">
        <v>0.5</v>
      </c>
      <c r="L42" s="84">
        <v>0.5</v>
      </c>
      <c r="M42" s="84">
        <v>0.5</v>
      </c>
      <c r="N42" s="84">
        <v>0.5</v>
      </c>
      <c r="O42" s="84">
        <v>0.5</v>
      </c>
      <c r="P42" s="73">
        <v>0.5</v>
      </c>
      <c r="Q42" s="84">
        <v>0</v>
      </c>
      <c r="R42" s="74">
        <v>1</v>
      </c>
      <c r="S42"/>
      <c r="T42"/>
    </row>
    <row r="43" spans="1:20" ht="15" customHeight="1" x14ac:dyDescent="0.15">
      <c r="A43" s="84"/>
      <c r="F43" s="197" t="s">
        <v>229</v>
      </c>
      <c r="G43" s="84">
        <v>0</v>
      </c>
      <c r="H43" s="84">
        <v>0</v>
      </c>
      <c r="I43" s="84">
        <v>0</v>
      </c>
      <c r="J43" s="84">
        <v>0</v>
      </c>
      <c r="K43" s="84">
        <v>0.5</v>
      </c>
      <c r="L43" s="84">
        <v>0.5</v>
      </c>
      <c r="M43" s="84">
        <v>0.5</v>
      </c>
      <c r="N43" s="84">
        <v>0.5</v>
      </c>
      <c r="O43" s="84">
        <v>0.5</v>
      </c>
      <c r="P43" s="73">
        <v>0.5</v>
      </c>
      <c r="Q43" s="84">
        <v>0</v>
      </c>
      <c r="R43" s="74">
        <v>1</v>
      </c>
      <c r="S43"/>
      <c r="T43"/>
    </row>
    <row r="44" spans="1:20" ht="15" customHeight="1" x14ac:dyDescent="0.15">
      <c r="A44" s="84"/>
      <c r="F44" s="197" t="s">
        <v>230</v>
      </c>
      <c r="G44" s="84">
        <v>0</v>
      </c>
      <c r="H44" s="84">
        <v>0</v>
      </c>
      <c r="I44" s="84">
        <v>0</v>
      </c>
      <c r="J44" s="84">
        <v>0</v>
      </c>
      <c r="K44" s="84">
        <v>0.5</v>
      </c>
      <c r="L44" s="84">
        <v>0.5</v>
      </c>
      <c r="M44" s="84">
        <v>0.5</v>
      </c>
      <c r="N44" s="84">
        <v>0.5</v>
      </c>
      <c r="O44" s="84">
        <v>0.5</v>
      </c>
      <c r="P44" s="73">
        <v>0.5</v>
      </c>
      <c r="Q44" s="84">
        <v>0</v>
      </c>
      <c r="R44" s="74">
        <v>1</v>
      </c>
    </row>
    <row r="45" spans="1:20" ht="15" customHeight="1" x14ac:dyDescent="0.15">
      <c r="A45" s="84"/>
      <c r="F45" s="197" t="s">
        <v>231</v>
      </c>
      <c r="G45" s="84">
        <v>0</v>
      </c>
      <c r="H45" s="84">
        <v>0</v>
      </c>
      <c r="I45" s="84">
        <v>0</v>
      </c>
      <c r="J45" s="84">
        <v>0</v>
      </c>
      <c r="K45" s="84">
        <v>0.5</v>
      </c>
      <c r="L45" s="84">
        <v>0.5</v>
      </c>
      <c r="M45" s="84">
        <v>0.5</v>
      </c>
      <c r="N45" s="84">
        <v>0.5</v>
      </c>
      <c r="O45" s="84">
        <v>0.5</v>
      </c>
      <c r="P45" s="73">
        <v>0.5</v>
      </c>
      <c r="Q45" s="84">
        <v>0</v>
      </c>
      <c r="R45" s="74">
        <v>1</v>
      </c>
    </row>
    <row r="46" spans="1:20" ht="15" customHeight="1" x14ac:dyDescent="0.15">
      <c r="A46" s="84"/>
      <c r="F46" s="197" t="s">
        <v>232</v>
      </c>
      <c r="G46" s="84">
        <v>0</v>
      </c>
      <c r="H46" s="84">
        <v>0</v>
      </c>
      <c r="I46" s="84">
        <v>0</v>
      </c>
      <c r="J46" s="84">
        <v>0</v>
      </c>
      <c r="K46" s="84">
        <v>0.5</v>
      </c>
      <c r="L46" s="84">
        <v>0.5</v>
      </c>
      <c r="M46" s="84">
        <v>0.5</v>
      </c>
      <c r="N46" s="84">
        <v>0.5</v>
      </c>
      <c r="O46" s="84">
        <v>0.5</v>
      </c>
      <c r="P46" s="73">
        <v>0.5</v>
      </c>
      <c r="Q46" s="84">
        <v>0</v>
      </c>
      <c r="R46" s="74">
        <v>1</v>
      </c>
    </row>
    <row r="47" spans="1:20" ht="15" customHeight="1" x14ac:dyDescent="0.15">
      <c r="A47" s="84"/>
      <c r="F47" s="197" t="s">
        <v>233</v>
      </c>
      <c r="G47" s="84">
        <v>0</v>
      </c>
      <c r="H47" s="84">
        <v>0</v>
      </c>
      <c r="I47" s="84">
        <v>0</v>
      </c>
      <c r="J47" s="84">
        <v>0</v>
      </c>
      <c r="K47" s="84">
        <v>0.5</v>
      </c>
      <c r="L47" s="84">
        <v>0.5</v>
      </c>
      <c r="M47" s="84">
        <v>0.5</v>
      </c>
      <c r="N47" s="84">
        <v>0.5</v>
      </c>
      <c r="O47" s="84">
        <v>0.5</v>
      </c>
      <c r="P47" s="73">
        <v>0.5</v>
      </c>
      <c r="Q47" s="84">
        <v>0</v>
      </c>
      <c r="R47" s="74">
        <v>1</v>
      </c>
    </row>
    <row r="48" spans="1:20" ht="15" customHeight="1" x14ac:dyDescent="0.15">
      <c r="A48" s="84"/>
      <c r="F48" s="197" t="s">
        <v>234</v>
      </c>
      <c r="G48" s="84">
        <v>0</v>
      </c>
      <c r="H48" s="84">
        <v>0</v>
      </c>
      <c r="I48" s="84">
        <v>0</v>
      </c>
      <c r="J48" s="84">
        <v>0</v>
      </c>
      <c r="K48" s="84">
        <v>0.5</v>
      </c>
      <c r="L48" s="84">
        <v>0.5</v>
      </c>
      <c r="M48" s="84">
        <v>0.5</v>
      </c>
      <c r="N48" s="84">
        <v>0.5</v>
      </c>
      <c r="O48" s="84">
        <v>0.5</v>
      </c>
      <c r="P48" s="73">
        <v>0.5</v>
      </c>
      <c r="Q48" s="84">
        <v>0</v>
      </c>
      <c r="R48" s="74">
        <v>1</v>
      </c>
    </row>
    <row r="49" spans="6:18" s="84" customFormat="1" ht="15" customHeight="1" x14ac:dyDescent="0.15">
      <c r="F49" s="197" t="s">
        <v>235</v>
      </c>
      <c r="G49" s="84">
        <v>0</v>
      </c>
      <c r="H49" s="84">
        <v>0</v>
      </c>
      <c r="I49" s="84">
        <v>0</v>
      </c>
      <c r="J49" s="84">
        <v>0</v>
      </c>
      <c r="K49" s="84">
        <v>0.5</v>
      </c>
      <c r="L49" s="84">
        <v>0.5</v>
      </c>
      <c r="M49" s="84">
        <v>0.5</v>
      </c>
      <c r="N49" s="84">
        <v>0.5</v>
      </c>
      <c r="O49" s="84">
        <v>0.5</v>
      </c>
      <c r="P49" s="73">
        <v>0.5</v>
      </c>
      <c r="Q49" s="84">
        <v>0</v>
      </c>
      <c r="R49" s="74">
        <v>1</v>
      </c>
    </row>
    <row r="50" spans="6:18" s="84" customFormat="1" ht="15" customHeight="1" x14ac:dyDescent="0.15">
      <c r="F50" s="197" t="s">
        <v>236</v>
      </c>
      <c r="G50" s="84">
        <v>0</v>
      </c>
      <c r="H50" s="84">
        <v>0</v>
      </c>
      <c r="I50" s="84">
        <v>0</v>
      </c>
      <c r="J50" s="84">
        <v>0</v>
      </c>
      <c r="K50" s="84">
        <v>0.5</v>
      </c>
      <c r="L50" s="84">
        <v>0.5</v>
      </c>
      <c r="M50" s="84">
        <v>0.5</v>
      </c>
      <c r="N50" s="84">
        <v>0.5</v>
      </c>
      <c r="O50" s="84">
        <v>0.5</v>
      </c>
      <c r="P50" s="73">
        <v>0.5</v>
      </c>
      <c r="Q50" s="84">
        <v>0</v>
      </c>
      <c r="R50" s="74">
        <v>1</v>
      </c>
    </row>
    <row r="51" spans="6:18" s="84" customFormat="1" ht="15" customHeight="1" x14ac:dyDescent="0.15">
      <c r="F51" s="197" t="s">
        <v>237</v>
      </c>
      <c r="G51" s="84">
        <v>0</v>
      </c>
      <c r="H51" s="84">
        <v>0</v>
      </c>
      <c r="I51" s="84">
        <v>0</v>
      </c>
      <c r="J51" s="84">
        <v>0</v>
      </c>
      <c r="K51" s="84">
        <v>0.5</v>
      </c>
      <c r="L51" s="84">
        <v>0.5</v>
      </c>
      <c r="M51" s="84">
        <v>0.5</v>
      </c>
      <c r="N51" s="84">
        <v>0.5</v>
      </c>
      <c r="O51" s="84">
        <v>0.5</v>
      </c>
      <c r="P51" s="73">
        <v>0.5</v>
      </c>
      <c r="Q51" s="84">
        <v>0</v>
      </c>
      <c r="R51" s="74">
        <v>1</v>
      </c>
    </row>
    <row r="52" spans="6:18" s="84" customFormat="1" ht="15" customHeight="1" x14ac:dyDescent="0.15">
      <c r="F52" s="197" t="s">
        <v>238</v>
      </c>
      <c r="G52" s="84">
        <v>0</v>
      </c>
      <c r="H52" s="84">
        <v>0</v>
      </c>
      <c r="I52" s="84">
        <v>0</v>
      </c>
      <c r="J52" s="84">
        <v>0</v>
      </c>
      <c r="K52" s="84">
        <v>0.5</v>
      </c>
      <c r="L52" s="84">
        <v>0.5</v>
      </c>
      <c r="M52" s="84">
        <v>0.5</v>
      </c>
      <c r="N52" s="84">
        <v>0.5</v>
      </c>
      <c r="O52" s="84">
        <v>0.5</v>
      </c>
      <c r="P52" s="73">
        <v>0.5</v>
      </c>
      <c r="Q52" s="84">
        <v>0</v>
      </c>
      <c r="R52" s="74">
        <v>1</v>
      </c>
    </row>
    <row r="53" spans="6:18" s="84" customFormat="1" ht="15" customHeight="1" x14ac:dyDescent="0.15">
      <c r="F53" s="197" t="s">
        <v>239</v>
      </c>
      <c r="G53" s="84">
        <v>0</v>
      </c>
      <c r="H53" s="84">
        <v>0</v>
      </c>
      <c r="I53" s="84">
        <v>0</v>
      </c>
      <c r="J53" s="84">
        <v>0</v>
      </c>
      <c r="K53" s="84">
        <v>0</v>
      </c>
      <c r="L53" s="84">
        <v>0</v>
      </c>
      <c r="M53" s="84">
        <v>0.5</v>
      </c>
      <c r="N53" s="84">
        <v>0.5</v>
      </c>
      <c r="O53" s="84">
        <v>0</v>
      </c>
      <c r="P53" s="73">
        <v>0</v>
      </c>
      <c r="Q53" s="84">
        <v>0</v>
      </c>
      <c r="R53" s="74">
        <v>1</v>
      </c>
    </row>
    <row r="54" spans="6:18" s="84" customFormat="1" ht="15" customHeight="1" x14ac:dyDescent="0.15">
      <c r="F54" s="197" t="s">
        <v>240</v>
      </c>
      <c r="G54" s="84">
        <v>0</v>
      </c>
      <c r="H54" s="84">
        <v>0</v>
      </c>
      <c r="I54" s="84">
        <v>0</v>
      </c>
      <c r="J54" s="84">
        <v>0</v>
      </c>
      <c r="K54" s="84">
        <v>0</v>
      </c>
      <c r="L54" s="84">
        <v>0</v>
      </c>
      <c r="M54" s="84">
        <v>0</v>
      </c>
      <c r="N54" s="84">
        <v>1</v>
      </c>
      <c r="O54" s="84">
        <v>0</v>
      </c>
      <c r="P54" s="73">
        <v>0</v>
      </c>
      <c r="Q54" s="84">
        <v>0</v>
      </c>
      <c r="R54" s="74">
        <v>1</v>
      </c>
    </row>
    <row r="55" spans="6:18" s="84" customFormat="1" ht="15" customHeight="1" x14ac:dyDescent="0.15">
      <c r="F55" s="197" t="s">
        <v>241</v>
      </c>
      <c r="G55" s="84">
        <v>0</v>
      </c>
      <c r="H55" s="84">
        <v>0</v>
      </c>
      <c r="I55" s="84">
        <v>0</v>
      </c>
      <c r="J55" s="84">
        <v>0</v>
      </c>
      <c r="K55" s="84">
        <v>0</v>
      </c>
      <c r="L55" s="84">
        <v>0</v>
      </c>
      <c r="M55" s="84">
        <v>0</v>
      </c>
      <c r="N55" s="84">
        <v>1</v>
      </c>
      <c r="O55" s="84">
        <v>0</v>
      </c>
      <c r="P55" s="73">
        <v>0</v>
      </c>
      <c r="Q55" s="84">
        <v>0</v>
      </c>
      <c r="R55" s="74">
        <v>1</v>
      </c>
    </row>
    <row r="56" spans="6:18" s="84" customFormat="1" ht="15" customHeight="1" x14ac:dyDescent="0.15">
      <c r="F56" s="197" t="s">
        <v>242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1</v>
      </c>
      <c r="M56" s="84">
        <v>0</v>
      </c>
      <c r="N56" s="84">
        <v>1</v>
      </c>
      <c r="O56" s="84">
        <v>0</v>
      </c>
      <c r="P56" s="73">
        <v>1</v>
      </c>
      <c r="Q56" s="84">
        <v>0</v>
      </c>
      <c r="R56" s="74">
        <v>1</v>
      </c>
    </row>
    <row r="57" spans="6:18" s="84" customFormat="1" ht="15" customHeight="1" x14ac:dyDescent="0.15">
      <c r="F57" s="197" t="s">
        <v>243</v>
      </c>
      <c r="G57" s="84">
        <v>0</v>
      </c>
      <c r="H57" s="84">
        <v>0</v>
      </c>
      <c r="I57" s="84">
        <v>0</v>
      </c>
      <c r="J57" s="84">
        <v>0</v>
      </c>
      <c r="K57" s="84">
        <v>1</v>
      </c>
      <c r="L57" s="84">
        <v>0</v>
      </c>
      <c r="M57" s="84">
        <v>1</v>
      </c>
      <c r="N57" s="84">
        <v>0</v>
      </c>
      <c r="O57" s="84">
        <v>1</v>
      </c>
      <c r="P57" s="73">
        <v>0</v>
      </c>
      <c r="Q57" s="84">
        <v>0</v>
      </c>
      <c r="R57" s="74">
        <v>1</v>
      </c>
    </row>
    <row r="58" spans="6:18" s="84" customFormat="1" ht="15" customHeight="1" x14ac:dyDescent="0.15">
      <c r="F58" s="197" t="s">
        <v>244</v>
      </c>
      <c r="G58" s="84">
        <v>0</v>
      </c>
      <c r="H58" s="84">
        <v>0</v>
      </c>
      <c r="I58" s="84">
        <v>0</v>
      </c>
      <c r="J58" s="84">
        <v>0</v>
      </c>
      <c r="K58" s="84">
        <v>0</v>
      </c>
      <c r="L58" s="84">
        <v>1</v>
      </c>
      <c r="M58" s="84">
        <v>0</v>
      </c>
      <c r="N58" s="84">
        <v>1</v>
      </c>
      <c r="O58" s="84">
        <v>0</v>
      </c>
      <c r="P58" s="73">
        <v>1</v>
      </c>
      <c r="Q58" s="84">
        <v>0</v>
      </c>
      <c r="R58" s="74">
        <v>1</v>
      </c>
    </row>
    <row r="59" spans="6:18" s="84" customFormat="1" ht="15" customHeight="1" x14ac:dyDescent="0.15">
      <c r="F59" s="197" t="s">
        <v>245</v>
      </c>
      <c r="G59" s="84">
        <v>0</v>
      </c>
      <c r="H59" s="84">
        <v>0</v>
      </c>
      <c r="I59" s="84">
        <v>0</v>
      </c>
      <c r="J59" s="84">
        <v>0</v>
      </c>
      <c r="K59" s="84">
        <v>0</v>
      </c>
      <c r="L59" s="84">
        <v>1</v>
      </c>
      <c r="M59" s="84">
        <v>0</v>
      </c>
      <c r="N59" s="84">
        <v>1</v>
      </c>
      <c r="O59" s="84">
        <v>0</v>
      </c>
      <c r="P59" s="73">
        <v>1</v>
      </c>
      <c r="Q59" s="84">
        <v>0</v>
      </c>
      <c r="R59" s="74">
        <v>1</v>
      </c>
    </row>
    <row r="60" spans="6:18" s="84" customFormat="1" ht="15" customHeight="1" x14ac:dyDescent="0.15">
      <c r="F60" s="197" t="s">
        <v>246</v>
      </c>
      <c r="G60" s="84">
        <v>0</v>
      </c>
      <c r="H60" s="84">
        <v>0</v>
      </c>
      <c r="I60" s="84">
        <v>0</v>
      </c>
      <c r="J60" s="84">
        <v>0</v>
      </c>
      <c r="K60" s="84">
        <v>0</v>
      </c>
      <c r="L60" s="84">
        <v>1</v>
      </c>
      <c r="M60" s="84">
        <v>0</v>
      </c>
      <c r="N60" s="84">
        <v>0</v>
      </c>
      <c r="O60" s="84">
        <v>0</v>
      </c>
      <c r="P60" s="73">
        <v>0</v>
      </c>
      <c r="Q60" s="84">
        <v>0</v>
      </c>
      <c r="R60" s="74">
        <v>1</v>
      </c>
    </row>
    <row r="61" spans="6:18" s="84" customFormat="1" ht="15" customHeight="1" x14ac:dyDescent="0.15">
      <c r="F61" s="197" t="s">
        <v>247</v>
      </c>
      <c r="G61" s="84">
        <v>0</v>
      </c>
      <c r="H61" s="84">
        <v>0</v>
      </c>
      <c r="I61" s="84">
        <v>0</v>
      </c>
      <c r="J61" s="84">
        <v>0</v>
      </c>
      <c r="K61" s="84">
        <v>0</v>
      </c>
      <c r="L61" s="84">
        <v>1</v>
      </c>
      <c r="M61" s="84">
        <v>0</v>
      </c>
      <c r="N61" s="84">
        <v>0</v>
      </c>
      <c r="O61" s="84">
        <v>0</v>
      </c>
      <c r="P61" s="73">
        <v>0</v>
      </c>
      <c r="Q61" s="84">
        <v>0</v>
      </c>
      <c r="R61" s="74">
        <v>1</v>
      </c>
    </row>
    <row r="62" spans="6:18" s="84" customFormat="1" ht="15" customHeight="1" x14ac:dyDescent="0.15">
      <c r="F62" s="197" t="s">
        <v>248</v>
      </c>
      <c r="G62" s="84">
        <v>0</v>
      </c>
      <c r="H62" s="84">
        <v>0</v>
      </c>
      <c r="I62" s="84">
        <v>0</v>
      </c>
      <c r="J62" s="84">
        <v>0</v>
      </c>
      <c r="K62" s="84">
        <v>0</v>
      </c>
      <c r="L62" s="84">
        <v>1</v>
      </c>
      <c r="M62" s="84">
        <v>0</v>
      </c>
      <c r="N62" s="84">
        <v>0</v>
      </c>
      <c r="O62" s="84">
        <v>0</v>
      </c>
      <c r="P62" s="73">
        <v>0</v>
      </c>
      <c r="Q62" s="84">
        <v>0</v>
      </c>
      <c r="R62" s="74">
        <v>1</v>
      </c>
    </row>
    <row r="63" spans="6:18" s="84" customFormat="1" ht="15" customHeight="1" x14ac:dyDescent="0.15">
      <c r="F63" s="197" t="s">
        <v>249</v>
      </c>
      <c r="G63" s="84">
        <v>0</v>
      </c>
      <c r="H63" s="84">
        <v>0</v>
      </c>
      <c r="I63" s="84">
        <v>0</v>
      </c>
      <c r="J63" s="84">
        <v>0</v>
      </c>
      <c r="K63" s="84">
        <v>0</v>
      </c>
      <c r="L63" s="84">
        <v>1</v>
      </c>
      <c r="M63" s="84">
        <v>0</v>
      </c>
      <c r="N63" s="84">
        <v>0</v>
      </c>
      <c r="O63" s="84">
        <v>0</v>
      </c>
      <c r="P63" s="73">
        <v>0</v>
      </c>
      <c r="Q63" s="84">
        <v>0</v>
      </c>
      <c r="R63" s="74">
        <v>1</v>
      </c>
    </row>
    <row r="64" spans="6:18" s="84" customFormat="1" ht="15" customHeight="1" x14ac:dyDescent="0.15">
      <c r="F64" s="197" t="s">
        <v>250</v>
      </c>
      <c r="G64" s="84">
        <v>0</v>
      </c>
      <c r="H64" s="84">
        <v>0</v>
      </c>
      <c r="I64" s="84">
        <v>0</v>
      </c>
      <c r="J64" s="84">
        <v>0</v>
      </c>
      <c r="K64" s="84">
        <v>0</v>
      </c>
      <c r="L64" s="84">
        <v>1</v>
      </c>
      <c r="M64" s="84">
        <v>0</v>
      </c>
      <c r="N64" s="84">
        <v>0</v>
      </c>
      <c r="O64" s="84">
        <v>0</v>
      </c>
      <c r="P64" s="73">
        <v>0</v>
      </c>
      <c r="Q64" s="84">
        <v>0</v>
      </c>
      <c r="R64" s="74">
        <v>1</v>
      </c>
    </row>
    <row r="65" spans="1:18" ht="15" customHeight="1" x14ac:dyDescent="0.15">
      <c r="F65" s="197" t="s">
        <v>251</v>
      </c>
      <c r="G65" s="84">
        <v>0</v>
      </c>
      <c r="H65" s="84">
        <v>0</v>
      </c>
      <c r="I65" s="84">
        <v>0</v>
      </c>
      <c r="J65" s="84">
        <v>0</v>
      </c>
      <c r="K65" s="84">
        <v>0</v>
      </c>
      <c r="L65" s="84">
        <v>1</v>
      </c>
      <c r="M65" s="84">
        <v>0</v>
      </c>
      <c r="N65" s="84">
        <v>0</v>
      </c>
      <c r="O65" s="84">
        <v>0</v>
      </c>
      <c r="P65" s="73">
        <v>0</v>
      </c>
      <c r="Q65" s="84">
        <v>0</v>
      </c>
      <c r="R65" s="74">
        <v>1</v>
      </c>
    </row>
    <row r="66" spans="1:18" ht="15" customHeight="1" x14ac:dyDescent="0.15">
      <c r="F66" s="197" t="s">
        <v>252</v>
      </c>
      <c r="G66" s="84">
        <v>0</v>
      </c>
      <c r="H66" s="84">
        <v>0</v>
      </c>
      <c r="I66" s="84">
        <v>0</v>
      </c>
      <c r="J66" s="84">
        <v>0</v>
      </c>
      <c r="K66" s="84">
        <v>0</v>
      </c>
      <c r="L66" s="84">
        <v>1</v>
      </c>
      <c r="M66" s="84">
        <v>0</v>
      </c>
      <c r="N66" s="84">
        <v>0</v>
      </c>
      <c r="O66" s="84">
        <v>0</v>
      </c>
      <c r="P66" s="73">
        <v>0</v>
      </c>
      <c r="Q66" s="84">
        <v>0</v>
      </c>
      <c r="R66" s="74">
        <v>1</v>
      </c>
    </row>
    <row r="67" spans="1:18" ht="15" customHeight="1" x14ac:dyDescent="0.15">
      <c r="F67" s="197" t="s">
        <v>253</v>
      </c>
      <c r="G67" s="84">
        <v>0</v>
      </c>
      <c r="H67" s="84">
        <v>0</v>
      </c>
      <c r="I67" s="84">
        <v>0</v>
      </c>
      <c r="J67" s="84">
        <v>0</v>
      </c>
      <c r="K67" s="84">
        <v>0</v>
      </c>
      <c r="L67" s="84">
        <v>1</v>
      </c>
      <c r="M67" s="84">
        <v>0</v>
      </c>
      <c r="N67" s="84">
        <v>0</v>
      </c>
      <c r="O67" s="84">
        <v>0</v>
      </c>
      <c r="P67" s="73">
        <v>0</v>
      </c>
      <c r="Q67" s="84">
        <v>0</v>
      </c>
      <c r="R67" s="74">
        <v>1</v>
      </c>
    </row>
    <row r="68" spans="1:18" ht="15" customHeight="1" x14ac:dyDescent="0.15">
      <c r="F68" s="197" t="s">
        <v>254</v>
      </c>
      <c r="G68" s="84">
        <v>0</v>
      </c>
      <c r="H68" s="84">
        <v>0</v>
      </c>
      <c r="I68" s="84">
        <v>0</v>
      </c>
      <c r="J68" s="84">
        <v>0</v>
      </c>
      <c r="K68" s="84">
        <v>0</v>
      </c>
      <c r="L68" s="84">
        <v>1</v>
      </c>
      <c r="M68" s="84">
        <v>0</v>
      </c>
      <c r="N68" s="84">
        <v>0</v>
      </c>
      <c r="O68" s="84">
        <v>0</v>
      </c>
      <c r="P68" s="73">
        <v>0</v>
      </c>
      <c r="Q68" s="84">
        <v>0</v>
      </c>
      <c r="R68" s="74">
        <v>1</v>
      </c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4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4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4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4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4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4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4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4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4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4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4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4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4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4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4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4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4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4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4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4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4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4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4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4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4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4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4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4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4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4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4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4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4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4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4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4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4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4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4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4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4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4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4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4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4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4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4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4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4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4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4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4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4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4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4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4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4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4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4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4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4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4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4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4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4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4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4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4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4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4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4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4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4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4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4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4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4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4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4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4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4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4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4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4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4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4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4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4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4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4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4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4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4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4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4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4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4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4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4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4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4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4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4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BS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6" sqref="A6"/>
    </sheetView>
  </sheetViews>
  <sheetFormatPr baseColWidth="10" defaultColWidth="8.83203125" defaultRowHeight="13" x14ac:dyDescent="0.15"/>
  <cols>
    <col min="1" max="1" width="28.5" bestFit="1" customWidth="1"/>
    <col min="2" max="2" width="2.33203125" style="113" customWidth="1"/>
    <col min="3" max="5" width="7.83203125" style="113" customWidth="1"/>
    <col min="6" max="8" width="8.83203125" style="6"/>
    <col min="9" max="9" width="14.6640625" style="6" customWidth="1"/>
    <col min="10" max="10" width="13.83203125" style="6" customWidth="1"/>
    <col min="11" max="11" width="6" style="6" customWidth="1"/>
    <col min="12" max="12" width="8.5" style="6" customWidth="1"/>
    <col min="13" max="13" width="14.5" style="6" customWidth="1"/>
    <col min="14" max="14" width="5.5" style="6" customWidth="1"/>
    <col min="15" max="15" width="12.1640625" style="6" customWidth="1"/>
    <col min="16" max="16" width="17" style="6" customWidth="1"/>
    <col min="17" max="17" width="16.1640625" style="6" customWidth="1"/>
    <col min="18" max="18" width="21" style="6" customWidth="1"/>
    <col min="19" max="19" width="14" style="6" customWidth="1"/>
    <col min="20" max="20" width="18.83203125" style="6" customWidth="1"/>
    <col min="21" max="21" width="7.5" style="6" customWidth="1"/>
    <col min="22" max="22" width="5" style="6" customWidth="1"/>
    <col min="23" max="23" width="8.33203125" style="6" customWidth="1"/>
    <col min="24" max="24" width="9" style="6" customWidth="1"/>
    <col min="25" max="25" width="12.5" style="6" customWidth="1"/>
    <col min="26" max="26" width="14.5" style="6" customWidth="1"/>
    <col min="27" max="27" width="12.5" style="6" customWidth="1"/>
    <col min="28" max="28" width="9.6640625" style="6" customWidth="1"/>
    <col min="29" max="29" width="20.5" style="6" customWidth="1"/>
    <col min="30" max="31" width="8.83203125" style="6" customWidth="1"/>
    <col min="32" max="32" width="8.6640625" style="6" customWidth="1"/>
    <col min="33" max="33" width="6.33203125" style="6" customWidth="1"/>
    <col min="34" max="34" width="18.5" style="6" customWidth="1"/>
    <col min="35" max="35" width="19.5" style="6" customWidth="1"/>
    <col min="36" max="36" width="18.5" style="6" customWidth="1"/>
    <col min="37" max="37" width="28.5" style="6" customWidth="1"/>
    <col min="38" max="38" width="12.5" style="6" customWidth="1"/>
    <col min="39" max="39" width="12.33203125" customWidth="1"/>
    <col min="40" max="40" width="15.5" customWidth="1"/>
    <col min="41" max="41" width="21.1640625" customWidth="1"/>
    <col min="42" max="42" width="20.5" customWidth="1"/>
    <col min="43" max="43" width="18.1640625" customWidth="1"/>
    <col min="44" max="44" width="19.83203125" customWidth="1"/>
    <col min="45" max="45" width="19.33203125" customWidth="1"/>
    <col min="46" max="46" width="21.5" customWidth="1"/>
    <col min="47" max="47" width="9.1640625" customWidth="1"/>
    <col min="48" max="48" width="12" customWidth="1"/>
    <col min="49" max="49" width="17.5" customWidth="1"/>
    <col min="50" max="50" width="15.1640625" customWidth="1"/>
    <col min="51" max="51" width="9.6640625" customWidth="1"/>
    <col min="52" max="52" width="20.6640625" customWidth="1"/>
    <col min="53" max="55" width="21.5" customWidth="1"/>
    <col min="56" max="56" width="8.83203125" customWidth="1"/>
    <col min="57" max="57" width="9.33203125" customWidth="1"/>
    <col min="58" max="58" width="13.1640625" customWidth="1"/>
    <col min="59" max="59" width="23" customWidth="1"/>
    <col min="60" max="60" width="22" customWidth="1"/>
    <col min="61" max="61" width="8.5" customWidth="1"/>
    <col min="62" max="62" width="21.6640625" customWidth="1"/>
    <col min="63" max="63" width="13.1640625" customWidth="1"/>
    <col min="64" max="64" width="12.5" customWidth="1"/>
    <col min="65" max="65" width="15.6640625" customWidth="1"/>
    <col min="66" max="66" width="10" customWidth="1"/>
    <col min="67" max="67" width="10.1640625" customWidth="1"/>
    <col min="68" max="68" width="19.5" customWidth="1"/>
    <col min="69" max="69" width="13.1640625" customWidth="1"/>
    <col min="70" max="70" width="8.1640625" customWidth="1"/>
    <col min="71" max="71" width="15" customWidth="1"/>
    <col min="81" max="81" width="22.1640625" bestFit="1" customWidth="1"/>
  </cols>
  <sheetData>
    <row r="1" spans="1:71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/>
      <c r="G1"/>
      <c r="H1"/>
      <c r="I1" s="202" t="s">
        <v>192</v>
      </c>
      <c r="J1" s="202" t="s">
        <v>193</v>
      </c>
      <c r="K1" s="202" t="s">
        <v>194</v>
      </c>
      <c r="L1" s="202" t="s">
        <v>195</v>
      </c>
      <c r="M1" s="202" t="s">
        <v>196</v>
      </c>
      <c r="N1" s="202" t="s">
        <v>197</v>
      </c>
      <c r="O1" s="202" t="s">
        <v>198</v>
      </c>
      <c r="P1" s="202" t="s">
        <v>199</v>
      </c>
      <c r="Q1" s="202" t="s">
        <v>200</v>
      </c>
      <c r="R1" s="202" t="s">
        <v>201</v>
      </c>
      <c r="S1" s="202" t="s">
        <v>202</v>
      </c>
      <c r="T1" s="202" t="s">
        <v>203</v>
      </c>
      <c r="U1" s="202" t="s">
        <v>204</v>
      </c>
      <c r="V1" s="202" t="s">
        <v>205</v>
      </c>
      <c r="W1" s="202" t="s">
        <v>206</v>
      </c>
      <c r="X1" s="202" t="s">
        <v>207</v>
      </c>
      <c r="Y1" s="202" t="s">
        <v>208</v>
      </c>
      <c r="Z1" s="202" t="s">
        <v>209</v>
      </c>
      <c r="AA1" s="202" t="s">
        <v>210</v>
      </c>
      <c r="AB1" s="202" t="s">
        <v>211</v>
      </c>
      <c r="AC1" s="202" t="s">
        <v>212</v>
      </c>
      <c r="AD1" s="202" t="s">
        <v>213</v>
      </c>
      <c r="AE1" s="202" t="s">
        <v>214</v>
      </c>
      <c r="AF1" s="202" t="s">
        <v>215</v>
      </c>
      <c r="AG1" s="202" t="s">
        <v>216</v>
      </c>
      <c r="AH1" s="202" t="s">
        <v>217</v>
      </c>
      <c r="AI1" s="202" t="s">
        <v>218</v>
      </c>
      <c r="AJ1" s="202" t="s">
        <v>219</v>
      </c>
      <c r="AK1" s="202" t="s">
        <v>220</v>
      </c>
      <c r="AL1" s="202" t="s">
        <v>221</v>
      </c>
      <c r="AM1" s="202" t="s">
        <v>222</v>
      </c>
      <c r="AN1" s="202" t="s">
        <v>223</v>
      </c>
      <c r="AO1" s="202" t="s">
        <v>224</v>
      </c>
      <c r="AP1" s="202" t="s">
        <v>225</v>
      </c>
      <c r="AQ1" s="202" t="s">
        <v>226</v>
      </c>
      <c r="AR1" s="202" t="s">
        <v>227</v>
      </c>
      <c r="AS1" s="202" t="s">
        <v>228</v>
      </c>
      <c r="AT1" s="202" t="s">
        <v>229</v>
      </c>
      <c r="AU1" s="202" t="s">
        <v>230</v>
      </c>
      <c r="AV1" s="202" t="s">
        <v>231</v>
      </c>
      <c r="AW1" s="202" t="s">
        <v>232</v>
      </c>
      <c r="AX1" s="202" t="s">
        <v>233</v>
      </c>
      <c r="AY1" s="202" t="s">
        <v>234</v>
      </c>
      <c r="AZ1" s="202" t="s">
        <v>235</v>
      </c>
      <c r="BA1" s="202" t="s">
        <v>236</v>
      </c>
      <c r="BB1" s="202" t="s">
        <v>237</v>
      </c>
      <c r="BC1" s="202" t="s">
        <v>238</v>
      </c>
      <c r="BD1" s="202" t="s">
        <v>239</v>
      </c>
      <c r="BE1" s="202" t="s">
        <v>240</v>
      </c>
      <c r="BF1" s="202" t="s">
        <v>241</v>
      </c>
      <c r="BG1" s="202" t="s">
        <v>242</v>
      </c>
      <c r="BH1" s="202" t="s">
        <v>243</v>
      </c>
      <c r="BI1" s="202" t="s">
        <v>244</v>
      </c>
      <c r="BJ1" s="202" t="s">
        <v>245</v>
      </c>
      <c r="BK1" s="202" t="s">
        <v>246</v>
      </c>
      <c r="BL1" s="202" t="s">
        <v>247</v>
      </c>
      <c r="BM1" s="202" t="s">
        <v>248</v>
      </c>
      <c r="BN1" s="202" t="s">
        <v>249</v>
      </c>
      <c r="BO1" s="202" t="s">
        <v>250</v>
      </c>
      <c r="BP1" s="202" t="s">
        <v>251</v>
      </c>
      <c r="BQ1" s="202" t="s">
        <v>252</v>
      </c>
      <c r="BR1" s="202" t="s">
        <v>253</v>
      </c>
      <c r="BS1" s="202" t="s">
        <v>254</v>
      </c>
    </row>
    <row r="2" spans="1:71" x14ac:dyDescent="0.15">
      <c r="A2" t="s">
        <v>38</v>
      </c>
      <c r="B2" s="113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71" x14ac:dyDescent="0.15">
      <c r="A3" t="s">
        <v>40</v>
      </c>
      <c r="B3" s="113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71" x14ac:dyDescent="0.15">
      <c r="A4" t="s">
        <v>41</v>
      </c>
      <c r="B4" s="113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71" x14ac:dyDescent="0.15">
      <c r="A5" s="201" t="s">
        <v>192</v>
      </c>
      <c r="B5" s="113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71" x14ac:dyDescent="0.15">
      <c r="A6" s="201" t="s">
        <v>193</v>
      </c>
      <c r="B6" s="113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71" x14ac:dyDescent="0.15">
      <c r="A7" s="201" t="s">
        <v>194</v>
      </c>
      <c r="B7" s="113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71" x14ac:dyDescent="0.15">
      <c r="A8" s="201" t="s">
        <v>195</v>
      </c>
      <c r="B8" s="113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71" x14ac:dyDescent="0.15">
      <c r="A9" s="201" t="s">
        <v>196</v>
      </c>
      <c r="B9" s="113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71" x14ac:dyDescent="0.15">
      <c r="A10" s="201" t="s">
        <v>197</v>
      </c>
      <c r="B10" s="113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71" x14ac:dyDescent="0.15">
      <c r="A11" s="201" t="s">
        <v>198</v>
      </c>
      <c r="B11" s="113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71" x14ac:dyDescent="0.15">
      <c r="A12" s="201" t="s">
        <v>199</v>
      </c>
      <c r="B12" s="113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71" x14ac:dyDescent="0.15">
      <c r="A13" s="201" t="s">
        <v>200</v>
      </c>
      <c r="B13" s="113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71" x14ac:dyDescent="0.15">
      <c r="A14" s="201" t="s">
        <v>201</v>
      </c>
      <c r="B14" s="113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71" x14ac:dyDescent="0.15">
      <c r="A15" s="201" t="s">
        <v>202</v>
      </c>
      <c r="B15" s="113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71" x14ac:dyDescent="0.15">
      <c r="A16" s="201" t="s">
        <v>203</v>
      </c>
      <c r="B16" s="113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01" t="s">
        <v>204</v>
      </c>
      <c r="B17" s="113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01" t="s">
        <v>205</v>
      </c>
      <c r="B18" s="113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01" t="s">
        <v>206</v>
      </c>
      <c r="B19" s="113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01" t="s">
        <v>207</v>
      </c>
      <c r="B20" s="113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01" t="s">
        <v>208</v>
      </c>
      <c r="B21" s="113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01" t="s">
        <v>209</v>
      </c>
      <c r="B22" s="113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01" t="s">
        <v>210</v>
      </c>
      <c r="B23" s="113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01" t="s">
        <v>211</v>
      </c>
      <c r="B24" s="113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01" t="s">
        <v>212</v>
      </c>
      <c r="B25" s="113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01" t="s">
        <v>213</v>
      </c>
      <c r="B26" s="113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01" t="s">
        <v>214</v>
      </c>
      <c r="B27" s="113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01" t="s">
        <v>215</v>
      </c>
      <c r="B28" s="113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01" t="s">
        <v>216</v>
      </c>
      <c r="B29" s="113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01" t="s">
        <v>217</v>
      </c>
      <c r="B30" s="113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01" t="s">
        <v>218</v>
      </c>
      <c r="B31" s="113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01" t="s">
        <v>219</v>
      </c>
      <c r="B32" s="113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01" t="s">
        <v>220</v>
      </c>
      <c r="B33" s="113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01" t="s">
        <v>221</v>
      </c>
      <c r="B34" s="113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01" t="s">
        <v>222</v>
      </c>
      <c r="B35" s="113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01" t="s">
        <v>223</v>
      </c>
      <c r="B36" s="113">
        <v>0</v>
      </c>
      <c r="C36"/>
      <c r="D36"/>
    </row>
    <row r="37" spans="1:38" ht="15" customHeight="1" x14ac:dyDescent="0.15">
      <c r="A37" s="201" t="s">
        <v>224</v>
      </c>
      <c r="B37" s="113">
        <v>0</v>
      </c>
      <c r="C37"/>
      <c r="D37"/>
    </row>
    <row r="38" spans="1:38" ht="15" customHeight="1" x14ac:dyDescent="0.15">
      <c r="A38" s="201" t="s">
        <v>225</v>
      </c>
      <c r="B38" s="113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01" t="s">
        <v>226</v>
      </c>
      <c r="B39" s="113">
        <v>0</v>
      </c>
      <c r="C39"/>
      <c r="D39"/>
    </row>
    <row r="40" spans="1:38" ht="15" customHeight="1" x14ac:dyDescent="0.15">
      <c r="A40" s="201" t="s">
        <v>227</v>
      </c>
      <c r="B40" s="113">
        <v>0</v>
      </c>
      <c r="C40"/>
      <c r="D40"/>
    </row>
    <row r="41" spans="1:38" ht="15" customHeight="1" x14ac:dyDescent="0.15">
      <c r="A41" s="201" t="s">
        <v>228</v>
      </c>
      <c r="B41" s="113">
        <v>0</v>
      </c>
      <c r="C41"/>
      <c r="D41"/>
    </row>
    <row r="42" spans="1:38" ht="15" customHeight="1" x14ac:dyDescent="0.15">
      <c r="A42" s="201" t="s">
        <v>229</v>
      </c>
      <c r="B42" s="113">
        <v>0</v>
      </c>
    </row>
    <row r="43" spans="1:38" ht="15" customHeight="1" x14ac:dyDescent="0.15">
      <c r="A43" s="201" t="s">
        <v>230</v>
      </c>
      <c r="B43" s="113">
        <v>0</v>
      </c>
    </row>
    <row r="44" spans="1:38" ht="15" customHeight="1" x14ac:dyDescent="0.15">
      <c r="A44" s="201" t="s">
        <v>231</v>
      </c>
      <c r="B44" s="113">
        <v>0</v>
      </c>
    </row>
    <row r="45" spans="1:38" ht="15" customHeight="1" x14ac:dyDescent="0.15">
      <c r="A45" s="201" t="s">
        <v>232</v>
      </c>
      <c r="B45" s="113">
        <v>0</v>
      </c>
    </row>
    <row r="46" spans="1:38" ht="15" customHeight="1" x14ac:dyDescent="0.15">
      <c r="A46" s="201" t="s">
        <v>233</v>
      </c>
      <c r="B46" s="113">
        <v>0</v>
      </c>
    </row>
    <row r="47" spans="1:38" ht="15" customHeight="1" x14ac:dyDescent="0.15">
      <c r="A47" s="201" t="s">
        <v>234</v>
      </c>
      <c r="B47" s="113">
        <v>0</v>
      </c>
    </row>
    <row r="48" spans="1:38" ht="15" customHeight="1" x14ac:dyDescent="0.15">
      <c r="A48" s="201" t="s">
        <v>235</v>
      </c>
      <c r="B48" s="113">
        <v>0</v>
      </c>
    </row>
    <row r="49" spans="1:38" ht="15" customHeight="1" x14ac:dyDescent="0.15">
      <c r="A49" s="201" t="s">
        <v>236</v>
      </c>
      <c r="B49" s="113">
        <v>0</v>
      </c>
    </row>
    <row r="50" spans="1:38" ht="15" customHeight="1" x14ac:dyDescent="0.15">
      <c r="A50" s="201" t="s">
        <v>237</v>
      </c>
      <c r="B50" s="113">
        <v>0</v>
      </c>
    </row>
    <row r="51" spans="1:38" ht="15" customHeight="1" x14ac:dyDescent="0.15">
      <c r="A51" s="201" t="s">
        <v>238</v>
      </c>
      <c r="B51" s="113">
        <v>0</v>
      </c>
    </row>
    <row r="52" spans="1:38" ht="15" customHeight="1" x14ac:dyDescent="0.15">
      <c r="A52" s="201" t="s">
        <v>239</v>
      </c>
      <c r="B52" s="113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01" t="s">
        <v>240</v>
      </c>
      <c r="B53" s="113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01" t="s">
        <v>241</v>
      </c>
      <c r="B54" s="113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01" t="s">
        <v>242</v>
      </c>
      <c r="B55" s="113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01" t="s">
        <v>243</v>
      </c>
      <c r="B56" s="113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01" t="s">
        <v>244</v>
      </c>
      <c r="B57" s="113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01" t="s">
        <v>245</v>
      </c>
      <c r="B58" s="113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01" t="s">
        <v>246</v>
      </c>
      <c r="B59" s="113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01" t="s">
        <v>247</v>
      </c>
      <c r="B60" s="113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01" t="s">
        <v>248</v>
      </c>
      <c r="B61" s="113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01" t="s">
        <v>249</v>
      </c>
      <c r="B62" s="113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01" t="s">
        <v>250</v>
      </c>
      <c r="B63" s="113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01" t="s">
        <v>251</v>
      </c>
      <c r="B64" s="113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01" t="s">
        <v>252</v>
      </c>
      <c r="B65" s="113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01" t="s">
        <v>253</v>
      </c>
      <c r="B66" s="113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01" t="s">
        <v>254</v>
      </c>
      <c r="B67" s="113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2023-08-14T21:55:27Z</dcterms:modified>
</cp:coreProperties>
</file>