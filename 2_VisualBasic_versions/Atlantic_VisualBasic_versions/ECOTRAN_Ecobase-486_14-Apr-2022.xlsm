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8988A6BA-8A6F-1149-A886-8089B2ABB5AC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Main!$C$2:$N$36</definedName>
    <definedName name="matDetritus">Detritus!$C$2:$E$36</definedName>
    <definedName name="matDiet">Diets!$B$2:$AE$34</definedName>
    <definedName name="matDiscards">Discards!$C$2:$E$33</definedName>
    <definedName name="matFishery">Fishing!$C$2:$E$33</definedName>
    <definedName name="matFishing">Fishing!#REF!</definedName>
    <definedName name="matMort">Mortalities!$A$1:$AL$33</definedName>
    <definedName name="matOut">MainOutputs!$A$2:$I$36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<sst xmlns="http://schemas.openxmlformats.org/spreadsheetml/2006/main" count="1003" uniqueCount="233">
  <si>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</si>
  <si>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</si>
  <si>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</si>
  <si>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</si>
  <si>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</si>
  <si>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</si>
  <si>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</si>
  <si>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</si>
  <si>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</si>
  <si>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</si>
  <si>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</si>
  <si>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</si>
  <si>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</si>
  <si>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</si>
  <si>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</si>
  <si>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</si>
  <si>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</si>
  <si>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</si>
  <si>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</si>
  <si>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</si>
  <si>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</si>
  <si>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</si>
  <si>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</si>
  <si>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</si>
  <si>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</si>
  <si>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</si>
  <si>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</si>
  <si>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</si>
  <si>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</si>
  <si>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</si>
  <si>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</si>
  <si>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</si>
  <si>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</si>
  <si>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</si>
  <si>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</si>
  <si>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</si>
  <si>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</si>
  <si>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</si>
  <si>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</si>
  <si>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</si>
  <si>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</si>
  <si>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</si>
  <si>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</si>
  <si>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</si>
  <si>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</si>
  <si>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</si>
  <si>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</si>
  <si>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</si>
  <si>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</si>
  <si>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</si>
  <si>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</si>
  <si>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</si>
  <si>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</si>
  <si>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</si>
  <si>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</si>
  <si>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</si>
  <si>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</si>
  <si>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</si>
  <si>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</si>
  <si>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</si>
  <si>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</si>
  <si>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</si>
  <si>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</si>
  <si>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</si>
  <si>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</si>
  <si>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</si>
  <si>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</si>
  <si>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</si>
  <si>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</si>
  <si>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</si>
  <si>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</si>
  <si>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</si>
  <si>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</si>
  <si>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</si>
  <si>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</si>
  <si>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</si>
  <si>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</si>
  <si>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</si>
  <si>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</si>
  <si>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</si>
  <si>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</si>
  <si>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</si>
  <si>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</si>
  <si>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</si>
  <si>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</si>
  <si>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</si>
  <si>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</si>
  <si>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</si>
  <si>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</si>
  <si>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</si>
  <si>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</si>
  <si>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</si>
  <si>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</si>
  <si>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</si>
  <si>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</si>
  <si>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</si>
  <si>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</si>
  <si>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</si>
  <si>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</si>
  <si>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</si>
  <si>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</si>
  <si>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</si>
  <si>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</si>
  <si>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</si>
  <si>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</si>
  <si>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</si>
  <si>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</si>
  <si>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</si>
  <si>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</si>
  <si>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</si>
  <si>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</si>
  <si>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</si>
  <si>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</si>
  <si>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</si>
  <si>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</si>
  <si>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</si>
  <si>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</si>
  <si>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</si>
  <si>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</si>
  <si>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</si>
  <si>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</si>
  <si>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</si>
  <si>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</si>
  <si>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</si>
  <si>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</si>
  <si>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</si>
  <si>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</si>
  <si>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</si>
  <si>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</si>
  <si>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</si>
  <si>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</si>
  <si>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</si>
  <si>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</si>
  <si>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</si>
  <si>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</si>
  <si>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</si>
  <si>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</si>
  <si>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</si>
  <si>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</si>
  <si>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</si>
  <si>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</si>
  <si>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</si>
  <si>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</si>
  <si>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</si>
  <si>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</si>
  <si>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</si>
  <si>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</si>
  <si>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</si>
  <si>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</si>
  <si>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</si>
  <si>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</si>
  <si>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</si>
  <si>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</si>
  <si>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</si>
  <si>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</si>
  <si>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</si>
  <si>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</si>
  <si>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</si>
  <si>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</si>
  <si>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</si>
  <si>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</si>
  <si>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</si>
  <si>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</si>
  <si>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</si>
  <si>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</si>
  <si>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</si>
  <si>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</si>
  <si>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</si>
  <si>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</si>
  <si>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</si>
  <si>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</si>
  <si>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</si>
  <si>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</si>
  <si>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</si>
  <si>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</si>
  <si>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</si>
  <si>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</si>
  <si>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</si>
  <si>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</si>
  <si>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</si>
  <si>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</si>
  <si>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</si>
  <si>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</si>
  <si>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</si>
  <si>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</si>
  <si>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Cape Verde</t>
  </si>
  <si>
    <t>BOX(-26.06215 14.62461,-21.96425 17.37013)</t>
  </si>
  <si>
    <t>continental shelf</t>
  </si>
  <si>
    <t>WetWeight</t>
  </si>
  <si>
    <t>acv4_80 test model; 09/06/2002 00:29:18; 13/08/02 17:18:28; 11/4/2002 3:36:28 PM</t>
  </si>
  <si>
    <t>Stobberup K.A.,Ramos V.D.M.,Coelho M.L.(2004). Ecopath model of the Cape Verde coastal ecosystem West African marine ecosystems: models and fisheries impacts. pp 39-56. In Palomares M.L.D.,Pauly D.,Palomares M.L.D.,Pauly D.,Palomares M.L.D.,Pauly D.</t>
  </si>
  <si>
    <t>Sea birds</t>
  </si>
  <si>
    <t>Mammals</t>
  </si>
  <si>
    <t>Billfish</t>
  </si>
  <si>
    <t>Large Tuna</t>
  </si>
  <si>
    <t>Pelagic predato</t>
  </si>
  <si>
    <t>Small tuna</t>
  </si>
  <si>
    <t>Jacks</t>
  </si>
  <si>
    <t>Moray eels</t>
  </si>
  <si>
    <t>Pelagic sharks</t>
  </si>
  <si>
    <t>Bathydemersal</t>
  </si>
  <si>
    <t>Demersal sharks</t>
  </si>
  <si>
    <t>Demersal predat</t>
  </si>
  <si>
    <t>Rays</t>
  </si>
  <si>
    <t>O Demersal fish</t>
  </si>
  <si>
    <t>Demersal fish</t>
  </si>
  <si>
    <t>Flatfish</t>
  </si>
  <si>
    <t>Small pelagics</t>
  </si>
  <si>
    <t>Reef feeders</t>
  </si>
  <si>
    <t>Sparids</t>
  </si>
  <si>
    <t>Flyingfish</t>
  </si>
  <si>
    <t>Herbivores</t>
  </si>
  <si>
    <t>Turtles</t>
  </si>
  <si>
    <t>Crustaceans</t>
  </si>
  <si>
    <t>Echinoderms</t>
  </si>
  <si>
    <t>Molluscs/Worms</t>
  </si>
  <si>
    <t>Heterotrophic b</t>
  </si>
  <si>
    <t>Microfauna</t>
  </si>
  <si>
    <t>Zooplankton</t>
  </si>
  <si>
    <t>Phytoplankton</t>
  </si>
  <si>
    <t>Benthic autotro</t>
  </si>
  <si>
    <t>Detritus</t>
  </si>
  <si>
    <t>detritus_TerminalBenthic</t>
  </si>
  <si>
    <t>Art Lines</t>
  </si>
  <si>
    <t>Art Nets</t>
  </si>
  <si>
    <t>Industrial</t>
  </si>
  <si>
    <t>Import</t>
  </si>
  <si>
    <t>export</t>
  </si>
  <si>
    <t>sum</t>
  </si>
  <si>
    <t>TOTAL</t>
  </si>
  <si>
    <t>F Art Lines</t>
  </si>
  <si>
    <t>F Art Nets</t>
  </si>
  <si>
    <t>F Industrial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</si>
</sst>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4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FF8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FF4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F44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FF29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 applyAlignment="1">
      <alignment horizontal="center"/>
    </xf>
    <xf numFmtId="0" fontId="0" fillId="33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 applyAlignment="1">
      <alignment horizontal="center"/>
    </xf>
    <xf numFmtId="0" fontId="0" fillId="36" borderId="0" xfId="0" applyFill="1"/>
    <xf numFmtId="0" fontId="0" fillId="37" borderId="0" xfId="0" applyFill="1"/>
    <xf numFmtId="0" fontId="0" fillId="38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4" borderId="3" xfId="0" applyNumberFormat="1" applyFont="1" applyFill="1" applyBorder="1"/>
    <xf numFmtId="0" fontId="0" fillId="34" borderId="2" xfId="0" applyFont="1" applyFill="1" applyBorder="1"/>
    <xf numFmtId="0" fontId="0" fillId="34" borderId="3" xfId="0" applyFont="1" applyFill="1" applyBorder="1"/>
    <xf numFmtId="0" fontId="0" fillId="3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22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3" t="s">
        <v>171</v>
      </c>
      <c r="C53" s="106">
        <v>486</v>
      </c>
      <c r="D53" s="106"/>
    </row>
    <row r="54" spans="2:4" x14ac:dyDescent="0.15">
      <c r="B54" s="173" t="s">
        <v>172</v>
      </c>
      <c r="C54" s="173" t="s">
        <v>185</v>
      </c>
      <c r="D54" s="106"/>
    </row>
    <row r="55" spans="2:4" x14ac:dyDescent="0.15">
      <c r="B55" s="173" t="s">
        <v>173</v>
      </c>
      <c r="C55" s="173" t="s">
        <v>185</v>
      </c>
      <c r="D55" s="106"/>
    </row>
    <row r="56" spans="2:4" x14ac:dyDescent="0.15">
      <c r="B56" s="173" t="s">
        <v>174</v>
      </c>
      <c r="C56" s="106">
        <v>5394</v>
      </c>
      <c r="D56" s="106"/>
    </row>
    <row r="57" spans="2:4" x14ac:dyDescent="0.15">
      <c r="B57" s="173" t="s">
        <v>175</v>
      </c>
      <c r="C57" s="173" t="s">
        <v>186</v>
      </c>
      <c r="D57" s="106"/>
    </row>
    <row r="58" spans="2:4" x14ac:dyDescent="0.15">
      <c r="B58" s="173" t="s">
        <v>176</v>
      </c>
      <c r="C58" s="173" t="s">
        <v>187</v>
      </c>
      <c r="D58" s="106"/>
    </row>
    <row r="59" spans="2:4" x14ac:dyDescent="0.15">
      <c r="B59" s="173" t="s">
        <v>177</v>
      </c>
      <c r="C59" s="173" t="s">
        <v>188</v>
      </c>
      <c r="D59" s="106"/>
    </row>
    <row r="60" spans="2:4" x14ac:dyDescent="0.15">
      <c r="B60" s="173" t="s">
        <v>178</v>
      </c>
      <c r="C60" s="173" t="s">
        <v>189</v>
      </c>
      <c r="D60" s="106"/>
    </row>
    <row r="61" spans="2:4" x14ac:dyDescent="0.15">
      <c r="B61" s="173" t="s">
        <v>179</v>
      </c>
      <c r="C61" s="106">
        <v>31</v>
      </c>
      <c r="D61" s="106"/>
    </row>
    <row r="62" spans="2:4" x14ac:dyDescent="0.15">
      <c r="B62" s="173" t="s">
        <v>180</v>
      </c>
      <c r="C62" s="106">
        <v>3</v>
      </c>
      <c r="D62" s="106"/>
    </row>
    <row r="63" spans="2:4" x14ac:dyDescent="0.15">
      <c r="B63" s="173" t="s">
        <v>181</v>
      </c>
      <c r="C63" s="106">
        <v>1981</v>
      </c>
      <c r="D63" s="106"/>
    </row>
    <row r="64" spans="2:4" x14ac:dyDescent="0.15">
      <c r="B64" s="173" t="s">
        <v>182</v>
      </c>
      <c r="C64" s="106">
        <v>4</v>
      </c>
      <c r="D64" s="106"/>
    </row>
    <row r="65" spans="2:4" x14ac:dyDescent="0.15">
      <c r="B65" s="173" t="s">
        <v>183</v>
      </c>
      <c r="C65" s="173" t="s">
        <v>190</v>
      </c>
      <c r="D65" s="106"/>
    </row>
    <row r="66" spans="2:4" x14ac:dyDescent="0.15">
      <c r="B66" s="173" t="s">
        <v>184</v>
      </c>
      <c r="D66" s="106"/>
    </row>
    <row r="67" spans="2:4" x14ac:dyDescent="0.15">
      <c r="B67" s="106"/>
      <c r="C67" s="106"/>
      <c r="D67" s="106"/>
    </row>
    <row r="68" spans="2:4" x14ac:dyDescent="0.15">
      <c r="B68" s="106"/>
      <c r="C68" s="106"/>
      <c r="D68" s="10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79" customWidth="1"/>
    <col min="2" max="3" width="3.33203125" style="79" customWidth="1"/>
    <col min="4" max="4" width="14.33203125" style="79" customWidth="1"/>
    <col min="5" max="5" width="21.6640625" style="79" bestFit="1" customWidth="1"/>
    <col min="6" max="6" width="2.33203125" style="79" bestFit="1" customWidth="1"/>
    <col min="7" max="7" width="12.83203125" style="79" bestFit="1" customWidth="1"/>
    <col min="8" max="8" width="11.83203125" style="79" customWidth="1"/>
    <col min="9" max="9" width="6.83203125" style="79" customWidth="1"/>
    <col min="10" max="10" width="11.83203125" style="79" customWidth="1"/>
    <col min="11" max="11" width="12.83203125" style="79" customWidth="1"/>
    <col min="12" max="12" width="2.33203125" style="79" customWidth="1"/>
    <col min="13" max="13" width="3.83203125" style="79" customWidth="1"/>
    <col min="14" max="14" width="2.33203125" style="79" customWidth="1"/>
    <col min="16" max="25" width="8.83203125" style="79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9"/>
  </cols>
  <sheetData>
    <row r="1" spans="1:46" s="96" customFormat="1" ht="15" customHeight="1" x14ac:dyDescent="0.15">
      <c r="A1" s="75" t="s">
        <v>18</v>
      </c>
      <c r="C1" s="76" t="s">
        <v>8</v>
      </c>
      <c r="D1" s="75" t="s">
        <v>23</v>
      </c>
      <c r="E1" s="75" t="s">
        <v>0</v>
      </c>
      <c r="F1" s="75" t="s">
        <v>7</v>
      </c>
      <c r="G1" s="77" t="s">
        <v>13</v>
      </c>
      <c r="H1" s="75" t="s">
        <v>1</v>
      </c>
      <c r="I1" s="75" t="s">
        <v>2</v>
      </c>
      <c r="J1" s="75" t="s">
        <v>14</v>
      </c>
      <c r="K1" s="75" t="s">
        <v>3</v>
      </c>
      <c r="L1" s="75" t="s">
        <v>4</v>
      </c>
      <c r="M1" s="75" t="s">
        <v>5</v>
      </c>
      <c r="N1" s="75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6">
        <v>1</v>
      </c>
      <c r="D2"/>
      <c r="E2" s="174" t="s">
        <v>191</v>
      </c>
      <c r="F2" s="79">
        <v>0</v>
      </c>
      <c r="G2" s="79">
        <v>2.04889327E-2</v>
      </c>
      <c r="H2" s="79">
        <v>0.25</v>
      </c>
      <c r="I2" s="6">
        <v>109.5</v>
      </c>
      <c r="J2" s="6">
        <v>0.5</v>
      </c>
      <c r="K2" s="6">
        <v>2.2831050000000001E-3</v>
      </c>
      <c r="L2" s="6">
        <v>0</v>
      </c>
      <c r="M2" s="79">
        <v>0.2</v>
      </c>
      <c r="N2" s="79">
        <v>0</v>
      </c>
    </row>
    <row r="3" spans="1:46" ht="15" customHeight="1" x14ac:dyDescent="0.15">
      <c r="A3" s="1" t="s">
        <v>9</v>
      </c>
      <c r="B3" s="4">
        <v>30</v>
      </c>
      <c r="C3" s="79">
        <v>2</v>
      </c>
      <c r="D3"/>
      <c r="E3" s="174" t="s">
        <v>192</v>
      </c>
      <c r="F3" s="79">
        <v>0</v>
      </c>
      <c r="G3" s="79">
        <v>3.441031E-2</v>
      </c>
      <c r="H3" s="79">
        <v>0.1</v>
      </c>
      <c r="I3" s="79">
        <v>11.79</v>
      </c>
      <c r="J3" s="79">
        <v>0.5</v>
      </c>
      <c r="K3" s="79">
        <v>8.4817639999999993E-3</v>
      </c>
      <c r="L3" s="79">
        <v>0</v>
      </c>
      <c r="M3" s="79">
        <v>0.2</v>
      </c>
      <c r="N3" s="79">
        <v>0</v>
      </c>
    </row>
    <row r="4" spans="1:46" ht="15" customHeight="1" x14ac:dyDescent="0.15">
      <c r="A4" s="1" t="s">
        <v>10</v>
      </c>
      <c r="B4" s="4">
        <v>2</v>
      </c>
      <c r="C4" s="79">
        <v>3</v>
      </c>
      <c r="D4"/>
      <c r="E4" s="174" t="s">
        <v>193</v>
      </c>
      <c r="F4" s="79">
        <v>0</v>
      </c>
      <c r="G4" s="79">
        <v>8.3387020000000006E-2</v>
      </c>
      <c r="H4" s="79">
        <v>0.3</v>
      </c>
      <c r="I4" s="79">
        <v>6.4</v>
      </c>
      <c r="J4" s="79">
        <v>0.8</v>
      </c>
      <c r="K4" s="79">
        <v>4.6875E-2</v>
      </c>
      <c r="L4" s="79">
        <v>0</v>
      </c>
      <c r="M4" s="79">
        <v>0.2</v>
      </c>
      <c r="N4" s="79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3</v>
      </c>
      <c r="C5" s="79">
        <v>4</v>
      </c>
      <c r="D5"/>
      <c r="E5" s="174" t="s">
        <v>194</v>
      </c>
      <c r="F5" s="79">
        <v>0</v>
      </c>
      <c r="G5" s="79">
        <v>2.2250000000000001</v>
      </c>
      <c r="H5" s="79">
        <v>0.9</v>
      </c>
      <c r="I5" s="79">
        <v>11.569000000000001</v>
      </c>
      <c r="J5" s="79">
        <v>0.82038949999999999</v>
      </c>
      <c r="K5" s="79">
        <v>7.77941048E-2</v>
      </c>
      <c r="L5" s="79">
        <v>0</v>
      </c>
      <c r="M5" s="79">
        <v>0.2</v>
      </c>
      <c r="N5" s="79">
        <v>0</v>
      </c>
      <c r="P5" s="68"/>
      <c r="Q5" s="68"/>
      <c r="R5" s="68"/>
    </row>
    <row r="6" spans="1:46" ht="15" customHeight="1" thickBot="1" x14ac:dyDescent="0.2">
      <c r="B6" s="1"/>
      <c r="C6" s="79">
        <v>5</v>
      </c>
      <c r="D6"/>
      <c r="E6" s="174" t="s">
        <v>195</v>
      </c>
      <c r="F6" s="79">
        <v>0</v>
      </c>
      <c r="G6" s="79">
        <v>0.334722668</v>
      </c>
      <c r="H6" s="79">
        <v>0.99709999999999999</v>
      </c>
      <c r="I6" s="79">
        <v>9.9710000000000001</v>
      </c>
      <c r="J6" s="79">
        <v>0.8</v>
      </c>
      <c r="K6" s="79">
        <v>0.1</v>
      </c>
      <c r="L6" s="79">
        <v>0</v>
      </c>
      <c r="M6" s="79">
        <v>0.2</v>
      </c>
      <c r="N6" s="79">
        <v>0</v>
      </c>
      <c r="P6" s="68"/>
      <c r="Q6" s="68"/>
      <c r="R6" s="68"/>
      <c r="W6" s="35" t="s">
        <v>31</v>
      </c>
      <c r="X6" s="51">
        <f>MAX(MainOutputs!G:G)</f>
        <v>0.95280444622039795</v>
      </c>
    </row>
    <row r="7" spans="1:46" ht="15" customHeight="1" x14ac:dyDescent="0.15">
      <c r="A7" s="2" t="s">
        <v>27</v>
      </c>
      <c r="B7" s="79">
        <f ca="1">COUNTIF(OFFSET(cornerDiets,1,1,NumLiving+NumDead+1,NumLiving+NumDead),"&gt;0")+NumLiving+NumDead+1</f>
        <v>262</v>
      </c>
      <c r="C7" s="79">
        <v>6</v>
      </c>
      <c r="D7"/>
      <c r="E7" s="174" t="s">
        <v>196</v>
      </c>
      <c r="F7" s="79">
        <v>0</v>
      </c>
      <c r="G7" s="79">
        <v>0.71150183700000003</v>
      </c>
      <c r="H7" s="79">
        <v>0.98719996200000004</v>
      </c>
      <c r="I7" s="79">
        <v>9.8719999999999999</v>
      </c>
      <c r="J7" s="79">
        <v>0.9</v>
      </c>
      <c r="K7" s="79">
        <v>0.1</v>
      </c>
      <c r="L7" s="79">
        <v>0</v>
      </c>
      <c r="M7" s="79">
        <v>0.2</v>
      </c>
      <c r="N7" s="79">
        <v>0</v>
      </c>
      <c r="P7" s="68"/>
      <c r="Q7" s="68"/>
      <c r="R7" s="68"/>
    </row>
    <row r="8" spans="1:46" ht="15" customHeight="1" x14ac:dyDescent="0.15">
      <c r="A8" s="2" t="s">
        <v>28</v>
      </c>
      <c r="B8" s="79">
        <f ca="1">COUNTIF(OFFSET(cornerFishing,1,2,NumLiving+NumDead,NumGears),"&gt;0")+NumDead*COUNTIF(OFFSET(cornerDiscards,1,2,NumLiving+NumDead,NumGears),"&gt;0")+NumLiving+NumDead+1</f>
        <v>81</v>
      </c>
      <c r="C8" s="79">
        <v>7</v>
      </c>
      <c r="D8"/>
      <c r="E8" s="174" t="s">
        <v>197</v>
      </c>
      <c r="F8" s="79">
        <v>0</v>
      </c>
      <c r="G8" s="79">
        <v>0.65874639999999995</v>
      </c>
      <c r="H8" s="79">
        <v>0.65500003100000004</v>
      </c>
      <c r="I8" s="79">
        <v>6.55</v>
      </c>
      <c r="J8" s="79">
        <v>0.9</v>
      </c>
      <c r="K8" s="79">
        <v>0.1</v>
      </c>
      <c r="L8" s="79">
        <v>0</v>
      </c>
      <c r="M8" s="79">
        <v>0.2</v>
      </c>
      <c r="N8" s="79">
        <v>0</v>
      </c>
      <c r="P8" s="68"/>
      <c r="Q8" s="68"/>
      <c r="R8" s="68"/>
    </row>
    <row r="9" spans="1:46" ht="15" customHeight="1" x14ac:dyDescent="0.15">
      <c r="B9" s="1"/>
      <c r="C9" s="79">
        <v>8</v>
      </c>
      <c r="D9"/>
      <c r="E9" s="174" t="s">
        <v>198</v>
      </c>
      <c r="F9" s="79">
        <v>0</v>
      </c>
      <c r="G9" s="79">
        <v>0.159989983</v>
      </c>
      <c r="H9" s="79">
        <v>0.28000000000000003</v>
      </c>
      <c r="I9" s="79">
        <v>2.8</v>
      </c>
      <c r="J9" s="79">
        <v>0.9</v>
      </c>
      <c r="K9" s="79">
        <v>0.1</v>
      </c>
      <c r="L9" s="79">
        <v>0</v>
      </c>
      <c r="M9" s="79">
        <v>0.2</v>
      </c>
      <c r="N9" s="79">
        <v>0</v>
      </c>
      <c r="P9" s="68"/>
      <c r="Q9" s="68"/>
      <c r="R9" s="68"/>
    </row>
    <row r="10" spans="1:46" ht="15" customHeight="1" x14ac:dyDescent="0.15">
      <c r="B10" s="1"/>
      <c r="C10" s="79">
        <v>9</v>
      </c>
      <c r="D10"/>
      <c r="E10" s="174" t="s">
        <v>199</v>
      </c>
      <c r="F10" s="79">
        <v>0</v>
      </c>
      <c r="G10" s="79">
        <v>4.5009559999999997E-2</v>
      </c>
      <c r="H10" s="79">
        <v>0.1</v>
      </c>
      <c r="I10" s="79">
        <v>2.6680000000000001</v>
      </c>
      <c r="J10" s="79">
        <v>0.5</v>
      </c>
      <c r="K10" s="79">
        <v>3.7481260000000002E-2</v>
      </c>
      <c r="L10" s="79">
        <v>0</v>
      </c>
      <c r="M10" s="79">
        <v>0.2</v>
      </c>
      <c r="N10" s="79">
        <v>0</v>
      </c>
    </row>
    <row r="11" spans="1:46" ht="15" customHeight="1" x14ac:dyDescent="0.15">
      <c r="C11" s="79">
        <v>10</v>
      </c>
      <c r="D11"/>
      <c r="E11" s="174" t="s">
        <v>200</v>
      </c>
      <c r="F11" s="79">
        <v>0</v>
      </c>
      <c r="G11" s="79">
        <v>0.25490486600000001</v>
      </c>
      <c r="H11" s="79">
        <v>0.38440000000000002</v>
      </c>
      <c r="I11" s="79">
        <v>3.8439999999999999</v>
      </c>
      <c r="J11" s="79">
        <v>0.9</v>
      </c>
      <c r="K11" s="79">
        <v>0.1</v>
      </c>
      <c r="L11" s="79">
        <v>0</v>
      </c>
      <c r="M11" s="79">
        <v>0.2</v>
      </c>
      <c r="N11" s="79">
        <v>0</v>
      </c>
    </row>
    <row r="12" spans="1:46" ht="15" customHeight="1" x14ac:dyDescent="0.15">
      <c r="C12" s="79">
        <v>11</v>
      </c>
      <c r="D12"/>
      <c r="E12" s="174" t="s">
        <v>201</v>
      </c>
      <c r="F12" s="79">
        <v>0</v>
      </c>
      <c r="G12" s="79">
        <v>0.1409494</v>
      </c>
      <c r="H12" s="79">
        <v>0.26</v>
      </c>
      <c r="I12" s="79">
        <v>2.6</v>
      </c>
      <c r="J12" s="79">
        <v>0.9</v>
      </c>
      <c r="K12" s="79">
        <v>0.1</v>
      </c>
      <c r="L12" s="79">
        <v>0</v>
      </c>
      <c r="M12" s="79">
        <v>0.2</v>
      </c>
      <c r="N12" s="79">
        <v>0</v>
      </c>
    </row>
    <row r="13" spans="1:46" ht="15" customHeight="1" x14ac:dyDescent="0.15">
      <c r="C13" s="79">
        <v>12</v>
      </c>
      <c r="D13"/>
      <c r="E13" s="174" t="s">
        <v>202</v>
      </c>
      <c r="F13" s="79">
        <v>0</v>
      </c>
      <c r="G13" s="79">
        <v>0.216</v>
      </c>
      <c r="H13" s="79">
        <v>0.71899999999999997</v>
      </c>
      <c r="I13" s="79">
        <v>3.806</v>
      </c>
      <c r="J13" s="79">
        <v>0.92938299999999996</v>
      </c>
      <c r="K13" s="79">
        <v>0.18891224300000001</v>
      </c>
      <c r="L13" s="79">
        <v>0</v>
      </c>
      <c r="M13" s="79">
        <v>0.2</v>
      </c>
      <c r="N13" s="79">
        <v>0</v>
      </c>
    </row>
    <row r="14" spans="1:46" ht="15" customHeight="1" x14ac:dyDescent="0.15">
      <c r="C14" s="79">
        <v>13</v>
      </c>
      <c r="D14"/>
      <c r="E14" s="174" t="s">
        <v>203</v>
      </c>
      <c r="F14" s="79">
        <v>0</v>
      </c>
      <c r="G14" s="79">
        <v>1.9238702999999999E-2</v>
      </c>
      <c r="H14" s="79">
        <v>0.42330000000000001</v>
      </c>
      <c r="I14" s="79">
        <v>4.2329999999999997</v>
      </c>
      <c r="J14" s="79">
        <v>0.9</v>
      </c>
      <c r="K14" s="79">
        <v>0.1</v>
      </c>
      <c r="L14" s="79">
        <v>0</v>
      </c>
      <c r="M14" s="79">
        <v>0.2</v>
      </c>
      <c r="N14" s="79">
        <v>0</v>
      </c>
    </row>
    <row r="15" spans="1:46" ht="15" customHeight="1" x14ac:dyDescent="0.15">
      <c r="C15" s="79">
        <v>14</v>
      </c>
      <c r="D15"/>
      <c r="E15" s="174" t="s">
        <v>204</v>
      </c>
      <c r="F15" s="79">
        <v>0</v>
      </c>
      <c r="G15" s="79">
        <v>1.893</v>
      </c>
      <c r="H15" s="79">
        <v>0.72699999999999998</v>
      </c>
      <c r="I15" s="79">
        <v>5.1420000000000003</v>
      </c>
      <c r="J15" s="79">
        <v>0.89004457000000003</v>
      </c>
      <c r="K15" s="79">
        <v>0.14138467599999999</v>
      </c>
      <c r="L15" s="79">
        <v>0</v>
      </c>
      <c r="M15" s="79">
        <v>0.2</v>
      </c>
      <c r="N15" s="79">
        <v>0</v>
      </c>
    </row>
    <row r="16" spans="1:46" ht="15" customHeight="1" x14ac:dyDescent="0.15">
      <c r="C16" s="79">
        <v>15</v>
      </c>
      <c r="D16"/>
      <c r="E16" s="174" t="s">
        <v>205</v>
      </c>
      <c r="F16" s="79">
        <v>0</v>
      </c>
      <c r="G16" s="79">
        <v>1.456</v>
      </c>
      <c r="H16" s="79">
        <v>0.56200000000000006</v>
      </c>
      <c r="I16" s="79">
        <v>5.7590000000000003</v>
      </c>
      <c r="J16" s="79">
        <v>0.92813986500000001</v>
      </c>
      <c r="K16" s="79">
        <v>9.7586385900000003E-2</v>
      </c>
      <c r="L16" s="79">
        <v>0</v>
      </c>
      <c r="M16" s="79">
        <v>0.2</v>
      </c>
      <c r="N16" s="79">
        <v>0</v>
      </c>
    </row>
    <row r="17" spans="1:22" ht="15" customHeight="1" x14ac:dyDescent="0.15">
      <c r="C17" s="79">
        <v>16</v>
      </c>
      <c r="D17"/>
      <c r="E17" s="174" t="s">
        <v>206</v>
      </c>
      <c r="F17" s="79">
        <v>0</v>
      </c>
      <c r="G17" s="79">
        <v>2.2422290000000001E-3</v>
      </c>
      <c r="H17" s="79">
        <v>0.71750003100000004</v>
      </c>
      <c r="I17" s="79">
        <v>7.1749999999999998</v>
      </c>
      <c r="J17" s="79">
        <v>0.9</v>
      </c>
      <c r="K17" s="79">
        <v>0.1</v>
      </c>
      <c r="L17" s="79">
        <v>0</v>
      </c>
      <c r="M17" s="79">
        <v>0.2</v>
      </c>
      <c r="N17" s="79">
        <v>0</v>
      </c>
      <c r="V17" s="1" t="s">
        <v>30</v>
      </c>
    </row>
    <row r="18" spans="1:22" ht="15" customHeight="1" x14ac:dyDescent="0.15">
      <c r="C18" s="79">
        <v>17</v>
      </c>
      <c r="D18"/>
      <c r="E18" s="174" t="s">
        <v>207</v>
      </c>
      <c r="F18" s="79">
        <v>0</v>
      </c>
      <c r="G18" s="79">
        <v>12.05</v>
      </c>
      <c r="H18" s="79">
        <v>1.1366000000000001</v>
      </c>
      <c r="I18" s="79">
        <v>11.366</v>
      </c>
      <c r="J18" s="79">
        <v>0.95280456499999999</v>
      </c>
      <c r="K18" s="79">
        <v>0.1</v>
      </c>
      <c r="L18" s="79">
        <v>0</v>
      </c>
      <c r="M18" s="79">
        <v>0.2</v>
      </c>
      <c r="N18" s="79">
        <v>0</v>
      </c>
      <c r="V18" s="1"/>
    </row>
    <row r="19" spans="1:22" ht="15" customHeight="1" x14ac:dyDescent="0.15">
      <c r="C19" s="79">
        <v>18</v>
      </c>
      <c r="D19"/>
      <c r="E19" s="174" t="s">
        <v>208</v>
      </c>
      <c r="F19" s="79">
        <v>0</v>
      </c>
      <c r="G19" s="79">
        <v>0.39608739999999998</v>
      </c>
      <c r="H19" s="79">
        <v>0.58440000000000003</v>
      </c>
      <c r="I19" s="79">
        <v>5.8440000000000003</v>
      </c>
      <c r="J19" s="79">
        <v>0.9</v>
      </c>
      <c r="K19" s="79">
        <v>0.1</v>
      </c>
      <c r="L19" s="79">
        <v>0</v>
      </c>
      <c r="M19" s="79">
        <v>0.2</v>
      </c>
      <c r="N19" s="79">
        <v>0</v>
      </c>
    </row>
    <row r="20" spans="1:22" ht="15" customHeight="1" thickBot="1" x14ac:dyDescent="0.2">
      <c r="C20" s="79">
        <v>19</v>
      </c>
      <c r="D20"/>
      <c r="E20" s="174" t="s">
        <v>209</v>
      </c>
      <c r="F20" s="79">
        <v>0</v>
      </c>
      <c r="G20" s="79">
        <v>1.841</v>
      </c>
      <c r="H20" s="79">
        <v>0.68300000000000005</v>
      </c>
      <c r="I20" s="79">
        <v>16.247</v>
      </c>
      <c r="J20" s="79">
        <v>0.86837540000000002</v>
      </c>
      <c r="K20" s="79">
        <v>4.20385338E-2</v>
      </c>
      <c r="L20" s="79">
        <v>0</v>
      </c>
      <c r="M20" s="79">
        <v>0.2</v>
      </c>
      <c r="N20" s="79">
        <v>0</v>
      </c>
    </row>
    <row r="21" spans="1:22" ht="15" customHeight="1" thickBot="1" x14ac:dyDescent="0.2">
      <c r="A21" s="46" t="s">
        <v>137</v>
      </c>
      <c r="B21" s="97"/>
      <c r="C21" s="79">
        <v>20</v>
      </c>
      <c r="D21"/>
      <c r="E21" s="174" t="s">
        <v>210</v>
      </c>
      <c r="F21" s="79">
        <v>0</v>
      </c>
      <c r="G21" s="79">
        <v>0.64563083600000004</v>
      </c>
      <c r="H21" s="79">
        <v>1.43000007</v>
      </c>
      <c r="I21" s="79">
        <v>14.3</v>
      </c>
      <c r="J21" s="79">
        <v>0.9</v>
      </c>
      <c r="K21" s="79">
        <v>0.1</v>
      </c>
      <c r="L21" s="79">
        <v>0</v>
      </c>
      <c r="M21" s="79">
        <v>0.2</v>
      </c>
      <c r="N21" s="79">
        <v>0</v>
      </c>
    </row>
    <row r="22" spans="1:22" ht="15" customHeight="1" x14ac:dyDescent="0.15">
      <c r="A22" s="98" t="s">
        <v>58</v>
      </c>
      <c r="B22" s="99">
        <v>0</v>
      </c>
      <c r="C22" s="79">
        <v>21</v>
      </c>
      <c r="D22"/>
      <c r="E22" s="174" t="s">
        <v>211</v>
      </c>
      <c r="F22" s="79">
        <v>0</v>
      </c>
      <c r="G22" s="79">
        <v>0.96799999999999997</v>
      </c>
      <c r="H22" s="79">
        <v>0.58699999999999997</v>
      </c>
      <c r="I22" s="79">
        <v>15.863</v>
      </c>
      <c r="J22" s="79">
        <v>0.81378229999999996</v>
      </c>
      <c r="K22" s="79">
        <v>3.7004349999999998E-2</v>
      </c>
      <c r="L22" s="79">
        <v>0</v>
      </c>
      <c r="M22" s="79">
        <v>0.2</v>
      </c>
      <c r="N22" s="79">
        <v>0</v>
      </c>
    </row>
    <row r="23" spans="1:22" ht="15" customHeight="1" x14ac:dyDescent="0.15">
      <c r="A23" s="98" t="s">
        <v>59</v>
      </c>
      <c r="B23" s="99">
        <v>1</v>
      </c>
      <c r="C23" s="79">
        <v>22</v>
      </c>
      <c r="D23"/>
      <c r="E23" s="174" t="s">
        <v>212</v>
      </c>
      <c r="F23" s="79">
        <v>0</v>
      </c>
      <c r="G23" s="79">
        <v>0.125909045</v>
      </c>
      <c r="H23" s="79">
        <v>0.15</v>
      </c>
      <c r="I23" s="79">
        <v>3.5</v>
      </c>
      <c r="J23" s="79">
        <v>0.5</v>
      </c>
      <c r="K23" s="79">
        <v>4.2857144E-2</v>
      </c>
      <c r="L23" s="79">
        <v>0</v>
      </c>
      <c r="M23" s="79">
        <v>0.2</v>
      </c>
      <c r="N23" s="79">
        <v>0</v>
      </c>
    </row>
    <row r="24" spans="1:22" ht="15" customHeight="1" x14ac:dyDescent="0.15">
      <c r="A24" s="98" t="s">
        <v>60</v>
      </c>
      <c r="B24" s="99">
        <v>2</v>
      </c>
      <c r="C24" s="79">
        <v>23</v>
      </c>
      <c r="D24"/>
      <c r="E24" s="174" t="s">
        <v>213</v>
      </c>
      <c r="F24" s="79">
        <v>0</v>
      </c>
      <c r="G24" s="79">
        <v>13.048109999999999</v>
      </c>
      <c r="H24" s="79">
        <v>1.6</v>
      </c>
      <c r="I24" s="79">
        <v>10</v>
      </c>
      <c r="J24" s="79">
        <v>0.95</v>
      </c>
      <c r="K24" s="79">
        <v>0.16</v>
      </c>
      <c r="L24" s="79">
        <v>0</v>
      </c>
      <c r="M24" s="79">
        <v>0.2</v>
      </c>
      <c r="N24" s="79">
        <v>0</v>
      </c>
    </row>
    <row r="25" spans="1:22" ht="15" customHeight="1" thickBot="1" x14ac:dyDescent="0.2">
      <c r="A25" s="100" t="s">
        <v>44</v>
      </c>
      <c r="B25" s="101">
        <v>3</v>
      </c>
      <c r="C25" s="79">
        <v>24</v>
      </c>
      <c r="D25"/>
      <c r="E25" s="174" t="s">
        <v>214</v>
      </c>
      <c r="F25" s="79">
        <v>0</v>
      </c>
      <c r="G25" s="79">
        <v>15.0421944</v>
      </c>
      <c r="H25" s="79">
        <v>1.2</v>
      </c>
      <c r="I25" s="79">
        <v>4</v>
      </c>
      <c r="J25" s="79">
        <v>0.95</v>
      </c>
      <c r="K25" s="79">
        <v>0.3</v>
      </c>
      <c r="L25" s="79">
        <v>0</v>
      </c>
      <c r="M25" s="79">
        <v>0.2</v>
      </c>
      <c r="N25" s="79">
        <v>0</v>
      </c>
    </row>
    <row r="26" spans="1:22" ht="15" customHeight="1" x14ac:dyDescent="0.15">
      <c r="A26" s="102" t="s">
        <v>140</v>
      </c>
      <c r="C26" s="79">
        <v>25</v>
      </c>
      <c r="D26"/>
      <c r="E26" s="174" t="s">
        <v>215</v>
      </c>
      <c r="F26" s="79">
        <v>0</v>
      </c>
      <c r="G26" s="79">
        <v>25.842313799999999</v>
      </c>
      <c r="H26" s="79">
        <v>2.5</v>
      </c>
      <c r="I26" s="79">
        <v>7</v>
      </c>
      <c r="J26" s="79">
        <v>0.95</v>
      </c>
      <c r="K26" s="79">
        <v>0.357142866</v>
      </c>
      <c r="L26" s="79">
        <v>0</v>
      </c>
      <c r="M26" s="79">
        <v>0.2</v>
      </c>
      <c r="N26" s="79">
        <v>0</v>
      </c>
    </row>
    <row r="27" spans="1:22" ht="15" customHeight="1" x14ac:dyDescent="0.15">
      <c r="C27" s="79">
        <v>26</v>
      </c>
      <c r="D27"/>
      <c r="E27" s="174" t="s">
        <v>216</v>
      </c>
      <c r="F27" s="79">
        <v>0</v>
      </c>
      <c r="G27" s="79">
        <v>12.843316099999999</v>
      </c>
      <c r="H27" s="79">
        <v>3</v>
      </c>
      <c r="I27" s="79">
        <v>12.5</v>
      </c>
      <c r="J27" s="79">
        <v>0.95</v>
      </c>
      <c r="K27" s="79">
        <v>0.24</v>
      </c>
      <c r="L27" s="79">
        <v>0</v>
      </c>
      <c r="M27" s="79">
        <v>0.2</v>
      </c>
      <c r="N27" s="79">
        <v>0</v>
      </c>
    </row>
    <row r="28" spans="1:22" ht="15" customHeight="1" x14ac:dyDescent="0.15">
      <c r="C28" s="79">
        <v>27</v>
      </c>
      <c r="D28"/>
      <c r="E28" s="174" t="s">
        <v>217</v>
      </c>
      <c r="F28" s="79">
        <v>0</v>
      </c>
      <c r="G28" s="79">
        <v>0.43941244499999998</v>
      </c>
      <c r="H28" s="79">
        <v>100</v>
      </c>
      <c r="I28" s="79">
        <v>215</v>
      </c>
      <c r="J28" s="79">
        <v>0.95</v>
      </c>
      <c r="K28" s="79">
        <v>0.46511629999999998</v>
      </c>
      <c r="L28" s="79">
        <v>0</v>
      </c>
      <c r="M28" s="79">
        <v>0.2</v>
      </c>
      <c r="N28" s="79">
        <v>0</v>
      </c>
    </row>
    <row r="29" spans="1:22" customFormat="1" ht="15" customHeight="1" x14ac:dyDescent="0.15">
      <c r="C29" s="79">
        <v>28</v>
      </c>
      <c r="E29" s="174" t="s">
        <v>218</v>
      </c>
      <c r="F29" s="79">
        <v>0</v>
      </c>
      <c r="G29" s="79">
        <v>2.84795117</v>
      </c>
      <c r="H29" s="79">
        <v>63.44</v>
      </c>
      <c r="I29" s="79">
        <v>280</v>
      </c>
      <c r="J29" s="79">
        <v>0.95</v>
      </c>
      <c r="K29" s="79">
        <v>0.22657142599999999</v>
      </c>
      <c r="L29" s="79">
        <v>0</v>
      </c>
      <c r="M29" s="79">
        <v>0.2</v>
      </c>
      <c r="N29" s="79">
        <v>0</v>
      </c>
    </row>
    <row r="30" spans="1:22" customFormat="1" ht="15" customHeight="1" x14ac:dyDescent="0.15">
      <c r="C30" s="79">
        <v>29</v>
      </c>
      <c r="E30" s="174" t="s">
        <v>219</v>
      </c>
      <c r="F30" s="79">
        <v>1</v>
      </c>
      <c r="G30" s="79">
        <v>2.7411669999999999</v>
      </c>
      <c r="H30" s="79">
        <v>285</v>
      </c>
      <c r="I30" s="79">
        <v>0</v>
      </c>
      <c r="J30" s="79">
        <v>0.95</v>
      </c>
      <c r="K30" s="79">
        <v>0</v>
      </c>
      <c r="L30" s="79">
        <v>0</v>
      </c>
      <c r="M30" s="79">
        <v>0</v>
      </c>
      <c r="N30" s="79">
        <v>0</v>
      </c>
    </row>
    <row r="31" spans="1:22" customFormat="1" ht="15" customHeight="1" x14ac:dyDescent="0.15">
      <c r="C31" s="79">
        <v>30</v>
      </c>
      <c r="E31" s="174" t="s">
        <v>220</v>
      </c>
      <c r="F31" s="79">
        <v>1</v>
      </c>
      <c r="G31" s="79">
        <v>20.463537200000001</v>
      </c>
      <c r="H31" s="79">
        <v>13.25</v>
      </c>
      <c r="I31" s="79">
        <v>0</v>
      </c>
      <c r="J31" s="79">
        <v>0.5</v>
      </c>
      <c r="K31" s="79">
        <v>0</v>
      </c>
      <c r="L31" s="79">
        <v>0</v>
      </c>
      <c r="M31" s="79">
        <v>0</v>
      </c>
      <c r="N31" s="79">
        <v>0</v>
      </c>
    </row>
    <row r="32" spans="1:22" customFormat="1" ht="15" customHeight="1" x14ac:dyDescent="0.15">
      <c r="C32" s="79">
        <v>31</v>
      </c>
      <c r="E32" s="174" t="s">
        <v>221</v>
      </c>
      <c r="F32" s="79">
        <v>2</v>
      </c>
      <c r="G32" s="79">
        <v>300.8</v>
      </c>
      <c r="H32" s="79">
        <v>0</v>
      </c>
      <c r="I32" s="79">
        <v>0</v>
      </c>
      <c r="J32" s="79">
        <v>0</v>
      </c>
      <c r="K32" s="79">
        <v>0</v>
      </c>
      <c r="L32" s="79">
        <v>0</v>
      </c>
      <c r="M32" s="79">
        <v>0</v>
      </c>
      <c r="N32" s="79">
        <v>0</v>
      </c>
    </row>
    <row r="33" spans="3:14" customFormat="1" ht="15" customHeight="1" x14ac:dyDescent="0.15">
      <c r="C33" s="79">
        <v>32</v>
      </c>
      <c r="E33" s="174" t="s">
        <v>222</v>
      </c>
      <c r="F33" s="79">
        <v>2</v>
      </c>
      <c r="G33" s="79">
        <v>5</v>
      </c>
      <c r="H33" s="79">
        <v>0</v>
      </c>
      <c r="I33" s="79">
        <v>0</v>
      </c>
      <c r="J33" s="79">
        <v>0</v>
      </c>
      <c r="K33" s="79">
        <v>0</v>
      </c>
      <c r="L33" s="79">
        <v>0</v>
      </c>
      <c r="M33" s="79">
        <v>0</v>
      </c>
      <c r="N33" s="79">
        <v>0</v>
      </c>
    </row>
    <row r="34" spans="3:14" customFormat="1" ht="15" customHeight="1" x14ac:dyDescent="0.15">
      <c r="C34" s="79">
        <v>33</v>
      </c>
      <c r="E34" s="174" t="s">
        <v>223</v>
      </c>
      <c r="F34" s="79">
        <v>3</v>
      </c>
      <c r="G34" s="79">
        <v>0</v>
      </c>
      <c r="H34" s="79">
        <v>0</v>
      </c>
      <c r="I34" s="79">
        <v>0</v>
      </c>
      <c r="J34" s="79">
        <v>0</v>
      </c>
      <c r="K34" s="79">
        <v>0</v>
      </c>
      <c r="L34" s="79">
        <v>0</v>
      </c>
      <c r="M34" s="79">
        <v>0</v>
      </c>
      <c r="N34" s="79">
        <v>0</v>
      </c>
    </row>
    <row r="35" spans="3:14" customFormat="1" ht="15" customHeight="1" x14ac:dyDescent="0.15">
      <c r="C35" s="79">
        <v>34</v>
      </c>
      <c r="E35" s="174" t="s">
        <v>224</v>
      </c>
      <c r="F35" s="79">
        <v>3</v>
      </c>
      <c r="G35" s="79">
        <v>0</v>
      </c>
      <c r="H35" s="79">
        <v>0</v>
      </c>
      <c r="I35" s="79">
        <v>0</v>
      </c>
      <c r="J35" s="79">
        <v>0</v>
      </c>
      <c r="K35" s="79">
        <v>0</v>
      </c>
      <c r="L35" s="79">
        <v>0</v>
      </c>
      <c r="M35" s="79">
        <v>0</v>
      </c>
      <c r="N35" s="79">
        <v>0</v>
      </c>
    </row>
    <row r="36" spans="3:14" customFormat="1" ht="15" customHeight="1" x14ac:dyDescent="0.15">
      <c r="C36" s="79">
        <v>35</v>
      </c>
      <c r="E36" s="174" t="s">
        <v>225</v>
      </c>
      <c r="F36" s="79">
        <v>3</v>
      </c>
      <c r="G36" s="79">
        <v>0</v>
      </c>
      <c r="H36" s="79">
        <v>0</v>
      </c>
      <c r="I36" s="79">
        <v>0</v>
      </c>
      <c r="J36" s="79">
        <v>0</v>
      </c>
      <c r="K36" s="79">
        <v>0</v>
      </c>
      <c r="L36" s="79">
        <v>0</v>
      </c>
      <c r="M36" s="79">
        <v>0</v>
      </c>
      <c r="N36" s="79">
        <v>0</v>
      </c>
    </row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0" bestFit="1" customWidth="1"/>
    <col min="2" max="3" width="14.83203125" style="140" bestFit="1" customWidth="1"/>
    <col min="4" max="4" width="5.83203125" style="140" bestFit="1" customWidth="1"/>
    <col min="5" max="5" width="14.83203125" style="140" bestFit="1" customWidth="1"/>
    <col min="6" max="9" width="13.83203125" style="140" bestFit="1" customWidth="1"/>
    <col min="10" max="10" width="14.83203125" style="140" bestFit="1" customWidth="1"/>
    <col min="11" max="11" width="15.83203125" style="140" bestFit="1" customWidth="1"/>
    <col min="12" max="13" width="5.83203125" style="140" bestFit="1" customWidth="1"/>
    <col min="14" max="14" width="14.83203125" style="140" bestFit="1" customWidth="1"/>
    <col min="15" max="15" width="5.83203125" style="140" bestFit="1" customWidth="1"/>
    <col min="16" max="17" width="14.83203125" style="140" bestFit="1" customWidth="1"/>
    <col min="18" max="18" width="5.83203125" style="140" bestFit="1" customWidth="1"/>
    <col min="19" max="19" width="14.83203125" style="140" bestFit="1" customWidth="1"/>
    <col min="20" max="20" width="5.83203125" style="140" bestFit="1" customWidth="1"/>
    <col min="21" max="21" width="3.83203125" style="140" bestFit="1" customWidth="1"/>
    <col min="22" max="22" width="12.83203125" style="140" bestFit="1" customWidth="1"/>
    <col min="23" max="24" width="5.83203125" style="140" bestFit="1" customWidth="1"/>
    <col min="25" max="25" width="13.83203125" style="140" bestFit="1" customWidth="1"/>
    <col min="26" max="27" width="5.83203125" style="140" bestFit="1" customWidth="1"/>
    <col min="28" max="28" width="2.33203125" style="140" bestFit="1" customWidth="1"/>
    <col min="29" max="29" width="3.83203125" style="140" bestFit="1" customWidth="1"/>
    <col min="30" max="33" width="2.33203125" style="140" customWidth="1"/>
    <col min="34" max="16384" width="8.83203125" style="140"/>
  </cols>
  <sheetData>
    <row r="1" spans="1:34" x14ac:dyDescent="0.15">
      <c r="A1" s="139" t="s">
        <v>19</v>
      </c>
      <c r="B1" s="176" t="s">
        <v>191</v>
      </c>
      <c r="C1" s="176" t="s">
        <v>192</v>
      </c>
      <c r="D1" s="176" t="s">
        <v>193</v>
      </c>
      <c r="E1" s="176" t="s">
        <v>194</v>
      </c>
      <c r="F1" s="176" t="s">
        <v>195</v>
      </c>
      <c r="G1" s="176" t="s">
        <v>196</v>
      </c>
      <c r="H1" s="176" t="s">
        <v>197</v>
      </c>
      <c r="I1" s="176" t="s">
        <v>198</v>
      </c>
      <c r="J1" s="176" t="s">
        <v>199</v>
      </c>
      <c r="K1" s="176" t="s">
        <v>200</v>
      </c>
      <c r="L1" s="176" t="s">
        <v>201</v>
      </c>
      <c r="M1" s="176" t="s">
        <v>202</v>
      </c>
      <c r="N1" s="176" t="s">
        <v>203</v>
      </c>
      <c r="O1" s="176" t="s">
        <v>204</v>
      </c>
      <c r="P1" s="176" t="s">
        <v>205</v>
      </c>
      <c r="Q1" s="176" t="s">
        <v>206</v>
      </c>
      <c r="R1" s="176" t="s">
        <v>207</v>
      </c>
      <c r="S1" s="176" t="s">
        <v>208</v>
      </c>
      <c r="T1" s="176" t="s">
        <v>209</v>
      </c>
      <c r="U1" s="176" t="s">
        <v>210</v>
      </c>
      <c r="V1" s="176" t="s">
        <v>211</v>
      </c>
      <c r="W1" s="176" t="s">
        <v>212</v>
      </c>
      <c r="X1" s="176" t="s">
        <v>213</v>
      </c>
      <c r="Y1" s="176" t="s">
        <v>214</v>
      </c>
      <c r="Z1" s="176" t="s">
        <v>215</v>
      </c>
      <c r="AA1" s="176" t="s">
        <v>216</v>
      </c>
      <c r="AB1" s="176" t="s">
        <v>217</v>
      </c>
      <c r="AC1" s="176" t="s">
        <v>218</v>
      </c>
      <c r="AD1" s="176" t="s">
        <v>219</v>
      </c>
      <c r="AE1" s="176" t="s">
        <v>220</v>
      </c>
      <c r="AF1" s="176" t="s">
        <v>221</v>
      </c>
      <c r="AG1" s="176" t="s">
        <v>222</v>
      </c>
      <c r="AH1"/>
    </row>
    <row r="2" spans="1:34" customFormat="1" x14ac:dyDescent="0.15">
      <c r="A2" s="175" t="s">
        <v>191</v>
      </c>
      <c r="B2" s="140">
        <v>0</v>
      </c>
      <c r="C2" s="140">
        <v>0</v>
      </c>
      <c r="D2" s="140">
        <v>0</v>
      </c>
      <c r="E2" s="140">
        <v>0</v>
      </c>
      <c r="F2" s="140">
        <v>0</v>
      </c>
      <c r="G2" s="140">
        <v>0</v>
      </c>
      <c r="H2" s="140">
        <v>0</v>
      </c>
      <c r="I2" s="140">
        <v>0</v>
      </c>
      <c r="J2" s="140">
        <v>1.3000038920996769E-2</v>
      </c>
      <c r="K2" s="140">
        <v>0</v>
      </c>
      <c r="L2" s="140">
        <v>0</v>
      </c>
      <c r="M2" s="140">
        <v>0</v>
      </c>
      <c r="N2" s="140">
        <v>0</v>
      </c>
      <c r="O2" s="140">
        <v>0</v>
      </c>
      <c r="P2" s="140">
        <v>0</v>
      </c>
      <c r="Q2" s="140">
        <v>0</v>
      </c>
      <c r="R2" s="140">
        <v>0</v>
      </c>
      <c r="S2" s="140">
        <v>0</v>
      </c>
      <c r="T2" s="140">
        <v>0</v>
      </c>
      <c r="U2" s="140">
        <v>0</v>
      </c>
      <c r="V2" s="140">
        <v>0</v>
      </c>
      <c r="W2" s="140">
        <v>0</v>
      </c>
      <c r="X2" s="140">
        <v>0</v>
      </c>
      <c r="Y2" s="140">
        <v>0</v>
      </c>
      <c r="Z2" s="140">
        <v>0</v>
      </c>
      <c r="AA2" s="140">
        <v>0</v>
      </c>
      <c r="AB2" s="140">
        <v>0</v>
      </c>
      <c r="AC2" s="140">
        <v>0</v>
      </c>
      <c r="AD2" s="140">
        <v>0</v>
      </c>
      <c r="AE2" s="140">
        <v>0</v>
      </c>
      <c r="AF2" s="140">
        <v>0</v>
      </c>
      <c r="AG2" s="140">
        <v>0</v>
      </c>
    </row>
    <row r="3" spans="1:34" customFormat="1" x14ac:dyDescent="0.15">
      <c r="A3" s="175" t="s">
        <v>192</v>
      </c>
      <c r="B3" s="140">
        <v>0</v>
      </c>
      <c r="C3" s="140">
        <v>0</v>
      </c>
      <c r="D3" s="140">
        <v>0</v>
      </c>
      <c r="E3" s="140">
        <v>0</v>
      </c>
      <c r="F3" s="140">
        <v>0</v>
      </c>
      <c r="G3" s="140">
        <v>0</v>
      </c>
      <c r="H3" s="140">
        <v>0</v>
      </c>
      <c r="I3" s="140">
        <v>0</v>
      </c>
      <c r="J3" s="140">
        <v>6.0000185019984638E-3</v>
      </c>
      <c r="K3" s="140">
        <v>0</v>
      </c>
      <c r="L3" s="140">
        <v>0</v>
      </c>
      <c r="M3" s="140">
        <v>0</v>
      </c>
      <c r="N3" s="140">
        <v>0</v>
      </c>
      <c r="O3" s="140">
        <v>0</v>
      </c>
      <c r="P3" s="140">
        <v>0</v>
      </c>
      <c r="Q3" s="140">
        <v>0</v>
      </c>
      <c r="R3" s="140">
        <v>0</v>
      </c>
      <c r="S3" s="140">
        <v>0</v>
      </c>
      <c r="T3" s="140">
        <v>0</v>
      </c>
      <c r="U3" s="140">
        <v>0</v>
      </c>
      <c r="V3" s="140">
        <v>0</v>
      </c>
      <c r="W3" s="140">
        <v>0</v>
      </c>
      <c r="X3" s="140">
        <v>0</v>
      </c>
      <c r="Y3" s="140">
        <v>0</v>
      </c>
      <c r="Z3" s="140">
        <v>0</v>
      </c>
      <c r="AA3" s="140">
        <v>0</v>
      </c>
      <c r="AB3" s="140">
        <v>0</v>
      </c>
      <c r="AC3" s="140">
        <v>0</v>
      </c>
      <c r="AD3" s="140">
        <v>0</v>
      </c>
      <c r="AE3" s="140">
        <v>0</v>
      </c>
      <c r="AF3" s="140">
        <v>0</v>
      </c>
      <c r="AG3" s="140">
        <v>0</v>
      </c>
    </row>
    <row r="4" spans="1:34" customFormat="1" x14ac:dyDescent="0.15">
      <c r="A4" s="175" t="s">
        <v>193</v>
      </c>
      <c r="B4" s="140">
        <v>0</v>
      </c>
      <c r="C4" s="140">
        <v>0</v>
      </c>
      <c r="D4" s="140">
        <v>0</v>
      </c>
      <c r="E4" s="140">
        <v>0</v>
      </c>
      <c r="F4" s="140">
        <v>0</v>
      </c>
      <c r="G4" s="140">
        <v>0</v>
      </c>
      <c r="H4" s="140">
        <v>0</v>
      </c>
      <c r="I4" s="140">
        <v>0</v>
      </c>
      <c r="J4" s="140">
        <v>0.15000048754995954</v>
      </c>
      <c r="K4" s="140">
        <v>0</v>
      </c>
      <c r="L4" s="140">
        <v>0</v>
      </c>
      <c r="M4" s="140">
        <v>0</v>
      </c>
      <c r="N4" s="140">
        <v>0</v>
      </c>
      <c r="O4" s="140">
        <v>0</v>
      </c>
      <c r="P4" s="140">
        <v>0</v>
      </c>
      <c r="Q4" s="140">
        <v>0</v>
      </c>
      <c r="R4" s="140">
        <v>0</v>
      </c>
      <c r="S4" s="140">
        <v>0</v>
      </c>
      <c r="T4" s="140">
        <v>0</v>
      </c>
      <c r="U4" s="140">
        <v>0</v>
      </c>
      <c r="V4" s="140">
        <v>0</v>
      </c>
      <c r="W4" s="140">
        <v>0</v>
      </c>
      <c r="X4" s="140">
        <v>0</v>
      </c>
      <c r="Y4" s="140">
        <v>0</v>
      </c>
      <c r="Z4" s="140">
        <v>0</v>
      </c>
      <c r="AA4" s="140">
        <v>0</v>
      </c>
      <c r="AB4" s="140">
        <v>0</v>
      </c>
      <c r="AC4" s="140">
        <v>0</v>
      </c>
      <c r="AD4" s="140">
        <v>0</v>
      </c>
      <c r="AE4" s="140">
        <v>0</v>
      </c>
      <c r="AF4" s="140">
        <v>0</v>
      </c>
      <c r="AG4" s="140">
        <v>0</v>
      </c>
    </row>
    <row r="5" spans="1:34" customFormat="1" x14ac:dyDescent="0.15">
      <c r="A5" s="175" t="s">
        <v>194</v>
      </c>
      <c r="B5" s="140">
        <v>6.0006303039268844E-3</v>
      </c>
      <c r="C5" s="140">
        <v>9.9999999799999989E-2</v>
      </c>
      <c r="D5" s="140">
        <v>0.14999999999999997</v>
      </c>
      <c r="E5" s="140">
        <v>4.0056715193194179E-3</v>
      </c>
      <c r="F5" s="140">
        <v>0.17000152890025988</v>
      </c>
      <c r="G5" s="140">
        <v>0</v>
      </c>
      <c r="H5" s="140">
        <v>0</v>
      </c>
      <c r="I5" s="140">
        <v>0</v>
      </c>
      <c r="J5" s="140">
        <v>5.2066135678510733E-2</v>
      </c>
      <c r="K5" s="140">
        <v>0</v>
      </c>
      <c r="L5" s="140">
        <v>0</v>
      </c>
      <c r="M5" s="140">
        <v>0</v>
      </c>
      <c r="N5" s="140">
        <v>0</v>
      </c>
      <c r="O5" s="140">
        <v>0</v>
      </c>
      <c r="P5" s="140">
        <v>0</v>
      </c>
      <c r="Q5" s="140">
        <v>0</v>
      </c>
      <c r="R5" s="140">
        <v>0</v>
      </c>
      <c r="S5" s="140">
        <v>0</v>
      </c>
      <c r="T5" s="140">
        <v>0</v>
      </c>
      <c r="U5" s="140">
        <v>0</v>
      </c>
      <c r="V5" s="140">
        <v>0</v>
      </c>
      <c r="W5" s="140">
        <v>0</v>
      </c>
      <c r="X5" s="140">
        <v>0</v>
      </c>
      <c r="Y5" s="140">
        <v>0</v>
      </c>
      <c r="Z5" s="140">
        <v>0</v>
      </c>
      <c r="AA5" s="140">
        <v>0</v>
      </c>
      <c r="AB5" s="140">
        <v>0</v>
      </c>
      <c r="AC5" s="140">
        <v>0</v>
      </c>
      <c r="AD5" s="140">
        <v>0</v>
      </c>
      <c r="AE5" s="140">
        <v>0</v>
      </c>
      <c r="AF5" s="140">
        <v>0</v>
      </c>
      <c r="AG5" s="140">
        <v>0</v>
      </c>
    </row>
    <row r="6" spans="1:34" customFormat="1" x14ac:dyDescent="0.15">
      <c r="A6" s="175" t="s">
        <v>195</v>
      </c>
      <c r="B6" s="140">
        <v>2.9999996520000405E-3</v>
      </c>
      <c r="C6" s="140">
        <v>7.0000019859999943E-2</v>
      </c>
      <c r="D6" s="140">
        <v>6.2999999999999987E-2</v>
      </c>
      <c r="E6" s="140">
        <v>0</v>
      </c>
      <c r="F6" s="140">
        <v>0</v>
      </c>
      <c r="G6" s="140">
        <v>0</v>
      </c>
      <c r="H6" s="140">
        <v>0</v>
      </c>
      <c r="I6" s="140">
        <v>0</v>
      </c>
      <c r="J6" s="140">
        <v>1.0413229135701982E-2</v>
      </c>
      <c r="K6" s="140">
        <v>0</v>
      </c>
      <c r="L6" s="140">
        <v>0</v>
      </c>
      <c r="M6" s="140">
        <v>0</v>
      </c>
      <c r="N6" s="140">
        <v>0</v>
      </c>
      <c r="O6" s="140">
        <v>0</v>
      </c>
      <c r="P6" s="140">
        <v>0</v>
      </c>
      <c r="Q6" s="140">
        <v>0</v>
      </c>
      <c r="R6" s="140">
        <v>0</v>
      </c>
      <c r="S6" s="140">
        <v>0</v>
      </c>
      <c r="T6" s="140">
        <v>0</v>
      </c>
      <c r="U6" s="140">
        <v>0</v>
      </c>
      <c r="V6" s="140">
        <v>0</v>
      </c>
      <c r="W6" s="140">
        <v>0</v>
      </c>
      <c r="X6" s="140">
        <v>0</v>
      </c>
      <c r="Y6" s="140">
        <v>0</v>
      </c>
      <c r="Z6" s="140">
        <v>0</v>
      </c>
      <c r="AA6" s="140">
        <v>0</v>
      </c>
      <c r="AB6" s="140">
        <v>0</v>
      </c>
      <c r="AC6" s="140">
        <v>0</v>
      </c>
      <c r="AD6" s="140">
        <v>0</v>
      </c>
      <c r="AE6" s="140">
        <v>0</v>
      </c>
      <c r="AF6" s="140">
        <v>0</v>
      </c>
      <c r="AG6" s="140">
        <v>0</v>
      </c>
    </row>
    <row r="7" spans="1:34" customFormat="1" x14ac:dyDescent="0.15">
      <c r="A7" s="175" t="s">
        <v>196</v>
      </c>
      <c r="B7" s="140">
        <v>2.9999996520000401E-2</v>
      </c>
      <c r="C7" s="140">
        <v>6.1844809876310372E-2</v>
      </c>
      <c r="D7" s="140">
        <v>9.9999999999999978E-2</v>
      </c>
      <c r="E7" s="140">
        <v>1.3002108439746989E-2</v>
      </c>
      <c r="F7" s="140">
        <v>4.000063680010825E-2</v>
      </c>
      <c r="G7" s="140">
        <v>0</v>
      </c>
      <c r="H7" s="140">
        <v>0</v>
      </c>
      <c r="I7" s="140">
        <v>0</v>
      </c>
      <c r="J7" s="140">
        <v>9.9966971702741356E-3</v>
      </c>
      <c r="K7" s="140">
        <v>0</v>
      </c>
      <c r="L7" s="140">
        <v>0</v>
      </c>
      <c r="M7" s="140">
        <v>0</v>
      </c>
      <c r="N7" s="140">
        <v>0</v>
      </c>
      <c r="O7" s="140">
        <v>0</v>
      </c>
      <c r="P7" s="140">
        <v>0</v>
      </c>
      <c r="Q7" s="140">
        <v>0</v>
      </c>
      <c r="R7" s="140">
        <v>0</v>
      </c>
      <c r="S7" s="140">
        <v>0</v>
      </c>
      <c r="T7" s="140">
        <v>0</v>
      </c>
      <c r="U7" s="140">
        <v>0</v>
      </c>
      <c r="V7" s="140">
        <v>0</v>
      </c>
      <c r="W7" s="140">
        <v>0</v>
      </c>
      <c r="X7" s="140">
        <v>0</v>
      </c>
      <c r="Y7" s="140">
        <v>0</v>
      </c>
      <c r="Z7" s="140">
        <v>0</v>
      </c>
      <c r="AA7" s="140">
        <v>0</v>
      </c>
      <c r="AB7" s="140">
        <v>0</v>
      </c>
      <c r="AC7" s="140">
        <v>0</v>
      </c>
      <c r="AD7" s="140">
        <v>0</v>
      </c>
      <c r="AE7" s="140">
        <v>0</v>
      </c>
      <c r="AF7" s="140">
        <v>0</v>
      </c>
      <c r="AG7" s="140">
        <v>0</v>
      </c>
    </row>
    <row r="8" spans="1:34" customFormat="1" x14ac:dyDescent="0.15">
      <c r="A8" s="175" t="s">
        <v>197</v>
      </c>
      <c r="B8" s="140">
        <v>9.9999988400001349E-3</v>
      </c>
      <c r="C8" s="140">
        <v>6.000001987999995E-2</v>
      </c>
      <c r="D8" s="140">
        <v>0</v>
      </c>
      <c r="E8" s="140">
        <v>5.0195063976592328E-3</v>
      </c>
      <c r="F8" s="140">
        <v>2.9000934930158935E-2</v>
      </c>
      <c r="G8" s="140">
        <v>1.0000040500002024E-2</v>
      </c>
      <c r="H8" s="140">
        <v>0</v>
      </c>
      <c r="I8" s="140">
        <v>0</v>
      </c>
      <c r="J8" s="140">
        <v>6.0000185019984643E-2</v>
      </c>
      <c r="K8" s="140">
        <v>0</v>
      </c>
      <c r="L8" s="140">
        <v>0</v>
      </c>
      <c r="M8" s="140">
        <v>4.9999999999999992E-3</v>
      </c>
      <c r="N8" s="140">
        <v>0</v>
      </c>
      <c r="O8" s="140">
        <v>0</v>
      </c>
      <c r="P8" s="140">
        <v>0</v>
      </c>
      <c r="Q8" s="140">
        <v>0</v>
      </c>
      <c r="R8" s="140">
        <v>0</v>
      </c>
      <c r="S8" s="140">
        <v>0</v>
      </c>
      <c r="T8" s="140">
        <v>0</v>
      </c>
      <c r="U8" s="140">
        <v>0</v>
      </c>
      <c r="V8" s="140">
        <v>0</v>
      </c>
      <c r="W8" s="140">
        <v>0</v>
      </c>
      <c r="X8" s="140">
        <v>0</v>
      </c>
      <c r="Y8" s="140">
        <v>0</v>
      </c>
      <c r="Z8" s="140">
        <v>0</v>
      </c>
      <c r="AA8" s="140">
        <v>0</v>
      </c>
      <c r="AB8" s="140">
        <v>0</v>
      </c>
      <c r="AC8" s="140">
        <v>0</v>
      </c>
      <c r="AD8" s="140">
        <v>0</v>
      </c>
      <c r="AE8" s="140">
        <v>0</v>
      </c>
      <c r="AF8" s="140">
        <v>0</v>
      </c>
      <c r="AG8" s="140">
        <v>0</v>
      </c>
    </row>
    <row r="9" spans="1:34" customFormat="1" x14ac:dyDescent="0.15">
      <c r="A9" s="175" t="s">
        <v>198</v>
      </c>
      <c r="B9" s="140">
        <v>0</v>
      </c>
      <c r="C9" s="140">
        <v>0</v>
      </c>
      <c r="D9" s="140">
        <v>0</v>
      </c>
      <c r="E9" s="140">
        <v>0</v>
      </c>
      <c r="F9" s="140">
        <v>0</v>
      </c>
      <c r="G9" s="140">
        <v>0</v>
      </c>
      <c r="H9" s="140">
        <v>0</v>
      </c>
      <c r="I9" s="140">
        <v>0</v>
      </c>
      <c r="J9" s="140">
        <v>0</v>
      </c>
      <c r="K9" s="140">
        <v>0</v>
      </c>
      <c r="L9" s="140">
        <v>0.08</v>
      </c>
      <c r="M9" s="140">
        <v>0</v>
      </c>
      <c r="N9" s="140">
        <v>0</v>
      </c>
      <c r="O9" s="140">
        <v>0</v>
      </c>
      <c r="P9" s="140">
        <v>0</v>
      </c>
      <c r="Q9" s="140">
        <v>0</v>
      </c>
      <c r="R9" s="140">
        <v>0</v>
      </c>
      <c r="S9" s="140">
        <v>0</v>
      </c>
      <c r="T9" s="140">
        <v>0</v>
      </c>
      <c r="U9" s="140">
        <v>0</v>
      </c>
      <c r="V9" s="140">
        <v>0</v>
      </c>
      <c r="W9" s="140">
        <v>0</v>
      </c>
      <c r="X9" s="140">
        <v>0</v>
      </c>
      <c r="Y9" s="140">
        <v>0</v>
      </c>
      <c r="Z9" s="140">
        <v>0</v>
      </c>
      <c r="AA9" s="140">
        <v>0</v>
      </c>
      <c r="AB9" s="140">
        <v>0</v>
      </c>
      <c r="AC9" s="140">
        <v>0</v>
      </c>
      <c r="AD9" s="140">
        <v>0</v>
      </c>
      <c r="AE9" s="140">
        <v>0</v>
      </c>
      <c r="AF9" s="140">
        <v>0</v>
      </c>
      <c r="AG9" s="140">
        <v>0</v>
      </c>
    </row>
    <row r="10" spans="1:34" customFormat="1" x14ac:dyDescent="0.15">
      <c r="A10" s="175" t="s">
        <v>199</v>
      </c>
      <c r="B10" s="140">
        <v>0</v>
      </c>
      <c r="C10" s="140">
        <v>0</v>
      </c>
      <c r="D10" s="140">
        <v>0</v>
      </c>
      <c r="E10" s="140">
        <v>0</v>
      </c>
      <c r="F10" s="140">
        <v>0</v>
      </c>
      <c r="G10" s="140">
        <v>0</v>
      </c>
      <c r="H10" s="140">
        <v>0</v>
      </c>
      <c r="I10" s="140">
        <v>0</v>
      </c>
      <c r="J10" s="140">
        <v>1.0413229135701982E-2</v>
      </c>
      <c r="K10" s="140">
        <v>0</v>
      </c>
      <c r="L10" s="140">
        <v>0</v>
      </c>
      <c r="M10" s="140">
        <v>0</v>
      </c>
      <c r="N10" s="140">
        <v>0</v>
      </c>
      <c r="O10" s="140">
        <v>0</v>
      </c>
      <c r="P10" s="140">
        <v>0</v>
      </c>
      <c r="Q10" s="140">
        <v>0</v>
      </c>
      <c r="R10" s="140">
        <v>0</v>
      </c>
      <c r="S10" s="140">
        <v>0</v>
      </c>
      <c r="T10" s="140">
        <v>0</v>
      </c>
      <c r="U10" s="140">
        <v>0</v>
      </c>
      <c r="V10" s="140">
        <v>0</v>
      </c>
      <c r="W10" s="140">
        <v>0</v>
      </c>
      <c r="X10" s="140">
        <v>0</v>
      </c>
      <c r="Y10" s="140">
        <v>0</v>
      </c>
      <c r="Z10" s="140">
        <v>0</v>
      </c>
      <c r="AA10" s="140">
        <v>0</v>
      </c>
      <c r="AB10" s="140">
        <v>0</v>
      </c>
      <c r="AC10" s="140">
        <v>0</v>
      </c>
      <c r="AD10" s="140">
        <v>0</v>
      </c>
      <c r="AE10" s="140">
        <v>0</v>
      </c>
      <c r="AF10" s="140">
        <v>0</v>
      </c>
      <c r="AG10" s="140">
        <v>0</v>
      </c>
    </row>
    <row r="11" spans="1:34" customFormat="1" x14ac:dyDescent="0.15">
      <c r="A11" s="175" t="s">
        <v>200</v>
      </c>
      <c r="B11" s="140">
        <v>0</v>
      </c>
      <c r="C11" s="140">
        <v>0</v>
      </c>
      <c r="D11" s="140">
        <v>0</v>
      </c>
      <c r="E11" s="140">
        <v>0</v>
      </c>
      <c r="F11" s="140">
        <v>0</v>
      </c>
      <c r="G11" s="140">
        <v>0</v>
      </c>
      <c r="H11" s="140">
        <v>0</v>
      </c>
      <c r="I11" s="140">
        <v>0.1000471969985841</v>
      </c>
      <c r="J11" s="140">
        <v>0</v>
      </c>
      <c r="K11" s="140">
        <v>0</v>
      </c>
      <c r="L11" s="140">
        <v>0.03</v>
      </c>
      <c r="M11" s="140">
        <v>2.5999999999999992E-2</v>
      </c>
      <c r="N11" s="140">
        <v>0</v>
      </c>
      <c r="O11" s="140">
        <v>0</v>
      </c>
      <c r="P11" s="140">
        <v>0</v>
      </c>
      <c r="Q11" s="140">
        <v>0</v>
      </c>
      <c r="R11" s="140">
        <v>0</v>
      </c>
      <c r="S11" s="140">
        <v>0</v>
      </c>
      <c r="T11" s="140">
        <v>0</v>
      </c>
      <c r="U11" s="140">
        <v>0</v>
      </c>
      <c r="V11" s="140">
        <v>0</v>
      </c>
      <c r="W11" s="140">
        <v>0</v>
      </c>
      <c r="X11" s="140">
        <v>0</v>
      </c>
      <c r="Y11" s="140">
        <v>0</v>
      </c>
      <c r="Z11" s="140">
        <v>0</v>
      </c>
      <c r="AA11" s="140">
        <v>0</v>
      </c>
      <c r="AB11" s="140">
        <v>0</v>
      </c>
      <c r="AC11" s="140">
        <v>0</v>
      </c>
      <c r="AD11" s="140">
        <v>0</v>
      </c>
      <c r="AE11" s="140">
        <v>0</v>
      </c>
      <c r="AF11" s="140">
        <v>0</v>
      </c>
      <c r="AG11" s="140">
        <v>0</v>
      </c>
    </row>
    <row r="12" spans="1:34" customFormat="1" x14ac:dyDescent="0.15">
      <c r="A12" s="175" t="s">
        <v>201</v>
      </c>
      <c r="B12" s="140">
        <v>0</v>
      </c>
      <c r="C12" s="140">
        <v>0</v>
      </c>
      <c r="D12" s="140">
        <v>0</v>
      </c>
      <c r="E12" s="140">
        <v>0</v>
      </c>
      <c r="F12" s="140">
        <v>0</v>
      </c>
      <c r="G12" s="140">
        <v>0</v>
      </c>
      <c r="H12" s="140">
        <v>0</v>
      </c>
      <c r="I12" s="140">
        <v>0</v>
      </c>
      <c r="J12" s="140">
        <v>0.25800077858593534</v>
      </c>
      <c r="K12" s="140">
        <v>0</v>
      </c>
      <c r="L12" s="140">
        <v>0</v>
      </c>
      <c r="M12" s="140">
        <v>0</v>
      </c>
      <c r="N12" s="140">
        <v>0</v>
      </c>
      <c r="O12" s="140">
        <v>0</v>
      </c>
      <c r="P12" s="140">
        <v>0</v>
      </c>
      <c r="Q12" s="140">
        <v>0</v>
      </c>
      <c r="R12" s="140">
        <v>0</v>
      </c>
      <c r="S12" s="140">
        <v>0</v>
      </c>
      <c r="T12" s="140">
        <v>0</v>
      </c>
      <c r="U12" s="140">
        <v>0</v>
      </c>
      <c r="V12" s="140">
        <v>0</v>
      </c>
      <c r="W12" s="140">
        <v>0</v>
      </c>
      <c r="X12" s="140">
        <v>0</v>
      </c>
      <c r="Y12" s="140">
        <v>0</v>
      </c>
      <c r="Z12" s="140">
        <v>0</v>
      </c>
      <c r="AA12" s="140">
        <v>0</v>
      </c>
      <c r="AB12" s="140">
        <v>0</v>
      </c>
      <c r="AC12" s="140">
        <v>0</v>
      </c>
      <c r="AD12" s="140">
        <v>0</v>
      </c>
      <c r="AE12" s="140">
        <v>0</v>
      </c>
      <c r="AF12" s="140">
        <v>0</v>
      </c>
      <c r="AG12" s="140">
        <v>0</v>
      </c>
    </row>
    <row r="13" spans="1:34" customFormat="1" x14ac:dyDescent="0.15">
      <c r="A13" s="175" t="s">
        <v>202</v>
      </c>
      <c r="B13" s="140">
        <v>4.9999994200000675E-3</v>
      </c>
      <c r="C13" s="140">
        <v>9.9999999799999986E-3</v>
      </c>
      <c r="D13" s="140">
        <v>0</v>
      </c>
      <c r="E13" s="140">
        <v>0</v>
      </c>
      <c r="F13" s="140">
        <v>0</v>
      </c>
      <c r="G13" s="140">
        <v>0</v>
      </c>
      <c r="H13" s="140">
        <v>0</v>
      </c>
      <c r="I13" s="140">
        <v>4.2269098731927031E-2</v>
      </c>
      <c r="J13" s="140">
        <v>4.0000126679989485E-2</v>
      </c>
      <c r="K13" s="140">
        <v>0</v>
      </c>
      <c r="L13" s="140">
        <v>0.05</v>
      </c>
      <c r="M13" s="140">
        <v>0</v>
      </c>
      <c r="N13" s="140">
        <v>0</v>
      </c>
      <c r="O13" s="140">
        <v>0</v>
      </c>
      <c r="P13" s="140">
        <v>0</v>
      </c>
      <c r="Q13" s="140">
        <v>0</v>
      </c>
      <c r="R13" s="140">
        <v>0</v>
      </c>
      <c r="S13" s="140">
        <v>0</v>
      </c>
      <c r="T13" s="140">
        <v>0</v>
      </c>
      <c r="U13" s="140">
        <v>0</v>
      </c>
      <c r="V13" s="140">
        <v>0</v>
      </c>
      <c r="W13" s="140">
        <v>0</v>
      </c>
      <c r="X13" s="140">
        <v>0</v>
      </c>
      <c r="Y13" s="140">
        <v>0</v>
      </c>
      <c r="Z13" s="140">
        <v>0</v>
      </c>
      <c r="AA13" s="140">
        <v>0</v>
      </c>
      <c r="AB13" s="140">
        <v>0</v>
      </c>
      <c r="AC13" s="140">
        <v>0</v>
      </c>
      <c r="AD13" s="140">
        <v>0</v>
      </c>
      <c r="AE13" s="140">
        <v>0</v>
      </c>
      <c r="AF13" s="140">
        <v>0</v>
      </c>
      <c r="AG13" s="140">
        <v>0</v>
      </c>
    </row>
    <row r="14" spans="1:34" customFormat="1" x14ac:dyDescent="0.15">
      <c r="A14" s="175" t="s">
        <v>203</v>
      </c>
      <c r="B14" s="140">
        <v>0</v>
      </c>
      <c r="C14" s="140">
        <v>0</v>
      </c>
      <c r="D14" s="140">
        <v>0</v>
      </c>
      <c r="E14" s="140">
        <v>0</v>
      </c>
      <c r="F14" s="140">
        <v>0</v>
      </c>
      <c r="G14" s="140">
        <v>0</v>
      </c>
      <c r="H14" s="140">
        <v>0</v>
      </c>
      <c r="I14" s="140">
        <v>0</v>
      </c>
      <c r="J14" s="140">
        <v>0</v>
      </c>
      <c r="K14" s="140">
        <v>0</v>
      </c>
      <c r="L14" s="140">
        <v>0.02</v>
      </c>
      <c r="M14" s="140">
        <v>0</v>
      </c>
      <c r="N14" s="140">
        <v>0</v>
      </c>
      <c r="O14" s="140">
        <v>0</v>
      </c>
      <c r="P14" s="140">
        <v>0</v>
      </c>
      <c r="Q14" s="140">
        <v>0</v>
      </c>
      <c r="R14" s="140">
        <v>0</v>
      </c>
      <c r="S14" s="140">
        <v>0</v>
      </c>
      <c r="T14" s="140">
        <v>0</v>
      </c>
      <c r="U14" s="140">
        <v>0</v>
      </c>
      <c r="V14" s="140">
        <v>0</v>
      </c>
      <c r="W14" s="140">
        <v>0</v>
      </c>
      <c r="X14" s="140">
        <v>0</v>
      </c>
      <c r="Y14" s="140">
        <v>0</v>
      </c>
      <c r="Z14" s="140">
        <v>0</v>
      </c>
      <c r="AA14" s="140">
        <v>0</v>
      </c>
      <c r="AB14" s="140">
        <v>0</v>
      </c>
      <c r="AC14" s="140">
        <v>0</v>
      </c>
      <c r="AD14" s="140">
        <v>0</v>
      </c>
      <c r="AE14" s="140">
        <v>0</v>
      </c>
      <c r="AF14" s="140">
        <v>0</v>
      </c>
      <c r="AG14" s="140">
        <v>0</v>
      </c>
    </row>
    <row r="15" spans="1:34" customFormat="1" x14ac:dyDescent="0.15">
      <c r="A15" s="175" t="s">
        <v>204</v>
      </c>
      <c r="B15" s="140">
        <v>0</v>
      </c>
      <c r="C15" s="140">
        <v>0</v>
      </c>
      <c r="D15" s="140">
        <v>0</v>
      </c>
      <c r="E15" s="140">
        <v>9.9997448000306247E-3</v>
      </c>
      <c r="F15" s="140">
        <v>4.0000296800050454E-2</v>
      </c>
      <c r="G15" s="140">
        <v>0</v>
      </c>
      <c r="H15" s="140">
        <v>0</v>
      </c>
      <c r="I15" s="140">
        <v>0.13106189606814311</v>
      </c>
      <c r="J15" s="140">
        <v>0</v>
      </c>
      <c r="K15" s="140">
        <v>0.21499891178194036</v>
      </c>
      <c r="L15" s="140">
        <v>0.05</v>
      </c>
      <c r="M15" s="140">
        <v>0.13999999999999999</v>
      </c>
      <c r="N15" s="140">
        <v>7.0011606067690385E-2</v>
      </c>
      <c r="O15" s="140">
        <v>0</v>
      </c>
      <c r="P15" s="140">
        <v>5.0019797649069511E-2</v>
      </c>
      <c r="Q15" s="140">
        <v>4.0038894284161689E-3</v>
      </c>
      <c r="R15" s="140">
        <v>0</v>
      </c>
      <c r="S15" s="140">
        <v>0</v>
      </c>
      <c r="T15" s="140">
        <v>0</v>
      </c>
      <c r="U15" s="140">
        <v>0</v>
      </c>
      <c r="V15" s="140">
        <v>0</v>
      </c>
      <c r="W15" s="140">
        <v>0</v>
      </c>
      <c r="X15" s="140">
        <v>0</v>
      </c>
      <c r="Y15" s="140">
        <v>0</v>
      </c>
      <c r="Z15" s="140">
        <v>0</v>
      </c>
      <c r="AA15" s="140">
        <v>0</v>
      </c>
      <c r="AB15" s="140">
        <v>0</v>
      </c>
      <c r="AC15" s="140">
        <v>0</v>
      </c>
      <c r="AD15" s="140">
        <v>0</v>
      </c>
      <c r="AE15" s="140">
        <v>0</v>
      </c>
      <c r="AF15" s="140">
        <v>0</v>
      </c>
      <c r="AG15" s="140">
        <v>0</v>
      </c>
    </row>
    <row r="16" spans="1:34" customFormat="1" x14ac:dyDescent="0.15">
      <c r="A16" s="175" t="s">
        <v>205</v>
      </c>
      <c r="B16" s="140">
        <v>9.9999988400001349E-3</v>
      </c>
      <c r="C16" s="140">
        <v>6.0010079879979833E-2</v>
      </c>
      <c r="D16" s="140">
        <v>0</v>
      </c>
      <c r="E16" s="140">
        <v>9.9997448000306247E-3</v>
      </c>
      <c r="F16" s="140">
        <v>2.0000173400029478E-2</v>
      </c>
      <c r="G16" s="140">
        <v>0</v>
      </c>
      <c r="H16" s="140">
        <v>0</v>
      </c>
      <c r="I16" s="140">
        <v>0.13206229603813111</v>
      </c>
      <c r="J16" s="140">
        <v>1.999339834054794E-2</v>
      </c>
      <c r="K16" s="140">
        <v>0.13999900767194562</v>
      </c>
      <c r="L16" s="140">
        <v>0.05</v>
      </c>
      <c r="M16" s="140">
        <v>0.16999999999999998</v>
      </c>
      <c r="N16" s="140">
        <v>4.9999310050137295E-2</v>
      </c>
      <c r="O16" s="140">
        <v>0</v>
      </c>
      <c r="P16" s="140">
        <v>0</v>
      </c>
      <c r="Q16" s="140">
        <v>3.9999844279983342E-2</v>
      </c>
      <c r="R16" s="140">
        <v>0</v>
      </c>
      <c r="S16" s="140">
        <v>0</v>
      </c>
      <c r="T16" s="140">
        <v>0</v>
      </c>
      <c r="U16" s="140">
        <v>0</v>
      </c>
      <c r="V16" s="140">
        <v>0</v>
      </c>
      <c r="W16" s="140">
        <v>0</v>
      </c>
      <c r="X16" s="140">
        <v>0</v>
      </c>
      <c r="Y16" s="140">
        <v>0</v>
      </c>
      <c r="Z16" s="140">
        <v>0</v>
      </c>
      <c r="AA16" s="140">
        <v>0</v>
      </c>
      <c r="AB16" s="140">
        <v>0</v>
      </c>
      <c r="AC16" s="140">
        <v>0</v>
      </c>
      <c r="AD16" s="140">
        <v>0</v>
      </c>
      <c r="AE16" s="140">
        <v>0</v>
      </c>
      <c r="AF16" s="140">
        <v>0</v>
      </c>
      <c r="AG16" s="140">
        <v>0</v>
      </c>
    </row>
    <row r="17" spans="1:33" customFormat="1" x14ac:dyDescent="0.15">
      <c r="A17" s="175" t="s">
        <v>206</v>
      </c>
      <c r="B17" s="140">
        <v>0</v>
      </c>
      <c r="C17" s="140">
        <v>0</v>
      </c>
      <c r="D17" s="140">
        <v>0</v>
      </c>
      <c r="E17" s="140">
        <v>0</v>
      </c>
      <c r="F17" s="140">
        <v>0</v>
      </c>
      <c r="G17" s="140">
        <v>0</v>
      </c>
      <c r="H17" s="140">
        <v>0</v>
      </c>
      <c r="I17" s="140">
        <v>0</v>
      </c>
      <c r="J17" s="140">
        <v>0</v>
      </c>
      <c r="K17" s="140">
        <v>0</v>
      </c>
      <c r="L17" s="140">
        <v>1E-3</v>
      </c>
      <c r="M17" s="140">
        <v>0</v>
      </c>
      <c r="N17" s="140">
        <v>1.0001658009670055E-3</v>
      </c>
      <c r="O17" s="140">
        <v>0</v>
      </c>
      <c r="P17" s="140">
        <v>0</v>
      </c>
      <c r="Q17" s="140">
        <v>0</v>
      </c>
      <c r="R17" s="140">
        <v>0</v>
      </c>
      <c r="S17" s="140">
        <v>0</v>
      </c>
      <c r="T17" s="140">
        <v>0</v>
      </c>
      <c r="U17" s="140">
        <v>0</v>
      </c>
      <c r="V17" s="140">
        <v>0</v>
      </c>
      <c r="W17" s="140">
        <v>0</v>
      </c>
      <c r="X17" s="140">
        <v>0</v>
      </c>
      <c r="Y17" s="140">
        <v>0</v>
      </c>
      <c r="Z17" s="140">
        <v>0</v>
      </c>
      <c r="AA17" s="140">
        <v>0</v>
      </c>
      <c r="AB17" s="140">
        <v>0</v>
      </c>
      <c r="AC17" s="140">
        <v>0</v>
      </c>
      <c r="AD17" s="140">
        <v>0</v>
      </c>
      <c r="AE17" s="140">
        <v>0</v>
      </c>
      <c r="AF17" s="140">
        <v>0</v>
      </c>
      <c r="AG17" s="140">
        <v>0</v>
      </c>
    </row>
    <row r="18" spans="1:33" customFormat="1" x14ac:dyDescent="0.15">
      <c r="A18" s="175" t="s">
        <v>207</v>
      </c>
      <c r="B18" s="140">
        <v>0.37499995650000501</v>
      </c>
      <c r="C18" s="140">
        <v>0.26300009947399977</v>
      </c>
      <c r="D18" s="140">
        <v>0.24699999999999994</v>
      </c>
      <c r="E18" s="140">
        <v>0.30998156280221251</v>
      </c>
      <c r="F18" s="140">
        <v>0.36000876120148939</v>
      </c>
      <c r="G18" s="140">
        <v>0.17600070880003543</v>
      </c>
      <c r="H18" s="140">
        <v>0.203000502030005</v>
      </c>
      <c r="I18" s="140">
        <v>0</v>
      </c>
      <c r="J18" s="140">
        <v>1.9993398340547937E-3</v>
      </c>
      <c r="K18" s="140">
        <v>0</v>
      </c>
      <c r="L18" s="140">
        <v>0</v>
      </c>
      <c r="M18" s="140">
        <v>0</v>
      </c>
      <c r="N18" s="140">
        <v>0</v>
      </c>
      <c r="O18" s="140">
        <v>0</v>
      </c>
      <c r="P18" s="140">
        <v>3.0011878589441703E-2</v>
      </c>
      <c r="Q18" s="140">
        <v>0</v>
      </c>
      <c r="R18" s="140">
        <v>0</v>
      </c>
      <c r="S18" s="140">
        <v>0</v>
      </c>
      <c r="T18" s="140">
        <v>0</v>
      </c>
      <c r="U18" s="140">
        <v>0</v>
      </c>
      <c r="V18" s="140">
        <v>0</v>
      </c>
      <c r="W18" s="140">
        <v>0</v>
      </c>
      <c r="X18" s="140">
        <v>0</v>
      </c>
      <c r="Y18" s="140">
        <v>0</v>
      </c>
      <c r="Z18" s="140">
        <v>0</v>
      </c>
      <c r="AA18" s="140">
        <v>0</v>
      </c>
      <c r="AB18" s="140">
        <v>0</v>
      </c>
      <c r="AC18" s="140">
        <v>0</v>
      </c>
      <c r="AD18" s="140">
        <v>0</v>
      </c>
      <c r="AE18" s="140">
        <v>0</v>
      </c>
      <c r="AF18" s="140">
        <v>0</v>
      </c>
      <c r="AG18" s="140">
        <v>0</v>
      </c>
    </row>
    <row r="19" spans="1:33" customFormat="1" x14ac:dyDescent="0.15">
      <c r="A19" s="175" t="s">
        <v>208</v>
      </c>
      <c r="B19" s="140">
        <v>0</v>
      </c>
      <c r="C19" s="140">
        <v>0</v>
      </c>
      <c r="D19" s="140">
        <v>0</v>
      </c>
      <c r="E19" s="140">
        <v>0</v>
      </c>
      <c r="F19" s="140">
        <v>0</v>
      </c>
      <c r="G19" s="140">
        <v>0</v>
      </c>
      <c r="H19" s="140">
        <v>1.00000301000003E-2</v>
      </c>
      <c r="I19" s="140">
        <v>5.002361849929144E-2</v>
      </c>
      <c r="J19" s="140">
        <v>0</v>
      </c>
      <c r="K19" s="140">
        <v>1.1999920657595652E-2</v>
      </c>
      <c r="L19" s="140">
        <v>0.01</v>
      </c>
      <c r="M19" s="140">
        <v>4.9999999999999989E-2</v>
      </c>
      <c r="N19" s="140">
        <v>0</v>
      </c>
      <c r="O19" s="140">
        <v>0</v>
      </c>
      <c r="P19" s="140">
        <v>6.0023757178883407E-3</v>
      </c>
      <c r="Q19" s="140">
        <v>0</v>
      </c>
      <c r="R19" s="140">
        <v>0</v>
      </c>
      <c r="S19" s="140">
        <v>0</v>
      </c>
      <c r="T19" s="140">
        <v>1E-3</v>
      </c>
      <c r="U19" s="140">
        <v>0</v>
      </c>
      <c r="V19" s="140">
        <v>0</v>
      </c>
      <c r="W19" s="140">
        <v>0</v>
      </c>
      <c r="X19" s="140">
        <v>0</v>
      </c>
      <c r="Y19" s="140">
        <v>0</v>
      </c>
      <c r="Z19" s="140">
        <v>0</v>
      </c>
      <c r="AA19" s="140">
        <v>0</v>
      </c>
      <c r="AB19" s="140">
        <v>0</v>
      </c>
      <c r="AC19" s="140">
        <v>0</v>
      </c>
      <c r="AD19" s="140">
        <v>0</v>
      </c>
      <c r="AE19" s="140">
        <v>0</v>
      </c>
      <c r="AF19" s="140">
        <v>0</v>
      </c>
      <c r="AG19" s="140">
        <v>0</v>
      </c>
    </row>
    <row r="20" spans="1:33" customFormat="1" x14ac:dyDescent="0.15">
      <c r="A20" s="175" t="s">
        <v>209</v>
      </c>
      <c r="B20" s="140">
        <v>6.499998246000202E-2</v>
      </c>
      <c r="C20" s="140">
        <v>2.0003359959993279E-3</v>
      </c>
      <c r="D20" s="140">
        <v>0</v>
      </c>
      <c r="E20" s="140">
        <v>1.5999048080114233E-2</v>
      </c>
      <c r="F20" s="140">
        <v>3.092806525777109E-2</v>
      </c>
      <c r="G20" s="140">
        <v>0</v>
      </c>
      <c r="H20" s="140">
        <v>2.0000050200000501E-2</v>
      </c>
      <c r="I20" s="140">
        <v>6.9028307929150753E-2</v>
      </c>
      <c r="J20" s="140">
        <v>0</v>
      </c>
      <c r="K20" s="140">
        <v>0</v>
      </c>
      <c r="L20" s="140">
        <v>0.01</v>
      </c>
      <c r="M20" s="140">
        <v>0.17499999999999996</v>
      </c>
      <c r="N20" s="140">
        <v>0</v>
      </c>
      <c r="O20" s="140">
        <v>0</v>
      </c>
      <c r="P20" s="140">
        <v>7.0027716708697309E-3</v>
      </c>
      <c r="Q20" s="140">
        <v>0</v>
      </c>
      <c r="R20" s="140">
        <v>0</v>
      </c>
      <c r="S20" s="140">
        <v>0</v>
      </c>
      <c r="T20" s="140">
        <v>3.0000000000000001E-3</v>
      </c>
      <c r="U20" s="140">
        <v>0</v>
      </c>
      <c r="V20" s="140">
        <v>0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0</v>
      </c>
      <c r="AC20" s="140">
        <v>0</v>
      </c>
      <c r="AD20" s="140">
        <v>0</v>
      </c>
      <c r="AE20" s="140">
        <v>0</v>
      </c>
      <c r="AF20" s="140">
        <v>0</v>
      </c>
      <c r="AG20" s="140">
        <v>0</v>
      </c>
    </row>
    <row r="21" spans="1:33" customFormat="1" x14ac:dyDescent="0.15">
      <c r="A21" s="175" t="s">
        <v>210</v>
      </c>
      <c r="B21" s="140">
        <v>9.9999948400005985E-3</v>
      </c>
      <c r="C21" s="140">
        <v>1.0999999977999997E-2</v>
      </c>
      <c r="D21" s="140">
        <v>4.9999999999999989E-2</v>
      </c>
      <c r="E21" s="140">
        <v>4.9998724000153124E-3</v>
      </c>
      <c r="F21" s="140">
        <v>2.0000153400026078E-2</v>
      </c>
      <c r="G21" s="140">
        <v>8.1989854099492707E-2</v>
      </c>
      <c r="H21" s="140">
        <v>0</v>
      </c>
      <c r="I21" s="140">
        <v>0</v>
      </c>
      <c r="J21" s="140">
        <v>0</v>
      </c>
      <c r="K21" s="140">
        <v>0</v>
      </c>
      <c r="L21" s="140">
        <v>0</v>
      </c>
      <c r="M21" s="140">
        <v>0</v>
      </c>
      <c r="N21" s="140">
        <v>0</v>
      </c>
      <c r="O21" s="140">
        <v>0</v>
      </c>
      <c r="P21" s="140">
        <v>0</v>
      </c>
      <c r="Q21" s="140">
        <v>0</v>
      </c>
      <c r="R21" s="140">
        <v>0</v>
      </c>
      <c r="S21" s="140">
        <v>0</v>
      </c>
      <c r="T21" s="140">
        <v>0</v>
      </c>
      <c r="U21" s="140">
        <v>0</v>
      </c>
      <c r="V21" s="140">
        <v>0</v>
      </c>
      <c r="W21" s="140">
        <v>0</v>
      </c>
      <c r="X21" s="140">
        <v>0</v>
      </c>
      <c r="Y21" s="140">
        <v>0</v>
      </c>
      <c r="Z21" s="140">
        <v>0</v>
      </c>
      <c r="AA21" s="140">
        <v>0</v>
      </c>
      <c r="AB21" s="140">
        <v>0</v>
      </c>
      <c r="AC21" s="140">
        <v>0</v>
      </c>
      <c r="AD21" s="140">
        <v>0</v>
      </c>
      <c r="AE21" s="140">
        <v>0</v>
      </c>
      <c r="AF21" s="140">
        <v>0</v>
      </c>
      <c r="AG21" s="140">
        <v>0</v>
      </c>
    </row>
    <row r="22" spans="1:33" customFormat="1" x14ac:dyDescent="0.15">
      <c r="A22" s="175" t="s">
        <v>211</v>
      </c>
      <c r="B22" s="140">
        <v>4.9999984200001825E-3</v>
      </c>
      <c r="C22" s="140">
        <v>2.0003359959993279E-3</v>
      </c>
      <c r="D22" s="140">
        <v>0</v>
      </c>
      <c r="E22" s="140">
        <v>0</v>
      </c>
      <c r="F22" s="140">
        <v>0</v>
      </c>
      <c r="G22" s="140">
        <v>0</v>
      </c>
      <c r="H22" s="140">
        <v>0</v>
      </c>
      <c r="I22" s="140">
        <v>0.10003029699909109</v>
      </c>
      <c r="J22" s="140">
        <v>0</v>
      </c>
      <c r="K22" s="140">
        <v>0</v>
      </c>
      <c r="L22" s="140">
        <v>0.03</v>
      </c>
      <c r="M22" s="140">
        <v>2.9999999999999992E-2</v>
      </c>
      <c r="N22" s="140">
        <v>0</v>
      </c>
      <c r="O22" s="140">
        <v>0</v>
      </c>
      <c r="P22" s="140">
        <v>2.9011478636460499E-2</v>
      </c>
      <c r="Q22" s="140">
        <v>0</v>
      </c>
      <c r="R22" s="140">
        <v>0</v>
      </c>
      <c r="S22" s="140">
        <v>0</v>
      </c>
      <c r="T22" s="140">
        <v>4.0000000000000001E-3</v>
      </c>
      <c r="U22" s="140">
        <v>0</v>
      </c>
      <c r="V22" s="140">
        <v>0</v>
      </c>
      <c r="W22" s="140">
        <v>0</v>
      </c>
      <c r="X22" s="140">
        <v>0</v>
      </c>
      <c r="Y22" s="140">
        <v>0</v>
      </c>
      <c r="Z22" s="140">
        <v>0</v>
      </c>
      <c r="AA22" s="140">
        <v>0</v>
      </c>
      <c r="AB22" s="140">
        <v>0</v>
      </c>
      <c r="AC22" s="140">
        <v>0</v>
      </c>
      <c r="AD22" s="140">
        <v>0</v>
      </c>
      <c r="AE22" s="140">
        <v>0</v>
      </c>
      <c r="AF22" s="140">
        <v>0</v>
      </c>
      <c r="AG22" s="140">
        <v>0</v>
      </c>
    </row>
    <row r="23" spans="1:33" customFormat="1" x14ac:dyDescent="0.15">
      <c r="A23" s="175" t="s">
        <v>212</v>
      </c>
      <c r="B23" s="140">
        <v>0</v>
      </c>
      <c r="C23" s="140">
        <v>0</v>
      </c>
      <c r="D23" s="140">
        <v>0</v>
      </c>
      <c r="E23" s="140">
        <v>0</v>
      </c>
      <c r="F23" s="140">
        <v>0</v>
      </c>
      <c r="G23" s="140">
        <v>0</v>
      </c>
      <c r="H23" s="140">
        <v>0</v>
      </c>
      <c r="I23" s="140">
        <v>0</v>
      </c>
      <c r="J23" s="140">
        <v>3.7000116928990294E-2</v>
      </c>
      <c r="K23" s="140">
        <v>0</v>
      </c>
      <c r="L23" s="140">
        <v>0</v>
      </c>
      <c r="M23" s="140">
        <v>0</v>
      </c>
      <c r="N23" s="140">
        <v>0</v>
      </c>
      <c r="O23" s="140">
        <v>0</v>
      </c>
      <c r="P23" s="140">
        <v>0</v>
      </c>
      <c r="Q23" s="140">
        <v>0</v>
      </c>
      <c r="R23" s="140">
        <v>0</v>
      </c>
      <c r="S23" s="140">
        <v>0</v>
      </c>
      <c r="T23" s="140">
        <v>0</v>
      </c>
      <c r="U23" s="140">
        <v>0</v>
      </c>
      <c r="V23" s="140">
        <v>0</v>
      </c>
      <c r="W23" s="140">
        <v>0</v>
      </c>
      <c r="X23" s="140">
        <v>0</v>
      </c>
      <c r="Y23" s="140">
        <v>0</v>
      </c>
      <c r="Z23" s="140">
        <v>0</v>
      </c>
      <c r="AA23" s="140">
        <v>0</v>
      </c>
      <c r="AB23" s="140">
        <v>0</v>
      </c>
      <c r="AC23" s="140">
        <v>0</v>
      </c>
      <c r="AD23" s="140">
        <v>0</v>
      </c>
      <c r="AE23" s="140">
        <v>0</v>
      </c>
      <c r="AF23" s="140">
        <v>0</v>
      </c>
      <c r="AG23" s="140">
        <v>0</v>
      </c>
    </row>
    <row r="24" spans="1:33" customFormat="1" x14ac:dyDescent="0.15">
      <c r="A24" s="175" t="s">
        <v>213</v>
      </c>
      <c r="B24" s="140">
        <v>0</v>
      </c>
      <c r="C24" s="140">
        <v>0</v>
      </c>
      <c r="D24" s="140">
        <v>0</v>
      </c>
      <c r="E24" s="140">
        <v>6.499833220020014E-2</v>
      </c>
      <c r="F24" s="140">
        <v>0</v>
      </c>
      <c r="G24" s="140">
        <v>2.7000111350005566E-2</v>
      </c>
      <c r="H24" s="140">
        <v>2.5000060250000601E-2</v>
      </c>
      <c r="I24" s="140">
        <v>0.25011809249645722</v>
      </c>
      <c r="J24" s="140">
        <v>4.1000126596989497E-2</v>
      </c>
      <c r="K24" s="140">
        <v>0.44299782427628076</v>
      </c>
      <c r="L24" s="140">
        <v>0.34499999999999997</v>
      </c>
      <c r="M24" s="140">
        <v>0.15399999999999997</v>
      </c>
      <c r="N24" s="140">
        <v>0.40299491980401092</v>
      </c>
      <c r="O24" s="140">
        <v>0.31599999999999995</v>
      </c>
      <c r="P24" s="140">
        <v>0.41742838038086605</v>
      </c>
      <c r="Q24" s="140">
        <v>0.29399883145787498</v>
      </c>
      <c r="R24" s="140">
        <v>8.0000000000000002E-3</v>
      </c>
      <c r="S24" s="140">
        <v>0.28399999971600004</v>
      </c>
      <c r="T24" s="140">
        <v>0.28799999999999998</v>
      </c>
      <c r="U24" s="140">
        <v>0</v>
      </c>
      <c r="V24" s="140">
        <v>9.9999990000000996E-4</v>
      </c>
      <c r="W24" s="140">
        <v>0.125</v>
      </c>
      <c r="X24" s="140">
        <v>0</v>
      </c>
      <c r="Y24" s="140">
        <v>0</v>
      </c>
      <c r="Z24" s="140">
        <v>0</v>
      </c>
      <c r="AA24" s="140">
        <v>0</v>
      </c>
      <c r="AB24" s="140">
        <v>0</v>
      </c>
      <c r="AC24" s="140">
        <v>0</v>
      </c>
      <c r="AD24" s="140">
        <v>0</v>
      </c>
      <c r="AE24" s="140">
        <v>0</v>
      </c>
      <c r="AF24" s="140">
        <v>0</v>
      </c>
      <c r="AG24" s="140">
        <v>0</v>
      </c>
    </row>
    <row r="25" spans="1:33" customFormat="1" x14ac:dyDescent="0.15">
      <c r="A25" s="175" t="s">
        <v>214</v>
      </c>
      <c r="B25" s="140">
        <v>0</v>
      </c>
      <c r="C25" s="140">
        <v>0</v>
      </c>
      <c r="D25" s="140">
        <v>0</v>
      </c>
      <c r="E25" s="140">
        <v>0</v>
      </c>
      <c r="F25" s="140">
        <v>0</v>
      </c>
      <c r="G25" s="140">
        <v>0</v>
      </c>
      <c r="H25" s="140">
        <v>0</v>
      </c>
      <c r="I25" s="140">
        <v>0</v>
      </c>
      <c r="J25" s="140">
        <v>0</v>
      </c>
      <c r="K25" s="140">
        <v>9.9999525479973995E-4</v>
      </c>
      <c r="L25" s="140">
        <v>0.13</v>
      </c>
      <c r="M25" s="140">
        <v>2.5999999999999992E-2</v>
      </c>
      <c r="N25" s="140">
        <v>0.17999776418044494</v>
      </c>
      <c r="O25" s="140">
        <v>0</v>
      </c>
      <c r="P25" s="140">
        <v>6.3099647034316572E-2</v>
      </c>
      <c r="Q25" s="140">
        <v>1.399995149799481E-2</v>
      </c>
      <c r="R25" s="140">
        <v>0</v>
      </c>
      <c r="S25" s="140">
        <v>0.37099999962900004</v>
      </c>
      <c r="T25" s="140">
        <v>0</v>
      </c>
      <c r="U25" s="140">
        <v>0</v>
      </c>
      <c r="V25" s="140">
        <v>0</v>
      </c>
      <c r="W25" s="140">
        <v>0.04</v>
      </c>
      <c r="X25" s="140">
        <v>0.12</v>
      </c>
      <c r="Y25" s="140">
        <v>0</v>
      </c>
      <c r="Z25" s="140">
        <v>0</v>
      </c>
      <c r="AA25" s="140">
        <v>0</v>
      </c>
      <c r="AB25" s="140">
        <v>0</v>
      </c>
      <c r="AC25" s="140">
        <v>0</v>
      </c>
      <c r="AD25" s="140">
        <v>0</v>
      </c>
      <c r="AE25" s="140">
        <v>0</v>
      </c>
      <c r="AF25" s="140">
        <v>0</v>
      </c>
      <c r="AG25" s="140">
        <v>0</v>
      </c>
    </row>
    <row r="26" spans="1:33" customFormat="1" x14ac:dyDescent="0.15">
      <c r="A26" s="175" t="s">
        <v>215</v>
      </c>
      <c r="B26" s="140">
        <v>0</v>
      </c>
      <c r="C26" s="140">
        <v>0</v>
      </c>
      <c r="D26" s="140">
        <v>0</v>
      </c>
      <c r="E26" s="140">
        <v>4.1998924960129004E-2</v>
      </c>
      <c r="F26" s="140">
        <v>0</v>
      </c>
      <c r="G26" s="140">
        <v>3.8000151900007592E-2</v>
      </c>
      <c r="H26" s="140">
        <v>0.15500040155000402</v>
      </c>
      <c r="I26" s="140">
        <v>0.12535919623922412</v>
      </c>
      <c r="J26" s="140">
        <v>1.0000029169997579E-3</v>
      </c>
      <c r="K26" s="140">
        <v>1.5999920876795665E-2</v>
      </c>
      <c r="L26" s="140">
        <v>1.7000000000000001E-2</v>
      </c>
      <c r="M26" s="140">
        <v>0.11799999999999997</v>
      </c>
      <c r="N26" s="140">
        <v>0.17199786577242471</v>
      </c>
      <c r="O26" s="140">
        <v>0.26999999999999996</v>
      </c>
      <c r="P26" s="140">
        <v>0.21808628974994437</v>
      </c>
      <c r="Q26" s="140">
        <v>0.31799873402586454</v>
      </c>
      <c r="R26" s="140">
        <v>1E-3</v>
      </c>
      <c r="S26" s="140">
        <v>0.11699999988300003</v>
      </c>
      <c r="T26" s="140">
        <v>0.22500000000000001</v>
      </c>
      <c r="U26" s="140">
        <v>0</v>
      </c>
      <c r="V26" s="140">
        <v>9.9999990000000996E-4</v>
      </c>
      <c r="W26" s="140">
        <v>4.4999999999999998E-2</v>
      </c>
      <c r="X26" s="140">
        <v>0.32</v>
      </c>
      <c r="Y26" s="140">
        <v>9.5992312879769379E-2</v>
      </c>
      <c r="Z26" s="140">
        <v>0</v>
      </c>
      <c r="AA26" s="140">
        <v>0</v>
      </c>
      <c r="AB26" s="140">
        <v>0</v>
      </c>
      <c r="AC26" s="140">
        <v>0</v>
      </c>
      <c r="AD26" s="140">
        <v>0</v>
      </c>
      <c r="AE26" s="140">
        <v>0</v>
      </c>
      <c r="AF26" s="140">
        <v>0</v>
      </c>
      <c r="AG26" s="140">
        <v>0</v>
      </c>
    </row>
    <row r="27" spans="1:33" customFormat="1" x14ac:dyDescent="0.15">
      <c r="A27" s="175" t="s">
        <v>216</v>
      </c>
      <c r="B27" s="140">
        <v>0</v>
      </c>
      <c r="C27" s="140">
        <v>0</v>
      </c>
      <c r="D27" s="140">
        <v>0</v>
      </c>
      <c r="E27" s="140">
        <v>9.9997448000306247E-3</v>
      </c>
      <c r="F27" s="140">
        <v>0</v>
      </c>
      <c r="G27" s="140">
        <v>0.10000040500002025</v>
      </c>
      <c r="H27" s="140">
        <v>1.0999780109997801E-2</v>
      </c>
      <c r="I27" s="140">
        <v>0</v>
      </c>
      <c r="J27" s="140">
        <v>1.0000029169997579E-3</v>
      </c>
      <c r="K27" s="140">
        <v>3.79998120823897E-2</v>
      </c>
      <c r="L27" s="140">
        <v>0.14099999999999999</v>
      </c>
      <c r="M27" s="140">
        <v>9.9999999999999985E-3</v>
      </c>
      <c r="N27" s="140">
        <v>2.9999624030074817E-3</v>
      </c>
      <c r="O27" s="140">
        <v>0.16999999999999998</v>
      </c>
      <c r="P27" s="140">
        <v>2.4269098859352349E-2</v>
      </c>
      <c r="Q27" s="140">
        <v>3.9999844279983337E-3</v>
      </c>
      <c r="R27" s="140">
        <v>3.0000000000000001E-3</v>
      </c>
      <c r="S27" s="140">
        <v>9.9999999900000024E-4</v>
      </c>
      <c r="T27" s="140">
        <v>0</v>
      </c>
      <c r="U27" s="140">
        <v>0</v>
      </c>
      <c r="V27" s="140">
        <v>0</v>
      </c>
      <c r="W27" s="140">
        <v>0.4</v>
      </c>
      <c r="X27" s="140">
        <v>7.0000000000000007E-2</v>
      </c>
      <c r="Y27" s="140">
        <v>0.2200371066011132</v>
      </c>
      <c r="Z27" s="140">
        <v>5.8999999999999997E-2</v>
      </c>
      <c r="AA27" s="140">
        <v>0</v>
      </c>
      <c r="AB27" s="140">
        <v>0</v>
      </c>
      <c r="AC27" s="140">
        <v>0</v>
      </c>
      <c r="AD27" s="140">
        <v>0</v>
      </c>
      <c r="AE27" s="140">
        <v>0</v>
      </c>
      <c r="AF27" s="140">
        <v>0</v>
      </c>
      <c r="AG27" s="140">
        <v>0</v>
      </c>
    </row>
    <row r="28" spans="1:33" customFormat="1" x14ac:dyDescent="0.15">
      <c r="A28" s="175" t="s">
        <v>217</v>
      </c>
      <c r="B28" s="140">
        <v>0</v>
      </c>
      <c r="C28" s="140">
        <v>0</v>
      </c>
      <c r="D28" s="140">
        <v>0</v>
      </c>
      <c r="E28" s="140">
        <v>0</v>
      </c>
      <c r="F28" s="140">
        <v>0</v>
      </c>
      <c r="G28" s="140">
        <v>0</v>
      </c>
      <c r="H28" s="140">
        <v>0</v>
      </c>
      <c r="I28" s="140">
        <v>0</v>
      </c>
      <c r="J28" s="140">
        <v>0</v>
      </c>
      <c r="K28" s="140">
        <v>0</v>
      </c>
      <c r="L28" s="140">
        <v>0</v>
      </c>
      <c r="M28" s="140">
        <v>0</v>
      </c>
      <c r="N28" s="140">
        <v>1.999974602005054E-2</v>
      </c>
      <c r="O28" s="140">
        <v>2.9999999999999992E-3</v>
      </c>
      <c r="P28" s="140">
        <v>5.0019787649069978E-3</v>
      </c>
      <c r="Q28" s="140">
        <v>1.6999931818992703E-2</v>
      </c>
      <c r="R28" s="140">
        <v>0</v>
      </c>
      <c r="S28" s="140">
        <v>9.0000009910000001E-3</v>
      </c>
      <c r="T28" s="140">
        <v>0</v>
      </c>
      <c r="U28" s="140">
        <v>0</v>
      </c>
      <c r="V28" s="140">
        <v>0</v>
      </c>
      <c r="W28" s="140">
        <v>0</v>
      </c>
      <c r="X28" s="140">
        <v>0.05</v>
      </c>
      <c r="Y28" s="140">
        <v>2.1998240659947217E-2</v>
      </c>
      <c r="Z28" s="140">
        <v>0.17</v>
      </c>
      <c r="AA28" s="140">
        <v>1.9E-2</v>
      </c>
      <c r="AB28" s="140">
        <v>0</v>
      </c>
      <c r="AC28" s="140">
        <v>0</v>
      </c>
      <c r="AD28" s="140">
        <v>0</v>
      </c>
      <c r="AE28" s="140">
        <v>0</v>
      </c>
      <c r="AF28" s="140">
        <v>0</v>
      </c>
      <c r="AG28" s="140">
        <v>0</v>
      </c>
    </row>
    <row r="29" spans="1:33" customFormat="1" x14ac:dyDescent="0.15">
      <c r="A29" s="175" t="s">
        <v>218</v>
      </c>
      <c r="B29" s="140">
        <v>0.14099998364400188</v>
      </c>
      <c r="C29" s="140">
        <v>0</v>
      </c>
      <c r="D29" s="140">
        <v>4.9999999999999989E-2</v>
      </c>
      <c r="E29" s="140">
        <v>0.18006967839163859</v>
      </c>
      <c r="F29" s="140">
        <v>0.14000102380017401</v>
      </c>
      <c r="G29" s="140">
        <v>0.44700182235009106</v>
      </c>
      <c r="H29" s="140">
        <v>0.54999840549998402</v>
      </c>
      <c r="I29" s="140">
        <v>0</v>
      </c>
      <c r="J29" s="140">
        <v>4.1992406514630258E-2</v>
      </c>
      <c r="K29" s="140">
        <v>0.13500460739825249</v>
      </c>
      <c r="L29" s="140">
        <v>3.0000000000000001E-3</v>
      </c>
      <c r="M29" s="140">
        <v>1.9999999999999996E-3</v>
      </c>
      <c r="N29" s="140">
        <v>5.0999349851129382E-2</v>
      </c>
      <c r="O29" s="140">
        <v>4.0999999999999995E-2</v>
      </c>
      <c r="P29" s="140">
        <v>0.1020472952037771</v>
      </c>
      <c r="Q29" s="140">
        <v>0.25899902771289596</v>
      </c>
      <c r="R29" s="140">
        <v>0.93799999999999994</v>
      </c>
      <c r="S29" s="140">
        <v>0.21599999978400003</v>
      </c>
      <c r="T29" s="140">
        <v>0</v>
      </c>
      <c r="U29" s="140">
        <v>0.5</v>
      </c>
      <c r="V29" s="140">
        <v>0</v>
      </c>
      <c r="W29" s="140">
        <v>0</v>
      </c>
      <c r="X29" s="140">
        <v>0.10100000000000001</v>
      </c>
      <c r="Y29" s="140">
        <v>2.9997600899928025E-3</v>
      </c>
      <c r="Z29" s="140">
        <v>4.5999999999999999E-2</v>
      </c>
      <c r="AA29" s="140">
        <v>2.5000000000000001E-2</v>
      </c>
      <c r="AB29" s="140">
        <v>0</v>
      </c>
      <c r="AC29" s="140">
        <v>0</v>
      </c>
      <c r="AD29" s="140">
        <v>0</v>
      </c>
      <c r="AE29" s="140">
        <v>0</v>
      </c>
      <c r="AF29" s="140">
        <v>0</v>
      </c>
      <c r="AG29" s="140">
        <v>0</v>
      </c>
    </row>
    <row r="30" spans="1:33" customFormat="1" x14ac:dyDescent="0.15">
      <c r="A30" s="175" t="s">
        <v>219</v>
      </c>
      <c r="B30" s="140">
        <v>0</v>
      </c>
      <c r="C30" s="140">
        <v>0</v>
      </c>
      <c r="D30" s="140">
        <v>0</v>
      </c>
      <c r="E30" s="140">
        <v>0</v>
      </c>
      <c r="F30" s="140">
        <v>0</v>
      </c>
      <c r="G30" s="140">
        <v>0</v>
      </c>
      <c r="H30" s="140">
        <v>0</v>
      </c>
      <c r="I30" s="140">
        <v>0</v>
      </c>
      <c r="J30" s="140">
        <v>0</v>
      </c>
      <c r="K30" s="140">
        <v>0</v>
      </c>
      <c r="L30" s="140">
        <v>0</v>
      </c>
      <c r="M30" s="140">
        <v>0</v>
      </c>
      <c r="N30" s="140">
        <v>0</v>
      </c>
      <c r="O30" s="140">
        <v>0</v>
      </c>
      <c r="P30" s="140">
        <v>0</v>
      </c>
      <c r="Q30" s="140">
        <v>0</v>
      </c>
      <c r="R30" s="140">
        <v>0</v>
      </c>
      <c r="S30" s="140">
        <v>0</v>
      </c>
      <c r="T30" s="140">
        <v>0</v>
      </c>
      <c r="U30" s="140">
        <v>0</v>
      </c>
      <c r="V30" s="140">
        <v>0</v>
      </c>
      <c r="W30" s="140">
        <v>0</v>
      </c>
      <c r="X30" s="140">
        <v>5.0000000000000001E-3</v>
      </c>
      <c r="Y30" s="140">
        <v>2.9997600899928025E-3</v>
      </c>
      <c r="Z30" s="140">
        <v>0.121</v>
      </c>
      <c r="AA30" s="140">
        <v>1.0999999999999999E-2</v>
      </c>
      <c r="AB30" s="140">
        <v>0</v>
      </c>
      <c r="AC30" s="140">
        <v>0.9</v>
      </c>
      <c r="AD30" s="140">
        <v>0</v>
      </c>
      <c r="AE30" s="140">
        <v>0</v>
      </c>
      <c r="AF30" s="140">
        <v>0</v>
      </c>
      <c r="AG30" s="140">
        <v>0</v>
      </c>
    </row>
    <row r="31" spans="1:33" customFormat="1" x14ac:dyDescent="0.15">
      <c r="A31" s="175" t="s">
        <v>220</v>
      </c>
      <c r="B31" s="140">
        <v>0</v>
      </c>
      <c r="C31" s="140">
        <v>0</v>
      </c>
      <c r="D31" s="140">
        <v>0</v>
      </c>
      <c r="E31" s="140">
        <v>0</v>
      </c>
      <c r="F31" s="140">
        <v>0</v>
      </c>
      <c r="G31" s="140">
        <v>0</v>
      </c>
      <c r="H31" s="140">
        <v>0</v>
      </c>
      <c r="I31" s="140">
        <v>0</v>
      </c>
      <c r="J31" s="140">
        <v>0</v>
      </c>
      <c r="K31" s="140">
        <v>0</v>
      </c>
      <c r="L31" s="140">
        <v>1E-3</v>
      </c>
      <c r="M31" s="140">
        <v>9.3999999999999972E-2</v>
      </c>
      <c r="N31" s="140">
        <v>0</v>
      </c>
      <c r="O31" s="140">
        <v>0</v>
      </c>
      <c r="P31" s="140">
        <v>4.8019007743106634E-2</v>
      </c>
      <c r="Q31" s="140">
        <v>0</v>
      </c>
      <c r="R31" s="140">
        <v>0</v>
      </c>
      <c r="S31" s="140">
        <v>1.9999999980000005E-3</v>
      </c>
      <c r="T31" s="140">
        <v>0.47899999999999998</v>
      </c>
      <c r="U31" s="140">
        <v>0</v>
      </c>
      <c r="V31" s="140">
        <v>0.99600000039999992</v>
      </c>
      <c r="W31" s="140">
        <v>0.39</v>
      </c>
      <c r="X31" s="140">
        <v>0.2</v>
      </c>
      <c r="Y31" s="140">
        <v>0.55395561661866843</v>
      </c>
      <c r="Z31" s="140">
        <v>0.17899999999999999</v>
      </c>
      <c r="AA31" s="140">
        <v>8.4000000000000005E-2</v>
      </c>
      <c r="AB31" s="140">
        <v>0</v>
      </c>
      <c r="AC31" s="140">
        <v>0</v>
      </c>
      <c r="AD31" s="140">
        <v>0</v>
      </c>
      <c r="AE31" s="140">
        <v>0</v>
      </c>
      <c r="AF31" s="140">
        <v>0</v>
      </c>
      <c r="AG31" s="140">
        <v>0</v>
      </c>
    </row>
    <row r="32" spans="1:33" customFormat="1" x14ac:dyDescent="0.15">
      <c r="A32" s="175" t="s">
        <v>221</v>
      </c>
      <c r="B32" s="140">
        <v>0</v>
      </c>
      <c r="C32" s="140">
        <v>0</v>
      </c>
      <c r="D32" s="140">
        <v>0</v>
      </c>
      <c r="E32" s="140">
        <v>0</v>
      </c>
      <c r="F32" s="140">
        <v>0</v>
      </c>
      <c r="G32" s="140">
        <v>0</v>
      </c>
      <c r="H32" s="140">
        <v>0</v>
      </c>
      <c r="I32" s="140">
        <v>0</v>
      </c>
      <c r="J32" s="140">
        <v>0</v>
      </c>
      <c r="K32" s="140">
        <v>0</v>
      </c>
      <c r="L32" s="140">
        <v>3.2000000000000001E-2</v>
      </c>
      <c r="M32" s="140">
        <v>0</v>
      </c>
      <c r="N32" s="140">
        <v>4.9999310050137295E-2</v>
      </c>
      <c r="O32" s="140">
        <v>0.19999999999999996</v>
      </c>
      <c r="P32" s="140">
        <v>0</v>
      </c>
      <c r="Q32" s="140">
        <v>4.9999805349979165E-2</v>
      </c>
      <c r="R32" s="140">
        <v>0.05</v>
      </c>
      <c r="S32" s="140">
        <v>0</v>
      </c>
      <c r="T32" s="140">
        <v>0</v>
      </c>
      <c r="U32" s="140">
        <v>0</v>
      </c>
      <c r="V32" s="140">
        <v>1.9999998000000199E-3</v>
      </c>
      <c r="W32" s="140">
        <v>0</v>
      </c>
      <c r="X32" s="140">
        <v>0.13400000000000001</v>
      </c>
      <c r="Y32" s="140">
        <v>0.10201720306051609</v>
      </c>
      <c r="Z32" s="140">
        <v>0.42499999999999999</v>
      </c>
      <c r="AA32" s="140">
        <v>0.86099999999999999</v>
      </c>
      <c r="AB32" s="140">
        <v>1</v>
      </c>
      <c r="AC32" s="140">
        <v>0.1</v>
      </c>
      <c r="AD32" s="140">
        <v>0</v>
      </c>
      <c r="AE32" s="140">
        <v>0</v>
      </c>
      <c r="AF32" s="140">
        <v>0</v>
      </c>
      <c r="AG32" s="140">
        <v>0</v>
      </c>
    </row>
    <row r="33" spans="1:33" customFormat="1" x14ac:dyDescent="0.15">
      <c r="A33" s="175" t="s">
        <v>222</v>
      </c>
      <c r="B33" s="140">
        <v>0</v>
      </c>
      <c r="C33" s="140">
        <v>0</v>
      </c>
      <c r="D33" s="140">
        <v>0</v>
      </c>
      <c r="E33" s="140">
        <v>0</v>
      </c>
      <c r="F33" s="140">
        <v>0</v>
      </c>
      <c r="G33" s="140">
        <v>0</v>
      </c>
      <c r="H33" s="140">
        <v>0</v>
      </c>
      <c r="I33" s="140">
        <v>0</v>
      </c>
      <c r="J33" s="140">
        <v>0</v>
      </c>
      <c r="K33" s="140">
        <v>0</v>
      </c>
      <c r="L33" s="140">
        <v>0</v>
      </c>
      <c r="M33" s="140">
        <v>0</v>
      </c>
      <c r="N33" s="140">
        <v>0</v>
      </c>
      <c r="O33" s="140">
        <v>0</v>
      </c>
      <c r="P33" s="140">
        <v>0</v>
      </c>
      <c r="Q33" s="140">
        <v>0</v>
      </c>
      <c r="R33" s="140">
        <v>0</v>
      </c>
      <c r="S33" s="140">
        <v>0</v>
      </c>
      <c r="T33" s="140">
        <v>0</v>
      </c>
      <c r="U33" s="140">
        <v>0</v>
      </c>
      <c r="V33" s="140">
        <v>0</v>
      </c>
      <c r="W33" s="140">
        <v>0</v>
      </c>
      <c r="X33" s="140">
        <v>0</v>
      </c>
      <c r="Y33" s="140">
        <v>0</v>
      </c>
      <c r="Z33" s="140">
        <v>0</v>
      </c>
      <c r="AA33" s="140">
        <v>0</v>
      </c>
      <c r="AB33" s="140">
        <v>0</v>
      </c>
      <c r="AC33" s="140">
        <v>0</v>
      </c>
      <c r="AD33" s="140">
        <v>0</v>
      </c>
      <c r="AE33" s="140">
        <v>0</v>
      </c>
      <c r="AF33" s="140">
        <v>0</v>
      </c>
      <c r="AG33" s="140">
        <v>0</v>
      </c>
    </row>
    <row r="34" spans="1:33" customFormat="1" x14ac:dyDescent="0.15">
      <c r="A34" s="175" t="s">
        <v>226</v>
      </c>
      <c r="B34" s="140">
        <v>0.33999946056006258</v>
      </c>
      <c r="C34" s="140">
        <v>0.36014429927971131</v>
      </c>
      <c r="D34" s="140">
        <v>0.33999999999999997</v>
      </c>
      <c r="E34" s="140">
        <v>0.32992606040887279</v>
      </c>
      <c r="F34" s="140">
        <v>0.15005842550993231</v>
      </c>
      <c r="G34" s="140">
        <v>0.12000690600034529</v>
      </c>
      <c r="H34" s="140">
        <v>2.6000770260007699E-2</v>
      </c>
      <c r="I34" s="140">
        <v>0</v>
      </c>
      <c r="J34" s="140">
        <v>0.24612367957173459</v>
      </c>
      <c r="K34" s="140">
        <v>0</v>
      </c>
      <c r="L34" s="140">
        <v>0</v>
      </c>
      <c r="M34" s="140">
        <v>0</v>
      </c>
      <c r="N34" s="140">
        <v>0</v>
      </c>
      <c r="O34" s="140">
        <v>0</v>
      </c>
      <c r="P34" s="140">
        <v>0</v>
      </c>
      <c r="Q34" s="140">
        <v>0</v>
      </c>
      <c r="R34" s="140">
        <v>0</v>
      </c>
      <c r="S34" s="140">
        <v>0</v>
      </c>
      <c r="T34" s="140">
        <v>0</v>
      </c>
      <c r="U34" s="140">
        <v>0.5</v>
      </c>
      <c r="V34" s="140">
        <v>0</v>
      </c>
      <c r="W34" s="140">
        <v>0</v>
      </c>
      <c r="X34" s="140">
        <v>0</v>
      </c>
      <c r="Y34" s="140">
        <v>0</v>
      </c>
      <c r="Z34" s="140">
        <v>0</v>
      </c>
      <c r="AA34" s="140">
        <v>0</v>
      </c>
      <c r="AB34" s="140">
        <v>0</v>
      </c>
      <c r="AC34" s="140">
        <v>0</v>
      </c>
      <c r="AD34" s="140">
        <v>0</v>
      </c>
      <c r="AE34" s="140">
        <v>0</v>
      </c>
      <c r="AF34" s="140">
        <v>0</v>
      </c>
      <c r="AG34" s="140">
        <v>0</v>
      </c>
    </row>
    <row r="35" spans="1:33" customFormat="1" x14ac:dyDescent="0.15"/>
    <row r="36" spans="1:33" customFormat="1" x14ac:dyDescent="0.15"/>
    <row r="37" spans="1:33" customFormat="1" x14ac:dyDescent="0.15"/>
    <row r="38" spans="1:33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19" activePane="bottomRight" state="frozen"/>
      <selection pane="topRight" activeCell="C1" sqref="C1"/>
      <selection pane="bottomLeft" activeCell="A2" sqref="A2"/>
      <selection pane="bottomRight" activeCell="G40" sqref="G40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0.33203125" style="108" customWidth="1"/>
    <col min="5" max="6" width="20.33203125" style="107" customWidth="1"/>
    <col min="7" max="8" width="8.83203125" style="108"/>
  </cols>
  <sheetData>
    <row r="1" spans="1:8" ht="70" x14ac:dyDescent="0.15">
      <c r="A1" s="5" t="s">
        <v>20</v>
      </c>
      <c r="B1" s="1" t="s">
        <v>0</v>
      </c>
      <c r="C1" s="178" t="s">
        <v>221</v>
      </c>
      <c r="D1" s="178" t="s">
        <v>222</v>
      </c>
      <c r="E1" s="178" t="s">
        <v>227</v>
      </c>
      <c r="F1" s="178" t="s">
        <v>228</v>
      </c>
      <c r="G1"/>
      <c r="H1"/>
    </row>
    <row r="2" spans="1:8" x14ac:dyDescent="0.15">
      <c r="A2">
        <v>1</v>
      </c>
      <c r="B2" s="177" t="s">
        <v>191</v>
      </c>
      <c r="C2" s="108">
        <v>1</v>
      </c>
      <c r="D2" s="108">
        <v>0</v>
      </c>
      <c r="E2" s="107">
        <v>0</v>
      </c>
      <c r="F2" s="107">
        <v>1</v>
      </c>
      <c r="G2"/>
      <c r="H2"/>
    </row>
    <row r="3" spans="1:8" x14ac:dyDescent="0.15">
      <c r="A3">
        <v>2</v>
      </c>
      <c r="B3" s="177" t="s">
        <v>192</v>
      </c>
      <c r="C3" s="108">
        <v>1</v>
      </c>
      <c r="D3" s="108">
        <v>0</v>
      </c>
      <c r="E3" s="107">
        <v>0</v>
      </c>
      <c r="F3" s="107">
        <v>1</v>
      </c>
      <c r="G3"/>
      <c r="H3"/>
    </row>
    <row r="4" spans="1:8" x14ac:dyDescent="0.15">
      <c r="A4">
        <v>3</v>
      </c>
      <c r="B4" s="177" t="s">
        <v>193</v>
      </c>
      <c r="C4" s="108">
        <v>1</v>
      </c>
      <c r="D4" s="108">
        <v>0</v>
      </c>
      <c r="E4" s="107">
        <v>0</v>
      </c>
      <c r="F4" s="107">
        <v>1</v>
      </c>
      <c r="G4"/>
      <c r="H4"/>
    </row>
    <row r="5" spans="1:8" x14ac:dyDescent="0.15">
      <c r="A5">
        <v>4</v>
      </c>
      <c r="B5" s="177" t="s">
        <v>194</v>
      </c>
      <c r="C5" s="108">
        <v>1</v>
      </c>
      <c r="D5" s="108">
        <v>0</v>
      </c>
      <c r="E5" s="107">
        <v>0</v>
      </c>
      <c r="F5" s="107">
        <v>1</v>
      </c>
      <c r="G5"/>
      <c r="H5"/>
    </row>
    <row r="6" spans="1:8" x14ac:dyDescent="0.15">
      <c r="A6">
        <v>5</v>
      </c>
      <c r="B6" s="177" t="s">
        <v>195</v>
      </c>
      <c r="C6" s="108">
        <v>1</v>
      </c>
      <c r="D6" s="108">
        <v>0</v>
      </c>
      <c r="E6" s="107">
        <v>0</v>
      </c>
      <c r="F6" s="107">
        <v>1</v>
      </c>
      <c r="G6"/>
      <c r="H6"/>
    </row>
    <row r="7" spans="1:8" x14ac:dyDescent="0.15">
      <c r="A7">
        <v>6</v>
      </c>
      <c r="B7" s="177" t="s">
        <v>196</v>
      </c>
      <c r="C7" s="108">
        <v>1</v>
      </c>
      <c r="D7" s="108">
        <v>0</v>
      </c>
      <c r="E7" s="107">
        <v>0</v>
      </c>
      <c r="F7" s="107">
        <v>1</v>
      </c>
      <c r="G7"/>
      <c r="H7"/>
    </row>
    <row r="8" spans="1:8" x14ac:dyDescent="0.15">
      <c r="A8">
        <v>7</v>
      </c>
      <c r="B8" s="177" t="s">
        <v>197</v>
      </c>
      <c r="C8" s="108">
        <v>1</v>
      </c>
      <c r="D8" s="108">
        <v>0</v>
      </c>
      <c r="E8" s="107">
        <v>0</v>
      </c>
      <c r="F8" s="107">
        <v>1</v>
      </c>
      <c r="G8"/>
      <c r="H8"/>
    </row>
    <row r="9" spans="1:8" x14ac:dyDescent="0.15">
      <c r="A9">
        <v>8</v>
      </c>
      <c r="B9" s="177" t="s">
        <v>198</v>
      </c>
      <c r="C9" s="108">
        <v>1</v>
      </c>
      <c r="D9" s="108">
        <v>0</v>
      </c>
      <c r="E9" s="107">
        <v>0</v>
      </c>
      <c r="F9" s="107">
        <v>1</v>
      </c>
      <c r="G9"/>
      <c r="H9"/>
    </row>
    <row r="10" spans="1:8" x14ac:dyDescent="0.15">
      <c r="A10">
        <v>9</v>
      </c>
      <c r="B10" s="177" t="s">
        <v>199</v>
      </c>
      <c r="C10" s="108">
        <v>1</v>
      </c>
      <c r="D10" s="108">
        <v>0</v>
      </c>
      <c r="E10" s="107">
        <v>0</v>
      </c>
      <c r="F10" s="107">
        <v>1</v>
      </c>
      <c r="G10"/>
      <c r="H10"/>
    </row>
    <row r="11" spans="1:8" x14ac:dyDescent="0.15">
      <c r="A11">
        <v>10</v>
      </c>
      <c r="B11" s="177" t="s">
        <v>200</v>
      </c>
      <c r="C11" s="108">
        <v>1</v>
      </c>
      <c r="D11" s="108">
        <v>0</v>
      </c>
      <c r="E11" s="107">
        <v>0</v>
      </c>
      <c r="F11" s="107">
        <v>1</v>
      </c>
      <c r="G11"/>
      <c r="H11"/>
    </row>
    <row r="12" spans="1:8" x14ac:dyDescent="0.15">
      <c r="A12">
        <v>11</v>
      </c>
      <c r="B12" s="177" t="s">
        <v>201</v>
      </c>
      <c r="C12" s="108">
        <v>1</v>
      </c>
      <c r="D12" s="108">
        <v>0</v>
      </c>
      <c r="E12" s="107">
        <v>0</v>
      </c>
      <c r="F12" s="107">
        <v>1</v>
      </c>
      <c r="G12"/>
      <c r="H12"/>
    </row>
    <row r="13" spans="1:8" x14ac:dyDescent="0.15">
      <c r="A13">
        <v>12</v>
      </c>
      <c r="B13" s="177" t="s">
        <v>202</v>
      </c>
      <c r="C13" s="108">
        <v>1</v>
      </c>
      <c r="D13" s="108">
        <v>0</v>
      </c>
      <c r="E13" s="107">
        <v>0</v>
      </c>
      <c r="F13" s="107">
        <v>1</v>
      </c>
      <c r="G13"/>
      <c r="H13"/>
    </row>
    <row r="14" spans="1:8" x14ac:dyDescent="0.15">
      <c r="A14">
        <v>13</v>
      </c>
      <c r="B14" s="177" t="s">
        <v>203</v>
      </c>
      <c r="C14" s="108">
        <v>1</v>
      </c>
      <c r="D14" s="108">
        <v>0</v>
      </c>
      <c r="E14" s="107">
        <v>0</v>
      </c>
      <c r="F14" s="107">
        <v>1</v>
      </c>
      <c r="G14"/>
      <c r="H14"/>
    </row>
    <row r="15" spans="1:8" x14ac:dyDescent="0.15">
      <c r="A15">
        <v>14</v>
      </c>
      <c r="B15" s="177" t="s">
        <v>204</v>
      </c>
      <c r="C15" s="108">
        <v>1</v>
      </c>
      <c r="D15" s="108">
        <v>0</v>
      </c>
      <c r="E15" s="107">
        <v>0</v>
      </c>
      <c r="F15" s="107">
        <v>1</v>
      </c>
      <c r="G15"/>
      <c r="H15"/>
    </row>
    <row r="16" spans="1:8" x14ac:dyDescent="0.15">
      <c r="A16">
        <v>15</v>
      </c>
      <c r="B16" s="177" t="s">
        <v>205</v>
      </c>
      <c r="C16" s="108">
        <v>1</v>
      </c>
      <c r="D16" s="108">
        <v>0</v>
      </c>
      <c r="E16" s="107">
        <v>0</v>
      </c>
      <c r="F16" s="107">
        <v>1</v>
      </c>
      <c r="G16"/>
      <c r="H16"/>
    </row>
    <row r="17" spans="1:8" ht="15" customHeight="1" x14ac:dyDescent="0.15">
      <c r="A17">
        <v>16</v>
      </c>
      <c r="B17" s="177" t="s">
        <v>206</v>
      </c>
      <c r="C17" s="108">
        <v>1</v>
      </c>
      <c r="D17" s="108">
        <v>0</v>
      </c>
      <c r="E17" s="107">
        <v>0</v>
      </c>
      <c r="F17" s="107">
        <v>1</v>
      </c>
      <c r="G17"/>
      <c r="H17"/>
    </row>
    <row r="18" spans="1:8" ht="15" customHeight="1" x14ac:dyDescent="0.15">
      <c r="A18">
        <v>17</v>
      </c>
      <c r="B18" s="177" t="s">
        <v>207</v>
      </c>
      <c r="C18" s="108">
        <v>1</v>
      </c>
      <c r="D18" s="108">
        <v>0</v>
      </c>
      <c r="E18" s="107">
        <v>0</v>
      </c>
      <c r="F18" s="107">
        <v>1</v>
      </c>
      <c r="G18"/>
      <c r="H18"/>
    </row>
    <row r="19" spans="1:8" ht="15" customHeight="1" x14ac:dyDescent="0.15">
      <c r="A19">
        <v>18</v>
      </c>
      <c r="B19" s="177" t="s">
        <v>208</v>
      </c>
      <c r="C19" s="108">
        <v>1</v>
      </c>
      <c r="D19" s="108">
        <v>0</v>
      </c>
      <c r="E19" s="107">
        <v>0</v>
      </c>
      <c r="F19" s="107">
        <v>1</v>
      </c>
      <c r="G19"/>
      <c r="H19"/>
    </row>
    <row r="20" spans="1:8" ht="15" customHeight="1" x14ac:dyDescent="0.15">
      <c r="A20">
        <v>19</v>
      </c>
      <c r="B20" s="177" t="s">
        <v>209</v>
      </c>
      <c r="C20" s="108">
        <v>1</v>
      </c>
      <c r="D20" s="108">
        <v>0</v>
      </c>
      <c r="E20" s="107">
        <v>0</v>
      </c>
      <c r="F20" s="107">
        <v>1</v>
      </c>
      <c r="G20"/>
      <c r="H20"/>
    </row>
    <row r="21" spans="1:8" ht="15" customHeight="1" x14ac:dyDescent="0.15">
      <c r="A21">
        <v>20</v>
      </c>
      <c r="B21" s="177" t="s">
        <v>210</v>
      </c>
      <c r="C21" s="108">
        <v>1</v>
      </c>
      <c r="D21" s="108">
        <v>0</v>
      </c>
      <c r="E21" s="107">
        <v>0</v>
      </c>
      <c r="F21" s="107">
        <v>1</v>
      </c>
      <c r="G21"/>
      <c r="H21"/>
    </row>
    <row r="22" spans="1:8" ht="15" customHeight="1" x14ac:dyDescent="0.15">
      <c r="A22">
        <v>21</v>
      </c>
      <c r="B22" s="177" t="s">
        <v>211</v>
      </c>
      <c r="C22" s="108">
        <v>1</v>
      </c>
      <c r="D22" s="108">
        <v>0</v>
      </c>
      <c r="E22" s="107">
        <v>0</v>
      </c>
      <c r="F22" s="107">
        <v>1</v>
      </c>
      <c r="G22"/>
      <c r="H22"/>
    </row>
    <row r="23" spans="1:8" ht="15" customHeight="1" x14ac:dyDescent="0.15">
      <c r="A23">
        <v>22</v>
      </c>
      <c r="B23" s="177" t="s">
        <v>212</v>
      </c>
      <c r="C23" s="108">
        <v>1</v>
      </c>
      <c r="D23" s="108">
        <v>0</v>
      </c>
      <c r="E23" s="107">
        <v>0</v>
      </c>
      <c r="F23" s="107">
        <v>1</v>
      </c>
      <c r="G23"/>
      <c r="H23"/>
    </row>
    <row r="24" spans="1:8" ht="15" customHeight="1" x14ac:dyDescent="0.15">
      <c r="A24">
        <v>23</v>
      </c>
      <c r="B24" s="177" t="s">
        <v>213</v>
      </c>
      <c r="C24" s="108">
        <v>1</v>
      </c>
      <c r="D24" s="108">
        <v>0</v>
      </c>
      <c r="E24" s="107">
        <v>0</v>
      </c>
      <c r="F24" s="107">
        <v>1</v>
      </c>
      <c r="G24"/>
      <c r="H24"/>
    </row>
    <row r="25" spans="1:8" ht="15" customHeight="1" x14ac:dyDescent="0.15">
      <c r="A25">
        <v>24</v>
      </c>
      <c r="B25" s="177" t="s">
        <v>214</v>
      </c>
      <c r="C25" s="108">
        <v>1</v>
      </c>
      <c r="D25" s="108">
        <v>0</v>
      </c>
      <c r="E25" s="107">
        <v>0</v>
      </c>
      <c r="F25" s="107">
        <v>1</v>
      </c>
      <c r="G25"/>
      <c r="H25"/>
    </row>
    <row r="26" spans="1:8" ht="15" customHeight="1" x14ac:dyDescent="0.15">
      <c r="A26">
        <v>25</v>
      </c>
      <c r="B26" s="177" t="s">
        <v>215</v>
      </c>
      <c r="C26" s="108">
        <v>1</v>
      </c>
      <c r="D26" s="108">
        <v>0</v>
      </c>
      <c r="E26" s="107">
        <v>0</v>
      </c>
      <c r="F26" s="107">
        <v>1</v>
      </c>
      <c r="G26"/>
      <c r="H26"/>
    </row>
    <row r="27" spans="1:8" ht="15" customHeight="1" x14ac:dyDescent="0.15">
      <c r="A27">
        <v>26</v>
      </c>
      <c r="B27" s="177" t="s">
        <v>216</v>
      </c>
      <c r="C27" s="108">
        <v>1</v>
      </c>
      <c r="D27" s="108">
        <v>0</v>
      </c>
      <c r="E27" s="107">
        <v>0</v>
      </c>
      <c r="F27" s="107">
        <v>1</v>
      </c>
      <c r="G27"/>
      <c r="H27"/>
    </row>
    <row r="28" spans="1:8" ht="15" customHeight="1" x14ac:dyDescent="0.15">
      <c r="A28">
        <v>27</v>
      </c>
      <c r="B28" s="177" t="s">
        <v>217</v>
      </c>
      <c r="C28" s="108">
        <v>1</v>
      </c>
      <c r="D28" s="108">
        <v>0</v>
      </c>
      <c r="E28" s="107">
        <v>0</v>
      </c>
      <c r="F28" s="107">
        <v>1</v>
      </c>
      <c r="G28"/>
      <c r="H28"/>
    </row>
    <row r="29" spans="1:8" ht="15" customHeight="1" x14ac:dyDescent="0.15">
      <c r="A29">
        <v>28</v>
      </c>
      <c r="B29" s="177" t="s">
        <v>218</v>
      </c>
      <c r="C29" s="108">
        <v>1</v>
      </c>
      <c r="D29" s="108">
        <v>0</v>
      </c>
      <c r="E29" s="107">
        <v>0</v>
      </c>
      <c r="F29" s="107">
        <v>1</v>
      </c>
      <c r="G29"/>
      <c r="H29"/>
    </row>
    <row r="30" spans="1:8" ht="15" customHeight="1" x14ac:dyDescent="0.15">
      <c r="A30">
        <v>29</v>
      </c>
      <c r="B30" s="177" t="s">
        <v>219</v>
      </c>
      <c r="C30" s="108">
        <v>1</v>
      </c>
      <c r="D30" s="108">
        <v>0</v>
      </c>
      <c r="E30" s="107">
        <v>0</v>
      </c>
      <c r="F30" s="107">
        <v>1</v>
      </c>
      <c r="G30"/>
      <c r="H30"/>
    </row>
    <row r="31" spans="1:8" ht="15" customHeight="1" x14ac:dyDescent="0.15">
      <c r="A31">
        <v>30</v>
      </c>
      <c r="B31" s="177" t="s">
        <v>220</v>
      </c>
      <c r="C31" s="108">
        <v>1</v>
      </c>
      <c r="D31" s="108">
        <v>0</v>
      </c>
      <c r="E31" s="107">
        <v>0</v>
      </c>
      <c r="F31" s="107">
        <v>1</v>
      </c>
      <c r="G31"/>
      <c r="H31"/>
    </row>
    <row r="32" spans="1:8" ht="15" customHeight="1" x14ac:dyDescent="0.15">
      <c r="A32">
        <v>31</v>
      </c>
      <c r="B32" s="177" t="s">
        <v>221</v>
      </c>
      <c r="C32" s="108">
        <v>0</v>
      </c>
      <c r="D32" s="108">
        <v>1</v>
      </c>
      <c r="E32" s="107">
        <v>0</v>
      </c>
      <c r="F32" s="107">
        <v>1</v>
      </c>
    </row>
    <row r="33" spans="1:8" ht="15" customHeight="1" x14ac:dyDescent="0.15">
      <c r="A33">
        <v>32</v>
      </c>
      <c r="B33" s="177" t="s">
        <v>222</v>
      </c>
      <c r="C33" s="108">
        <v>0</v>
      </c>
      <c r="D33" s="108">
        <v>0</v>
      </c>
      <c r="E33" s="107">
        <v>1</v>
      </c>
      <c r="F33" s="107">
        <v>1</v>
      </c>
    </row>
    <row r="34" spans="1:8" ht="15" customHeight="1" x14ac:dyDescent="0.15">
      <c r="A34">
        <v>33</v>
      </c>
      <c r="B34" s="177" t="s">
        <v>223</v>
      </c>
      <c r="C34" s="108">
        <v>0</v>
      </c>
      <c r="D34" s="108">
        <v>1</v>
      </c>
      <c r="E34" s="107">
        <v>0</v>
      </c>
      <c r="F34" s="107">
        <v>1</v>
      </c>
    </row>
    <row r="35" spans="1:8" ht="15" customHeight="1" x14ac:dyDescent="0.15">
      <c r="A35">
        <v>34</v>
      </c>
      <c r="B35" s="177" t="s">
        <v>224</v>
      </c>
      <c r="C35" s="108">
        <v>0</v>
      </c>
      <c r="D35" s="108">
        <v>1</v>
      </c>
      <c r="E35" s="107">
        <v>0</v>
      </c>
      <c r="F35" s="107">
        <v>1</v>
      </c>
    </row>
    <row r="36" spans="1:8" ht="15" customHeight="1" x14ac:dyDescent="0.15">
      <c r="A36">
        <v>35</v>
      </c>
      <c r="B36" s="177" t="s">
        <v>225</v>
      </c>
      <c r="C36" s="108">
        <v>0</v>
      </c>
      <c r="D36" s="108">
        <v>1</v>
      </c>
      <c r="E36" s="108">
        <v>0</v>
      </c>
      <c r="F36" s="108">
        <v>1</v>
      </c>
      <c r="G36"/>
      <c r="H36"/>
    </row>
    <row r="37" spans="1:8" ht="15" customHeight="1" x14ac:dyDescent="0.15">
      <c r="C37"/>
      <c r="D37"/>
      <c r="E37" s="108"/>
      <c r="F37" s="108"/>
      <c r="G37"/>
      <c r="H37"/>
    </row>
    <row r="38" spans="1:8" ht="15" customHeight="1" x14ac:dyDescent="0.15">
      <c r="C38"/>
      <c r="D38"/>
      <c r="E38" s="108"/>
      <c r="F38" s="108"/>
      <c r="G38"/>
      <c r="H38"/>
    </row>
    <row r="39" spans="1:8" ht="15" customHeight="1" x14ac:dyDescent="0.15">
      <c r="C39"/>
      <c r="D39"/>
      <c r="E39" s="108"/>
      <c r="F39" s="108"/>
      <c r="G39"/>
      <c r="H39"/>
    </row>
    <row r="40" spans="1:8" ht="15" customHeight="1" x14ac:dyDescent="0.15">
      <c r="C40"/>
      <c r="D40"/>
      <c r="E40" s="108"/>
      <c r="F40" s="108"/>
      <c r="G40"/>
      <c r="H40"/>
    </row>
    <row r="41" spans="1:8" ht="15" customHeight="1" x14ac:dyDescent="0.15">
      <c r="C41"/>
      <c r="D41"/>
      <c r="E41" s="108"/>
      <c r="F41" s="108"/>
      <c r="G41"/>
      <c r="H41"/>
    </row>
    <row r="42" spans="1:8" ht="15" customHeight="1" x14ac:dyDescent="0.15">
      <c r="C42"/>
      <c r="D42"/>
      <c r="E42" s="108"/>
      <c r="F42" s="108"/>
      <c r="G42"/>
      <c r="H42"/>
    </row>
    <row r="43" spans="1:8" ht="15" customHeight="1" x14ac:dyDescent="0.15">
      <c r="C43"/>
      <c r="D43"/>
      <c r="E43" s="108"/>
      <c r="F43" s="108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8"/>
      <c r="F46" s="108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F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33203125" bestFit="1" customWidth="1"/>
    <col min="3" max="5" width="5.83203125" bestFit="1" customWidth="1"/>
    <col min="6" max="6" width="5.83203125" customWidth="1"/>
  </cols>
  <sheetData>
    <row r="1" spans="1:6" s="109" customFormat="1" ht="112" x14ac:dyDescent="0.15">
      <c r="A1" s="5" t="s">
        <v>21</v>
      </c>
      <c r="B1" s="3" t="s">
        <v>0</v>
      </c>
      <c r="C1" s="180" t="s">
        <v>223</v>
      </c>
      <c r="D1" s="180" t="s">
        <v>224</v>
      </c>
      <c r="E1" s="180" t="s">
        <v>225</v>
      </c>
      <c r="F1" s="180" t="s">
        <v>229</v>
      </c>
    </row>
    <row r="2" spans="1:6" ht="15" customHeight="1" x14ac:dyDescent="0.15">
      <c r="A2">
        <v>1</v>
      </c>
      <c r="B2" s="179" t="s">
        <v>191</v>
      </c>
      <c r="C2">
        <v>1E-3</v>
      </c>
      <c r="D2">
        <v>0</v>
      </c>
      <c r="E2">
        <v>0</v>
      </c>
      <c r="F2">
        <v>1E-3</v>
      </c>
    </row>
    <row r="3" spans="1:6" ht="15" customHeight="1" x14ac:dyDescent="0.15">
      <c r="A3">
        <v>2</v>
      </c>
      <c r="B3" s="179" t="s">
        <v>192</v>
      </c>
      <c r="C3">
        <v>0</v>
      </c>
      <c r="D3">
        <v>0</v>
      </c>
      <c r="E3">
        <v>1E-3</v>
      </c>
      <c r="F3">
        <v>1E-3</v>
      </c>
    </row>
    <row r="4" spans="1:6" ht="15" customHeight="1" x14ac:dyDescent="0.15">
      <c r="A4">
        <v>3</v>
      </c>
      <c r="B4" s="179" t="s">
        <v>193</v>
      </c>
      <c r="C4">
        <v>1E-3</v>
      </c>
      <c r="D4">
        <v>0</v>
      </c>
      <c r="E4">
        <v>1E-3</v>
      </c>
      <c r="F4">
        <v>2E-3</v>
      </c>
    </row>
    <row r="5" spans="1:6" ht="15" customHeight="1" x14ac:dyDescent="0.15">
      <c r="A5">
        <v>4</v>
      </c>
      <c r="B5" s="179" t="s">
        <v>194</v>
      </c>
      <c r="C5">
        <v>0.39600000000000002</v>
      </c>
      <c r="D5">
        <v>2E-3</v>
      </c>
      <c r="E5">
        <v>0.434</v>
      </c>
      <c r="F5">
        <v>0.83200000000000007</v>
      </c>
    </row>
    <row r="6" spans="1:6" ht="15" customHeight="1" x14ac:dyDescent="0.15">
      <c r="A6">
        <v>5</v>
      </c>
      <c r="B6" s="179" t="s">
        <v>195</v>
      </c>
      <c r="C6">
        <v>0.19500000000000001</v>
      </c>
      <c r="D6">
        <v>0</v>
      </c>
      <c r="E6">
        <v>2E-3</v>
      </c>
      <c r="F6">
        <v>0.19700000000000001</v>
      </c>
    </row>
    <row r="7" spans="1:6" ht="15" customHeight="1" x14ac:dyDescent="0.15">
      <c r="A7">
        <v>6</v>
      </c>
      <c r="B7" s="179" t="s">
        <v>196</v>
      </c>
      <c r="C7">
        <v>2E-3</v>
      </c>
      <c r="D7">
        <v>5.0000000000000001E-3</v>
      </c>
      <c r="E7">
        <v>0.01</v>
      </c>
      <c r="F7">
        <v>1.7000000000000001E-2</v>
      </c>
    </row>
    <row r="8" spans="1:6" ht="15" customHeight="1" x14ac:dyDescent="0.15">
      <c r="A8">
        <v>7</v>
      </c>
      <c r="B8" s="179" t="s">
        <v>197</v>
      </c>
      <c r="C8">
        <v>2.1999999999999999E-2</v>
      </c>
      <c r="D8">
        <v>8.0000000000000002E-3</v>
      </c>
      <c r="E8">
        <v>4.0000000000000001E-3</v>
      </c>
      <c r="F8">
        <v>3.4000000000000002E-2</v>
      </c>
    </row>
    <row r="9" spans="1:6" ht="15" customHeight="1" x14ac:dyDescent="0.15">
      <c r="A9">
        <v>8</v>
      </c>
      <c r="B9" s="179" t="s">
        <v>198</v>
      </c>
      <c r="C9">
        <v>8.0000000000000002E-3</v>
      </c>
      <c r="D9">
        <v>0</v>
      </c>
      <c r="E9">
        <v>3.0000000000000001E-3</v>
      </c>
      <c r="F9">
        <v>1.0999999999999999E-2</v>
      </c>
    </row>
    <row r="10" spans="1:6" ht="15" customHeight="1" x14ac:dyDescent="0.15">
      <c r="A10">
        <v>9</v>
      </c>
      <c r="B10" s="179" t="s">
        <v>199</v>
      </c>
      <c r="C10">
        <v>0</v>
      </c>
      <c r="D10">
        <v>0</v>
      </c>
      <c r="E10">
        <v>1E-3</v>
      </c>
      <c r="F10">
        <v>1E-3</v>
      </c>
    </row>
    <row r="11" spans="1:6" ht="15" customHeight="1" x14ac:dyDescent="0.15">
      <c r="A11">
        <v>10</v>
      </c>
      <c r="B11" s="179" t="s">
        <v>200</v>
      </c>
      <c r="C11">
        <v>0.01</v>
      </c>
      <c r="D11">
        <v>0</v>
      </c>
      <c r="E11">
        <v>1E-3</v>
      </c>
      <c r="F11">
        <v>1.0999999999999999E-2</v>
      </c>
    </row>
    <row r="12" spans="1:6" ht="15" customHeight="1" x14ac:dyDescent="0.15">
      <c r="A12">
        <v>11</v>
      </c>
      <c r="B12" s="179" t="s">
        <v>201</v>
      </c>
      <c r="C12">
        <v>1E-3</v>
      </c>
      <c r="D12">
        <v>0</v>
      </c>
      <c r="E12">
        <v>1E-3</v>
      </c>
      <c r="F12">
        <v>2E-3</v>
      </c>
    </row>
    <row r="13" spans="1:6" ht="15" customHeight="1" x14ac:dyDescent="0.15">
      <c r="A13">
        <v>12</v>
      </c>
      <c r="B13" s="179" t="s">
        <v>202</v>
      </c>
      <c r="C13">
        <v>6.7000000000000004E-2</v>
      </c>
      <c r="D13">
        <v>0</v>
      </c>
      <c r="E13">
        <v>0.02</v>
      </c>
      <c r="F13">
        <v>8.7000000000000008E-2</v>
      </c>
    </row>
    <row r="14" spans="1:6" ht="15" customHeight="1" x14ac:dyDescent="0.15">
      <c r="A14">
        <v>13</v>
      </c>
      <c r="B14" s="179" t="s">
        <v>203</v>
      </c>
      <c r="C14">
        <v>0</v>
      </c>
      <c r="D14">
        <v>0</v>
      </c>
      <c r="E14">
        <v>0</v>
      </c>
      <c r="F14">
        <v>0</v>
      </c>
    </row>
    <row r="15" spans="1:6" ht="15" customHeight="1" x14ac:dyDescent="0.15">
      <c r="A15">
        <v>14</v>
      </c>
      <c r="B15" s="179" t="s">
        <v>204</v>
      </c>
      <c r="C15">
        <v>5.0000000000000001E-3</v>
      </c>
      <c r="D15">
        <v>0</v>
      </c>
      <c r="E15">
        <v>1E-3</v>
      </c>
      <c r="F15">
        <v>6.0000000000000001E-3</v>
      </c>
    </row>
    <row r="16" spans="1:6" ht="15" customHeight="1" x14ac:dyDescent="0.15">
      <c r="A16">
        <v>15</v>
      </c>
      <c r="B16" s="179" t="s">
        <v>205</v>
      </c>
      <c r="C16">
        <v>1.0999999999999999E-2</v>
      </c>
      <c r="D16">
        <v>6.0000000000000001E-3</v>
      </c>
      <c r="E16">
        <v>0.01</v>
      </c>
      <c r="F16">
        <v>2.7000000000000003E-2</v>
      </c>
    </row>
    <row r="17" spans="1:6" ht="15" customHeight="1" x14ac:dyDescent="0.15">
      <c r="A17">
        <v>16</v>
      </c>
      <c r="B17" s="179" t="s">
        <v>206</v>
      </c>
      <c r="C17">
        <v>1E-3</v>
      </c>
      <c r="D17">
        <v>0</v>
      </c>
      <c r="E17">
        <v>0</v>
      </c>
      <c r="F17">
        <v>1E-3</v>
      </c>
    </row>
    <row r="18" spans="1:6" ht="15" customHeight="1" x14ac:dyDescent="0.15">
      <c r="A18">
        <v>17</v>
      </c>
      <c r="B18" s="179" t="s">
        <v>207</v>
      </c>
      <c r="C18">
        <v>5.2999999999999999E-2</v>
      </c>
      <c r="D18">
        <v>0.308</v>
      </c>
      <c r="E18">
        <v>6.4000000000000001E-2</v>
      </c>
      <c r="F18">
        <v>0.42499999999999999</v>
      </c>
    </row>
    <row r="19" spans="1:6" ht="15" customHeight="1" x14ac:dyDescent="0.15">
      <c r="A19">
        <v>18</v>
      </c>
      <c r="B19" s="179" t="s">
        <v>208</v>
      </c>
      <c r="C19">
        <v>5.0000000000000001E-3</v>
      </c>
      <c r="D19">
        <v>0</v>
      </c>
      <c r="E19">
        <v>1E-3</v>
      </c>
      <c r="F19">
        <v>6.0000000000000001E-3</v>
      </c>
    </row>
    <row r="20" spans="1:6" ht="15" customHeight="1" x14ac:dyDescent="0.15">
      <c r="A20">
        <v>19</v>
      </c>
      <c r="B20" s="179" t="s">
        <v>209</v>
      </c>
      <c r="C20">
        <v>1.2E-2</v>
      </c>
      <c r="D20">
        <v>1E-3</v>
      </c>
      <c r="E20">
        <v>4.0000000000000001E-3</v>
      </c>
      <c r="F20">
        <v>1.7000000000000001E-2</v>
      </c>
    </row>
    <row r="21" spans="1:6" ht="15" customHeight="1" x14ac:dyDescent="0.15">
      <c r="A21">
        <v>20</v>
      </c>
      <c r="B21" s="179" t="s">
        <v>210</v>
      </c>
      <c r="C21">
        <v>5.0000000000000001E-3</v>
      </c>
      <c r="D21">
        <v>0</v>
      </c>
      <c r="E21">
        <v>1E-3</v>
      </c>
      <c r="F21">
        <v>6.0000000000000001E-3</v>
      </c>
    </row>
    <row r="22" spans="1:6" ht="15" customHeight="1" x14ac:dyDescent="0.15">
      <c r="A22">
        <v>21</v>
      </c>
      <c r="B22" s="179" t="s">
        <v>211</v>
      </c>
      <c r="C22">
        <v>5.0000000000000001E-3</v>
      </c>
      <c r="D22">
        <v>0</v>
      </c>
      <c r="E22">
        <v>2E-3</v>
      </c>
      <c r="F22">
        <v>7.0000000000000001E-3</v>
      </c>
    </row>
    <row r="23" spans="1:6" ht="15" customHeight="1" x14ac:dyDescent="0.15">
      <c r="A23">
        <v>22</v>
      </c>
      <c r="B23" s="179" t="s">
        <v>212</v>
      </c>
      <c r="C23">
        <v>4.0000000000000001E-3</v>
      </c>
      <c r="D23">
        <v>0</v>
      </c>
      <c r="E23">
        <v>1E-3</v>
      </c>
      <c r="F23">
        <v>5.0000000000000001E-3</v>
      </c>
    </row>
    <row r="24" spans="1:6" ht="15" customHeight="1" x14ac:dyDescent="0.15">
      <c r="A24">
        <v>23</v>
      </c>
      <c r="B24" s="179" t="s">
        <v>213</v>
      </c>
      <c r="C24">
        <v>1E-3</v>
      </c>
      <c r="D24">
        <v>0</v>
      </c>
      <c r="E24">
        <v>6.0000000000000001E-3</v>
      </c>
      <c r="F24">
        <v>7.0000000000000001E-3</v>
      </c>
    </row>
    <row r="25" spans="1:6" ht="15" customHeight="1" x14ac:dyDescent="0.15">
      <c r="A25">
        <v>24</v>
      </c>
      <c r="B25" s="179" t="s">
        <v>214</v>
      </c>
      <c r="C25">
        <v>0</v>
      </c>
      <c r="D25">
        <v>0</v>
      </c>
      <c r="E25">
        <v>0</v>
      </c>
      <c r="F25">
        <v>0</v>
      </c>
    </row>
    <row r="26" spans="1:6" ht="15" customHeight="1" x14ac:dyDescent="0.15">
      <c r="A26">
        <v>25</v>
      </c>
      <c r="B26" s="179" t="s">
        <v>215</v>
      </c>
      <c r="C26">
        <v>0</v>
      </c>
      <c r="D26">
        <v>5.0000000000000001E-3</v>
      </c>
      <c r="E26">
        <v>0</v>
      </c>
      <c r="F26">
        <v>5.0000000000000001E-3</v>
      </c>
    </row>
    <row r="27" spans="1:6" ht="15" customHeight="1" x14ac:dyDescent="0.15">
      <c r="A27">
        <v>26</v>
      </c>
      <c r="B27" s="179" t="s">
        <v>216</v>
      </c>
      <c r="C27">
        <v>5.0000000000000001E-3</v>
      </c>
      <c r="D27">
        <v>0</v>
      </c>
      <c r="E27">
        <v>0</v>
      </c>
      <c r="F27">
        <v>5.0000000000000001E-3</v>
      </c>
    </row>
    <row r="28" spans="1:6" ht="15" customHeight="1" x14ac:dyDescent="0.15">
      <c r="A28">
        <v>27</v>
      </c>
      <c r="B28" s="179" t="s">
        <v>217</v>
      </c>
      <c r="C28">
        <v>0</v>
      </c>
      <c r="D28">
        <v>0</v>
      </c>
      <c r="E28">
        <v>0</v>
      </c>
      <c r="F28">
        <v>0</v>
      </c>
    </row>
    <row r="29" spans="1:6" ht="15" customHeight="1" x14ac:dyDescent="0.15">
      <c r="A29">
        <v>28</v>
      </c>
      <c r="B29" s="179" t="s">
        <v>218</v>
      </c>
      <c r="C29">
        <v>0</v>
      </c>
      <c r="D29">
        <v>0</v>
      </c>
      <c r="E29">
        <v>0</v>
      </c>
      <c r="F29">
        <v>0</v>
      </c>
    </row>
    <row r="30" spans="1:6" ht="15" customHeight="1" x14ac:dyDescent="0.15">
      <c r="A30">
        <v>29</v>
      </c>
      <c r="B30" s="179" t="s">
        <v>219</v>
      </c>
      <c r="C30">
        <v>0</v>
      </c>
      <c r="D30">
        <v>0</v>
      </c>
      <c r="E30">
        <v>0</v>
      </c>
      <c r="F30">
        <v>0</v>
      </c>
    </row>
    <row r="31" spans="1:6" ht="15" customHeight="1" x14ac:dyDescent="0.15">
      <c r="A31">
        <v>30</v>
      </c>
      <c r="B31" s="179" t="s">
        <v>220</v>
      </c>
      <c r="C31">
        <v>0</v>
      </c>
      <c r="D31">
        <v>0</v>
      </c>
      <c r="E31">
        <v>0</v>
      </c>
      <c r="F31">
        <v>0</v>
      </c>
    </row>
    <row r="32" spans="1:6" ht="15" customHeight="1" x14ac:dyDescent="0.15">
      <c r="A32">
        <v>31</v>
      </c>
      <c r="B32" s="179" t="s">
        <v>221</v>
      </c>
      <c r="C32">
        <v>0</v>
      </c>
      <c r="D32">
        <v>0</v>
      </c>
      <c r="E32">
        <v>0</v>
      </c>
      <c r="F32">
        <v>0</v>
      </c>
    </row>
    <row r="33" spans="1:6" ht="15" customHeight="1" x14ac:dyDescent="0.15">
      <c r="A33">
        <v>32</v>
      </c>
      <c r="B33" s="179" t="s">
        <v>222</v>
      </c>
      <c r="C33">
        <v>0</v>
      </c>
      <c r="D33">
        <v>0</v>
      </c>
      <c r="E33">
        <v>0</v>
      </c>
      <c r="F33">
        <v>0</v>
      </c>
    </row>
    <row r="34" spans="1:6" ht="15" customHeight="1" x14ac:dyDescent="0.15"/>
    <row r="35" spans="1:6" ht="15" customHeight="1" x14ac:dyDescent="0.15"/>
    <row r="36" spans="1:6" ht="15" customHeight="1" x14ac:dyDescent="0.15"/>
    <row r="37" spans="1:6" ht="15" customHeight="1" x14ac:dyDescent="0.15"/>
    <row r="38" spans="1:6" ht="15" customHeight="1" x14ac:dyDescent="0.15"/>
    <row r="39" spans="1:6" ht="15" customHeight="1" x14ac:dyDescent="0.15"/>
    <row r="40" spans="1:6" ht="15" customHeight="1" x14ac:dyDescent="0.15"/>
    <row r="41" spans="1:6" ht="15" customHeight="1" x14ac:dyDescent="0.15"/>
    <row r="42" spans="1:6" ht="15" customHeight="1" x14ac:dyDescent="0.15"/>
    <row r="43" spans="1:6" ht="15" customHeight="1" x14ac:dyDescent="0.15"/>
    <row r="44" spans="1:6" ht="15" customHeight="1" x14ac:dyDescent="0.15"/>
    <row r="45" spans="1:6" ht="15" customHeight="1" x14ac:dyDescent="0.15"/>
    <row r="46" spans="1:6" ht="15" customHeight="1" x14ac:dyDescent="0.15"/>
    <row r="47" spans="1:6" ht="15" customHeight="1" x14ac:dyDescent="0.15"/>
    <row r="48" spans="1:6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F3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33203125" bestFit="1" customWidth="1"/>
    <col min="3" max="5" width="2.33203125" bestFit="1" customWidth="1"/>
    <col min="6" max="6" width="2.33203125" customWidth="1"/>
  </cols>
  <sheetData>
    <row r="1" spans="1:6" s="109" customFormat="1" ht="112" x14ac:dyDescent="0.15">
      <c r="A1" s="5" t="s">
        <v>22</v>
      </c>
      <c r="B1" s="3" t="s">
        <v>0</v>
      </c>
      <c r="C1" s="182" t="s">
        <v>223</v>
      </c>
      <c r="D1" s="182" t="s">
        <v>224</v>
      </c>
      <c r="E1" s="182" t="s">
        <v>225</v>
      </c>
      <c r="F1" s="182" t="s">
        <v>229</v>
      </c>
    </row>
    <row r="2" spans="1:6" x14ac:dyDescent="0.15">
      <c r="A2">
        <v>1</v>
      </c>
      <c r="B2" s="181" t="s">
        <v>191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81" t="s">
        <v>192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81" t="s">
        <v>193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81" t="s">
        <v>194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81" t="s">
        <v>195</v>
      </c>
      <c r="C6">
        <v>0</v>
      </c>
      <c r="D6">
        <v>0</v>
      </c>
      <c r="E6">
        <v>0</v>
      </c>
      <c r="F6">
        <v>0</v>
      </c>
    </row>
    <row r="7" spans="1:6" x14ac:dyDescent="0.15">
      <c r="A7">
        <v>6</v>
      </c>
      <c r="B7" s="181" t="s">
        <v>196</v>
      </c>
      <c r="C7">
        <v>0</v>
      </c>
      <c r="D7">
        <v>0</v>
      </c>
      <c r="E7">
        <v>0</v>
      </c>
      <c r="F7">
        <v>0</v>
      </c>
    </row>
    <row r="8" spans="1:6" x14ac:dyDescent="0.15">
      <c r="A8">
        <v>7</v>
      </c>
      <c r="B8" s="181" t="s">
        <v>197</v>
      </c>
      <c r="C8">
        <v>0</v>
      </c>
      <c r="D8">
        <v>0</v>
      </c>
      <c r="E8">
        <v>0</v>
      </c>
      <c r="F8">
        <v>0</v>
      </c>
    </row>
    <row r="9" spans="1:6" x14ac:dyDescent="0.15">
      <c r="A9">
        <v>8</v>
      </c>
      <c r="B9" s="181" t="s">
        <v>198</v>
      </c>
      <c r="C9">
        <v>0</v>
      </c>
      <c r="D9">
        <v>0</v>
      </c>
      <c r="E9">
        <v>0</v>
      </c>
      <c r="F9">
        <v>0</v>
      </c>
    </row>
    <row r="10" spans="1:6" x14ac:dyDescent="0.15">
      <c r="A10">
        <v>9</v>
      </c>
      <c r="B10" s="181" t="s">
        <v>199</v>
      </c>
      <c r="C10">
        <v>0</v>
      </c>
      <c r="D10">
        <v>0</v>
      </c>
      <c r="E10">
        <v>0</v>
      </c>
      <c r="F10">
        <v>0</v>
      </c>
    </row>
    <row r="11" spans="1:6" x14ac:dyDescent="0.15">
      <c r="A11">
        <v>10</v>
      </c>
      <c r="B11" s="181" t="s">
        <v>200</v>
      </c>
      <c r="C11">
        <v>0</v>
      </c>
      <c r="D11">
        <v>0</v>
      </c>
      <c r="E11">
        <v>0</v>
      </c>
      <c r="F11">
        <v>0</v>
      </c>
    </row>
    <row r="12" spans="1:6" x14ac:dyDescent="0.15">
      <c r="A12">
        <v>11</v>
      </c>
      <c r="B12" s="181" t="s">
        <v>201</v>
      </c>
      <c r="C12">
        <v>0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81" t="s">
        <v>202</v>
      </c>
      <c r="C13">
        <v>0</v>
      </c>
      <c r="D13">
        <v>0</v>
      </c>
      <c r="E13">
        <v>0</v>
      </c>
      <c r="F13">
        <v>0</v>
      </c>
    </row>
    <row r="14" spans="1:6" x14ac:dyDescent="0.15">
      <c r="A14">
        <v>13</v>
      </c>
      <c r="B14" s="181" t="s">
        <v>203</v>
      </c>
      <c r="C14">
        <v>0</v>
      </c>
      <c r="D14">
        <v>0</v>
      </c>
      <c r="E14">
        <v>0</v>
      </c>
      <c r="F14">
        <v>0</v>
      </c>
    </row>
    <row r="15" spans="1:6" x14ac:dyDescent="0.15">
      <c r="A15">
        <v>14</v>
      </c>
      <c r="B15" s="181" t="s">
        <v>204</v>
      </c>
      <c r="C15">
        <v>0</v>
      </c>
      <c r="D15">
        <v>0</v>
      </c>
      <c r="E15">
        <v>0</v>
      </c>
      <c r="F15">
        <v>0</v>
      </c>
    </row>
    <row r="16" spans="1:6" x14ac:dyDescent="0.15">
      <c r="A16">
        <v>15</v>
      </c>
      <c r="B16" s="181" t="s">
        <v>205</v>
      </c>
      <c r="C16">
        <v>0</v>
      </c>
      <c r="D16">
        <v>0</v>
      </c>
      <c r="E16">
        <v>0</v>
      </c>
      <c r="F16">
        <v>0</v>
      </c>
    </row>
    <row r="17" spans="1:6" x14ac:dyDescent="0.15">
      <c r="A17">
        <v>16</v>
      </c>
      <c r="B17" s="181" t="s">
        <v>206</v>
      </c>
      <c r="C17">
        <v>0</v>
      </c>
      <c r="D17">
        <v>0</v>
      </c>
      <c r="E17">
        <v>0</v>
      </c>
      <c r="F17">
        <v>0</v>
      </c>
    </row>
    <row r="18" spans="1:6" x14ac:dyDescent="0.15">
      <c r="A18">
        <v>17</v>
      </c>
      <c r="B18" s="181" t="s">
        <v>207</v>
      </c>
      <c r="C18">
        <v>0</v>
      </c>
      <c r="D18">
        <v>0</v>
      </c>
      <c r="E18">
        <v>0</v>
      </c>
      <c r="F18">
        <v>0</v>
      </c>
    </row>
    <row r="19" spans="1:6" x14ac:dyDescent="0.15">
      <c r="A19">
        <v>18</v>
      </c>
      <c r="B19" s="181" t="s">
        <v>208</v>
      </c>
      <c r="C19">
        <v>0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81" t="s">
        <v>209</v>
      </c>
      <c r="C20">
        <v>0</v>
      </c>
      <c r="D20">
        <v>0</v>
      </c>
      <c r="E20">
        <v>0</v>
      </c>
      <c r="F20">
        <v>0</v>
      </c>
    </row>
    <row r="21" spans="1:6" x14ac:dyDescent="0.15">
      <c r="A21">
        <v>20</v>
      </c>
      <c r="B21" s="181" t="s">
        <v>210</v>
      </c>
      <c r="C21">
        <v>0</v>
      </c>
      <c r="D21">
        <v>0</v>
      </c>
      <c r="E21">
        <v>0</v>
      </c>
      <c r="F21">
        <v>0</v>
      </c>
    </row>
    <row r="22" spans="1:6" x14ac:dyDescent="0.15">
      <c r="A22">
        <v>21</v>
      </c>
      <c r="B22" s="181" t="s">
        <v>211</v>
      </c>
      <c r="C22">
        <v>0</v>
      </c>
      <c r="D22">
        <v>0</v>
      </c>
      <c r="E22">
        <v>0</v>
      </c>
      <c r="F22">
        <v>0</v>
      </c>
    </row>
    <row r="23" spans="1:6" x14ac:dyDescent="0.15">
      <c r="A23">
        <v>22</v>
      </c>
      <c r="B23" s="181" t="s">
        <v>212</v>
      </c>
      <c r="C23">
        <v>0</v>
      </c>
      <c r="D23">
        <v>0</v>
      </c>
      <c r="E23">
        <v>0</v>
      </c>
      <c r="F23">
        <v>0</v>
      </c>
    </row>
    <row r="24" spans="1:6" x14ac:dyDescent="0.15">
      <c r="A24">
        <v>23</v>
      </c>
      <c r="B24" s="181" t="s">
        <v>213</v>
      </c>
      <c r="C24">
        <v>0</v>
      </c>
      <c r="D24">
        <v>0</v>
      </c>
      <c r="E24">
        <v>0</v>
      </c>
      <c r="F24">
        <v>0</v>
      </c>
    </row>
    <row r="25" spans="1:6" x14ac:dyDescent="0.15">
      <c r="A25">
        <v>24</v>
      </c>
      <c r="B25" s="181" t="s">
        <v>214</v>
      </c>
      <c r="C25">
        <v>0</v>
      </c>
      <c r="D25">
        <v>0</v>
      </c>
      <c r="E25">
        <v>0</v>
      </c>
      <c r="F25">
        <v>0</v>
      </c>
    </row>
    <row r="26" spans="1:6" x14ac:dyDescent="0.15">
      <c r="A26">
        <v>25</v>
      </c>
      <c r="B26" s="181" t="s">
        <v>215</v>
      </c>
      <c r="C26">
        <v>0</v>
      </c>
      <c r="D26">
        <v>0</v>
      </c>
      <c r="E26">
        <v>0</v>
      </c>
      <c r="F26">
        <v>0</v>
      </c>
    </row>
    <row r="27" spans="1:6" x14ac:dyDescent="0.15">
      <c r="A27">
        <v>26</v>
      </c>
      <c r="B27" s="181" t="s">
        <v>216</v>
      </c>
      <c r="C27">
        <v>0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81" t="s">
        <v>217</v>
      </c>
      <c r="C28">
        <v>0</v>
      </c>
      <c r="D28">
        <v>0</v>
      </c>
      <c r="E28">
        <v>0</v>
      </c>
      <c r="F28">
        <v>0</v>
      </c>
    </row>
    <row r="29" spans="1:6" x14ac:dyDescent="0.15">
      <c r="A29">
        <v>28</v>
      </c>
      <c r="B29" s="181" t="s">
        <v>218</v>
      </c>
      <c r="C29">
        <v>0</v>
      </c>
      <c r="D29">
        <v>0</v>
      </c>
      <c r="E29">
        <v>0</v>
      </c>
      <c r="F29">
        <v>0</v>
      </c>
    </row>
    <row r="30" spans="1:6" x14ac:dyDescent="0.15">
      <c r="A30">
        <v>29</v>
      </c>
      <c r="B30" s="181" t="s">
        <v>219</v>
      </c>
      <c r="C30">
        <v>0</v>
      </c>
      <c r="D30">
        <v>0</v>
      </c>
      <c r="E30">
        <v>0</v>
      </c>
      <c r="F30">
        <v>0</v>
      </c>
    </row>
    <row r="31" spans="1:6" x14ac:dyDescent="0.15">
      <c r="A31">
        <v>30</v>
      </c>
      <c r="B31" s="181" t="s">
        <v>220</v>
      </c>
      <c r="C31">
        <v>0</v>
      </c>
      <c r="D31">
        <v>0</v>
      </c>
      <c r="E31">
        <v>0</v>
      </c>
      <c r="F31">
        <v>0</v>
      </c>
    </row>
    <row r="32" spans="1:6" x14ac:dyDescent="0.15">
      <c r="A32">
        <v>31</v>
      </c>
      <c r="B32" s="181" t="s">
        <v>221</v>
      </c>
      <c r="C32">
        <v>0</v>
      </c>
      <c r="D32">
        <v>0</v>
      </c>
      <c r="E32">
        <v>0</v>
      </c>
      <c r="F32">
        <v>0</v>
      </c>
    </row>
    <row r="33" spans="1:6" x14ac:dyDescent="0.15">
      <c r="A33">
        <v>32</v>
      </c>
      <c r="B33" s="181" t="s">
        <v>222</v>
      </c>
      <c r="C33">
        <v>0</v>
      </c>
      <c r="D33">
        <v>0</v>
      </c>
      <c r="E33">
        <v>0</v>
      </c>
      <c r="F3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33203125" bestFit="1" customWidth="1"/>
    <col min="6" max="6" width="4.83203125" bestFit="1" customWidth="1"/>
    <col min="7" max="9" width="3.83203125" bestFit="1" customWidth="1"/>
    <col min="10" max="11" width="4.83203125" style="10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0" customFormat="1" ht="14" thickBot="1" x14ac:dyDescent="0.2">
      <c r="D1" s="111" t="s">
        <v>8</v>
      </c>
      <c r="E1" s="111" t="s">
        <v>0</v>
      </c>
      <c r="F1" s="112" t="s">
        <v>99</v>
      </c>
      <c r="G1" s="113" t="s">
        <v>84</v>
      </c>
      <c r="H1" s="113" t="s">
        <v>85</v>
      </c>
      <c r="I1" s="113" t="s">
        <v>86</v>
      </c>
      <c r="J1" s="113" t="s">
        <v>87</v>
      </c>
      <c r="K1" s="113" t="s">
        <v>88</v>
      </c>
      <c r="L1" s="114" t="s">
        <v>89</v>
      </c>
      <c r="M1" s="114" t="s">
        <v>93</v>
      </c>
      <c r="N1" s="114" t="s">
        <v>92</v>
      </c>
      <c r="O1" s="114" t="s">
        <v>90</v>
      </c>
      <c r="P1" s="114" t="s">
        <v>91</v>
      </c>
      <c r="Q1" s="115" t="s">
        <v>94</v>
      </c>
      <c r="R1" s="115" t="s">
        <v>95</v>
      </c>
      <c r="S1" s="115" t="s">
        <v>96</v>
      </c>
      <c r="T1" s="115" t="s">
        <v>97</v>
      </c>
      <c r="U1" s="115" t="s">
        <v>98</v>
      </c>
      <c r="V1" s="113" t="s">
        <v>100</v>
      </c>
      <c r="W1" s="113" t="s">
        <v>101</v>
      </c>
      <c r="X1" s="113" t="s">
        <v>102</v>
      </c>
      <c r="Y1" s="113" t="s">
        <v>134</v>
      </c>
      <c r="Z1" s="114" t="s">
        <v>103</v>
      </c>
      <c r="AA1" s="114" t="s">
        <v>104</v>
      </c>
      <c r="AB1" s="114" t="s">
        <v>105</v>
      </c>
      <c r="AC1" s="116" t="s">
        <v>135</v>
      </c>
      <c r="AD1" s="115" t="s">
        <v>106</v>
      </c>
      <c r="AE1" s="115" t="s">
        <v>107</v>
      </c>
      <c r="AF1" s="115" t="s">
        <v>108</v>
      </c>
      <c r="AG1" s="115" t="s">
        <v>136</v>
      </c>
      <c r="AH1" s="113" t="s">
        <v>109</v>
      </c>
      <c r="AI1" s="113" t="s">
        <v>111</v>
      </c>
      <c r="AJ1" s="113" t="s">
        <v>110</v>
      </c>
      <c r="AK1" s="114" t="s">
        <v>115</v>
      </c>
      <c r="AL1" s="114" t="s">
        <v>116</v>
      </c>
      <c r="AM1" s="114" t="s">
        <v>117</v>
      </c>
      <c r="AN1" s="115" t="s">
        <v>112</v>
      </c>
      <c r="AO1" s="115" t="s">
        <v>113</v>
      </c>
      <c r="AP1" s="115" t="s">
        <v>114</v>
      </c>
    </row>
    <row r="2" spans="1:42" x14ac:dyDescent="0.15">
      <c r="A2" s="117" t="s">
        <v>74</v>
      </c>
      <c r="B2" s="118">
        <v>1</v>
      </c>
      <c r="D2">
        <v>1</v>
      </c>
      <c r="E2" s="183" t="s">
        <v>191</v>
      </c>
      <c r="F2">
        <v>0.98</v>
      </c>
      <c r="G2">
        <v>0.8</v>
      </c>
      <c r="H2">
        <v>0.8</v>
      </c>
      <c r="I2">
        <v>0.8</v>
      </c>
      <c r="J2" s="108">
        <v>0.25</v>
      </c>
      <c r="K2" s="108">
        <v>0.05</v>
      </c>
    </row>
    <row r="3" spans="1:42" x14ac:dyDescent="0.15">
      <c r="A3" s="117" t="s">
        <v>75</v>
      </c>
      <c r="B3" s="119">
        <v>1</v>
      </c>
      <c r="D3">
        <v>2</v>
      </c>
      <c r="E3" s="183" t="s">
        <v>192</v>
      </c>
      <c r="F3">
        <v>0.98</v>
      </c>
      <c r="G3">
        <v>0.8</v>
      </c>
      <c r="H3">
        <v>0.8</v>
      </c>
      <c r="I3">
        <v>0.8</v>
      </c>
      <c r="J3" s="108">
        <v>0.25</v>
      </c>
      <c r="K3" s="108">
        <v>0.05</v>
      </c>
    </row>
    <row r="4" spans="1:42" x14ac:dyDescent="0.15">
      <c r="A4" s="117" t="s">
        <v>76</v>
      </c>
      <c r="B4" s="119">
        <v>1</v>
      </c>
      <c r="D4">
        <v>3</v>
      </c>
      <c r="E4" s="183" t="s">
        <v>193</v>
      </c>
      <c r="F4">
        <v>0.98</v>
      </c>
      <c r="G4">
        <v>0.8</v>
      </c>
      <c r="H4">
        <v>0.8</v>
      </c>
      <c r="I4">
        <v>0.8</v>
      </c>
      <c r="J4" s="108">
        <v>0.25</v>
      </c>
      <c r="K4" s="108">
        <v>0.05</v>
      </c>
    </row>
    <row r="5" spans="1:42" x14ac:dyDescent="0.15">
      <c r="A5" s="117" t="s">
        <v>77</v>
      </c>
      <c r="B5" s="119">
        <v>1</v>
      </c>
      <c r="D5">
        <v>4</v>
      </c>
      <c r="E5" s="183" t="s">
        <v>194</v>
      </c>
      <c r="F5">
        <v>0.98</v>
      </c>
      <c r="G5">
        <v>0.8</v>
      </c>
      <c r="H5">
        <v>0.8</v>
      </c>
      <c r="I5">
        <v>0.8</v>
      </c>
      <c r="J5" s="108">
        <v>0.25</v>
      </c>
      <c r="K5" s="108">
        <v>0.05</v>
      </c>
    </row>
    <row r="6" spans="1:42" x14ac:dyDescent="0.15">
      <c r="A6" s="117" t="s">
        <v>78</v>
      </c>
      <c r="B6" s="119">
        <v>1</v>
      </c>
      <c r="D6">
        <v>5</v>
      </c>
      <c r="E6" s="183" t="s">
        <v>195</v>
      </c>
      <c r="F6">
        <v>0.98</v>
      </c>
      <c r="G6">
        <v>0.8</v>
      </c>
      <c r="H6">
        <v>0.8</v>
      </c>
      <c r="I6">
        <v>0.8</v>
      </c>
      <c r="J6" s="108">
        <v>0.25</v>
      </c>
      <c r="K6" s="108">
        <v>0.05</v>
      </c>
    </row>
    <row r="7" spans="1:42" x14ac:dyDescent="0.15">
      <c r="A7" s="117" t="s">
        <v>79</v>
      </c>
      <c r="B7" s="119">
        <v>1</v>
      </c>
      <c r="D7">
        <v>6</v>
      </c>
      <c r="E7" s="183" t="s">
        <v>196</v>
      </c>
      <c r="F7">
        <v>0.98</v>
      </c>
      <c r="G7">
        <v>0.8</v>
      </c>
      <c r="H7">
        <v>0.8</v>
      </c>
      <c r="I7">
        <v>0.8</v>
      </c>
      <c r="J7" s="108">
        <v>0.25</v>
      </c>
      <c r="K7" s="108">
        <v>0.05</v>
      </c>
    </row>
    <row r="8" spans="1:42" x14ac:dyDescent="0.15">
      <c r="A8" s="117" t="s">
        <v>80</v>
      </c>
      <c r="B8" s="119">
        <v>1</v>
      </c>
      <c r="D8">
        <v>7</v>
      </c>
      <c r="E8" s="183" t="s">
        <v>197</v>
      </c>
      <c r="F8">
        <v>0.98</v>
      </c>
      <c r="G8">
        <v>0.8</v>
      </c>
      <c r="H8">
        <v>0.8</v>
      </c>
      <c r="I8">
        <v>0.8</v>
      </c>
      <c r="J8" s="108">
        <v>0.25</v>
      </c>
      <c r="K8" s="108">
        <v>0.05</v>
      </c>
    </row>
    <row r="9" spans="1:42" x14ac:dyDescent="0.15">
      <c r="A9" s="117" t="s">
        <v>81</v>
      </c>
      <c r="B9" s="119">
        <v>0.1</v>
      </c>
      <c r="C9" s="60" t="s">
        <v>150</v>
      </c>
      <c r="D9">
        <v>8</v>
      </c>
      <c r="E9" s="183" t="s">
        <v>198</v>
      </c>
      <c r="F9">
        <v>0.98</v>
      </c>
      <c r="G9">
        <v>0.8</v>
      </c>
      <c r="H9">
        <v>0.8</v>
      </c>
      <c r="I9">
        <v>0.8</v>
      </c>
      <c r="J9" s="108">
        <v>0.25</v>
      </c>
      <c r="K9" s="108">
        <v>0.05</v>
      </c>
    </row>
    <row r="10" spans="1:42" ht="14" thickBot="1" x14ac:dyDescent="0.2">
      <c r="A10" s="117" t="s">
        <v>149</v>
      </c>
      <c r="B10" s="120">
        <f>1/3</f>
        <v>0.33333333333333331</v>
      </c>
      <c r="C10" s="60" t="s">
        <v>150</v>
      </c>
      <c r="D10">
        <v>9</v>
      </c>
      <c r="E10" s="183" t="s">
        <v>199</v>
      </c>
      <c r="F10">
        <v>0.98</v>
      </c>
      <c r="G10">
        <v>0.8</v>
      </c>
      <c r="H10">
        <v>0.8</v>
      </c>
      <c r="I10">
        <v>0.8</v>
      </c>
      <c r="J10" s="108">
        <v>0.25</v>
      </c>
      <c r="K10" s="108">
        <v>0.05</v>
      </c>
    </row>
    <row r="11" spans="1:42" x14ac:dyDescent="0.15">
      <c r="D11">
        <v>10</v>
      </c>
      <c r="E11" s="183" t="s">
        <v>200</v>
      </c>
      <c r="F11">
        <v>0.98</v>
      </c>
      <c r="G11">
        <v>0.8</v>
      </c>
      <c r="H11">
        <v>0.8</v>
      </c>
      <c r="I11">
        <v>0.8</v>
      </c>
      <c r="J11" s="108">
        <v>0.25</v>
      </c>
      <c r="K11" s="108">
        <v>0.05</v>
      </c>
    </row>
    <row r="12" spans="1:42" x14ac:dyDescent="0.15">
      <c r="D12">
        <v>11</v>
      </c>
      <c r="E12" s="183" t="s">
        <v>201</v>
      </c>
      <c r="F12">
        <v>0.98</v>
      </c>
      <c r="G12">
        <v>0.8</v>
      </c>
      <c r="H12">
        <v>0.8</v>
      </c>
      <c r="I12">
        <v>0.8</v>
      </c>
      <c r="J12" s="108">
        <v>0.25</v>
      </c>
      <c r="K12" s="108">
        <v>0.05</v>
      </c>
    </row>
    <row r="13" spans="1:42" x14ac:dyDescent="0.15">
      <c r="D13">
        <v>12</v>
      </c>
      <c r="E13" s="183" t="s">
        <v>202</v>
      </c>
      <c r="F13">
        <v>0.98</v>
      </c>
      <c r="G13">
        <v>0.8</v>
      </c>
      <c r="H13">
        <v>0.8</v>
      </c>
      <c r="I13">
        <v>0.8</v>
      </c>
      <c r="J13" s="108">
        <v>0.25</v>
      </c>
      <c r="K13" s="108">
        <v>0.05</v>
      </c>
    </row>
    <row r="14" spans="1:42" x14ac:dyDescent="0.15">
      <c r="D14">
        <v>13</v>
      </c>
      <c r="E14" s="183" t="s">
        <v>203</v>
      </c>
      <c r="F14">
        <v>0.98</v>
      </c>
      <c r="G14">
        <v>0.8</v>
      </c>
      <c r="H14">
        <v>0.8</v>
      </c>
      <c r="I14">
        <v>0.8</v>
      </c>
      <c r="J14" s="108">
        <v>0.25</v>
      </c>
      <c r="K14" s="108">
        <v>0.05</v>
      </c>
    </row>
    <row r="15" spans="1:42" x14ac:dyDescent="0.15">
      <c r="D15">
        <v>14</v>
      </c>
      <c r="E15" s="183" t="s">
        <v>204</v>
      </c>
      <c r="F15">
        <v>0.98</v>
      </c>
      <c r="G15">
        <v>0.8</v>
      </c>
      <c r="H15">
        <v>0.8</v>
      </c>
      <c r="I15">
        <v>0.8</v>
      </c>
      <c r="J15" s="108">
        <v>0.25</v>
      </c>
      <c r="K15" s="108">
        <v>0.05</v>
      </c>
    </row>
    <row r="16" spans="1:42" x14ac:dyDescent="0.15">
      <c r="D16">
        <v>15</v>
      </c>
      <c r="E16" s="183" t="s">
        <v>205</v>
      </c>
      <c r="F16">
        <v>0.98</v>
      </c>
      <c r="G16">
        <v>0.8</v>
      </c>
      <c r="H16">
        <v>0.8</v>
      </c>
      <c r="I16">
        <v>0.8</v>
      </c>
      <c r="J16" s="108">
        <v>0.25</v>
      </c>
      <c r="K16" s="108">
        <v>0.05</v>
      </c>
    </row>
    <row r="17" spans="4:33" ht="15" customHeight="1" x14ac:dyDescent="0.15">
      <c r="D17">
        <v>16</v>
      </c>
      <c r="E17" s="183" t="s">
        <v>206</v>
      </c>
      <c r="F17">
        <v>0.98</v>
      </c>
      <c r="G17">
        <v>0.8</v>
      </c>
      <c r="H17">
        <v>0.8</v>
      </c>
      <c r="I17">
        <v>0.8</v>
      </c>
      <c r="J17" s="108">
        <v>0.25</v>
      </c>
      <c r="K17" s="108">
        <v>0.05</v>
      </c>
    </row>
    <row r="18" spans="4:33" ht="15" customHeight="1" x14ac:dyDescent="0.15">
      <c r="D18">
        <v>17</v>
      </c>
      <c r="E18" s="183" t="s">
        <v>207</v>
      </c>
      <c r="F18">
        <v>0.98</v>
      </c>
      <c r="G18">
        <v>0.8</v>
      </c>
      <c r="H18">
        <v>0.8</v>
      </c>
      <c r="I18">
        <v>0.8</v>
      </c>
      <c r="J18" s="108">
        <v>0.25</v>
      </c>
      <c r="K18" s="108">
        <v>0.05</v>
      </c>
    </row>
    <row r="19" spans="4:33" ht="15" customHeight="1" x14ac:dyDescent="0.15">
      <c r="D19">
        <v>18</v>
      </c>
      <c r="E19" s="183" t="s">
        <v>208</v>
      </c>
      <c r="F19">
        <v>0.98</v>
      </c>
      <c r="G19">
        <v>0.8</v>
      </c>
      <c r="H19">
        <v>0.8</v>
      </c>
      <c r="I19">
        <v>0.8</v>
      </c>
      <c r="J19" s="108">
        <v>0.25</v>
      </c>
      <c r="K19" s="108">
        <v>0.05</v>
      </c>
    </row>
    <row r="20" spans="4:33" ht="15" customHeight="1" x14ac:dyDescent="0.15">
      <c r="D20">
        <v>19</v>
      </c>
      <c r="E20" s="183" t="s">
        <v>209</v>
      </c>
      <c r="F20">
        <v>0.98</v>
      </c>
      <c r="G20">
        <v>0.8</v>
      </c>
      <c r="H20">
        <v>0.8</v>
      </c>
      <c r="I20">
        <v>0.8</v>
      </c>
      <c r="J20" s="108">
        <v>0.25</v>
      </c>
      <c r="K20" s="108">
        <v>0.05</v>
      </c>
    </row>
    <row r="21" spans="4:33" ht="15" customHeight="1" x14ac:dyDescent="0.15">
      <c r="D21">
        <v>20</v>
      </c>
      <c r="E21" s="183" t="s">
        <v>210</v>
      </c>
      <c r="F21">
        <v>0.98</v>
      </c>
      <c r="G21">
        <v>0.8</v>
      </c>
      <c r="H21">
        <v>0.8</v>
      </c>
      <c r="I21">
        <v>0.8</v>
      </c>
      <c r="J21" s="108">
        <v>0.25</v>
      </c>
      <c r="K21" s="108">
        <v>0.05</v>
      </c>
    </row>
    <row r="22" spans="4:33" ht="15" customHeight="1" x14ac:dyDescent="0.15">
      <c r="D22">
        <v>21</v>
      </c>
      <c r="E22" s="183" t="s">
        <v>211</v>
      </c>
      <c r="F22">
        <v>0.98</v>
      </c>
      <c r="G22">
        <v>0.8</v>
      </c>
      <c r="H22">
        <v>0.8</v>
      </c>
      <c r="I22">
        <v>0.8</v>
      </c>
      <c r="J22" s="108">
        <v>0.25</v>
      </c>
      <c r="K22" s="108">
        <v>0.05</v>
      </c>
    </row>
    <row r="23" spans="4:33" ht="15" customHeight="1" x14ac:dyDescent="0.15">
      <c r="D23">
        <v>22</v>
      </c>
      <c r="E23" s="183" t="s">
        <v>212</v>
      </c>
      <c r="F23">
        <v>0.98</v>
      </c>
      <c r="G23">
        <v>0.8</v>
      </c>
      <c r="H23">
        <v>0.8</v>
      </c>
      <c r="I23">
        <v>0.8</v>
      </c>
      <c r="J23" s="108">
        <v>0.25</v>
      </c>
      <c r="K23" s="108">
        <v>0.05</v>
      </c>
    </row>
    <row r="24" spans="4:33" ht="15" customHeight="1" x14ac:dyDescent="0.15">
      <c r="D24">
        <v>23</v>
      </c>
      <c r="E24" s="183" t="s">
        <v>213</v>
      </c>
      <c r="F24">
        <v>0.98</v>
      </c>
      <c r="G24">
        <v>0.8</v>
      </c>
      <c r="H24">
        <v>0.8</v>
      </c>
      <c r="I24">
        <v>0.8</v>
      </c>
      <c r="J24" s="108">
        <v>0.25</v>
      </c>
      <c r="K24" s="108">
        <v>0.05</v>
      </c>
    </row>
    <row r="25" spans="4:33" ht="15" customHeight="1" x14ac:dyDescent="0.15">
      <c r="D25">
        <v>24</v>
      </c>
      <c r="E25" s="183" t="s">
        <v>214</v>
      </c>
      <c r="F25">
        <v>0.98</v>
      </c>
      <c r="G25">
        <v>0.8</v>
      </c>
      <c r="H25">
        <v>0.8</v>
      </c>
      <c r="I25">
        <v>0.8</v>
      </c>
      <c r="J25" s="108">
        <v>0.25</v>
      </c>
      <c r="K25" s="108">
        <v>0.05</v>
      </c>
    </row>
    <row r="26" spans="4:33" ht="15" customHeight="1" x14ac:dyDescent="0.15">
      <c r="D26">
        <v>25</v>
      </c>
      <c r="E26" s="183" t="s">
        <v>215</v>
      </c>
      <c r="F26">
        <v>0.98</v>
      </c>
      <c r="G26">
        <v>0.8</v>
      </c>
      <c r="H26">
        <v>0.8</v>
      </c>
      <c r="I26">
        <v>0.8</v>
      </c>
      <c r="J26" s="108">
        <v>0.25</v>
      </c>
      <c r="K26" s="108">
        <v>0.05</v>
      </c>
    </row>
    <row r="27" spans="4:33" ht="15" customHeight="1" x14ac:dyDescent="0.15">
      <c r="D27">
        <v>26</v>
      </c>
      <c r="E27" s="183" t="s">
        <v>216</v>
      </c>
      <c r="F27">
        <v>0.98</v>
      </c>
      <c r="G27">
        <v>0.8</v>
      </c>
      <c r="H27">
        <v>0.8</v>
      </c>
      <c r="I27">
        <v>0.8</v>
      </c>
      <c r="J27" s="108">
        <v>0.25</v>
      </c>
      <c r="K27" s="108">
        <v>0.05</v>
      </c>
    </row>
    <row r="28" spans="4:33" ht="15" customHeight="1" x14ac:dyDescent="0.15">
      <c r="D28">
        <v>27</v>
      </c>
      <c r="E28" s="183" t="s">
        <v>217</v>
      </c>
      <c r="F28">
        <v>0.98</v>
      </c>
      <c r="G28">
        <v>0.8</v>
      </c>
      <c r="H28">
        <v>0.8</v>
      </c>
      <c r="I28">
        <v>0.8</v>
      </c>
      <c r="J28" s="108">
        <v>0.25</v>
      </c>
      <c r="K28" s="108">
        <v>0.05</v>
      </c>
    </row>
    <row r="29" spans="4:33" ht="15" customHeight="1" x14ac:dyDescent="0.15">
      <c r="D29">
        <v>28</v>
      </c>
      <c r="E29" s="183" t="s">
        <v>218</v>
      </c>
      <c r="F29">
        <v>0.98</v>
      </c>
      <c r="G29">
        <v>0.8</v>
      </c>
      <c r="H29">
        <v>0.8</v>
      </c>
      <c r="I29">
        <v>0.8</v>
      </c>
      <c r="J29" s="108">
        <v>0.25</v>
      </c>
      <c r="K29" s="108">
        <v>0.05</v>
      </c>
      <c r="Y29"/>
      <c r="AC29"/>
      <c r="AG29"/>
    </row>
    <row r="30" spans="4:33" ht="15" customHeight="1" x14ac:dyDescent="0.15">
      <c r="D30">
        <v>29</v>
      </c>
      <c r="E30" s="183" t="s">
        <v>219</v>
      </c>
      <c r="F30">
        <v>0.98</v>
      </c>
      <c r="G30">
        <v>0.8</v>
      </c>
      <c r="H30">
        <v>0.8</v>
      </c>
      <c r="I30">
        <v>0</v>
      </c>
      <c r="J30" s="108">
        <v>0</v>
      </c>
      <c r="K30" s="108">
        <v>0</v>
      </c>
      <c r="Y30"/>
      <c r="AC30"/>
      <c r="AG30"/>
    </row>
    <row r="31" spans="4:33" ht="15" customHeight="1" x14ac:dyDescent="0.15">
      <c r="D31">
        <v>30</v>
      </c>
      <c r="E31" s="183" t="s">
        <v>220</v>
      </c>
      <c r="F31">
        <v>0.98</v>
      </c>
      <c r="G31">
        <v>0.8</v>
      </c>
      <c r="H31">
        <v>0.8</v>
      </c>
      <c r="I31">
        <v>0</v>
      </c>
      <c r="J31" s="108">
        <v>0</v>
      </c>
      <c r="K31" s="108">
        <v>0</v>
      </c>
      <c r="Y31"/>
      <c r="AC31"/>
      <c r="AG31"/>
    </row>
    <row r="32" spans="4:33" ht="15" customHeight="1" x14ac:dyDescent="0.15">
      <c r="D32">
        <v>31</v>
      </c>
      <c r="E32" s="183" t="s">
        <v>221</v>
      </c>
      <c r="F32">
        <v>0.98</v>
      </c>
      <c r="G32">
        <v>0.8</v>
      </c>
      <c r="H32">
        <v>0</v>
      </c>
      <c r="I32">
        <v>0</v>
      </c>
      <c r="J32" s="108">
        <v>0</v>
      </c>
      <c r="K32" s="108">
        <v>0</v>
      </c>
      <c r="Y32"/>
      <c r="AC32"/>
      <c r="AG32"/>
    </row>
    <row r="33" spans="4:33" ht="15" customHeight="1" x14ac:dyDescent="0.15">
      <c r="D33">
        <v>32</v>
      </c>
      <c r="E33" s="183" t="s">
        <v>222</v>
      </c>
      <c r="F33">
        <v>0.98</v>
      </c>
      <c r="G33">
        <v>0.8</v>
      </c>
      <c r="H33">
        <v>0</v>
      </c>
      <c r="I33">
        <v>0</v>
      </c>
      <c r="J33" s="108">
        <v>0</v>
      </c>
      <c r="K33" s="108">
        <v>0</v>
      </c>
      <c r="Y33"/>
      <c r="AC33"/>
      <c r="AG33"/>
    </row>
    <row r="34" spans="4:33" ht="15" customHeight="1" x14ac:dyDescent="0.15">
      <c r="J34"/>
      <c r="K34"/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21.6640625" style="106" bestFit="1" customWidth="1"/>
    <col min="2" max="29" width="3.83203125" style="106" customWidth="1"/>
    <col min="30" max="33" width="2.33203125" style="106" customWidth="1"/>
    <col min="34" max="16384" width="10.83203125" style="106"/>
  </cols>
  <sheetData>
    <row r="1" spans="1:33" x14ac:dyDescent="0.15">
      <c r="A1" s="62" t="s">
        <v>118</v>
      </c>
      <c r="B1" s="185" t="s">
        <v>191</v>
      </c>
      <c r="C1" s="185" t="s">
        <v>192</v>
      </c>
      <c r="D1" s="185" t="s">
        <v>193</v>
      </c>
      <c r="E1" s="185" t="s">
        <v>194</v>
      </c>
      <c r="F1" s="185" t="s">
        <v>195</v>
      </c>
      <c r="G1" s="185" t="s">
        <v>196</v>
      </c>
      <c r="H1" s="185" t="s">
        <v>197</v>
      </c>
      <c r="I1" s="185" t="s">
        <v>198</v>
      </c>
      <c r="J1" s="185" t="s">
        <v>199</v>
      </c>
      <c r="K1" s="185" t="s">
        <v>200</v>
      </c>
      <c r="L1" s="185" t="s">
        <v>201</v>
      </c>
      <c r="M1" s="185" t="s">
        <v>202</v>
      </c>
      <c r="N1" s="185" t="s">
        <v>203</v>
      </c>
      <c r="O1" s="185" t="s">
        <v>204</v>
      </c>
      <c r="P1" s="185" t="s">
        <v>205</v>
      </c>
      <c r="Q1" s="185" t="s">
        <v>206</v>
      </c>
      <c r="R1" s="185" t="s">
        <v>207</v>
      </c>
      <c r="S1" s="185" t="s">
        <v>208</v>
      </c>
      <c r="T1" s="185" t="s">
        <v>209</v>
      </c>
      <c r="U1" s="185" t="s">
        <v>210</v>
      </c>
      <c r="V1" s="185" t="s">
        <v>211</v>
      </c>
      <c r="W1" s="185" t="s">
        <v>212</v>
      </c>
      <c r="X1" s="185" t="s">
        <v>213</v>
      </c>
      <c r="Y1" s="185" t="s">
        <v>214</v>
      </c>
      <c r="Z1" s="185" t="s">
        <v>215</v>
      </c>
      <c r="AA1" s="185" t="s">
        <v>216</v>
      </c>
      <c r="AB1" s="185" t="s">
        <v>217</v>
      </c>
      <c r="AC1" s="185" t="s">
        <v>218</v>
      </c>
      <c r="AD1" s="185" t="s">
        <v>219</v>
      </c>
      <c r="AE1" s="185" t="s">
        <v>220</v>
      </c>
      <c r="AF1" s="185" t="s">
        <v>221</v>
      </c>
      <c r="AG1" s="185" t="s">
        <v>222</v>
      </c>
    </row>
    <row r="2" spans="1:33" customFormat="1" x14ac:dyDescent="0.15">
      <c r="A2" s="184" t="s">
        <v>191</v>
      </c>
      <c r="B2" s="106">
        <v>0</v>
      </c>
      <c r="C2" s="106">
        <v>0</v>
      </c>
      <c r="D2" s="106">
        <v>0</v>
      </c>
      <c r="E2" s="106">
        <v>0</v>
      </c>
      <c r="F2" s="106">
        <v>0</v>
      </c>
      <c r="G2" s="106">
        <v>0</v>
      </c>
      <c r="H2" s="106">
        <v>0</v>
      </c>
      <c r="I2" s="106">
        <v>0</v>
      </c>
      <c r="J2" s="106">
        <v>0.8</v>
      </c>
      <c r="K2" s="106">
        <v>0</v>
      </c>
      <c r="L2" s="106">
        <v>0</v>
      </c>
      <c r="M2" s="106">
        <v>0</v>
      </c>
      <c r="N2" s="106">
        <v>0</v>
      </c>
      <c r="O2" s="106">
        <v>0</v>
      </c>
      <c r="P2" s="106">
        <v>0</v>
      </c>
      <c r="Q2" s="106">
        <v>0</v>
      </c>
      <c r="R2" s="106">
        <v>0</v>
      </c>
      <c r="S2" s="106">
        <v>0</v>
      </c>
      <c r="T2" s="106">
        <v>0</v>
      </c>
      <c r="U2" s="106">
        <v>0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  <c r="AE2" s="106">
        <v>0</v>
      </c>
      <c r="AF2" s="106">
        <v>0</v>
      </c>
      <c r="AG2" s="106">
        <v>0</v>
      </c>
    </row>
    <row r="3" spans="1:33" customFormat="1" x14ac:dyDescent="0.15">
      <c r="A3" s="184" t="s">
        <v>192</v>
      </c>
      <c r="B3" s="106">
        <v>0</v>
      </c>
      <c r="C3" s="106">
        <v>0</v>
      </c>
      <c r="D3" s="106">
        <v>0</v>
      </c>
      <c r="E3" s="106">
        <v>0</v>
      </c>
      <c r="F3" s="106">
        <v>0</v>
      </c>
      <c r="G3" s="106">
        <v>0</v>
      </c>
      <c r="H3" s="106">
        <v>0</v>
      </c>
      <c r="I3" s="106">
        <v>0</v>
      </c>
      <c r="J3" s="106">
        <v>0.8</v>
      </c>
      <c r="K3" s="106">
        <v>0</v>
      </c>
      <c r="L3" s="106">
        <v>0</v>
      </c>
      <c r="M3" s="106">
        <v>0</v>
      </c>
      <c r="N3" s="106">
        <v>0</v>
      </c>
      <c r="O3" s="106">
        <v>0</v>
      </c>
      <c r="P3" s="106">
        <v>0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06">
        <v>0</v>
      </c>
      <c r="AE3" s="106">
        <v>0</v>
      </c>
      <c r="AF3" s="106">
        <v>0</v>
      </c>
      <c r="AG3" s="106">
        <v>0</v>
      </c>
    </row>
    <row r="4" spans="1:33" customFormat="1" x14ac:dyDescent="0.15">
      <c r="A4" s="184" t="s">
        <v>193</v>
      </c>
      <c r="B4" s="106">
        <v>0</v>
      </c>
      <c r="C4" s="106">
        <v>0</v>
      </c>
      <c r="D4" s="106">
        <v>0</v>
      </c>
      <c r="E4" s="106">
        <v>0</v>
      </c>
      <c r="F4" s="106">
        <v>0</v>
      </c>
      <c r="G4" s="106">
        <v>0</v>
      </c>
      <c r="H4" s="106">
        <v>0</v>
      </c>
      <c r="I4" s="106">
        <v>0</v>
      </c>
      <c r="J4" s="106">
        <v>0.8</v>
      </c>
      <c r="K4" s="106">
        <v>0</v>
      </c>
      <c r="L4" s="106">
        <v>0</v>
      </c>
      <c r="M4" s="106"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  <c r="AE4" s="106">
        <v>0</v>
      </c>
      <c r="AF4" s="106">
        <v>0</v>
      </c>
      <c r="AG4" s="106">
        <v>0</v>
      </c>
    </row>
    <row r="5" spans="1:33" customFormat="1" x14ac:dyDescent="0.15">
      <c r="A5" s="184" t="s">
        <v>194</v>
      </c>
      <c r="B5" s="106">
        <v>0.8</v>
      </c>
      <c r="C5" s="106">
        <v>0.8</v>
      </c>
      <c r="D5" s="106">
        <v>0.8</v>
      </c>
      <c r="E5" s="106">
        <v>0.8</v>
      </c>
      <c r="F5" s="106">
        <v>0.8</v>
      </c>
      <c r="G5" s="106">
        <v>0</v>
      </c>
      <c r="H5" s="106">
        <v>0</v>
      </c>
      <c r="I5" s="106">
        <v>0</v>
      </c>
      <c r="J5" s="106">
        <v>0.8</v>
      </c>
      <c r="K5" s="106">
        <v>0</v>
      </c>
      <c r="L5" s="106">
        <v>0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  <c r="R5" s="106">
        <v>0</v>
      </c>
      <c r="S5" s="106">
        <v>0</v>
      </c>
      <c r="T5" s="106">
        <v>0</v>
      </c>
      <c r="U5" s="106">
        <v>0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0</v>
      </c>
      <c r="AC5" s="106">
        <v>0</v>
      </c>
      <c r="AD5" s="106">
        <v>0</v>
      </c>
      <c r="AE5" s="106">
        <v>0</v>
      </c>
      <c r="AF5" s="106">
        <v>0</v>
      </c>
      <c r="AG5" s="106">
        <v>0</v>
      </c>
    </row>
    <row r="6" spans="1:33" customFormat="1" x14ac:dyDescent="0.15">
      <c r="A6" s="184" t="s">
        <v>195</v>
      </c>
      <c r="B6" s="106">
        <v>0.8</v>
      </c>
      <c r="C6" s="106">
        <v>0.8</v>
      </c>
      <c r="D6" s="106">
        <v>0.8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0.8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</row>
    <row r="7" spans="1:33" customFormat="1" x14ac:dyDescent="0.15">
      <c r="A7" s="184" t="s">
        <v>196</v>
      </c>
      <c r="B7" s="106">
        <v>0.8</v>
      </c>
      <c r="C7" s="106">
        <v>0.8</v>
      </c>
      <c r="D7" s="106">
        <v>0.8</v>
      </c>
      <c r="E7" s="106">
        <v>0.8</v>
      </c>
      <c r="F7" s="106">
        <v>0.8</v>
      </c>
      <c r="G7" s="106">
        <v>0</v>
      </c>
      <c r="H7" s="106">
        <v>0</v>
      </c>
      <c r="I7" s="106">
        <v>0</v>
      </c>
      <c r="J7" s="106">
        <v>0.8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</row>
    <row r="8" spans="1:33" customFormat="1" x14ac:dyDescent="0.15">
      <c r="A8" s="184" t="s">
        <v>197</v>
      </c>
      <c r="B8" s="106">
        <v>0.8</v>
      </c>
      <c r="C8" s="106">
        <v>0.8</v>
      </c>
      <c r="D8" s="106">
        <v>0</v>
      </c>
      <c r="E8" s="106">
        <v>0.8</v>
      </c>
      <c r="F8" s="106">
        <v>0.8</v>
      </c>
      <c r="G8" s="106">
        <v>0.8</v>
      </c>
      <c r="H8" s="106">
        <v>0</v>
      </c>
      <c r="I8" s="106">
        <v>0</v>
      </c>
      <c r="J8" s="106">
        <v>0.8</v>
      </c>
      <c r="K8" s="106">
        <v>0</v>
      </c>
      <c r="L8" s="106">
        <v>0</v>
      </c>
      <c r="M8" s="106">
        <v>0.8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</row>
    <row r="9" spans="1:33" customFormat="1" x14ac:dyDescent="0.15">
      <c r="A9" s="184" t="s">
        <v>198</v>
      </c>
      <c r="B9" s="106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0.8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</row>
    <row r="10" spans="1:33" customFormat="1" x14ac:dyDescent="0.15">
      <c r="A10" s="184" t="s">
        <v>199</v>
      </c>
      <c r="B10" s="106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0.8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</row>
    <row r="11" spans="1:33" customFormat="1" x14ac:dyDescent="0.15">
      <c r="A11" s="184" t="s">
        <v>200</v>
      </c>
      <c r="B11" s="106">
        <v>0</v>
      </c>
      <c r="C11" s="106">
        <v>0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0.8</v>
      </c>
      <c r="J11" s="106">
        <v>0</v>
      </c>
      <c r="K11" s="106">
        <v>0</v>
      </c>
      <c r="L11" s="106">
        <v>0.8</v>
      </c>
      <c r="M11" s="106">
        <v>0.8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</row>
    <row r="12" spans="1:33" customFormat="1" x14ac:dyDescent="0.15">
      <c r="A12" s="184" t="s">
        <v>201</v>
      </c>
      <c r="B12" s="106">
        <v>0</v>
      </c>
      <c r="C12" s="106">
        <v>0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0.8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</row>
    <row r="13" spans="1:33" customFormat="1" x14ac:dyDescent="0.15">
      <c r="A13" s="184" t="s">
        <v>202</v>
      </c>
      <c r="B13" s="106">
        <v>0.8</v>
      </c>
      <c r="C13" s="106">
        <v>0.8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0.8</v>
      </c>
      <c r="J13" s="106">
        <v>0.8</v>
      </c>
      <c r="K13" s="106">
        <v>0</v>
      </c>
      <c r="L13" s="106">
        <v>0.8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</row>
    <row r="14" spans="1:33" customFormat="1" x14ac:dyDescent="0.15">
      <c r="A14" s="184" t="s">
        <v>203</v>
      </c>
      <c r="B14" s="106">
        <v>0</v>
      </c>
      <c r="C14" s="106">
        <v>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0.8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</row>
    <row r="15" spans="1:33" customFormat="1" x14ac:dyDescent="0.15">
      <c r="A15" s="184" t="s">
        <v>204</v>
      </c>
      <c r="B15" s="106">
        <v>0</v>
      </c>
      <c r="C15" s="106">
        <v>0</v>
      </c>
      <c r="D15" s="106">
        <v>0</v>
      </c>
      <c r="E15" s="106">
        <v>0.8</v>
      </c>
      <c r="F15" s="106">
        <v>0.8</v>
      </c>
      <c r="G15" s="106">
        <v>0</v>
      </c>
      <c r="H15" s="106">
        <v>0</v>
      </c>
      <c r="I15" s="106">
        <v>0.8</v>
      </c>
      <c r="J15" s="106">
        <v>0</v>
      </c>
      <c r="K15" s="106">
        <v>0.8</v>
      </c>
      <c r="L15" s="106">
        <v>0.8</v>
      </c>
      <c r="M15" s="106">
        <v>0.8</v>
      </c>
      <c r="N15" s="106">
        <v>0.8</v>
      </c>
      <c r="O15" s="106">
        <v>0</v>
      </c>
      <c r="P15" s="106">
        <v>0.8</v>
      </c>
      <c r="Q15" s="106">
        <v>0.8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</row>
    <row r="16" spans="1:33" customFormat="1" x14ac:dyDescent="0.15">
      <c r="A16" s="184" t="s">
        <v>205</v>
      </c>
      <c r="B16" s="106">
        <v>0.8</v>
      </c>
      <c r="C16" s="106">
        <v>0.8</v>
      </c>
      <c r="D16" s="106">
        <v>0</v>
      </c>
      <c r="E16" s="106">
        <v>0.8</v>
      </c>
      <c r="F16" s="106">
        <v>0.8</v>
      </c>
      <c r="G16" s="106">
        <v>0</v>
      </c>
      <c r="H16" s="106">
        <v>0</v>
      </c>
      <c r="I16" s="106">
        <v>0.8</v>
      </c>
      <c r="J16" s="106">
        <v>0.8</v>
      </c>
      <c r="K16" s="106">
        <v>0.8</v>
      </c>
      <c r="L16" s="106">
        <v>0.8</v>
      </c>
      <c r="M16" s="106">
        <v>0.8</v>
      </c>
      <c r="N16" s="106">
        <v>0.8</v>
      </c>
      <c r="O16" s="106">
        <v>0</v>
      </c>
      <c r="P16" s="106">
        <v>0</v>
      </c>
      <c r="Q16" s="106">
        <v>0.8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</row>
    <row r="17" spans="1:33" customFormat="1" x14ac:dyDescent="0.15">
      <c r="A17" s="184" t="s">
        <v>206</v>
      </c>
      <c r="B17" s="106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0.8</v>
      </c>
      <c r="M17" s="106">
        <v>0</v>
      </c>
      <c r="N17" s="106">
        <v>0.8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</row>
    <row r="18" spans="1:33" customFormat="1" x14ac:dyDescent="0.15">
      <c r="A18" s="184" t="s">
        <v>207</v>
      </c>
      <c r="B18" s="106">
        <v>0.8</v>
      </c>
      <c r="C18" s="106">
        <v>0.8</v>
      </c>
      <c r="D18" s="106">
        <v>0.8</v>
      </c>
      <c r="E18" s="106">
        <v>0.8</v>
      </c>
      <c r="F18" s="106">
        <v>0.8</v>
      </c>
      <c r="G18" s="106">
        <v>0.8</v>
      </c>
      <c r="H18" s="106">
        <v>0.8</v>
      </c>
      <c r="I18" s="106">
        <v>0</v>
      </c>
      <c r="J18" s="106">
        <v>0.8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0.8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</row>
    <row r="19" spans="1:33" customFormat="1" x14ac:dyDescent="0.15">
      <c r="A19" s="184" t="s">
        <v>208</v>
      </c>
      <c r="B19" s="106">
        <v>0</v>
      </c>
      <c r="C19" s="106">
        <v>0</v>
      </c>
      <c r="D19" s="106">
        <v>0</v>
      </c>
      <c r="E19" s="106">
        <v>0</v>
      </c>
      <c r="F19" s="106">
        <v>0</v>
      </c>
      <c r="G19" s="106">
        <v>0</v>
      </c>
      <c r="H19" s="106">
        <v>0.8</v>
      </c>
      <c r="I19" s="106">
        <v>0.8</v>
      </c>
      <c r="J19" s="106">
        <v>0</v>
      </c>
      <c r="K19" s="106">
        <v>0.8</v>
      </c>
      <c r="L19" s="106">
        <v>0.8</v>
      </c>
      <c r="M19" s="106">
        <v>0.8</v>
      </c>
      <c r="N19" s="106">
        <v>0</v>
      </c>
      <c r="O19" s="106">
        <v>0</v>
      </c>
      <c r="P19" s="106">
        <v>0.8</v>
      </c>
      <c r="Q19" s="106">
        <v>0</v>
      </c>
      <c r="R19" s="106">
        <v>0</v>
      </c>
      <c r="S19" s="106">
        <v>0</v>
      </c>
      <c r="T19" s="106">
        <v>0.8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</row>
    <row r="20" spans="1:33" customFormat="1" x14ac:dyDescent="0.15">
      <c r="A20" s="184" t="s">
        <v>209</v>
      </c>
      <c r="B20" s="106">
        <v>0.8</v>
      </c>
      <c r="C20" s="106">
        <v>0.8</v>
      </c>
      <c r="D20" s="106">
        <v>0</v>
      </c>
      <c r="E20" s="106">
        <v>0.8</v>
      </c>
      <c r="F20" s="106">
        <v>0.8</v>
      </c>
      <c r="G20" s="106">
        <v>0</v>
      </c>
      <c r="H20" s="106">
        <v>0.8</v>
      </c>
      <c r="I20" s="106">
        <v>0.8</v>
      </c>
      <c r="J20" s="106">
        <v>0</v>
      </c>
      <c r="K20" s="106">
        <v>0</v>
      </c>
      <c r="L20" s="106">
        <v>0.8</v>
      </c>
      <c r="M20" s="106">
        <v>0.8</v>
      </c>
      <c r="N20" s="106">
        <v>0</v>
      </c>
      <c r="O20" s="106">
        <v>0</v>
      </c>
      <c r="P20" s="106">
        <v>0.8</v>
      </c>
      <c r="Q20" s="106">
        <v>0</v>
      </c>
      <c r="R20" s="106">
        <v>0</v>
      </c>
      <c r="S20" s="106">
        <v>0</v>
      </c>
      <c r="T20" s="106">
        <v>0.8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</row>
    <row r="21" spans="1:33" customFormat="1" x14ac:dyDescent="0.15">
      <c r="A21" s="184" t="s">
        <v>210</v>
      </c>
      <c r="B21" s="106">
        <v>0.8</v>
      </c>
      <c r="C21" s="106">
        <v>0.8</v>
      </c>
      <c r="D21" s="106">
        <v>0.8</v>
      </c>
      <c r="E21" s="106">
        <v>0.8</v>
      </c>
      <c r="F21" s="106">
        <v>0.8</v>
      </c>
      <c r="G21" s="106">
        <v>0.8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</row>
    <row r="22" spans="1:33" customFormat="1" x14ac:dyDescent="0.15">
      <c r="A22" s="184" t="s">
        <v>211</v>
      </c>
      <c r="B22" s="106">
        <v>0.8</v>
      </c>
      <c r="C22" s="106">
        <v>0.8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0.8</v>
      </c>
      <c r="J22" s="106">
        <v>0</v>
      </c>
      <c r="K22" s="106">
        <v>0</v>
      </c>
      <c r="L22" s="106">
        <v>0.8</v>
      </c>
      <c r="M22" s="106">
        <v>0.8</v>
      </c>
      <c r="N22" s="106">
        <v>0</v>
      </c>
      <c r="O22" s="106">
        <v>0</v>
      </c>
      <c r="P22" s="106">
        <v>0.8</v>
      </c>
      <c r="Q22" s="106">
        <v>0</v>
      </c>
      <c r="R22" s="106">
        <v>0</v>
      </c>
      <c r="S22" s="106">
        <v>0</v>
      </c>
      <c r="T22" s="106">
        <v>0.8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</row>
    <row r="23" spans="1:33" customFormat="1" x14ac:dyDescent="0.15">
      <c r="A23" s="184" t="s">
        <v>212</v>
      </c>
      <c r="B23" s="106">
        <v>0</v>
      </c>
      <c r="C23" s="106">
        <v>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0.8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</row>
    <row r="24" spans="1:33" customFormat="1" x14ac:dyDescent="0.15">
      <c r="A24" s="184" t="s">
        <v>213</v>
      </c>
      <c r="B24" s="106">
        <v>0</v>
      </c>
      <c r="C24" s="106">
        <v>0</v>
      </c>
      <c r="D24" s="106">
        <v>0</v>
      </c>
      <c r="E24" s="106">
        <v>0.8</v>
      </c>
      <c r="F24" s="106">
        <v>0</v>
      </c>
      <c r="G24" s="106">
        <v>0.8</v>
      </c>
      <c r="H24" s="106">
        <v>0.8</v>
      </c>
      <c r="I24" s="106">
        <v>0.8</v>
      </c>
      <c r="J24" s="106">
        <v>0.8</v>
      </c>
      <c r="K24" s="106">
        <v>0.8</v>
      </c>
      <c r="L24" s="106">
        <v>0.8</v>
      </c>
      <c r="M24" s="106">
        <v>0.8</v>
      </c>
      <c r="N24" s="106">
        <v>0.8</v>
      </c>
      <c r="O24" s="106">
        <v>0.8</v>
      </c>
      <c r="P24" s="106">
        <v>0.8</v>
      </c>
      <c r="Q24" s="106">
        <v>0.8</v>
      </c>
      <c r="R24" s="106">
        <v>0.8</v>
      </c>
      <c r="S24" s="106">
        <v>0.8</v>
      </c>
      <c r="T24" s="106">
        <v>0.8</v>
      </c>
      <c r="U24" s="106">
        <v>0</v>
      </c>
      <c r="V24" s="106">
        <v>0.8</v>
      </c>
      <c r="W24" s="106">
        <v>0.8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</row>
    <row r="25" spans="1:33" customFormat="1" x14ac:dyDescent="0.15">
      <c r="A25" s="184" t="s">
        <v>214</v>
      </c>
      <c r="B25" s="106">
        <v>0</v>
      </c>
      <c r="C25" s="106">
        <v>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0.8</v>
      </c>
      <c r="L25" s="106">
        <v>0.8</v>
      </c>
      <c r="M25" s="106">
        <v>0.8</v>
      </c>
      <c r="N25" s="106">
        <v>0.8</v>
      </c>
      <c r="O25" s="106">
        <v>0</v>
      </c>
      <c r="P25" s="106">
        <v>0.8</v>
      </c>
      <c r="Q25" s="106">
        <v>0.8</v>
      </c>
      <c r="R25" s="106">
        <v>0</v>
      </c>
      <c r="S25" s="106">
        <v>0.8</v>
      </c>
      <c r="T25" s="106">
        <v>0</v>
      </c>
      <c r="U25" s="106">
        <v>0</v>
      </c>
      <c r="V25" s="106">
        <v>0</v>
      </c>
      <c r="W25" s="106">
        <v>0.8</v>
      </c>
      <c r="X25" s="106">
        <v>0.8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</row>
    <row r="26" spans="1:33" customFormat="1" x14ac:dyDescent="0.15">
      <c r="A26" s="184" t="s">
        <v>215</v>
      </c>
      <c r="B26" s="106">
        <v>0</v>
      </c>
      <c r="C26" s="106">
        <v>0</v>
      </c>
      <c r="D26" s="106">
        <v>0</v>
      </c>
      <c r="E26" s="106">
        <v>0.8</v>
      </c>
      <c r="F26" s="106">
        <v>0</v>
      </c>
      <c r="G26" s="106">
        <v>0.8</v>
      </c>
      <c r="H26" s="106">
        <v>0.8</v>
      </c>
      <c r="I26" s="106">
        <v>0.8</v>
      </c>
      <c r="J26" s="106">
        <v>0.8</v>
      </c>
      <c r="K26" s="106">
        <v>0.8</v>
      </c>
      <c r="L26" s="106">
        <v>0.8</v>
      </c>
      <c r="M26" s="106">
        <v>0.8</v>
      </c>
      <c r="N26" s="106">
        <v>0.8</v>
      </c>
      <c r="O26" s="106">
        <v>0.8</v>
      </c>
      <c r="P26" s="106">
        <v>0.8</v>
      </c>
      <c r="Q26" s="106">
        <v>0.8</v>
      </c>
      <c r="R26" s="106">
        <v>0.8</v>
      </c>
      <c r="S26" s="106">
        <v>0.8</v>
      </c>
      <c r="T26" s="106">
        <v>0.8</v>
      </c>
      <c r="U26" s="106">
        <v>0</v>
      </c>
      <c r="V26" s="106">
        <v>0.8</v>
      </c>
      <c r="W26" s="106">
        <v>0.8</v>
      </c>
      <c r="X26" s="106">
        <v>0.8</v>
      </c>
      <c r="Y26" s="106">
        <v>0.8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</row>
    <row r="27" spans="1:33" customFormat="1" x14ac:dyDescent="0.15">
      <c r="A27" s="184" t="s">
        <v>216</v>
      </c>
      <c r="B27" s="106">
        <v>0</v>
      </c>
      <c r="C27" s="106">
        <v>0</v>
      </c>
      <c r="D27" s="106">
        <v>0</v>
      </c>
      <c r="E27" s="106">
        <v>0.8</v>
      </c>
      <c r="F27" s="106">
        <v>0</v>
      </c>
      <c r="G27" s="106">
        <v>0.8</v>
      </c>
      <c r="H27" s="106">
        <v>0.8</v>
      </c>
      <c r="I27" s="106">
        <v>0</v>
      </c>
      <c r="J27" s="106">
        <v>0.8</v>
      </c>
      <c r="K27" s="106">
        <v>0.8</v>
      </c>
      <c r="L27" s="106">
        <v>0.8</v>
      </c>
      <c r="M27" s="106">
        <v>0.8</v>
      </c>
      <c r="N27" s="106">
        <v>0.8</v>
      </c>
      <c r="O27" s="106">
        <v>0.8</v>
      </c>
      <c r="P27" s="106">
        <v>0.8</v>
      </c>
      <c r="Q27" s="106">
        <v>0.8</v>
      </c>
      <c r="R27" s="106">
        <v>0.8</v>
      </c>
      <c r="S27" s="106">
        <v>0.8</v>
      </c>
      <c r="T27" s="106">
        <v>0</v>
      </c>
      <c r="U27" s="106">
        <v>0</v>
      </c>
      <c r="V27" s="106">
        <v>0</v>
      </c>
      <c r="W27" s="106">
        <v>0.8</v>
      </c>
      <c r="X27" s="106">
        <v>0.8</v>
      </c>
      <c r="Y27" s="106">
        <v>0.8</v>
      </c>
      <c r="Z27" s="106">
        <v>0.8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</row>
    <row r="28" spans="1:33" customFormat="1" x14ac:dyDescent="0.15">
      <c r="A28" s="184" t="s">
        <v>217</v>
      </c>
      <c r="B28" s="106">
        <v>0</v>
      </c>
      <c r="C28" s="106">
        <v>0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0.8</v>
      </c>
      <c r="O28" s="106">
        <v>0.8</v>
      </c>
      <c r="P28" s="106">
        <v>0.8</v>
      </c>
      <c r="Q28" s="106">
        <v>0.8</v>
      </c>
      <c r="R28" s="106">
        <v>0</v>
      </c>
      <c r="S28" s="106">
        <v>0.8</v>
      </c>
      <c r="T28" s="106">
        <v>0</v>
      </c>
      <c r="U28" s="106">
        <v>0</v>
      </c>
      <c r="V28" s="106">
        <v>0</v>
      </c>
      <c r="W28" s="106">
        <v>0</v>
      </c>
      <c r="X28" s="106">
        <v>0.8</v>
      </c>
      <c r="Y28" s="106">
        <v>0.8</v>
      </c>
      <c r="Z28" s="106">
        <v>0.8</v>
      </c>
      <c r="AA28" s="106">
        <v>0.8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</row>
    <row r="29" spans="1:33" customFormat="1" x14ac:dyDescent="0.15">
      <c r="A29" s="184" t="s">
        <v>218</v>
      </c>
      <c r="B29" s="106">
        <v>0.8</v>
      </c>
      <c r="C29" s="106">
        <v>0</v>
      </c>
      <c r="D29" s="106">
        <v>0.8</v>
      </c>
      <c r="E29" s="106">
        <v>0.8</v>
      </c>
      <c r="F29" s="106">
        <v>0.8</v>
      </c>
      <c r="G29" s="106">
        <v>0.8</v>
      </c>
      <c r="H29" s="106">
        <v>0.8</v>
      </c>
      <c r="I29" s="106">
        <v>0</v>
      </c>
      <c r="J29" s="106">
        <v>0.8</v>
      </c>
      <c r="K29" s="106">
        <v>0.8</v>
      </c>
      <c r="L29" s="106">
        <v>0.8</v>
      </c>
      <c r="M29" s="106">
        <v>0.8</v>
      </c>
      <c r="N29" s="106">
        <v>0.8</v>
      </c>
      <c r="O29" s="106">
        <v>0.8</v>
      </c>
      <c r="P29" s="106">
        <v>0.8</v>
      </c>
      <c r="Q29" s="106">
        <v>0.8</v>
      </c>
      <c r="R29" s="106">
        <v>0.8</v>
      </c>
      <c r="S29" s="106">
        <v>0.8</v>
      </c>
      <c r="T29" s="106">
        <v>0</v>
      </c>
      <c r="U29" s="106">
        <v>0.8</v>
      </c>
      <c r="V29" s="106">
        <v>0</v>
      </c>
      <c r="W29" s="106">
        <v>0</v>
      </c>
      <c r="X29" s="106">
        <v>0.8</v>
      </c>
      <c r="Y29" s="106">
        <v>0.8</v>
      </c>
      <c r="Z29" s="106">
        <v>0.8</v>
      </c>
      <c r="AA29" s="106">
        <v>0.8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</row>
    <row r="30" spans="1:33" customFormat="1" x14ac:dyDescent="0.15">
      <c r="A30" s="184" t="s">
        <v>219</v>
      </c>
      <c r="B30" s="106">
        <v>0</v>
      </c>
      <c r="C30" s="106">
        <v>0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0.8</v>
      </c>
      <c r="Y30" s="106">
        <v>0.8</v>
      </c>
      <c r="Z30" s="106">
        <v>0.8</v>
      </c>
      <c r="AA30" s="106">
        <v>0.8</v>
      </c>
      <c r="AB30" s="106">
        <v>0</v>
      </c>
      <c r="AC30" s="106">
        <v>0.8</v>
      </c>
      <c r="AD30" s="106">
        <v>0</v>
      </c>
      <c r="AE30" s="106">
        <v>0</v>
      </c>
      <c r="AF30" s="106">
        <v>0</v>
      </c>
      <c r="AG30" s="106">
        <v>0</v>
      </c>
    </row>
    <row r="31" spans="1:33" customFormat="1" x14ac:dyDescent="0.15">
      <c r="A31" s="184" t="s">
        <v>220</v>
      </c>
      <c r="B31" s="106">
        <v>0</v>
      </c>
      <c r="C31" s="106">
        <v>0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0.8</v>
      </c>
      <c r="M31" s="106">
        <v>0.8</v>
      </c>
      <c r="N31" s="106">
        <v>0</v>
      </c>
      <c r="O31" s="106">
        <v>0</v>
      </c>
      <c r="P31" s="106">
        <v>0.8</v>
      </c>
      <c r="Q31" s="106">
        <v>0</v>
      </c>
      <c r="R31" s="106">
        <v>0</v>
      </c>
      <c r="S31" s="106">
        <v>0.8</v>
      </c>
      <c r="T31" s="106">
        <v>0.8</v>
      </c>
      <c r="U31" s="106">
        <v>0</v>
      </c>
      <c r="V31" s="106">
        <v>0.8</v>
      </c>
      <c r="W31" s="106">
        <v>0.8</v>
      </c>
      <c r="X31" s="106">
        <v>0.8</v>
      </c>
      <c r="Y31" s="106">
        <v>0.8</v>
      </c>
      <c r="Z31" s="106">
        <v>0.8</v>
      </c>
      <c r="AA31" s="106">
        <v>0.8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</row>
    <row r="32" spans="1:33" customFormat="1" x14ac:dyDescent="0.15">
      <c r="A32" s="184" t="s">
        <v>221</v>
      </c>
      <c r="B32" s="106">
        <v>0</v>
      </c>
      <c r="C32" s="106">
        <v>0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0.8</v>
      </c>
      <c r="M32" s="106">
        <v>0</v>
      </c>
      <c r="N32" s="106">
        <v>0.8</v>
      </c>
      <c r="O32" s="106">
        <v>0.8</v>
      </c>
      <c r="P32" s="106">
        <v>0</v>
      </c>
      <c r="Q32" s="106">
        <v>0.8</v>
      </c>
      <c r="R32" s="106">
        <v>0.8</v>
      </c>
      <c r="S32" s="106">
        <v>0</v>
      </c>
      <c r="T32" s="106">
        <v>0</v>
      </c>
      <c r="U32" s="106">
        <v>0</v>
      </c>
      <c r="V32" s="106">
        <v>0.8</v>
      </c>
      <c r="W32" s="106">
        <v>0</v>
      </c>
      <c r="X32" s="106">
        <v>0.8</v>
      </c>
      <c r="Y32" s="106">
        <v>0.8</v>
      </c>
      <c r="Z32" s="106">
        <v>0.8</v>
      </c>
      <c r="AA32" s="106">
        <v>0.8</v>
      </c>
      <c r="AB32" s="106">
        <v>0.8</v>
      </c>
      <c r="AC32" s="106">
        <v>0.8</v>
      </c>
      <c r="AD32" s="106">
        <v>0</v>
      </c>
      <c r="AE32" s="106">
        <v>0</v>
      </c>
      <c r="AF32" s="106">
        <v>0</v>
      </c>
      <c r="AG32" s="106">
        <v>0</v>
      </c>
    </row>
    <row r="33" spans="1:33" x14ac:dyDescent="0.15">
      <c r="A33" s="184" t="s">
        <v>222</v>
      </c>
      <c r="B33" s="106">
        <v>0</v>
      </c>
      <c r="C33" s="106">
        <v>0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</row>
    <row r="34" spans="1:33" x14ac:dyDescent="0.15">
      <c r="A34" s="184" t="s">
        <v>226</v>
      </c>
      <c r="B34" s="106">
        <v>0.8</v>
      </c>
      <c r="C34" s="106">
        <v>0.8</v>
      </c>
      <c r="D34" s="106">
        <v>0.8</v>
      </c>
      <c r="E34" s="106">
        <v>0.8</v>
      </c>
      <c r="F34" s="106">
        <v>0.8</v>
      </c>
      <c r="G34" s="106">
        <v>0.8</v>
      </c>
      <c r="H34" s="106">
        <v>0.8</v>
      </c>
      <c r="I34" s="106">
        <v>0</v>
      </c>
      <c r="J34" s="106">
        <v>0.8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0.8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21.6640625" style="106" bestFit="1" customWidth="1"/>
    <col min="2" max="33" width="2.33203125" style="106" customWidth="1"/>
    <col min="34" max="16384" width="10.83203125" style="106"/>
  </cols>
  <sheetData>
    <row r="1" spans="1:33" x14ac:dyDescent="0.15">
      <c r="A1" s="62" t="s">
        <v>139</v>
      </c>
      <c r="B1" s="187" t="s">
        <v>191</v>
      </c>
      <c r="C1" s="187" t="s">
        <v>192</v>
      </c>
      <c r="D1" s="187" t="s">
        <v>193</v>
      </c>
      <c r="E1" s="187" t="s">
        <v>194</v>
      </c>
      <c r="F1" s="187" t="s">
        <v>195</v>
      </c>
      <c r="G1" s="187" t="s">
        <v>196</v>
      </c>
      <c r="H1" s="187" t="s">
        <v>197</v>
      </c>
      <c r="I1" s="187" t="s">
        <v>198</v>
      </c>
      <c r="J1" s="187" t="s">
        <v>199</v>
      </c>
      <c r="K1" s="187" t="s">
        <v>200</v>
      </c>
      <c r="L1" s="187" t="s">
        <v>201</v>
      </c>
      <c r="M1" s="187" t="s">
        <v>202</v>
      </c>
      <c r="N1" s="187" t="s">
        <v>203</v>
      </c>
      <c r="O1" s="187" t="s">
        <v>204</v>
      </c>
      <c r="P1" s="187" t="s">
        <v>205</v>
      </c>
      <c r="Q1" s="187" t="s">
        <v>206</v>
      </c>
      <c r="R1" s="187" t="s">
        <v>207</v>
      </c>
      <c r="S1" s="187" t="s">
        <v>208</v>
      </c>
      <c r="T1" s="187" t="s">
        <v>209</v>
      </c>
      <c r="U1" s="187" t="s">
        <v>210</v>
      </c>
      <c r="V1" s="187" t="s">
        <v>211</v>
      </c>
      <c r="W1" s="187" t="s">
        <v>212</v>
      </c>
      <c r="X1" s="187" t="s">
        <v>213</v>
      </c>
      <c r="Y1" s="187" t="s">
        <v>214</v>
      </c>
      <c r="Z1" s="187" t="s">
        <v>215</v>
      </c>
      <c r="AA1" s="187" t="s">
        <v>216</v>
      </c>
      <c r="AB1" s="187" t="s">
        <v>217</v>
      </c>
      <c r="AC1" s="187" t="s">
        <v>218</v>
      </c>
      <c r="AD1" s="187" t="s">
        <v>219</v>
      </c>
      <c r="AE1" s="187" t="s">
        <v>220</v>
      </c>
      <c r="AF1" s="187" t="s">
        <v>221</v>
      </c>
      <c r="AG1" s="187" t="s">
        <v>222</v>
      </c>
    </row>
    <row r="2" spans="1:33" customFormat="1" x14ac:dyDescent="0.15">
      <c r="A2" s="186" t="s">
        <v>191</v>
      </c>
      <c r="B2" s="106">
        <v>0</v>
      </c>
      <c r="C2" s="106">
        <v>0</v>
      </c>
      <c r="D2" s="106">
        <v>0</v>
      </c>
      <c r="E2" s="106">
        <v>0</v>
      </c>
      <c r="F2" s="106">
        <v>0</v>
      </c>
      <c r="G2" s="106">
        <v>0</v>
      </c>
      <c r="H2" s="106">
        <v>0</v>
      </c>
      <c r="I2" s="106">
        <v>0</v>
      </c>
      <c r="J2" s="106">
        <v>1</v>
      </c>
      <c r="K2" s="106">
        <v>0</v>
      </c>
      <c r="L2" s="106">
        <v>0</v>
      </c>
      <c r="M2" s="106">
        <v>0</v>
      </c>
      <c r="N2" s="106">
        <v>0</v>
      </c>
      <c r="O2" s="106">
        <v>0</v>
      </c>
      <c r="P2" s="106">
        <v>0</v>
      </c>
      <c r="Q2" s="106">
        <v>0</v>
      </c>
      <c r="R2" s="106">
        <v>0</v>
      </c>
      <c r="S2" s="106">
        <v>0</v>
      </c>
      <c r="T2" s="106">
        <v>0</v>
      </c>
      <c r="U2" s="106">
        <v>0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  <c r="AE2" s="106">
        <v>0</v>
      </c>
      <c r="AF2" s="106">
        <v>0</v>
      </c>
      <c r="AG2" s="106">
        <v>0</v>
      </c>
    </row>
    <row r="3" spans="1:33" customFormat="1" x14ac:dyDescent="0.15">
      <c r="A3" s="186" t="s">
        <v>192</v>
      </c>
      <c r="B3" s="106">
        <v>0</v>
      </c>
      <c r="C3" s="106">
        <v>0</v>
      </c>
      <c r="D3" s="106">
        <v>0</v>
      </c>
      <c r="E3" s="106">
        <v>0</v>
      </c>
      <c r="F3" s="106">
        <v>0</v>
      </c>
      <c r="G3" s="106">
        <v>0</v>
      </c>
      <c r="H3" s="106">
        <v>0</v>
      </c>
      <c r="I3" s="106">
        <v>0</v>
      </c>
      <c r="J3" s="106">
        <v>1</v>
      </c>
      <c r="K3" s="106">
        <v>0</v>
      </c>
      <c r="L3" s="106">
        <v>0</v>
      </c>
      <c r="M3" s="106">
        <v>0</v>
      </c>
      <c r="N3" s="106">
        <v>0</v>
      </c>
      <c r="O3" s="106">
        <v>0</v>
      </c>
      <c r="P3" s="106">
        <v>0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06">
        <v>0</v>
      </c>
      <c r="AE3" s="106">
        <v>0</v>
      </c>
      <c r="AF3" s="106">
        <v>0</v>
      </c>
      <c r="AG3" s="106">
        <v>0</v>
      </c>
    </row>
    <row r="4" spans="1:33" customFormat="1" x14ac:dyDescent="0.15">
      <c r="A4" s="186" t="s">
        <v>193</v>
      </c>
      <c r="B4" s="106">
        <v>0</v>
      </c>
      <c r="C4" s="106">
        <v>0</v>
      </c>
      <c r="D4" s="106">
        <v>0</v>
      </c>
      <c r="E4" s="106">
        <v>0</v>
      </c>
      <c r="F4" s="106">
        <v>0</v>
      </c>
      <c r="G4" s="106">
        <v>0</v>
      </c>
      <c r="H4" s="106">
        <v>0</v>
      </c>
      <c r="I4" s="106">
        <v>0</v>
      </c>
      <c r="J4" s="106">
        <v>1</v>
      </c>
      <c r="K4" s="106">
        <v>0</v>
      </c>
      <c r="L4" s="106">
        <v>0</v>
      </c>
      <c r="M4" s="106"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  <c r="AE4" s="106">
        <v>0</v>
      </c>
      <c r="AF4" s="106">
        <v>0</v>
      </c>
      <c r="AG4" s="106">
        <v>0</v>
      </c>
    </row>
    <row r="5" spans="1:33" customFormat="1" x14ac:dyDescent="0.15">
      <c r="A5" s="186" t="s">
        <v>194</v>
      </c>
      <c r="B5" s="106">
        <v>1</v>
      </c>
      <c r="C5" s="106">
        <v>1</v>
      </c>
      <c r="D5" s="106">
        <v>1</v>
      </c>
      <c r="E5" s="106">
        <v>1</v>
      </c>
      <c r="F5" s="106">
        <v>1</v>
      </c>
      <c r="G5" s="106">
        <v>0</v>
      </c>
      <c r="H5" s="106">
        <v>0</v>
      </c>
      <c r="I5" s="106">
        <v>0</v>
      </c>
      <c r="J5" s="106">
        <v>1</v>
      </c>
      <c r="K5" s="106">
        <v>0</v>
      </c>
      <c r="L5" s="106">
        <v>0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  <c r="R5" s="106">
        <v>0</v>
      </c>
      <c r="S5" s="106">
        <v>0</v>
      </c>
      <c r="T5" s="106">
        <v>0</v>
      </c>
      <c r="U5" s="106">
        <v>0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0</v>
      </c>
      <c r="AC5" s="106">
        <v>0</v>
      </c>
      <c r="AD5" s="106">
        <v>0</v>
      </c>
      <c r="AE5" s="106">
        <v>0</v>
      </c>
      <c r="AF5" s="106">
        <v>0</v>
      </c>
      <c r="AG5" s="106">
        <v>0</v>
      </c>
    </row>
    <row r="6" spans="1:33" customFormat="1" x14ac:dyDescent="0.15">
      <c r="A6" s="186" t="s">
        <v>195</v>
      </c>
      <c r="B6" s="106">
        <v>1</v>
      </c>
      <c r="C6" s="106">
        <v>1</v>
      </c>
      <c r="D6" s="106">
        <v>1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1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</row>
    <row r="7" spans="1:33" customFormat="1" x14ac:dyDescent="0.15">
      <c r="A7" s="186" t="s">
        <v>196</v>
      </c>
      <c r="B7" s="106">
        <v>1</v>
      </c>
      <c r="C7" s="106">
        <v>1</v>
      </c>
      <c r="D7" s="106">
        <v>1</v>
      </c>
      <c r="E7" s="106">
        <v>1</v>
      </c>
      <c r="F7" s="106">
        <v>1</v>
      </c>
      <c r="G7" s="106">
        <v>0</v>
      </c>
      <c r="H7" s="106">
        <v>0</v>
      </c>
      <c r="I7" s="106">
        <v>0</v>
      </c>
      <c r="J7" s="106">
        <v>1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</row>
    <row r="8" spans="1:33" customFormat="1" x14ac:dyDescent="0.15">
      <c r="A8" s="186" t="s">
        <v>197</v>
      </c>
      <c r="B8" s="106">
        <v>1</v>
      </c>
      <c r="C8" s="106">
        <v>1</v>
      </c>
      <c r="D8" s="106">
        <v>0</v>
      </c>
      <c r="E8" s="106">
        <v>1</v>
      </c>
      <c r="F8" s="106">
        <v>1</v>
      </c>
      <c r="G8" s="106">
        <v>1</v>
      </c>
      <c r="H8" s="106">
        <v>0</v>
      </c>
      <c r="I8" s="106">
        <v>0</v>
      </c>
      <c r="J8" s="106">
        <v>1</v>
      </c>
      <c r="K8" s="106">
        <v>0</v>
      </c>
      <c r="L8" s="106">
        <v>0</v>
      </c>
      <c r="M8" s="106">
        <v>1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</row>
    <row r="9" spans="1:33" customFormat="1" x14ac:dyDescent="0.15">
      <c r="A9" s="186" t="s">
        <v>198</v>
      </c>
      <c r="B9" s="106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1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</row>
    <row r="10" spans="1:33" customFormat="1" x14ac:dyDescent="0.15">
      <c r="A10" s="186" t="s">
        <v>199</v>
      </c>
      <c r="B10" s="106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1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</row>
    <row r="11" spans="1:33" customFormat="1" x14ac:dyDescent="0.15">
      <c r="A11" s="186" t="s">
        <v>200</v>
      </c>
      <c r="B11" s="106">
        <v>0</v>
      </c>
      <c r="C11" s="106">
        <v>0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1</v>
      </c>
      <c r="J11" s="106">
        <v>0</v>
      </c>
      <c r="K11" s="106">
        <v>0</v>
      </c>
      <c r="L11" s="106">
        <v>1</v>
      </c>
      <c r="M11" s="106">
        <v>1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</row>
    <row r="12" spans="1:33" customFormat="1" x14ac:dyDescent="0.15">
      <c r="A12" s="186" t="s">
        <v>201</v>
      </c>
      <c r="B12" s="106">
        <v>0</v>
      </c>
      <c r="C12" s="106">
        <v>0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1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</row>
    <row r="13" spans="1:33" customFormat="1" x14ac:dyDescent="0.15">
      <c r="A13" s="186" t="s">
        <v>202</v>
      </c>
      <c r="B13" s="106">
        <v>1</v>
      </c>
      <c r="C13" s="106">
        <v>1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1</v>
      </c>
      <c r="J13" s="106">
        <v>1</v>
      </c>
      <c r="K13" s="106">
        <v>0</v>
      </c>
      <c r="L13" s="106">
        <v>1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</row>
    <row r="14" spans="1:33" customFormat="1" x14ac:dyDescent="0.15">
      <c r="A14" s="186" t="s">
        <v>203</v>
      </c>
      <c r="B14" s="106">
        <v>0</v>
      </c>
      <c r="C14" s="106">
        <v>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1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</row>
    <row r="15" spans="1:33" customFormat="1" x14ac:dyDescent="0.15">
      <c r="A15" s="186" t="s">
        <v>204</v>
      </c>
      <c r="B15" s="106">
        <v>0</v>
      </c>
      <c r="C15" s="106">
        <v>0</v>
      </c>
      <c r="D15" s="106">
        <v>0</v>
      </c>
      <c r="E15" s="106">
        <v>1</v>
      </c>
      <c r="F15" s="106">
        <v>1</v>
      </c>
      <c r="G15" s="106">
        <v>0</v>
      </c>
      <c r="H15" s="106">
        <v>0</v>
      </c>
      <c r="I15" s="106">
        <v>1</v>
      </c>
      <c r="J15" s="106">
        <v>0</v>
      </c>
      <c r="K15" s="106">
        <v>1</v>
      </c>
      <c r="L15" s="106">
        <v>1</v>
      </c>
      <c r="M15" s="106">
        <v>1</v>
      </c>
      <c r="N15" s="106">
        <v>1</v>
      </c>
      <c r="O15" s="106">
        <v>0</v>
      </c>
      <c r="P15" s="106">
        <v>1</v>
      </c>
      <c r="Q15" s="106">
        <v>1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</row>
    <row r="16" spans="1:33" customFormat="1" x14ac:dyDescent="0.15">
      <c r="A16" s="186" t="s">
        <v>205</v>
      </c>
      <c r="B16" s="106">
        <v>1</v>
      </c>
      <c r="C16" s="106">
        <v>1</v>
      </c>
      <c r="D16" s="106">
        <v>0</v>
      </c>
      <c r="E16" s="106">
        <v>1</v>
      </c>
      <c r="F16" s="106">
        <v>1</v>
      </c>
      <c r="G16" s="106">
        <v>0</v>
      </c>
      <c r="H16" s="106">
        <v>0</v>
      </c>
      <c r="I16" s="106">
        <v>1</v>
      </c>
      <c r="J16" s="106">
        <v>1</v>
      </c>
      <c r="K16" s="106">
        <v>1</v>
      </c>
      <c r="L16" s="106">
        <v>1</v>
      </c>
      <c r="M16" s="106">
        <v>1</v>
      </c>
      <c r="N16" s="106">
        <v>1</v>
      </c>
      <c r="O16" s="106">
        <v>0</v>
      </c>
      <c r="P16" s="106">
        <v>0</v>
      </c>
      <c r="Q16" s="106">
        <v>1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</row>
    <row r="17" spans="1:33" customFormat="1" x14ac:dyDescent="0.15">
      <c r="A17" s="186" t="s">
        <v>206</v>
      </c>
      <c r="B17" s="106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1</v>
      </c>
      <c r="M17" s="106">
        <v>0</v>
      </c>
      <c r="N17" s="106">
        <v>1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</row>
    <row r="18" spans="1:33" customFormat="1" x14ac:dyDescent="0.15">
      <c r="A18" s="186" t="s">
        <v>207</v>
      </c>
      <c r="B18" s="106">
        <v>1</v>
      </c>
      <c r="C18" s="106">
        <v>1</v>
      </c>
      <c r="D18" s="106">
        <v>1</v>
      </c>
      <c r="E18" s="106">
        <v>1</v>
      </c>
      <c r="F18" s="106">
        <v>1</v>
      </c>
      <c r="G18" s="106">
        <v>1</v>
      </c>
      <c r="H18" s="106">
        <v>1</v>
      </c>
      <c r="I18" s="106">
        <v>0</v>
      </c>
      <c r="J18" s="106">
        <v>1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1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</row>
    <row r="19" spans="1:33" customFormat="1" x14ac:dyDescent="0.15">
      <c r="A19" s="186" t="s">
        <v>208</v>
      </c>
      <c r="B19" s="106">
        <v>0</v>
      </c>
      <c r="C19" s="106">
        <v>0</v>
      </c>
      <c r="D19" s="106">
        <v>0</v>
      </c>
      <c r="E19" s="106">
        <v>0</v>
      </c>
      <c r="F19" s="106">
        <v>0</v>
      </c>
      <c r="G19" s="106">
        <v>0</v>
      </c>
      <c r="H19" s="106">
        <v>1</v>
      </c>
      <c r="I19" s="106">
        <v>1</v>
      </c>
      <c r="J19" s="106">
        <v>0</v>
      </c>
      <c r="K19" s="106">
        <v>1</v>
      </c>
      <c r="L19" s="106">
        <v>1</v>
      </c>
      <c r="M19" s="106">
        <v>1</v>
      </c>
      <c r="N19" s="106">
        <v>0</v>
      </c>
      <c r="O19" s="106">
        <v>0</v>
      </c>
      <c r="P19" s="106">
        <v>1</v>
      </c>
      <c r="Q19" s="106">
        <v>0</v>
      </c>
      <c r="R19" s="106">
        <v>0</v>
      </c>
      <c r="S19" s="106">
        <v>0</v>
      </c>
      <c r="T19" s="106">
        <v>1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</row>
    <row r="20" spans="1:33" customFormat="1" x14ac:dyDescent="0.15">
      <c r="A20" s="186" t="s">
        <v>209</v>
      </c>
      <c r="B20" s="106">
        <v>1</v>
      </c>
      <c r="C20" s="106">
        <v>1</v>
      </c>
      <c r="D20" s="106">
        <v>0</v>
      </c>
      <c r="E20" s="106">
        <v>1</v>
      </c>
      <c r="F20" s="106">
        <v>1</v>
      </c>
      <c r="G20" s="106">
        <v>0</v>
      </c>
      <c r="H20" s="106">
        <v>1</v>
      </c>
      <c r="I20" s="106">
        <v>1</v>
      </c>
      <c r="J20" s="106">
        <v>0</v>
      </c>
      <c r="K20" s="106">
        <v>0</v>
      </c>
      <c r="L20" s="106">
        <v>1</v>
      </c>
      <c r="M20" s="106">
        <v>1</v>
      </c>
      <c r="N20" s="106">
        <v>0</v>
      </c>
      <c r="O20" s="106">
        <v>0</v>
      </c>
      <c r="P20" s="106">
        <v>1</v>
      </c>
      <c r="Q20" s="106">
        <v>0</v>
      </c>
      <c r="R20" s="106">
        <v>0</v>
      </c>
      <c r="S20" s="106">
        <v>0</v>
      </c>
      <c r="T20" s="106">
        <v>1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</row>
    <row r="21" spans="1:33" customFormat="1" x14ac:dyDescent="0.15">
      <c r="A21" s="186" t="s">
        <v>210</v>
      </c>
      <c r="B21" s="106">
        <v>1</v>
      </c>
      <c r="C21" s="106">
        <v>1</v>
      </c>
      <c r="D21" s="106">
        <v>1</v>
      </c>
      <c r="E21" s="106">
        <v>1</v>
      </c>
      <c r="F21" s="106">
        <v>1</v>
      </c>
      <c r="G21" s="106">
        <v>1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</row>
    <row r="22" spans="1:33" customFormat="1" x14ac:dyDescent="0.15">
      <c r="A22" s="186" t="s">
        <v>211</v>
      </c>
      <c r="B22" s="106">
        <v>1</v>
      </c>
      <c r="C22" s="106">
        <v>1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1</v>
      </c>
      <c r="J22" s="106">
        <v>0</v>
      </c>
      <c r="K22" s="106">
        <v>0</v>
      </c>
      <c r="L22" s="106">
        <v>1</v>
      </c>
      <c r="M22" s="106">
        <v>1</v>
      </c>
      <c r="N22" s="106">
        <v>0</v>
      </c>
      <c r="O22" s="106">
        <v>0</v>
      </c>
      <c r="P22" s="106">
        <v>1</v>
      </c>
      <c r="Q22" s="106">
        <v>0</v>
      </c>
      <c r="R22" s="106">
        <v>0</v>
      </c>
      <c r="S22" s="106">
        <v>0</v>
      </c>
      <c r="T22" s="106">
        <v>1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</row>
    <row r="23" spans="1:33" customFormat="1" x14ac:dyDescent="0.15">
      <c r="A23" s="186" t="s">
        <v>212</v>
      </c>
      <c r="B23" s="106">
        <v>0</v>
      </c>
      <c r="C23" s="106">
        <v>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1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</row>
    <row r="24" spans="1:33" customFormat="1" x14ac:dyDescent="0.15">
      <c r="A24" s="186" t="s">
        <v>213</v>
      </c>
      <c r="B24" s="106">
        <v>0</v>
      </c>
      <c r="C24" s="106">
        <v>0</v>
      </c>
      <c r="D24" s="106">
        <v>0</v>
      </c>
      <c r="E24" s="106">
        <v>1</v>
      </c>
      <c r="F24" s="106">
        <v>0</v>
      </c>
      <c r="G24" s="106">
        <v>1</v>
      </c>
      <c r="H24" s="106">
        <v>1</v>
      </c>
      <c r="I24" s="106">
        <v>1</v>
      </c>
      <c r="J24" s="106">
        <v>1</v>
      </c>
      <c r="K24" s="106">
        <v>1</v>
      </c>
      <c r="L24" s="106">
        <v>1</v>
      </c>
      <c r="M24" s="106">
        <v>1</v>
      </c>
      <c r="N24" s="106">
        <v>1</v>
      </c>
      <c r="O24" s="106">
        <v>1</v>
      </c>
      <c r="P24" s="106">
        <v>1</v>
      </c>
      <c r="Q24" s="106">
        <v>1</v>
      </c>
      <c r="R24" s="106">
        <v>1</v>
      </c>
      <c r="S24" s="106">
        <v>1</v>
      </c>
      <c r="T24" s="106">
        <v>1</v>
      </c>
      <c r="U24" s="106">
        <v>0</v>
      </c>
      <c r="V24" s="106">
        <v>1</v>
      </c>
      <c r="W24" s="106">
        <v>1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</row>
    <row r="25" spans="1:33" customFormat="1" x14ac:dyDescent="0.15">
      <c r="A25" s="186" t="s">
        <v>214</v>
      </c>
      <c r="B25" s="106">
        <v>0</v>
      </c>
      <c r="C25" s="106">
        <v>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1</v>
      </c>
      <c r="L25" s="106">
        <v>1</v>
      </c>
      <c r="M25" s="106">
        <v>1</v>
      </c>
      <c r="N25" s="106">
        <v>1</v>
      </c>
      <c r="O25" s="106">
        <v>0</v>
      </c>
      <c r="P25" s="106">
        <v>1</v>
      </c>
      <c r="Q25" s="106">
        <v>1</v>
      </c>
      <c r="R25" s="106">
        <v>0</v>
      </c>
      <c r="S25" s="106">
        <v>1</v>
      </c>
      <c r="T25" s="106">
        <v>0</v>
      </c>
      <c r="U25" s="106">
        <v>0</v>
      </c>
      <c r="V25" s="106">
        <v>0</v>
      </c>
      <c r="W25" s="106">
        <v>1</v>
      </c>
      <c r="X25" s="106">
        <v>1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</row>
    <row r="26" spans="1:33" customFormat="1" x14ac:dyDescent="0.15">
      <c r="A26" s="186" t="s">
        <v>215</v>
      </c>
      <c r="B26" s="106">
        <v>0</v>
      </c>
      <c r="C26" s="106">
        <v>0</v>
      </c>
      <c r="D26" s="106">
        <v>0</v>
      </c>
      <c r="E26" s="106">
        <v>1</v>
      </c>
      <c r="F26" s="106">
        <v>0</v>
      </c>
      <c r="G26" s="106">
        <v>1</v>
      </c>
      <c r="H26" s="106">
        <v>1</v>
      </c>
      <c r="I26" s="106">
        <v>1</v>
      </c>
      <c r="J26" s="106">
        <v>1</v>
      </c>
      <c r="K26" s="106">
        <v>1</v>
      </c>
      <c r="L26" s="106">
        <v>1</v>
      </c>
      <c r="M26" s="106">
        <v>1</v>
      </c>
      <c r="N26" s="106">
        <v>1</v>
      </c>
      <c r="O26" s="106">
        <v>1</v>
      </c>
      <c r="P26" s="106">
        <v>1</v>
      </c>
      <c r="Q26" s="106">
        <v>1</v>
      </c>
      <c r="R26" s="106">
        <v>1</v>
      </c>
      <c r="S26" s="106">
        <v>1</v>
      </c>
      <c r="T26" s="106">
        <v>1</v>
      </c>
      <c r="U26" s="106">
        <v>0</v>
      </c>
      <c r="V26" s="106">
        <v>1</v>
      </c>
      <c r="W26" s="106">
        <v>1</v>
      </c>
      <c r="X26" s="106">
        <v>1</v>
      </c>
      <c r="Y26" s="106">
        <v>1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</row>
    <row r="27" spans="1:33" customFormat="1" x14ac:dyDescent="0.15">
      <c r="A27" s="186" t="s">
        <v>216</v>
      </c>
      <c r="B27" s="106">
        <v>0</v>
      </c>
      <c r="C27" s="106">
        <v>0</v>
      </c>
      <c r="D27" s="106">
        <v>0</v>
      </c>
      <c r="E27" s="106">
        <v>1</v>
      </c>
      <c r="F27" s="106">
        <v>0</v>
      </c>
      <c r="G27" s="106">
        <v>1</v>
      </c>
      <c r="H27" s="106">
        <v>1</v>
      </c>
      <c r="I27" s="106">
        <v>0</v>
      </c>
      <c r="J27" s="106">
        <v>1</v>
      </c>
      <c r="K27" s="106">
        <v>1</v>
      </c>
      <c r="L27" s="106">
        <v>1</v>
      </c>
      <c r="M27" s="106">
        <v>1</v>
      </c>
      <c r="N27" s="106">
        <v>1</v>
      </c>
      <c r="O27" s="106">
        <v>1</v>
      </c>
      <c r="P27" s="106">
        <v>1</v>
      </c>
      <c r="Q27" s="106">
        <v>1</v>
      </c>
      <c r="R27" s="106">
        <v>1</v>
      </c>
      <c r="S27" s="106">
        <v>1</v>
      </c>
      <c r="T27" s="106">
        <v>0</v>
      </c>
      <c r="U27" s="106">
        <v>0</v>
      </c>
      <c r="V27" s="106">
        <v>0</v>
      </c>
      <c r="W27" s="106">
        <v>1</v>
      </c>
      <c r="X27" s="106">
        <v>1</v>
      </c>
      <c r="Y27" s="106">
        <v>1</v>
      </c>
      <c r="Z27" s="106">
        <v>1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</row>
    <row r="28" spans="1:33" customFormat="1" x14ac:dyDescent="0.15">
      <c r="A28" s="186" t="s">
        <v>217</v>
      </c>
      <c r="B28" s="106">
        <v>0</v>
      </c>
      <c r="C28" s="106">
        <v>0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1</v>
      </c>
      <c r="O28" s="106">
        <v>1</v>
      </c>
      <c r="P28" s="106">
        <v>1</v>
      </c>
      <c r="Q28" s="106">
        <v>1</v>
      </c>
      <c r="R28" s="106">
        <v>0</v>
      </c>
      <c r="S28" s="106">
        <v>1</v>
      </c>
      <c r="T28" s="106">
        <v>0</v>
      </c>
      <c r="U28" s="106">
        <v>0</v>
      </c>
      <c r="V28" s="106">
        <v>0</v>
      </c>
      <c r="W28" s="106">
        <v>0</v>
      </c>
      <c r="X28" s="106">
        <v>1</v>
      </c>
      <c r="Y28" s="106">
        <v>1</v>
      </c>
      <c r="Z28" s="106">
        <v>1</v>
      </c>
      <c r="AA28" s="106">
        <v>1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</row>
    <row r="29" spans="1:33" customFormat="1" x14ac:dyDescent="0.15">
      <c r="A29" s="186" t="s">
        <v>218</v>
      </c>
      <c r="B29" s="106">
        <v>1</v>
      </c>
      <c r="C29" s="106">
        <v>0</v>
      </c>
      <c r="D29" s="106">
        <v>1</v>
      </c>
      <c r="E29" s="106">
        <v>1</v>
      </c>
      <c r="F29" s="106">
        <v>1</v>
      </c>
      <c r="G29" s="106">
        <v>1</v>
      </c>
      <c r="H29" s="106">
        <v>1</v>
      </c>
      <c r="I29" s="106">
        <v>0</v>
      </c>
      <c r="J29" s="106">
        <v>1</v>
      </c>
      <c r="K29" s="106">
        <v>1</v>
      </c>
      <c r="L29" s="106">
        <v>1</v>
      </c>
      <c r="M29" s="106">
        <v>1</v>
      </c>
      <c r="N29" s="106">
        <v>1</v>
      </c>
      <c r="O29" s="106">
        <v>1</v>
      </c>
      <c r="P29" s="106">
        <v>1</v>
      </c>
      <c r="Q29" s="106">
        <v>1</v>
      </c>
      <c r="R29" s="106">
        <v>1</v>
      </c>
      <c r="S29" s="106">
        <v>1</v>
      </c>
      <c r="T29" s="106">
        <v>0</v>
      </c>
      <c r="U29" s="106">
        <v>1</v>
      </c>
      <c r="V29" s="106">
        <v>0</v>
      </c>
      <c r="W29" s="106">
        <v>0</v>
      </c>
      <c r="X29" s="106">
        <v>1</v>
      </c>
      <c r="Y29" s="106">
        <v>1</v>
      </c>
      <c r="Z29" s="106">
        <v>1</v>
      </c>
      <c r="AA29" s="106">
        <v>1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</row>
    <row r="30" spans="1:33" customFormat="1" x14ac:dyDescent="0.15">
      <c r="A30" s="186" t="s">
        <v>219</v>
      </c>
      <c r="B30" s="106">
        <v>0</v>
      </c>
      <c r="C30" s="106">
        <v>0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1</v>
      </c>
      <c r="Y30" s="106">
        <v>1</v>
      </c>
      <c r="Z30" s="106">
        <v>1</v>
      </c>
      <c r="AA30" s="106">
        <v>1</v>
      </c>
      <c r="AB30" s="106">
        <v>0</v>
      </c>
      <c r="AC30" s="106">
        <v>1</v>
      </c>
      <c r="AD30" s="106">
        <v>0</v>
      </c>
      <c r="AE30" s="106">
        <v>0</v>
      </c>
      <c r="AF30" s="106">
        <v>0</v>
      </c>
      <c r="AG30" s="106">
        <v>0</v>
      </c>
    </row>
    <row r="31" spans="1:33" customFormat="1" x14ac:dyDescent="0.15">
      <c r="A31" s="186" t="s">
        <v>220</v>
      </c>
      <c r="B31" s="106">
        <v>0</v>
      </c>
      <c r="C31" s="106">
        <v>0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1</v>
      </c>
      <c r="M31" s="106">
        <v>1</v>
      </c>
      <c r="N31" s="106">
        <v>0</v>
      </c>
      <c r="O31" s="106">
        <v>0</v>
      </c>
      <c r="P31" s="106">
        <v>1</v>
      </c>
      <c r="Q31" s="106">
        <v>0</v>
      </c>
      <c r="R31" s="106">
        <v>0</v>
      </c>
      <c r="S31" s="106">
        <v>1</v>
      </c>
      <c r="T31" s="106">
        <v>1</v>
      </c>
      <c r="U31" s="106">
        <v>0</v>
      </c>
      <c r="V31" s="106">
        <v>1</v>
      </c>
      <c r="W31" s="106">
        <v>1</v>
      </c>
      <c r="X31" s="106">
        <v>1</v>
      </c>
      <c r="Y31" s="106">
        <v>1</v>
      </c>
      <c r="Z31" s="106">
        <v>1</v>
      </c>
      <c r="AA31" s="106">
        <v>1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</row>
    <row r="32" spans="1:33" x14ac:dyDescent="0.15">
      <c r="A32" s="186" t="s">
        <v>221</v>
      </c>
      <c r="B32" s="106">
        <v>0</v>
      </c>
      <c r="C32" s="106">
        <v>0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1</v>
      </c>
      <c r="M32" s="106">
        <v>0</v>
      </c>
      <c r="N32" s="106">
        <v>1</v>
      </c>
      <c r="O32" s="106">
        <v>1</v>
      </c>
      <c r="P32" s="106">
        <v>0</v>
      </c>
      <c r="Q32" s="106">
        <v>1</v>
      </c>
      <c r="R32" s="106">
        <v>1</v>
      </c>
      <c r="S32" s="106">
        <v>0</v>
      </c>
      <c r="T32" s="106">
        <v>0</v>
      </c>
      <c r="U32" s="106">
        <v>0</v>
      </c>
      <c r="V32" s="106">
        <v>1</v>
      </c>
      <c r="W32" s="106">
        <v>0</v>
      </c>
      <c r="X32" s="106">
        <v>1</v>
      </c>
      <c r="Y32" s="106">
        <v>1</v>
      </c>
      <c r="Z32" s="106">
        <v>1</v>
      </c>
      <c r="AA32" s="106">
        <v>1</v>
      </c>
      <c r="AB32" s="106">
        <v>1</v>
      </c>
      <c r="AC32" s="106">
        <v>1</v>
      </c>
      <c r="AD32" s="106">
        <v>0</v>
      </c>
      <c r="AE32" s="106">
        <v>0</v>
      </c>
      <c r="AF32" s="106">
        <v>0</v>
      </c>
      <c r="AG32" s="106">
        <v>0</v>
      </c>
    </row>
    <row r="33" spans="1:33" x14ac:dyDescent="0.15">
      <c r="A33" s="186" t="s">
        <v>222</v>
      </c>
      <c r="B33" s="106">
        <v>0</v>
      </c>
      <c r="C33" s="106">
        <v>0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</row>
    <row r="34" spans="1:33" x14ac:dyDescent="0.15">
      <c r="A34" s="186" t="s">
        <v>226</v>
      </c>
      <c r="B34" s="106">
        <v>1</v>
      </c>
      <c r="C34" s="106">
        <v>1</v>
      </c>
      <c r="D34" s="106">
        <v>1</v>
      </c>
      <c r="E34" s="106">
        <v>1</v>
      </c>
      <c r="F34" s="106">
        <v>1</v>
      </c>
      <c r="G34" s="106">
        <v>1</v>
      </c>
      <c r="H34" s="106">
        <v>1</v>
      </c>
      <c r="I34" s="106">
        <v>0</v>
      </c>
      <c r="J34" s="106">
        <v>1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1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E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33203125" bestFit="1" customWidth="1"/>
    <col min="3" max="4" width="3.83203125" bestFit="1" customWidth="1"/>
    <col min="5" max="5" width="3.83203125" customWidth="1"/>
  </cols>
  <sheetData>
    <row r="1" spans="1:5" ht="112" x14ac:dyDescent="0.15">
      <c r="A1" s="5" t="s">
        <v>83</v>
      </c>
      <c r="B1" s="3" t="s">
        <v>0</v>
      </c>
      <c r="C1" s="189" t="s">
        <v>223</v>
      </c>
      <c r="D1" s="189" t="s">
        <v>224</v>
      </c>
      <c r="E1" s="189" t="s">
        <v>225</v>
      </c>
    </row>
    <row r="2" spans="1:5" x14ac:dyDescent="0.15">
      <c r="A2">
        <v>1</v>
      </c>
      <c r="B2" s="188" t="s">
        <v>191</v>
      </c>
      <c r="C2">
        <v>0.8</v>
      </c>
      <c r="D2">
        <v>0</v>
      </c>
      <c r="E2">
        <v>0</v>
      </c>
    </row>
    <row r="3" spans="1:5" x14ac:dyDescent="0.15">
      <c r="A3">
        <v>2</v>
      </c>
      <c r="B3" s="188" t="s">
        <v>192</v>
      </c>
      <c r="C3">
        <v>0</v>
      </c>
      <c r="D3">
        <v>0</v>
      </c>
      <c r="E3">
        <v>0.8</v>
      </c>
    </row>
    <row r="4" spans="1:5" x14ac:dyDescent="0.15">
      <c r="A4">
        <v>3</v>
      </c>
      <c r="B4" s="188" t="s">
        <v>193</v>
      </c>
      <c r="C4">
        <v>0.8</v>
      </c>
      <c r="D4">
        <v>0</v>
      </c>
      <c r="E4">
        <v>0.8</v>
      </c>
    </row>
    <row r="5" spans="1:5" x14ac:dyDescent="0.15">
      <c r="A5">
        <v>4</v>
      </c>
      <c r="B5" s="188" t="s">
        <v>194</v>
      </c>
      <c r="C5">
        <v>0.8</v>
      </c>
      <c r="D5">
        <v>0.8</v>
      </c>
      <c r="E5">
        <v>0.8</v>
      </c>
    </row>
    <row r="6" spans="1:5" x14ac:dyDescent="0.15">
      <c r="A6">
        <v>5</v>
      </c>
      <c r="B6" s="188" t="s">
        <v>195</v>
      </c>
      <c r="C6">
        <v>0.8</v>
      </c>
      <c r="D6">
        <v>0</v>
      </c>
      <c r="E6">
        <v>0.8</v>
      </c>
    </row>
    <row r="7" spans="1:5" x14ac:dyDescent="0.15">
      <c r="A7">
        <v>6</v>
      </c>
      <c r="B7" s="188" t="s">
        <v>196</v>
      </c>
      <c r="C7">
        <v>0.8</v>
      </c>
      <c r="D7">
        <v>0.8</v>
      </c>
      <c r="E7">
        <v>0.8</v>
      </c>
    </row>
    <row r="8" spans="1:5" x14ac:dyDescent="0.15">
      <c r="A8">
        <v>7</v>
      </c>
      <c r="B8" s="188" t="s">
        <v>197</v>
      </c>
      <c r="C8">
        <v>0.8</v>
      </c>
      <c r="D8">
        <v>0.8</v>
      </c>
      <c r="E8">
        <v>0.8</v>
      </c>
    </row>
    <row r="9" spans="1:5" x14ac:dyDescent="0.15">
      <c r="A9">
        <v>8</v>
      </c>
      <c r="B9" s="188" t="s">
        <v>198</v>
      </c>
      <c r="C9">
        <v>0.8</v>
      </c>
      <c r="D9">
        <v>0</v>
      </c>
      <c r="E9">
        <v>0.8</v>
      </c>
    </row>
    <row r="10" spans="1:5" x14ac:dyDescent="0.15">
      <c r="A10">
        <v>9</v>
      </c>
      <c r="B10" s="188" t="s">
        <v>199</v>
      </c>
      <c r="C10">
        <v>0</v>
      </c>
      <c r="D10">
        <v>0</v>
      </c>
      <c r="E10">
        <v>0.8</v>
      </c>
    </row>
    <row r="11" spans="1:5" x14ac:dyDescent="0.15">
      <c r="A11">
        <v>10</v>
      </c>
      <c r="B11" s="188" t="s">
        <v>200</v>
      </c>
      <c r="C11">
        <v>0.8</v>
      </c>
      <c r="D11">
        <v>0</v>
      </c>
      <c r="E11">
        <v>0.8</v>
      </c>
    </row>
    <row r="12" spans="1:5" x14ac:dyDescent="0.15">
      <c r="A12">
        <v>11</v>
      </c>
      <c r="B12" s="188" t="s">
        <v>201</v>
      </c>
      <c r="C12">
        <v>0.8</v>
      </c>
      <c r="D12">
        <v>0</v>
      </c>
      <c r="E12">
        <v>0.8</v>
      </c>
    </row>
    <row r="13" spans="1:5" x14ac:dyDescent="0.15">
      <c r="A13">
        <v>12</v>
      </c>
      <c r="B13" s="188" t="s">
        <v>202</v>
      </c>
      <c r="C13">
        <v>0.8</v>
      </c>
      <c r="D13">
        <v>0</v>
      </c>
      <c r="E13">
        <v>0.8</v>
      </c>
    </row>
    <row r="14" spans="1:5" x14ac:dyDescent="0.15">
      <c r="A14">
        <v>13</v>
      </c>
      <c r="B14" s="188" t="s">
        <v>203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88" t="s">
        <v>204</v>
      </c>
      <c r="C15">
        <v>0.8</v>
      </c>
      <c r="D15">
        <v>0</v>
      </c>
      <c r="E15">
        <v>0.8</v>
      </c>
    </row>
    <row r="16" spans="1:5" x14ac:dyDescent="0.15">
      <c r="A16">
        <v>15</v>
      </c>
      <c r="B16" s="188" t="s">
        <v>205</v>
      </c>
      <c r="C16">
        <v>0.8</v>
      </c>
      <c r="D16">
        <v>0.8</v>
      </c>
      <c r="E16">
        <v>0.8</v>
      </c>
    </row>
    <row r="17" spans="1:5" x14ac:dyDescent="0.15">
      <c r="A17">
        <v>16</v>
      </c>
      <c r="B17" s="188" t="s">
        <v>206</v>
      </c>
      <c r="C17">
        <v>0.8</v>
      </c>
      <c r="D17">
        <v>0</v>
      </c>
      <c r="E17">
        <v>0</v>
      </c>
    </row>
    <row r="18" spans="1:5" x14ac:dyDescent="0.15">
      <c r="A18">
        <v>17</v>
      </c>
      <c r="B18" s="188" t="s">
        <v>207</v>
      </c>
      <c r="C18">
        <v>0.8</v>
      </c>
      <c r="D18">
        <v>0.8</v>
      </c>
      <c r="E18">
        <v>0.8</v>
      </c>
    </row>
    <row r="19" spans="1:5" x14ac:dyDescent="0.15">
      <c r="A19">
        <v>18</v>
      </c>
      <c r="B19" s="188" t="s">
        <v>208</v>
      </c>
      <c r="C19">
        <v>0.8</v>
      </c>
      <c r="D19">
        <v>0</v>
      </c>
      <c r="E19">
        <v>0.8</v>
      </c>
    </row>
    <row r="20" spans="1:5" x14ac:dyDescent="0.15">
      <c r="A20">
        <v>19</v>
      </c>
      <c r="B20" s="188" t="s">
        <v>209</v>
      </c>
      <c r="C20">
        <v>0.8</v>
      </c>
      <c r="D20">
        <v>0.8</v>
      </c>
      <c r="E20">
        <v>0.8</v>
      </c>
    </row>
    <row r="21" spans="1:5" x14ac:dyDescent="0.15">
      <c r="A21">
        <v>20</v>
      </c>
      <c r="B21" s="188" t="s">
        <v>210</v>
      </c>
      <c r="C21">
        <v>0.8</v>
      </c>
      <c r="D21">
        <v>0</v>
      </c>
      <c r="E21">
        <v>0.8</v>
      </c>
    </row>
    <row r="22" spans="1:5" x14ac:dyDescent="0.15">
      <c r="A22">
        <v>21</v>
      </c>
      <c r="B22" s="188" t="s">
        <v>211</v>
      </c>
      <c r="C22">
        <v>0.8</v>
      </c>
      <c r="D22">
        <v>0</v>
      </c>
      <c r="E22">
        <v>0.8</v>
      </c>
    </row>
    <row r="23" spans="1:5" x14ac:dyDescent="0.15">
      <c r="A23">
        <v>22</v>
      </c>
      <c r="B23" s="188" t="s">
        <v>212</v>
      </c>
      <c r="C23">
        <v>0.8</v>
      </c>
      <c r="D23">
        <v>0</v>
      </c>
      <c r="E23">
        <v>0.8</v>
      </c>
    </row>
    <row r="24" spans="1:5" x14ac:dyDescent="0.15">
      <c r="A24">
        <v>23</v>
      </c>
      <c r="B24" s="188" t="s">
        <v>213</v>
      </c>
      <c r="C24">
        <v>0.8</v>
      </c>
      <c r="D24">
        <v>0</v>
      </c>
      <c r="E24">
        <v>0.8</v>
      </c>
    </row>
    <row r="25" spans="1:5" x14ac:dyDescent="0.15">
      <c r="A25">
        <v>24</v>
      </c>
      <c r="B25" s="188" t="s">
        <v>214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88" t="s">
        <v>215</v>
      </c>
      <c r="C26">
        <v>0</v>
      </c>
      <c r="D26">
        <v>0.8</v>
      </c>
      <c r="E26">
        <v>0</v>
      </c>
    </row>
    <row r="27" spans="1:5" x14ac:dyDescent="0.15">
      <c r="A27">
        <v>26</v>
      </c>
      <c r="B27" s="188" t="s">
        <v>216</v>
      </c>
      <c r="C27">
        <v>0.8</v>
      </c>
      <c r="D27">
        <v>0</v>
      </c>
      <c r="E27">
        <v>0</v>
      </c>
    </row>
    <row r="28" spans="1:5" x14ac:dyDescent="0.15">
      <c r="A28">
        <v>27</v>
      </c>
      <c r="B28" s="188" t="s">
        <v>217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88" t="s">
        <v>218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88" t="s">
        <v>219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88" t="s">
        <v>220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88" t="s">
        <v>221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88" t="s">
        <v>222</v>
      </c>
      <c r="C33">
        <v>0</v>
      </c>
      <c r="D33">
        <v>0</v>
      </c>
      <c r="E3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E3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33203125" bestFit="1" customWidth="1"/>
    <col min="3" max="4" width="3.83203125" bestFit="1" customWidth="1"/>
    <col min="5" max="5" width="3.83203125" customWidth="1"/>
  </cols>
  <sheetData>
    <row r="1" spans="1:5" ht="112" x14ac:dyDescent="0.15">
      <c r="A1" s="5" t="s">
        <v>82</v>
      </c>
      <c r="B1" s="3" t="s">
        <v>0</v>
      </c>
      <c r="C1" s="191" t="s">
        <v>223</v>
      </c>
      <c r="D1" s="191" t="s">
        <v>224</v>
      </c>
      <c r="E1" s="191" t="s">
        <v>225</v>
      </c>
    </row>
    <row r="2" spans="1:5" x14ac:dyDescent="0.15">
      <c r="A2">
        <v>1</v>
      </c>
      <c r="B2" s="190" t="s">
        <v>191</v>
      </c>
      <c r="C2">
        <v>0.8</v>
      </c>
      <c r="D2">
        <v>0</v>
      </c>
      <c r="E2">
        <v>0</v>
      </c>
    </row>
    <row r="3" spans="1:5" x14ac:dyDescent="0.15">
      <c r="A3">
        <v>2</v>
      </c>
      <c r="B3" s="190" t="s">
        <v>192</v>
      </c>
      <c r="C3">
        <v>0</v>
      </c>
      <c r="D3">
        <v>0</v>
      </c>
      <c r="E3">
        <v>0.8</v>
      </c>
    </row>
    <row r="4" spans="1:5" x14ac:dyDescent="0.15">
      <c r="A4">
        <v>3</v>
      </c>
      <c r="B4" s="190" t="s">
        <v>193</v>
      </c>
      <c r="C4">
        <v>0.8</v>
      </c>
      <c r="D4">
        <v>0</v>
      </c>
      <c r="E4">
        <v>0.8</v>
      </c>
    </row>
    <row r="5" spans="1:5" x14ac:dyDescent="0.15">
      <c r="A5">
        <v>4</v>
      </c>
      <c r="B5" s="190" t="s">
        <v>194</v>
      </c>
      <c r="C5">
        <v>0.8</v>
      </c>
      <c r="D5">
        <v>0.8</v>
      </c>
      <c r="E5">
        <v>0.8</v>
      </c>
    </row>
    <row r="6" spans="1:5" x14ac:dyDescent="0.15">
      <c r="A6">
        <v>5</v>
      </c>
      <c r="B6" s="190" t="s">
        <v>195</v>
      </c>
      <c r="C6">
        <v>0.8</v>
      </c>
      <c r="D6">
        <v>0</v>
      </c>
      <c r="E6">
        <v>0.8</v>
      </c>
    </row>
    <row r="7" spans="1:5" x14ac:dyDescent="0.15">
      <c r="A7">
        <v>6</v>
      </c>
      <c r="B7" s="190" t="s">
        <v>196</v>
      </c>
      <c r="C7">
        <v>0.8</v>
      </c>
      <c r="D7">
        <v>0.8</v>
      </c>
      <c r="E7">
        <v>0.8</v>
      </c>
    </row>
    <row r="8" spans="1:5" x14ac:dyDescent="0.15">
      <c r="A8">
        <v>7</v>
      </c>
      <c r="B8" s="190" t="s">
        <v>197</v>
      </c>
      <c r="C8">
        <v>0.8</v>
      </c>
      <c r="D8">
        <v>0.8</v>
      </c>
      <c r="E8">
        <v>0.8</v>
      </c>
    </row>
    <row r="9" spans="1:5" x14ac:dyDescent="0.15">
      <c r="A9">
        <v>8</v>
      </c>
      <c r="B9" s="190" t="s">
        <v>198</v>
      </c>
      <c r="C9">
        <v>0.8</v>
      </c>
      <c r="D9">
        <v>0</v>
      </c>
      <c r="E9">
        <v>0.8</v>
      </c>
    </row>
    <row r="10" spans="1:5" x14ac:dyDescent="0.15">
      <c r="A10">
        <v>9</v>
      </c>
      <c r="B10" s="190" t="s">
        <v>199</v>
      </c>
      <c r="C10">
        <v>0</v>
      </c>
      <c r="D10">
        <v>0</v>
      </c>
      <c r="E10">
        <v>0.8</v>
      </c>
    </row>
    <row r="11" spans="1:5" x14ac:dyDescent="0.15">
      <c r="A11">
        <v>10</v>
      </c>
      <c r="B11" s="190" t="s">
        <v>200</v>
      </c>
      <c r="C11">
        <v>0.8</v>
      </c>
      <c r="D11">
        <v>0</v>
      </c>
      <c r="E11">
        <v>0.8</v>
      </c>
    </row>
    <row r="12" spans="1:5" x14ac:dyDescent="0.15">
      <c r="A12">
        <v>11</v>
      </c>
      <c r="B12" s="190" t="s">
        <v>201</v>
      </c>
      <c r="C12">
        <v>0.8</v>
      </c>
      <c r="D12">
        <v>0</v>
      </c>
      <c r="E12">
        <v>0.8</v>
      </c>
    </row>
    <row r="13" spans="1:5" x14ac:dyDescent="0.15">
      <c r="A13">
        <v>12</v>
      </c>
      <c r="B13" s="190" t="s">
        <v>202</v>
      </c>
      <c r="C13">
        <v>0.8</v>
      </c>
      <c r="D13">
        <v>0</v>
      </c>
      <c r="E13">
        <v>0.8</v>
      </c>
    </row>
    <row r="14" spans="1:5" x14ac:dyDescent="0.15">
      <c r="A14">
        <v>13</v>
      </c>
      <c r="B14" s="190" t="s">
        <v>203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90" t="s">
        <v>204</v>
      </c>
      <c r="C15">
        <v>0.8</v>
      </c>
      <c r="D15">
        <v>0</v>
      </c>
      <c r="E15">
        <v>0.8</v>
      </c>
    </row>
    <row r="16" spans="1:5" x14ac:dyDescent="0.15">
      <c r="A16">
        <v>15</v>
      </c>
      <c r="B16" s="190" t="s">
        <v>205</v>
      </c>
      <c r="C16">
        <v>0.8</v>
      </c>
      <c r="D16">
        <v>0.8</v>
      </c>
      <c r="E16">
        <v>0.8</v>
      </c>
    </row>
    <row r="17" spans="1:5" x14ac:dyDescent="0.15">
      <c r="A17">
        <v>16</v>
      </c>
      <c r="B17" s="190" t="s">
        <v>206</v>
      </c>
      <c r="C17">
        <v>0.8</v>
      </c>
      <c r="D17">
        <v>0</v>
      </c>
      <c r="E17">
        <v>0</v>
      </c>
    </row>
    <row r="18" spans="1:5" x14ac:dyDescent="0.15">
      <c r="A18">
        <v>17</v>
      </c>
      <c r="B18" s="190" t="s">
        <v>207</v>
      </c>
      <c r="C18">
        <v>0.8</v>
      </c>
      <c r="D18">
        <v>0.8</v>
      </c>
      <c r="E18">
        <v>0.8</v>
      </c>
    </row>
    <row r="19" spans="1:5" x14ac:dyDescent="0.15">
      <c r="A19">
        <v>18</v>
      </c>
      <c r="B19" s="190" t="s">
        <v>208</v>
      </c>
      <c r="C19">
        <v>0.8</v>
      </c>
      <c r="D19">
        <v>0</v>
      </c>
      <c r="E19">
        <v>0.8</v>
      </c>
    </row>
    <row r="20" spans="1:5" x14ac:dyDescent="0.15">
      <c r="A20">
        <v>19</v>
      </c>
      <c r="B20" s="190" t="s">
        <v>209</v>
      </c>
      <c r="C20">
        <v>0.8</v>
      </c>
      <c r="D20">
        <v>0.8</v>
      </c>
      <c r="E20">
        <v>0.8</v>
      </c>
    </row>
    <row r="21" spans="1:5" x14ac:dyDescent="0.15">
      <c r="A21">
        <v>20</v>
      </c>
      <c r="B21" s="190" t="s">
        <v>210</v>
      </c>
      <c r="C21">
        <v>0.8</v>
      </c>
      <c r="D21">
        <v>0</v>
      </c>
      <c r="E21">
        <v>0.8</v>
      </c>
    </row>
    <row r="22" spans="1:5" x14ac:dyDescent="0.15">
      <c r="A22">
        <v>21</v>
      </c>
      <c r="B22" s="190" t="s">
        <v>211</v>
      </c>
      <c r="C22">
        <v>0.8</v>
      </c>
      <c r="D22">
        <v>0</v>
      </c>
      <c r="E22">
        <v>0.8</v>
      </c>
    </row>
    <row r="23" spans="1:5" x14ac:dyDescent="0.15">
      <c r="A23">
        <v>22</v>
      </c>
      <c r="B23" s="190" t="s">
        <v>212</v>
      </c>
      <c r="C23">
        <v>0.8</v>
      </c>
      <c r="D23">
        <v>0</v>
      </c>
      <c r="E23">
        <v>0.8</v>
      </c>
    </row>
    <row r="24" spans="1:5" x14ac:dyDescent="0.15">
      <c r="A24">
        <v>23</v>
      </c>
      <c r="B24" s="190" t="s">
        <v>213</v>
      </c>
      <c r="C24">
        <v>0.8</v>
      </c>
      <c r="D24">
        <v>0</v>
      </c>
      <c r="E24">
        <v>0.8</v>
      </c>
    </row>
    <row r="25" spans="1:5" x14ac:dyDescent="0.15">
      <c r="A25">
        <v>24</v>
      </c>
      <c r="B25" s="190" t="s">
        <v>214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90" t="s">
        <v>215</v>
      </c>
      <c r="C26">
        <v>0</v>
      </c>
      <c r="D26">
        <v>0.8</v>
      </c>
      <c r="E26">
        <v>0</v>
      </c>
    </row>
    <row r="27" spans="1:5" x14ac:dyDescent="0.15">
      <c r="A27">
        <v>26</v>
      </c>
      <c r="B27" s="190" t="s">
        <v>216</v>
      </c>
      <c r="C27">
        <v>0.8</v>
      </c>
      <c r="D27">
        <v>0</v>
      </c>
      <c r="E27">
        <v>0</v>
      </c>
    </row>
    <row r="28" spans="1:5" x14ac:dyDescent="0.15">
      <c r="A28">
        <v>27</v>
      </c>
      <c r="B28" s="190" t="s">
        <v>217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90" t="s">
        <v>218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90" t="s">
        <v>219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90" t="s">
        <v>220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90" t="s">
        <v>221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90" t="s">
        <v>222</v>
      </c>
      <c r="C33">
        <v>0</v>
      </c>
      <c r="D33">
        <v>0</v>
      </c>
      <c r="E3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79"/>
    <col min="2" max="2" width="41.83203125" style="79" bestFit="1" customWidth="1"/>
    <col min="3" max="3" width="9.33203125" style="79" bestFit="1" customWidth="1"/>
    <col min="4" max="4" width="13" style="79" bestFit="1" customWidth="1"/>
    <col min="5" max="6" width="9.33203125" style="79" bestFit="1" customWidth="1"/>
    <col min="7" max="7" width="9.33203125" style="95" bestFit="1" customWidth="1"/>
    <col min="8" max="8" width="9.33203125" style="79" bestFit="1" customWidth="1"/>
    <col min="9" max="9" width="11" style="79" customWidth="1"/>
    <col min="10" max="10" width="8.83203125" style="79"/>
    <col min="15" max="16384" width="8.83203125" style="79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3">
        <v>1</v>
      </c>
      <c r="B2" s="143" t="s">
        <v>191</v>
      </c>
      <c r="C2" s="8">
        <v>3.7793221473693848</v>
      </c>
      <c r="D2" s="9">
        <v>2.0488932728767395E-2</v>
      </c>
      <c r="E2" s="9">
        <v>0.25</v>
      </c>
      <c r="F2" s="9">
        <v>109.5</v>
      </c>
      <c r="G2" s="9">
        <v>0.49999994039535522</v>
      </c>
      <c r="H2" s="9">
        <v>2.2831049282103777E-3</v>
      </c>
      <c r="I2">
        <v>1.0000000474974513E-3</v>
      </c>
      <c r="J2"/>
    </row>
    <row r="3" spans="1:10" ht="15" customHeight="1" x14ac:dyDescent="0.15">
      <c r="A3" s="144">
        <v>2</v>
      </c>
      <c r="B3" s="144" t="s">
        <v>192</v>
      </c>
      <c r="C3" s="8">
        <v>4.3028535842895508</v>
      </c>
      <c r="D3" s="9">
        <v>3.4410309046506882E-2</v>
      </c>
      <c r="E3" s="9">
        <v>0.10000000149011612</v>
      </c>
      <c r="F3" s="9">
        <v>11.789999961853027</v>
      </c>
      <c r="G3" s="9">
        <v>0.49999994039535522</v>
      </c>
      <c r="H3" s="9">
        <v>8.4817642346024513E-3</v>
      </c>
      <c r="I3">
        <v>1.0000000474974513E-3</v>
      </c>
      <c r="J3"/>
    </row>
    <row r="4" spans="1:10" ht="15" customHeight="1" x14ac:dyDescent="0.15">
      <c r="A4" s="145">
        <v>3</v>
      </c>
      <c r="B4" s="145" t="s">
        <v>193</v>
      </c>
      <c r="C4" s="8">
        <v>4.1994457244873047</v>
      </c>
      <c r="D4" s="9">
        <v>8.3387017250061035E-2</v>
      </c>
      <c r="E4" s="9">
        <v>0.30000001192092896</v>
      </c>
      <c r="F4" s="9">
        <v>6.4000000953674316</v>
      </c>
      <c r="G4" s="9">
        <v>0.80000001192092896</v>
      </c>
      <c r="H4" s="9">
        <v>4.6875E-2</v>
      </c>
      <c r="I4">
        <v>2.0000000949949026E-3</v>
      </c>
      <c r="J4"/>
    </row>
    <row r="5" spans="1:10" ht="15" customHeight="1" x14ac:dyDescent="0.15">
      <c r="A5" s="146">
        <v>4</v>
      </c>
      <c r="B5" s="146" t="s">
        <v>194</v>
      </c>
      <c r="C5" s="8">
        <v>3.6423063278198242</v>
      </c>
      <c r="D5" s="9">
        <v>2.2249999046325684</v>
      </c>
      <c r="E5" s="9">
        <v>0.89999997615814209</v>
      </c>
      <c r="F5" s="9">
        <v>11.569000244140625</v>
      </c>
      <c r="G5" s="9">
        <v>0.8203895092010498</v>
      </c>
      <c r="H5" s="9">
        <v>7.7794104814529419E-2</v>
      </c>
      <c r="I5">
        <v>0.8320000171661377</v>
      </c>
      <c r="J5"/>
    </row>
    <row r="6" spans="1:10" ht="15" customHeight="1" x14ac:dyDescent="0.15">
      <c r="A6" s="147">
        <v>5</v>
      </c>
      <c r="B6" s="147" t="s">
        <v>195</v>
      </c>
      <c r="C6" s="8">
        <v>3.9823291301727295</v>
      </c>
      <c r="D6" s="9">
        <v>0.33472266793251038</v>
      </c>
      <c r="E6" s="9">
        <v>0.99709999561309814</v>
      </c>
      <c r="F6" s="9">
        <v>9.9709997177124023</v>
      </c>
      <c r="G6" s="9">
        <v>0.79999995231628418</v>
      </c>
      <c r="H6" s="9">
        <v>0.10000000149011612</v>
      </c>
      <c r="I6">
        <v>0.19699999690055847</v>
      </c>
      <c r="J6"/>
    </row>
    <row r="7" spans="1:10" ht="15" customHeight="1" x14ac:dyDescent="0.15">
      <c r="A7" s="148">
        <v>6</v>
      </c>
      <c r="B7" s="148" t="s">
        <v>196</v>
      </c>
      <c r="C7" s="8">
        <v>3.3407344818115234</v>
      </c>
      <c r="D7" s="9">
        <v>0.7115018367767334</v>
      </c>
      <c r="E7" s="9">
        <v>0.98719996213912964</v>
      </c>
      <c r="F7" s="9">
        <v>9.8719997406005859</v>
      </c>
      <c r="G7" s="9">
        <v>0.89999985694885254</v>
      </c>
      <c r="H7" s="9">
        <v>0.10000000149011612</v>
      </c>
      <c r="I7">
        <v>1.7000000923871994E-2</v>
      </c>
      <c r="J7"/>
    </row>
    <row r="8" spans="1:10" ht="15" customHeight="1" x14ac:dyDescent="0.15">
      <c r="A8" s="149">
        <v>7</v>
      </c>
      <c r="B8" s="149" t="s">
        <v>197</v>
      </c>
      <c r="C8" s="8">
        <v>3.2957007884979248</v>
      </c>
      <c r="D8" s="9">
        <v>0.65874642133712769</v>
      </c>
      <c r="E8" s="9">
        <v>0.65500003099441528</v>
      </c>
      <c r="F8" s="9">
        <v>6.5500001907348633</v>
      </c>
      <c r="G8" s="9">
        <v>0.90000003576278687</v>
      </c>
      <c r="H8" s="9">
        <v>0.10000000149011612</v>
      </c>
      <c r="I8">
        <v>3.4000001847743988E-2</v>
      </c>
      <c r="J8"/>
    </row>
    <row r="9" spans="1:10" ht="15" customHeight="1" x14ac:dyDescent="0.15">
      <c r="A9" s="150">
        <v>8</v>
      </c>
      <c r="B9" s="150" t="s">
        <v>198</v>
      </c>
      <c r="C9" s="8">
        <v>3.9605517387390137</v>
      </c>
      <c r="D9" s="9">
        <v>0.15998998284339905</v>
      </c>
      <c r="E9" s="9">
        <v>0.2800000011920929</v>
      </c>
      <c r="F9" s="9">
        <v>2.7999999523162842</v>
      </c>
      <c r="G9" s="9">
        <v>0.89999997615814209</v>
      </c>
      <c r="H9" s="9">
        <v>0.10000000149011612</v>
      </c>
      <c r="I9">
        <v>1.0999999940395355E-2</v>
      </c>
      <c r="J9"/>
    </row>
    <row r="10" spans="1:10" ht="15" customHeight="1" x14ac:dyDescent="0.15">
      <c r="A10" s="151">
        <v>9</v>
      </c>
      <c r="B10" s="151" t="s">
        <v>199</v>
      </c>
      <c r="C10" s="8">
        <v>4.5949621200561523</v>
      </c>
      <c r="D10" s="9">
        <v>4.5009560883045197E-2</v>
      </c>
      <c r="E10" s="9">
        <v>0.10000000149011612</v>
      </c>
      <c r="F10" s="9">
        <v>2.6679999828338623</v>
      </c>
      <c r="G10" s="9">
        <v>0.5</v>
      </c>
      <c r="H10" s="9">
        <v>3.7481259554624557E-2</v>
      </c>
      <c r="I10">
        <v>1.0000000474974513E-3</v>
      </c>
      <c r="J10"/>
    </row>
    <row r="11" spans="1:10" ht="15" customHeight="1" x14ac:dyDescent="0.15">
      <c r="A11" s="152">
        <v>10</v>
      </c>
      <c r="B11" s="152" t="s">
        <v>200</v>
      </c>
      <c r="C11" s="8">
        <v>3.8266403675079346</v>
      </c>
      <c r="D11" s="9">
        <v>0.25490486621856689</v>
      </c>
      <c r="E11" s="9">
        <v>0.38440001010894775</v>
      </c>
      <c r="F11" s="9">
        <v>3.8440001010894775</v>
      </c>
      <c r="G11" s="9">
        <v>0.89999991655349731</v>
      </c>
      <c r="H11" s="9">
        <v>0.10000000149011612</v>
      </c>
      <c r="I11">
        <v>1.0999999940395355E-2</v>
      </c>
      <c r="J11"/>
    </row>
    <row r="12" spans="1:10" ht="15" customHeight="1" x14ac:dyDescent="0.15">
      <c r="A12" s="153">
        <v>11</v>
      </c>
      <c r="B12" s="153" t="s">
        <v>201</v>
      </c>
      <c r="C12" s="8">
        <v>3.7860419750213623</v>
      </c>
      <c r="D12" s="9">
        <v>0.14094939827919006</v>
      </c>
      <c r="E12" s="9">
        <v>0.25999999046325684</v>
      </c>
      <c r="F12" s="9">
        <v>2.5999999046325684</v>
      </c>
      <c r="G12" s="9">
        <v>0.89999991655349731</v>
      </c>
      <c r="H12" s="9">
        <v>0.10000000149011612</v>
      </c>
      <c r="I12">
        <v>2.0000000949949026E-3</v>
      </c>
      <c r="J12"/>
    </row>
    <row r="13" spans="1:10" ht="15" customHeight="1" x14ac:dyDescent="0.15">
      <c r="A13" s="154">
        <v>12</v>
      </c>
      <c r="B13" s="154" t="s">
        <v>202</v>
      </c>
      <c r="C13" s="8">
        <v>3.74765944480896</v>
      </c>
      <c r="D13" s="9">
        <v>0.21600000560283661</v>
      </c>
      <c r="E13" s="9">
        <v>0.71899998188018799</v>
      </c>
      <c r="F13" s="9">
        <v>3.8059999942779541</v>
      </c>
      <c r="G13" s="9">
        <v>0.92938292026519775</v>
      </c>
      <c r="H13" s="9">
        <v>0.18891224265098572</v>
      </c>
      <c r="I13">
        <v>8.6999997496604919E-2</v>
      </c>
      <c r="J13"/>
    </row>
    <row r="14" spans="1:10" ht="15" customHeight="1" x14ac:dyDescent="0.15">
      <c r="A14" s="155">
        <v>13</v>
      </c>
      <c r="B14" s="155" t="s">
        <v>203</v>
      </c>
      <c r="C14" s="8">
        <v>3.5417628288269043</v>
      </c>
      <c r="D14" s="9">
        <v>1.9238702952861786E-2</v>
      </c>
      <c r="E14" s="9">
        <v>0.42329999804496765</v>
      </c>
      <c r="F14" s="9">
        <v>4.2329998016357422</v>
      </c>
      <c r="G14" s="9">
        <v>0.89999997615814209</v>
      </c>
      <c r="H14" s="9">
        <v>0.10000000149011612</v>
      </c>
      <c r="I14">
        <v>0</v>
      </c>
      <c r="J14"/>
    </row>
    <row r="15" spans="1:10" ht="15" customHeight="1" x14ac:dyDescent="0.15">
      <c r="A15" s="156">
        <v>14</v>
      </c>
      <c r="B15" s="156" t="s">
        <v>204</v>
      </c>
      <c r="C15" s="8">
        <v>3.1346602439880371</v>
      </c>
      <c r="D15" s="9">
        <v>1.8930000066757202</v>
      </c>
      <c r="E15" s="9">
        <v>0.72699999809265137</v>
      </c>
      <c r="F15" s="9">
        <v>5.1420001983642578</v>
      </c>
      <c r="G15" s="9">
        <v>0.89004456996917725</v>
      </c>
      <c r="H15" s="9">
        <v>0.14138467609882355</v>
      </c>
      <c r="I15">
        <v>6.0000000521540642E-3</v>
      </c>
      <c r="J15"/>
    </row>
    <row r="16" spans="1:10" ht="15" customHeight="1" x14ac:dyDescent="0.15">
      <c r="A16" s="157">
        <v>15</v>
      </c>
      <c r="B16" s="157" t="s">
        <v>205</v>
      </c>
      <c r="C16" s="8">
        <v>3.4702579975128174</v>
      </c>
      <c r="D16" s="9">
        <v>1.4559999704360962</v>
      </c>
      <c r="E16" s="9">
        <v>0.56199997663497925</v>
      </c>
      <c r="F16" s="9">
        <v>5.7589998245239258</v>
      </c>
      <c r="G16" s="9">
        <v>0.92813980579376221</v>
      </c>
      <c r="H16" s="9">
        <v>9.7586385905742645E-2</v>
      </c>
      <c r="I16">
        <v>2.7000000700354576E-2</v>
      </c>
      <c r="J16"/>
    </row>
    <row r="17" spans="1:10" ht="15" customHeight="1" x14ac:dyDescent="0.15">
      <c r="A17" s="158">
        <v>16</v>
      </c>
      <c r="B17" s="158" t="s">
        <v>206</v>
      </c>
      <c r="C17" s="8">
        <v>3.3417553901672363</v>
      </c>
      <c r="D17" s="9">
        <v>2.2422289475798607E-3</v>
      </c>
      <c r="E17" s="9">
        <v>0.71750003099441528</v>
      </c>
      <c r="F17" s="9">
        <v>7.1750001907348633</v>
      </c>
      <c r="G17" s="9">
        <v>0.90000003576278687</v>
      </c>
      <c r="H17" s="9">
        <v>0.10000000149011612</v>
      </c>
      <c r="I17">
        <v>1.0000000474974513E-3</v>
      </c>
      <c r="J17"/>
    </row>
    <row r="18" spans="1:10" ht="15" customHeight="1" x14ac:dyDescent="0.15">
      <c r="A18" s="159">
        <v>17</v>
      </c>
      <c r="B18" s="159" t="s">
        <v>207</v>
      </c>
      <c r="C18" s="8">
        <v>2.9567952156066895</v>
      </c>
      <c r="D18" s="9">
        <v>12.050000190734863</v>
      </c>
      <c r="E18" s="9">
        <v>1.1366000175476074</v>
      </c>
      <c r="F18" s="9">
        <v>11.366000175476074</v>
      </c>
      <c r="G18" s="9">
        <v>0.95280444622039795</v>
      </c>
      <c r="H18" s="9">
        <v>0.10000000149011612</v>
      </c>
      <c r="I18">
        <v>0.42500001192092896</v>
      </c>
      <c r="J18"/>
    </row>
    <row r="19" spans="1:10" ht="15" customHeight="1" x14ac:dyDescent="0.15">
      <c r="A19" s="160">
        <v>18</v>
      </c>
      <c r="B19" s="160" t="s">
        <v>208</v>
      </c>
      <c r="C19" s="8">
        <v>3.3972091674804688</v>
      </c>
      <c r="D19" s="9">
        <v>0.3960874080657959</v>
      </c>
      <c r="E19" s="9">
        <v>0.5843999981880188</v>
      </c>
      <c r="F19" s="9">
        <v>5.8439998626708984</v>
      </c>
      <c r="G19" s="9">
        <v>0.89999991655349731</v>
      </c>
      <c r="H19" s="9">
        <v>0.10000000149011612</v>
      </c>
      <c r="I19">
        <v>6.0000000521540642E-3</v>
      </c>
      <c r="J19"/>
    </row>
    <row r="20" spans="1:10" ht="15" customHeight="1" x14ac:dyDescent="0.15">
      <c r="A20" s="161">
        <v>19</v>
      </c>
      <c r="B20" s="161" t="s">
        <v>209</v>
      </c>
      <c r="C20" s="8">
        <v>2.8171999454498291</v>
      </c>
      <c r="D20" s="9">
        <v>1.840999960899353</v>
      </c>
      <c r="E20" s="9">
        <v>0.68300002813339233</v>
      </c>
      <c r="F20" s="9">
        <v>16.246999740600586</v>
      </c>
      <c r="G20" s="9">
        <v>0.86837542057037354</v>
      </c>
      <c r="H20" s="9">
        <v>4.2038533836603165E-2</v>
      </c>
      <c r="I20">
        <v>1.7000000923871994E-2</v>
      </c>
      <c r="J20"/>
    </row>
    <row r="21" spans="1:10" ht="15" customHeight="1" x14ac:dyDescent="0.15">
      <c r="A21" s="162">
        <v>20</v>
      </c>
      <c r="B21" s="162" t="s">
        <v>210</v>
      </c>
      <c r="C21" s="8">
        <v>3</v>
      </c>
      <c r="D21" s="9">
        <v>0.64563083648681641</v>
      </c>
      <c r="E21" s="9">
        <v>1.4300000667572021</v>
      </c>
      <c r="F21" s="9">
        <v>14.300000190734863</v>
      </c>
      <c r="G21" s="9">
        <v>0.90000009536743164</v>
      </c>
      <c r="H21" s="9">
        <v>0.10000000149011612</v>
      </c>
      <c r="I21">
        <v>6.0000000521540642E-3</v>
      </c>
      <c r="J21"/>
    </row>
    <row r="22" spans="1:10" ht="15" customHeight="1" x14ac:dyDescent="0.15">
      <c r="A22" s="163">
        <v>21</v>
      </c>
      <c r="B22" s="163" t="s">
        <v>211</v>
      </c>
      <c r="C22" s="8">
        <v>2.0030755996704102</v>
      </c>
      <c r="D22" s="9">
        <v>0.96799999475479126</v>
      </c>
      <c r="E22" s="9">
        <v>0.58700001239776611</v>
      </c>
      <c r="F22" s="9">
        <v>15.86299991607666</v>
      </c>
      <c r="G22" s="9">
        <v>0.8137822151184082</v>
      </c>
      <c r="H22" s="9">
        <v>3.7004351615905762E-2</v>
      </c>
      <c r="I22">
        <v>7.0000002160668373E-3</v>
      </c>
      <c r="J22"/>
    </row>
    <row r="23" spans="1:10" ht="15" customHeight="1" x14ac:dyDescent="0.15">
      <c r="A23" s="164">
        <v>22</v>
      </c>
      <c r="B23" s="164" t="s">
        <v>212</v>
      </c>
      <c r="C23" s="8">
        <v>2.754960298538208</v>
      </c>
      <c r="D23" s="9">
        <v>0.12590904533863068</v>
      </c>
      <c r="E23" s="9">
        <v>0.15000000596046448</v>
      </c>
      <c r="F23" s="9">
        <v>3.5</v>
      </c>
      <c r="G23" s="9">
        <v>0.49999994039535522</v>
      </c>
      <c r="H23" s="9">
        <v>4.285714402794838E-2</v>
      </c>
      <c r="I23">
        <v>5.0000003539025784E-3</v>
      </c>
      <c r="J23"/>
    </row>
    <row r="24" spans="1:10" ht="15" customHeight="1" x14ac:dyDescent="0.15">
      <c r="A24" s="165">
        <v>23</v>
      </c>
      <c r="B24" s="165" t="s">
        <v>213</v>
      </c>
      <c r="C24" s="8">
        <v>2.7981932163238525</v>
      </c>
      <c r="D24" s="9">
        <v>13.048110008239746</v>
      </c>
      <c r="E24" s="9">
        <v>1.6000000238418579</v>
      </c>
      <c r="F24" s="9">
        <v>10</v>
      </c>
      <c r="G24" s="9">
        <v>0.95000004768371582</v>
      </c>
      <c r="H24" s="9">
        <v>0.15999999642372131</v>
      </c>
      <c r="I24">
        <v>7.0000002160668373E-3</v>
      </c>
      <c r="J24"/>
    </row>
    <row r="25" spans="1:10" ht="15" customHeight="1" x14ac:dyDescent="0.15">
      <c r="A25" s="166">
        <v>24</v>
      </c>
      <c r="B25" s="166" t="s">
        <v>214</v>
      </c>
      <c r="C25" s="8">
        <v>2.3773562908172607</v>
      </c>
      <c r="D25" s="9">
        <v>15.042194366455078</v>
      </c>
      <c r="E25" s="9">
        <v>1.2000000476837158</v>
      </c>
      <c r="F25" s="9">
        <v>4</v>
      </c>
      <c r="G25" s="9">
        <v>0.94999998807907104</v>
      </c>
      <c r="H25" s="9">
        <v>0.30000001192092896</v>
      </c>
      <c r="I25">
        <v>0</v>
      </c>
      <c r="J25"/>
    </row>
    <row r="26" spans="1:10" ht="15" customHeight="1" x14ac:dyDescent="0.15">
      <c r="A26" s="167">
        <v>25</v>
      </c>
      <c r="B26" s="167" t="s">
        <v>215</v>
      </c>
      <c r="C26" s="8">
        <v>2.2775962352752686</v>
      </c>
      <c r="D26" s="9">
        <v>25.842313766479492</v>
      </c>
      <c r="E26" s="9">
        <v>2.5</v>
      </c>
      <c r="F26" s="9">
        <v>7</v>
      </c>
      <c r="G26" s="9">
        <v>0.94999998807907104</v>
      </c>
      <c r="H26" s="9">
        <v>0.3571428656578064</v>
      </c>
      <c r="I26">
        <v>4.999999888241291E-3</v>
      </c>
      <c r="J26"/>
    </row>
    <row r="27" spans="1:10" ht="15" customHeight="1" x14ac:dyDescent="0.15">
      <c r="A27" s="168">
        <v>26</v>
      </c>
      <c r="B27" s="168" t="s">
        <v>216</v>
      </c>
      <c r="C27" s="8">
        <v>2.0440001487731934</v>
      </c>
      <c r="D27" s="9">
        <v>12.843316078186035</v>
      </c>
      <c r="E27" s="9">
        <v>3</v>
      </c>
      <c r="F27" s="9">
        <v>12.5</v>
      </c>
      <c r="G27" s="9">
        <v>0.94999998807907104</v>
      </c>
      <c r="H27" s="9">
        <v>0.23999999463558197</v>
      </c>
      <c r="I27">
        <v>4.999999888241291E-3</v>
      </c>
      <c r="J27"/>
    </row>
    <row r="28" spans="1:10" ht="15" customHeight="1" x14ac:dyDescent="0.15">
      <c r="A28" s="169">
        <v>27</v>
      </c>
      <c r="B28" s="169" t="s">
        <v>217</v>
      </c>
      <c r="C28" s="8">
        <v>2</v>
      </c>
      <c r="D28" s="9">
        <v>0.4394124448299408</v>
      </c>
      <c r="E28" s="9">
        <v>100</v>
      </c>
      <c r="F28" s="9">
        <v>215</v>
      </c>
      <c r="G28" s="9">
        <v>0.94999998807907104</v>
      </c>
      <c r="H28" s="9">
        <v>0.46511629223823547</v>
      </c>
      <c r="I28">
        <v>0</v>
      </c>
      <c r="J28"/>
    </row>
    <row r="29" spans="1:10" ht="15" customHeight="1" x14ac:dyDescent="0.15">
      <c r="A29" s="170">
        <v>28</v>
      </c>
      <c r="B29" s="170" t="s">
        <v>218</v>
      </c>
      <c r="C29" s="8">
        <v>2</v>
      </c>
      <c r="D29" s="9">
        <v>2.8479511737823486</v>
      </c>
      <c r="E29" s="9">
        <v>63.439998626708984</v>
      </c>
      <c r="F29" s="9">
        <v>280</v>
      </c>
      <c r="G29" s="9">
        <v>0.94999998807907104</v>
      </c>
      <c r="H29" s="9">
        <v>0.22657142579555511</v>
      </c>
      <c r="I29">
        <v>0</v>
      </c>
      <c r="J29"/>
    </row>
    <row r="30" spans="1:10" ht="15" customHeight="1" x14ac:dyDescent="0.15">
      <c r="A30" s="171">
        <v>29</v>
      </c>
      <c r="B30" s="171" t="s">
        <v>219</v>
      </c>
      <c r="C30" s="8">
        <v>1</v>
      </c>
      <c r="D30" s="9">
        <v>2.7411670684814453</v>
      </c>
      <c r="E30" s="9">
        <v>285</v>
      </c>
      <c r="F30" s="10"/>
      <c r="G30" s="9">
        <v>0.94999998807907104</v>
      </c>
      <c r="H30" s="10"/>
      <c r="I30">
        <v>0</v>
      </c>
      <c r="J30"/>
    </row>
    <row r="31" spans="1:10" ht="15" customHeight="1" x14ac:dyDescent="0.15">
      <c r="A31" s="172">
        <v>30</v>
      </c>
      <c r="B31" s="172" t="s">
        <v>220</v>
      </c>
      <c r="C31" s="8">
        <v>1</v>
      </c>
      <c r="D31" s="9">
        <v>20.463537216186523</v>
      </c>
      <c r="E31" s="9">
        <v>13.25</v>
      </c>
      <c r="F31" s="10"/>
      <c r="G31" s="9">
        <v>0.5</v>
      </c>
      <c r="H31" s="10"/>
      <c r="I31">
        <v>0</v>
      </c>
      <c r="J31"/>
    </row>
    <row r="32" spans="1:10" ht="15" customHeight="1" x14ac:dyDescent="0.15">
      <c r="A32" s="200">
        <v>31</v>
      </c>
      <c r="B32" s="200" t="s">
        <v>221</v>
      </c>
      <c r="C32" s="8">
        <v>1</v>
      </c>
      <c r="D32" s="9">
        <v>300.79998779296875</v>
      </c>
      <c r="E32" s="10"/>
      <c r="F32" s="10"/>
      <c r="G32" s="7">
        <v>0.79380261898040771</v>
      </c>
      <c r="H32" s="10"/>
      <c r="I32">
        <v>0</v>
      </c>
      <c r="J32"/>
    </row>
    <row r="33" spans="1:10" ht="15" customHeight="1" x14ac:dyDescent="0.15">
      <c r="A33" s="201">
        <v>32</v>
      </c>
      <c r="B33" s="201" t="s">
        <v>222</v>
      </c>
      <c r="C33" s="8">
        <v>1</v>
      </c>
      <c r="D33" s="9">
        <v>5</v>
      </c>
      <c r="E33" s="10"/>
      <c r="F33" s="10"/>
      <c r="G33" s="7">
        <v>0</v>
      </c>
      <c r="H33" s="10"/>
      <c r="I33">
        <v>0</v>
      </c>
      <c r="J33"/>
    </row>
    <row r="34" spans="1:10" ht="15" customHeight="1" x14ac:dyDescent="0.15">
      <c r="A34" s="202">
        <v>33</v>
      </c>
      <c r="B34" s="202" t="s">
        <v>223</v>
      </c>
      <c r="C34" s="8">
        <v>4.6353669166564941</v>
      </c>
      <c r="D34" s="10"/>
      <c r="E34" s="10"/>
      <c r="F34" s="10"/>
      <c r="G34" s="10"/>
      <c r="H34" s="10"/>
      <c r="I34">
        <v>0.80999988317489624</v>
      </c>
      <c r="J34"/>
    </row>
    <row r="35" spans="1:10" ht="15" customHeight="1" x14ac:dyDescent="0.15">
      <c r="A35" s="203">
        <v>34</v>
      </c>
      <c r="B35" s="203" t="s">
        <v>224</v>
      </c>
      <c r="C35" s="8">
        <v>3.9733541011810303</v>
      </c>
      <c r="D35" s="10"/>
      <c r="E35" s="10"/>
      <c r="F35" s="10"/>
      <c r="G35" s="10"/>
      <c r="H35" s="10"/>
      <c r="I35">
        <v>0.33499997854232788</v>
      </c>
      <c r="J35"/>
    </row>
    <row r="36" spans="1:10" ht="15" customHeight="1" x14ac:dyDescent="0.15">
      <c r="A36" s="204">
        <v>35</v>
      </c>
      <c r="B36" s="204" t="s">
        <v>225</v>
      </c>
      <c r="C36" s="8">
        <v>4.5407557487487793</v>
      </c>
      <c r="D36" s="10"/>
      <c r="E36" s="10"/>
      <c r="F36" s="10"/>
      <c r="G36" s="10"/>
      <c r="H36" s="10"/>
      <c r="I36">
        <v>0.56799983978271484</v>
      </c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9" bestFit="1" customWidth="1"/>
    <col min="2" max="4" width="9.5" style="79" bestFit="1" customWidth="1"/>
    <col min="5" max="7" width="9" style="79" bestFit="1" customWidth="1"/>
    <col min="8" max="16" width="12.6640625" style="79" bestFit="1" customWidth="1"/>
    <col min="17" max="17" width="12.33203125" style="79" bestFit="1" customWidth="1"/>
    <col min="18" max="18" width="8.83203125" style="79"/>
    <col min="19" max="21" width="9.33203125" style="79" bestFit="1" customWidth="1"/>
    <col min="22" max="23" width="8.83203125" style="79"/>
    <col min="24" max="24" width="9.33203125" style="79" bestFit="1" customWidth="1"/>
    <col min="25" max="27" width="8.83203125" style="79"/>
    <col min="28" max="58" width="9" style="79" bestFit="1" customWidth="1"/>
    <col min="59" max="59" width="12.33203125" style="79" bestFit="1" customWidth="1"/>
    <col min="60" max="60" width="9" style="79" bestFit="1" customWidth="1"/>
    <col min="61" max="61" width="11.33203125" style="79" bestFit="1" customWidth="1"/>
    <col min="62" max="77" width="9" style="79" bestFit="1" customWidth="1"/>
    <col min="78" max="78" width="12.33203125" style="79" bestFit="1" customWidth="1"/>
    <col min="79" max="79" width="9" style="79" bestFit="1" customWidth="1"/>
    <col min="80" max="80" width="12.33203125" style="79" bestFit="1" customWidth="1"/>
    <col min="81" max="107" width="9" style="79" bestFit="1" customWidth="1"/>
    <col min="108" max="108" width="11.33203125" style="79" bestFit="1" customWidth="1"/>
    <col min="109" max="124" width="9" style="79" bestFit="1" customWidth="1"/>
    <col min="125" max="125" width="10.33203125" style="79" bestFit="1" customWidth="1"/>
    <col min="126" max="129" width="9.33203125" style="79" bestFit="1" customWidth="1"/>
    <col min="130" max="130" width="9" style="79" bestFit="1" customWidth="1"/>
    <col min="131" max="134" width="9.33203125" style="79" bestFit="1" customWidth="1"/>
    <col min="135" max="165" width="9" style="79" bestFit="1" customWidth="1"/>
    <col min="166" max="166" width="12.33203125" style="79" bestFit="1" customWidth="1"/>
    <col min="167" max="170" width="9" style="79" bestFit="1" customWidth="1"/>
    <col min="171" max="176" width="8.83203125" style="79"/>
    <col min="177" max="177" width="13.83203125" style="79" bestFit="1" customWidth="1"/>
    <col min="178" max="16384" width="8.83203125" style="79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230</v>
      </c>
      <c r="E1" t="s">
        <v>231</v>
      </c>
      <c r="F1" t="s">
        <v>232</v>
      </c>
      <c r="G1" t="s">
        <v>191</v>
      </c>
      <c r="H1" t="s">
        <v>192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204</v>
      </c>
      <c r="U1" t="s">
        <v>205</v>
      </c>
      <c r="V1" t="s">
        <v>206</v>
      </c>
      <c r="W1" t="s">
        <v>207</v>
      </c>
      <c r="X1" t="s">
        <v>208</v>
      </c>
      <c r="Y1" t="s">
        <v>209</v>
      </c>
      <c r="Z1" t="s">
        <v>210</v>
      </c>
      <c r="AA1" t="s">
        <v>211</v>
      </c>
      <c r="AB1" t="s">
        <v>212</v>
      </c>
      <c r="AC1" t="s">
        <v>213</v>
      </c>
      <c r="AD1" t="s">
        <v>214</v>
      </c>
      <c r="AE1" t="s">
        <v>215</v>
      </c>
      <c r="AF1" t="s">
        <v>216</v>
      </c>
      <c r="AG1" t="s">
        <v>217</v>
      </c>
      <c r="AH1" t="s">
        <v>218</v>
      </c>
      <c r="AI1" t="s">
        <v>219</v>
      </c>
      <c r="AJ1" t="s">
        <v>220</v>
      </c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191</v>
      </c>
      <c r="B2">
        <v>0.25</v>
      </c>
      <c r="C2">
        <v>0.12500001490116119</v>
      </c>
      <c r="D2" s="205">
        <v>4.8806838691234589E-2</v>
      </c>
      <c r="E2"/>
      <c r="F2"/>
      <c r="G2"/>
      <c r="H2"/>
      <c r="I2"/>
      <c r="J2"/>
      <c r="K2"/>
      <c r="L2"/>
      <c r="M2"/>
      <c r="N2"/>
      <c r="O2" s="219">
        <v>7.6193146407604218E-2</v>
      </c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192</v>
      </c>
      <c r="B3">
        <v>0.10000000149011612</v>
      </c>
      <c r="C3">
        <v>5.0000008195638657E-2</v>
      </c>
      <c r="D3"/>
      <c r="E3"/>
      <c r="F3" s="104">
        <v>2.9061060398817062E-2</v>
      </c>
      <c r="G3"/>
      <c r="H3"/>
      <c r="I3"/>
      <c r="J3"/>
      <c r="K3"/>
      <c r="L3"/>
      <c r="M3"/>
      <c r="N3"/>
      <c r="O3" s="217">
        <v>2.0938936620950699E-2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193</v>
      </c>
      <c r="B4">
        <v>0.30000001192092896</v>
      </c>
      <c r="C4">
        <v>5.9999998658895493E-2</v>
      </c>
      <c r="D4" s="206">
        <v>1.1992274783551693E-2</v>
      </c>
      <c r="E4"/>
      <c r="F4" s="206">
        <v>1.1992274783551693E-2</v>
      </c>
      <c r="G4"/>
      <c r="H4"/>
      <c r="I4"/>
      <c r="J4"/>
      <c r="K4"/>
      <c r="L4"/>
      <c r="M4"/>
      <c r="N4"/>
      <c r="O4" s="224">
        <v>0.21601545810699463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194</v>
      </c>
      <c r="B5">
        <v>0.89999997615814209</v>
      </c>
      <c r="C5">
        <v>0.1616494357585907</v>
      </c>
      <c r="D5" s="207">
        <v>0.17797753214836121</v>
      </c>
      <c r="E5" s="13">
        <v>8.9887646026909351E-4</v>
      </c>
      <c r="F5" s="214">
        <v>0.19505618512630463</v>
      </c>
      <c r="G5" s="22">
        <v>6.050625815987587E-3</v>
      </c>
      <c r="H5" s="20">
        <v>1.823359914124012E-2</v>
      </c>
      <c r="I5" s="206">
        <v>3.5978224128484726E-2</v>
      </c>
      <c r="J5" s="65">
        <v>4.6341616660356522E-2</v>
      </c>
      <c r="K5" s="250">
        <v>0.25500378012657166</v>
      </c>
      <c r="L5"/>
      <c r="M5"/>
      <c r="N5"/>
      <c r="O5" s="12">
        <v>2.8100623749196529E-3</v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195</v>
      </c>
      <c r="B6">
        <v>0.99709999561309814</v>
      </c>
      <c r="C6">
        <v>0.19942004978656769</v>
      </c>
      <c r="D6" s="208">
        <v>0.58257180452346802</v>
      </c>
      <c r="E6"/>
      <c r="F6" s="22">
        <v>5.975096020847559E-3</v>
      </c>
      <c r="G6" s="20">
        <v>2.0108029246330261E-2</v>
      </c>
      <c r="H6" s="230">
        <v>8.4842890501022339E-2</v>
      </c>
      <c r="I6" s="138">
        <v>0.10044627636671066</v>
      </c>
      <c r="J6"/>
      <c r="K6"/>
      <c r="L6"/>
      <c r="M6"/>
      <c r="N6"/>
      <c r="O6" s="12">
        <v>3.7358629051595926E-3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196</v>
      </c>
      <c r="B7">
        <v>0.98719996213912964</v>
      </c>
      <c r="C7">
        <v>9.8720140755176544E-2</v>
      </c>
      <c r="D7" s="13">
        <v>2.8109557460993528E-3</v>
      </c>
      <c r="E7" s="21">
        <v>7.0273885503411293E-3</v>
      </c>
      <c r="F7" s="16">
        <v>1.4054777100682259E-2</v>
      </c>
      <c r="G7" s="227">
        <v>9.4597272574901581E-2</v>
      </c>
      <c r="H7" s="27">
        <v>3.5263843834400177E-2</v>
      </c>
      <c r="I7" s="26">
        <v>7.5007103383541107E-2</v>
      </c>
      <c r="J7" s="248">
        <v>0.47039595246315002</v>
      </c>
      <c r="K7" s="240">
        <v>0.18763537704944611</v>
      </c>
      <c r="L7"/>
      <c r="M7"/>
      <c r="N7"/>
      <c r="O7" s="13">
        <v>1.6872177366167307E-3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197</v>
      </c>
      <c r="B8">
        <v>0.65500003099441528</v>
      </c>
      <c r="C8">
        <v>6.5499976277351379E-2</v>
      </c>
      <c r="D8" s="65">
        <v>3.339676558971405E-2</v>
      </c>
      <c r="E8" s="18">
        <v>1.2144278734922409E-2</v>
      </c>
      <c r="F8" s="14">
        <v>6.0721393674612045E-3</v>
      </c>
      <c r="G8" s="215">
        <v>3.4057684242725372E-2</v>
      </c>
      <c r="H8" s="229">
        <v>3.6951795220375061E-2</v>
      </c>
      <c r="I8"/>
      <c r="J8" s="239">
        <v>0.1961410790681839</v>
      </c>
      <c r="K8" s="237">
        <v>0.14693239331245422</v>
      </c>
      <c r="L8" s="235">
        <v>0.10662639141082764</v>
      </c>
      <c r="M8"/>
      <c r="N8"/>
      <c r="O8" s="18">
        <v>1.0937673039734364E-2</v>
      </c>
      <c r="P8"/>
      <c r="Q8"/>
      <c r="R8" s="14">
        <v>6.2398519366979599E-3</v>
      </c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198</v>
      </c>
      <c r="B9">
        <v>0.2800000011920929</v>
      </c>
      <c r="C9">
        <v>2.8000006452202797E-2</v>
      </c>
      <c r="D9" s="209">
        <v>5.0003133714199066E-2</v>
      </c>
      <c r="E9"/>
      <c r="F9" s="105">
        <v>1.8751174211502075E-2</v>
      </c>
      <c r="G9"/>
      <c r="H9"/>
      <c r="I9"/>
      <c r="J9"/>
      <c r="K9"/>
      <c r="L9"/>
      <c r="M9"/>
      <c r="N9"/>
      <c r="O9"/>
      <c r="P9"/>
      <c r="Q9" s="231">
        <v>0.18324568867683411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199</v>
      </c>
      <c r="B10">
        <v>0.10000000149011612</v>
      </c>
      <c r="C10">
        <v>5.000000074505806E-2</v>
      </c>
      <c r="D10"/>
      <c r="E10"/>
      <c r="F10" s="73">
        <v>2.2217502817511559E-2</v>
      </c>
      <c r="G10"/>
      <c r="H10"/>
      <c r="I10"/>
      <c r="J10"/>
      <c r="K10"/>
      <c r="L10"/>
      <c r="M10"/>
      <c r="N10"/>
      <c r="O10" s="218">
        <v>2.7782496064901352E-2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200</v>
      </c>
      <c r="B11">
        <v>0.38440001010894775</v>
      </c>
      <c r="C11">
        <v>3.8440033793449402E-2</v>
      </c>
      <c r="D11" s="210">
        <v>3.9230320602655411E-2</v>
      </c>
      <c r="E11"/>
      <c r="F11" s="14">
        <v>3.9230324327945709E-3</v>
      </c>
      <c r="G11"/>
      <c r="H11"/>
      <c r="I11"/>
      <c r="J11"/>
      <c r="K11"/>
      <c r="L11"/>
      <c r="M11"/>
      <c r="N11" s="137">
        <v>0.17582376301288605</v>
      </c>
      <c r="O11"/>
      <c r="P11"/>
      <c r="Q11" s="222">
        <v>4.3130021542310715E-2</v>
      </c>
      <c r="R11" s="214">
        <v>8.3852842450141907E-2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201</v>
      </c>
      <c r="B12">
        <v>0.25999999046325684</v>
      </c>
      <c r="C12">
        <v>2.6000021025538445E-2</v>
      </c>
      <c r="D12" s="23">
        <v>7.0947450585663319E-3</v>
      </c>
      <c r="E12"/>
      <c r="F12" s="23">
        <v>7.0947450585663319E-3</v>
      </c>
      <c r="G12"/>
      <c r="H12"/>
      <c r="I12"/>
      <c r="J12"/>
      <c r="K12"/>
      <c r="L12"/>
      <c r="M12"/>
      <c r="N12"/>
      <c r="O12" s="232">
        <v>0.21981048583984375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0.71899998188018799</v>
      </c>
      <c r="C13">
        <v>5.0773680210113525E-2</v>
      </c>
      <c r="D13" s="211">
        <v>0.31018519401550293</v>
      </c>
      <c r="E13"/>
      <c r="F13" s="135">
        <v>9.2592589557170868E-2</v>
      </c>
      <c r="G13" s="223">
        <v>5.1933743059635162E-2</v>
      </c>
      <c r="H13" s="25">
        <v>1.8782295286655426E-2</v>
      </c>
      <c r="I13"/>
      <c r="J13"/>
      <c r="K13"/>
      <c r="L13"/>
      <c r="M13"/>
      <c r="N13" s="226">
        <v>8.7663754820823669E-2</v>
      </c>
      <c r="O13" s="24">
        <v>2.2238126024603844E-2</v>
      </c>
      <c r="P13"/>
      <c r="Q13" s="225">
        <v>8.4830649197101593E-2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0.42329999804496765</v>
      </c>
      <c r="C14">
        <v>4.233001172542572E-2</v>
      </c>
      <c r="D14"/>
      <c r="E14"/>
      <c r="F14"/>
      <c r="G14"/>
      <c r="H14"/>
      <c r="I14"/>
      <c r="J14"/>
      <c r="K14"/>
      <c r="L14"/>
      <c r="M14"/>
      <c r="N14"/>
      <c r="O14"/>
      <c r="P14"/>
      <c r="Q14" s="221">
        <v>0.38097000122070312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0.72699999809265137</v>
      </c>
      <c r="C15">
        <v>7.993759959936142E-2</v>
      </c>
      <c r="D15" s="12">
        <v>2.6413099840283394E-3</v>
      </c>
      <c r="E15"/>
      <c r="F15" s="11">
        <v>5.2826205501332879E-4</v>
      </c>
      <c r="G15"/>
      <c r="H15"/>
      <c r="I15"/>
      <c r="J15" s="233">
        <v>0.13597658276557922</v>
      </c>
      <c r="K15" s="227">
        <v>7.0523917675018311E-2</v>
      </c>
      <c r="L15"/>
      <c r="M15"/>
      <c r="N15" s="19">
        <v>3.1015347689390182E-2</v>
      </c>
      <c r="O15"/>
      <c r="P15" s="245">
        <v>0.11128770560026169</v>
      </c>
      <c r="Q15" s="16">
        <v>9.6795680001378059E-3</v>
      </c>
      <c r="R15" s="230">
        <v>6.0799494385719299E-2</v>
      </c>
      <c r="S15" s="12">
        <v>3.0119202565401793E-3</v>
      </c>
      <c r="T15"/>
      <c r="U15" s="219">
        <v>0.22156424820423126</v>
      </c>
      <c r="V15" s="11">
        <v>3.4027762012556195E-5</v>
      </c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>
        <v>0.56199997663497925</v>
      </c>
      <c r="C16">
        <v>4.0385428816080093E-2</v>
      </c>
      <c r="D16" s="16">
        <v>7.554945070296526E-3</v>
      </c>
      <c r="E16" s="21">
        <v>4.120879340916872E-3</v>
      </c>
      <c r="F16" s="17">
        <v>6.8681319244205952E-3</v>
      </c>
      <c r="G16" s="23">
        <v>1.5408913604915142E-2</v>
      </c>
      <c r="H16" s="141">
        <v>1.6721116378903389E-2</v>
      </c>
      <c r="I16"/>
      <c r="J16" s="247">
        <v>0.17678824067115784</v>
      </c>
      <c r="K16" s="234">
        <v>4.5845445245504379E-2</v>
      </c>
      <c r="L16"/>
      <c r="M16"/>
      <c r="N16" s="223">
        <v>4.0632009506225586E-2</v>
      </c>
      <c r="O16" s="13">
        <v>1.6489818226546049E-3</v>
      </c>
      <c r="P16" s="241">
        <v>9.4216093420982361E-2</v>
      </c>
      <c r="Q16" s="63">
        <v>1.2584767304360867E-2</v>
      </c>
      <c r="R16" s="242">
        <v>9.5986485481262207E-2</v>
      </c>
      <c r="S16" s="22">
        <v>2.7965763583779335E-3</v>
      </c>
      <c r="T16"/>
      <c r="U16"/>
      <c r="V16" s="11">
        <v>4.4197612442076206E-4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>
        <v>0.71750003099441528</v>
      </c>
      <c r="C17">
        <v>7.1749977767467499E-2</v>
      </c>
      <c r="D17" s="212">
        <v>0.44598481059074402</v>
      </c>
      <c r="E17"/>
      <c r="F17"/>
      <c r="G17"/>
      <c r="H17"/>
      <c r="I17"/>
      <c r="J17"/>
      <c r="K17"/>
      <c r="L17"/>
      <c r="M17"/>
      <c r="N17"/>
      <c r="O17"/>
      <c r="P17"/>
      <c r="Q17" s="216">
        <v>0.16343934834003448</v>
      </c>
      <c r="R17"/>
      <c r="S17" s="65">
        <v>3.6325875669717789E-2</v>
      </c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207</v>
      </c>
      <c r="B18">
        <v>1.1366000175476074</v>
      </c>
      <c r="C18">
        <v>5.364246666431427E-2</v>
      </c>
      <c r="D18" s="12">
        <v>4.3983403593301773E-3</v>
      </c>
      <c r="E18" s="63">
        <v>2.5560164824128151E-2</v>
      </c>
      <c r="F18" s="12">
        <v>5.3112036548554897E-3</v>
      </c>
      <c r="G18" s="142">
        <v>6.9819644093513489E-2</v>
      </c>
      <c r="H18" s="21">
        <v>8.8546471670269966E-3</v>
      </c>
      <c r="I18" s="14">
        <v>1.093926839530468E-2</v>
      </c>
      <c r="J18" s="258">
        <v>0.66217780113220215</v>
      </c>
      <c r="K18" s="252">
        <v>9.9712550640106201E-2</v>
      </c>
      <c r="L18" s="253">
        <v>0.10259083658456802</v>
      </c>
      <c r="M18" s="72">
        <v>7.2689160704612732E-2</v>
      </c>
      <c r="N18"/>
      <c r="O18" s="11">
        <v>1.992462421185337E-5</v>
      </c>
      <c r="P18"/>
      <c r="Q18"/>
      <c r="R18"/>
      <c r="S18"/>
      <c r="T18"/>
      <c r="U18" s="18">
        <v>2.0884040743112564E-2</v>
      </c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208</v>
      </c>
      <c r="B19">
        <v>0.5843999981880188</v>
      </c>
      <c r="C19">
        <v>5.844004824757576E-2</v>
      </c>
      <c r="D19" s="63">
        <v>1.262347586452961E-2</v>
      </c>
      <c r="E19"/>
      <c r="F19" s="12">
        <v>2.5246953591704369E-3</v>
      </c>
      <c r="G19"/>
      <c r="H19"/>
      <c r="I19"/>
      <c r="J19"/>
      <c r="K19"/>
      <c r="L19"/>
      <c r="M19" s="233">
        <v>0.10893560945987701</v>
      </c>
      <c r="N19" s="227">
        <v>5.657634511590004E-2</v>
      </c>
      <c r="O19"/>
      <c r="P19" s="65">
        <v>2.9685808345675468E-2</v>
      </c>
      <c r="Q19" s="15">
        <v>9.2522110790014267E-3</v>
      </c>
      <c r="R19" s="209">
        <v>0.10377709567546844</v>
      </c>
      <c r="S19"/>
      <c r="T19"/>
      <c r="U19" s="214">
        <v>0.12706926465034485</v>
      </c>
      <c r="V19"/>
      <c r="W19"/>
      <c r="X19"/>
      <c r="Y19" s="135">
        <v>7.5515471398830414E-2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>
        <v>0.68300002813339233</v>
      </c>
      <c r="C20">
        <v>8.9899592101573944E-2</v>
      </c>
      <c r="D20" s="14">
        <v>6.5181967802345753E-3</v>
      </c>
      <c r="E20" s="11">
        <v>5.4318306501954794E-4</v>
      </c>
      <c r="F20" s="12">
        <v>2.1727322600781918E-3</v>
      </c>
      <c r="G20" s="244">
        <v>7.9212360084056854E-2</v>
      </c>
      <c r="H20" s="11">
        <v>4.408101667650044E-4</v>
      </c>
      <c r="I20"/>
      <c r="J20" s="249">
        <v>0.22370012104511261</v>
      </c>
      <c r="K20" s="234">
        <v>5.6068997830152512E-2</v>
      </c>
      <c r="L20"/>
      <c r="M20" s="236">
        <v>4.6874526888132095E-2</v>
      </c>
      <c r="N20" s="25">
        <v>1.6796711832284927E-2</v>
      </c>
      <c r="O20"/>
      <c r="P20"/>
      <c r="Q20" s="13">
        <v>1.9905944354832172E-3</v>
      </c>
      <c r="R20" s="243">
        <v>7.8146010637283325E-2</v>
      </c>
      <c r="S20"/>
      <c r="T20"/>
      <c r="U20" s="28">
        <v>3.1895145773887634E-2</v>
      </c>
      <c r="V20"/>
      <c r="W20"/>
      <c r="X20"/>
      <c r="Y20" s="67">
        <v>4.8740997910499573E-2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>
        <v>1.4300000667572021</v>
      </c>
      <c r="C21">
        <v>0.14299987256526947</v>
      </c>
      <c r="D21" s="22">
        <v>7.744363509118557E-3</v>
      </c>
      <c r="E21"/>
      <c r="F21" s="13">
        <v>1.5488727949559689E-3</v>
      </c>
      <c r="G21" s="228">
        <v>3.4749533981084824E-2</v>
      </c>
      <c r="H21" s="12">
        <v>6.9121131673455238E-3</v>
      </c>
      <c r="I21" s="141">
        <v>4.132988303899765E-2</v>
      </c>
      <c r="J21" s="238">
        <v>0.1993427574634552</v>
      </c>
      <c r="K21" s="223">
        <v>0.10338865965604782</v>
      </c>
      <c r="L21" s="251">
        <v>0.89198404550552368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211</v>
      </c>
      <c r="B22">
        <v>0.58700001239776611</v>
      </c>
      <c r="C22">
        <v>0.1093098446726799</v>
      </c>
      <c r="D22" s="21">
        <v>5.1652891561388969E-3</v>
      </c>
      <c r="E22"/>
      <c r="F22" s="12">
        <v>2.0661158487200737E-3</v>
      </c>
      <c r="G22" s="20">
        <v>1.1588520370423794E-2</v>
      </c>
      <c r="H22" s="13">
        <v>8.3835900295525789E-4</v>
      </c>
      <c r="I22"/>
      <c r="J22"/>
      <c r="K22"/>
      <c r="L22"/>
      <c r="M22"/>
      <c r="N22" s="70">
        <v>4.6292111277580261E-2</v>
      </c>
      <c r="O22"/>
      <c r="P22"/>
      <c r="Q22" s="20">
        <v>1.135749276727438E-2</v>
      </c>
      <c r="R22" s="19">
        <v>2.54781823605299E-2</v>
      </c>
      <c r="S22"/>
      <c r="T22"/>
      <c r="U22" s="246">
        <v>0.25130602717399597</v>
      </c>
      <c r="V22"/>
      <c r="W22"/>
      <c r="X22"/>
      <c r="Y22" s="217">
        <v>0.12359804660081863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212</v>
      </c>
      <c r="B23">
        <v>0.15000000596046448</v>
      </c>
      <c r="C23">
        <v>7.5000010430812836E-2</v>
      </c>
      <c r="D23" s="213">
        <v>3.1768966466188431E-2</v>
      </c>
      <c r="E23"/>
      <c r="F23" s="215">
        <v>7.9422416165471077E-3</v>
      </c>
      <c r="G23"/>
      <c r="H23"/>
      <c r="I23"/>
      <c r="J23"/>
      <c r="K23"/>
      <c r="L23"/>
      <c r="M23"/>
      <c r="N23"/>
      <c r="O23" s="220">
        <v>3.5288788378238678E-2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213</v>
      </c>
      <c r="B24">
        <v>1.6000000238418579</v>
      </c>
      <c r="C24">
        <v>7.9999923706054688E-2</v>
      </c>
      <c r="D24" s="11">
        <v>7.6639458711724728E-5</v>
      </c>
      <c r="E24"/>
      <c r="F24" s="11">
        <v>4.5983670861460268E-4</v>
      </c>
      <c r="G24"/>
      <c r="H24"/>
      <c r="I24"/>
      <c r="J24" s="254">
        <v>0.12822727859020233</v>
      </c>
      <c r="K24"/>
      <c r="L24" s="14">
        <v>1.4534467831254005E-2</v>
      </c>
      <c r="M24" s="22">
        <v>8.2670971751213074E-3</v>
      </c>
      <c r="N24" s="22">
        <v>8.5871359333395958E-3</v>
      </c>
      <c r="O24" s="11">
        <v>3.7733596400357783E-4</v>
      </c>
      <c r="P24" s="63">
        <v>3.326714038848877E-2</v>
      </c>
      <c r="Q24" s="22">
        <v>9.6896486356854439E-3</v>
      </c>
      <c r="R24" s="22">
        <v>9.7027681767940521E-3</v>
      </c>
      <c r="S24" s="13">
        <v>2.515220083296299E-3</v>
      </c>
      <c r="T24" s="255">
        <v>0.23573398590087891</v>
      </c>
      <c r="U24" s="74">
        <v>0.26825186610221863</v>
      </c>
      <c r="V24" s="11">
        <v>3.6249324330128729E-4</v>
      </c>
      <c r="W24" s="215">
        <v>8.39725062251091E-2</v>
      </c>
      <c r="X24" s="24">
        <v>5.0381600856781006E-2</v>
      </c>
      <c r="Y24" s="260">
        <v>0.66019433736801147</v>
      </c>
      <c r="Z24"/>
      <c r="AA24" s="11">
        <v>1.1768282856792212E-3</v>
      </c>
      <c r="AB24" s="13">
        <v>4.221700131893158E-3</v>
      </c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214</v>
      </c>
      <c r="B25">
        <v>1.2000000476837158</v>
      </c>
      <c r="C25">
        <v>6.0000017285346985E-2</v>
      </c>
      <c r="D25"/>
      <c r="E25"/>
      <c r="F25"/>
      <c r="G25"/>
      <c r="H25"/>
      <c r="I25"/>
      <c r="J25"/>
      <c r="K25"/>
      <c r="L25"/>
      <c r="M25"/>
      <c r="N25"/>
      <c r="O25"/>
      <c r="P25" s="11">
        <v>6.5140076912939548E-5</v>
      </c>
      <c r="Q25" s="13">
        <v>3.167150542140007E-3</v>
      </c>
      <c r="R25" s="13">
        <v>1.4209693763405085E-3</v>
      </c>
      <c r="S25" s="11">
        <v>9.744956623762846E-4</v>
      </c>
      <c r="T25"/>
      <c r="U25" s="141">
        <v>3.5174194723367691E-2</v>
      </c>
      <c r="V25" s="11">
        <v>1.497328958066646E-5</v>
      </c>
      <c r="W25"/>
      <c r="X25" s="28">
        <v>5.7090509682893753E-2</v>
      </c>
      <c r="Y25"/>
      <c r="Z25"/>
      <c r="AA25"/>
      <c r="AB25" s="11">
        <v>1.171854673884809E-3</v>
      </c>
      <c r="AC25" s="265">
        <v>1.0409207344055176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215</v>
      </c>
      <c r="B26">
        <v>2.5</v>
      </c>
      <c r="C26">
        <v>0.12500002980232239</v>
      </c>
      <c r="D26"/>
      <c r="E26" s="11">
        <v>1.9348112982697785E-4</v>
      </c>
      <c r="F26"/>
      <c r="G26"/>
      <c r="H26"/>
      <c r="I26"/>
      <c r="J26" s="18">
        <v>4.1834309697151184E-2</v>
      </c>
      <c r="K26"/>
      <c r="L26" s="12">
        <v>1.0328449308872223E-2</v>
      </c>
      <c r="M26" s="14">
        <v>2.5879804044961929E-2</v>
      </c>
      <c r="N26" s="11">
        <v>2.1730794105678797E-3</v>
      </c>
      <c r="O26" s="11">
        <v>4.6468694563372992E-6</v>
      </c>
      <c r="P26" s="11">
        <v>6.0666364151984453E-4</v>
      </c>
      <c r="Q26" s="11">
        <v>2.4107607896439731E-4</v>
      </c>
      <c r="R26" s="13">
        <v>3.7538176402449608E-3</v>
      </c>
      <c r="S26" s="11">
        <v>5.4202048340812325E-4</v>
      </c>
      <c r="T26" s="64">
        <v>0.1016986295580864</v>
      </c>
      <c r="U26" s="23">
        <v>7.0762857794761658E-2</v>
      </c>
      <c r="V26" s="11">
        <v>1.9796841661445796E-4</v>
      </c>
      <c r="W26" s="13">
        <v>5.2998471073806286E-3</v>
      </c>
      <c r="X26" s="12">
        <v>1.0479864664375782E-2</v>
      </c>
      <c r="Y26" s="257">
        <v>0.2604222297668457</v>
      </c>
      <c r="Z26"/>
      <c r="AA26" s="11">
        <v>5.9419544413685799E-4</v>
      </c>
      <c r="AB26" s="11">
        <v>7.6737231574952602E-4</v>
      </c>
      <c r="AC26" s="267">
        <v>1.6157203912734985</v>
      </c>
      <c r="AD26" s="253">
        <v>0.22349934279918671</v>
      </c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216</v>
      </c>
      <c r="B27">
        <v>3</v>
      </c>
      <c r="C27">
        <v>0.15000003576278687</v>
      </c>
      <c r="D27" s="11">
        <v>3.8930753362365067E-4</v>
      </c>
      <c r="E27"/>
      <c r="F27"/>
      <c r="G27"/>
      <c r="H27"/>
      <c r="I27"/>
      <c r="J27" s="22">
        <v>2.004183828830719E-2</v>
      </c>
      <c r="K27"/>
      <c r="L27" s="18">
        <v>5.468972772359848E-2</v>
      </c>
      <c r="M27" s="13">
        <v>3.6954423412680626E-3</v>
      </c>
      <c r="N27"/>
      <c r="O27" s="11">
        <v>9.3500666480395012E-6</v>
      </c>
      <c r="P27" s="11">
        <v>2.8991173021495342E-3</v>
      </c>
      <c r="Q27" s="13">
        <v>4.0232636965811253E-3</v>
      </c>
      <c r="R27" s="11">
        <v>6.4009637571871281E-4</v>
      </c>
      <c r="S27" s="11">
        <v>1.9022283595404588E-5</v>
      </c>
      <c r="T27" s="19">
        <v>0.12884111702442169</v>
      </c>
      <c r="U27" s="22">
        <v>1.5844730660319328E-2</v>
      </c>
      <c r="V27" s="11">
        <v>5.0105227273888886E-6</v>
      </c>
      <c r="W27" s="14">
        <v>3.1991809606552124E-2</v>
      </c>
      <c r="X27" s="11">
        <v>1.8022875883616507E-4</v>
      </c>
      <c r="Y27"/>
      <c r="Z27"/>
      <c r="AA27"/>
      <c r="AB27" s="12">
        <v>1.3724856078624725E-2</v>
      </c>
      <c r="AC27" s="261">
        <v>0.71116191148757935</v>
      </c>
      <c r="AD27" s="263">
        <v>1.030836820602417</v>
      </c>
      <c r="AE27" s="262">
        <v>0.83100622892379761</v>
      </c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217</v>
      </c>
      <c r="B28">
        <v>100</v>
      </c>
      <c r="C28">
        <v>5.0000009536743164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 s="11">
        <v>3.7066040094941854E-3</v>
      </c>
      <c r="T28" s="11">
        <v>6.6455595195293427E-2</v>
      </c>
      <c r="U28" s="11">
        <v>9.5450438559055328E-2</v>
      </c>
      <c r="V28" s="11">
        <v>6.224102689884603E-4</v>
      </c>
      <c r="W28"/>
      <c r="X28" s="11">
        <v>4.7410160303115845E-2</v>
      </c>
      <c r="Y28"/>
      <c r="Z28"/>
      <c r="AA28"/>
      <c r="AB28"/>
      <c r="AC28" s="256">
        <v>14.847224235534668</v>
      </c>
      <c r="AD28" s="141">
        <v>3.0122208595275879</v>
      </c>
      <c r="AE28" s="266">
        <v>69.98516845703125</v>
      </c>
      <c r="AF28" s="236">
        <v>6.9417414665222168</v>
      </c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218</v>
      </c>
      <c r="B29">
        <v>63.439998626708984</v>
      </c>
      <c r="C29">
        <v>3.1720006465911865</v>
      </c>
      <c r="D29"/>
      <c r="E29"/>
      <c r="F29"/>
      <c r="G29" s="13">
        <v>0.11107593774795532</v>
      </c>
      <c r="H29"/>
      <c r="I29" s="11">
        <v>9.3694888055324554E-3</v>
      </c>
      <c r="J29" s="25">
        <v>1.6275483369827271</v>
      </c>
      <c r="K29" s="13">
        <v>0.16406749188899994</v>
      </c>
      <c r="L29" s="18">
        <v>1.1024476289749146</v>
      </c>
      <c r="M29" s="16">
        <v>0.83327525854110718</v>
      </c>
      <c r="N29"/>
      <c r="O29" s="11">
        <v>1.7706342041492462E-3</v>
      </c>
      <c r="P29" s="11">
        <v>4.6449128538370132E-2</v>
      </c>
      <c r="Q29" s="11">
        <v>3.8603373104706407E-4</v>
      </c>
      <c r="R29" s="11">
        <v>5.7732453569769859E-4</v>
      </c>
      <c r="S29" s="11">
        <v>1.458331011235714E-3</v>
      </c>
      <c r="T29" s="13">
        <v>0.14013093709945679</v>
      </c>
      <c r="U29" s="12">
        <v>0.30045357346534729</v>
      </c>
      <c r="V29" s="11">
        <v>1.4630780788138509E-3</v>
      </c>
      <c r="W29" s="268">
        <v>45.109188079833984</v>
      </c>
      <c r="X29" s="13">
        <v>0.17555873095989227</v>
      </c>
      <c r="Y29"/>
      <c r="Z29" s="25">
        <v>1.6209057569503784</v>
      </c>
      <c r="AA29"/>
      <c r="AB29"/>
      <c r="AC29" s="223">
        <v>4.6273937225341797</v>
      </c>
      <c r="AD29" s="13">
        <v>6.3376046717166901E-2</v>
      </c>
      <c r="AE29" s="259">
        <v>2.9218285083770752</v>
      </c>
      <c r="AF29" s="63">
        <v>1.4092714786529541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219</v>
      </c>
      <c r="B30">
        <v>285</v>
      </c>
      <c r="C30">
        <v>14.250003814697266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11">
        <v>0.23800282180309296</v>
      </c>
      <c r="AD30" s="11">
        <v>6.5844908356666565E-2</v>
      </c>
      <c r="AE30" s="23">
        <v>7.9850802421569824</v>
      </c>
      <c r="AF30" s="13">
        <v>0.64423507452011108</v>
      </c>
      <c r="AG30"/>
      <c r="AH30" s="269">
        <v>261.81683349609375</v>
      </c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220</v>
      </c>
      <c r="B31">
        <v>13.25</v>
      </c>
      <c r="C31">
        <v>6.625</v>
      </c>
      <c r="D31"/>
      <c r="E31"/>
      <c r="F31"/>
      <c r="G31"/>
      <c r="H31"/>
      <c r="I31"/>
      <c r="J31"/>
      <c r="K31"/>
      <c r="L31"/>
      <c r="M31"/>
      <c r="N31"/>
      <c r="O31"/>
      <c r="P31"/>
      <c r="Q31" s="11">
        <v>1.7908363588503562E-5</v>
      </c>
      <c r="R31" s="11">
        <v>3.7763274740427732E-3</v>
      </c>
      <c r="S31"/>
      <c r="T31"/>
      <c r="U31" s="13">
        <v>1.9676182419061661E-2</v>
      </c>
      <c r="V31"/>
      <c r="W31"/>
      <c r="X31" s="11">
        <v>2.2623018594458699E-4</v>
      </c>
      <c r="Y31" s="215">
        <v>0.7001349925994873</v>
      </c>
      <c r="Z31"/>
      <c r="AA31" s="229">
        <v>0.74737632274627686</v>
      </c>
      <c r="AB31" s="11">
        <v>8.3986381068825722E-3</v>
      </c>
      <c r="AC31" s="227">
        <v>1.2752546072006226</v>
      </c>
      <c r="AD31" s="103">
        <v>1.6287914514541626</v>
      </c>
      <c r="AE31" s="136">
        <v>1.5823471546173096</v>
      </c>
      <c r="AF31" s="264">
        <v>0.65900051593780518</v>
      </c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221</v>
      </c>
      <c r="B32"/>
      <c r="C32">
        <v>0.79380261898040771</v>
      </c>
      <c r="D32"/>
      <c r="E32"/>
      <c r="F32"/>
      <c r="G32"/>
      <c r="H32"/>
      <c r="I32"/>
      <c r="J32"/>
      <c r="K32"/>
      <c r="L32"/>
      <c r="M32"/>
      <c r="N32"/>
      <c r="O32"/>
      <c r="P32"/>
      <c r="Q32" s="9">
        <v>1.1726990342140198E-2</v>
      </c>
      <c r="R32"/>
      <c r="S32" s="9">
        <v>4.0718149393796921E-3</v>
      </c>
      <c r="T32" s="9">
        <v>1.9467611312866211</v>
      </c>
      <c r="U32"/>
      <c r="V32" s="9">
        <v>8.0439657904207706E-4</v>
      </c>
      <c r="W32" s="9">
        <v>6.848015308380127</v>
      </c>
      <c r="X32"/>
      <c r="Y32"/>
      <c r="Z32"/>
      <c r="AA32" s="9">
        <v>3.0710769817233086E-2</v>
      </c>
      <c r="AB32"/>
      <c r="AC32" s="9">
        <v>17.484468460083008</v>
      </c>
      <c r="AD32" s="9">
        <v>6.1382503509521484</v>
      </c>
      <c r="AE32" s="9">
        <v>76.880882263183594</v>
      </c>
      <c r="AF32" s="9">
        <v>138.2261962890625</v>
      </c>
      <c r="AG32" s="9">
        <v>94.473678588867188</v>
      </c>
      <c r="AH32" s="9">
        <v>79.742637634277344</v>
      </c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222</v>
      </c>
      <c r="B33"/>
      <c r="C33">
        <v>0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0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2" t="s">
        <v>191</v>
      </c>
      <c r="E5">
        <v>4</v>
      </c>
      <c r="F5">
        <v>3.13</v>
      </c>
      <c r="G5">
        <v>4</v>
      </c>
      <c r="H5" s="193" t="s">
        <v>191</v>
      </c>
      <c r="J5" s="56"/>
      <c r="K5" s="57"/>
    </row>
    <row r="6" spans="1:12" ht="14" thickBot="1" x14ac:dyDescent="0.2">
      <c r="A6" s="40" t="s">
        <v>121</v>
      </c>
      <c r="D6" s="192" t="s">
        <v>192</v>
      </c>
      <c r="E6">
        <v>5</v>
      </c>
      <c r="F6">
        <v>3.13</v>
      </c>
      <c r="G6">
        <v>5</v>
      </c>
      <c r="H6" s="193" t="s">
        <v>192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2" t="s">
        <v>193</v>
      </c>
      <c r="E7">
        <v>6</v>
      </c>
      <c r="F7">
        <v>3.12</v>
      </c>
      <c r="G7">
        <v>6</v>
      </c>
      <c r="H7" s="193" t="s">
        <v>193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2" t="s">
        <v>194</v>
      </c>
      <c r="E8">
        <v>7</v>
      </c>
      <c r="F8">
        <v>3.12</v>
      </c>
      <c r="G8">
        <v>7</v>
      </c>
      <c r="H8" s="193" t="s">
        <v>194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2" t="s">
        <v>195</v>
      </c>
      <c r="E9">
        <v>8</v>
      </c>
      <c r="F9">
        <v>3.1</v>
      </c>
      <c r="G9">
        <v>8</v>
      </c>
      <c r="H9" s="193" t="s">
        <v>195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2" t="s">
        <v>196</v>
      </c>
      <c r="E10">
        <v>9</v>
      </c>
      <c r="F10">
        <v>3.12</v>
      </c>
      <c r="G10">
        <v>9</v>
      </c>
      <c r="H10" s="193" t="s">
        <v>196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2" t="s">
        <v>197</v>
      </c>
      <c r="E11">
        <v>10</v>
      </c>
      <c r="F11">
        <v>3.12</v>
      </c>
      <c r="G11">
        <v>10</v>
      </c>
      <c r="H11" s="193" t="s">
        <v>197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2" t="s">
        <v>198</v>
      </c>
      <c r="E12">
        <v>11</v>
      </c>
      <c r="F12">
        <v>3.22</v>
      </c>
      <c r="G12">
        <v>11</v>
      </c>
      <c r="H12" s="193" t="s">
        <v>198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2" t="s">
        <v>199</v>
      </c>
      <c r="E13">
        <v>12</v>
      </c>
      <c r="F13">
        <v>3.12</v>
      </c>
      <c r="G13">
        <v>12</v>
      </c>
      <c r="H13" s="193" t="s">
        <v>199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2" t="s">
        <v>200</v>
      </c>
      <c r="E14">
        <v>13</v>
      </c>
      <c r="F14">
        <v>3.2</v>
      </c>
      <c r="G14">
        <v>13</v>
      </c>
      <c r="H14" s="193" t="s">
        <v>200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2" t="s">
        <v>201</v>
      </c>
      <c r="E15">
        <v>14</v>
      </c>
      <c r="F15">
        <v>3.22</v>
      </c>
      <c r="G15">
        <v>14</v>
      </c>
      <c r="H15" s="193" t="s">
        <v>201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2" t="s">
        <v>202</v>
      </c>
      <c r="E16">
        <v>15</v>
      </c>
      <c r="F16">
        <v>3.2</v>
      </c>
      <c r="G16">
        <v>15</v>
      </c>
      <c r="H16" s="193" t="s">
        <v>202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2" t="s">
        <v>203</v>
      </c>
      <c r="E17">
        <v>16</v>
      </c>
      <c r="F17">
        <v>3.22</v>
      </c>
      <c r="G17">
        <v>16</v>
      </c>
      <c r="H17" s="193" t="s">
        <v>203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2" t="s">
        <v>204</v>
      </c>
      <c r="E18">
        <v>17</v>
      </c>
      <c r="F18">
        <v>3.22</v>
      </c>
      <c r="G18">
        <v>17</v>
      </c>
      <c r="H18" s="193" t="s">
        <v>204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2" t="s">
        <v>205</v>
      </c>
      <c r="E19">
        <v>18</v>
      </c>
      <c r="F19">
        <v>3.22</v>
      </c>
      <c r="G19">
        <v>18</v>
      </c>
      <c r="H19" s="193" t="s">
        <v>205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2" t="s">
        <v>206</v>
      </c>
      <c r="E20">
        <v>19</v>
      </c>
      <c r="F20">
        <v>3.22</v>
      </c>
      <c r="G20">
        <v>19</v>
      </c>
      <c r="H20" s="193" t="s">
        <v>206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2" t="s">
        <v>207</v>
      </c>
      <c r="E21">
        <v>20</v>
      </c>
      <c r="F21">
        <v>3.12</v>
      </c>
      <c r="G21">
        <v>20</v>
      </c>
      <c r="H21" s="193" t="s">
        <v>207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2" t="s">
        <v>208</v>
      </c>
      <c r="E22">
        <v>21</v>
      </c>
      <c r="F22">
        <v>3.22</v>
      </c>
      <c r="G22">
        <v>21</v>
      </c>
      <c r="H22" s="193" t="s">
        <v>208</v>
      </c>
    </row>
    <row r="23" spans="1:12" x14ac:dyDescent="0.15">
      <c r="A23" s="35" t="s">
        <v>129</v>
      </c>
      <c r="B23" s="43">
        <v>4</v>
      </c>
      <c r="C23" s="37"/>
      <c r="D23" s="192" t="s">
        <v>209</v>
      </c>
      <c r="E23">
        <v>22</v>
      </c>
      <c r="F23">
        <v>3.22</v>
      </c>
      <c r="G23">
        <v>22</v>
      </c>
      <c r="H23" s="193" t="s">
        <v>209</v>
      </c>
    </row>
    <row r="24" spans="1:12" x14ac:dyDescent="0.15">
      <c r="A24" s="35" t="s">
        <v>122</v>
      </c>
      <c r="B24" s="43">
        <v>4.0999999999999996</v>
      </c>
      <c r="C24" s="37"/>
      <c r="D24" s="192" t="s">
        <v>210</v>
      </c>
      <c r="E24">
        <v>23</v>
      </c>
      <c r="F24">
        <v>3.12</v>
      </c>
      <c r="G24">
        <v>23</v>
      </c>
      <c r="H24" s="193" t="s">
        <v>210</v>
      </c>
    </row>
    <row r="25" spans="1:12" x14ac:dyDescent="0.15">
      <c r="A25" s="35" t="s">
        <v>70</v>
      </c>
      <c r="B25" s="43">
        <v>4.2</v>
      </c>
      <c r="C25" s="37"/>
      <c r="D25" s="192" t="s">
        <v>211</v>
      </c>
      <c r="E25">
        <v>24</v>
      </c>
      <c r="F25">
        <v>3</v>
      </c>
      <c r="G25">
        <v>24</v>
      </c>
      <c r="H25" s="193" t="s">
        <v>211</v>
      </c>
    </row>
    <row r="26" spans="1:12" x14ac:dyDescent="0.15">
      <c r="A26" s="35" t="s">
        <v>123</v>
      </c>
      <c r="B26" s="43">
        <v>4.3</v>
      </c>
      <c r="C26" s="37"/>
      <c r="D26" s="192" t="s">
        <v>212</v>
      </c>
      <c r="E26">
        <v>25</v>
      </c>
      <c r="F26">
        <v>3.12</v>
      </c>
      <c r="G26">
        <v>25</v>
      </c>
      <c r="H26" s="193" t="s">
        <v>212</v>
      </c>
    </row>
    <row r="27" spans="1:12" x14ac:dyDescent="0.15">
      <c r="A27" s="35" t="s">
        <v>125</v>
      </c>
      <c r="B27" s="43">
        <v>6.1</v>
      </c>
      <c r="D27" s="192" t="s">
        <v>213</v>
      </c>
      <c r="E27">
        <v>26</v>
      </c>
      <c r="F27">
        <v>3</v>
      </c>
      <c r="G27">
        <v>26</v>
      </c>
      <c r="H27" s="193" t="s">
        <v>213</v>
      </c>
    </row>
    <row r="28" spans="1:12" x14ac:dyDescent="0.15">
      <c r="A28" s="35" t="s">
        <v>124</v>
      </c>
      <c r="B28" s="43">
        <v>6.2</v>
      </c>
      <c r="D28" s="192" t="s">
        <v>214</v>
      </c>
      <c r="E28">
        <v>27</v>
      </c>
      <c r="F28">
        <v>3.21</v>
      </c>
      <c r="G28">
        <v>27</v>
      </c>
      <c r="H28" s="193" t="s">
        <v>214</v>
      </c>
    </row>
    <row r="29" spans="1:12" x14ac:dyDescent="0.15">
      <c r="A29" s="35" t="s">
        <v>44</v>
      </c>
      <c r="B29" s="43">
        <v>5</v>
      </c>
      <c r="D29" s="192" t="s">
        <v>215</v>
      </c>
      <c r="E29">
        <v>28</v>
      </c>
      <c r="F29">
        <v>3</v>
      </c>
      <c r="G29">
        <v>28</v>
      </c>
      <c r="H29" s="193" t="s">
        <v>215</v>
      </c>
    </row>
    <row r="30" spans="1:12" x14ac:dyDescent="0.15">
      <c r="A30" s="35" t="s">
        <v>73</v>
      </c>
      <c r="B30" s="43">
        <v>7</v>
      </c>
      <c r="D30" s="192" t="s">
        <v>216</v>
      </c>
      <c r="E30">
        <v>29</v>
      </c>
      <c r="F30">
        <v>9</v>
      </c>
      <c r="G30">
        <v>29</v>
      </c>
      <c r="H30" s="193" t="s">
        <v>216</v>
      </c>
    </row>
    <row r="31" spans="1:12" x14ac:dyDescent="0.15">
      <c r="A31" s="35" t="s">
        <v>169</v>
      </c>
      <c r="B31" s="43">
        <v>3.14</v>
      </c>
      <c r="D31" s="192" t="s">
        <v>217</v>
      </c>
      <c r="E31">
        <v>30</v>
      </c>
      <c r="F31">
        <v>3.14</v>
      </c>
      <c r="G31">
        <v>30</v>
      </c>
      <c r="H31" s="193" t="s">
        <v>217</v>
      </c>
    </row>
    <row r="32" spans="1:12" ht="12" customHeight="1" thickBot="1" x14ac:dyDescent="0.2">
      <c r="A32" s="41" t="s">
        <v>170</v>
      </c>
      <c r="B32" s="44">
        <v>9</v>
      </c>
      <c r="D32" s="192" t="s">
        <v>218</v>
      </c>
      <c r="E32">
        <v>31</v>
      </c>
      <c r="F32">
        <v>3.11</v>
      </c>
      <c r="G32">
        <v>31</v>
      </c>
      <c r="H32" s="193" t="s">
        <v>218</v>
      </c>
    </row>
    <row r="33" spans="4:8" customFormat="1" ht="12" customHeight="1" x14ac:dyDescent="0.15">
      <c r="D33" s="192" t="s">
        <v>219</v>
      </c>
      <c r="E33">
        <v>32</v>
      </c>
      <c r="F33">
        <v>2</v>
      </c>
      <c r="G33">
        <v>32</v>
      </c>
      <c r="H33" s="193" t="s">
        <v>219</v>
      </c>
    </row>
    <row r="34" spans="4:8" customFormat="1" ht="12" customHeight="1" x14ac:dyDescent="0.15">
      <c r="D34" s="192" t="s">
        <v>220</v>
      </c>
      <c r="E34">
        <v>33</v>
      </c>
      <c r="F34">
        <v>2</v>
      </c>
      <c r="G34">
        <v>33</v>
      </c>
      <c r="H34" s="193" t="s">
        <v>220</v>
      </c>
    </row>
    <row r="35" spans="4:8" customFormat="1" x14ac:dyDescent="0.15">
      <c r="D35" s="192" t="s">
        <v>221</v>
      </c>
      <c r="E35">
        <v>34</v>
      </c>
      <c r="F35">
        <v>4.0999999999999996</v>
      </c>
      <c r="G35">
        <v>34</v>
      </c>
      <c r="H35" s="193" t="s">
        <v>221</v>
      </c>
    </row>
    <row r="36" spans="4:8" customFormat="1" x14ac:dyDescent="0.15">
      <c r="D36" s="192" t="s">
        <v>222</v>
      </c>
      <c r="E36">
        <v>35</v>
      </c>
      <c r="F36">
        <v>4.3</v>
      </c>
      <c r="G36">
        <v>35</v>
      </c>
      <c r="H36" s="193" t="s">
        <v>222</v>
      </c>
    </row>
    <row r="37" spans="4:8" customFormat="1" ht="12" customHeight="1" x14ac:dyDescent="0.15">
      <c r="D37" s="192" t="s">
        <v>223</v>
      </c>
      <c r="E37">
        <v>36</v>
      </c>
      <c r="F37">
        <v>5</v>
      </c>
      <c r="G37">
        <v>36</v>
      </c>
      <c r="H37" s="193" t="s">
        <v>223</v>
      </c>
    </row>
    <row r="38" spans="4:8" customFormat="1" x14ac:dyDescent="0.15">
      <c r="D38" s="192" t="s">
        <v>224</v>
      </c>
      <c r="E38">
        <v>37</v>
      </c>
      <c r="F38">
        <v>5</v>
      </c>
      <c r="G38">
        <v>37</v>
      </c>
      <c r="H38" s="193" t="s">
        <v>224</v>
      </c>
    </row>
    <row r="39" spans="4:8" customFormat="1" x14ac:dyDescent="0.15">
      <c r="D39" s="192" t="s">
        <v>225</v>
      </c>
      <c r="E39">
        <v>38</v>
      </c>
      <c r="F39">
        <v>5</v>
      </c>
      <c r="G39">
        <v>38</v>
      </c>
      <c r="H39" s="193" t="s">
        <v>225</v>
      </c>
    </row>
    <row r="40" spans="4:8" customFormat="1" x14ac:dyDescent="0.15">
      <c r="D40" s="192" t="s">
        <v>138</v>
      </c>
      <c r="E40">
        <v>39</v>
      </c>
      <c r="F40">
        <v>6.1</v>
      </c>
      <c r="G40">
        <v>39</v>
      </c>
      <c r="H40" s="193" t="s">
        <v>138</v>
      </c>
    </row>
    <row r="41" spans="4:8" customFormat="1" x14ac:dyDescent="0.15">
      <c r="D41" s="192" t="s">
        <v>45</v>
      </c>
      <c r="E41">
        <v>40</v>
      </c>
      <c r="F41">
        <v>6.2</v>
      </c>
      <c r="G41">
        <v>40</v>
      </c>
      <c r="H41" s="193" t="s">
        <v>45</v>
      </c>
    </row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80" bestFit="1" customWidth="1"/>
    <col min="2" max="2" width="12.83203125" style="79" customWidth="1"/>
    <col min="3" max="3" width="13.1640625" style="79" customWidth="1"/>
    <col min="4" max="4" width="10.83203125" style="79" customWidth="1"/>
    <col min="5" max="5" width="12.83203125" style="79" customWidth="1"/>
    <col min="6" max="6" width="21.6640625" style="79" bestFit="1" customWidth="1"/>
    <col min="7" max="9" width="2.33203125" style="79" customWidth="1"/>
    <col min="10" max="10" width="2.33203125" style="79" bestFit="1" customWidth="1"/>
    <col min="11" max="15" width="2.33203125" style="79" customWidth="1"/>
    <col min="16" max="16" width="2.33203125" style="68" customWidth="1"/>
    <col min="17" max="17" width="2.33203125" style="79" customWidth="1"/>
    <col min="18" max="18" width="2.33203125" style="69" customWidth="1"/>
    <col min="19" max="16384" width="11.5" style="79"/>
  </cols>
  <sheetData>
    <row r="1" spans="1:23" ht="15" customHeight="1" thickBot="1" x14ac:dyDescent="0.2">
      <c r="F1" s="1"/>
      <c r="G1" s="66" t="s">
        <v>46</v>
      </c>
      <c r="H1" s="66" t="s">
        <v>47</v>
      </c>
      <c r="I1" s="66" t="s">
        <v>120</v>
      </c>
      <c r="J1" s="66" t="s">
        <v>132</v>
      </c>
      <c r="K1" s="81" t="s">
        <v>48</v>
      </c>
      <c r="L1" s="69"/>
      <c r="M1" s="81" t="s">
        <v>119</v>
      </c>
      <c r="N1" s="69"/>
      <c r="O1" s="81" t="s">
        <v>49</v>
      </c>
      <c r="P1" s="71"/>
      <c r="Q1" s="81" t="s">
        <v>50</v>
      </c>
      <c r="R1" s="66" t="s">
        <v>154</v>
      </c>
    </row>
    <row r="2" spans="1:23" ht="15" customHeight="1" x14ac:dyDescent="0.15">
      <c r="A2" s="81" t="s">
        <v>51</v>
      </c>
      <c r="B2" s="82">
        <v>0.5</v>
      </c>
      <c r="C2" s="80" t="s">
        <v>52</v>
      </c>
      <c r="D2" s="83"/>
      <c r="F2" s="1"/>
      <c r="G2" s="84"/>
      <c r="H2" s="84"/>
      <c r="I2" s="84" t="s">
        <v>133</v>
      </c>
      <c r="J2" s="84" t="s">
        <v>133</v>
      </c>
      <c r="K2" s="84" t="s">
        <v>52</v>
      </c>
      <c r="L2" s="84" t="s">
        <v>53</v>
      </c>
      <c r="M2" s="84" t="s">
        <v>52</v>
      </c>
      <c r="N2" s="84" t="s">
        <v>53</v>
      </c>
      <c r="O2" s="84" t="s">
        <v>52</v>
      </c>
      <c r="P2" s="85" t="s">
        <v>53</v>
      </c>
      <c r="Q2" s="84"/>
      <c r="R2" s="86" t="s">
        <v>155</v>
      </c>
    </row>
    <row r="3" spans="1:23" ht="15" customHeight="1" thickBot="1" x14ac:dyDescent="0.2">
      <c r="A3" s="81" t="s">
        <v>54</v>
      </c>
      <c r="B3" s="87">
        <v>0.5</v>
      </c>
      <c r="C3" s="80" t="s">
        <v>53</v>
      </c>
      <c r="D3" s="83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4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4">
        <v>0</v>
      </c>
      <c r="R4" s="107">
        <v>0</v>
      </c>
    </row>
    <row r="5" spans="1:23" ht="15" customHeight="1" x14ac:dyDescent="0.15">
      <c r="A5" s="81" t="s">
        <v>55</v>
      </c>
      <c r="B5" s="88">
        <v>0.5</v>
      </c>
      <c r="C5" s="80" t="s">
        <v>52</v>
      </c>
      <c r="D5" s="83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4">
        <v>0</v>
      </c>
      <c r="R5" s="107">
        <v>0</v>
      </c>
    </row>
    <row r="6" spans="1:23" ht="15" customHeight="1" thickBot="1" x14ac:dyDescent="0.2">
      <c r="A6" s="81"/>
      <c r="B6" s="89">
        <v>0.5</v>
      </c>
      <c r="C6" s="80" t="s">
        <v>53</v>
      </c>
      <c r="D6" s="83"/>
      <c r="F6" s="194" t="s">
        <v>191</v>
      </c>
      <c r="G6" s="79">
        <v>0</v>
      </c>
      <c r="H6" s="79">
        <v>0</v>
      </c>
      <c r="I6" s="79">
        <v>0</v>
      </c>
      <c r="J6" s="79">
        <v>0</v>
      </c>
      <c r="K6" s="79">
        <v>1</v>
      </c>
      <c r="L6" s="79">
        <v>0</v>
      </c>
      <c r="M6" s="79">
        <v>1</v>
      </c>
      <c r="N6" s="79">
        <v>0</v>
      </c>
      <c r="O6" s="79">
        <v>1</v>
      </c>
      <c r="P6" s="68">
        <v>0</v>
      </c>
      <c r="Q6" s="79">
        <v>0</v>
      </c>
      <c r="R6" s="69">
        <v>1</v>
      </c>
      <c r="S6"/>
      <c r="T6"/>
    </row>
    <row r="7" spans="1:23" ht="15" customHeight="1" thickBot="1" x14ac:dyDescent="0.2">
      <c r="F7" s="194" t="s">
        <v>192</v>
      </c>
      <c r="G7" s="79">
        <v>0</v>
      </c>
      <c r="H7" s="79">
        <v>0</v>
      </c>
      <c r="I7" s="79">
        <v>0</v>
      </c>
      <c r="J7" s="79">
        <v>0</v>
      </c>
      <c r="K7" s="79">
        <v>1</v>
      </c>
      <c r="L7" s="79">
        <v>0</v>
      </c>
      <c r="M7" s="79">
        <v>1</v>
      </c>
      <c r="N7" s="79">
        <v>0</v>
      </c>
      <c r="O7" s="79">
        <v>1</v>
      </c>
      <c r="P7" s="68">
        <v>0</v>
      </c>
      <c r="Q7" s="79">
        <v>0</v>
      </c>
      <c r="R7" s="69">
        <v>1</v>
      </c>
      <c r="S7"/>
      <c r="T7"/>
    </row>
    <row r="8" spans="1:23" ht="15" customHeight="1" x14ac:dyDescent="0.15">
      <c r="A8" s="81" t="s">
        <v>56</v>
      </c>
      <c r="B8" s="88">
        <v>0.74235229240281853</v>
      </c>
      <c r="C8" s="195" t="s">
        <v>219</v>
      </c>
      <c r="D8" s="83" t="s">
        <v>160</v>
      </c>
      <c r="F8" s="194" t="s">
        <v>193</v>
      </c>
      <c r="G8" s="79">
        <v>0</v>
      </c>
      <c r="H8" s="79">
        <v>0</v>
      </c>
      <c r="I8" s="79">
        <v>0</v>
      </c>
      <c r="J8" s="79">
        <v>0</v>
      </c>
      <c r="K8" s="79">
        <v>1</v>
      </c>
      <c r="L8" s="79">
        <v>0</v>
      </c>
      <c r="M8" s="79">
        <v>1</v>
      </c>
      <c r="N8" s="79">
        <v>0</v>
      </c>
      <c r="O8" s="79">
        <v>1</v>
      </c>
      <c r="P8" s="68">
        <v>0</v>
      </c>
      <c r="Q8" s="79">
        <v>0</v>
      </c>
      <c r="R8" s="69">
        <v>1</v>
      </c>
      <c r="S8"/>
      <c r="T8"/>
      <c r="W8"/>
    </row>
    <row r="9" spans="1:23" ht="15" customHeight="1" x14ac:dyDescent="0.15">
      <c r="A9" s="121" t="s">
        <v>168</v>
      </c>
      <c r="B9" s="90">
        <v>0.25764770759718136</v>
      </c>
      <c r="C9" s="195" t="s">
        <v>220</v>
      </c>
      <c r="D9" s="83" t="s">
        <v>160</v>
      </c>
      <c r="F9" s="194" t="s">
        <v>194</v>
      </c>
      <c r="G9" s="79">
        <v>0</v>
      </c>
      <c r="H9" s="79">
        <v>0</v>
      </c>
      <c r="I9" s="79">
        <v>0</v>
      </c>
      <c r="J9" s="79">
        <v>0</v>
      </c>
      <c r="K9" s="79">
        <v>1</v>
      </c>
      <c r="L9" s="79">
        <v>0</v>
      </c>
      <c r="M9" s="79">
        <v>1</v>
      </c>
      <c r="N9" s="79">
        <v>0</v>
      </c>
      <c r="O9" s="79">
        <v>1</v>
      </c>
      <c r="P9" s="68">
        <v>0</v>
      </c>
      <c r="Q9" s="79">
        <v>0</v>
      </c>
      <c r="R9" s="69">
        <v>1</v>
      </c>
      <c r="S9"/>
      <c r="T9"/>
      <c r="W9"/>
    </row>
    <row r="10" spans="1:23" ht="15" customHeight="1" x14ac:dyDescent="0.15">
      <c r="B10" s="90"/>
      <c r="C10" s="78"/>
      <c r="D10" s="83" t="s">
        <v>160</v>
      </c>
      <c r="F10" s="194" t="s">
        <v>195</v>
      </c>
      <c r="G10" s="79">
        <v>0</v>
      </c>
      <c r="H10" s="79">
        <v>0</v>
      </c>
      <c r="I10" s="79">
        <v>0</v>
      </c>
      <c r="J10" s="79">
        <v>0</v>
      </c>
      <c r="K10" s="79">
        <v>1</v>
      </c>
      <c r="L10" s="79">
        <v>0</v>
      </c>
      <c r="M10" s="79">
        <v>1</v>
      </c>
      <c r="N10" s="79">
        <v>0</v>
      </c>
      <c r="O10" s="79">
        <v>1</v>
      </c>
      <c r="P10" s="68">
        <v>0</v>
      </c>
      <c r="Q10" s="79">
        <v>0</v>
      </c>
      <c r="R10" s="69">
        <v>1</v>
      </c>
      <c r="S10"/>
      <c r="T10"/>
      <c r="W10"/>
    </row>
    <row r="11" spans="1:23" ht="15" customHeight="1" x14ac:dyDescent="0.15">
      <c r="A11" s="81"/>
      <c r="B11" s="90"/>
      <c r="C11" s="93"/>
      <c r="D11" s="83" t="s">
        <v>160</v>
      </c>
      <c r="F11" s="194" t="s">
        <v>196</v>
      </c>
      <c r="G11" s="79">
        <v>0</v>
      </c>
      <c r="H11" s="79">
        <v>0</v>
      </c>
      <c r="I11" s="79">
        <v>0</v>
      </c>
      <c r="J11" s="79">
        <v>0</v>
      </c>
      <c r="K11" s="79">
        <v>1</v>
      </c>
      <c r="L11" s="79">
        <v>0</v>
      </c>
      <c r="M11" s="79">
        <v>1</v>
      </c>
      <c r="N11" s="79">
        <v>0</v>
      </c>
      <c r="O11" s="79">
        <v>1</v>
      </c>
      <c r="P11" s="68">
        <v>0</v>
      </c>
      <c r="Q11" s="79">
        <v>0</v>
      </c>
      <c r="R11" s="69">
        <v>1</v>
      </c>
      <c r="S11"/>
      <c r="T11"/>
      <c r="W11"/>
    </row>
    <row r="12" spans="1:23" ht="15" customHeight="1" x14ac:dyDescent="0.15">
      <c r="B12" s="90"/>
      <c r="C12" s="94"/>
      <c r="D12" s="83" t="s">
        <v>160</v>
      </c>
      <c r="F12" s="194" t="s">
        <v>197</v>
      </c>
      <c r="G12" s="79">
        <v>0</v>
      </c>
      <c r="H12" s="79">
        <v>0</v>
      </c>
      <c r="I12" s="79">
        <v>0</v>
      </c>
      <c r="J12" s="79">
        <v>0</v>
      </c>
      <c r="K12" s="79">
        <v>1</v>
      </c>
      <c r="L12" s="79">
        <v>0</v>
      </c>
      <c r="M12" s="79">
        <v>1</v>
      </c>
      <c r="N12" s="79">
        <v>0</v>
      </c>
      <c r="O12" s="79">
        <v>1</v>
      </c>
      <c r="P12" s="68">
        <v>0</v>
      </c>
      <c r="Q12" s="79">
        <v>0</v>
      </c>
      <c r="R12" s="69">
        <v>1</v>
      </c>
      <c r="S12"/>
      <c r="T12"/>
      <c r="W12"/>
    </row>
    <row r="13" spans="1:23" ht="15" customHeight="1" x14ac:dyDescent="0.15">
      <c r="B13" s="90"/>
      <c r="C13" s="94"/>
      <c r="D13" s="83" t="s">
        <v>160</v>
      </c>
      <c r="F13" s="194" t="s">
        <v>198</v>
      </c>
      <c r="G13" s="79">
        <v>0</v>
      </c>
      <c r="H13" s="79">
        <v>0</v>
      </c>
      <c r="I13" s="79">
        <v>0</v>
      </c>
      <c r="J13" s="79">
        <v>0</v>
      </c>
      <c r="K13" s="79">
        <v>1</v>
      </c>
      <c r="L13" s="79">
        <v>0</v>
      </c>
      <c r="M13" s="79">
        <v>1</v>
      </c>
      <c r="N13" s="79">
        <v>0</v>
      </c>
      <c r="O13" s="79">
        <v>1</v>
      </c>
      <c r="P13" s="68">
        <v>0</v>
      </c>
      <c r="Q13" s="79">
        <v>0</v>
      </c>
      <c r="R13" s="69">
        <v>1</v>
      </c>
      <c r="S13"/>
      <c r="T13"/>
      <c r="W13"/>
    </row>
    <row r="14" spans="1:23" ht="15" customHeight="1" x14ac:dyDescent="0.15">
      <c r="B14" s="90"/>
      <c r="C14" s="78"/>
      <c r="D14" s="83" t="s">
        <v>160</v>
      </c>
      <c r="F14" s="194" t="s">
        <v>199</v>
      </c>
      <c r="G14" s="79">
        <v>0</v>
      </c>
      <c r="H14" s="79">
        <v>0</v>
      </c>
      <c r="I14" s="79">
        <v>0</v>
      </c>
      <c r="J14" s="79">
        <v>0</v>
      </c>
      <c r="K14" s="79">
        <v>1</v>
      </c>
      <c r="L14" s="79">
        <v>0</v>
      </c>
      <c r="M14" s="79">
        <v>1</v>
      </c>
      <c r="N14" s="79">
        <v>0</v>
      </c>
      <c r="O14" s="79">
        <v>1</v>
      </c>
      <c r="P14" s="68">
        <v>0</v>
      </c>
      <c r="Q14" s="79">
        <v>0</v>
      </c>
      <c r="R14" s="69">
        <v>1</v>
      </c>
      <c r="S14"/>
      <c r="T14"/>
      <c r="W14"/>
    </row>
    <row r="15" spans="1:23" ht="15" customHeight="1" x14ac:dyDescent="0.15">
      <c r="B15" s="90"/>
      <c r="C15" s="78"/>
      <c r="D15" s="83" t="s">
        <v>160</v>
      </c>
      <c r="F15" s="194" t="s">
        <v>200</v>
      </c>
      <c r="G15" s="79">
        <v>0</v>
      </c>
      <c r="H15" s="79">
        <v>0</v>
      </c>
      <c r="I15" s="79">
        <v>0</v>
      </c>
      <c r="J15" s="79">
        <v>0</v>
      </c>
      <c r="K15" s="79">
        <v>1</v>
      </c>
      <c r="L15" s="79">
        <v>0</v>
      </c>
      <c r="M15" s="79">
        <v>1</v>
      </c>
      <c r="N15" s="79">
        <v>0</v>
      </c>
      <c r="O15" s="79">
        <v>1</v>
      </c>
      <c r="P15" s="68">
        <v>0</v>
      </c>
      <c r="Q15" s="79">
        <v>0</v>
      </c>
      <c r="R15" s="69">
        <v>1</v>
      </c>
      <c r="S15"/>
      <c r="T15"/>
      <c r="W15"/>
    </row>
    <row r="16" spans="1:23" ht="15" customHeight="1" x14ac:dyDescent="0.15">
      <c r="B16" s="90"/>
      <c r="C16" s="78"/>
      <c r="D16" s="83" t="s">
        <v>160</v>
      </c>
      <c r="F16" s="194" t="s">
        <v>201</v>
      </c>
      <c r="G16" s="79">
        <v>0</v>
      </c>
      <c r="H16" s="79">
        <v>0</v>
      </c>
      <c r="I16" s="79">
        <v>0</v>
      </c>
      <c r="J16" s="79">
        <v>0</v>
      </c>
      <c r="K16" s="79">
        <v>1</v>
      </c>
      <c r="L16" s="79">
        <v>0</v>
      </c>
      <c r="M16" s="79">
        <v>1</v>
      </c>
      <c r="N16" s="79">
        <v>0</v>
      </c>
      <c r="O16" s="79">
        <v>1</v>
      </c>
      <c r="P16" s="68">
        <v>0</v>
      </c>
      <c r="Q16" s="79">
        <v>0</v>
      </c>
      <c r="R16" s="69">
        <v>1</v>
      </c>
      <c r="S16"/>
      <c r="T16"/>
    </row>
    <row r="17" spans="1:20" ht="15" customHeight="1" thickBot="1" x14ac:dyDescent="0.2">
      <c r="B17" s="89"/>
      <c r="C17" s="78"/>
      <c r="D17" s="83" t="s">
        <v>160</v>
      </c>
      <c r="F17" s="194" t="s">
        <v>202</v>
      </c>
      <c r="G17" s="79">
        <v>0</v>
      </c>
      <c r="H17" s="79">
        <v>0</v>
      </c>
      <c r="I17" s="79">
        <v>0</v>
      </c>
      <c r="J17" s="79">
        <v>0</v>
      </c>
      <c r="K17" s="79">
        <v>1</v>
      </c>
      <c r="L17" s="79">
        <v>0</v>
      </c>
      <c r="M17" s="79">
        <v>1</v>
      </c>
      <c r="N17" s="79">
        <v>0</v>
      </c>
      <c r="O17" s="79">
        <v>1</v>
      </c>
      <c r="P17" s="68">
        <v>0</v>
      </c>
      <c r="Q17" s="79">
        <v>0</v>
      </c>
      <c r="R17" s="69">
        <v>1</v>
      </c>
      <c r="S17"/>
      <c r="T17"/>
    </row>
    <row r="18" spans="1:20" ht="15" customHeight="1" thickBot="1" x14ac:dyDescent="0.2">
      <c r="B18" s="91"/>
      <c r="F18" s="194" t="s">
        <v>203</v>
      </c>
      <c r="G18" s="79">
        <v>0</v>
      </c>
      <c r="H18" s="79">
        <v>0</v>
      </c>
      <c r="I18" s="79">
        <v>0</v>
      </c>
      <c r="J18" s="79">
        <v>0</v>
      </c>
      <c r="K18" s="79">
        <v>1</v>
      </c>
      <c r="L18" s="79">
        <v>0</v>
      </c>
      <c r="M18" s="79">
        <v>1</v>
      </c>
      <c r="N18" s="79">
        <v>0</v>
      </c>
      <c r="O18" s="79">
        <v>1</v>
      </c>
      <c r="P18" s="68">
        <v>0</v>
      </c>
      <c r="Q18" s="79">
        <v>0</v>
      </c>
      <c r="R18" s="69">
        <v>1</v>
      </c>
      <c r="S18"/>
      <c r="T18"/>
    </row>
    <row r="19" spans="1:20" ht="15" customHeight="1" x14ac:dyDescent="0.15">
      <c r="A19" s="81" t="s">
        <v>57</v>
      </c>
      <c r="B19" s="88">
        <v>0.74235229240281853</v>
      </c>
      <c r="C19" s="196" t="s">
        <v>219</v>
      </c>
      <c r="D19" s="83" t="s">
        <v>160</v>
      </c>
      <c r="F19" s="194" t="s">
        <v>204</v>
      </c>
      <c r="G19" s="79">
        <v>0</v>
      </c>
      <c r="H19" s="79">
        <v>0</v>
      </c>
      <c r="I19" s="79">
        <v>0</v>
      </c>
      <c r="J19" s="79">
        <v>0</v>
      </c>
      <c r="K19" s="79">
        <v>1</v>
      </c>
      <c r="L19" s="79">
        <v>0</v>
      </c>
      <c r="M19" s="79">
        <v>1</v>
      </c>
      <c r="N19" s="79">
        <v>0</v>
      </c>
      <c r="O19" s="79">
        <v>1</v>
      </c>
      <c r="P19" s="68">
        <v>0</v>
      </c>
      <c r="Q19" s="79">
        <v>0</v>
      </c>
      <c r="R19" s="69">
        <v>1</v>
      </c>
      <c r="S19"/>
      <c r="T19"/>
    </row>
    <row r="20" spans="1:20" ht="15" customHeight="1" x14ac:dyDescent="0.15">
      <c r="A20" s="121" t="s">
        <v>168</v>
      </c>
      <c r="B20" s="90">
        <v>0.25764770759718136</v>
      </c>
      <c r="C20" s="196" t="s">
        <v>220</v>
      </c>
      <c r="D20" s="83" t="s">
        <v>160</v>
      </c>
      <c r="F20" s="194" t="s">
        <v>205</v>
      </c>
      <c r="G20" s="79">
        <v>0</v>
      </c>
      <c r="H20" s="79">
        <v>0</v>
      </c>
      <c r="I20" s="79">
        <v>0</v>
      </c>
      <c r="J20" s="79">
        <v>0</v>
      </c>
      <c r="K20" s="79">
        <v>1</v>
      </c>
      <c r="L20" s="79">
        <v>0</v>
      </c>
      <c r="M20" s="79">
        <v>1</v>
      </c>
      <c r="N20" s="79">
        <v>0</v>
      </c>
      <c r="O20" s="79">
        <v>1</v>
      </c>
      <c r="P20" s="68">
        <v>0</v>
      </c>
      <c r="Q20" s="79">
        <v>0</v>
      </c>
      <c r="R20" s="69">
        <v>1</v>
      </c>
      <c r="S20"/>
      <c r="T20"/>
    </row>
    <row r="21" spans="1:20" ht="15" customHeight="1" x14ac:dyDescent="0.15">
      <c r="B21" s="90"/>
      <c r="C21" s="78"/>
      <c r="D21" s="83" t="s">
        <v>160</v>
      </c>
      <c r="F21" s="194" t="s">
        <v>206</v>
      </c>
      <c r="G21" s="79">
        <v>0</v>
      </c>
      <c r="H21" s="79">
        <v>0</v>
      </c>
      <c r="I21" s="79">
        <v>0</v>
      </c>
      <c r="J21" s="79">
        <v>0</v>
      </c>
      <c r="K21" s="79">
        <v>1</v>
      </c>
      <c r="L21" s="79">
        <v>0</v>
      </c>
      <c r="M21" s="79">
        <v>1</v>
      </c>
      <c r="N21" s="79">
        <v>0</v>
      </c>
      <c r="O21" s="79">
        <v>1</v>
      </c>
      <c r="P21" s="68">
        <v>0</v>
      </c>
      <c r="Q21" s="79">
        <v>0</v>
      </c>
      <c r="R21" s="69">
        <v>1</v>
      </c>
      <c r="S21"/>
      <c r="T21"/>
    </row>
    <row r="22" spans="1:20" ht="15" customHeight="1" x14ac:dyDescent="0.15">
      <c r="A22" s="79"/>
      <c r="B22" s="90"/>
      <c r="C22" s="93"/>
      <c r="D22" s="83" t="s">
        <v>160</v>
      </c>
      <c r="F22" s="194" t="s">
        <v>207</v>
      </c>
      <c r="G22" s="79">
        <v>0</v>
      </c>
      <c r="H22" s="79">
        <v>0</v>
      </c>
      <c r="I22" s="79">
        <v>0</v>
      </c>
      <c r="J22" s="79">
        <v>0</v>
      </c>
      <c r="K22" s="79">
        <v>1</v>
      </c>
      <c r="L22" s="79">
        <v>0</v>
      </c>
      <c r="M22" s="79">
        <v>1</v>
      </c>
      <c r="N22" s="79">
        <v>0</v>
      </c>
      <c r="O22" s="79">
        <v>1</v>
      </c>
      <c r="P22" s="68">
        <v>0</v>
      </c>
      <c r="Q22" s="79">
        <v>0</v>
      </c>
      <c r="R22" s="69">
        <v>1</v>
      </c>
      <c r="S22"/>
      <c r="T22"/>
    </row>
    <row r="23" spans="1:20" ht="15" customHeight="1" x14ac:dyDescent="0.15">
      <c r="A23" s="79"/>
      <c r="B23" s="90"/>
      <c r="C23" s="94"/>
      <c r="D23" s="83" t="s">
        <v>160</v>
      </c>
      <c r="F23" s="194" t="s">
        <v>208</v>
      </c>
      <c r="G23" s="79">
        <v>0</v>
      </c>
      <c r="H23" s="79">
        <v>0</v>
      </c>
      <c r="I23" s="79">
        <v>0</v>
      </c>
      <c r="J23" s="79">
        <v>0</v>
      </c>
      <c r="K23" s="79">
        <v>1</v>
      </c>
      <c r="L23" s="79">
        <v>0</v>
      </c>
      <c r="M23" s="79">
        <v>1</v>
      </c>
      <c r="N23" s="79">
        <v>0</v>
      </c>
      <c r="O23" s="79">
        <v>1</v>
      </c>
      <c r="P23" s="68">
        <v>0</v>
      </c>
      <c r="Q23" s="79">
        <v>0</v>
      </c>
      <c r="R23" s="69">
        <v>1</v>
      </c>
      <c r="S23"/>
      <c r="T23"/>
    </row>
    <row r="24" spans="1:20" ht="15" customHeight="1" x14ac:dyDescent="0.15">
      <c r="A24" s="79"/>
      <c r="B24" s="90"/>
      <c r="C24" s="94"/>
      <c r="D24" s="83" t="s">
        <v>160</v>
      </c>
      <c r="F24" s="194" t="s">
        <v>209</v>
      </c>
      <c r="G24" s="79">
        <v>0</v>
      </c>
      <c r="H24" s="79">
        <v>0</v>
      </c>
      <c r="I24" s="79">
        <v>0</v>
      </c>
      <c r="J24" s="79">
        <v>0</v>
      </c>
      <c r="K24" s="79">
        <v>1</v>
      </c>
      <c r="L24" s="79">
        <v>0</v>
      </c>
      <c r="M24" s="79">
        <v>1</v>
      </c>
      <c r="N24" s="79">
        <v>0</v>
      </c>
      <c r="O24" s="79">
        <v>1</v>
      </c>
      <c r="P24" s="68">
        <v>0</v>
      </c>
      <c r="Q24" s="79">
        <v>0</v>
      </c>
      <c r="R24" s="69">
        <v>1</v>
      </c>
      <c r="S24"/>
      <c r="T24"/>
    </row>
    <row r="25" spans="1:20" ht="15" customHeight="1" x14ac:dyDescent="0.15">
      <c r="A25" s="79"/>
      <c r="B25" s="90"/>
      <c r="C25" s="78"/>
      <c r="D25" s="83" t="s">
        <v>160</v>
      </c>
      <c r="F25" s="194" t="s">
        <v>210</v>
      </c>
      <c r="G25" s="79">
        <v>0</v>
      </c>
      <c r="H25" s="79">
        <v>0</v>
      </c>
      <c r="I25" s="79">
        <v>0</v>
      </c>
      <c r="J25" s="79">
        <v>0</v>
      </c>
      <c r="K25" s="79">
        <v>1</v>
      </c>
      <c r="L25" s="79">
        <v>0</v>
      </c>
      <c r="M25" s="79">
        <v>1</v>
      </c>
      <c r="N25" s="79">
        <v>0</v>
      </c>
      <c r="O25" s="79">
        <v>1</v>
      </c>
      <c r="P25" s="68">
        <v>0</v>
      </c>
      <c r="Q25" s="79">
        <v>0</v>
      </c>
      <c r="R25" s="69">
        <v>1</v>
      </c>
      <c r="S25"/>
      <c r="T25"/>
    </row>
    <row r="26" spans="1:20" ht="15" customHeight="1" x14ac:dyDescent="0.15">
      <c r="B26" s="90"/>
      <c r="C26" s="78"/>
      <c r="D26" s="83" t="s">
        <v>160</v>
      </c>
      <c r="F26" s="194" t="s">
        <v>211</v>
      </c>
      <c r="G26" s="79">
        <v>0</v>
      </c>
      <c r="H26" s="79">
        <v>0</v>
      </c>
      <c r="I26" s="79">
        <v>0</v>
      </c>
      <c r="J26" s="79">
        <v>0</v>
      </c>
      <c r="K26" s="79">
        <v>1</v>
      </c>
      <c r="L26" s="79">
        <v>0</v>
      </c>
      <c r="M26" s="79">
        <v>1</v>
      </c>
      <c r="N26" s="79">
        <v>0</v>
      </c>
      <c r="O26" s="79">
        <v>1</v>
      </c>
      <c r="P26" s="68">
        <v>0</v>
      </c>
      <c r="Q26" s="79">
        <v>0</v>
      </c>
      <c r="R26" s="69">
        <v>1</v>
      </c>
      <c r="S26"/>
      <c r="T26"/>
    </row>
    <row r="27" spans="1:20" ht="15" customHeight="1" x14ac:dyDescent="0.15">
      <c r="B27" s="90"/>
      <c r="C27" s="78"/>
      <c r="D27" s="83" t="s">
        <v>160</v>
      </c>
      <c r="F27" s="194" t="s">
        <v>212</v>
      </c>
      <c r="G27" s="79">
        <v>0</v>
      </c>
      <c r="H27" s="79">
        <v>0</v>
      </c>
      <c r="I27" s="79">
        <v>0</v>
      </c>
      <c r="J27" s="79">
        <v>0</v>
      </c>
      <c r="K27" s="79">
        <v>1</v>
      </c>
      <c r="L27" s="79">
        <v>0</v>
      </c>
      <c r="M27" s="79">
        <v>1</v>
      </c>
      <c r="N27" s="79">
        <v>0</v>
      </c>
      <c r="O27" s="79">
        <v>1</v>
      </c>
      <c r="P27" s="68">
        <v>0</v>
      </c>
      <c r="Q27" s="79">
        <v>0</v>
      </c>
      <c r="R27" s="69">
        <v>1</v>
      </c>
      <c r="S27"/>
      <c r="T27"/>
    </row>
    <row r="28" spans="1:20" ht="15" customHeight="1" thickBot="1" x14ac:dyDescent="0.2">
      <c r="B28" s="89"/>
      <c r="C28" s="78"/>
      <c r="D28" s="83" t="s">
        <v>160</v>
      </c>
      <c r="F28" s="194" t="s">
        <v>213</v>
      </c>
      <c r="G28" s="79">
        <v>0</v>
      </c>
      <c r="H28" s="79">
        <v>0</v>
      </c>
      <c r="I28" s="79">
        <v>0</v>
      </c>
      <c r="J28" s="79">
        <v>0</v>
      </c>
      <c r="K28" s="79">
        <v>1</v>
      </c>
      <c r="L28" s="79">
        <v>0</v>
      </c>
      <c r="M28" s="79">
        <v>1</v>
      </c>
      <c r="N28" s="79">
        <v>0</v>
      </c>
      <c r="O28" s="79">
        <v>1</v>
      </c>
      <c r="P28" s="68">
        <v>0</v>
      </c>
      <c r="Q28" s="79">
        <v>0</v>
      </c>
      <c r="R28" s="69">
        <v>1</v>
      </c>
      <c r="S28"/>
      <c r="T28"/>
    </row>
    <row r="29" spans="1:20" ht="15" customHeight="1" x14ac:dyDescent="0.15">
      <c r="F29" s="194" t="s">
        <v>214</v>
      </c>
      <c r="G29" s="79">
        <v>0</v>
      </c>
      <c r="H29" s="79">
        <v>0</v>
      </c>
      <c r="I29" s="79">
        <v>0</v>
      </c>
      <c r="J29" s="79">
        <v>0</v>
      </c>
      <c r="K29" s="79">
        <v>1</v>
      </c>
      <c r="L29" s="79">
        <v>0</v>
      </c>
      <c r="M29" s="79">
        <v>1</v>
      </c>
      <c r="N29" s="79">
        <v>0</v>
      </c>
      <c r="O29" s="79">
        <v>1</v>
      </c>
      <c r="P29" s="68">
        <v>0</v>
      </c>
      <c r="Q29" s="79">
        <v>0</v>
      </c>
      <c r="R29" s="69">
        <v>1</v>
      </c>
      <c r="S29"/>
      <c r="T29"/>
    </row>
    <row r="30" spans="1:20" ht="15" customHeight="1" x14ac:dyDescent="0.15">
      <c r="F30" s="194" t="s">
        <v>215</v>
      </c>
      <c r="G30" s="79">
        <v>0</v>
      </c>
      <c r="H30" s="79">
        <v>0</v>
      </c>
      <c r="I30" s="79">
        <v>0</v>
      </c>
      <c r="J30" s="79">
        <v>0</v>
      </c>
      <c r="K30" s="79">
        <v>1</v>
      </c>
      <c r="L30" s="79">
        <v>0</v>
      </c>
      <c r="M30" s="79">
        <v>1</v>
      </c>
      <c r="N30" s="79">
        <v>0</v>
      </c>
      <c r="O30" s="79">
        <v>1</v>
      </c>
      <c r="P30" s="68">
        <v>0</v>
      </c>
      <c r="Q30" s="79">
        <v>0</v>
      </c>
      <c r="R30" s="69">
        <v>1</v>
      </c>
      <c r="S30"/>
      <c r="T30"/>
    </row>
    <row r="31" spans="1:20" ht="15" customHeight="1" x14ac:dyDescent="0.15">
      <c r="A31" s="122"/>
      <c r="B31" s="132" t="s">
        <v>17</v>
      </c>
      <c r="C31" s="132" t="s">
        <v>1</v>
      </c>
      <c r="D31" s="132" t="s">
        <v>161</v>
      </c>
      <c r="E31" s="133" t="s">
        <v>163</v>
      </c>
      <c r="F31" s="194" t="s">
        <v>216</v>
      </c>
      <c r="G31" s="79">
        <v>0</v>
      </c>
      <c r="H31" s="79">
        <v>0</v>
      </c>
      <c r="I31" s="79">
        <v>0</v>
      </c>
      <c r="J31" s="79">
        <v>0</v>
      </c>
      <c r="K31" s="79">
        <v>1</v>
      </c>
      <c r="L31" s="79">
        <v>0</v>
      </c>
      <c r="M31" s="79">
        <v>1</v>
      </c>
      <c r="N31" s="79">
        <v>0</v>
      </c>
      <c r="O31" s="79">
        <v>1</v>
      </c>
      <c r="P31" s="68">
        <v>0</v>
      </c>
      <c r="Q31" s="79">
        <v>0</v>
      </c>
      <c r="R31" s="69">
        <v>1</v>
      </c>
      <c r="S31"/>
      <c r="T31"/>
    </row>
    <row r="32" spans="1:20" ht="15" customHeight="1" x14ac:dyDescent="0.15">
      <c r="A32" s="197" t="s">
        <v>219</v>
      </c>
      <c r="B32" s="91">
        <v>2.7411669999999999</v>
      </c>
      <c r="C32" s="91">
        <v>285</v>
      </c>
      <c r="D32" s="91">
        <v>781.23259499999995</v>
      </c>
      <c r="E32" s="123">
        <v>0.74235229240281853</v>
      </c>
      <c r="F32" s="194" t="s">
        <v>217</v>
      </c>
      <c r="G32" s="79">
        <v>0</v>
      </c>
      <c r="H32" s="79">
        <v>0</v>
      </c>
      <c r="I32" s="79">
        <v>0</v>
      </c>
      <c r="J32" s="79">
        <v>0</v>
      </c>
      <c r="K32" s="79">
        <v>1</v>
      </c>
      <c r="L32" s="79">
        <v>0</v>
      </c>
      <c r="M32" s="79">
        <v>1</v>
      </c>
      <c r="N32" s="79">
        <v>0</v>
      </c>
      <c r="O32" s="79">
        <v>1</v>
      </c>
      <c r="P32" s="68">
        <v>0</v>
      </c>
      <c r="Q32" s="79">
        <v>0</v>
      </c>
      <c r="R32" s="69">
        <v>1</v>
      </c>
      <c r="S32"/>
      <c r="T32"/>
    </row>
    <row r="33" spans="1:20" ht="15" customHeight="1" x14ac:dyDescent="0.15">
      <c r="A33" s="197" t="s">
        <v>220</v>
      </c>
      <c r="B33" s="91">
        <v>20.463537200000001</v>
      </c>
      <c r="C33" s="91">
        <v>13.25</v>
      </c>
      <c r="D33" s="91">
        <v>271.14186790000002</v>
      </c>
      <c r="E33" s="123">
        <v>0.25764770759718136</v>
      </c>
      <c r="F33" s="194" t="s">
        <v>218</v>
      </c>
      <c r="G33" s="79">
        <v>0</v>
      </c>
      <c r="H33" s="79">
        <v>0</v>
      </c>
      <c r="I33" s="79">
        <v>0</v>
      </c>
      <c r="J33" s="79">
        <v>0</v>
      </c>
      <c r="K33" s="79">
        <v>1</v>
      </c>
      <c r="L33" s="79">
        <v>0</v>
      </c>
      <c r="M33" s="79">
        <v>1</v>
      </c>
      <c r="N33" s="79">
        <v>0</v>
      </c>
      <c r="O33" s="79">
        <v>1</v>
      </c>
      <c r="P33" s="68">
        <v>0</v>
      </c>
      <c r="Q33" s="79">
        <v>0</v>
      </c>
      <c r="R33" s="69">
        <v>1</v>
      </c>
      <c r="S33"/>
      <c r="T33"/>
    </row>
    <row r="34" spans="1:20" ht="15" customHeight="1" x14ac:dyDescent="0.15">
      <c r="A34" s="124"/>
      <c r="B34" s="91"/>
      <c r="C34" s="91"/>
      <c r="D34" s="91"/>
      <c r="E34" s="123"/>
      <c r="F34" s="194" t="s">
        <v>219</v>
      </c>
      <c r="G34" s="79">
        <v>0</v>
      </c>
      <c r="H34" s="79">
        <v>0</v>
      </c>
      <c r="I34" s="79">
        <v>0</v>
      </c>
      <c r="J34" s="79">
        <v>0</v>
      </c>
      <c r="K34" s="79">
        <v>0</v>
      </c>
      <c r="L34" s="79">
        <v>0</v>
      </c>
      <c r="M34" s="79">
        <v>1</v>
      </c>
      <c r="N34" s="79">
        <v>0</v>
      </c>
      <c r="O34" s="79">
        <v>0</v>
      </c>
      <c r="P34" s="68">
        <v>0</v>
      </c>
      <c r="Q34" s="79">
        <v>0</v>
      </c>
      <c r="R34" s="69">
        <v>1</v>
      </c>
      <c r="S34"/>
      <c r="T34"/>
    </row>
    <row r="35" spans="1:20" ht="15" customHeight="1" x14ac:dyDescent="0.15">
      <c r="A35" s="125"/>
      <c r="B35" s="91"/>
      <c r="C35" s="91"/>
      <c r="D35" s="91"/>
      <c r="E35" s="123"/>
      <c r="F35" s="194" t="s">
        <v>220</v>
      </c>
      <c r="G35" s="79">
        <v>0</v>
      </c>
      <c r="H35" s="79">
        <v>0</v>
      </c>
      <c r="I35" s="79">
        <v>0</v>
      </c>
      <c r="J35" s="79">
        <v>0</v>
      </c>
      <c r="K35" s="79">
        <v>0</v>
      </c>
      <c r="L35" s="79">
        <v>0</v>
      </c>
      <c r="M35" s="79">
        <v>1</v>
      </c>
      <c r="N35" s="79">
        <v>0</v>
      </c>
      <c r="O35" s="79">
        <v>0</v>
      </c>
      <c r="P35" s="68">
        <v>0</v>
      </c>
      <c r="Q35" s="79">
        <v>0</v>
      </c>
      <c r="R35" s="69">
        <v>1</v>
      </c>
      <c r="S35"/>
      <c r="T35"/>
    </row>
    <row r="36" spans="1:20" ht="15" customHeight="1" x14ac:dyDescent="0.15">
      <c r="A36" s="126"/>
      <c r="B36" s="91"/>
      <c r="C36" s="91"/>
      <c r="D36" s="91"/>
      <c r="E36" s="123"/>
      <c r="F36" s="194" t="s">
        <v>221</v>
      </c>
      <c r="G36" s="79">
        <v>0</v>
      </c>
      <c r="H36" s="79">
        <v>0</v>
      </c>
      <c r="I36" s="79">
        <v>0</v>
      </c>
      <c r="J36" s="79">
        <v>0</v>
      </c>
      <c r="K36" s="79">
        <v>0</v>
      </c>
      <c r="L36" s="79">
        <v>1</v>
      </c>
      <c r="M36" s="79">
        <v>0</v>
      </c>
      <c r="N36" s="79">
        <v>1</v>
      </c>
      <c r="O36" s="79">
        <v>0</v>
      </c>
      <c r="P36" s="68">
        <v>1</v>
      </c>
      <c r="Q36" s="79">
        <v>0</v>
      </c>
      <c r="R36" s="69">
        <v>1</v>
      </c>
      <c r="S36"/>
      <c r="T36"/>
    </row>
    <row r="37" spans="1:20" ht="15" customHeight="1" x14ac:dyDescent="0.15">
      <c r="A37" s="126"/>
      <c r="B37" s="91"/>
      <c r="C37" s="91"/>
      <c r="D37" s="91"/>
      <c r="E37" s="123"/>
      <c r="F37" s="194" t="s">
        <v>222</v>
      </c>
      <c r="G37" s="79">
        <v>0</v>
      </c>
      <c r="H37" s="79">
        <v>0</v>
      </c>
      <c r="I37" s="79">
        <v>0</v>
      </c>
      <c r="J37" s="79">
        <v>0</v>
      </c>
      <c r="K37" s="79">
        <v>0</v>
      </c>
      <c r="L37" s="79">
        <v>1</v>
      </c>
      <c r="M37" s="79">
        <v>0</v>
      </c>
      <c r="N37" s="79">
        <v>1</v>
      </c>
      <c r="O37" s="79">
        <v>0</v>
      </c>
      <c r="P37" s="68">
        <v>1</v>
      </c>
      <c r="Q37" s="79">
        <v>0</v>
      </c>
      <c r="R37" s="69">
        <v>1</v>
      </c>
      <c r="S37"/>
      <c r="T37"/>
    </row>
    <row r="38" spans="1:20" ht="15" customHeight="1" x14ac:dyDescent="0.15">
      <c r="A38" s="127"/>
      <c r="B38" s="91"/>
      <c r="C38" s="91"/>
      <c r="D38" s="91"/>
      <c r="E38" s="123"/>
      <c r="F38" s="194" t="s">
        <v>223</v>
      </c>
      <c r="G38" s="79">
        <v>0</v>
      </c>
      <c r="H38" s="79">
        <v>0</v>
      </c>
      <c r="I38" s="79">
        <v>0</v>
      </c>
      <c r="J38" s="79">
        <v>0</v>
      </c>
      <c r="K38" s="79">
        <v>0</v>
      </c>
      <c r="L38" s="79">
        <v>1</v>
      </c>
      <c r="M38" s="79">
        <v>0</v>
      </c>
      <c r="N38" s="79">
        <v>0</v>
      </c>
      <c r="O38" s="79">
        <v>0</v>
      </c>
      <c r="P38" s="68">
        <v>0</v>
      </c>
      <c r="Q38" s="79">
        <v>0</v>
      </c>
      <c r="R38" s="69">
        <v>1</v>
      </c>
      <c r="S38"/>
      <c r="T38"/>
    </row>
    <row r="39" spans="1:20" ht="15" customHeight="1" x14ac:dyDescent="0.15">
      <c r="A39" s="127"/>
      <c r="B39" s="91"/>
      <c r="C39" s="91"/>
      <c r="D39" s="91"/>
      <c r="E39" s="123"/>
      <c r="F39" s="194" t="s">
        <v>224</v>
      </c>
      <c r="G39" s="79">
        <v>0</v>
      </c>
      <c r="H39" s="79">
        <v>0</v>
      </c>
      <c r="I39" s="79">
        <v>0</v>
      </c>
      <c r="J39" s="79">
        <v>0</v>
      </c>
      <c r="K39" s="79">
        <v>0</v>
      </c>
      <c r="L39" s="79">
        <v>1</v>
      </c>
      <c r="M39" s="79">
        <v>0</v>
      </c>
      <c r="N39" s="79">
        <v>0</v>
      </c>
      <c r="O39" s="79">
        <v>0</v>
      </c>
      <c r="P39" s="68">
        <v>0</v>
      </c>
      <c r="Q39" s="79">
        <v>0</v>
      </c>
      <c r="R39" s="69">
        <v>1</v>
      </c>
      <c r="S39"/>
      <c r="T39"/>
    </row>
    <row r="40" spans="1:20" ht="15" customHeight="1" x14ac:dyDescent="0.15">
      <c r="A40" s="127"/>
      <c r="B40" s="91"/>
      <c r="C40" s="91"/>
      <c r="D40" s="91"/>
      <c r="E40" s="123"/>
      <c r="F40" s="194" t="s">
        <v>225</v>
      </c>
      <c r="G40" s="79">
        <v>0</v>
      </c>
      <c r="H40" s="79">
        <v>0</v>
      </c>
      <c r="I40" s="79">
        <v>0</v>
      </c>
      <c r="J40" s="79">
        <v>0</v>
      </c>
      <c r="K40" s="79">
        <v>0</v>
      </c>
      <c r="L40" s="79">
        <v>1</v>
      </c>
      <c r="M40" s="79">
        <v>0</v>
      </c>
      <c r="N40" s="79">
        <v>0</v>
      </c>
      <c r="O40" s="79">
        <v>0</v>
      </c>
      <c r="P40" s="68">
        <v>0</v>
      </c>
      <c r="Q40" s="79">
        <v>0</v>
      </c>
      <c r="R40" s="69">
        <v>1</v>
      </c>
      <c r="S40"/>
      <c r="T40"/>
    </row>
    <row r="41" spans="1:20" ht="15" customHeight="1" thickBot="1" x14ac:dyDescent="0.2">
      <c r="A41" s="127"/>
      <c r="B41" s="91"/>
      <c r="C41" s="91"/>
      <c r="D41" s="92"/>
      <c r="E41" s="128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9"/>
      <c r="B42" s="130"/>
      <c r="C42" s="130" t="s">
        <v>162</v>
      </c>
      <c r="D42" s="130">
        <f>SUM(D32:D41)</f>
        <v>1052.3744629</v>
      </c>
      <c r="E42" s="131">
        <f>SUM(E32:E41)</f>
        <v>0.99999999999999989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9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9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9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9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9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9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9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9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9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9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9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9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9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9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9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9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9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9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9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9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9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9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9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9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9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9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9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9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9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9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9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9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9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9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9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9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9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9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9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9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9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9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9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9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9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9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9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9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9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9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9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9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9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9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9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9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9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9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9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9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9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9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9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9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9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9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9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9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9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9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9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9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9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9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9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9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9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9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9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9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9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9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9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9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9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9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9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9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9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9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9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9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9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9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9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9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9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9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9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9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9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9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9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9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9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9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9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9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9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9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9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9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9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9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9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9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9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9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9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9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9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9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9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9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9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Q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7" customWidth="1"/>
    <col min="3" max="5" width="7.83203125" style="107" customWidth="1"/>
    <col min="6" max="8" width="8.83203125" style="6"/>
    <col min="9" max="9" width="9.1640625" style="6" customWidth="1"/>
    <col min="10" max="10" width="9.5" style="6" customWidth="1"/>
    <col min="11" max="11" width="6.6640625" style="6" customWidth="1"/>
    <col min="12" max="12" width="10.5" style="6" customWidth="1"/>
    <col min="13" max="13" width="14.1640625" style="6" customWidth="1"/>
    <col min="14" max="14" width="10.1640625" style="6" customWidth="1"/>
    <col min="15" max="15" width="6.1640625" style="6" customWidth="1"/>
    <col min="16" max="16" width="10.5" style="6" customWidth="1"/>
    <col min="17" max="17" width="13.5" style="6" customWidth="1"/>
    <col min="18" max="18" width="13.6640625" style="6" customWidth="1"/>
    <col min="19" max="19" width="15.33203125" style="6" customWidth="1"/>
    <col min="20" max="20" width="14.83203125" style="6" customWidth="1"/>
    <col min="21" max="21" width="5.5" style="6" customWidth="1"/>
    <col min="22" max="22" width="14.5" style="6" customWidth="1"/>
    <col min="23" max="23" width="12.5" style="6" customWidth="1"/>
    <col min="24" max="24" width="7.33203125" style="6" customWidth="1"/>
    <col min="25" max="25" width="13.5" style="6" customWidth="1"/>
    <col min="26" max="26" width="11.5" style="6" customWidth="1"/>
    <col min="27" max="27" width="7.5" style="6" customWidth="1"/>
    <col min="28" max="28" width="9.1640625" style="6" customWidth="1"/>
    <col min="29" max="29" width="9.83203125" style="6" customWidth="1"/>
    <col min="30" max="30" width="6.83203125" style="6" customWidth="1"/>
    <col min="31" max="31" width="11.6640625" style="6" customWidth="1"/>
    <col min="32" max="32" width="12.1640625" style="6" customWidth="1"/>
    <col min="33" max="33" width="15.33203125" style="6" customWidth="1"/>
    <col min="34" max="34" width="13.83203125" style="6" customWidth="1"/>
    <col min="35" max="35" width="10.33203125" style="6" customWidth="1"/>
    <col min="36" max="36" width="11.33203125" style="6" customWidth="1"/>
    <col min="37" max="37" width="13.1640625" style="6" customWidth="1"/>
    <col min="38" max="38" width="13.83203125" style="6" customWidth="1"/>
    <col min="39" max="39" width="7.6640625" customWidth="1"/>
    <col min="40" max="40" width="21.6640625" customWidth="1"/>
    <col min="41" max="41" width="8.6640625" customWidth="1"/>
    <col min="42" max="42" width="8.1640625" customWidth="1"/>
    <col min="43" max="43" width="8.6640625" customWidth="1"/>
    <col min="81" max="81" width="22.1640625" bestFit="1" customWidth="1"/>
  </cols>
  <sheetData>
    <row r="1" spans="1:43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199" t="s">
        <v>191</v>
      </c>
      <c r="J1" s="199" t="s">
        <v>192</v>
      </c>
      <c r="K1" s="199" t="s">
        <v>193</v>
      </c>
      <c r="L1" s="199" t="s">
        <v>194</v>
      </c>
      <c r="M1" s="199" t="s">
        <v>195</v>
      </c>
      <c r="N1" s="199" t="s">
        <v>196</v>
      </c>
      <c r="O1" s="199" t="s">
        <v>197</v>
      </c>
      <c r="P1" s="199" t="s">
        <v>198</v>
      </c>
      <c r="Q1" s="199" t="s">
        <v>199</v>
      </c>
      <c r="R1" s="199" t="s">
        <v>200</v>
      </c>
      <c r="S1" s="199" t="s">
        <v>201</v>
      </c>
      <c r="T1" s="199" t="s">
        <v>202</v>
      </c>
      <c r="U1" s="199" t="s">
        <v>203</v>
      </c>
      <c r="V1" s="199" t="s">
        <v>204</v>
      </c>
      <c r="W1" s="199" t="s">
        <v>205</v>
      </c>
      <c r="X1" s="199" t="s">
        <v>206</v>
      </c>
      <c r="Y1" s="199" t="s">
        <v>207</v>
      </c>
      <c r="Z1" s="199" t="s">
        <v>208</v>
      </c>
      <c r="AA1" s="199" t="s">
        <v>209</v>
      </c>
      <c r="AB1" s="199" t="s">
        <v>210</v>
      </c>
      <c r="AC1" s="199" t="s">
        <v>211</v>
      </c>
      <c r="AD1" s="199" t="s">
        <v>212</v>
      </c>
      <c r="AE1" s="199" t="s">
        <v>213</v>
      </c>
      <c r="AF1" s="199" t="s">
        <v>214</v>
      </c>
      <c r="AG1" s="199" t="s">
        <v>215</v>
      </c>
      <c r="AH1" s="199" t="s">
        <v>216</v>
      </c>
      <c r="AI1" s="199" t="s">
        <v>217</v>
      </c>
      <c r="AJ1" s="199" t="s">
        <v>218</v>
      </c>
      <c r="AK1" s="199" t="s">
        <v>219</v>
      </c>
      <c r="AL1" s="199" t="s">
        <v>220</v>
      </c>
      <c r="AM1" s="199" t="s">
        <v>221</v>
      </c>
      <c r="AN1" s="199" t="s">
        <v>222</v>
      </c>
      <c r="AO1" s="199" t="s">
        <v>223</v>
      </c>
      <c r="AP1" s="199" t="s">
        <v>224</v>
      </c>
      <c r="AQ1" s="199" t="s">
        <v>225</v>
      </c>
    </row>
    <row r="2" spans="1:43" x14ac:dyDescent="0.15">
      <c r="A2" t="s">
        <v>38</v>
      </c>
      <c r="B2" s="10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3" x14ac:dyDescent="0.15">
      <c r="A3" t="s">
        <v>40</v>
      </c>
      <c r="B3" s="10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3" x14ac:dyDescent="0.15">
      <c r="A4" t="s">
        <v>41</v>
      </c>
      <c r="B4" s="10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3" x14ac:dyDescent="0.15">
      <c r="A5" s="198" t="s">
        <v>191</v>
      </c>
      <c r="B5" s="10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3" x14ac:dyDescent="0.15">
      <c r="A6" s="198" t="s">
        <v>192</v>
      </c>
      <c r="B6" s="10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3" x14ac:dyDescent="0.15">
      <c r="A7" s="198" t="s">
        <v>193</v>
      </c>
      <c r="B7" s="10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3" x14ac:dyDescent="0.15">
      <c r="A8" s="198" t="s">
        <v>194</v>
      </c>
      <c r="B8" s="10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3" x14ac:dyDescent="0.15">
      <c r="A9" s="198" t="s">
        <v>195</v>
      </c>
      <c r="B9" s="10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3" x14ac:dyDescent="0.15">
      <c r="A10" s="198" t="s">
        <v>196</v>
      </c>
      <c r="B10" s="10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3" x14ac:dyDescent="0.15">
      <c r="A11" s="198" t="s">
        <v>197</v>
      </c>
      <c r="B11" s="10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3" x14ac:dyDescent="0.15">
      <c r="A12" s="198" t="s">
        <v>198</v>
      </c>
      <c r="B12" s="10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3" x14ac:dyDescent="0.15">
      <c r="A13" s="198" t="s">
        <v>199</v>
      </c>
      <c r="B13" s="10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3" x14ac:dyDescent="0.15">
      <c r="A14" s="198" t="s">
        <v>200</v>
      </c>
      <c r="B14" s="10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3" x14ac:dyDescent="0.15">
      <c r="A15" s="198" t="s">
        <v>201</v>
      </c>
      <c r="B15" s="10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3" x14ac:dyDescent="0.15">
      <c r="A16" s="198" t="s">
        <v>202</v>
      </c>
      <c r="B16" s="10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8" t="s">
        <v>203</v>
      </c>
      <c r="B17" s="10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8" t="s">
        <v>204</v>
      </c>
      <c r="B18" s="10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8" t="s">
        <v>205</v>
      </c>
      <c r="B19" s="10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8" t="s">
        <v>206</v>
      </c>
      <c r="B20" s="10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8" t="s">
        <v>207</v>
      </c>
      <c r="B21" s="10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8" t="s">
        <v>208</v>
      </c>
      <c r="B22" s="10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8" t="s">
        <v>209</v>
      </c>
      <c r="B23" s="10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8" t="s">
        <v>210</v>
      </c>
      <c r="B24" s="107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8" t="s">
        <v>211</v>
      </c>
      <c r="B25" s="107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8" t="s">
        <v>212</v>
      </c>
      <c r="B26" s="107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8" t="s">
        <v>213</v>
      </c>
      <c r="B27" s="107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8" t="s">
        <v>214</v>
      </c>
      <c r="B28" s="107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8" t="s">
        <v>215</v>
      </c>
      <c r="B29" s="107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8" t="s">
        <v>216</v>
      </c>
      <c r="B30" s="107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8" t="s">
        <v>217</v>
      </c>
      <c r="B31" s="107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8" t="s">
        <v>218</v>
      </c>
      <c r="B32" s="107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8" t="s">
        <v>219</v>
      </c>
      <c r="B33" s="107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8" t="s">
        <v>220</v>
      </c>
      <c r="B34" s="107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8" t="s">
        <v>221</v>
      </c>
      <c r="B35" s="107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8" t="s">
        <v>222</v>
      </c>
      <c r="B36" s="107">
        <v>0</v>
      </c>
      <c r="C36"/>
      <c r="D36"/>
    </row>
    <row r="37" spans="1:38" ht="15" customHeight="1" x14ac:dyDescent="0.15">
      <c r="A37" s="198" t="s">
        <v>223</v>
      </c>
      <c r="B37" s="107">
        <v>0</v>
      </c>
      <c r="C37"/>
      <c r="D37"/>
    </row>
    <row r="38" spans="1:38" ht="15" customHeight="1" x14ac:dyDescent="0.15">
      <c r="A38" s="198" t="s">
        <v>224</v>
      </c>
      <c r="B38" s="107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8" t="s">
        <v>225</v>
      </c>
      <c r="B39" s="107">
        <v>0</v>
      </c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2022-10-24T04:35:43Z</dcterms:modified>
</cp:coreProperties>
</file>