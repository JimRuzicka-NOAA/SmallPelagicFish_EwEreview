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24EE5994-847A-4F47-AE00-023ECBE8E50B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Main!$C$2:$N$35</definedName>
    <definedName name="matDetritus">Detritus!$C$2:$F$35</definedName>
    <definedName name="matDiet">Diets!$B$2:$AE$35</definedName>
    <definedName name="matDiscards">Discards!$C$2:$C$34</definedName>
    <definedName name="matFishery">Fishing!$C$2:$C$34</definedName>
    <definedName name="matFishing">Fishing!#REF!</definedName>
    <definedName name="matMort">Mortalities!$A$1:$AK$34</definedName>
    <definedName name="matOut">MainOutputs!$A$2:$I$35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<sst xmlns="http://schemas.openxmlformats.org/spreadsheetml/2006/main" count="996" uniqueCount="232">
  <si>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</si>
  <si>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</si>
  <si>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</si>
  <si>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</si>
  <si>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</si>
  <si>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</si>
  <si>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</si>
  <si>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</si>
  <si>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</si>
  <si>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</si>
  <si>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</si>
  <si>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</si>
  <si>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</si>
  <si>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</si>
  <si>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</si>
  <si>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</si>
  <si>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</si>
  <si>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</si>
  <si>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</si>
  <si>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</si>
  <si>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</si>
  <si>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</si>
  <si>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</si>
  <si>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</si>
  <si>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</si>
  <si>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</si>
  <si>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</si>
  <si>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</si>
  <si>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</si>
  <si>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</si>
  <si>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</si>
  <si>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</si>
  <si>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</si>
  <si>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</si>
  <si>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</si>
  <si>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</si>
  <si>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</si>
  <si>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</si>
  <si>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</si>
  <si>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</si>
  <si>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</si>
  <si>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</si>
  <si>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</si>
  <si>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</si>
  <si>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</si>
  <si>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</si>
  <si>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</si>
  <si>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</si>
  <si>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</si>
  <si>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</si>
  <si>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</si>
  <si>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</si>
  <si>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</si>
  <si>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</si>
  <si>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</si>
  <si>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</si>
  <si>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</si>
  <si>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</si>
  <si>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</si>
  <si>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</si>
  <si>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</si>
  <si>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</si>
  <si>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</si>
  <si>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</si>
  <si>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</si>
  <si>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</si>
  <si>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</si>
  <si>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</si>
  <si>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</si>
  <si>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</si>
  <si>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</si>
  <si>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</si>
  <si>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</si>
  <si>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</si>
  <si>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</si>
  <si>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</si>
  <si>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</si>
  <si>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</si>
  <si>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</si>
  <si>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</si>
  <si>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</si>
  <si>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</si>
  <si>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</si>
  <si>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</si>
  <si>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</si>
  <si>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</si>
  <si>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</si>
  <si>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</si>
  <si>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</si>
  <si>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</si>
  <si>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</si>
  <si>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</si>
  <si>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</si>
  <si>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</si>
  <si>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</si>
  <si>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</si>
  <si>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</si>
  <si>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</si>
  <si>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</si>
  <si>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</si>
  <si>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</si>
  <si>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</si>
  <si>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</si>
  <si>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</si>
  <si>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</si>
  <si>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</si>
  <si>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</si>
  <si>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</si>
  <si>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</si>
  <si>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</si>
  <si>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</si>
  <si>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</si>
  <si>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</si>
  <si>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</si>
  <si>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</si>
  <si>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</si>
  <si>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</si>
  <si>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</si>
  <si>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</si>
  <si>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</si>
  <si>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</si>
  <si>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</si>
  <si>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</si>
  <si>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</si>
  <si>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</si>
  <si>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</si>
  <si>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</si>
  <si>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</si>
  <si>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</si>
  <si>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</si>
  <si>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</si>
  <si>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</si>
  <si>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</si>
  <si>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</si>
  <si>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</si>
  <si>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</si>
  <si>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</si>
  <si>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</si>
  <si>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</si>
  <si>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</si>
  <si>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</si>
  <si>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</si>
  <si>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</si>
  <si>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</si>
  <si>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</si>
  <si>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</si>
  <si>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</si>
  <si>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</si>
  <si>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</si>
  <si>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</si>
  <si>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</si>
  <si>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</si>
  <si>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</si>
  <si>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</si>
  <si>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</si>
  <si>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</si>
  <si>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</si>
  <si>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</si>
  <si>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</si>
  <si>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</si>
  <si>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</si>
  <si>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</si>
  <si>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</si>
  <si>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</si>
  <si>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</si>
  <si>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</si>
  <si>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</si>
  <si>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</si>
  <si>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</si>
  <si>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</si>
  <si>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</si>
  <si>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</si>
  <si>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</si>
  <si>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</si>
  <si>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</si>
  <si>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</si>
  <si>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</si>
  <si>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</si>
  <si>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</si>
  <si>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</si>
  <si>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</si>
  <si>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</si>
  <si>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</si>
  <si>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</si>
  <si>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</si>
  <si>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Mid-Atlantic Bight</t>
  </si>
  <si>
    <t>United States of America</t>
  </si>
  <si>
    <t>BOX(-76.0337629824319 35.2280486919356,-72.5248071867128 40.2107136171342)</t>
  </si>
  <si>
    <t>continental shelf</t>
  </si>
  <si>
    <t>WetWeight</t>
  </si>
  <si>
    <t>; 7/20/2006 4:02:14 PM</t>
  </si>
  <si>
    <t>Link J.S.,Griswold C.A.,Methratta E.T.,Gunnard J.(2006). Documentation for the Energy Modeling and Analysis eXercise (EMAX) Northeast Fisheries Science Center Reference Document</t>
  </si>
  <si>
    <t>Phytoplankton- Primary Producers</t>
  </si>
  <si>
    <t>Bacteria</t>
  </si>
  <si>
    <t>Microzooplankton</t>
  </si>
  <si>
    <t>Small copepods</t>
  </si>
  <si>
    <t>Large Copepods</t>
  </si>
  <si>
    <t>Gelatinous Zooplankton</t>
  </si>
  <si>
    <t>Micronekton</t>
  </si>
  <si>
    <t>Mesopelagics</t>
  </si>
  <si>
    <t>Macrobenthos- polychaetes</t>
  </si>
  <si>
    <t>Macrobenthos- crustaceans</t>
  </si>
  <si>
    <t>Macrobenthos- molluscs</t>
  </si>
  <si>
    <t>Macrobenthos- other</t>
  </si>
  <si>
    <t>Megabenthos- filterers</t>
  </si>
  <si>
    <t>Megabenthos- other</t>
  </si>
  <si>
    <t>Shrimp et al.</t>
  </si>
  <si>
    <t>Larval-juv fish- all</t>
  </si>
  <si>
    <t>Small Pelagics- commercial</t>
  </si>
  <si>
    <t>Small Pelagics- other</t>
  </si>
  <si>
    <t>Small Pelagics- squid</t>
  </si>
  <si>
    <t>Small Pelagics- anadromous</t>
  </si>
  <si>
    <t>Medium Pelagics- (piscivores &amp;amp; other)</t>
  </si>
  <si>
    <t>Demersals- benthivores</t>
  </si>
  <si>
    <t>Demersals- omnivores</t>
  </si>
  <si>
    <t>Demersals- piscivores</t>
  </si>
  <si>
    <t>Sharks- coastal</t>
  </si>
  <si>
    <t>Sharks- pelagics</t>
  </si>
  <si>
    <t>HMS</t>
  </si>
  <si>
    <t>Baleen Whales</t>
  </si>
  <si>
    <t>Odontocetes</t>
  </si>
  <si>
    <t>Sea Birds</t>
  </si>
  <si>
    <t>Discard</t>
  </si>
  <si>
    <t>Detritus-POC</t>
  </si>
  <si>
    <t>detritus_TerminalBenthic</t>
  </si>
  <si>
    <t>Landings</t>
  </si>
  <si>
    <t>Import</t>
  </si>
  <si>
    <t>export</t>
  </si>
  <si>
    <t>sum</t>
  </si>
  <si>
    <t>TOTAL</t>
  </si>
  <si>
    <t>ba was 0.489291042 (Jruz. 5/8/2022)</t>
  </si>
  <si>
    <t>F Landings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</si>
</sst>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3600"/>
        <bgColor indexed="64"/>
      </patternFill>
    </fill>
    <fill>
      <patternFill patternType="solid">
        <fgColor rgb="FFFF9C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FF79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FFEA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0" fillId="4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2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6" borderId="0" xfId="0" applyFont="1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2" t="s">
        <v>171</v>
      </c>
      <c r="C53" s="106">
        <v>707</v>
      </c>
      <c r="D53" s="106"/>
    </row>
    <row r="54" spans="2:4" x14ac:dyDescent="0.15">
      <c r="B54" s="172" t="s">
        <v>172</v>
      </c>
      <c r="C54" s="172" t="s">
        <v>185</v>
      </c>
      <c r="D54" s="106"/>
    </row>
    <row r="55" spans="2:4" x14ac:dyDescent="0.15">
      <c r="B55" s="172" t="s">
        <v>173</v>
      </c>
      <c r="C55" s="172" t="s">
        <v>186</v>
      </c>
      <c r="D55" s="106"/>
    </row>
    <row r="56" spans="2:4" x14ac:dyDescent="0.15">
      <c r="B56" s="172" t="s">
        <v>174</v>
      </c>
      <c r="C56" s="106">
        <v>59807</v>
      </c>
      <c r="D56" s="106"/>
    </row>
    <row r="57" spans="2:4" x14ac:dyDescent="0.15">
      <c r="B57" s="172" t="s">
        <v>175</v>
      </c>
      <c r="C57" s="172" t="s">
        <v>187</v>
      </c>
      <c r="D57" s="106"/>
    </row>
    <row r="58" spans="2:4" x14ac:dyDescent="0.15">
      <c r="B58" s="172" t="s">
        <v>176</v>
      </c>
      <c r="C58" s="172" t="s">
        <v>188</v>
      </c>
      <c r="D58" s="106"/>
    </row>
    <row r="59" spans="2:4" x14ac:dyDescent="0.15">
      <c r="B59" s="172" t="s">
        <v>177</v>
      </c>
      <c r="C59" s="172" t="s">
        <v>189</v>
      </c>
      <c r="D59" s="106"/>
    </row>
    <row r="60" spans="2:4" x14ac:dyDescent="0.15">
      <c r="B60" s="172" t="s">
        <v>178</v>
      </c>
      <c r="C60" s="172" t="s">
        <v>190</v>
      </c>
      <c r="D60" s="106"/>
    </row>
    <row r="61" spans="2:4" x14ac:dyDescent="0.15">
      <c r="B61" s="172" t="s">
        <v>179</v>
      </c>
      <c r="C61" s="106">
        <v>32</v>
      </c>
      <c r="D61" s="106"/>
    </row>
    <row r="62" spans="2:4" x14ac:dyDescent="0.15">
      <c r="B62" s="172" t="s">
        <v>180</v>
      </c>
      <c r="C62" s="106">
        <v>1</v>
      </c>
      <c r="D62" s="106"/>
    </row>
    <row r="63" spans="2:4" x14ac:dyDescent="0.15">
      <c r="B63" s="172" t="s">
        <v>181</v>
      </c>
      <c r="C63" s="106">
        <v>1996</v>
      </c>
      <c r="D63" s="106"/>
    </row>
    <row r="64" spans="2:4" x14ac:dyDescent="0.15">
      <c r="B64" s="172" t="s">
        <v>182</v>
      </c>
      <c r="C64" s="106">
        <v>4</v>
      </c>
      <c r="D64" s="106"/>
    </row>
    <row r="65" spans="2:4" x14ac:dyDescent="0.15">
      <c r="B65" s="172" t="s">
        <v>183</v>
      </c>
      <c r="C65" s="172" t="s">
        <v>191</v>
      </c>
      <c r="D65" s="106"/>
    </row>
    <row r="66" spans="2:4" x14ac:dyDescent="0.15">
      <c r="B66" s="172" t="s">
        <v>184</v>
      </c>
      <c r="D66" s="106"/>
    </row>
    <row r="67" spans="2:4" x14ac:dyDescent="0.15">
      <c r="B67" s="106"/>
      <c r="C67" s="106"/>
      <c r="D67" s="106"/>
    </row>
    <row r="68" spans="2:4" x14ac:dyDescent="0.15">
      <c r="B68" s="106"/>
      <c r="C68" s="106"/>
      <c r="D68" s="10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opLeftCell="E1"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1" customWidth="1"/>
    <col min="2" max="3" width="3.33203125" style="81" customWidth="1"/>
    <col min="4" max="4" width="14.33203125" style="81" customWidth="1"/>
    <col min="5" max="5" width="36.6640625" style="81" bestFit="1" customWidth="1"/>
    <col min="6" max="6" width="2.33203125" style="81" bestFit="1" customWidth="1"/>
    <col min="7" max="7" width="12.83203125" style="81" bestFit="1" customWidth="1"/>
    <col min="8" max="8" width="11.83203125" style="81" customWidth="1"/>
    <col min="9" max="9" width="10.83203125" style="81" customWidth="1"/>
    <col min="10" max="10" width="11.83203125" style="81" customWidth="1"/>
    <col min="11" max="11" width="13.83203125" style="81" customWidth="1"/>
    <col min="12" max="12" width="11.83203125" style="81" customWidth="1"/>
    <col min="13" max="13" width="4.83203125" style="81" customWidth="1"/>
    <col min="14" max="14" width="2.33203125" style="8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73" t="s">
        <v>192</v>
      </c>
      <c r="F2" s="81">
        <v>1</v>
      </c>
      <c r="G2" s="81">
        <v>20.045500000000001</v>
      </c>
      <c r="H2" s="81">
        <v>212.11114499999999</v>
      </c>
      <c r="I2" s="6">
        <v>0</v>
      </c>
      <c r="J2" s="6">
        <v>0.46677604299999997</v>
      </c>
      <c r="K2" s="6">
        <v>0</v>
      </c>
      <c r="L2" s="6">
        <v>0</v>
      </c>
      <c r="M2" s="81">
        <v>0</v>
      </c>
      <c r="N2" s="81">
        <v>0</v>
      </c>
    </row>
    <row r="3" spans="1:46" ht="15" customHeight="1" x14ac:dyDescent="0.15">
      <c r="A3" s="1" t="s">
        <v>9</v>
      </c>
      <c r="B3" s="4">
        <v>30</v>
      </c>
      <c r="C3" s="81">
        <v>2</v>
      </c>
      <c r="D3"/>
      <c r="E3" s="173" t="s">
        <v>193</v>
      </c>
      <c r="F3" s="81">
        <v>0</v>
      </c>
      <c r="G3" s="81">
        <v>7.1577782599999997</v>
      </c>
      <c r="H3" s="81">
        <v>91.250010000000003</v>
      </c>
      <c r="I3" s="81">
        <v>380.20822099999998</v>
      </c>
      <c r="J3" s="81">
        <v>0.85425364999999998</v>
      </c>
      <c r="K3" s="81">
        <v>0.240000084</v>
      </c>
      <c r="L3" s="81">
        <v>0</v>
      </c>
      <c r="M3" s="81">
        <v>0.2</v>
      </c>
      <c r="N3" s="81">
        <v>0</v>
      </c>
    </row>
    <row r="4" spans="1:46" ht="15" customHeight="1" x14ac:dyDescent="0.15">
      <c r="A4" s="1" t="s">
        <v>10</v>
      </c>
      <c r="B4" s="4">
        <v>3</v>
      </c>
      <c r="C4" s="81">
        <v>3</v>
      </c>
      <c r="D4"/>
      <c r="E4" s="173" t="s">
        <v>194</v>
      </c>
      <c r="F4" s="81">
        <v>0</v>
      </c>
      <c r="G4" s="81">
        <v>4.7208600000000001</v>
      </c>
      <c r="H4" s="81">
        <v>72.000010000000003</v>
      </c>
      <c r="I4" s="81">
        <v>242.42425499999999</v>
      </c>
      <c r="J4" s="81">
        <v>0.84843570000000001</v>
      </c>
      <c r="K4" s="81">
        <v>0.297000021</v>
      </c>
      <c r="L4" s="81">
        <v>0</v>
      </c>
      <c r="M4" s="81">
        <v>0.1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1">
        <v>4</v>
      </c>
      <c r="D5"/>
      <c r="E5" s="173" t="s">
        <v>195</v>
      </c>
      <c r="F5" s="81">
        <v>0</v>
      </c>
      <c r="G5" s="81">
        <v>5.5500249999999998</v>
      </c>
      <c r="H5" s="81">
        <v>66.53152</v>
      </c>
      <c r="I5" s="81">
        <v>127.75</v>
      </c>
      <c r="J5" s="81">
        <v>0.63247310000000001</v>
      </c>
      <c r="K5" s="81">
        <v>0.52079463000000004</v>
      </c>
      <c r="L5" s="81">
        <v>0</v>
      </c>
      <c r="M5" s="81">
        <v>0.25</v>
      </c>
      <c r="N5" s="81">
        <v>0</v>
      </c>
      <c r="P5" s="71"/>
      <c r="Q5" s="71"/>
      <c r="R5" s="71"/>
    </row>
    <row r="6" spans="1:46" ht="15" customHeight="1" thickBot="1" x14ac:dyDescent="0.2">
      <c r="B6" s="1"/>
      <c r="C6" s="81">
        <v>5</v>
      </c>
      <c r="D6"/>
      <c r="E6" s="173" t="s">
        <v>196</v>
      </c>
      <c r="F6" s="81">
        <v>0</v>
      </c>
      <c r="G6" s="81">
        <v>4.5118039999999997</v>
      </c>
      <c r="H6" s="81">
        <v>75.661299999999997</v>
      </c>
      <c r="I6" s="81">
        <v>109.5</v>
      </c>
      <c r="J6" s="81">
        <v>0.82927930000000005</v>
      </c>
      <c r="K6" s="81">
        <v>0.6909708</v>
      </c>
      <c r="L6" s="81">
        <v>0</v>
      </c>
      <c r="M6" s="81">
        <v>0.25</v>
      </c>
      <c r="N6" s="81">
        <v>0</v>
      </c>
      <c r="P6" s="71"/>
      <c r="Q6" s="71"/>
      <c r="R6" s="71"/>
      <c r="W6" s="35" t="s">
        <v>31</v>
      </c>
      <c r="X6" s="51">
        <f>MAX(MainOutputs!G:G)</f>
        <v>0.99462765455245972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353</v>
      </c>
      <c r="C7" s="81">
        <v>6</v>
      </c>
      <c r="D7"/>
      <c r="E7" s="173" t="s">
        <v>197</v>
      </c>
      <c r="F7" s="81">
        <v>0</v>
      </c>
      <c r="G7" s="81">
        <v>0.23418027199999999</v>
      </c>
      <c r="H7" s="81">
        <v>40</v>
      </c>
      <c r="I7" s="81">
        <v>146</v>
      </c>
      <c r="J7" s="81">
        <v>0.90004930000000005</v>
      </c>
      <c r="K7" s="81">
        <v>0.27397260000000001</v>
      </c>
      <c r="L7" s="81">
        <v>0</v>
      </c>
      <c r="M7" s="81">
        <v>0.35</v>
      </c>
      <c r="N7" s="81">
        <v>0</v>
      </c>
      <c r="P7" s="71"/>
      <c r="Q7" s="71"/>
      <c r="R7" s="71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123</v>
      </c>
      <c r="C8" s="81">
        <v>7</v>
      </c>
      <c r="D8"/>
      <c r="E8" s="173" t="s">
        <v>198</v>
      </c>
      <c r="F8" s="81">
        <v>0</v>
      </c>
      <c r="G8" s="81">
        <v>3.4957050000000001</v>
      </c>
      <c r="H8" s="81">
        <v>14.25</v>
      </c>
      <c r="I8" s="81">
        <v>145.05099999999999</v>
      </c>
      <c r="J8" s="81">
        <v>0.56043390000000004</v>
      </c>
      <c r="K8" s="81">
        <v>9.8241314299999993E-2</v>
      </c>
      <c r="L8" s="81">
        <v>0</v>
      </c>
      <c r="M8" s="81">
        <v>0.25</v>
      </c>
      <c r="N8" s="81">
        <v>0</v>
      </c>
      <c r="P8" s="71"/>
      <c r="Q8" s="71"/>
      <c r="R8" s="71"/>
    </row>
    <row r="9" spans="1:46" ht="15" customHeight="1" x14ac:dyDescent="0.15">
      <c r="B9" s="1"/>
      <c r="C9" s="81">
        <v>8</v>
      </c>
      <c r="D9"/>
      <c r="E9" s="173" t="s">
        <v>199</v>
      </c>
      <c r="F9" s="81">
        <v>0</v>
      </c>
      <c r="G9" s="81">
        <v>0.18141105799999999</v>
      </c>
      <c r="H9" s="81">
        <v>0.95037629999999995</v>
      </c>
      <c r="I9" s="81">
        <v>1.825</v>
      </c>
      <c r="J9" s="81">
        <v>0.90528710000000001</v>
      </c>
      <c r="K9" s="81">
        <v>0.5207541</v>
      </c>
      <c r="L9" s="81">
        <v>0</v>
      </c>
      <c r="M9" s="81">
        <v>0.15</v>
      </c>
      <c r="N9" s="81">
        <v>0</v>
      </c>
      <c r="P9" s="71"/>
      <c r="Q9" s="71"/>
      <c r="R9" s="71"/>
    </row>
    <row r="10" spans="1:46" ht="15" customHeight="1" x14ac:dyDescent="0.15">
      <c r="B10" s="1"/>
      <c r="C10" s="81">
        <v>9</v>
      </c>
      <c r="D10"/>
      <c r="E10" s="173" t="s">
        <v>200</v>
      </c>
      <c r="F10" s="81">
        <v>0</v>
      </c>
      <c r="G10" s="81">
        <v>20.954265599999999</v>
      </c>
      <c r="H10" s="81">
        <v>2.5</v>
      </c>
      <c r="I10" s="81">
        <v>17.5</v>
      </c>
      <c r="J10" s="81">
        <v>0.76977056300000002</v>
      </c>
      <c r="K10" s="81">
        <v>0.14285714899999999</v>
      </c>
      <c r="L10" s="81">
        <v>0</v>
      </c>
      <c r="M10" s="81">
        <v>0.5</v>
      </c>
      <c r="N10" s="81">
        <v>0</v>
      </c>
    </row>
    <row r="11" spans="1:46" ht="15" customHeight="1" x14ac:dyDescent="0.15">
      <c r="C11" s="81">
        <v>10</v>
      </c>
      <c r="D11"/>
      <c r="E11" s="173" t="s">
        <v>201</v>
      </c>
      <c r="F11" s="81">
        <v>0</v>
      </c>
      <c r="G11" s="81">
        <v>5.5581912999999998</v>
      </c>
      <c r="H11" s="81">
        <v>3</v>
      </c>
      <c r="I11" s="81">
        <v>21</v>
      </c>
      <c r="J11" s="81">
        <v>0.76395523499999995</v>
      </c>
      <c r="K11" s="81">
        <v>0.14285714899999999</v>
      </c>
      <c r="L11" s="81">
        <v>0</v>
      </c>
      <c r="M11" s="81">
        <v>0.5</v>
      </c>
      <c r="N11" s="81">
        <v>0</v>
      </c>
    </row>
    <row r="12" spans="1:46" ht="15" customHeight="1" x14ac:dyDescent="0.15">
      <c r="C12" s="81">
        <v>11</v>
      </c>
      <c r="D12"/>
      <c r="E12" s="173" t="s">
        <v>202</v>
      </c>
      <c r="F12" s="81">
        <v>0</v>
      </c>
      <c r="G12" s="81">
        <v>32.885162399999999</v>
      </c>
      <c r="H12" s="81">
        <v>2</v>
      </c>
      <c r="I12" s="81">
        <v>14</v>
      </c>
      <c r="J12" s="81">
        <v>0.74238854600000004</v>
      </c>
      <c r="K12" s="81">
        <v>0.14285714899999999</v>
      </c>
      <c r="L12" s="81">
        <v>0</v>
      </c>
      <c r="M12" s="81">
        <v>0.6</v>
      </c>
      <c r="N12" s="81">
        <v>0</v>
      </c>
    </row>
    <row r="13" spans="1:46" ht="15" customHeight="1" x14ac:dyDescent="0.15">
      <c r="C13" s="81">
        <v>12</v>
      </c>
      <c r="D13"/>
      <c r="E13" s="173" t="s">
        <v>203</v>
      </c>
      <c r="F13" s="81">
        <v>0</v>
      </c>
      <c r="G13" s="81">
        <v>32.446544600000003</v>
      </c>
      <c r="H13" s="81">
        <v>2</v>
      </c>
      <c r="I13" s="81">
        <v>18</v>
      </c>
      <c r="J13" s="81">
        <v>0.90016394899999996</v>
      </c>
      <c r="K13" s="81">
        <v>0.111111112</v>
      </c>
      <c r="L13" s="81">
        <v>0</v>
      </c>
      <c r="M13" s="81">
        <v>0.5</v>
      </c>
      <c r="N13" s="81">
        <v>0</v>
      </c>
    </row>
    <row r="14" spans="1:46" ht="15" customHeight="1" x14ac:dyDescent="0.15">
      <c r="C14" s="81">
        <v>13</v>
      </c>
      <c r="D14"/>
      <c r="E14" s="173" t="s">
        <v>204</v>
      </c>
      <c r="F14" s="81">
        <v>0</v>
      </c>
      <c r="G14" s="81">
        <v>4.4257555000000002</v>
      </c>
      <c r="H14" s="81">
        <v>5</v>
      </c>
      <c r="I14" s="81">
        <v>19</v>
      </c>
      <c r="J14" s="81">
        <v>0.8992561</v>
      </c>
      <c r="K14" s="81">
        <v>0.2631579</v>
      </c>
      <c r="L14" s="81">
        <v>0</v>
      </c>
      <c r="M14" s="81">
        <v>0.7</v>
      </c>
      <c r="N14" s="81">
        <v>0</v>
      </c>
    </row>
    <row r="15" spans="1:46" ht="15" customHeight="1" x14ac:dyDescent="0.15">
      <c r="C15" s="81">
        <v>14</v>
      </c>
      <c r="D15"/>
      <c r="E15" s="173" t="s">
        <v>205</v>
      </c>
      <c r="F15" s="81">
        <v>0</v>
      </c>
      <c r="G15" s="81">
        <v>3.5077295300000002</v>
      </c>
      <c r="H15" s="81">
        <v>1.9966710000000001</v>
      </c>
      <c r="I15" s="81">
        <v>18</v>
      </c>
      <c r="J15" s="81">
        <v>0.89765006300000005</v>
      </c>
      <c r="K15" s="81">
        <v>0.11092616600000001</v>
      </c>
      <c r="L15" s="81">
        <v>0</v>
      </c>
      <c r="M15" s="81">
        <v>0.3</v>
      </c>
      <c r="N15" s="81">
        <v>0</v>
      </c>
    </row>
    <row r="16" spans="1:46" ht="15" customHeight="1" x14ac:dyDescent="0.15">
      <c r="C16" s="81">
        <v>15</v>
      </c>
      <c r="D16"/>
      <c r="E16" s="173" t="s">
        <v>206</v>
      </c>
      <c r="F16" s="81">
        <v>0</v>
      </c>
      <c r="G16" s="81">
        <v>0.17840215600000001</v>
      </c>
      <c r="H16" s="81">
        <v>2</v>
      </c>
      <c r="I16" s="81">
        <v>5</v>
      </c>
      <c r="J16" s="81">
        <v>0.83963869999999996</v>
      </c>
      <c r="K16" s="81">
        <v>0.4</v>
      </c>
      <c r="L16" s="81">
        <v>0</v>
      </c>
      <c r="M16" s="81">
        <v>0.3</v>
      </c>
      <c r="N16" s="81">
        <v>0</v>
      </c>
    </row>
    <row r="17" spans="1:22" ht="15" customHeight="1" x14ac:dyDescent="0.15">
      <c r="C17" s="81">
        <v>16</v>
      </c>
      <c r="D17"/>
      <c r="E17" s="173" t="s">
        <v>207</v>
      </c>
      <c r="F17" s="81">
        <v>0</v>
      </c>
      <c r="G17" s="81">
        <v>0.16565993400000001</v>
      </c>
      <c r="H17" s="81">
        <v>21</v>
      </c>
      <c r="I17" s="81">
        <v>45</v>
      </c>
      <c r="J17" s="81">
        <v>0.80168145899999999</v>
      </c>
      <c r="K17" s="81">
        <v>0.46666666899999998</v>
      </c>
      <c r="L17" s="81">
        <v>0</v>
      </c>
      <c r="M17" s="81">
        <v>0.15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73" t="s">
        <v>208</v>
      </c>
      <c r="F18" s="81">
        <v>0</v>
      </c>
      <c r="G18" s="81">
        <v>5.7384050000000002</v>
      </c>
      <c r="H18" s="81">
        <v>0.36962178299999998</v>
      </c>
      <c r="I18" s="81">
        <v>2</v>
      </c>
      <c r="J18" s="81">
        <v>0.91265370000000001</v>
      </c>
      <c r="K18" s="81">
        <v>0.184810892</v>
      </c>
      <c r="L18" s="81">
        <v>0</v>
      </c>
      <c r="M18" s="81">
        <v>0.15</v>
      </c>
      <c r="N18" s="81">
        <v>0</v>
      </c>
      <c r="V18" s="1"/>
    </row>
    <row r="19" spans="1:22" ht="15" customHeight="1" x14ac:dyDescent="0.15">
      <c r="C19" s="81">
        <v>18</v>
      </c>
      <c r="D19"/>
      <c r="E19" s="173" t="s">
        <v>209</v>
      </c>
      <c r="F19" s="81">
        <v>0</v>
      </c>
      <c r="G19" s="81">
        <v>2.49416232</v>
      </c>
      <c r="H19" s="81">
        <v>0.95037629999999995</v>
      </c>
      <c r="I19" s="81">
        <v>2</v>
      </c>
      <c r="J19" s="81">
        <v>0.86502429999999997</v>
      </c>
      <c r="K19" s="81">
        <v>0.47518813599999998</v>
      </c>
      <c r="L19" s="81">
        <v>0</v>
      </c>
      <c r="M19" s="81">
        <v>0.35</v>
      </c>
      <c r="N19" s="81">
        <v>0</v>
      </c>
    </row>
    <row r="20" spans="1:22" ht="15" customHeight="1" thickBot="1" x14ac:dyDescent="0.2">
      <c r="C20" s="81">
        <v>19</v>
      </c>
      <c r="D20"/>
      <c r="E20" s="173" t="s">
        <v>210</v>
      </c>
      <c r="F20" s="81">
        <v>0</v>
      </c>
      <c r="G20" s="81">
        <v>1.17982948</v>
      </c>
      <c r="H20" s="81">
        <v>0.95037629999999995</v>
      </c>
      <c r="I20" s="81">
        <v>2.75</v>
      </c>
      <c r="J20" s="81">
        <v>0.96012944</v>
      </c>
      <c r="K20" s="81">
        <v>0.34559136600000001</v>
      </c>
      <c r="L20" s="81">
        <v>0</v>
      </c>
      <c r="M20" s="81">
        <v>0.15</v>
      </c>
      <c r="N20" s="81">
        <v>0</v>
      </c>
    </row>
    <row r="21" spans="1:22" ht="15" customHeight="1" thickBot="1" x14ac:dyDescent="0.2">
      <c r="A21" s="46" t="s">
        <v>137</v>
      </c>
      <c r="B21" s="99"/>
      <c r="C21" s="81">
        <v>20</v>
      </c>
      <c r="D21"/>
      <c r="E21" s="173" t="s">
        <v>211</v>
      </c>
      <c r="F21" s="81">
        <v>0</v>
      </c>
      <c r="G21" s="81">
        <v>0.50700000000000001</v>
      </c>
      <c r="H21" s="81">
        <v>0.42498089999999999</v>
      </c>
      <c r="I21" s="81">
        <v>2</v>
      </c>
      <c r="J21" s="81">
        <v>0.99462519999999999</v>
      </c>
      <c r="K21" s="81">
        <v>0.212490454</v>
      </c>
      <c r="L21" s="81">
        <v>0</v>
      </c>
      <c r="M21" s="81">
        <v>0.15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73" t="s">
        <v>212</v>
      </c>
      <c r="F22" s="81">
        <v>0</v>
      </c>
      <c r="G22" s="81">
        <v>0.24904021600000001</v>
      </c>
      <c r="H22" s="81">
        <v>0.45</v>
      </c>
      <c r="I22" s="81">
        <v>2.04</v>
      </c>
      <c r="J22" s="81">
        <v>0.89122939999999995</v>
      </c>
      <c r="K22" s="81">
        <v>0.22058823699999999</v>
      </c>
      <c r="L22" s="81">
        <v>0</v>
      </c>
      <c r="M22" s="81">
        <v>0.15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73" t="s">
        <v>213</v>
      </c>
      <c r="F23" s="81">
        <v>0</v>
      </c>
      <c r="G23" s="81">
        <v>3.5098686200000002</v>
      </c>
      <c r="H23" s="81">
        <v>0.45</v>
      </c>
      <c r="I23" s="81">
        <v>0.9</v>
      </c>
      <c r="J23" s="81">
        <v>0.89821410000000002</v>
      </c>
      <c r="K23" s="81">
        <v>0.5</v>
      </c>
      <c r="L23" s="81">
        <v>0</v>
      </c>
      <c r="M23" s="81">
        <v>0.3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73" t="s">
        <v>214</v>
      </c>
      <c r="F24" s="81">
        <v>0</v>
      </c>
      <c r="G24" s="81">
        <v>2.3063898100000002</v>
      </c>
      <c r="H24" s="81">
        <v>0.45</v>
      </c>
      <c r="I24" s="81">
        <v>0.8</v>
      </c>
      <c r="J24" s="81">
        <v>0.89999989999999996</v>
      </c>
      <c r="K24" s="81">
        <v>0.5625</v>
      </c>
      <c r="L24" s="81">
        <v>0</v>
      </c>
      <c r="M24" s="81">
        <v>0.35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73" t="s">
        <v>215</v>
      </c>
      <c r="F25" s="81">
        <v>0</v>
      </c>
      <c r="G25" s="81">
        <v>1.9837329399999999</v>
      </c>
      <c r="H25" s="81">
        <v>0.45</v>
      </c>
      <c r="I25" s="81">
        <v>1.1499999999999999</v>
      </c>
      <c r="J25" s="81">
        <v>0.9</v>
      </c>
      <c r="K25" s="81">
        <v>0.39130434400000003</v>
      </c>
      <c r="L25" s="81">
        <v>0</v>
      </c>
      <c r="M25" s="81">
        <v>0.15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73" t="s">
        <v>216</v>
      </c>
      <c r="F26" s="81">
        <v>0</v>
      </c>
      <c r="G26" s="81">
        <v>0.04</v>
      </c>
      <c r="H26" s="81">
        <v>0.1</v>
      </c>
      <c r="I26" s="81">
        <v>1.46</v>
      </c>
      <c r="J26" s="81">
        <v>0.88120156500000002</v>
      </c>
      <c r="K26" s="81">
        <v>6.8493150000000003E-2</v>
      </c>
      <c r="L26" s="81">
        <v>0</v>
      </c>
      <c r="M26" s="81">
        <v>0.15</v>
      </c>
      <c r="N26" s="81">
        <v>0</v>
      </c>
    </row>
    <row r="27" spans="1:22" ht="15" customHeight="1" x14ac:dyDescent="0.15">
      <c r="C27" s="81">
        <v>26</v>
      </c>
      <c r="D27"/>
      <c r="E27" s="173" t="s">
        <v>217</v>
      </c>
      <c r="F27" s="81">
        <v>0</v>
      </c>
      <c r="G27" s="81">
        <v>2.686477E-2</v>
      </c>
      <c r="H27" s="81">
        <v>0.1</v>
      </c>
      <c r="I27" s="81">
        <v>1.32006478</v>
      </c>
      <c r="J27" s="81">
        <v>0.98617350000000004</v>
      </c>
      <c r="K27" s="81">
        <v>7.5753860000000006E-2</v>
      </c>
      <c r="L27" s="81">
        <v>0</v>
      </c>
      <c r="M27" s="81">
        <v>0.15</v>
      </c>
      <c r="N27" s="81">
        <v>0</v>
      </c>
    </row>
    <row r="28" spans="1:22" ht="15" customHeight="1" x14ac:dyDescent="0.15">
      <c r="C28" s="81">
        <v>27</v>
      </c>
      <c r="D28"/>
      <c r="E28" s="173" t="s">
        <v>218</v>
      </c>
      <c r="F28" s="81">
        <v>0</v>
      </c>
      <c r="G28" s="81">
        <v>3.1999997799999999E-2</v>
      </c>
      <c r="H28" s="81">
        <v>0.499173969</v>
      </c>
      <c r="I28" s="81">
        <v>8.2535450000000008</v>
      </c>
      <c r="J28" s="81">
        <v>0.86565673399999998</v>
      </c>
      <c r="K28" s="81">
        <v>6.0479949999999998E-2</v>
      </c>
      <c r="L28" s="81">
        <v>0</v>
      </c>
      <c r="M28" s="81">
        <v>0.15</v>
      </c>
      <c r="N28" s="81">
        <v>0</v>
      </c>
    </row>
    <row r="29" spans="1:22" customFormat="1" ht="15" customHeight="1" x14ac:dyDescent="0.15">
      <c r="C29" s="81">
        <v>28</v>
      </c>
      <c r="E29" s="173" t="s">
        <v>219</v>
      </c>
      <c r="F29" s="81">
        <v>0</v>
      </c>
      <c r="G29" s="81">
        <v>0.16</v>
      </c>
      <c r="H29" s="81">
        <v>3.8048190000000003E-2</v>
      </c>
      <c r="I29" s="81">
        <v>4.1500000000000004</v>
      </c>
      <c r="J29" s="81">
        <v>0.18949696399999999</v>
      </c>
      <c r="K29" s="81">
        <v>9.1682380000000004E-3</v>
      </c>
      <c r="L29" s="81">
        <v>0</v>
      </c>
      <c r="M29" s="81">
        <v>0.2</v>
      </c>
      <c r="N29" s="81">
        <v>0</v>
      </c>
    </row>
    <row r="30" spans="1:22" customFormat="1" ht="15" customHeight="1" x14ac:dyDescent="0.15">
      <c r="C30" s="81">
        <v>29</v>
      </c>
      <c r="E30" s="173" t="s">
        <v>220</v>
      </c>
      <c r="F30" s="81">
        <v>0</v>
      </c>
      <c r="G30" s="81">
        <v>6.1650227799999999E-2</v>
      </c>
      <c r="H30" s="81">
        <v>0.04</v>
      </c>
      <c r="I30" s="81">
        <v>17.36</v>
      </c>
      <c r="J30" s="81">
        <v>0.9</v>
      </c>
      <c r="K30" s="81">
        <v>2.3041472299999998E-3</v>
      </c>
      <c r="L30" s="81">
        <v>0</v>
      </c>
      <c r="M30" s="81">
        <v>0.2</v>
      </c>
      <c r="N30" s="81">
        <v>0</v>
      </c>
    </row>
    <row r="31" spans="1:22" customFormat="1" ht="15" customHeight="1" x14ac:dyDescent="0.15">
      <c r="C31" s="81">
        <v>30</v>
      </c>
      <c r="E31" s="173" t="s">
        <v>221</v>
      </c>
      <c r="F31" s="81">
        <v>0</v>
      </c>
      <c r="G31" s="81">
        <v>2.9485940000000001E-3</v>
      </c>
      <c r="H31" s="81">
        <v>0.27500000000000002</v>
      </c>
      <c r="I31" s="81">
        <v>17.342592199999999</v>
      </c>
      <c r="J31" s="81">
        <v>0.9</v>
      </c>
      <c r="K31" s="81">
        <v>1.5856914199999999E-2</v>
      </c>
      <c r="L31" s="81">
        <v>0</v>
      </c>
      <c r="M31" s="81">
        <v>0.15</v>
      </c>
      <c r="N31" s="81">
        <v>0</v>
      </c>
    </row>
    <row r="32" spans="1:22" customFormat="1" ht="15" customHeight="1" x14ac:dyDescent="0.15">
      <c r="C32" s="81">
        <v>31</v>
      </c>
      <c r="E32" s="173" t="s">
        <v>222</v>
      </c>
      <c r="F32" s="81">
        <v>2</v>
      </c>
      <c r="G32" s="81">
        <v>1.2686505299999999</v>
      </c>
      <c r="H32" s="81">
        <v>0</v>
      </c>
      <c r="I32" s="81">
        <v>0</v>
      </c>
      <c r="J32" s="81">
        <v>0.33521845900000002</v>
      </c>
      <c r="K32" s="81">
        <v>0</v>
      </c>
      <c r="L32" s="199">
        <v>0</v>
      </c>
      <c r="M32" s="81">
        <v>0.2</v>
      </c>
      <c r="N32" s="81">
        <v>0</v>
      </c>
      <c r="P32" s="60" t="s">
        <v>230</v>
      </c>
    </row>
    <row r="33" spans="3:14" customFormat="1" ht="15" customHeight="1" x14ac:dyDescent="0.15">
      <c r="C33" s="81">
        <v>32</v>
      </c>
      <c r="E33" s="173" t="s">
        <v>223</v>
      </c>
      <c r="F33" s="81">
        <v>2</v>
      </c>
      <c r="G33" s="81">
        <v>30</v>
      </c>
      <c r="H33" s="81">
        <v>0</v>
      </c>
      <c r="I33" s="81">
        <v>0</v>
      </c>
      <c r="J33" s="81">
        <v>0.80758920000000001</v>
      </c>
      <c r="K33" s="81">
        <v>0</v>
      </c>
      <c r="L33" s="81">
        <v>0</v>
      </c>
      <c r="M33" s="81">
        <v>0</v>
      </c>
      <c r="N33" s="81">
        <v>0</v>
      </c>
    </row>
    <row r="34" spans="3:14" customFormat="1" ht="15" customHeight="1" x14ac:dyDescent="0.15">
      <c r="C34" s="81">
        <v>33</v>
      </c>
      <c r="E34" s="173" t="s">
        <v>224</v>
      </c>
      <c r="F34" s="81">
        <v>2</v>
      </c>
      <c r="G34" s="81">
        <v>5</v>
      </c>
      <c r="H34" s="81">
        <v>0</v>
      </c>
      <c r="I34" s="81">
        <v>0</v>
      </c>
      <c r="J34" s="81">
        <v>0</v>
      </c>
      <c r="K34" s="81">
        <v>0</v>
      </c>
      <c r="L34" s="81">
        <v>0</v>
      </c>
      <c r="M34" s="81">
        <v>0</v>
      </c>
      <c r="N34" s="81">
        <v>0</v>
      </c>
    </row>
    <row r="35" spans="3:14" customFormat="1" ht="15" customHeight="1" x14ac:dyDescent="0.15">
      <c r="C35" s="81">
        <v>34</v>
      </c>
      <c r="E35" s="173" t="s">
        <v>225</v>
      </c>
      <c r="F35" s="81">
        <v>3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0</v>
      </c>
      <c r="M35" s="81">
        <v>0</v>
      </c>
      <c r="N35" s="81">
        <v>0</v>
      </c>
    </row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6.6640625" style="138" bestFit="1" customWidth="1"/>
    <col min="2" max="2" width="2.33203125" style="138" bestFit="1" customWidth="1"/>
    <col min="3" max="3" width="4.83203125" style="138" bestFit="1" customWidth="1"/>
    <col min="4" max="4" width="12.83203125" style="138" bestFit="1" customWidth="1"/>
    <col min="5" max="5" width="13.83203125" style="138" bestFit="1" customWidth="1"/>
    <col min="6" max="6" width="15.83203125" style="138" bestFit="1" customWidth="1"/>
    <col min="7" max="7" width="15.5" style="138" bestFit="1" customWidth="1"/>
    <col min="8" max="9" width="14.83203125" style="138" bestFit="1" customWidth="1"/>
    <col min="10" max="13" width="15.83203125" style="138" bestFit="1" customWidth="1"/>
    <col min="14" max="14" width="4.83203125" style="138" bestFit="1" customWidth="1"/>
    <col min="15" max="15" width="15.5" style="138" bestFit="1" customWidth="1"/>
    <col min="16" max="16" width="15.83203125" style="138" bestFit="1" customWidth="1"/>
    <col min="17" max="17" width="13.83203125" style="138" bestFit="1" customWidth="1"/>
    <col min="18" max="18" width="15.83203125" style="138" bestFit="1" customWidth="1"/>
    <col min="19" max="20" width="14.83203125" style="138" bestFit="1" customWidth="1"/>
    <col min="21" max="21" width="15.83203125" style="138" bestFit="1" customWidth="1"/>
    <col min="22" max="27" width="14.83203125" style="138" bestFit="1" customWidth="1"/>
    <col min="28" max="29" width="15.5" style="138" bestFit="1" customWidth="1"/>
    <col min="30" max="31" width="15.83203125" style="138" customWidth="1"/>
    <col min="32" max="34" width="2.33203125" style="138" customWidth="1"/>
    <col min="35" max="16384" width="8.83203125" style="138"/>
  </cols>
  <sheetData>
    <row r="1" spans="1:34" x14ac:dyDescent="0.15">
      <c r="A1" s="137" t="s">
        <v>19</v>
      </c>
      <c r="B1" s="175" t="s">
        <v>192</v>
      </c>
      <c r="C1" s="175" t="s">
        <v>193</v>
      </c>
      <c r="D1" s="175" t="s">
        <v>194</v>
      </c>
      <c r="E1" s="175" t="s">
        <v>195</v>
      </c>
      <c r="F1" s="175" t="s">
        <v>196</v>
      </c>
      <c r="G1" s="175" t="s">
        <v>197</v>
      </c>
      <c r="H1" s="175" t="s">
        <v>198</v>
      </c>
      <c r="I1" s="175" t="s">
        <v>199</v>
      </c>
      <c r="J1" s="175" t="s">
        <v>200</v>
      </c>
      <c r="K1" s="175" t="s">
        <v>201</v>
      </c>
      <c r="L1" s="175" t="s">
        <v>202</v>
      </c>
      <c r="M1" s="175" t="s">
        <v>203</v>
      </c>
      <c r="N1" s="175" t="s">
        <v>204</v>
      </c>
      <c r="O1" s="175" t="s">
        <v>205</v>
      </c>
      <c r="P1" s="175" t="s">
        <v>206</v>
      </c>
      <c r="Q1" s="175" t="s">
        <v>207</v>
      </c>
      <c r="R1" s="175" t="s">
        <v>208</v>
      </c>
      <c r="S1" s="175" t="s">
        <v>209</v>
      </c>
      <c r="T1" s="175" t="s">
        <v>210</v>
      </c>
      <c r="U1" s="175" t="s">
        <v>211</v>
      </c>
      <c r="V1" s="175" t="s">
        <v>212</v>
      </c>
      <c r="W1" s="175" t="s">
        <v>213</v>
      </c>
      <c r="X1" s="175" t="s">
        <v>214</v>
      </c>
      <c r="Y1" s="175" t="s">
        <v>215</v>
      </c>
      <c r="Z1" s="175" t="s">
        <v>216</v>
      </c>
      <c r="AA1" s="175" t="s">
        <v>217</v>
      </c>
      <c r="AB1" s="175" t="s">
        <v>218</v>
      </c>
      <c r="AC1" s="175" t="s">
        <v>219</v>
      </c>
      <c r="AD1" s="175" t="s">
        <v>220</v>
      </c>
      <c r="AE1" s="175" t="s">
        <v>221</v>
      </c>
      <c r="AF1" s="175" t="s">
        <v>222</v>
      </c>
      <c r="AG1" s="175" t="s">
        <v>223</v>
      </c>
      <c r="AH1" s="175" t="s">
        <v>224</v>
      </c>
    </row>
    <row r="2" spans="1:34" customFormat="1" x14ac:dyDescent="0.15">
      <c r="A2" s="174" t="s">
        <v>192</v>
      </c>
      <c r="B2" s="138">
        <v>0</v>
      </c>
      <c r="C2" s="138">
        <v>0.15</v>
      </c>
      <c r="D2" s="138">
        <v>0.21321852436034441</v>
      </c>
      <c r="E2" s="138">
        <v>0.68102332072648941</v>
      </c>
      <c r="F2" s="138">
        <v>0.62153980637280859</v>
      </c>
      <c r="G2" s="138">
        <v>8.6040885324379757E-2</v>
      </c>
      <c r="H2" s="138">
        <v>0.1823999923246083</v>
      </c>
      <c r="I2" s="138">
        <v>2.9244471094398081E-2</v>
      </c>
      <c r="J2" s="138">
        <v>0.13296131790091273</v>
      </c>
      <c r="K2" s="138">
        <v>0.15302710791325028</v>
      </c>
      <c r="L2" s="138">
        <v>0.41430983367054586</v>
      </c>
      <c r="M2" s="138">
        <v>0.22303996622757721</v>
      </c>
      <c r="N2" s="138">
        <v>0.69000000000000006</v>
      </c>
      <c r="O2" s="138">
        <v>0</v>
      </c>
      <c r="P2" s="138">
        <v>5.6699785926347175E-2</v>
      </c>
      <c r="Q2" s="138">
        <v>5.9121764327713155E-2</v>
      </c>
      <c r="R2" s="138">
        <v>1.1193544189189121E-2</v>
      </c>
      <c r="S2" s="138">
        <v>0.16001082437823441</v>
      </c>
      <c r="T2" s="138">
        <v>0</v>
      </c>
      <c r="U2" s="138">
        <v>1.1016822836820017E-2</v>
      </c>
      <c r="V2" s="138">
        <v>0</v>
      </c>
      <c r="W2" s="138">
        <v>0</v>
      </c>
      <c r="X2" s="138">
        <v>0</v>
      </c>
      <c r="Y2" s="138">
        <v>0</v>
      </c>
      <c r="Z2" s="138">
        <v>0</v>
      </c>
      <c r="AA2" s="138">
        <v>0</v>
      </c>
      <c r="AB2" s="138">
        <v>0</v>
      </c>
      <c r="AC2" s="138">
        <v>0</v>
      </c>
      <c r="AD2" s="138">
        <v>0</v>
      </c>
      <c r="AE2" s="138">
        <v>0</v>
      </c>
      <c r="AF2" s="138">
        <v>0</v>
      </c>
      <c r="AG2" s="138">
        <v>0</v>
      </c>
      <c r="AH2" s="138">
        <v>0</v>
      </c>
    </row>
    <row r="3" spans="1:34" customFormat="1" x14ac:dyDescent="0.15">
      <c r="A3" s="174" t="s">
        <v>193</v>
      </c>
      <c r="B3" s="138">
        <v>0</v>
      </c>
      <c r="C3" s="138">
        <v>0</v>
      </c>
      <c r="D3" s="138">
        <v>0.15774874352675375</v>
      </c>
      <c r="E3" s="138">
        <v>0</v>
      </c>
      <c r="F3" s="138">
        <v>0</v>
      </c>
      <c r="G3" s="138">
        <v>2.0244915836133491E-2</v>
      </c>
      <c r="H3" s="138">
        <v>0</v>
      </c>
      <c r="I3" s="138">
        <v>7.999998424000114E-3</v>
      </c>
      <c r="J3" s="138">
        <v>0.31657446404980383</v>
      </c>
      <c r="K3" s="138">
        <v>0.1556207907592374</v>
      </c>
      <c r="L3" s="138">
        <v>0.20210237942465828</v>
      </c>
      <c r="M3" s="138">
        <v>0.22303996622757721</v>
      </c>
      <c r="N3" s="138">
        <v>8.0000000000000016E-2</v>
      </c>
      <c r="O3" s="138">
        <v>0.19218185948319194</v>
      </c>
      <c r="P3" s="138">
        <v>0.33599871985983598</v>
      </c>
      <c r="Q3" s="138">
        <v>0</v>
      </c>
      <c r="R3" s="138">
        <v>0</v>
      </c>
      <c r="S3" s="138">
        <v>0</v>
      </c>
      <c r="T3" s="138">
        <v>0</v>
      </c>
      <c r="U3" s="138">
        <v>0</v>
      </c>
      <c r="V3" s="138">
        <v>0</v>
      </c>
      <c r="W3" s="138">
        <v>0</v>
      </c>
      <c r="X3" s="138">
        <v>0</v>
      </c>
      <c r="Y3" s="138">
        <v>0</v>
      </c>
      <c r="Z3" s="138">
        <v>0</v>
      </c>
      <c r="AA3" s="138">
        <v>0</v>
      </c>
      <c r="AB3" s="138">
        <v>0</v>
      </c>
      <c r="AC3" s="138">
        <v>0</v>
      </c>
      <c r="AD3" s="138">
        <v>0</v>
      </c>
      <c r="AE3" s="138">
        <v>0</v>
      </c>
      <c r="AF3" s="138">
        <v>0</v>
      </c>
      <c r="AG3" s="138">
        <v>0</v>
      </c>
      <c r="AH3" s="138">
        <v>0</v>
      </c>
    </row>
    <row r="4" spans="1:34" customFormat="1" x14ac:dyDescent="0.15">
      <c r="A4" s="174" t="s">
        <v>194</v>
      </c>
      <c r="B4" s="138">
        <v>0</v>
      </c>
      <c r="C4" s="138">
        <v>0</v>
      </c>
      <c r="D4" s="138">
        <v>0.13152283360543149</v>
      </c>
      <c r="E4" s="138">
        <v>0.14488846785726808</v>
      </c>
      <c r="F4" s="138">
        <v>6.755867156226128E-2</v>
      </c>
      <c r="G4" s="138">
        <v>5.0612297845286772E-2</v>
      </c>
      <c r="H4" s="138">
        <v>0</v>
      </c>
      <c r="I4" s="138">
        <v>8.7733423683193493E-2</v>
      </c>
      <c r="J4" s="138">
        <v>0</v>
      </c>
      <c r="K4" s="138">
        <v>0</v>
      </c>
      <c r="L4" s="138">
        <v>0</v>
      </c>
      <c r="M4" s="138">
        <v>0</v>
      </c>
      <c r="N4" s="138">
        <v>0</v>
      </c>
      <c r="O4" s="138">
        <v>0</v>
      </c>
      <c r="P4" s="138">
        <v>0</v>
      </c>
      <c r="Q4" s="138">
        <v>0</v>
      </c>
      <c r="R4" s="138">
        <v>0</v>
      </c>
      <c r="S4" s="138">
        <v>0</v>
      </c>
      <c r="T4" s="138">
        <v>0</v>
      </c>
      <c r="U4" s="138">
        <v>0</v>
      </c>
      <c r="V4" s="138">
        <v>0</v>
      </c>
      <c r="W4" s="138">
        <v>0</v>
      </c>
      <c r="X4" s="138">
        <v>0</v>
      </c>
      <c r="Y4" s="138">
        <v>0</v>
      </c>
      <c r="Z4" s="138">
        <v>0</v>
      </c>
      <c r="AA4" s="138">
        <v>0</v>
      </c>
      <c r="AB4" s="138">
        <v>0</v>
      </c>
      <c r="AC4" s="138">
        <v>0</v>
      </c>
      <c r="AD4" s="138">
        <v>0</v>
      </c>
      <c r="AE4" s="138">
        <v>0</v>
      </c>
      <c r="AF4" s="138">
        <v>0</v>
      </c>
      <c r="AG4" s="138">
        <v>0</v>
      </c>
      <c r="AH4" s="138">
        <v>0</v>
      </c>
    </row>
    <row r="5" spans="1:34" customFormat="1" x14ac:dyDescent="0.15">
      <c r="A5" s="174" t="s">
        <v>195</v>
      </c>
      <c r="B5" s="138">
        <v>0</v>
      </c>
      <c r="C5" s="138">
        <v>0</v>
      </c>
      <c r="D5" s="138">
        <v>0</v>
      </c>
      <c r="E5" s="138">
        <v>5.1280730318022952E-2</v>
      </c>
      <c r="F5" s="138">
        <v>0.13105086242856878</v>
      </c>
      <c r="G5" s="138">
        <v>0.37453098404311475</v>
      </c>
      <c r="H5" s="138">
        <v>0.22080003270873461</v>
      </c>
      <c r="I5" s="138">
        <v>0.45555972719969962</v>
      </c>
      <c r="J5" s="138">
        <v>0</v>
      </c>
      <c r="K5" s="138">
        <v>1.556207707592386E-2</v>
      </c>
      <c r="L5" s="138">
        <v>0</v>
      </c>
      <c r="M5" s="138">
        <v>0</v>
      </c>
      <c r="N5" s="138">
        <v>0</v>
      </c>
      <c r="O5" s="138">
        <v>0</v>
      </c>
      <c r="P5" s="138">
        <v>0</v>
      </c>
      <c r="Q5" s="138">
        <v>0.48889148878685701</v>
      </c>
      <c r="R5" s="138">
        <v>0.11905863183956041</v>
      </c>
      <c r="S5" s="138">
        <v>0.11720537286940691</v>
      </c>
      <c r="T5" s="138">
        <v>0</v>
      </c>
      <c r="U5" s="138">
        <v>7.912082595534338E-2</v>
      </c>
      <c r="V5" s="138">
        <v>0</v>
      </c>
      <c r="W5" s="138">
        <v>0</v>
      </c>
      <c r="X5" s="138">
        <v>0</v>
      </c>
      <c r="Y5" s="138">
        <v>0</v>
      </c>
      <c r="Z5" s="138">
        <v>0</v>
      </c>
      <c r="AA5" s="138">
        <v>0</v>
      </c>
      <c r="AB5" s="138">
        <v>0</v>
      </c>
      <c r="AC5" s="138">
        <v>5.9578860501056131E-2</v>
      </c>
      <c r="AD5" s="138">
        <v>0</v>
      </c>
      <c r="AE5" s="138">
        <v>0</v>
      </c>
      <c r="AF5" s="138">
        <v>0</v>
      </c>
      <c r="AG5" s="138">
        <v>0</v>
      </c>
      <c r="AH5" s="138">
        <v>0</v>
      </c>
    </row>
    <row r="6" spans="1:34" customFormat="1" x14ac:dyDescent="0.15">
      <c r="A6" s="174" t="s">
        <v>196</v>
      </c>
      <c r="B6" s="138">
        <v>0</v>
      </c>
      <c r="C6" s="138">
        <v>0</v>
      </c>
      <c r="D6" s="138">
        <v>0</v>
      </c>
      <c r="E6" s="138">
        <v>0</v>
      </c>
      <c r="F6" s="138">
        <v>0.13917090881826599</v>
      </c>
      <c r="G6" s="138">
        <v>0.4048983697544894</v>
      </c>
      <c r="H6" s="138">
        <v>0.36479998464921659</v>
      </c>
      <c r="I6" s="138">
        <v>0.37559567295711155</v>
      </c>
      <c r="J6" s="138">
        <v>0</v>
      </c>
      <c r="K6" s="138">
        <v>3.112415415184772E-2</v>
      </c>
      <c r="L6" s="138">
        <v>0</v>
      </c>
      <c r="M6" s="138">
        <v>0</v>
      </c>
      <c r="N6" s="138">
        <v>0</v>
      </c>
      <c r="O6" s="138">
        <v>0</v>
      </c>
      <c r="P6" s="138">
        <v>0</v>
      </c>
      <c r="Q6" s="138">
        <v>0.25013046330954991</v>
      </c>
      <c r="R6" s="138">
        <v>0.4131436549646319</v>
      </c>
      <c r="S6" s="138">
        <v>0.63290909709480214</v>
      </c>
      <c r="T6" s="138">
        <v>0.25077508436342116</v>
      </c>
      <c r="U6" s="138">
        <v>0.8746407552883646</v>
      </c>
      <c r="V6" s="138">
        <v>0</v>
      </c>
      <c r="W6" s="138">
        <v>0</v>
      </c>
      <c r="X6" s="138">
        <v>0</v>
      </c>
      <c r="Y6" s="138">
        <v>0</v>
      </c>
      <c r="Z6" s="138">
        <v>0</v>
      </c>
      <c r="AA6" s="138">
        <v>1.0821366314999645E-2</v>
      </c>
      <c r="AB6" s="138">
        <v>0</v>
      </c>
      <c r="AC6" s="138">
        <v>0.45403202261839176</v>
      </c>
      <c r="AD6" s="138">
        <v>0</v>
      </c>
      <c r="AE6" s="138">
        <v>3.2891267960872946E-2</v>
      </c>
      <c r="AF6" s="138">
        <v>0</v>
      </c>
      <c r="AG6" s="138">
        <v>0</v>
      </c>
      <c r="AH6" s="138">
        <v>0</v>
      </c>
    </row>
    <row r="7" spans="1:34" customFormat="1" x14ac:dyDescent="0.15">
      <c r="A7" s="174" t="s">
        <v>197</v>
      </c>
      <c r="B7" s="138">
        <v>0</v>
      </c>
      <c r="C7" s="138">
        <v>0</v>
      </c>
      <c r="D7" s="138">
        <v>0</v>
      </c>
      <c r="E7" s="138">
        <v>0</v>
      </c>
      <c r="F7" s="138">
        <v>1.2446444730134334E-2</v>
      </c>
      <c r="G7" s="138">
        <v>2.2269341810380615E-2</v>
      </c>
      <c r="H7" s="138">
        <v>1.6000000126719992E-3</v>
      </c>
      <c r="I7" s="138">
        <v>0</v>
      </c>
      <c r="J7" s="138">
        <v>0</v>
      </c>
      <c r="K7" s="138">
        <v>0</v>
      </c>
      <c r="L7" s="138">
        <v>0</v>
      </c>
      <c r="M7" s="138">
        <v>0</v>
      </c>
      <c r="N7" s="138">
        <v>0</v>
      </c>
      <c r="O7" s="138">
        <v>0</v>
      </c>
      <c r="P7" s="138">
        <v>0</v>
      </c>
      <c r="Q7" s="138">
        <v>0</v>
      </c>
      <c r="R7" s="138">
        <v>3.1545449496806606E-2</v>
      </c>
      <c r="S7" s="138">
        <v>3.1594494351753315E-2</v>
      </c>
      <c r="T7" s="138">
        <v>3.4196601867739283E-2</v>
      </c>
      <c r="U7" s="138">
        <v>0</v>
      </c>
      <c r="V7" s="138">
        <v>1.0538612085832543E-2</v>
      </c>
      <c r="W7" s="138">
        <v>2.2690109205648497E-3</v>
      </c>
      <c r="X7" s="138">
        <v>2.3040685913043132E-2</v>
      </c>
      <c r="Y7" s="138">
        <v>0</v>
      </c>
      <c r="Z7" s="138">
        <v>1.1983696909658732E-3</v>
      </c>
      <c r="AA7" s="138">
        <v>1.0821368114999732E-3</v>
      </c>
      <c r="AB7" s="138">
        <v>8.352253481322601E-2</v>
      </c>
      <c r="AC7" s="138">
        <v>1.0272218186388913E-3</v>
      </c>
      <c r="AD7" s="138">
        <v>1.101560240465545E-3</v>
      </c>
      <c r="AE7" s="138">
        <v>0</v>
      </c>
      <c r="AF7" s="138">
        <v>0</v>
      </c>
      <c r="AG7" s="138">
        <v>0</v>
      </c>
      <c r="AH7" s="138">
        <v>0</v>
      </c>
    </row>
    <row r="8" spans="1:34" customFormat="1" x14ac:dyDescent="0.15">
      <c r="A8" s="174" t="s">
        <v>198</v>
      </c>
      <c r="B8" s="138">
        <v>0</v>
      </c>
      <c r="C8" s="138">
        <v>0</v>
      </c>
      <c r="D8" s="138">
        <v>0</v>
      </c>
      <c r="E8" s="138">
        <v>0</v>
      </c>
      <c r="F8" s="138">
        <v>0</v>
      </c>
      <c r="G8" s="138">
        <v>0</v>
      </c>
      <c r="H8" s="138">
        <v>4.6399998047488074E-2</v>
      </c>
      <c r="I8" s="138">
        <v>1.462223554719904E-2</v>
      </c>
      <c r="J8" s="138">
        <v>0</v>
      </c>
      <c r="K8" s="138">
        <v>0</v>
      </c>
      <c r="L8" s="138">
        <v>0</v>
      </c>
      <c r="M8" s="138">
        <v>0</v>
      </c>
      <c r="N8" s="138">
        <v>0</v>
      </c>
      <c r="O8" s="138">
        <v>0</v>
      </c>
      <c r="P8" s="138">
        <v>0.11339957185269435</v>
      </c>
      <c r="Q8" s="138">
        <v>1.1369569132252462E-2</v>
      </c>
      <c r="R8" s="138">
        <v>0.21674775983612199</v>
      </c>
      <c r="S8" s="138">
        <v>4.2805439508826808E-2</v>
      </c>
      <c r="T8" s="138">
        <v>0.34196607867738915</v>
      </c>
      <c r="U8" s="138">
        <v>1.802752637843285E-2</v>
      </c>
      <c r="V8" s="138">
        <v>0</v>
      </c>
      <c r="W8" s="138">
        <v>1.134505455282424E-3</v>
      </c>
      <c r="X8" s="138">
        <v>3.2915248261493266E-3</v>
      </c>
      <c r="Y8" s="138">
        <v>5.0618993050806721E-2</v>
      </c>
      <c r="Z8" s="138">
        <v>3.9546203921873919E-2</v>
      </c>
      <c r="AA8" s="138">
        <v>0</v>
      </c>
      <c r="AB8" s="138">
        <v>0</v>
      </c>
      <c r="AC8" s="138">
        <v>0.29686713559663691</v>
      </c>
      <c r="AD8" s="138">
        <v>2.7539006361638564E-2</v>
      </c>
      <c r="AE8" s="138">
        <v>0.13485420363957878</v>
      </c>
      <c r="AF8" s="138">
        <v>0</v>
      </c>
      <c r="AG8" s="138">
        <v>0</v>
      </c>
      <c r="AH8" s="138">
        <v>0</v>
      </c>
    </row>
    <row r="9" spans="1:34" customFormat="1" x14ac:dyDescent="0.15">
      <c r="A9" s="174" t="s">
        <v>199</v>
      </c>
      <c r="B9" s="138">
        <v>0</v>
      </c>
      <c r="C9" s="138">
        <v>0</v>
      </c>
      <c r="D9" s="138">
        <v>0</v>
      </c>
      <c r="E9" s="138">
        <v>0</v>
      </c>
      <c r="F9" s="138">
        <v>0</v>
      </c>
      <c r="G9" s="138">
        <v>1.0037294469212336E-3</v>
      </c>
      <c r="H9" s="138">
        <v>0</v>
      </c>
      <c r="I9" s="138">
        <v>0</v>
      </c>
      <c r="J9" s="138">
        <v>0</v>
      </c>
      <c r="K9" s="138">
        <v>0</v>
      </c>
      <c r="L9" s="138">
        <v>0</v>
      </c>
      <c r="M9" s="138">
        <v>0</v>
      </c>
      <c r="N9" s="138">
        <v>0</v>
      </c>
      <c r="O9" s="138">
        <v>0</v>
      </c>
      <c r="P9" s="138">
        <v>0</v>
      </c>
      <c r="Q9" s="138">
        <v>0</v>
      </c>
      <c r="R9" s="138">
        <v>5.1257300519271269E-3</v>
      </c>
      <c r="S9" s="138">
        <v>1.2062900707006611E-3</v>
      </c>
      <c r="T9" s="138">
        <v>1.1100896907825775E-2</v>
      </c>
      <c r="U9" s="138">
        <v>1.6806999140826204E-4</v>
      </c>
      <c r="V9" s="138">
        <v>0</v>
      </c>
      <c r="W9" s="138">
        <v>0</v>
      </c>
      <c r="X9" s="138">
        <v>0</v>
      </c>
      <c r="Y9" s="138">
        <v>6.0027933617883564E-3</v>
      </c>
      <c r="Z9" s="138">
        <v>0</v>
      </c>
      <c r="AA9" s="138">
        <v>7.5726837503915941E-4</v>
      </c>
      <c r="AB9" s="138">
        <v>3.4614808244234945E-5</v>
      </c>
      <c r="AC9" s="138">
        <v>2.0234720400323964E-3</v>
      </c>
      <c r="AD9" s="138">
        <v>5.29864308831547E-3</v>
      </c>
      <c r="AE9" s="138">
        <v>1.0958161920637792E-4</v>
      </c>
      <c r="AF9" s="138">
        <v>0</v>
      </c>
      <c r="AG9" s="138">
        <v>0</v>
      </c>
      <c r="AH9" s="138">
        <v>0</v>
      </c>
    </row>
    <row r="10" spans="1:34" customFormat="1" x14ac:dyDescent="0.15">
      <c r="A10" s="174" t="s">
        <v>200</v>
      </c>
      <c r="B10" s="138">
        <v>0</v>
      </c>
      <c r="C10" s="138">
        <v>0</v>
      </c>
      <c r="D10" s="138">
        <v>0</v>
      </c>
      <c r="E10" s="138">
        <v>0</v>
      </c>
      <c r="F10" s="138">
        <v>0</v>
      </c>
      <c r="G10" s="138">
        <v>0</v>
      </c>
      <c r="H10" s="138">
        <v>0</v>
      </c>
      <c r="I10" s="138">
        <v>0</v>
      </c>
      <c r="J10" s="138">
        <v>1.9228664816392824E-2</v>
      </c>
      <c r="K10" s="138">
        <v>8.2148569422017925E-2</v>
      </c>
      <c r="L10" s="138">
        <v>0</v>
      </c>
      <c r="M10" s="138">
        <v>3.0038183552374996E-2</v>
      </c>
      <c r="N10" s="138">
        <v>0</v>
      </c>
      <c r="O10" s="138">
        <v>8.0597854042290071E-2</v>
      </c>
      <c r="P10" s="138">
        <v>0</v>
      </c>
      <c r="Q10" s="138">
        <v>1.1132103314869963E-2</v>
      </c>
      <c r="R10" s="138">
        <v>1.1193544189189121E-2</v>
      </c>
      <c r="S10" s="138">
        <v>0</v>
      </c>
      <c r="T10" s="138">
        <v>0</v>
      </c>
      <c r="U10" s="138">
        <v>3.0045882664054479E-3</v>
      </c>
      <c r="V10" s="138">
        <v>0</v>
      </c>
      <c r="W10" s="138">
        <v>0.17698265646402464</v>
      </c>
      <c r="X10" s="138">
        <v>0.13495256606211384</v>
      </c>
      <c r="Y10" s="138">
        <v>1.3257355299020805E-2</v>
      </c>
      <c r="Z10" s="138">
        <v>0</v>
      </c>
      <c r="AA10" s="138">
        <v>0</v>
      </c>
      <c r="AB10" s="138">
        <v>0</v>
      </c>
      <c r="AC10" s="138">
        <v>0</v>
      </c>
      <c r="AD10" s="138">
        <v>0</v>
      </c>
      <c r="AE10" s="138">
        <v>0</v>
      </c>
      <c r="AF10" s="138">
        <v>0</v>
      </c>
      <c r="AG10" s="138">
        <v>0</v>
      </c>
      <c r="AH10" s="138">
        <v>0</v>
      </c>
    </row>
    <row r="11" spans="1:34" customFormat="1" x14ac:dyDescent="0.15">
      <c r="A11" s="174" t="s">
        <v>201</v>
      </c>
      <c r="B11" s="138">
        <v>0</v>
      </c>
      <c r="C11" s="138">
        <v>0</v>
      </c>
      <c r="D11" s="138">
        <v>0</v>
      </c>
      <c r="E11" s="138">
        <v>0</v>
      </c>
      <c r="F11" s="138">
        <v>5.4737799368045925E-4</v>
      </c>
      <c r="G11" s="138">
        <v>0</v>
      </c>
      <c r="H11" s="138">
        <v>0</v>
      </c>
      <c r="I11" s="138">
        <v>0</v>
      </c>
      <c r="J11" s="138">
        <v>3.4715990357652134E-3</v>
      </c>
      <c r="K11" s="138">
        <v>2.9188478266788151E-2</v>
      </c>
      <c r="L11" s="138">
        <v>0</v>
      </c>
      <c r="M11" s="138">
        <v>9.0332896697484927E-3</v>
      </c>
      <c r="N11" s="138">
        <v>0</v>
      </c>
      <c r="O11" s="138">
        <v>1.5529755405696483E-2</v>
      </c>
      <c r="P11" s="138">
        <v>2.1852881029957909E-2</v>
      </c>
      <c r="Q11" s="138">
        <v>1.3755532106904951E-2</v>
      </c>
      <c r="R11" s="138">
        <v>5.4950127310564943E-2</v>
      </c>
      <c r="S11" s="138">
        <v>2.0383544094679522E-3</v>
      </c>
      <c r="T11" s="138">
        <v>8.5491514669347596E-2</v>
      </c>
      <c r="U11" s="138">
        <v>6.0091766928108874E-3</v>
      </c>
      <c r="V11" s="138">
        <v>1.2646337502998935E-2</v>
      </c>
      <c r="W11" s="138">
        <v>9.0760345622578287E-2</v>
      </c>
      <c r="X11" s="138">
        <v>6.5830498322986195E-2</v>
      </c>
      <c r="Y11" s="138">
        <v>1.3257355299020805E-2</v>
      </c>
      <c r="Z11" s="138">
        <v>1.3182073240624776E-2</v>
      </c>
      <c r="AA11" s="138">
        <v>1.0821366314999645E-2</v>
      </c>
      <c r="AB11" s="138">
        <v>0</v>
      </c>
      <c r="AC11" s="138">
        <v>5.9578860501056131E-2</v>
      </c>
      <c r="AD11" s="138">
        <v>0</v>
      </c>
      <c r="AE11" s="138">
        <v>0</v>
      </c>
      <c r="AF11" s="138">
        <v>0</v>
      </c>
      <c r="AG11" s="138">
        <v>0</v>
      </c>
      <c r="AH11" s="138">
        <v>0</v>
      </c>
    </row>
    <row r="12" spans="1:34" customFormat="1" x14ac:dyDescent="0.15">
      <c r="A12" s="174" t="s">
        <v>202</v>
      </c>
      <c r="B12" s="138">
        <v>0</v>
      </c>
      <c r="C12" s="138">
        <v>0</v>
      </c>
      <c r="D12" s="138">
        <v>0</v>
      </c>
      <c r="E12" s="138">
        <v>0</v>
      </c>
      <c r="F12" s="138">
        <v>0</v>
      </c>
      <c r="G12" s="138">
        <v>0</v>
      </c>
      <c r="H12" s="138">
        <v>0</v>
      </c>
      <c r="I12" s="138">
        <v>0</v>
      </c>
      <c r="J12" s="138">
        <v>1.5903610593985978E-3</v>
      </c>
      <c r="K12" s="138">
        <v>6.4152726190611103E-2</v>
      </c>
      <c r="L12" s="138">
        <v>1.0985649192792723E-2</v>
      </c>
      <c r="M12" s="138">
        <v>4.4729448267965662E-2</v>
      </c>
      <c r="N12" s="138">
        <v>0</v>
      </c>
      <c r="O12" s="138">
        <v>0.13807340905606058</v>
      </c>
      <c r="P12" s="138">
        <v>0</v>
      </c>
      <c r="Q12" s="138">
        <v>1.0000000732000055E-2</v>
      </c>
      <c r="R12" s="138">
        <v>1.1193544189189121E-2</v>
      </c>
      <c r="S12" s="138">
        <v>2.0383544094679522E-3</v>
      </c>
      <c r="T12" s="138">
        <v>0</v>
      </c>
      <c r="U12" s="138">
        <v>0</v>
      </c>
      <c r="V12" s="138">
        <v>0</v>
      </c>
      <c r="W12" s="138">
        <v>5.6725273364121295E-2</v>
      </c>
      <c r="X12" s="138">
        <v>0.19749146496896391</v>
      </c>
      <c r="Y12" s="138">
        <v>3.977206589706242E-2</v>
      </c>
      <c r="Z12" s="138">
        <v>5.9918516048294472E-3</v>
      </c>
      <c r="AA12" s="138">
        <v>0</v>
      </c>
      <c r="AB12" s="138">
        <v>0</v>
      </c>
      <c r="AC12" s="138">
        <v>1.232666130366674E-2</v>
      </c>
      <c r="AD12" s="138">
        <v>0</v>
      </c>
      <c r="AE12" s="138">
        <v>0</v>
      </c>
      <c r="AF12" s="138">
        <v>0</v>
      </c>
      <c r="AG12" s="138">
        <v>0</v>
      </c>
      <c r="AH12" s="138">
        <v>0</v>
      </c>
    </row>
    <row r="13" spans="1:34" customFormat="1" x14ac:dyDescent="0.15">
      <c r="A13" s="174" t="s">
        <v>203</v>
      </c>
      <c r="B13" s="138">
        <v>0</v>
      </c>
      <c r="C13" s="138">
        <v>0</v>
      </c>
      <c r="D13" s="138">
        <v>0</v>
      </c>
      <c r="E13" s="138">
        <v>0</v>
      </c>
      <c r="F13" s="138">
        <v>6.6245346937493651E-4</v>
      </c>
      <c r="G13" s="138">
        <v>0</v>
      </c>
      <c r="H13" s="138">
        <v>0</v>
      </c>
      <c r="I13" s="138">
        <v>0</v>
      </c>
      <c r="J13" s="138">
        <v>2.3648698914453748E-2</v>
      </c>
      <c r="K13" s="138">
        <v>0.10484084577455055</v>
      </c>
      <c r="L13" s="138">
        <v>8.5283316930889891E-3</v>
      </c>
      <c r="M13" s="138">
        <v>2.8361335242419815E-2</v>
      </c>
      <c r="N13" s="138">
        <v>0</v>
      </c>
      <c r="O13" s="138">
        <v>0.24645130193837239</v>
      </c>
      <c r="P13" s="138">
        <v>7.8749694342149457E-2</v>
      </c>
      <c r="Q13" s="138">
        <v>2.149549847347049E-2</v>
      </c>
      <c r="R13" s="138">
        <v>1.1193544189189121E-2</v>
      </c>
      <c r="S13" s="138">
        <v>3.0575314892019208E-3</v>
      </c>
      <c r="T13" s="138">
        <v>1.7098300933869642E-2</v>
      </c>
      <c r="U13" s="138">
        <v>0</v>
      </c>
      <c r="V13" s="138">
        <v>1.2646337502998935E-2</v>
      </c>
      <c r="W13" s="138">
        <v>7.9415349969764182E-2</v>
      </c>
      <c r="X13" s="138">
        <v>6.5830498322986195E-2</v>
      </c>
      <c r="Y13" s="138">
        <v>0.13136831691756845</v>
      </c>
      <c r="Z13" s="138">
        <v>2.7562510712215282E-2</v>
      </c>
      <c r="AA13" s="138">
        <v>1.0821366314999645E-2</v>
      </c>
      <c r="AB13" s="138">
        <v>0</v>
      </c>
      <c r="AC13" s="138">
        <v>2.3626099998694659E-2</v>
      </c>
      <c r="AD13" s="138">
        <v>0</v>
      </c>
      <c r="AE13" s="138">
        <v>0</v>
      </c>
      <c r="AF13" s="138">
        <v>0</v>
      </c>
      <c r="AG13" s="138">
        <v>0</v>
      </c>
      <c r="AH13" s="138">
        <v>0</v>
      </c>
    </row>
    <row r="14" spans="1:34" customFormat="1" x14ac:dyDescent="0.15">
      <c r="A14" s="174" t="s">
        <v>204</v>
      </c>
      <c r="B14" s="138">
        <v>0</v>
      </c>
      <c r="C14" s="138">
        <v>0</v>
      </c>
      <c r="D14" s="138">
        <v>0</v>
      </c>
      <c r="E14" s="138">
        <v>0</v>
      </c>
      <c r="F14" s="138">
        <v>0</v>
      </c>
      <c r="G14" s="138">
        <v>0</v>
      </c>
      <c r="H14" s="138">
        <v>0</v>
      </c>
      <c r="I14" s="138">
        <v>0</v>
      </c>
      <c r="J14" s="138">
        <v>3.1657459804978862E-3</v>
      </c>
      <c r="K14" s="138">
        <v>1.556207707592386E-2</v>
      </c>
      <c r="L14" s="138">
        <v>1.1260254315109608E-2</v>
      </c>
      <c r="M14" s="138">
        <v>6.4362041896930833E-3</v>
      </c>
      <c r="N14" s="138">
        <v>0</v>
      </c>
      <c r="O14" s="138">
        <v>5.2850024707880111E-2</v>
      </c>
      <c r="P14" s="138">
        <v>0</v>
      </c>
      <c r="Q14" s="138">
        <v>0</v>
      </c>
      <c r="R14" s="138">
        <v>0</v>
      </c>
      <c r="S14" s="138">
        <v>0</v>
      </c>
      <c r="T14" s="138">
        <v>0</v>
      </c>
      <c r="U14" s="138">
        <v>0</v>
      </c>
      <c r="V14" s="138">
        <v>0</v>
      </c>
      <c r="W14" s="138">
        <v>0.13614059343388032</v>
      </c>
      <c r="X14" s="138">
        <v>0.16457632280745185</v>
      </c>
      <c r="Y14" s="138">
        <v>1.3257355299020805E-2</v>
      </c>
      <c r="Z14" s="138">
        <v>5.9918516048294472E-3</v>
      </c>
      <c r="AA14" s="138">
        <v>0</v>
      </c>
      <c r="AB14" s="138">
        <v>0</v>
      </c>
      <c r="AC14" s="138">
        <v>0</v>
      </c>
      <c r="AD14" s="138">
        <v>0</v>
      </c>
      <c r="AE14" s="138">
        <v>0</v>
      </c>
      <c r="AF14" s="138">
        <v>0</v>
      </c>
      <c r="AG14" s="138">
        <v>0</v>
      </c>
      <c r="AH14" s="138">
        <v>0</v>
      </c>
    </row>
    <row r="15" spans="1:34" customFormat="1" x14ac:dyDescent="0.15">
      <c r="A15" s="174" t="s">
        <v>205</v>
      </c>
      <c r="B15" s="138">
        <v>0</v>
      </c>
      <c r="C15" s="138">
        <v>0</v>
      </c>
      <c r="D15" s="138">
        <v>0</v>
      </c>
      <c r="E15" s="138">
        <v>0</v>
      </c>
      <c r="F15" s="138">
        <v>0</v>
      </c>
      <c r="G15" s="138">
        <v>0</v>
      </c>
      <c r="H15" s="138">
        <v>0</v>
      </c>
      <c r="I15" s="138">
        <v>0</v>
      </c>
      <c r="J15" s="138">
        <v>5.7831313432676044E-4</v>
      </c>
      <c r="K15" s="138">
        <v>1.625310183489081E-3</v>
      </c>
      <c r="L15" s="138">
        <v>2.8909605449454725E-4</v>
      </c>
      <c r="M15" s="138">
        <v>5.5063360178126243E-3</v>
      </c>
      <c r="N15" s="138">
        <v>0</v>
      </c>
      <c r="O15" s="138">
        <v>2.462120038966803E-2</v>
      </c>
      <c r="P15" s="138">
        <v>0</v>
      </c>
      <c r="Q15" s="138">
        <v>0</v>
      </c>
      <c r="R15" s="138">
        <v>0</v>
      </c>
      <c r="S15" s="138">
        <v>0</v>
      </c>
      <c r="T15" s="138">
        <v>0</v>
      </c>
      <c r="U15" s="138">
        <v>0</v>
      </c>
      <c r="V15" s="138">
        <v>0.16967172233190128</v>
      </c>
      <c r="W15" s="138">
        <v>0.15883070033952845</v>
      </c>
      <c r="X15" s="138">
        <v>0.16457632280745185</v>
      </c>
      <c r="Y15" s="138">
        <v>2.651471059804161E-2</v>
      </c>
      <c r="Z15" s="138">
        <v>2.7562510712215282E-2</v>
      </c>
      <c r="AA15" s="138">
        <v>0</v>
      </c>
      <c r="AB15" s="138">
        <v>0</v>
      </c>
      <c r="AC15" s="138">
        <v>7.1905519004723121E-3</v>
      </c>
      <c r="AD15" s="138">
        <v>0</v>
      </c>
      <c r="AE15" s="138">
        <v>0</v>
      </c>
      <c r="AF15" s="138">
        <v>0</v>
      </c>
      <c r="AG15" s="138">
        <v>0</v>
      </c>
      <c r="AH15" s="138">
        <v>0</v>
      </c>
    </row>
    <row r="16" spans="1:34" customFormat="1" x14ac:dyDescent="0.15">
      <c r="A16" s="174" t="s">
        <v>206</v>
      </c>
      <c r="B16" s="138">
        <v>0</v>
      </c>
      <c r="C16" s="138">
        <v>0</v>
      </c>
      <c r="D16" s="138">
        <v>0</v>
      </c>
      <c r="E16" s="138">
        <v>0</v>
      </c>
      <c r="F16" s="138">
        <v>0</v>
      </c>
      <c r="G16" s="138">
        <v>0</v>
      </c>
      <c r="H16" s="138">
        <v>0</v>
      </c>
      <c r="I16" s="138">
        <v>0</v>
      </c>
      <c r="J16" s="138">
        <v>0</v>
      </c>
      <c r="K16" s="138">
        <v>0</v>
      </c>
      <c r="L16" s="138">
        <v>0</v>
      </c>
      <c r="M16" s="138">
        <v>0</v>
      </c>
      <c r="N16" s="138">
        <v>0</v>
      </c>
      <c r="O16" s="138">
        <v>0</v>
      </c>
      <c r="P16" s="138">
        <v>6.0084120283196288E-4</v>
      </c>
      <c r="Q16" s="138">
        <v>0</v>
      </c>
      <c r="R16" s="138">
        <v>0</v>
      </c>
      <c r="S16" s="138">
        <v>0</v>
      </c>
      <c r="T16" s="138">
        <v>2.220179371565156E-2</v>
      </c>
      <c r="U16" s="138">
        <v>0</v>
      </c>
      <c r="V16" s="138">
        <v>8.3508916718099558E-3</v>
      </c>
      <c r="W16" s="138">
        <v>2.9352903752515322E-3</v>
      </c>
      <c r="X16" s="138">
        <v>1.9235689487973398E-2</v>
      </c>
      <c r="Y16" s="138">
        <v>6.0027938217883839E-2</v>
      </c>
      <c r="Z16" s="138">
        <v>0</v>
      </c>
      <c r="AA16" s="138">
        <v>0</v>
      </c>
      <c r="AB16" s="138">
        <v>0</v>
      </c>
      <c r="AC16" s="138">
        <v>0</v>
      </c>
      <c r="AD16" s="138">
        <v>0</v>
      </c>
      <c r="AE16" s="138">
        <v>3.2874485261913403E-2</v>
      </c>
      <c r="AF16" s="138">
        <v>0</v>
      </c>
      <c r="AG16" s="138">
        <v>0</v>
      </c>
      <c r="AH16" s="138">
        <v>0</v>
      </c>
    </row>
    <row r="17" spans="1:34" customFormat="1" x14ac:dyDescent="0.15">
      <c r="A17" s="174" t="s">
        <v>207</v>
      </c>
      <c r="B17" s="138">
        <v>0</v>
      </c>
      <c r="C17" s="138">
        <v>0</v>
      </c>
      <c r="D17" s="138">
        <v>0</v>
      </c>
      <c r="E17" s="138">
        <v>0</v>
      </c>
      <c r="F17" s="138">
        <v>0</v>
      </c>
      <c r="G17" s="138">
        <v>1.0122457968096762E-2</v>
      </c>
      <c r="H17" s="138">
        <v>0</v>
      </c>
      <c r="I17" s="138">
        <v>0</v>
      </c>
      <c r="J17" s="138">
        <v>0</v>
      </c>
      <c r="K17" s="138">
        <v>0</v>
      </c>
      <c r="L17" s="138">
        <v>0</v>
      </c>
      <c r="M17" s="138">
        <v>0</v>
      </c>
      <c r="N17" s="138">
        <v>0</v>
      </c>
      <c r="O17" s="138">
        <v>0</v>
      </c>
      <c r="P17" s="138">
        <v>0</v>
      </c>
      <c r="Q17" s="138">
        <v>7.498181548866889E-2</v>
      </c>
      <c r="R17" s="138">
        <v>0.10670679019627138</v>
      </c>
      <c r="S17" s="138">
        <v>7.1342414181378893E-3</v>
      </c>
      <c r="T17" s="138">
        <v>0.17098303533869483</v>
      </c>
      <c r="U17" s="138">
        <v>8.012234590414568E-3</v>
      </c>
      <c r="V17" s="138">
        <v>1.2646337502998935E-2</v>
      </c>
      <c r="W17" s="138">
        <v>0</v>
      </c>
      <c r="X17" s="138">
        <v>1.3166099264597313E-2</v>
      </c>
      <c r="Y17" s="138">
        <v>1.3257355299020805E-2</v>
      </c>
      <c r="Z17" s="138">
        <v>0</v>
      </c>
      <c r="AA17" s="138">
        <v>0</v>
      </c>
      <c r="AB17" s="138">
        <v>0</v>
      </c>
      <c r="AC17" s="138">
        <v>0</v>
      </c>
      <c r="AD17" s="138">
        <v>0</v>
      </c>
      <c r="AE17" s="138">
        <v>0</v>
      </c>
      <c r="AF17" s="138">
        <v>0</v>
      </c>
      <c r="AG17" s="138">
        <v>0</v>
      </c>
      <c r="AH17" s="138">
        <v>0</v>
      </c>
    </row>
    <row r="18" spans="1:34" customFormat="1" x14ac:dyDescent="0.15">
      <c r="A18" s="174" t="s">
        <v>208</v>
      </c>
      <c r="B18" s="138">
        <v>0</v>
      </c>
      <c r="C18" s="138">
        <v>0</v>
      </c>
      <c r="D18" s="138">
        <v>0</v>
      </c>
      <c r="E18" s="138">
        <v>0</v>
      </c>
      <c r="F18" s="138">
        <v>0</v>
      </c>
      <c r="G18" s="138">
        <v>1.4867690751511691E-2</v>
      </c>
      <c r="H18" s="138">
        <v>0</v>
      </c>
      <c r="I18" s="138">
        <v>0</v>
      </c>
      <c r="J18" s="138">
        <v>0</v>
      </c>
      <c r="K18" s="138">
        <v>0</v>
      </c>
      <c r="L18" s="138">
        <v>0</v>
      </c>
      <c r="M18" s="138">
        <v>0</v>
      </c>
      <c r="N18" s="138">
        <v>0</v>
      </c>
      <c r="O18" s="138">
        <v>0</v>
      </c>
      <c r="P18" s="138">
        <v>0</v>
      </c>
      <c r="Q18" s="138">
        <v>0</v>
      </c>
      <c r="R18" s="138">
        <v>8.2144990928569603E-4</v>
      </c>
      <c r="S18" s="138">
        <v>0</v>
      </c>
      <c r="T18" s="138">
        <v>1.5958412504945108E-2</v>
      </c>
      <c r="U18" s="138">
        <v>0</v>
      </c>
      <c r="V18" s="138">
        <v>0.31615848757497139</v>
      </c>
      <c r="W18" s="138">
        <v>5.4577854494486091E-3</v>
      </c>
      <c r="X18" s="138">
        <v>3.1089179285401378E-2</v>
      </c>
      <c r="Y18" s="138">
        <v>0.19765511191267363</v>
      </c>
      <c r="Z18" s="138">
        <v>0.20372292926420055</v>
      </c>
      <c r="AA18" s="138">
        <v>0.22724871081499343</v>
      </c>
      <c r="AB18" s="138">
        <v>7.1611297858576867E-2</v>
      </c>
      <c r="AC18" s="138">
        <v>5.9578860501056131E-2</v>
      </c>
      <c r="AD18" s="138">
        <v>0.33487430438152715</v>
      </c>
      <c r="AE18" s="138">
        <v>0.2872503821916253</v>
      </c>
      <c r="AF18" s="138">
        <v>0</v>
      </c>
      <c r="AG18" s="138">
        <v>0</v>
      </c>
      <c r="AH18" s="138">
        <v>0</v>
      </c>
    </row>
    <row r="19" spans="1:34" customFormat="1" x14ac:dyDescent="0.15">
      <c r="A19" s="174" t="s">
        <v>209</v>
      </c>
      <c r="B19" s="138">
        <v>0</v>
      </c>
      <c r="C19" s="138">
        <v>0</v>
      </c>
      <c r="D19" s="138">
        <v>0</v>
      </c>
      <c r="E19" s="138">
        <v>0</v>
      </c>
      <c r="F19" s="138">
        <v>0</v>
      </c>
      <c r="G19" s="138">
        <v>4.048983427382794E-3</v>
      </c>
      <c r="H19" s="138">
        <v>0</v>
      </c>
      <c r="I19" s="138">
        <v>0</v>
      </c>
      <c r="J19" s="138">
        <v>0</v>
      </c>
      <c r="K19" s="138">
        <v>0</v>
      </c>
      <c r="L19" s="138">
        <v>0</v>
      </c>
      <c r="M19" s="138">
        <v>0</v>
      </c>
      <c r="N19" s="138">
        <v>0</v>
      </c>
      <c r="O19" s="138">
        <v>0</v>
      </c>
      <c r="P19" s="138">
        <v>0</v>
      </c>
      <c r="Q19" s="138">
        <v>0</v>
      </c>
      <c r="R19" s="138">
        <v>9.1369802155838486E-4</v>
      </c>
      <c r="S19" s="138">
        <v>0</v>
      </c>
      <c r="T19" s="138">
        <v>1.7098300933869642E-2</v>
      </c>
      <c r="U19" s="138">
        <v>0</v>
      </c>
      <c r="V19" s="138">
        <v>0.1686177933733207</v>
      </c>
      <c r="W19" s="138">
        <v>3.4035148358470081E-2</v>
      </c>
      <c r="X19" s="138">
        <v>1.9539633134059873E-3</v>
      </c>
      <c r="Y19" s="138">
        <v>7.2312828758294201E-2</v>
      </c>
      <c r="Z19" s="138">
        <v>0.20372292926420055</v>
      </c>
      <c r="AA19" s="138">
        <v>8.4406664016997549E-2</v>
      </c>
      <c r="AB19" s="138">
        <v>0.82969162524990614</v>
      </c>
      <c r="AC19" s="138">
        <v>6.1633304518333883E-3</v>
      </c>
      <c r="AD19" s="138">
        <v>0.20929642898845641</v>
      </c>
      <c r="AE19" s="138">
        <v>0.26751570241509648</v>
      </c>
      <c r="AF19" s="138">
        <v>0</v>
      </c>
      <c r="AG19" s="138">
        <v>0</v>
      </c>
      <c r="AH19" s="138">
        <v>0</v>
      </c>
    </row>
    <row r="20" spans="1:34" customFormat="1" x14ac:dyDescent="0.15">
      <c r="A20" s="174" t="s">
        <v>210</v>
      </c>
      <c r="B20" s="138">
        <v>0</v>
      </c>
      <c r="C20" s="138">
        <v>0</v>
      </c>
      <c r="D20" s="138">
        <v>0</v>
      </c>
      <c r="E20" s="138">
        <v>0</v>
      </c>
      <c r="F20" s="138">
        <v>0</v>
      </c>
      <c r="G20" s="138">
        <v>1.2120531130413793E-3</v>
      </c>
      <c r="H20" s="138">
        <v>0</v>
      </c>
      <c r="I20" s="138">
        <v>0</v>
      </c>
      <c r="J20" s="138">
        <v>0</v>
      </c>
      <c r="K20" s="138">
        <v>0</v>
      </c>
      <c r="L20" s="138">
        <v>0</v>
      </c>
      <c r="M20" s="138">
        <v>0</v>
      </c>
      <c r="N20" s="138">
        <v>0</v>
      </c>
      <c r="O20" s="138">
        <v>0</v>
      </c>
      <c r="P20" s="138">
        <v>0</v>
      </c>
      <c r="Q20" s="138">
        <v>0</v>
      </c>
      <c r="R20" s="138">
        <v>6.6475988843965562E-4</v>
      </c>
      <c r="S20" s="138">
        <v>0</v>
      </c>
      <c r="T20" s="138">
        <v>3.287308455026456E-2</v>
      </c>
      <c r="U20" s="138">
        <v>0</v>
      </c>
      <c r="V20" s="138">
        <v>0.12133791523141992</v>
      </c>
      <c r="W20" s="138">
        <v>7.9525903688793795E-2</v>
      </c>
      <c r="X20" s="138">
        <v>1.2399407800593044E-3</v>
      </c>
      <c r="Y20" s="138">
        <v>0.1127580917959302</v>
      </c>
      <c r="Z20" s="138">
        <v>0.1342174594681792</v>
      </c>
      <c r="AA20" s="138">
        <v>0.16232050772499532</v>
      </c>
      <c r="AB20" s="138">
        <v>1.5139927270046672E-2</v>
      </c>
      <c r="AC20" s="138">
        <v>5.6174445003844848E-3</v>
      </c>
      <c r="AD20" s="138">
        <v>0.27979628385825139</v>
      </c>
      <c r="AE20" s="138">
        <v>4.6474507118766446E-2</v>
      </c>
      <c r="AF20" s="138">
        <v>0</v>
      </c>
      <c r="AG20" s="138">
        <v>0</v>
      </c>
      <c r="AH20" s="138">
        <v>0</v>
      </c>
    </row>
    <row r="21" spans="1:34" customFormat="1" x14ac:dyDescent="0.15">
      <c r="A21" s="174" t="s">
        <v>211</v>
      </c>
      <c r="B21" s="138">
        <v>0</v>
      </c>
      <c r="C21" s="138">
        <v>0</v>
      </c>
      <c r="D21" s="138">
        <v>0</v>
      </c>
      <c r="E21" s="138">
        <v>0</v>
      </c>
      <c r="F21" s="138">
        <v>0</v>
      </c>
      <c r="G21" s="138">
        <v>2.5832711164842923E-5</v>
      </c>
      <c r="H21" s="138">
        <v>0</v>
      </c>
      <c r="I21" s="138">
        <v>0</v>
      </c>
      <c r="J21" s="138">
        <v>0</v>
      </c>
      <c r="K21" s="138">
        <v>0</v>
      </c>
      <c r="L21" s="138">
        <v>0</v>
      </c>
      <c r="M21" s="138">
        <v>0</v>
      </c>
      <c r="N21" s="138">
        <v>0</v>
      </c>
      <c r="O21" s="138">
        <v>0</v>
      </c>
      <c r="P21" s="138">
        <v>0</v>
      </c>
      <c r="Q21" s="138">
        <v>0</v>
      </c>
      <c r="R21" s="138">
        <v>0</v>
      </c>
      <c r="S21" s="138">
        <v>0</v>
      </c>
      <c r="T21" s="138">
        <v>2.5689553698179262E-4</v>
      </c>
      <c r="U21" s="138">
        <v>0</v>
      </c>
      <c r="V21" s="138">
        <v>4.0370418413442554E-3</v>
      </c>
      <c r="W21" s="138">
        <v>0</v>
      </c>
      <c r="X21" s="138">
        <v>0</v>
      </c>
      <c r="Y21" s="138">
        <v>6.8099251404341891E-3</v>
      </c>
      <c r="Z21" s="138">
        <v>1.0519736671829998E-2</v>
      </c>
      <c r="AA21" s="138">
        <v>5.0783522416838625E-3</v>
      </c>
      <c r="AB21" s="138">
        <v>0</v>
      </c>
      <c r="AC21" s="138">
        <v>6.2816964413059167E-5</v>
      </c>
      <c r="AD21" s="138">
        <v>1.2957607770514008E-3</v>
      </c>
      <c r="AE21" s="138">
        <v>5.0677640058189024E-3</v>
      </c>
      <c r="AF21" s="138">
        <v>0</v>
      </c>
      <c r="AG21" s="138">
        <v>0</v>
      </c>
      <c r="AH21" s="138">
        <v>0</v>
      </c>
    </row>
    <row r="22" spans="1:34" customFormat="1" x14ac:dyDescent="0.15">
      <c r="A22" s="174" t="s">
        <v>212</v>
      </c>
      <c r="B22" s="138">
        <v>0</v>
      </c>
      <c r="C22" s="138">
        <v>0</v>
      </c>
      <c r="D22" s="138">
        <v>0</v>
      </c>
      <c r="E22" s="138">
        <v>0</v>
      </c>
      <c r="F22" s="138">
        <v>0</v>
      </c>
      <c r="G22" s="138">
        <v>0</v>
      </c>
      <c r="H22" s="138">
        <v>0</v>
      </c>
      <c r="I22" s="138">
        <v>0</v>
      </c>
      <c r="J22" s="138">
        <v>0</v>
      </c>
      <c r="K22" s="138">
        <v>0</v>
      </c>
      <c r="L22" s="138">
        <v>0</v>
      </c>
      <c r="M22" s="138">
        <v>0</v>
      </c>
      <c r="N22" s="138">
        <v>0</v>
      </c>
      <c r="O22" s="138">
        <v>0</v>
      </c>
      <c r="P22" s="138">
        <v>0</v>
      </c>
      <c r="Q22" s="138">
        <v>0</v>
      </c>
      <c r="R22" s="138">
        <v>0</v>
      </c>
      <c r="S22" s="138">
        <v>0</v>
      </c>
      <c r="T22" s="138">
        <v>0</v>
      </c>
      <c r="U22" s="138">
        <v>0</v>
      </c>
      <c r="V22" s="138">
        <v>3.1615840857497447E-2</v>
      </c>
      <c r="W22" s="138">
        <v>0</v>
      </c>
      <c r="X22" s="138">
        <v>0</v>
      </c>
      <c r="Y22" s="138">
        <v>0</v>
      </c>
      <c r="Z22" s="138">
        <v>2.3967393819317464E-3</v>
      </c>
      <c r="AA22" s="138">
        <v>0.12985640617999625</v>
      </c>
      <c r="AB22" s="138">
        <v>0</v>
      </c>
      <c r="AC22" s="138">
        <v>0</v>
      </c>
      <c r="AD22" s="138">
        <v>1.101560240465545E-3</v>
      </c>
      <c r="AE22" s="138">
        <v>1.0963756820290931E-3</v>
      </c>
      <c r="AF22" s="138">
        <v>0</v>
      </c>
      <c r="AG22" s="138">
        <v>0</v>
      </c>
      <c r="AH22" s="138">
        <v>0</v>
      </c>
    </row>
    <row r="23" spans="1:34" customFormat="1" x14ac:dyDescent="0.15">
      <c r="A23" s="174" t="s">
        <v>213</v>
      </c>
      <c r="B23" s="138">
        <v>0</v>
      </c>
      <c r="C23" s="138">
        <v>0</v>
      </c>
      <c r="D23" s="138">
        <v>0</v>
      </c>
      <c r="E23" s="138">
        <v>0</v>
      </c>
      <c r="F23" s="138">
        <v>0</v>
      </c>
      <c r="G23" s="138">
        <v>0</v>
      </c>
      <c r="H23" s="138">
        <v>0</v>
      </c>
      <c r="I23" s="138">
        <v>0</v>
      </c>
      <c r="J23" s="138">
        <v>0</v>
      </c>
      <c r="K23" s="138">
        <v>1.401173216798334E-3</v>
      </c>
      <c r="L23" s="138">
        <v>0</v>
      </c>
      <c r="M23" s="138">
        <v>4.406148164449611E-4</v>
      </c>
      <c r="N23" s="138">
        <v>0</v>
      </c>
      <c r="O23" s="138">
        <v>2.6080049443838339E-3</v>
      </c>
      <c r="P23" s="138">
        <v>0</v>
      </c>
      <c r="Q23" s="138">
        <v>0</v>
      </c>
      <c r="R23" s="138">
        <v>2.0351906207617602E-3</v>
      </c>
      <c r="S23" s="138">
        <v>0</v>
      </c>
      <c r="T23" s="138">
        <v>0</v>
      </c>
      <c r="U23" s="138">
        <v>0</v>
      </c>
      <c r="V23" s="138">
        <v>5.2693070629162321E-2</v>
      </c>
      <c r="W23" s="138">
        <v>9.6304146576832741E-2</v>
      </c>
      <c r="X23" s="138">
        <v>3.840105668842056E-2</v>
      </c>
      <c r="Y23" s="138">
        <v>0.15667767244296332</v>
      </c>
      <c r="Z23" s="138">
        <v>6.8307101765055528E-2</v>
      </c>
      <c r="AA23" s="138">
        <v>5.4106842574998759E-2</v>
      </c>
      <c r="AB23" s="138">
        <v>0</v>
      </c>
      <c r="AC23" s="138">
        <v>0</v>
      </c>
      <c r="AD23" s="138">
        <v>0</v>
      </c>
      <c r="AE23" s="138">
        <v>0</v>
      </c>
      <c r="AF23" s="138">
        <v>0</v>
      </c>
      <c r="AG23" s="138">
        <v>0</v>
      </c>
      <c r="AH23" s="138">
        <v>0</v>
      </c>
    </row>
    <row r="24" spans="1:34" customFormat="1" x14ac:dyDescent="0.15">
      <c r="A24" s="174" t="s">
        <v>214</v>
      </c>
      <c r="B24" s="138">
        <v>0</v>
      </c>
      <c r="C24" s="138">
        <v>0</v>
      </c>
      <c r="D24" s="138">
        <v>0</v>
      </c>
      <c r="E24" s="138">
        <v>0</v>
      </c>
      <c r="F24" s="138">
        <v>0</v>
      </c>
      <c r="G24" s="138">
        <v>0</v>
      </c>
      <c r="H24" s="138">
        <v>0</v>
      </c>
      <c r="I24" s="138">
        <v>0</v>
      </c>
      <c r="J24" s="138">
        <v>0</v>
      </c>
      <c r="K24" s="138">
        <v>9.5579444324492573E-4</v>
      </c>
      <c r="L24" s="138">
        <v>0</v>
      </c>
      <c r="M24" s="138">
        <v>4.6798752650463953E-4</v>
      </c>
      <c r="N24" s="138">
        <v>0</v>
      </c>
      <c r="O24" s="138">
        <v>2.0137458308480895E-3</v>
      </c>
      <c r="P24" s="138">
        <v>0</v>
      </c>
      <c r="Q24" s="138">
        <v>0</v>
      </c>
      <c r="R24" s="138">
        <v>2.0351906207617602E-3</v>
      </c>
      <c r="S24" s="138">
        <v>0</v>
      </c>
      <c r="T24" s="138">
        <v>0</v>
      </c>
      <c r="U24" s="138">
        <v>0</v>
      </c>
      <c r="V24" s="138">
        <v>5.7962387722078158E-2</v>
      </c>
      <c r="W24" s="138">
        <v>2.4933882591869207E-2</v>
      </c>
      <c r="X24" s="138">
        <v>2.7429372834577845E-2</v>
      </c>
      <c r="Y24" s="138">
        <v>4.8208532905528283E-2</v>
      </c>
      <c r="Z24" s="138">
        <v>6.8307101765055528E-2</v>
      </c>
      <c r="AA24" s="138">
        <v>8.6570930119997155E-2</v>
      </c>
      <c r="AB24" s="138">
        <v>0</v>
      </c>
      <c r="AC24" s="138">
        <v>0</v>
      </c>
      <c r="AD24" s="138">
        <v>6.9398308059327118E-2</v>
      </c>
      <c r="AE24" s="138">
        <v>4.0565897485076614E-2</v>
      </c>
      <c r="AF24" s="138">
        <v>0</v>
      </c>
      <c r="AG24" s="138">
        <v>0</v>
      </c>
      <c r="AH24" s="138">
        <v>0</v>
      </c>
    </row>
    <row r="25" spans="1:34" customFormat="1" x14ac:dyDescent="0.15">
      <c r="A25" s="174" t="s">
        <v>215</v>
      </c>
      <c r="B25" s="138">
        <v>0</v>
      </c>
      <c r="C25" s="138">
        <v>0</v>
      </c>
      <c r="D25" s="138">
        <v>0</v>
      </c>
      <c r="E25" s="138">
        <v>0</v>
      </c>
      <c r="F25" s="138">
        <v>0</v>
      </c>
      <c r="G25" s="138">
        <v>0</v>
      </c>
      <c r="H25" s="138">
        <v>0</v>
      </c>
      <c r="I25" s="138">
        <v>0</v>
      </c>
      <c r="J25" s="138">
        <v>0</v>
      </c>
      <c r="K25" s="138">
        <v>0</v>
      </c>
      <c r="L25" s="138">
        <v>0</v>
      </c>
      <c r="M25" s="138">
        <v>2.839478634860305E-5</v>
      </c>
      <c r="N25" s="138">
        <v>0</v>
      </c>
      <c r="O25" s="138">
        <v>4.0960010536323368E-5</v>
      </c>
      <c r="P25" s="138">
        <v>0</v>
      </c>
      <c r="Q25" s="138">
        <v>0</v>
      </c>
      <c r="R25" s="138">
        <v>1.4773904865520305E-3</v>
      </c>
      <c r="S25" s="138">
        <v>0</v>
      </c>
      <c r="T25" s="138">
        <v>0</v>
      </c>
      <c r="U25" s="138">
        <v>0</v>
      </c>
      <c r="V25" s="138">
        <v>2.1077224171665087E-2</v>
      </c>
      <c r="W25" s="138">
        <v>2.7321298702815144E-2</v>
      </c>
      <c r="X25" s="138">
        <v>2.0465441169840046E-2</v>
      </c>
      <c r="Y25" s="138">
        <v>3.8243597804941638E-2</v>
      </c>
      <c r="Z25" s="138">
        <v>6.8307101765055528E-2</v>
      </c>
      <c r="AA25" s="138">
        <v>7.5749573604997969E-2</v>
      </c>
      <c r="AB25" s="138">
        <v>0</v>
      </c>
      <c r="AC25" s="138">
        <v>0</v>
      </c>
      <c r="AD25" s="138">
        <v>6.9398308059327118E-2</v>
      </c>
      <c r="AE25" s="138">
        <v>2.7409388300727557E-2</v>
      </c>
      <c r="AF25" s="138">
        <v>0</v>
      </c>
      <c r="AG25" s="138">
        <v>0</v>
      </c>
      <c r="AH25" s="138">
        <v>0</v>
      </c>
    </row>
    <row r="26" spans="1:34" customFormat="1" x14ac:dyDescent="0.15">
      <c r="A26" s="174" t="s">
        <v>216</v>
      </c>
      <c r="B26" s="138">
        <v>0</v>
      </c>
      <c r="C26" s="138">
        <v>0</v>
      </c>
      <c r="D26" s="138">
        <v>0</v>
      </c>
      <c r="E26" s="138">
        <v>0</v>
      </c>
      <c r="F26" s="138">
        <v>0</v>
      </c>
      <c r="G26" s="138">
        <v>0</v>
      </c>
      <c r="H26" s="138">
        <v>0</v>
      </c>
      <c r="I26" s="138">
        <v>0</v>
      </c>
      <c r="J26" s="138">
        <v>0</v>
      </c>
      <c r="K26" s="138">
        <v>0</v>
      </c>
      <c r="L26" s="138">
        <v>0</v>
      </c>
      <c r="M26" s="138">
        <v>0</v>
      </c>
      <c r="N26" s="138">
        <v>0</v>
      </c>
      <c r="O26" s="138">
        <v>0</v>
      </c>
      <c r="P26" s="138">
        <v>0</v>
      </c>
      <c r="Q26" s="138">
        <v>0</v>
      </c>
      <c r="R26" s="138">
        <v>0</v>
      </c>
      <c r="S26" s="138">
        <v>0</v>
      </c>
      <c r="T26" s="138">
        <v>0</v>
      </c>
      <c r="U26" s="138">
        <v>0</v>
      </c>
      <c r="V26" s="138">
        <v>0</v>
      </c>
      <c r="W26" s="138">
        <v>0</v>
      </c>
      <c r="X26" s="138">
        <v>0</v>
      </c>
      <c r="Y26" s="138">
        <v>0</v>
      </c>
      <c r="Z26" s="138">
        <v>3.8845768303774663E-3</v>
      </c>
      <c r="AA26" s="138">
        <v>2.2500685570830129E-2</v>
      </c>
      <c r="AB26" s="138">
        <v>0</v>
      </c>
      <c r="AC26" s="138">
        <v>0</v>
      </c>
      <c r="AD26" s="138">
        <v>0</v>
      </c>
      <c r="AE26" s="138">
        <v>0</v>
      </c>
      <c r="AF26" s="138">
        <v>0</v>
      </c>
      <c r="AG26" s="138">
        <v>0</v>
      </c>
      <c r="AH26" s="138">
        <v>0</v>
      </c>
    </row>
    <row r="27" spans="1:34" customFormat="1" x14ac:dyDescent="0.15">
      <c r="A27" s="174" t="s">
        <v>217</v>
      </c>
      <c r="B27" s="138">
        <v>0</v>
      </c>
      <c r="C27" s="138">
        <v>0</v>
      </c>
      <c r="D27" s="138">
        <v>0</v>
      </c>
      <c r="E27" s="138">
        <v>0</v>
      </c>
      <c r="F27" s="138">
        <v>0</v>
      </c>
      <c r="G27" s="138">
        <v>0</v>
      </c>
      <c r="H27" s="138">
        <v>0</v>
      </c>
      <c r="I27" s="138">
        <v>0</v>
      </c>
      <c r="J27" s="138">
        <v>0</v>
      </c>
      <c r="K27" s="138">
        <v>0</v>
      </c>
      <c r="L27" s="138">
        <v>0</v>
      </c>
      <c r="M27" s="138">
        <v>0</v>
      </c>
      <c r="N27" s="138">
        <v>0</v>
      </c>
      <c r="O27" s="138">
        <v>0</v>
      </c>
      <c r="P27" s="138">
        <v>0</v>
      </c>
      <c r="Q27" s="138">
        <v>0</v>
      </c>
      <c r="R27" s="138">
        <v>0</v>
      </c>
      <c r="S27" s="138">
        <v>0</v>
      </c>
      <c r="T27" s="138">
        <v>0</v>
      </c>
      <c r="U27" s="138">
        <v>0</v>
      </c>
      <c r="V27" s="138">
        <v>0</v>
      </c>
      <c r="W27" s="138">
        <v>0</v>
      </c>
      <c r="X27" s="138">
        <v>0</v>
      </c>
      <c r="Y27" s="138">
        <v>0</v>
      </c>
      <c r="Z27" s="138">
        <v>8.9778122319866694E-3</v>
      </c>
      <c r="AA27" s="138">
        <v>2.1642732529999289E-2</v>
      </c>
      <c r="AB27" s="138">
        <v>0</v>
      </c>
      <c r="AC27" s="138">
        <v>0</v>
      </c>
      <c r="AD27" s="138">
        <v>0</v>
      </c>
      <c r="AE27" s="138">
        <v>0</v>
      </c>
      <c r="AF27" s="138">
        <v>0</v>
      </c>
      <c r="AG27" s="138">
        <v>0</v>
      </c>
      <c r="AH27" s="138">
        <v>0</v>
      </c>
    </row>
    <row r="28" spans="1:34" customFormat="1" x14ac:dyDescent="0.15">
      <c r="A28" s="174" t="s">
        <v>218</v>
      </c>
      <c r="B28" s="138">
        <v>0</v>
      </c>
      <c r="C28" s="138">
        <v>0</v>
      </c>
      <c r="D28" s="138">
        <v>0</v>
      </c>
      <c r="E28" s="138">
        <v>0</v>
      </c>
      <c r="F28" s="138">
        <v>0</v>
      </c>
      <c r="G28" s="138">
        <v>0</v>
      </c>
      <c r="H28" s="138">
        <v>0</v>
      </c>
      <c r="I28" s="138">
        <v>0</v>
      </c>
      <c r="J28" s="138">
        <v>0</v>
      </c>
      <c r="K28" s="138">
        <v>0</v>
      </c>
      <c r="L28" s="138">
        <v>0</v>
      </c>
      <c r="M28" s="138">
        <v>0</v>
      </c>
      <c r="N28" s="138">
        <v>0</v>
      </c>
      <c r="O28" s="138">
        <v>0</v>
      </c>
      <c r="P28" s="138">
        <v>0</v>
      </c>
      <c r="Q28" s="138">
        <v>0</v>
      </c>
      <c r="R28" s="138">
        <v>0</v>
      </c>
      <c r="S28" s="138">
        <v>0</v>
      </c>
      <c r="T28" s="138">
        <v>0</v>
      </c>
      <c r="U28" s="138">
        <v>0</v>
      </c>
      <c r="V28" s="138">
        <v>0</v>
      </c>
      <c r="W28" s="138">
        <v>0</v>
      </c>
      <c r="X28" s="138">
        <v>0</v>
      </c>
      <c r="Y28" s="138">
        <v>0</v>
      </c>
      <c r="Z28" s="138">
        <v>6.1382285086118262E-3</v>
      </c>
      <c r="AA28" s="138">
        <v>7.5520643594102956E-3</v>
      </c>
      <c r="AB28" s="138">
        <v>0</v>
      </c>
      <c r="AC28" s="138">
        <v>0</v>
      </c>
      <c r="AD28" s="138">
        <v>0</v>
      </c>
      <c r="AE28" s="138">
        <v>0</v>
      </c>
      <c r="AF28" s="138">
        <v>0</v>
      </c>
      <c r="AG28" s="138">
        <v>0</v>
      </c>
      <c r="AH28" s="138">
        <v>0</v>
      </c>
    </row>
    <row r="29" spans="1:34" customFormat="1" x14ac:dyDescent="0.15">
      <c r="A29" s="174" t="s">
        <v>219</v>
      </c>
      <c r="B29" s="138">
        <v>0</v>
      </c>
      <c r="C29" s="138">
        <v>0</v>
      </c>
      <c r="D29" s="138">
        <v>0</v>
      </c>
      <c r="E29" s="138">
        <v>0</v>
      </c>
      <c r="F29" s="138">
        <v>0</v>
      </c>
      <c r="G29" s="138">
        <v>0</v>
      </c>
      <c r="H29" s="138">
        <v>0</v>
      </c>
      <c r="I29" s="138">
        <v>0</v>
      </c>
      <c r="J29" s="138">
        <v>0</v>
      </c>
      <c r="K29" s="138">
        <v>0</v>
      </c>
      <c r="L29" s="138">
        <v>0</v>
      </c>
      <c r="M29" s="138">
        <v>0</v>
      </c>
      <c r="N29" s="138">
        <v>0</v>
      </c>
      <c r="O29" s="138">
        <v>0</v>
      </c>
      <c r="P29" s="138">
        <v>0</v>
      </c>
      <c r="Q29" s="138">
        <v>0</v>
      </c>
      <c r="R29" s="138">
        <v>0</v>
      </c>
      <c r="S29" s="138">
        <v>0</v>
      </c>
      <c r="T29" s="138">
        <v>0</v>
      </c>
      <c r="U29" s="138">
        <v>0</v>
      </c>
      <c r="V29" s="138">
        <v>0</v>
      </c>
      <c r="W29" s="138">
        <v>0</v>
      </c>
      <c r="X29" s="138">
        <v>0</v>
      </c>
      <c r="Y29" s="138">
        <v>0</v>
      </c>
      <c r="Z29" s="138">
        <v>1.3182073240624776E-2</v>
      </c>
      <c r="AA29" s="138">
        <v>1.0821366314999645E-2</v>
      </c>
      <c r="AB29" s="138">
        <v>0</v>
      </c>
      <c r="AC29" s="138">
        <v>0</v>
      </c>
      <c r="AD29" s="138">
        <v>0</v>
      </c>
      <c r="AE29" s="138">
        <v>0</v>
      </c>
      <c r="AF29" s="138">
        <v>0</v>
      </c>
      <c r="AG29" s="138">
        <v>0</v>
      </c>
      <c r="AH29" s="138">
        <v>0</v>
      </c>
    </row>
    <row r="30" spans="1:34" customFormat="1" x14ac:dyDescent="0.15">
      <c r="A30" s="174" t="s">
        <v>220</v>
      </c>
      <c r="B30" s="138">
        <v>0</v>
      </c>
      <c r="C30" s="138">
        <v>0</v>
      </c>
      <c r="D30" s="138">
        <v>0</v>
      </c>
      <c r="E30" s="138">
        <v>0</v>
      </c>
      <c r="F30" s="138">
        <v>0</v>
      </c>
      <c r="G30" s="138">
        <v>0</v>
      </c>
      <c r="H30" s="138">
        <v>0</v>
      </c>
      <c r="I30" s="138">
        <v>0</v>
      </c>
      <c r="J30" s="138">
        <v>0</v>
      </c>
      <c r="K30" s="138">
        <v>0</v>
      </c>
      <c r="L30" s="138">
        <v>0</v>
      </c>
      <c r="M30" s="138">
        <v>0</v>
      </c>
      <c r="N30" s="138">
        <v>0</v>
      </c>
      <c r="O30" s="138">
        <v>0</v>
      </c>
      <c r="P30" s="138">
        <v>0</v>
      </c>
      <c r="Q30" s="138">
        <v>0</v>
      </c>
      <c r="R30" s="138">
        <v>0</v>
      </c>
      <c r="S30" s="138">
        <v>0</v>
      </c>
      <c r="T30" s="138">
        <v>0</v>
      </c>
      <c r="U30" s="138">
        <v>0</v>
      </c>
      <c r="V30" s="138">
        <v>0</v>
      </c>
      <c r="W30" s="138">
        <v>0</v>
      </c>
      <c r="X30" s="138">
        <v>0</v>
      </c>
      <c r="Y30" s="138">
        <v>0</v>
      </c>
      <c r="Z30" s="138">
        <v>8.3703112162888445E-3</v>
      </c>
      <c r="AA30" s="138">
        <v>2.1642732529999289E-2</v>
      </c>
      <c r="AB30" s="138">
        <v>0</v>
      </c>
      <c r="AC30" s="138">
        <v>0</v>
      </c>
      <c r="AD30" s="138">
        <v>8.9983594517422728E-4</v>
      </c>
      <c r="AE30" s="138">
        <v>0</v>
      </c>
      <c r="AF30" s="138">
        <v>0</v>
      </c>
      <c r="AG30" s="138">
        <v>0</v>
      </c>
      <c r="AH30" s="138">
        <v>0</v>
      </c>
    </row>
    <row r="31" spans="1:34" customFormat="1" x14ac:dyDescent="0.15">
      <c r="A31" s="174" t="s">
        <v>221</v>
      </c>
      <c r="B31" s="138">
        <v>0</v>
      </c>
      <c r="C31" s="138">
        <v>0</v>
      </c>
      <c r="D31" s="138">
        <v>0</v>
      </c>
      <c r="E31" s="138">
        <v>0</v>
      </c>
      <c r="F31" s="138">
        <v>0</v>
      </c>
      <c r="G31" s="138">
        <v>0</v>
      </c>
      <c r="H31" s="138">
        <v>0</v>
      </c>
      <c r="I31" s="138">
        <v>0</v>
      </c>
      <c r="J31" s="138">
        <v>0</v>
      </c>
      <c r="K31" s="138">
        <v>0</v>
      </c>
      <c r="L31" s="138">
        <v>0</v>
      </c>
      <c r="M31" s="138">
        <v>0</v>
      </c>
      <c r="N31" s="138">
        <v>0</v>
      </c>
      <c r="O31" s="138">
        <v>0</v>
      </c>
      <c r="P31" s="138">
        <v>0</v>
      </c>
      <c r="Q31" s="138">
        <v>0</v>
      </c>
      <c r="R31" s="138">
        <v>0</v>
      </c>
      <c r="S31" s="138">
        <v>0</v>
      </c>
      <c r="T31" s="138">
        <v>0</v>
      </c>
      <c r="U31" s="138">
        <v>0</v>
      </c>
      <c r="V31" s="138">
        <v>0</v>
      </c>
      <c r="W31" s="138">
        <v>0</v>
      </c>
      <c r="X31" s="138">
        <v>0</v>
      </c>
      <c r="Y31" s="138">
        <v>0</v>
      </c>
      <c r="Z31" s="138">
        <v>1.0603425373992514E-2</v>
      </c>
      <c r="AA31" s="138">
        <v>2.0920847095644035E-3</v>
      </c>
      <c r="AB31" s="138">
        <v>0</v>
      </c>
      <c r="AC31" s="138">
        <v>0</v>
      </c>
      <c r="AD31" s="138">
        <v>0</v>
      </c>
      <c r="AE31" s="138">
        <v>0</v>
      </c>
      <c r="AF31" s="138">
        <v>0</v>
      </c>
      <c r="AG31" s="138">
        <v>0</v>
      </c>
      <c r="AH31" s="138">
        <v>0</v>
      </c>
    </row>
    <row r="32" spans="1:34" customFormat="1" x14ac:dyDescent="0.15">
      <c r="A32" s="174" t="s">
        <v>222</v>
      </c>
      <c r="B32" s="138">
        <v>0</v>
      </c>
      <c r="C32" s="138">
        <v>0</v>
      </c>
      <c r="D32" s="138">
        <v>0</v>
      </c>
      <c r="E32" s="138">
        <v>0</v>
      </c>
      <c r="F32" s="138">
        <v>0</v>
      </c>
      <c r="G32" s="138">
        <v>0</v>
      </c>
      <c r="H32" s="138">
        <v>0</v>
      </c>
      <c r="I32" s="138">
        <v>2.9244471094398081E-2</v>
      </c>
      <c r="J32" s="138">
        <v>6.3314910309958785E-3</v>
      </c>
      <c r="K32" s="138">
        <v>7.7810385379619299E-3</v>
      </c>
      <c r="L32" s="138">
        <v>6.0630714927397567E-3</v>
      </c>
      <c r="M32" s="138">
        <v>1.0495996140120862E-2</v>
      </c>
      <c r="N32" s="138">
        <v>0</v>
      </c>
      <c r="O32" s="138">
        <v>5.2850024707880111E-2</v>
      </c>
      <c r="P32" s="138">
        <v>5.6699785926347175E-2</v>
      </c>
      <c r="Q32" s="138">
        <v>0</v>
      </c>
      <c r="R32" s="138">
        <v>0</v>
      </c>
      <c r="S32" s="138">
        <v>0</v>
      </c>
      <c r="T32" s="138">
        <v>0</v>
      </c>
      <c r="U32" s="138">
        <v>0</v>
      </c>
      <c r="V32" s="138">
        <v>0</v>
      </c>
      <c r="W32" s="138">
        <v>1.3614054343387173E-2</v>
      </c>
      <c r="X32" s="138">
        <v>2.6332198629194607E-2</v>
      </c>
      <c r="Y32" s="138">
        <v>0</v>
      </c>
      <c r="Z32" s="138">
        <v>6.8307101765055528E-2</v>
      </c>
      <c r="AA32" s="138">
        <v>0</v>
      </c>
      <c r="AB32" s="138">
        <v>0</v>
      </c>
      <c r="AC32" s="138">
        <v>0</v>
      </c>
      <c r="AD32" s="138">
        <v>0</v>
      </c>
      <c r="AE32" s="138">
        <v>0.123890444319288</v>
      </c>
      <c r="AF32" s="138">
        <v>0</v>
      </c>
      <c r="AG32" s="138">
        <v>0</v>
      </c>
      <c r="AH32" s="138">
        <v>0</v>
      </c>
    </row>
    <row r="33" spans="1:34" customFormat="1" x14ac:dyDescent="0.15">
      <c r="A33" s="174" t="s">
        <v>223</v>
      </c>
      <c r="B33" s="138">
        <v>0</v>
      </c>
      <c r="C33" s="138">
        <v>0.85</v>
      </c>
      <c r="D33" s="138">
        <v>0.49750989850747029</v>
      </c>
      <c r="E33" s="138">
        <v>0.12280748109821957</v>
      </c>
      <c r="F33" s="138">
        <v>2.7023474624905539E-2</v>
      </c>
      <c r="G33" s="138">
        <v>1.0122457968096762E-2</v>
      </c>
      <c r="H33" s="138">
        <v>0.18399999225728028</v>
      </c>
      <c r="I33" s="138">
        <v>0</v>
      </c>
      <c r="J33" s="138">
        <v>0.49244934407745244</v>
      </c>
      <c r="K33" s="138">
        <v>0.33700985698835462</v>
      </c>
      <c r="L33" s="138">
        <v>0.34646138415657024</v>
      </c>
      <c r="M33" s="138">
        <v>0.41838227733541178</v>
      </c>
      <c r="N33" s="138">
        <v>0.23000000000000004</v>
      </c>
      <c r="O33" s="138">
        <v>0.19218185948319194</v>
      </c>
      <c r="P33" s="138">
        <v>0.33599871985983598</v>
      </c>
      <c r="Q33" s="138">
        <v>5.9121764327713155E-2</v>
      </c>
      <c r="R33" s="138">
        <v>0</v>
      </c>
      <c r="S33" s="138">
        <v>0</v>
      </c>
      <c r="T33" s="138">
        <v>0</v>
      </c>
      <c r="U33" s="138">
        <v>0</v>
      </c>
      <c r="V33" s="138">
        <v>0</v>
      </c>
      <c r="W33" s="138">
        <v>1.3614054343387173E-2</v>
      </c>
      <c r="X33" s="138">
        <v>1.0971745153831845E-3</v>
      </c>
      <c r="Y33" s="138">
        <v>0</v>
      </c>
      <c r="Z33" s="138">
        <v>0</v>
      </c>
      <c r="AA33" s="138">
        <v>5.4106842574998759E-2</v>
      </c>
      <c r="AB33" s="138">
        <v>0</v>
      </c>
      <c r="AC33" s="138">
        <v>1.232666130366674E-2</v>
      </c>
      <c r="AD33" s="138">
        <v>0</v>
      </c>
      <c r="AE33" s="138">
        <v>0</v>
      </c>
      <c r="AF33" s="138">
        <v>0</v>
      </c>
      <c r="AG33" s="138">
        <v>0</v>
      </c>
      <c r="AH33" s="138">
        <v>0</v>
      </c>
    </row>
    <row r="34" spans="1:34" customFormat="1" x14ac:dyDescent="0.15">
      <c r="A34" s="174" t="s">
        <v>224</v>
      </c>
      <c r="B34" s="138">
        <v>0</v>
      </c>
      <c r="C34" s="138">
        <v>0</v>
      </c>
      <c r="D34" s="138">
        <v>0</v>
      </c>
      <c r="E34" s="138">
        <v>0</v>
      </c>
      <c r="F34" s="138">
        <v>0</v>
      </c>
      <c r="G34" s="138">
        <v>0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  <c r="M34" s="138">
        <v>0</v>
      </c>
      <c r="N34" s="138">
        <v>0</v>
      </c>
      <c r="O34" s="138">
        <v>0</v>
      </c>
      <c r="P34" s="138">
        <v>0</v>
      </c>
      <c r="Q34" s="138">
        <v>0</v>
      </c>
      <c r="R34" s="138">
        <v>0</v>
      </c>
      <c r="S34" s="138">
        <v>0</v>
      </c>
      <c r="T34" s="138">
        <v>0</v>
      </c>
      <c r="U34" s="138">
        <v>0</v>
      </c>
      <c r="V34" s="138">
        <v>0</v>
      </c>
      <c r="W34" s="138">
        <v>0</v>
      </c>
      <c r="X34" s="138">
        <v>0</v>
      </c>
      <c r="Y34" s="138">
        <v>0</v>
      </c>
      <c r="Z34" s="138">
        <v>0</v>
      </c>
      <c r="AA34" s="138">
        <v>0</v>
      </c>
      <c r="AB34" s="138">
        <v>0</v>
      </c>
      <c r="AC34" s="138">
        <v>0</v>
      </c>
      <c r="AD34" s="138">
        <v>0</v>
      </c>
      <c r="AE34" s="138">
        <v>0</v>
      </c>
      <c r="AF34" s="138">
        <v>0</v>
      </c>
      <c r="AG34" s="138">
        <v>0</v>
      </c>
      <c r="AH34" s="138">
        <v>0</v>
      </c>
    </row>
    <row r="35" spans="1:34" customFormat="1" x14ac:dyDescent="0.15">
      <c r="A35" s="174" t="s">
        <v>226</v>
      </c>
      <c r="B35" s="138">
        <v>0</v>
      </c>
      <c r="C35" s="138">
        <v>0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  <c r="M35" s="138">
        <v>0</v>
      </c>
      <c r="N35" s="138">
        <v>0</v>
      </c>
      <c r="O35" s="138">
        <v>0</v>
      </c>
      <c r="P35" s="138">
        <v>0</v>
      </c>
      <c r="Q35" s="138">
        <v>0</v>
      </c>
      <c r="R35" s="138">
        <v>0</v>
      </c>
      <c r="S35" s="138">
        <v>0</v>
      </c>
      <c r="T35" s="138">
        <v>0</v>
      </c>
      <c r="U35" s="138">
        <v>0</v>
      </c>
      <c r="V35" s="138">
        <v>0</v>
      </c>
      <c r="W35" s="138">
        <v>0</v>
      </c>
      <c r="X35" s="138">
        <v>0</v>
      </c>
      <c r="Y35" s="138">
        <v>0</v>
      </c>
      <c r="Z35" s="138">
        <v>0</v>
      </c>
      <c r="AA35" s="138">
        <v>0</v>
      </c>
      <c r="AB35" s="138">
        <v>0</v>
      </c>
      <c r="AC35" s="138">
        <v>0</v>
      </c>
      <c r="AD35" s="138">
        <v>0</v>
      </c>
      <c r="AE35" s="138">
        <v>0</v>
      </c>
      <c r="AF35" s="138">
        <v>0</v>
      </c>
      <c r="AG35" s="138">
        <v>0</v>
      </c>
      <c r="AH35" s="138">
        <v>0</v>
      </c>
    </row>
    <row r="36" spans="1:34" customFormat="1" x14ac:dyDescent="0.15"/>
    <row r="37" spans="1:34" customFormat="1" x14ac:dyDescent="0.15"/>
    <row r="38" spans="1:34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1" activePane="bottomRight" state="frozen"/>
      <selection pane="topRight" activeCell="C1" sqref="C1"/>
      <selection pane="bottomLeft" activeCell="A2" sqref="A2"/>
      <selection pane="bottomRight" activeCell="H39" sqref="H39"/>
    </sheetView>
  </sheetViews>
  <sheetFormatPr baseColWidth="10" defaultColWidth="8.83203125" defaultRowHeight="13" x14ac:dyDescent="0.15"/>
  <cols>
    <col min="1" max="1" width="3.33203125" customWidth="1"/>
    <col min="2" max="2" width="36.6640625" customWidth="1"/>
    <col min="3" max="4" width="20.83203125" style="108" customWidth="1"/>
    <col min="5" max="6" width="20.83203125" style="107" customWidth="1"/>
    <col min="7" max="7" width="20.83203125" style="108" customWidth="1"/>
    <col min="8" max="8" width="8.83203125" style="108"/>
  </cols>
  <sheetData>
    <row r="1" spans="1:8" ht="70" x14ac:dyDescent="0.15">
      <c r="A1" s="5" t="s">
        <v>20</v>
      </c>
      <c r="B1" s="1" t="s">
        <v>0</v>
      </c>
      <c r="C1" s="177" t="s">
        <v>222</v>
      </c>
      <c r="D1" s="177" t="s">
        <v>223</v>
      </c>
      <c r="E1" s="177" t="s">
        <v>224</v>
      </c>
      <c r="F1" s="177" t="s">
        <v>227</v>
      </c>
      <c r="G1" s="177" t="s">
        <v>228</v>
      </c>
      <c r="H1"/>
    </row>
    <row r="2" spans="1:8" x14ac:dyDescent="0.15">
      <c r="A2">
        <v>1</v>
      </c>
      <c r="B2" s="176" t="s">
        <v>192</v>
      </c>
      <c r="C2" s="108">
        <v>0.01</v>
      </c>
      <c r="D2" s="108">
        <v>0.99</v>
      </c>
      <c r="E2" s="107">
        <v>0</v>
      </c>
      <c r="F2" s="107">
        <v>0</v>
      </c>
      <c r="G2" s="108">
        <v>1</v>
      </c>
      <c r="H2"/>
    </row>
    <row r="3" spans="1:8" x14ac:dyDescent="0.15">
      <c r="A3">
        <v>2</v>
      </c>
      <c r="B3" s="176" t="s">
        <v>193</v>
      </c>
      <c r="C3" s="108">
        <v>0.01</v>
      </c>
      <c r="D3" s="108">
        <v>0.99</v>
      </c>
      <c r="E3" s="107">
        <v>0</v>
      </c>
      <c r="F3" s="107">
        <v>0</v>
      </c>
      <c r="G3" s="108">
        <v>1</v>
      </c>
      <c r="H3"/>
    </row>
    <row r="4" spans="1:8" x14ac:dyDescent="0.15">
      <c r="A4">
        <v>3</v>
      </c>
      <c r="B4" s="176" t="s">
        <v>194</v>
      </c>
      <c r="C4" s="108">
        <v>0.01</v>
      </c>
      <c r="D4" s="108">
        <v>0.99</v>
      </c>
      <c r="E4" s="107">
        <v>0</v>
      </c>
      <c r="F4" s="107">
        <v>0</v>
      </c>
      <c r="G4" s="108">
        <v>1</v>
      </c>
      <c r="H4"/>
    </row>
    <row r="5" spans="1:8" x14ac:dyDescent="0.15">
      <c r="A5">
        <v>4</v>
      </c>
      <c r="B5" s="176" t="s">
        <v>195</v>
      </c>
      <c r="C5" s="108">
        <v>0.01</v>
      </c>
      <c r="D5" s="108">
        <v>0.99</v>
      </c>
      <c r="E5" s="107">
        <v>0</v>
      </c>
      <c r="F5" s="107">
        <v>0</v>
      </c>
      <c r="G5" s="108">
        <v>1</v>
      </c>
      <c r="H5"/>
    </row>
    <row r="6" spans="1:8" x14ac:dyDescent="0.15">
      <c r="A6">
        <v>5</v>
      </c>
      <c r="B6" s="176" t="s">
        <v>196</v>
      </c>
      <c r="C6" s="108">
        <v>0.01</v>
      </c>
      <c r="D6" s="108">
        <v>0.99</v>
      </c>
      <c r="E6" s="107">
        <v>0</v>
      </c>
      <c r="F6" s="107">
        <v>0</v>
      </c>
      <c r="G6" s="108">
        <v>1</v>
      </c>
      <c r="H6"/>
    </row>
    <row r="7" spans="1:8" x14ac:dyDescent="0.15">
      <c r="A7">
        <v>6</v>
      </c>
      <c r="B7" s="176" t="s">
        <v>197</v>
      </c>
      <c r="C7" s="108">
        <v>0.01</v>
      </c>
      <c r="D7" s="108">
        <v>0.99</v>
      </c>
      <c r="E7" s="107">
        <v>0</v>
      </c>
      <c r="F7" s="107">
        <v>0</v>
      </c>
      <c r="G7" s="108">
        <v>1</v>
      </c>
      <c r="H7"/>
    </row>
    <row r="8" spans="1:8" x14ac:dyDescent="0.15">
      <c r="A8">
        <v>7</v>
      </c>
      <c r="B8" s="176" t="s">
        <v>198</v>
      </c>
      <c r="C8" s="108">
        <v>0.01</v>
      </c>
      <c r="D8" s="108">
        <v>0.99</v>
      </c>
      <c r="E8" s="107">
        <v>0</v>
      </c>
      <c r="F8" s="107">
        <v>0</v>
      </c>
      <c r="G8" s="108">
        <v>1</v>
      </c>
      <c r="H8"/>
    </row>
    <row r="9" spans="1:8" x14ac:dyDescent="0.15">
      <c r="A9">
        <v>8</v>
      </c>
      <c r="B9" s="176" t="s">
        <v>199</v>
      </c>
      <c r="C9" s="108">
        <v>0.01</v>
      </c>
      <c r="D9" s="108">
        <v>0.99</v>
      </c>
      <c r="E9" s="107">
        <v>0</v>
      </c>
      <c r="F9" s="107">
        <v>0</v>
      </c>
      <c r="G9" s="108">
        <v>1</v>
      </c>
      <c r="H9"/>
    </row>
    <row r="10" spans="1:8" x14ac:dyDescent="0.15">
      <c r="A10">
        <v>9</v>
      </c>
      <c r="B10" s="176" t="s">
        <v>200</v>
      </c>
      <c r="C10" s="108">
        <v>0.01</v>
      </c>
      <c r="D10" s="108">
        <v>0.99</v>
      </c>
      <c r="E10" s="107">
        <v>0</v>
      </c>
      <c r="F10" s="107">
        <v>0</v>
      </c>
      <c r="G10" s="108">
        <v>1</v>
      </c>
      <c r="H10"/>
    </row>
    <row r="11" spans="1:8" x14ac:dyDescent="0.15">
      <c r="A11">
        <v>10</v>
      </c>
      <c r="B11" s="176" t="s">
        <v>201</v>
      </c>
      <c r="C11" s="108">
        <v>0.01</v>
      </c>
      <c r="D11" s="108">
        <v>0.99</v>
      </c>
      <c r="E11" s="107">
        <v>0</v>
      </c>
      <c r="F11" s="107">
        <v>0</v>
      </c>
      <c r="G11" s="108">
        <v>1</v>
      </c>
      <c r="H11"/>
    </row>
    <row r="12" spans="1:8" x14ac:dyDescent="0.15">
      <c r="A12">
        <v>11</v>
      </c>
      <c r="B12" s="176" t="s">
        <v>202</v>
      </c>
      <c r="C12" s="108">
        <v>0.01</v>
      </c>
      <c r="D12" s="108">
        <v>0.99</v>
      </c>
      <c r="E12" s="107">
        <v>0</v>
      </c>
      <c r="F12" s="107">
        <v>0</v>
      </c>
      <c r="G12" s="108">
        <v>1</v>
      </c>
      <c r="H12"/>
    </row>
    <row r="13" spans="1:8" x14ac:dyDescent="0.15">
      <c r="A13">
        <v>12</v>
      </c>
      <c r="B13" s="176" t="s">
        <v>203</v>
      </c>
      <c r="C13" s="108">
        <v>0.01</v>
      </c>
      <c r="D13" s="108">
        <v>0.99</v>
      </c>
      <c r="E13" s="107">
        <v>0</v>
      </c>
      <c r="F13" s="107">
        <v>0</v>
      </c>
      <c r="G13" s="108">
        <v>1</v>
      </c>
      <c r="H13"/>
    </row>
    <row r="14" spans="1:8" x14ac:dyDescent="0.15">
      <c r="A14">
        <v>13</v>
      </c>
      <c r="B14" s="176" t="s">
        <v>204</v>
      </c>
      <c r="C14" s="108">
        <v>0.01</v>
      </c>
      <c r="D14" s="108">
        <v>0.99</v>
      </c>
      <c r="E14" s="107">
        <v>0</v>
      </c>
      <c r="F14" s="107">
        <v>0</v>
      </c>
      <c r="G14" s="108">
        <v>1</v>
      </c>
      <c r="H14"/>
    </row>
    <row r="15" spans="1:8" x14ac:dyDescent="0.15">
      <c r="A15">
        <v>14</v>
      </c>
      <c r="B15" s="176" t="s">
        <v>205</v>
      </c>
      <c r="C15" s="108">
        <v>0.01</v>
      </c>
      <c r="D15" s="108">
        <v>0.99</v>
      </c>
      <c r="E15" s="107">
        <v>0</v>
      </c>
      <c r="F15" s="107">
        <v>0</v>
      </c>
      <c r="G15" s="108">
        <v>1</v>
      </c>
      <c r="H15"/>
    </row>
    <row r="16" spans="1:8" x14ac:dyDescent="0.15">
      <c r="A16">
        <v>15</v>
      </c>
      <c r="B16" s="176" t="s">
        <v>206</v>
      </c>
      <c r="C16" s="108">
        <v>0.01</v>
      </c>
      <c r="D16" s="108">
        <v>0.99</v>
      </c>
      <c r="E16" s="107">
        <v>0</v>
      </c>
      <c r="F16" s="107">
        <v>0</v>
      </c>
      <c r="G16" s="108">
        <v>1</v>
      </c>
      <c r="H16"/>
    </row>
    <row r="17" spans="1:8" ht="15" customHeight="1" x14ac:dyDescent="0.15">
      <c r="A17">
        <v>16</v>
      </c>
      <c r="B17" s="176" t="s">
        <v>207</v>
      </c>
      <c r="C17" s="108">
        <v>0.01</v>
      </c>
      <c r="D17" s="108">
        <v>0.99</v>
      </c>
      <c r="E17" s="107">
        <v>0</v>
      </c>
      <c r="F17" s="107">
        <v>0</v>
      </c>
      <c r="G17" s="108">
        <v>1</v>
      </c>
      <c r="H17"/>
    </row>
    <row r="18" spans="1:8" ht="15" customHeight="1" x14ac:dyDescent="0.15">
      <c r="A18">
        <v>17</v>
      </c>
      <c r="B18" s="176" t="s">
        <v>208</v>
      </c>
      <c r="C18" s="108">
        <v>0.01</v>
      </c>
      <c r="D18" s="108">
        <v>0.99</v>
      </c>
      <c r="E18" s="107">
        <v>0</v>
      </c>
      <c r="F18" s="107">
        <v>0</v>
      </c>
      <c r="G18" s="108">
        <v>1</v>
      </c>
      <c r="H18"/>
    </row>
    <row r="19" spans="1:8" ht="15" customHeight="1" x14ac:dyDescent="0.15">
      <c r="A19">
        <v>18</v>
      </c>
      <c r="B19" s="176" t="s">
        <v>209</v>
      </c>
      <c r="C19" s="108">
        <v>0.01</v>
      </c>
      <c r="D19" s="108">
        <v>0.99</v>
      </c>
      <c r="E19" s="107">
        <v>0</v>
      </c>
      <c r="F19" s="107">
        <v>0</v>
      </c>
      <c r="G19" s="108">
        <v>1</v>
      </c>
      <c r="H19"/>
    </row>
    <row r="20" spans="1:8" ht="15" customHeight="1" x14ac:dyDescent="0.15">
      <c r="A20">
        <v>19</v>
      </c>
      <c r="B20" s="176" t="s">
        <v>210</v>
      </c>
      <c r="C20" s="108">
        <v>0.01</v>
      </c>
      <c r="D20" s="108">
        <v>0.99</v>
      </c>
      <c r="E20" s="107">
        <v>0</v>
      </c>
      <c r="F20" s="107">
        <v>0</v>
      </c>
      <c r="G20" s="108">
        <v>1</v>
      </c>
      <c r="H20"/>
    </row>
    <row r="21" spans="1:8" ht="15" customHeight="1" x14ac:dyDescent="0.15">
      <c r="A21">
        <v>20</v>
      </c>
      <c r="B21" s="176" t="s">
        <v>211</v>
      </c>
      <c r="C21" s="108">
        <v>0.01</v>
      </c>
      <c r="D21" s="108">
        <v>0.99</v>
      </c>
      <c r="E21" s="107">
        <v>0</v>
      </c>
      <c r="F21" s="107">
        <v>0</v>
      </c>
      <c r="G21" s="108">
        <v>1</v>
      </c>
      <c r="H21"/>
    </row>
    <row r="22" spans="1:8" ht="15" customHeight="1" x14ac:dyDescent="0.15">
      <c r="A22">
        <v>21</v>
      </c>
      <c r="B22" s="176" t="s">
        <v>212</v>
      </c>
      <c r="C22" s="108">
        <v>0.01</v>
      </c>
      <c r="D22" s="108">
        <v>0.99</v>
      </c>
      <c r="E22" s="107">
        <v>0</v>
      </c>
      <c r="F22" s="107">
        <v>0</v>
      </c>
      <c r="G22" s="108">
        <v>1</v>
      </c>
      <c r="H22"/>
    </row>
    <row r="23" spans="1:8" ht="15" customHeight="1" x14ac:dyDescent="0.15">
      <c r="A23">
        <v>22</v>
      </c>
      <c r="B23" s="176" t="s">
        <v>213</v>
      </c>
      <c r="C23" s="108">
        <v>0.01</v>
      </c>
      <c r="D23" s="108">
        <v>0.99</v>
      </c>
      <c r="E23" s="107">
        <v>0</v>
      </c>
      <c r="F23" s="107">
        <v>0</v>
      </c>
      <c r="G23" s="108">
        <v>1</v>
      </c>
      <c r="H23"/>
    </row>
    <row r="24" spans="1:8" ht="15" customHeight="1" x14ac:dyDescent="0.15">
      <c r="A24">
        <v>23</v>
      </c>
      <c r="B24" s="176" t="s">
        <v>214</v>
      </c>
      <c r="C24" s="108">
        <v>0.01</v>
      </c>
      <c r="D24" s="108">
        <v>0.99</v>
      </c>
      <c r="E24" s="107">
        <v>0</v>
      </c>
      <c r="F24" s="107">
        <v>0</v>
      </c>
      <c r="G24" s="108">
        <v>1</v>
      </c>
      <c r="H24"/>
    </row>
    <row r="25" spans="1:8" ht="15" customHeight="1" x14ac:dyDescent="0.15">
      <c r="A25">
        <v>24</v>
      </c>
      <c r="B25" s="176" t="s">
        <v>215</v>
      </c>
      <c r="C25" s="108">
        <v>0.01</v>
      </c>
      <c r="D25" s="108">
        <v>0.99</v>
      </c>
      <c r="E25" s="107">
        <v>0</v>
      </c>
      <c r="F25" s="107">
        <v>0</v>
      </c>
      <c r="G25" s="108">
        <v>1</v>
      </c>
      <c r="H25"/>
    </row>
    <row r="26" spans="1:8" ht="15" customHeight="1" x14ac:dyDescent="0.15">
      <c r="A26">
        <v>25</v>
      </c>
      <c r="B26" s="176" t="s">
        <v>216</v>
      </c>
      <c r="C26" s="108">
        <v>0.01</v>
      </c>
      <c r="D26" s="108">
        <v>0.99</v>
      </c>
      <c r="E26" s="107">
        <v>0</v>
      </c>
      <c r="F26" s="107">
        <v>0</v>
      </c>
      <c r="G26" s="108">
        <v>1</v>
      </c>
      <c r="H26"/>
    </row>
    <row r="27" spans="1:8" ht="15" customHeight="1" x14ac:dyDescent="0.15">
      <c r="A27">
        <v>26</v>
      </c>
      <c r="B27" s="176" t="s">
        <v>217</v>
      </c>
      <c r="C27" s="108">
        <v>0.01</v>
      </c>
      <c r="D27" s="108">
        <v>0.99</v>
      </c>
      <c r="E27" s="107">
        <v>0</v>
      </c>
      <c r="F27" s="107">
        <v>0</v>
      </c>
      <c r="G27" s="108">
        <v>1</v>
      </c>
      <c r="H27"/>
    </row>
    <row r="28" spans="1:8" ht="15" customHeight="1" x14ac:dyDescent="0.15">
      <c r="A28">
        <v>27</v>
      </c>
      <c r="B28" s="176" t="s">
        <v>218</v>
      </c>
      <c r="C28" s="108">
        <v>0.01</v>
      </c>
      <c r="D28" s="108">
        <v>0.99</v>
      </c>
      <c r="E28" s="107">
        <v>0</v>
      </c>
      <c r="F28" s="107">
        <v>0</v>
      </c>
      <c r="G28" s="108">
        <v>1</v>
      </c>
      <c r="H28"/>
    </row>
    <row r="29" spans="1:8" ht="15" customHeight="1" x14ac:dyDescent="0.15">
      <c r="A29">
        <v>28</v>
      </c>
      <c r="B29" s="176" t="s">
        <v>219</v>
      </c>
      <c r="C29" s="108">
        <v>0.01</v>
      </c>
      <c r="D29" s="108">
        <v>0.99</v>
      </c>
      <c r="E29" s="107">
        <v>0</v>
      </c>
      <c r="F29" s="107">
        <v>0</v>
      </c>
      <c r="G29" s="108">
        <v>1</v>
      </c>
      <c r="H29"/>
    </row>
    <row r="30" spans="1:8" ht="15" customHeight="1" x14ac:dyDescent="0.15">
      <c r="A30">
        <v>29</v>
      </c>
      <c r="B30" s="176" t="s">
        <v>220</v>
      </c>
      <c r="C30" s="108">
        <v>0.01</v>
      </c>
      <c r="D30" s="108">
        <v>0.99</v>
      </c>
      <c r="E30" s="107">
        <v>0</v>
      </c>
      <c r="F30" s="107">
        <v>0</v>
      </c>
      <c r="G30" s="108">
        <v>1</v>
      </c>
      <c r="H30"/>
    </row>
    <row r="31" spans="1:8" ht="15" customHeight="1" x14ac:dyDescent="0.15">
      <c r="A31">
        <v>30</v>
      </c>
      <c r="B31" s="176" t="s">
        <v>221</v>
      </c>
      <c r="C31" s="108">
        <v>0.01</v>
      </c>
      <c r="D31" s="108">
        <v>1E-3</v>
      </c>
      <c r="E31" s="107">
        <v>0</v>
      </c>
      <c r="F31" s="107">
        <v>0.98899999999999999</v>
      </c>
      <c r="G31" s="108">
        <v>1</v>
      </c>
      <c r="H31"/>
    </row>
    <row r="32" spans="1:8" ht="15" customHeight="1" x14ac:dyDescent="0.15">
      <c r="A32">
        <v>31</v>
      </c>
      <c r="B32" s="176" t="s">
        <v>222</v>
      </c>
      <c r="C32" s="108">
        <v>0.01</v>
      </c>
      <c r="D32" s="108">
        <v>0</v>
      </c>
      <c r="E32" s="107">
        <v>0</v>
      </c>
      <c r="F32" s="107">
        <v>0.99</v>
      </c>
      <c r="G32" s="108">
        <v>1</v>
      </c>
    </row>
    <row r="33" spans="1:8" ht="15" customHeight="1" x14ac:dyDescent="0.15">
      <c r="A33">
        <v>32</v>
      </c>
      <c r="B33" s="176" t="s">
        <v>223</v>
      </c>
      <c r="C33" s="108">
        <v>0</v>
      </c>
      <c r="D33" s="108">
        <v>0</v>
      </c>
      <c r="E33" s="107">
        <v>1</v>
      </c>
      <c r="F33" s="107">
        <v>0</v>
      </c>
      <c r="G33" s="108">
        <v>1</v>
      </c>
    </row>
    <row r="34" spans="1:8" ht="15" customHeight="1" x14ac:dyDescent="0.15">
      <c r="A34">
        <v>33</v>
      </c>
      <c r="B34" s="176" t="s">
        <v>224</v>
      </c>
      <c r="C34" s="108">
        <v>0</v>
      </c>
      <c r="D34" s="108">
        <v>0</v>
      </c>
      <c r="E34" s="107">
        <v>0</v>
      </c>
      <c r="F34" s="107">
        <v>1</v>
      </c>
      <c r="G34" s="108">
        <v>1</v>
      </c>
    </row>
    <row r="35" spans="1:8" ht="15" customHeight="1" x14ac:dyDescent="0.15">
      <c r="A35">
        <v>34</v>
      </c>
      <c r="B35" s="176" t="s">
        <v>225</v>
      </c>
      <c r="C35" s="108">
        <v>1</v>
      </c>
      <c r="D35" s="108">
        <v>0</v>
      </c>
      <c r="E35" s="107">
        <v>0</v>
      </c>
      <c r="F35" s="107">
        <v>0</v>
      </c>
      <c r="G35" s="108">
        <v>1</v>
      </c>
    </row>
    <row r="36" spans="1:8" ht="15" customHeight="1" x14ac:dyDescent="0.15">
      <c r="C36"/>
      <c r="D36"/>
      <c r="E36" s="108"/>
      <c r="F36" s="108"/>
      <c r="G36"/>
      <c r="H36"/>
    </row>
    <row r="37" spans="1:8" ht="15" customHeight="1" x14ac:dyDescent="0.15">
      <c r="C37"/>
      <c r="D37"/>
      <c r="E37" s="108"/>
      <c r="F37" s="108"/>
      <c r="G37"/>
      <c r="H37"/>
    </row>
    <row r="38" spans="1:8" ht="15" customHeight="1" x14ac:dyDescent="0.15">
      <c r="C38"/>
      <c r="D38"/>
      <c r="E38" s="108"/>
      <c r="F38" s="108"/>
      <c r="G38"/>
      <c r="H38"/>
    </row>
    <row r="39" spans="1:8" ht="15" customHeight="1" x14ac:dyDescent="0.15">
      <c r="C39"/>
      <c r="D39"/>
      <c r="E39" s="108"/>
      <c r="F39" s="108"/>
      <c r="G39"/>
      <c r="H39"/>
    </row>
    <row r="40" spans="1:8" ht="15" customHeight="1" x14ac:dyDescent="0.15">
      <c r="C40"/>
      <c r="D40"/>
      <c r="E40" s="108"/>
      <c r="F40" s="108"/>
      <c r="G40"/>
      <c r="H40"/>
    </row>
    <row r="41" spans="1:8" ht="15" customHeight="1" x14ac:dyDescent="0.15">
      <c r="C41"/>
      <c r="D41"/>
      <c r="E41" s="108"/>
      <c r="F41" s="108"/>
      <c r="G41"/>
      <c r="H41"/>
    </row>
    <row r="42" spans="1:8" ht="15" customHeight="1" x14ac:dyDescent="0.15">
      <c r="C42"/>
      <c r="D42"/>
      <c r="E42" s="108"/>
      <c r="F42" s="108"/>
      <c r="G42"/>
      <c r="H42"/>
    </row>
    <row r="43" spans="1:8" ht="15" customHeight="1" x14ac:dyDescent="0.15">
      <c r="C43"/>
      <c r="D43"/>
      <c r="E43" s="108"/>
      <c r="F43" s="108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8"/>
      <c r="F46" s="108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6.6640625" bestFit="1" customWidth="1"/>
    <col min="3" max="4" width="12.83203125" bestFit="1" customWidth="1"/>
    <col min="5" max="5" width="12.1640625" bestFit="1" customWidth="1"/>
  </cols>
  <sheetData>
    <row r="1" spans="1:5" s="109" customFormat="1" ht="112" x14ac:dyDescent="0.15">
      <c r="A1" s="5" t="s">
        <v>21</v>
      </c>
      <c r="B1" s="3" t="s">
        <v>0</v>
      </c>
      <c r="C1" s="179" t="s">
        <v>225</v>
      </c>
      <c r="D1" s="179" t="s">
        <v>229</v>
      </c>
      <c r="E1"/>
    </row>
    <row r="2" spans="1:5" ht="15" customHeight="1" x14ac:dyDescent="0.15">
      <c r="A2">
        <v>1</v>
      </c>
      <c r="B2" s="178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8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8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78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78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78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78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78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78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78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78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78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78" t="s">
        <v>204</v>
      </c>
      <c r="C14">
        <v>2.9716770000000001</v>
      </c>
      <c r="D14">
        <v>2.9716770000000001</v>
      </c>
    </row>
    <row r="15" spans="1:5" ht="15" customHeight="1" x14ac:dyDescent="0.15">
      <c r="A15">
        <v>14</v>
      </c>
      <c r="B15" s="178" t="s">
        <v>205</v>
      </c>
      <c r="C15">
        <v>1.43847009E-2</v>
      </c>
      <c r="D15">
        <v>1.43847009E-2</v>
      </c>
    </row>
    <row r="16" spans="1:5" ht="15" customHeight="1" x14ac:dyDescent="0.15">
      <c r="A16">
        <v>15</v>
      </c>
      <c r="B16" s="178" t="s">
        <v>206</v>
      </c>
      <c r="C16">
        <v>3.0005691599999999E-2</v>
      </c>
      <c r="D16">
        <v>3.0005691599999999E-2</v>
      </c>
    </row>
    <row r="17" spans="1:4" ht="15" customHeight="1" x14ac:dyDescent="0.15">
      <c r="A17">
        <v>16</v>
      </c>
      <c r="B17" s="178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78" t="s">
        <v>208</v>
      </c>
      <c r="C18">
        <v>0.18008329000000001</v>
      </c>
      <c r="D18">
        <v>0.18008329000000001</v>
      </c>
    </row>
    <row r="19" spans="1:4" ht="15" customHeight="1" x14ac:dyDescent="0.15">
      <c r="A19">
        <v>18</v>
      </c>
      <c r="B19" s="178" t="s">
        <v>209</v>
      </c>
      <c r="C19">
        <v>0.915777862</v>
      </c>
      <c r="D19">
        <v>0.915777862</v>
      </c>
    </row>
    <row r="20" spans="1:4" ht="15" customHeight="1" x14ac:dyDescent="0.15">
      <c r="A20">
        <v>19</v>
      </c>
      <c r="B20" s="178" t="s">
        <v>210</v>
      </c>
      <c r="C20">
        <v>2.302852E-2</v>
      </c>
      <c r="D20">
        <v>2.302852E-2</v>
      </c>
    </row>
    <row r="21" spans="1:4" ht="15" customHeight="1" x14ac:dyDescent="0.15">
      <c r="A21">
        <v>20</v>
      </c>
      <c r="B21" s="178" t="s">
        <v>211</v>
      </c>
      <c r="C21">
        <v>0.17</v>
      </c>
      <c r="D21">
        <v>0.17</v>
      </c>
    </row>
    <row r="22" spans="1:4" ht="15" customHeight="1" x14ac:dyDescent="0.15">
      <c r="A22">
        <v>21</v>
      </c>
      <c r="B22" s="178" t="s">
        <v>212</v>
      </c>
      <c r="C22">
        <v>5.9348173400000002E-2</v>
      </c>
      <c r="D22">
        <v>5.9348173400000002E-2</v>
      </c>
    </row>
    <row r="23" spans="1:4" ht="15" customHeight="1" x14ac:dyDescent="0.15">
      <c r="A23">
        <v>22</v>
      </c>
      <c r="B23" s="178" t="s">
        <v>213</v>
      </c>
      <c r="C23">
        <v>3.2316207899999998E-2</v>
      </c>
      <c r="D23">
        <v>3.2316207899999998E-2</v>
      </c>
    </row>
    <row r="24" spans="1:4" ht="15" customHeight="1" x14ac:dyDescent="0.15">
      <c r="A24">
        <v>23</v>
      </c>
      <c r="B24" s="178" t="s">
        <v>214</v>
      </c>
      <c r="C24">
        <v>2.80968025E-2</v>
      </c>
      <c r="D24">
        <v>2.80968025E-2</v>
      </c>
    </row>
    <row r="25" spans="1:4" ht="15" customHeight="1" x14ac:dyDescent="0.15">
      <c r="A25">
        <v>24</v>
      </c>
      <c r="B25" s="178" t="s">
        <v>215</v>
      </c>
      <c r="C25">
        <v>0.35609006900000001</v>
      </c>
      <c r="D25">
        <v>0.35609006900000001</v>
      </c>
    </row>
    <row r="26" spans="1:4" ht="15" customHeight="1" x14ac:dyDescent="0.15">
      <c r="A26">
        <v>25</v>
      </c>
      <c r="B26" s="178" t="s">
        <v>216</v>
      </c>
      <c r="C26">
        <v>1E-3</v>
      </c>
      <c r="D26">
        <v>1E-3</v>
      </c>
    </row>
    <row r="27" spans="1:4" ht="15" customHeight="1" x14ac:dyDescent="0.15">
      <c r="A27">
        <v>26</v>
      </c>
      <c r="B27" s="178" t="s">
        <v>217</v>
      </c>
      <c r="C27">
        <v>1.044236E-3</v>
      </c>
      <c r="D27">
        <v>1.044236E-3</v>
      </c>
    </row>
    <row r="28" spans="1:4" ht="15" customHeight="1" x14ac:dyDescent="0.15">
      <c r="A28">
        <v>27</v>
      </c>
      <c r="B28" s="178" t="s">
        <v>218</v>
      </c>
      <c r="C28">
        <v>1.015487E-2</v>
      </c>
      <c r="D28">
        <v>1.015487E-2</v>
      </c>
    </row>
    <row r="29" spans="1:4" ht="15" customHeight="1" x14ac:dyDescent="0.15">
      <c r="A29">
        <v>28</v>
      </c>
      <c r="B29" s="178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78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78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8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78" t="s">
        <v>223</v>
      </c>
      <c r="C33">
        <v>0</v>
      </c>
      <c r="D33">
        <v>0</v>
      </c>
    </row>
    <row r="34" spans="1:4" ht="15" customHeight="1" x14ac:dyDescent="0.15">
      <c r="A34">
        <v>33</v>
      </c>
      <c r="B34" s="178" t="s">
        <v>224</v>
      </c>
      <c r="C34">
        <v>0</v>
      </c>
      <c r="D34">
        <v>0</v>
      </c>
    </row>
    <row r="35" spans="1:4" ht="15" customHeight="1" x14ac:dyDescent="0.15"/>
    <row r="36" spans="1:4" ht="15" customHeight="1" x14ac:dyDescent="0.15"/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6.6640625" bestFit="1" customWidth="1"/>
    <col min="3" max="4" width="12.83203125" bestFit="1" customWidth="1"/>
    <col min="5" max="5" width="12.1640625" bestFit="1" customWidth="1"/>
  </cols>
  <sheetData>
    <row r="1" spans="1:4" s="109" customFormat="1" ht="112" x14ac:dyDescent="0.15">
      <c r="A1" s="5" t="s">
        <v>22</v>
      </c>
      <c r="B1" s="3" t="s">
        <v>0</v>
      </c>
      <c r="C1" s="181" t="s">
        <v>225</v>
      </c>
      <c r="D1" s="181" t="s">
        <v>229</v>
      </c>
    </row>
    <row r="2" spans="1:4" x14ac:dyDescent="0.15">
      <c r="A2">
        <v>1</v>
      </c>
      <c r="B2" s="180" t="s">
        <v>192</v>
      </c>
      <c r="C2">
        <v>0</v>
      </c>
      <c r="D2">
        <v>0</v>
      </c>
    </row>
    <row r="3" spans="1:4" x14ac:dyDescent="0.15">
      <c r="A3">
        <v>2</v>
      </c>
      <c r="B3" s="180" t="s">
        <v>193</v>
      </c>
      <c r="C3">
        <v>0</v>
      </c>
      <c r="D3">
        <v>0</v>
      </c>
    </row>
    <row r="4" spans="1:4" x14ac:dyDescent="0.15">
      <c r="A4">
        <v>3</v>
      </c>
      <c r="B4" s="180" t="s">
        <v>194</v>
      </c>
      <c r="C4">
        <v>0</v>
      </c>
      <c r="D4">
        <v>0</v>
      </c>
    </row>
    <row r="5" spans="1:4" x14ac:dyDescent="0.15">
      <c r="A5">
        <v>4</v>
      </c>
      <c r="B5" s="180" t="s">
        <v>195</v>
      </c>
      <c r="C5">
        <v>0</v>
      </c>
      <c r="D5">
        <v>0</v>
      </c>
    </row>
    <row r="6" spans="1:4" x14ac:dyDescent="0.15">
      <c r="A6">
        <v>5</v>
      </c>
      <c r="B6" s="180" t="s">
        <v>196</v>
      </c>
      <c r="C6">
        <v>0</v>
      </c>
      <c r="D6">
        <v>0</v>
      </c>
    </row>
    <row r="7" spans="1:4" x14ac:dyDescent="0.15">
      <c r="A7">
        <v>6</v>
      </c>
      <c r="B7" s="180" t="s">
        <v>197</v>
      </c>
      <c r="C7">
        <v>8.4127199999999996E-7</v>
      </c>
      <c r="D7">
        <v>8.4127199999999996E-7</v>
      </c>
    </row>
    <row r="8" spans="1:4" x14ac:dyDescent="0.15">
      <c r="A8">
        <v>7</v>
      </c>
      <c r="B8" s="180" t="s">
        <v>198</v>
      </c>
      <c r="C8">
        <v>9.3814150000000006E-3</v>
      </c>
      <c r="D8">
        <v>9.3814150000000006E-3</v>
      </c>
    </row>
    <row r="9" spans="1:4" x14ac:dyDescent="0.15">
      <c r="A9">
        <v>8</v>
      </c>
      <c r="B9" s="180" t="s">
        <v>199</v>
      </c>
      <c r="C9">
        <v>2.3023899999999999E-10</v>
      </c>
      <c r="D9">
        <v>2.3023899999999999E-10</v>
      </c>
    </row>
    <row r="10" spans="1:4" x14ac:dyDescent="0.15">
      <c r="A10">
        <v>9</v>
      </c>
      <c r="B10" s="180" t="s">
        <v>200</v>
      </c>
      <c r="C10">
        <v>1.2399000000000001E-4</v>
      </c>
      <c r="D10">
        <v>1.2399000000000001E-4</v>
      </c>
    </row>
    <row r="11" spans="1:4" x14ac:dyDescent="0.15">
      <c r="A11">
        <v>10</v>
      </c>
      <c r="B11" s="180" t="s">
        <v>201</v>
      </c>
      <c r="C11">
        <v>3.2888700000000002E-5</v>
      </c>
      <c r="D11">
        <v>3.2888700000000002E-5</v>
      </c>
    </row>
    <row r="12" spans="1:4" x14ac:dyDescent="0.15">
      <c r="A12">
        <v>11</v>
      </c>
      <c r="B12" s="180" t="s">
        <v>202</v>
      </c>
      <c r="C12">
        <v>6.5559099999999996E-4</v>
      </c>
      <c r="D12">
        <v>6.5559099999999996E-4</v>
      </c>
    </row>
    <row r="13" spans="1:4" x14ac:dyDescent="0.15">
      <c r="A13">
        <v>12</v>
      </c>
      <c r="B13" s="180" t="s">
        <v>203</v>
      </c>
      <c r="C13">
        <v>9.4512299999999997E-4</v>
      </c>
      <c r="D13">
        <v>9.4512299999999997E-4</v>
      </c>
    </row>
    <row r="14" spans="1:4" x14ac:dyDescent="0.15">
      <c r="A14">
        <v>13</v>
      </c>
      <c r="B14" s="180" t="s">
        <v>204</v>
      </c>
      <c r="C14">
        <v>0.90611696200000003</v>
      </c>
      <c r="D14">
        <v>0.90611696200000003</v>
      </c>
    </row>
    <row r="15" spans="1:4" x14ac:dyDescent="0.15">
      <c r="A15">
        <v>14</v>
      </c>
      <c r="B15" s="180" t="s">
        <v>205</v>
      </c>
      <c r="C15">
        <v>8.7561229999999993E-3</v>
      </c>
      <c r="D15">
        <v>8.7561229999999993E-3</v>
      </c>
    </row>
    <row r="16" spans="1:4" x14ac:dyDescent="0.15">
      <c r="A16">
        <v>15</v>
      </c>
      <c r="B16" s="180" t="s">
        <v>206</v>
      </c>
      <c r="C16">
        <v>9.3814150000000006E-3</v>
      </c>
      <c r="D16">
        <v>9.3814150000000006E-3</v>
      </c>
    </row>
    <row r="17" spans="1:4" x14ac:dyDescent="0.15">
      <c r="A17">
        <v>16</v>
      </c>
      <c r="B17" s="180" t="s">
        <v>207</v>
      </c>
      <c r="C17">
        <v>5.3147299999999999E-9</v>
      </c>
      <c r="D17">
        <v>5.3147299999999999E-9</v>
      </c>
    </row>
    <row r="18" spans="1:4" x14ac:dyDescent="0.15">
      <c r="A18">
        <v>17</v>
      </c>
      <c r="B18" s="180" t="s">
        <v>208</v>
      </c>
      <c r="C18">
        <v>4.8815070000000002E-2</v>
      </c>
      <c r="D18">
        <v>4.8815070000000002E-2</v>
      </c>
    </row>
    <row r="19" spans="1:4" x14ac:dyDescent="0.15">
      <c r="A19">
        <v>18</v>
      </c>
      <c r="B19" s="180" t="s">
        <v>209</v>
      </c>
      <c r="C19">
        <v>9.289501E-2</v>
      </c>
      <c r="D19">
        <v>9.289501E-2</v>
      </c>
    </row>
    <row r="20" spans="1:4" x14ac:dyDescent="0.15">
      <c r="A20">
        <v>19</v>
      </c>
      <c r="B20" s="180" t="s">
        <v>210</v>
      </c>
      <c r="C20">
        <v>2.3150649999999998E-3</v>
      </c>
      <c r="D20">
        <v>2.3150649999999998E-3</v>
      </c>
    </row>
    <row r="21" spans="1:4" x14ac:dyDescent="0.15">
      <c r="A21">
        <v>20</v>
      </c>
      <c r="B21" s="180" t="s">
        <v>211</v>
      </c>
      <c r="C21">
        <v>2.25225389E-2</v>
      </c>
      <c r="D21">
        <v>2.25225389E-2</v>
      </c>
    </row>
    <row r="22" spans="1:4" x14ac:dyDescent="0.15">
      <c r="A22">
        <v>21</v>
      </c>
      <c r="B22" s="180" t="s">
        <v>212</v>
      </c>
      <c r="C22">
        <v>1.8487926599999999E-2</v>
      </c>
      <c r="D22">
        <v>1.8487926599999999E-2</v>
      </c>
    </row>
    <row r="23" spans="1:4" x14ac:dyDescent="0.15">
      <c r="A23">
        <v>22</v>
      </c>
      <c r="B23" s="180" t="s">
        <v>213</v>
      </c>
      <c r="C23">
        <v>1.2278290000000001E-2</v>
      </c>
      <c r="D23">
        <v>1.2278290000000001E-2</v>
      </c>
    </row>
    <row r="24" spans="1:4" x14ac:dyDescent="0.15">
      <c r="A24">
        <v>23</v>
      </c>
      <c r="B24" s="180" t="s">
        <v>214</v>
      </c>
      <c r="C24">
        <v>1.8397159999999999E-2</v>
      </c>
      <c r="D24">
        <v>1.8397159999999999E-2</v>
      </c>
    </row>
    <row r="25" spans="1:4" x14ac:dyDescent="0.15">
      <c r="A25">
        <v>24</v>
      </c>
      <c r="B25" s="180" t="s">
        <v>215</v>
      </c>
      <c r="C25">
        <v>0.10682702099999999</v>
      </c>
      <c r="D25">
        <v>0.10682702099999999</v>
      </c>
    </row>
    <row r="26" spans="1:4" x14ac:dyDescent="0.15">
      <c r="A26">
        <v>25</v>
      </c>
      <c r="B26" s="180" t="s">
        <v>216</v>
      </c>
      <c r="C26">
        <v>1.5E-3</v>
      </c>
      <c r="D26">
        <v>1.5E-3</v>
      </c>
    </row>
    <row r="27" spans="1:4" x14ac:dyDescent="0.15">
      <c r="A27">
        <v>26</v>
      </c>
      <c r="B27" s="180" t="s">
        <v>217</v>
      </c>
      <c r="C27">
        <v>3.13271E-4</v>
      </c>
      <c r="D27">
        <v>3.13271E-4</v>
      </c>
    </row>
    <row r="28" spans="1:4" x14ac:dyDescent="0.15">
      <c r="A28">
        <v>27</v>
      </c>
      <c r="B28" s="180" t="s">
        <v>218</v>
      </c>
      <c r="C28">
        <v>3.0464609999999999E-3</v>
      </c>
      <c r="D28">
        <v>3.0464609999999999E-3</v>
      </c>
    </row>
    <row r="29" spans="1:4" x14ac:dyDescent="0.15">
      <c r="A29">
        <v>28</v>
      </c>
      <c r="B29" s="180" t="s">
        <v>219</v>
      </c>
      <c r="C29">
        <v>8.8136100000000001E-9</v>
      </c>
      <c r="D29">
        <v>8.8136100000000001E-9</v>
      </c>
    </row>
    <row r="30" spans="1:4" x14ac:dyDescent="0.15">
      <c r="A30">
        <v>29</v>
      </c>
      <c r="B30" s="180" t="s">
        <v>220</v>
      </c>
      <c r="C30">
        <v>1.28405E-8</v>
      </c>
      <c r="D30">
        <v>1.28405E-8</v>
      </c>
    </row>
    <row r="31" spans="1:4" x14ac:dyDescent="0.15">
      <c r="A31">
        <v>30</v>
      </c>
      <c r="B31" s="180" t="s">
        <v>221</v>
      </c>
      <c r="C31">
        <v>3.6344899999999998E-5</v>
      </c>
      <c r="D31">
        <v>3.6344899999999998E-5</v>
      </c>
    </row>
    <row r="32" spans="1:4" x14ac:dyDescent="0.15">
      <c r="A32">
        <v>31</v>
      </c>
      <c r="B32" s="180" t="s">
        <v>222</v>
      </c>
      <c r="C32">
        <v>0</v>
      </c>
      <c r="D32">
        <v>0</v>
      </c>
    </row>
    <row r="33" spans="1:4" x14ac:dyDescent="0.15">
      <c r="A33">
        <v>32</v>
      </c>
      <c r="B33" s="180" t="s">
        <v>223</v>
      </c>
      <c r="C33">
        <v>0</v>
      </c>
      <c r="D33">
        <v>0</v>
      </c>
    </row>
    <row r="34" spans="1:4" x14ac:dyDescent="0.15">
      <c r="A34">
        <v>33</v>
      </c>
      <c r="B34" s="180" t="s">
        <v>224</v>
      </c>
      <c r="C34">
        <v>0</v>
      </c>
      <c r="D3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6.6640625" bestFit="1" customWidth="1"/>
    <col min="6" max="6" width="4.83203125" bestFit="1" customWidth="1"/>
    <col min="7" max="9" width="3.83203125" bestFit="1" customWidth="1"/>
    <col min="10" max="11" width="4.83203125" style="10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0" customFormat="1" ht="14" thickBot="1" x14ac:dyDescent="0.2">
      <c r="D1" s="111" t="s">
        <v>8</v>
      </c>
      <c r="E1" s="111" t="s">
        <v>0</v>
      </c>
      <c r="F1" s="112" t="s">
        <v>99</v>
      </c>
      <c r="G1" s="113" t="s">
        <v>84</v>
      </c>
      <c r="H1" s="113" t="s">
        <v>85</v>
      </c>
      <c r="I1" s="113" t="s">
        <v>86</v>
      </c>
      <c r="J1" s="113" t="s">
        <v>87</v>
      </c>
      <c r="K1" s="113" t="s">
        <v>88</v>
      </c>
      <c r="L1" s="114" t="s">
        <v>89</v>
      </c>
      <c r="M1" s="114" t="s">
        <v>93</v>
      </c>
      <c r="N1" s="114" t="s">
        <v>92</v>
      </c>
      <c r="O1" s="114" t="s">
        <v>90</v>
      </c>
      <c r="P1" s="114" t="s">
        <v>91</v>
      </c>
      <c r="Q1" s="115" t="s">
        <v>94</v>
      </c>
      <c r="R1" s="115" t="s">
        <v>95</v>
      </c>
      <c r="S1" s="115" t="s">
        <v>96</v>
      </c>
      <c r="T1" s="115" t="s">
        <v>97</v>
      </c>
      <c r="U1" s="115" t="s">
        <v>98</v>
      </c>
      <c r="V1" s="113" t="s">
        <v>100</v>
      </c>
      <c r="W1" s="113" t="s">
        <v>101</v>
      </c>
      <c r="X1" s="113" t="s">
        <v>102</v>
      </c>
      <c r="Y1" s="113" t="s">
        <v>134</v>
      </c>
      <c r="Z1" s="114" t="s">
        <v>103</v>
      </c>
      <c r="AA1" s="114" t="s">
        <v>104</v>
      </c>
      <c r="AB1" s="114" t="s">
        <v>105</v>
      </c>
      <c r="AC1" s="116" t="s">
        <v>135</v>
      </c>
      <c r="AD1" s="115" t="s">
        <v>106</v>
      </c>
      <c r="AE1" s="115" t="s">
        <v>107</v>
      </c>
      <c r="AF1" s="115" t="s">
        <v>108</v>
      </c>
      <c r="AG1" s="115" t="s">
        <v>136</v>
      </c>
      <c r="AH1" s="113" t="s">
        <v>109</v>
      </c>
      <c r="AI1" s="113" t="s">
        <v>111</v>
      </c>
      <c r="AJ1" s="113" t="s">
        <v>110</v>
      </c>
      <c r="AK1" s="114" t="s">
        <v>115</v>
      </c>
      <c r="AL1" s="114" t="s">
        <v>116</v>
      </c>
      <c r="AM1" s="114" t="s">
        <v>117</v>
      </c>
      <c r="AN1" s="115" t="s">
        <v>112</v>
      </c>
      <c r="AO1" s="115" t="s">
        <v>113</v>
      </c>
      <c r="AP1" s="115" t="s">
        <v>114</v>
      </c>
    </row>
    <row r="2" spans="1:42" x14ac:dyDescent="0.15">
      <c r="A2" s="117" t="s">
        <v>74</v>
      </c>
      <c r="B2" s="118">
        <v>1</v>
      </c>
      <c r="D2">
        <v>1</v>
      </c>
      <c r="E2" s="182" t="s">
        <v>192</v>
      </c>
      <c r="F2">
        <v>0.98</v>
      </c>
      <c r="G2">
        <v>0.8</v>
      </c>
      <c r="H2">
        <v>0.8</v>
      </c>
      <c r="I2">
        <v>0</v>
      </c>
      <c r="J2" s="108">
        <v>0</v>
      </c>
      <c r="K2" s="108">
        <v>0</v>
      </c>
    </row>
    <row r="3" spans="1:42" x14ac:dyDescent="0.15">
      <c r="A3" s="117" t="s">
        <v>75</v>
      </c>
      <c r="B3" s="119">
        <v>1</v>
      </c>
      <c r="D3">
        <v>2</v>
      </c>
      <c r="E3" s="182" t="s">
        <v>193</v>
      </c>
      <c r="F3">
        <v>0.98</v>
      </c>
      <c r="G3">
        <v>0.8</v>
      </c>
      <c r="H3">
        <v>0.8</v>
      </c>
      <c r="I3">
        <v>0.8</v>
      </c>
      <c r="J3" s="108">
        <v>0.25</v>
      </c>
      <c r="K3" s="108">
        <v>0.05</v>
      </c>
    </row>
    <row r="4" spans="1:42" x14ac:dyDescent="0.15">
      <c r="A4" s="117" t="s">
        <v>76</v>
      </c>
      <c r="B4" s="119">
        <v>1</v>
      </c>
      <c r="D4">
        <v>3</v>
      </c>
      <c r="E4" s="182" t="s">
        <v>194</v>
      </c>
      <c r="F4">
        <v>0.98</v>
      </c>
      <c r="G4">
        <v>0.8</v>
      </c>
      <c r="H4">
        <v>0.8</v>
      </c>
      <c r="I4">
        <v>0.8</v>
      </c>
      <c r="J4" s="108">
        <v>0.25</v>
      </c>
      <c r="K4" s="108">
        <v>0.05</v>
      </c>
    </row>
    <row r="5" spans="1:42" x14ac:dyDescent="0.15">
      <c r="A5" s="117" t="s">
        <v>77</v>
      </c>
      <c r="B5" s="119">
        <v>1</v>
      </c>
      <c r="D5">
        <v>4</v>
      </c>
      <c r="E5" s="182" t="s">
        <v>195</v>
      </c>
      <c r="F5">
        <v>0.98</v>
      </c>
      <c r="G5">
        <v>0.8</v>
      </c>
      <c r="H5">
        <v>0.8</v>
      </c>
      <c r="I5">
        <v>0.8</v>
      </c>
      <c r="J5" s="108">
        <v>0.25</v>
      </c>
      <c r="K5" s="108">
        <v>0.05</v>
      </c>
    </row>
    <row r="6" spans="1:42" x14ac:dyDescent="0.15">
      <c r="A6" s="117" t="s">
        <v>78</v>
      </c>
      <c r="B6" s="119">
        <v>1</v>
      </c>
      <c r="D6">
        <v>5</v>
      </c>
      <c r="E6" s="182" t="s">
        <v>196</v>
      </c>
      <c r="F6">
        <v>0.98</v>
      </c>
      <c r="G6">
        <v>0.8</v>
      </c>
      <c r="H6">
        <v>0.8</v>
      </c>
      <c r="I6">
        <v>0.8</v>
      </c>
      <c r="J6" s="108">
        <v>0.25</v>
      </c>
      <c r="K6" s="108">
        <v>0.05</v>
      </c>
    </row>
    <row r="7" spans="1:42" x14ac:dyDescent="0.15">
      <c r="A7" s="117" t="s">
        <v>79</v>
      </c>
      <c r="B7" s="119">
        <v>1</v>
      </c>
      <c r="D7">
        <v>6</v>
      </c>
      <c r="E7" s="182" t="s">
        <v>197</v>
      </c>
      <c r="F7">
        <v>0.98</v>
      </c>
      <c r="G7">
        <v>0.8</v>
      </c>
      <c r="H7">
        <v>0.8</v>
      </c>
      <c r="I7">
        <v>0.8</v>
      </c>
      <c r="J7" s="108">
        <v>0.25</v>
      </c>
      <c r="K7" s="108">
        <v>0.05</v>
      </c>
    </row>
    <row r="8" spans="1:42" x14ac:dyDescent="0.15">
      <c r="A8" s="117" t="s">
        <v>80</v>
      </c>
      <c r="B8" s="119">
        <v>1</v>
      </c>
      <c r="D8">
        <v>7</v>
      </c>
      <c r="E8" s="182" t="s">
        <v>198</v>
      </c>
      <c r="F8">
        <v>0.98</v>
      </c>
      <c r="G8">
        <v>0.8</v>
      </c>
      <c r="H8">
        <v>0.8</v>
      </c>
      <c r="I8">
        <v>0.8</v>
      </c>
      <c r="J8" s="108">
        <v>0.25</v>
      </c>
      <c r="K8" s="108">
        <v>0.05</v>
      </c>
    </row>
    <row r="9" spans="1:42" x14ac:dyDescent="0.15">
      <c r="A9" s="117" t="s">
        <v>81</v>
      </c>
      <c r="B9" s="119">
        <v>0.1</v>
      </c>
      <c r="C9" s="60" t="s">
        <v>150</v>
      </c>
      <c r="D9">
        <v>8</v>
      </c>
      <c r="E9" s="182" t="s">
        <v>199</v>
      </c>
      <c r="F9">
        <v>0.98</v>
      </c>
      <c r="G9">
        <v>0.8</v>
      </c>
      <c r="H9">
        <v>0.8</v>
      </c>
      <c r="I9">
        <v>0.8</v>
      </c>
      <c r="J9" s="108">
        <v>0.25</v>
      </c>
      <c r="K9" s="108">
        <v>0.05</v>
      </c>
    </row>
    <row r="10" spans="1:42" ht="14" thickBot="1" x14ac:dyDescent="0.2">
      <c r="A10" s="117" t="s">
        <v>149</v>
      </c>
      <c r="B10" s="120">
        <f>1/3</f>
        <v>0.33333333333333331</v>
      </c>
      <c r="C10" s="60" t="s">
        <v>150</v>
      </c>
      <c r="D10">
        <v>9</v>
      </c>
      <c r="E10" s="182" t="s">
        <v>200</v>
      </c>
      <c r="F10">
        <v>0.98</v>
      </c>
      <c r="G10">
        <v>0.8</v>
      </c>
      <c r="H10">
        <v>0.8</v>
      </c>
      <c r="I10">
        <v>0.8</v>
      </c>
      <c r="J10" s="108">
        <v>0.25</v>
      </c>
      <c r="K10" s="108">
        <v>0.05</v>
      </c>
    </row>
    <row r="11" spans="1:42" x14ac:dyDescent="0.15">
      <c r="D11">
        <v>10</v>
      </c>
      <c r="E11" s="182" t="s">
        <v>201</v>
      </c>
      <c r="F11">
        <v>0.98</v>
      </c>
      <c r="G11">
        <v>0.8</v>
      </c>
      <c r="H11">
        <v>0.8</v>
      </c>
      <c r="I11">
        <v>0.8</v>
      </c>
      <c r="J11" s="108">
        <v>0.25</v>
      </c>
      <c r="K11" s="108">
        <v>0.05</v>
      </c>
    </row>
    <row r="12" spans="1:42" x14ac:dyDescent="0.15">
      <c r="D12">
        <v>11</v>
      </c>
      <c r="E12" s="182" t="s">
        <v>202</v>
      </c>
      <c r="F12">
        <v>0.98</v>
      </c>
      <c r="G12">
        <v>0.8</v>
      </c>
      <c r="H12">
        <v>0.8</v>
      </c>
      <c r="I12">
        <v>0.8</v>
      </c>
      <c r="J12" s="108">
        <v>0.25</v>
      </c>
      <c r="K12" s="108">
        <v>0.05</v>
      </c>
    </row>
    <row r="13" spans="1:42" x14ac:dyDescent="0.15">
      <c r="D13">
        <v>12</v>
      </c>
      <c r="E13" s="182" t="s">
        <v>203</v>
      </c>
      <c r="F13">
        <v>0.98</v>
      </c>
      <c r="G13">
        <v>0.8</v>
      </c>
      <c r="H13">
        <v>0.8</v>
      </c>
      <c r="I13">
        <v>0.8</v>
      </c>
      <c r="J13" s="108">
        <v>0.25</v>
      </c>
      <c r="K13" s="108">
        <v>0.05</v>
      </c>
    </row>
    <row r="14" spans="1:42" x14ac:dyDescent="0.15">
      <c r="D14">
        <v>13</v>
      </c>
      <c r="E14" s="182" t="s">
        <v>204</v>
      </c>
      <c r="F14">
        <v>0.98</v>
      </c>
      <c r="G14">
        <v>0.8</v>
      </c>
      <c r="H14">
        <v>0.8</v>
      </c>
      <c r="I14">
        <v>0.8</v>
      </c>
      <c r="J14" s="108">
        <v>0.25</v>
      </c>
      <c r="K14" s="108">
        <v>0.05</v>
      </c>
    </row>
    <row r="15" spans="1:42" x14ac:dyDescent="0.15">
      <c r="D15">
        <v>14</v>
      </c>
      <c r="E15" s="182" t="s">
        <v>205</v>
      </c>
      <c r="F15">
        <v>0.98</v>
      </c>
      <c r="G15">
        <v>0.8</v>
      </c>
      <c r="H15">
        <v>0.8</v>
      </c>
      <c r="I15">
        <v>0.8</v>
      </c>
      <c r="J15" s="108">
        <v>0.25</v>
      </c>
      <c r="K15" s="108">
        <v>0.05</v>
      </c>
    </row>
    <row r="16" spans="1:42" x14ac:dyDescent="0.15">
      <c r="D16">
        <v>15</v>
      </c>
      <c r="E16" s="182" t="s">
        <v>206</v>
      </c>
      <c r="F16">
        <v>0.98</v>
      </c>
      <c r="G16">
        <v>0.8</v>
      </c>
      <c r="H16">
        <v>0.8</v>
      </c>
      <c r="I16">
        <v>0.8</v>
      </c>
      <c r="J16" s="108">
        <v>0.25</v>
      </c>
      <c r="K16" s="108">
        <v>0.05</v>
      </c>
    </row>
    <row r="17" spans="4:33" ht="15" customHeight="1" x14ac:dyDescent="0.15">
      <c r="D17">
        <v>16</v>
      </c>
      <c r="E17" s="182" t="s">
        <v>207</v>
      </c>
      <c r="F17">
        <v>0.98</v>
      </c>
      <c r="G17">
        <v>0.8</v>
      </c>
      <c r="H17">
        <v>0.8</v>
      </c>
      <c r="I17">
        <v>0.8</v>
      </c>
      <c r="J17" s="108">
        <v>0.25</v>
      </c>
      <c r="K17" s="108">
        <v>0.05</v>
      </c>
    </row>
    <row r="18" spans="4:33" ht="15" customHeight="1" x14ac:dyDescent="0.15">
      <c r="D18">
        <v>17</v>
      </c>
      <c r="E18" s="182" t="s">
        <v>208</v>
      </c>
      <c r="F18">
        <v>0.98</v>
      </c>
      <c r="G18">
        <v>0.8</v>
      </c>
      <c r="H18">
        <v>0.8</v>
      </c>
      <c r="I18">
        <v>0.8</v>
      </c>
      <c r="J18" s="108">
        <v>0.25</v>
      </c>
      <c r="K18" s="108">
        <v>0.05</v>
      </c>
    </row>
    <row r="19" spans="4:33" ht="15" customHeight="1" x14ac:dyDescent="0.15">
      <c r="D19">
        <v>18</v>
      </c>
      <c r="E19" s="182" t="s">
        <v>209</v>
      </c>
      <c r="F19">
        <v>0.98</v>
      </c>
      <c r="G19">
        <v>0.8</v>
      </c>
      <c r="H19">
        <v>0.8</v>
      </c>
      <c r="I19">
        <v>0.8</v>
      </c>
      <c r="J19" s="108">
        <v>0.25</v>
      </c>
      <c r="K19" s="108">
        <v>0.05</v>
      </c>
    </row>
    <row r="20" spans="4:33" ht="15" customHeight="1" x14ac:dyDescent="0.15">
      <c r="D20">
        <v>19</v>
      </c>
      <c r="E20" s="182" t="s">
        <v>210</v>
      </c>
      <c r="F20">
        <v>0.98</v>
      </c>
      <c r="G20">
        <v>0.8</v>
      </c>
      <c r="H20">
        <v>0.8</v>
      </c>
      <c r="I20">
        <v>0.8</v>
      </c>
      <c r="J20" s="108">
        <v>0.25</v>
      </c>
      <c r="K20" s="108">
        <v>0.05</v>
      </c>
    </row>
    <row r="21" spans="4:33" ht="15" customHeight="1" x14ac:dyDescent="0.15">
      <c r="D21">
        <v>20</v>
      </c>
      <c r="E21" s="182" t="s">
        <v>211</v>
      </c>
      <c r="F21">
        <v>0.98</v>
      </c>
      <c r="G21">
        <v>0.8</v>
      </c>
      <c r="H21">
        <v>0.8</v>
      </c>
      <c r="I21">
        <v>0.8</v>
      </c>
      <c r="J21" s="108">
        <v>0.25</v>
      </c>
      <c r="K21" s="108">
        <v>0.05</v>
      </c>
    </row>
    <row r="22" spans="4:33" ht="15" customHeight="1" x14ac:dyDescent="0.15">
      <c r="D22">
        <v>21</v>
      </c>
      <c r="E22" s="182" t="s">
        <v>212</v>
      </c>
      <c r="F22">
        <v>0.98</v>
      </c>
      <c r="G22">
        <v>0.8</v>
      </c>
      <c r="H22">
        <v>0.8</v>
      </c>
      <c r="I22">
        <v>0.8</v>
      </c>
      <c r="J22" s="108">
        <v>0.25</v>
      </c>
      <c r="K22" s="108">
        <v>0.05</v>
      </c>
    </row>
    <row r="23" spans="4:33" ht="15" customHeight="1" x14ac:dyDescent="0.15">
      <c r="D23">
        <v>22</v>
      </c>
      <c r="E23" s="182" t="s">
        <v>213</v>
      </c>
      <c r="F23">
        <v>0.98</v>
      </c>
      <c r="G23">
        <v>0.8</v>
      </c>
      <c r="H23">
        <v>0.8</v>
      </c>
      <c r="I23">
        <v>0.8</v>
      </c>
      <c r="J23" s="108">
        <v>0.25</v>
      </c>
      <c r="K23" s="108">
        <v>0.05</v>
      </c>
    </row>
    <row r="24" spans="4:33" ht="15" customHeight="1" x14ac:dyDescent="0.15">
      <c r="D24">
        <v>23</v>
      </c>
      <c r="E24" s="182" t="s">
        <v>214</v>
      </c>
      <c r="F24">
        <v>0.98</v>
      </c>
      <c r="G24">
        <v>0.8</v>
      </c>
      <c r="H24">
        <v>0.8</v>
      </c>
      <c r="I24">
        <v>0.8</v>
      </c>
      <c r="J24" s="108">
        <v>0.25</v>
      </c>
      <c r="K24" s="108">
        <v>0.05</v>
      </c>
    </row>
    <row r="25" spans="4:33" ht="15" customHeight="1" x14ac:dyDescent="0.15">
      <c r="D25">
        <v>24</v>
      </c>
      <c r="E25" s="182" t="s">
        <v>215</v>
      </c>
      <c r="F25">
        <v>0.98</v>
      </c>
      <c r="G25">
        <v>0.8</v>
      </c>
      <c r="H25">
        <v>0.8</v>
      </c>
      <c r="I25">
        <v>0.8</v>
      </c>
      <c r="J25" s="108">
        <v>0.25</v>
      </c>
      <c r="K25" s="108">
        <v>0.05</v>
      </c>
    </row>
    <row r="26" spans="4:33" ht="15" customHeight="1" x14ac:dyDescent="0.15">
      <c r="D26">
        <v>25</v>
      </c>
      <c r="E26" s="182" t="s">
        <v>216</v>
      </c>
      <c r="F26">
        <v>0.98</v>
      </c>
      <c r="G26">
        <v>0.8</v>
      </c>
      <c r="H26">
        <v>0.8</v>
      </c>
      <c r="I26">
        <v>0.8</v>
      </c>
      <c r="J26" s="108">
        <v>0.25</v>
      </c>
      <c r="K26" s="108">
        <v>0.05</v>
      </c>
    </row>
    <row r="27" spans="4:33" ht="15" customHeight="1" x14ac:dyDescent="0.15">
      <c r="D27">
        <v>26</v>
      </c>
      <c r="E27" s="182" t="s">
        <v>217</v>
      </c>
      <c r="F27">
        <v>0.98</v>
      </c>
      <c r="G27">
        <v>0.8</v>
      </c>
      <c r="H27">
        <v>0.8</v>
      </c>
      <c r="I27">
        <v>0.8</v>
      </c>
      <c r="J27" s="108">
        <v>0.25</v>
      </c>
      <c r="K27" s="108">
        <v>0.05</v>
      </c>
    </row>
    <row r="28" spans="4:33" ht="15" customHeight="1" x14ac:dyDescent="0.15">
      <c r="D28">
        <v>27</v>
      </c>
      <c r="E28" s="182" t="s">
        <v>218</v>
      </c>
      <c r="F28">
        <v>0.98</v>
      </c>
      <c r="G28">
        <v>0.8</v>
      </c>
      <c r="H28">
        <v>0.8</v>
      </c>
      <c r="I28">
        <v>0.8</v>
      </c>
      <c r="J28" s="108">
        <v>0.25</v>
      </c>
      <c r="K28" s="108">
        <v>0.05</v>
      </c>
    </row>
    <row r="29" spans="4:33" ht="15" customHeight="1" x14ac:dyDescent="0.15">
      <c r="D29">
        <v>28</v>
      </c>
      <c r="E29" s="182" t="s">
        <v>219</v>
      </c>
      <c r="F29">
        <v>0.98</v>
      </c>
      <c r="G29">
        <v>0.8</v>
      </c>
      <c r="H29">
        <v>0.8</v>
      </c>
      <c r="I29">
        <v>0.8</v>
      </c>
      <c r="J29" s="108">
        <v>0.25</v>
      </c>
      <c r="K29" s="108">
        <v>0.05</v>
      </c>
      <c r="Y29"/>
      <c r="AC29"/>
      <c r="AG29"/>
    </row>
    <row r="30" spans="4:33" ht="15" customHeight="1" x14ac:dyDescent="0.15">
      <c r="D30">
        <v>29</v>
      </c>
      <c r="E30" s="182" t="s">
        <v>220</v>
      </c>
      <c r="F30">
        <v>0.98</v>
      </c>
      <c r="G30">
        <v>0.8</v>
      </c>
      <c r="H30">
        <v>0.8</v>
      </c>
      <c r="I30">
        <v>0.8</v>
      </c>
      <c r="J30" s="108">
        <v>0.25</v>
      </c>
      <c r="K30" s="108">
        <v>0.05</v>
      </c>
      <c r="Y30"/>
      <c r="AC30"/>
      <c r="AG30"/>
    </row>
    <row r="31" spans="4:33" ht="15" customHeight="1" x14ac:dyDescent="0.15">
      <c r="D31">
        <v>30</v>
      </c>
      <c r="E31" s="182" t="s">
        <v>221</v>
      </c>
      <c r="F31">
        <v>0.98</v>
      </c>
      <c r="G31">
        <v>0.8</v>
      </c>
      <c r="H31">
        <v>0.8</v>
      </c>
      <c r="I31">
        <v>0.8</v>
      </c>
      <c r="J31" s="108">
        <v>0.25</v>
      </c>
      <c r="K31" s="108">
        <v>0.05</v>
      </c>
      <c r="Y31"/>
      <c r="AC31"/>
      <c r="AG31"/>
    </row>
    <row r="32" spans="4:33" ht="15" customHeight="1" x14ac:dyDescent="0.15">
      <c r="D32">
        <v>31</v>
      </c>
      <c r="E32" s="182" t="s">
        <v>222</v>
      </c>
      <c r="F32">
        <v>0.98</v>
      </c>
      <c r="G32">
        <v>0.8</v>
      </c>
      <c r="H32">
        <v>0</v>
      </c>
      <c r="I32">
        <v>0</v>
      </c>
      <c r="J32" s="108">
        <v>0</v>
      </c>
      <c r="K32" s="108">
        <v>0</v>
      </c>
      <c r="Y32"/>
      <c r="AC32"/>
      <c r="AG32"/>
    </row>
    <row r="33" spans="4:33" ht="15" customHeight="1" x14ac:dyDescent="0.15">
      <c r="D33">
        <v>32</v>
      </c>
      <c r="E33" s="182" t="s">
        <v>223</v>
      </c>
      <c r="F33">
        <v>0.98</v>
      </c>
      <c r="G33">
        <v>0.8</v>
      </c>
      <c r="H33">
        <v>0</v>
      </c>
      <c r="I33">
        <v>0</v>
      </c>
      <c r="J33" s="108">
        <v>0</v>
      </c>
      <c r="K33" s="108">
        <v>0</v>
      </c>
      <c r="Y33"/>
      <c r="AC33"/>
      <c r="AG33"/>
    </row>
    <row r="34" spans="4:33" ht="15" customHeight="1" x14ac:dyDescent="0.15">
      <c r="D34">
        <v>33</v>
      </c>
      <c r="E34" s="182" t="s">
        <v>224</v>
      </c>
      <c r="F34">
        <v>0.98</v>
      </c>
      <c r="G34">
        <v>0.8</v>
      </c>
      <c r="H34">
        <v>0</v>
      </c>
      <c r="I34">
        <v>0</v>
      </c>
      <c r="J34" s="108">
        <v>0</v>
      </c>
      <c r="K34" s="108">
        <v>0</v>
      </c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36.6640625" style="106" bestFit="1" customWidth="1"/>
    <col min="2" max="2" width="2.33203125" style="106" customWidth="1"/>
    <col min="3" max="31" width="3.83203125" style="106" customWidth="1"/>
    <col min="32" max="34" width="2.33203125" style="106" customWidth="1"/>
    <col min="35" max="16384" width="10.83203125" style="106"/>
  </cols>
  <sheetData>
    <row r="1" spans="1:34" x14ac:dyDescent="0.15">
      <c r="A1" s="62" t="s">
        <v>118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  <c r="AF1" s="184" t="s">
        <v>222</v>
      </c>
      <c r="AG1" s="184" t="s">
        <v>223</v>
      </c>
      <c r="AH1" s="184" t="s">
        <v>224</v>
      </c>
    </row>
    <row r="2" spans="1:34" customFormat="1" x14ac:dyDescent="0.15">
      <c r="A2" s="183" t="s">
        <v>192</v>
      </c>
      <c r="B2" s="106">
        <v>0</v>
      </c>
      <c r="C2" s="106">
        <v>0.8</v>
      </c>
      <c r="D2" s="106">
        <v>0.8</v>
      </c>
      <c r="E2" s="106">
        <v>0.8</v>
      </c>
      <c r="F2" s="106">
        <v>0.8</v>
      </c>
      <c r="G2" s="106">
        <v>0.8</v>
      </c>
      <c r="H2" s="106">
        <v>0.8</v>
      </c>
      <c r="I2" s="106">
        <v>0.8</v>
      </c>
      <c r="J2" s="106">
        <v>0.8</v>
      </c>
      <c r="K2" s="106">
        <v>0.8</v>
      </c>
      <c r="L2" s="106">
        <v>0.8</v>
      </c>
      <c r="M2" s="106">
        <v>0.8</v>
      </c>
      <c r="N2" s="106">
        <v>0.8</v>
      </c>
      <c r="O2" s="106">
        <v>0</v>
      </c>
      <c r="P2" s="106">
        <v>0.8</v>
      </c>
      <c r="Q2" s="106">
        <v>0.8</v>
      </c>
      <c r="R2" s="106">
        <v>0.8</v>
      </c>
      <c r="S2" s="106">
        <v>0.8</v>
      </c>
      <c r="T2" s="106">
        <v>0</v>
      </c>
      <c r="U2" s="106">
        <v>0.8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  <c r="AH2" s="106">
        <v>0</v>
      </c>
    </row>
    <row r="3" spans="1:34" customFormat="1" x14ac:dyDescent="0.15">
      <c r="A3" s="183" t="s">
        <v>193</v>
      </c>
      <c r="B3" s="106">
        <v>0</v>
      </c>
      <c r="C3" s="106">
        <v>0</v>
      </c>
      <c r="D3" s="106">
        <v>0.8</v>
      </c>
      <c r="E3" s="106">
        <v>0</v>
      </c>
      <c r="F3" s="106">
        <v>0</v>
      </c>
      <c r="G3" s="106">
        <v>0.8</v>
      </c>
      <c r="H3" s="106">
        <v>0</v>
      </c>
      <c r="I3" s="106">
        <v>0.8</v>
      </c>
      <c r="J3" s="106">
        <v>0.8</v>
      </c>
      <c r="K3" s="106">
        <v>0.8</v>
      </c>
      <c r="L3" s="106">
        <v>0.8</v>
      </c>
      <c r="M3" s="106">
        <v>0.8</v>
      </c>
      <c r="N3" s="106">
        <v>0.8</v>
      </c>
      <c r="O3" s="106">
        <v>0.8</v>
      </c>
      <c r="P3" s="106">
        <v>0.8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  <c r="AE3" s="106">
        <v>0</v>
      </c>
      <c r="AF3" s="106">
        <v>0</v>
      </c>
      <c r="AG3" s="106">
        <v>0</v>
      </c>
      <c r="AH3" s="106">
        <v>0</v>
      </c>
    </row>
    <row r="4" spans="1:34" customFormat="1" x14ac:dyDescent="0.15">
      <c r="A4" s="183" t="s">
        <v>194</v>
      </c>
      <c r="B4" s="106">
        <v>0</v>
      </c>
      <c r="C4" s="106">
        <v>0</v>
      </c>
      <c r="D4" s="106">
        <v>0.8</v>
      </c>
      <c r="E4" s="106">
        <v>0.8</v>
      </c>
      <c r="F4" s="106">
        <v>0.8</v>
      </c>
      <c r="G4" s="106">
        <v>0.8</v>
      </c>
      <c r="H4" s="106">
        <v>0</v>
      </c>
      <c r="I4" s="106">
        <v>0.8</v>
      </c>
      <c r="J4" s="106">
        <v>0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  <c r="AH4" s="106">
        <v>0</v>
      </c>
    </row>
    <row r="5" spans="1:34" customFormat="1" x14ac:dyDescent="0.15">
      <c r="A5" s="183" t="s">
        <v>195</v>
      </c>
      <c r="B5" s="106">
        <v>0</v>
      </c>
      <c r="C5" s="106">
        <v>0</v>
      </c>
      <c r="D5" s="106">
        <v>0</v>
      </c>
      <c r="E5" s="106">
        <v>0.8</v>
      </c>
      <c r="F5" s="106">
        <v>0.8</v>
      </c>
      <c r="G5" s="106">
        <v>0.8</v>
      </c>
      <c r="H5" s="106">
        <v>0.8</v>
      </c>
      <c r="I5" s="106">
        <v>0.8</v>
      </c>
      <c r="J5" s="106">
        <v>0</v>
      </c>
      <c r="K5" s="106">
        <v>0.8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0.8</v>
      </c>
      <c r="R5" s="106">
        <v>0.8</v>
      </c>
      <c r="S5" s="106">
        <v>0.8</v>
      </c>
      <c r="T5" s="106">
        <v>0</v>
      </c>
      <c r="U5" s="106">
        <v>0.8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0.8</v>
      </c>
      <c r="AD5" s="106">
        <v>0</v>
      </c>
      <c r="AE5" s="106">
        <v>0</v>
      </c>
      <c r="AF5" s="106">
        <v>0</v>
      </c>
      <c r="AG5" s="106">
        <v>0</v>
      </c>
      <c r="AH5" s="106">
        <v>0</v>
      </c>
    </row>
    <row r="6" spans="1:34" customFormat="1" x14ac:dyDescent="0.15">
      <c r="A6" s="183" t="s">
        <v>196</v>
      </c>
      <c r="B6" s="106">
        <v>0</v>
      </c>
      <c r="C6" s="106">
        <v>0</v>
      </c>
      <c r="D6" s="106">
        <v>0</v>
      </c>
      <c r="E6" s="106">
        <v>0</v>
      </c>
      <c r="F6" s="106">
        <v>0.8</v>
      </c>
      <c r="G6" s="106">
        <v>0.8</v>
      </c>
      <c r="H6" s="106">
        <v>0.8</v>
      </c>
      <c r="I6" s="106">
        <v>0.8</v>
      </c>
      <c r="J6" s="106">
        <v>0</v>
      </c>
      <c r="K6" s="106">
        <v>0.8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0.8</v>
      </c>
      <c r="R6" s="106">
        <v>0.8</v>
      </c>
      <c r="S6" s="106">
        <v>0.8</v>
      </c>
      <c r="T6" s="106">
        <v>0.8</v>
      </c>
      <c r="U6" s="106">
        <v>0.8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0.8</v>
      </c>
      <c r="AB6" s="106">
        <v>0</v>
      </c>
      <c r="AC6" s="106">
        <v>0.8</v>
      </c>
      <c r="AD6" s="106">
        <v>0</v>
      </c>
      <c r="AE6" s="106">
        <v>0.8</v>
      </c>
      <c r="AF6" s="106">
        <v>0</v>
      </c>
      <c r="AG6" s="106">
        <v>0</v>
      </c>
      <c r="AH6" s="106">
        <v>0</v>
      </c>
    </row>
    <row r="7" spans="1:34" customFormat="1" x14ac:dyDescent="0.15">
      <c r="A7" s="183" t="s">
        <v>197</v>
      </c>
      <c r="B7" s="106">
        <v>0</v>
      </c>
      <c r="C7" s="106">
        <v>0</v>
      </c>
      <c r="D7" s="106">
        <v>0</v>
      </c>
      <c r="E7" s="106">
        <v>0</v>
      </c>
      <c r="F7" s="106">
        <v>0.8</v>
      </c>
      <c r="G7" s="106">
        <v>0.8</v>
      </c>
      <c r="H7" s="106">
        <v>0.8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0.8</v>
      </c>
      <c r="S7" s="106">
        <v>0.8</v>
      </c>
      <c r="T7" s="106">
        <v>0.8</v>
      </c>
      <c r="U7" s="106">
        <v>0</v>
      </c>
      <c r="V7" s="106">
        <v>0.8</v>
      </c>
      <c r="W7" s="106">
        <v>0.8</v>
      </c>
      <c r="X7" s="106">
        <v>0.8</v>
      </c>
      <c r="Y7" s="106">
        <v>0</v>
      </c>
      <c r="Z7" s="106">
        <v>0.8</v>
      </c>
      <c r="AA7" s="106">
        <v>0.8</v>
      </c>
      <c r="AB7" s="106">
        <v>0.8</v>
      </c>
      <c r="AC7" s="106">
        <v>0.8</v>
      </c>
      <c r="AD7" s="106">
        <v>0.8</v>
      </c>
      <c r="AE7" s="106">
        <v>0</v>
      </c>
      <c r="AF7" s="106">
        <v>0</v>
      </c>
      <c r="AG7" s="106">
        <v>0</v>
      </c>
      <c r="AH7" s="106">
        <v>0</v>
      </c>
    </row>
    <row r="8" spans="1:34" customFormat="1" x14ac:dyDescent="0.15">
      <c r="A8" s="183" t="s">
        <v>198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0.8</v>
      </c>
      <c r="I8" s="106">
        <v>0.8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0.8</v>
      </c>
      <c r="Q8" s="106">
        <v>0.8</v>
      </c>
      <c r="R8" s="106">
        <v>0.8</v>
      </c>
      <c r="S8" s="106">
        <v>0.8</v>
      </c>
      <c r="T8" s="106">
        <v>0.8</v>
      </c>
      <c r="U8" s="106">
        <v>0.8</v>
      </c>
      <c r="V8" s="106">
        <v>0</v>
      </c>
      <c r="W8" s="106">
        <v>0.8</v>
      </c>
      <c r="X8" s="106">
        <v>0.8</v>
      </c>
      <c r="Y8" s="106">
        <v>0.8</v>
      </c>
      <c r="Z8" s="106">
        <v>0.8</v>
      </c>
      <c r="AA8" s="106">
        <v>0</v>
      </c>
      <c r="AB8" s="106">
        <v>0</v>
      </c>
      <c r="AC8" s="106">
        <v>0.8</v>
      </c>
      <c r="AD8" s="106">
        <v>0.8</v>
      </c>
      <c r="AE8" s="106">
        <v>0.8</v>
      </c>
      <c r="AF8" s="106">
        <v>0</v>
      </c>
      <c r="AG8" s="106">
        <v>0</v>
      </c>
      <c r="AH8" s="106">
        <v>0</v>
      </c>
    </row>
    <row r="9" spans="1:34" customFormat="1" x14ac:dyDescent="0.15">
      <c r="A9" s="183" t="s">
        <v>199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0.8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0.8</v>
      </c>
      <c r="S9" s="106">
        <v>0.8</v>
      </c>
      <c r="T9" s="106">
        <v>0.8</v>
      </c>
      <c r="U9" s="106">
        <v>0.8</v>
      </c>
      <c r="V9" s="106">
        <v>0</v>
      </c>
      <c r="W9" s="106">
        <v>0</v>
      </c>
      <c r="X9" s="106">
        <v>0</v>
      </c>
      <c r="Y9" s="106">
        <v>0.8</v>
      </c>
      <c r="Z9" s="106">
        <v>0</v>
      </c>
      <c r="AA9" s="106">
        <v>0.8</v>
      </c>
      <c r="AB9" s="106">
        <v>0.8</v>
      </c>
      <c r="AC9" s="106">
        <v>0.8</v>
      </c>
      <c r="AD9" s="106">
        <v>0.8</v>
      </c>
      <c r="AE9" s="106">
        <v>0.8</v>
      </c>
      <c r="AF9" s="106">
        <v>0</v>
      </c>
      <c r="AG9" s="106">
        <v>0</v>
      </c>
      <c r="AH9" s="106">
        <v>0</v>
      </c>
    </row>
    <row r="10" spans="1:34" customFormat="1" x14ac:dyDescent="0.15">
      <c r="A10" s="183" t="s">
        <v>200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0.8</v>
      </c>
      <c r="K10" s="106">
        <v>0.8</v>
      </c>
      <c r="L10" s="106">
        <v>0</v>
      </c>
      <c r="M10" s="106">
        <v>0.8</v>
      </c>
      <c r="N10" s="106">
        <v>0</v>
      </c>
      <c r="O10" s="106">
        <v>0.8</v>
      </c>
      <c r="P10" s="106">
        <v>0</v>
      </c>
      <c r="Q10" s="106">
        <v>0.8</v>
      </c>
      <c r="R10" s="106">
        <v>0.8</v>
      </c>
      <c r="S10" s="106">
        <v>0</v>
      </c>
      <c r="T10" s="106">
        <v>0</v>
      </c>
      <c r="U10" s="106">
        <v>0.8</v>
      </c>
      <c r="V10" s="106">
        <v>0</v>
      </c>
      <c r="W10" s="106">
        <v>0.8</v>
      </c>
      <c r="X10" s="106">
        <v>0.8</v>
      </c>
      <c r="Y10" s="106">
        <v>0.8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</row>
    <row r="11" spans="1:34" customFormat="1" x14ac:dyDescent="0.15">
      <c r="A11" s="183" t="s">
        <v>201</v>
      </c>
      <c r="B11" s="106">
        <v>0</v>
      </c>
      <c r="C11" s="106">
        <v>0</v>
      </c>
      <c r="D11" s="106">
        <v>0</v>
      </c>
      <c r="E11" s="106">
        <v>0</v>
      </c>
      <c r="F11" s="106">
        <v>0.8</v>
      </c>
      <c r="G11" s="106">
        <v>0</v>
      </c>
      <c r="H11" s="106">
        <v>0</v>
      </c>
      <c r="I11" s="106">
        <v>0</v>
      </c>
      <c r="J11" s="106">
        <v>0.8</v>
      </c>
      <c r="K11" s="106">
        <v>0.8</v>
      </c>
      <c r="L11" s="106">
        <v>0</v>
      </c>
      <c r="M11" s="106">
        <v>0.8</v>
      </c>
      <c r="N11" s="106">
        <v>0</v>
      </c>
      <c r="O11" s="106">
        <v>0.8</v>
      </c>
      <c r="P11" s="106">
        <v>0.8</v>
      </c>
      <c r="Q11" s="106">
        <v>0.8</v>
      </c>
      <c r="R11" s="106">
        <v>0.8</v>
      </c>
      <c r="S11" s="106">
        <v>0.8</v>
      </c>
      <c r="T11" s="106">
        <v>0.8</v>
      </c>
      <c r="U11" s="106">
        <v>0.8</v>
      </c>
      <c r="V11" s="106">
        <v>0.8</v>
      </c>
      <c r="W11" s="106">
        <v>0.8</v>
      </c>
      <c r="X11" s="106">
        <v>0.8</v>
      </c>
      <c r="Y11" s="106">
        <v>0.8</v>
      </c>
      <c r="Z11" s="106">
        <v>0.8</v>
      </c>
      <c r="AA11" s="106">
        <v>0.8</v>
      </c>
      <c r="AB11" s="106">
        <v>0</v>
      </c>
      <c r="AC11" s="106">
        <v>0.8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</row>
    <row r="12" spans="1:34" customFormat="1" x14ac:dyDescent="0.15">
      <c r="A12" s="183" t="s">
        <v>202</v>
      </c>
      <c r="B12" s="106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0.8</v>
      </c>
      <c r="K12" s="106">
        <v>0.8</v>
      </c>
      <c r="L12" s="106">
        <v>0.8</v>
      </c>
      <c r="M12" s="106">
        <v>0.8</v>
      </c>
      <c r="N12" s="106">
        <v>0</v>
      </c>
      <c r="O12" s="106">
        <v>0.8</v>
      </c>
      <c r="P12" s="106">
        <v>0</v>
      </c>
      <c r="Q12" s="106">
        <v>0.8</v>
      </c>
      <c r="R12" s="106">
        <v>0.8</v>
      </c>
      <c r="S12" s="106">
        <v>0.8</v>
      </c>
      <c r="T12" s="106">
        <v>0</v>
      </c>
      <c r="U12" s="106">
        <v>0</v>
      </c>
      <c r="V12" s="106">
        <v>0</v>
      </c>
      <c r="W12" s="106">
        <v>0.8</v>
      </c>
      <c r="X12" s="106">
        <v>0.8</v>
      </c>
      <c r="Y12" s="106">
        <v>0.8</v>
      </c>
      <c r="Z12" s="106">
        <v>0.8</v>
      </c>
      <c r="AA12" s="106">
        <v>0</v>
      </c>
      <c r="AB12" s="106">
        <v>0</v>
      </c>
      <c r="AC12" s="106">
        <v>0.8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</row>
    <row r="13" spans="1:34" customFormat="1" x14ac:dyDescent="0.15">
      <c r="A13" s="183" t="s">
        <v>203</v>
      </c>
      <c r="B13" s="106">
        <v>0</v>
      </c>
      <c r="C13" s="106">
        <v>0</v>
      </c>
      <c r="D13" s="106">
        <v>0</v>
      </c>
      <c r="E13" s="106">
        <v>0</v>
      </c>
      <c r="F13" s="106">
        <v>0.8</v>
      </c>
      <c r="G13" s="106">
        <v>0</v>
      </c>
      <c r="H13" s="106">
        <v>0</v>
      </c>
      <c r="I13" s="106">
        <v>0</v>
      </c>
      <c r="J13" s="106">
        <v>0.8</v>
      </c>
      <c r="K13" s="106">
        <v>0.8</v>
      </c>
      <c r="L13" s="106">
        <v>0.8</v>
      </c>
      <c r="M13" s="106">
        <v>0.8</v>
      </c>
      <c r="N13" s="106">
        <v>0</v>
      </c>
      <c r="O13" s="106">
        <v>0.8</v>
      </c>
      <c r="P13" s="106">
        <v>0.8</v>
      </c>
      <c r="Q13" s="106">
        <v>0.8</v>
      </c>
      <c r="R13" s="106">
        <v>0.8</v>
      </c>
      <c r="S13" s="106">
        <v>0.8</v>
      </c>
      <c r="T13" s="106">
        <v>0.8</v>
      </c>
      <c r="U13" s="106">
        <v>0</v>
      </c>
      <c r="V13" s="106">
        <v>0.8</v>
      </c>
      <c r="W13" s="106">
        <v>0.8</v>
      </c>
      <c r="X13" s="106">
        <v>0.8</v>
      </c>
      <c r="Y13" s="106">
        <v>0.8</v>
      </c>
      <c r="Z13" s="106">
        <v>0.8</v>
      </c>
      <c r="AA13" s="106">
        <v>0.8</v>
      </c>
      <c r="AB13" s="106">
        <v>0</v>
      </c>
      <c r="AC13" s="106">
        <v>0.8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</row>
    <row r="14" spans="1:34" customFormat="1" x14ac:dyDescent="0.15">
      <c r="A14" s="183" t="s">
        <v>204</v>
      </c>
      <c r="B14" s="106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0.8</v>
      </c>
      <c r="K14" s="106">
        <v>0.8</v>
      </c>
      <c r="L14" s="106">
        <v>0.8</v>
      </c>
      <c r="M14" s="106">
        <v>0.8</v>
      </c>
      <c r="N14" s="106">
        <v>0</v>
      </c>
      <c r="O14" s="106">
        <v>0.8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0.8</v>
      </c>
      <c r="X14" s="106">
        <v>0.8</v>
      </c>
      <c r="Y14" s="106">
        <v>0.8</v>
      </c>
      <c r="Z14" s="106">
        <v>0.8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</row>
    <row r="15" spans="1:34" customFormat="1" x14ac:dyDescent="0.15">
      <c r="A15" s="183" t="s">
        <v>205</v>
      </c>
      <c r="B15" s="106">
        <v>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0.8</v>
      </c>
      <c r="K15" s="106">
        <v>0.8</v>
      </c>
      <c r="L15" s="106">
        <v>0.8</v>
      </c>
      <c r="M15" s="106">
        <v>0.8</v>
      </c>
      <c r="N15" s="106">
        <v>0</v>
      </c>
      <c r="O15" s="106">
        <v>0.8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0.8</v>
      </c>
      <c r="W15" s="106">
        <v>0.8</v>
      </c>
      <c r="X15" s="106">
        <v>0.8</v>
      </c>
      <c r="Y15" s="106">
        <v>0.8</v>
      </c>
      <c r="Z15" s="106">
        <v>0.8</v>
      </c>
      <c r="AA15" s="106">
        <v>0</v>
      </c>
      <c r="AB15" s="106">
        <v>0</v>
      </c>
      <c r="AC15" s="106">
        <v>0.8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</row>
    <row r="16" spans="1:34" customFormat="1" x14ac:dyDescent="0.15">
      <c r="A16" s="183" t="s">
        <v>206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0.8</v>
      </c>
      <c r="Q16" s="106">
        <v>0</v>
      </c>
      <c r="R16" s="106">
        <v>0</v>
      </c>
      <c r="S16" s="106">
        <v>0</v>
      </c>
      <c r="T16" s="106">
        <v>0.8</v>
      </c>
      <c r="U16" s="106">
        <v>0</v>
      </c>
      <c r="V16" s="106">
        <v>0.8</v>
      </c>
      <c r="W16" s="106">
        <v>0.8</v>
      </c>
      <c r="X16" s="106">
        <v>0.8</v>
      </c>
      <c r="Y16" s="106">
        <v>0.8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0.8</v>
      </c>
      <c r="AF16" s="106">
        <v>0</v>
      </c>
      <c r="AG16" s="106">
        <v>0</v>
      </c>
      <c r="AH16" s="106">
        <v>0</v>
      </c>
    </row>
    <row r="17" spans="1:34" customFormat="1" x14ac:dyDescent="0.15">
      <c r="A17" s="183" t="s">
        <v>207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0.8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0.8</v>
      </c>
      <c r="R17" s="106">
        <v>0.8</v>
      </c>
      <c r="S17" s="106">
        <v>0.8</v>
      </c>
      <c r="T17" s="106">
        <v>0.8</v>
      </c>
      <c r="U17" s="106">
        <v>0.8</v>
      </c>
      <c r="V17" s="106">
        <v>0.8</v>
      </c>
      <c r="W17" s="106">
        <v>0</v>
      </c>
      <c r="X17" s="106">
        <v>0.8</v>
      </c>
      <c r="Y17" s="106">
        <v>0.8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</row>
    <row r="18" spans="1:34" customFormat="1" x14ac:dyDescent="0.15">
      <c r="A18" s="183" t="s">
        <v>208</v>
      </c>
      <c r="B18" s="106">
        <v>0</v>
      </c>
      <c r="C18" s="106">
        <v>0</v>
      </c>
      <c r="D18" s="106">
        <v>0</v>
      </c>
      <c r="E18" s="106">
        <v>0</v>
      </c>
      <c r="F18" s="106">
        <v>0</v>
      </c>
      <c r="G18" s="106">
        <v>0.8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0.8</v>
      </c>
      <c r="S18" s="106">
        <v>0</v>
      </c>
      <c r="T18" s="106">
        <v>0.8</v>
      </c>
      <c r="U18" s="106">
        <v>0</v>
      </c>
      <c r="V18" s="106">
        <v>0.8</v>
      </c>
      <c r="W18" s="106">
        <v>0.8</v>
      </c>
      <c r="X18" s="106">
        <v>0.8</v>
      </c>
      <c r="Y18" s="106">
        <v>0.8</v>
      </c>
      <c r="Z18" s="106">
        <v>0.8</v>
      </c>
      <c r="AA18" s="106">
        <v>0.8</v>
      </c>
      <c r="AB18" s="106">
        <v>0.8</v>
      </c>
      <c r="AC18" s="106">
        <v>0.8</v>
      </c>
      <c r="AD18" s="106">
        <v>0.8</v>
      </c>
      <c r="AE18" s="106">
        <v>0.8</v>
      </c>
      <c r="AF18" s="106">
        <v>0</v>
      </c>
      <c r="AG18" s="106">
        <v>0</v>
      </c>
      <c r="AH18" s="106">
        <v>0</v>
      </c>
    </row>
    <row r="19" spans="1:34" customFormat="1" x14ac:dyDescent="0.15">
      <c r="A19" s="183" t="s">
        <v>209</v>
      </c>
      <c r="B19" s="106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0.8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0.8</v>
      </c>
      <c r="S19" s="106">
        <v>0</v>
      </c>
      <c r="T19" s="106">
        <v>0.8</v>
      </c>
      <c r="U19" s="106">
        <v>0</v>
      </c>
      <c r="V19" s="106">
        <v>0.8</v>
      </c>
      <c r="W19" s="106">
        <v>0.8</v>
      </c>
      <c r="X19" s="106">
        <v>0.8</v>
      </c>
      <c r="Y19" s="106">
        <v>0.8</v>
      </c>
      <c r="Z19" s="106">
        <v>0.8</v>
      </c>
      <c r="AA19" s="106">
        <v>0.8</v>
      </c>
      <c r="AB19" s="106">
        <v>0.8</v>
      </c>
      <c r="AC19" s="106">
        <v>0.8</v>
      </c>
      <c r="AD19" s="106">
        <v>0.8</v>
      </c>
      <c r="AE19" s="106">
        <v>0.8</v>
      </c>
      <c r="AF19" s="106">
        <v>0</v>
      </c>
      <c r="AG19" s="106">
        <v>0</v>
      </c>
      <c r="AH19" s="106">
        <v>0</v>
      </c>
    </row>
    <row r="20" spans="1:34" customFormat="1" x14ac:dyDescent="0.15">
      <c r="A20" s="183" t="s">
        <v>210</v>
      </c>
      <c r="B20" s="106">
        <v>0</v>
      </c>
      <c r="C20" s="106">
        <v>0</v>
      </c>
      <c r="D20" s="106">
        <v>0</v>
      </c>
      <c r="E20" s="106">
        <v>0</v>
      </c>
      <c r="F20" s="106">
        <v>0</v>
      </c>
      <c r="G20" s="106">
        <v>0.8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0.8</v>
      </c>
      <c r="S20" s="106">
        <v>0</v>
      </c>
      <c r="T20" s="106">
        <v>0.8</v>
      </c>
      <c r="U20" s="106">
        <v>0</v>
      </c>
      <c r="V20" s="106">
        <v>0.8</v>
      </c>
      <c r="W20" s="106">
        <v>0.8</v>
      </c>
      <c r="X20" s="106">
        <v>0.8</v>
      </c>
      <c r="Y20" s="106">
        <v>0.8</v>
      </c>
      <c r="Z20" s="106">
        <v>0.8</v>
      </c>
      <c r="AA20" s="106">
        <v>0.8</v>
      </c>
      <c r="AB20" s="106">
        <v>0.8</v>
      </c>
      <c r="AC20" s="106">
        <v>0.8</v>
      </c>
      <c r="AD20" s="106">
        <v>0.8</v>
      </c>
      <c r="AE20" s="106">
        <v>0.8</v>
      </c>
      <c r="AF20" s="106">
        <v>0</v>
      </c>
      <c r="AG20" s="106">
        <v>0</v>
      </c>
      <c r="AH20" s="106">
        <v>0</v>
      </c>
    </row>
    <row r="21" spans="1:34" customFormat="1" x14ac:dyDescent="0.15">
      <c r="A21" s="183" t="s">
        <v>211</v>
      </c>
      <c r="B21" s="106">
        <v>0</v>
      </c>
      <c r="C21" s="106">
        <v>0</v>
      </c>
      <c r="D21" s="106">
        <v>0</v>
      </c>
      <c r="E21" s="106">
        <v>0</v>
      </c>
      <c r="F21" s="106">
        <v>0</v>
      </c>
      <c r="G21" s="106">
        <v>0.8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0.8</v>
      </c>
      <c r="U21" s="106">
        <v>0</v>
      </c>
      <c r="V21" s="106">
        <v>0.8</v>
      </c>
      <c r="W21" s="106">
        <v>0</v>
      </c>
      <c r="X21" s="106">
        <v>0</v>
      </c>
      <c r="Y21" s="106">
        <v>0.8</v>
      </c>
      <c r="Z21" s="106">
        <v>0.8</v>
      </c>
      <c r="AA21" s="106">
        <v>0.8</v>
      </c>
      <c r="AB21" s="106">
        <v>0</v>
      </c>
      <c r="AC21" s="106">
        <v>0.8</v>
      </c>
      <c r="AD21" s="106">
        <v>0.8</v>
      </c>
      <c r="AE21" s="106">
        <v>0.8</v>
      </c>
      <c r="AF21" s="106">
        <v>0</v>
      </c>
      <c r="AG21" s="106">
        <v>0</v>
      </c>
      <c r="AH21" s="106">
        <v>0</v>
      </c>
    </row>
    <row r="22" spans="1:34" customFormat="1" x14ac:dyDescent="0.15">
      <c r="A22" s="183" t="s">
        <v>212</v>
      </c>
      <c r="B22" s="106">
        <v>0</v>
      </c>
      <c r="C22" s="106">
        <v>0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0.8</v>
      </c>
      <c r="W22" s="106">
        <v>0</v>
      </c>
      <c r="X22" s="106">
        <v>0</v>
      </c>
      <c r="Y22" s="106">
        <v>0</v>
      </c>
      <c r="Z22" s="106">
        <v>0.8</v>
      </c>
      <c r="AA22" s="106">
        <v>0.8</v>
      </c>
      <c r="AB22" s="106">
        <v>0</v>
      </c>
      <c r="AC22" s="106">
        <v>0</v>
      </c>
      <c r="AD22" s="106">
        <v>0.8</v>
      </c>
      <c r="AE22" s="106">
        <v>0.8</v>
      </c>
      <c r="AF22" s="106">
        <v>0</v>
      </c>
      <c r="AG22" s="106">
        <v>0</v>
      </c>
      <c r="AH22" s="106">
        <v>0</v>
      </c>
    </row>
    <row r="23" spans="1:34" customFormat="1" x14ac:dyDescent="0.15">
      <c r="A23" s="183" t="s">
        <v>213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0.8</v>
      </c>
      <c r="L23" s="106">
        <v>0</v>
      </c>
      <c r="M23" s="106">
        <v>0.8</v>
      </c>
      <c r="N23" s="106">
        <v>0</v>
      </c>
      <c r="O23" s="106">
        <v>0.8</v>
      </c>
      <c r="P23" s="106">
        <v>0</v>
      </c>
      <c r="Q23" s="106">
        <v>0</v>
      </c>
      <c r="R23" s="106">
        <v>0.8</v>
      </c>
      <c r="S23" s="106">
        <v>0</v>
      </c>
      <c r="T23" s="106">
        <v>0</v>
      </c>
      <c r="U23" s="106">
        <v>0</v>
      </c>
      <c r="V23" s="106">
        <v>0.8</v>
      </c>
      <c r="W23" s="106">
        <v>0.8</v>
      </c>
      <c r="X23" s="106">
        <v>0.8</v>
      </c>
      <c r="Y23" s="106">
        <v>0.8</v>
      </c>
      <c r="Z23" s="106">
        <v>0.8</v>
      </c>
      <c r="AA23" s="106">
        <v>0.8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</row>
    <row r="24" spans="1:34" customFormat="1" x14ac:dyDescent="0.15">
      <c r="A24" s="183" t="s">
        <v>214</v>
      </c>
      <c r="B24" s="106">
        <v>0</v>
      </c>
      <c r="C24" s="106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0.8</v>
      </c>
      <c r="L24" s="106">
        <v>0</v>
      </c>
      <c r="M24" s="106">
        <v>0.8</v>
      </c>
      <c r="N24" s="106">
        <v>0</v>
      </c>
      <c r="O24" s="106">
        <v>0.8</v>
      </c>
      <c r="P24" s="106">
        <v>0</v>
      </c>
      <c r="Q24" s="106">
        <v>0</v>
      </c>
      <c r="R24" s="106">
        <v>0.8</v>
      </c>
      <c r="S24" s="106">
        <v>0</v>
      </c>
      <c r="T24" s="106">
        <v>0</v>
      </c>
      <c r="U24" s="106">
        <v>0</v>
      </c>
      <c r="V24" s="106">
        <v>0.8</v>
      </c>
      <c r="W24" s="106">
        <v>0.8</v>
      </c>
      <c r="X24" s="106">
        <v>0.8</v>
      </c>
      <c r="Y24" s="106">
        <v>0.8</v>
      </c>
      <c r="Z24" s="106">
        <v>0.8</v>
      </c>
      <c r="AA24" s="106">
        <v>0.8</v>
      </c>
      <c r="AB24" s="106">
        <v>0</v>
      </c>
      <c r="AC24" s="106">
        <v>0</v>
      </c>
      <c r="AD24" s="106">
        <v>0.8</v>
      </c>
      <c r="AE24" s="106">
        <v>0.8</v>
      </c>
      <c r="AF24" s="106">
        <v>0</v>
      </c>
      <c r="AG24" s="106">
        <v>0</v>
      </c>
      <c r="AH24" s="106">
        <v>0</v>
      </c>
    </row>
    <row r="25" spans="1:34" customFormat="1" x14ac:dyDescent="0.15">
      <c r="A25" s="183" t="s">
        <v>215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0.8</v>
      </c>
      <c r="N25" s="106">
        <v>0</v>
      </c>
      <c r="O25" s="106">
        <v>0.8</v>
      </c>
      <c r="P25" s="106">
        <v>0</v>
      </c>
      <c r="Q25" s="106">
        <v>0</v>
      </c>
      <c r="R25" s="106">
        <v>0.8</v>
      </c>
      <c r="S25" s="106">
        <v>0</v>
      </c>
      <c r="T25" s="106">
        <v>0</v>
      </c>
      <c r="U25" s="106">
        <v>0</v>
      </c>
      <c r="V25" s="106">
        <v>0.8</v>
      </c>
      <c r="W25" s="106">
        <v>0.8</v>
      </c>
      <c r="X25" s="106">
        <v>0.8</v>
      </c>
      <c r="Y25" s="106">
        <v>0.8</v>
      </c>
      <c r="Z25" s="106">
        <v>0.8</v>
      </c>
      <c r="AA25" s="106">
        <v>0.8</v>
      </c>
      <c r="AB25" s="106">
        <v>0</v>
      </c>
      <c r="AC25" s="106">
        <v>0</v>
      </c>
      <c r="AD25" s="106">
        <v>0.8</v>
      </c>
      <c r="AE25" s="106">
        <v>0.8</v>
      </c>
      <c r="AF25" s="106">
        <v>0</v>
      </c>
      <c r="AG25" s="106">
        <v>0</v>
      </c>
      <c r="AH25" s="106">
        <v>0</v>
      </c>
    </row>
    <row r="26" spans="1:34" customFormat="1" x14ac:dyDescent="0.15">
      <c r="A26" s="183" t="s">
        <v>216</v>
      </c>
      <c r="B26" s="106">
        <v>0</v>
      </c>
      <c r="C26" s="106">
        <v>0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0.8</v>
      </c>
      <c r="AA26" s="106">
        <v>0.8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</row>
    <row r="27" spans="1:34" customFormat="1" x14ac:dyDescent="0.15">
      <c r="A27" s="183" t="s">
        <v>217</v>
      </c>
      <c r="B27" s="106">
        <v>0</v>
      </c>
      <c r="C27" s="106">
        <v>0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0.8</v>
      </c>
      <c r="AA27" s="106">
        <v>0.8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</row>
    <row r="28" spans="1:34" customFormat="1" x14ac:dyDescent="0.15">
      <c r="A28" s="183" t="s">
        <v>218</v>
      </c>
      <c r="B28" s="106">
        <v>0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0.8</v>
      </c>
      <c r="AA28" s="106">
        <v>0.8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</row>
    <row r="29" spans="1:34" customFormat="1" x14ac:dyDescent="0.15">
      <c r="A29" s="183" t="s">
        <v>219</v>
      </c>
      <c r="B29" s="106">
        <v>0</v>
      </c>
      <c r="C29" s="106">
        <v>0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0.8</v>
      </c>
      <c r="AA29" s="106">
        <v>0.8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</row>
    <row r="30" spans="1:34" customFormat="1" x14ac:dyDescent="0.15">
      <c r="A30" s="183" t="s">
        <v>220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0.8</v>
      </c>
      <c r="AA30" s="106">
        <v>0.8</v>
      </c>
      <c r="AB30" s="106">
        <v>0</v>
      </c>
      <c r="AC30" s="106">
        <v>0</v>
      </c>
      <c r="AD30" s="106">
        <v>0.8</v>
      </c>
      <c r="AE30" s="106">
        <v>0</v>
      </c>
      <c r="AF30" s="106">
        <v>0</v>
      </c>
      <c r="AG30" s="106">
        <v>0</v>
      </c>
      <c r="AH30" s="106">
        <v>0</v>
      </c>
    </row>
    <row r="31" spans="1:34" customFormat="1" x14ac:dyDescent="0.15">
      <c r="A31" s="183" t="s">
        <v>221</v>
      </c>
      <c r="B31" s="106">
        <v>0</v>
      </c>
      <c r="C31" s="106">
        <v>0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0.8</v>
      </c>
      <c r="AA31" s="106">
        <v>0.8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</row>
    <row r="32" spans="1:34" customFormat="1" x14ac:dyDescent="0.15">
      <c r="A32" s="183" t="s">
        <v>222</v>
      </c>
      <c r="B32" s="106">
        <v>0</v>
      </c>
      <c r="C32" s="106">
        <v>0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0.8</v>
      </c>
      <c r="J32" s="106">
        <v>0.8</v>
      </c>
      <c r="K32" s="106">
        <v>0.8</v>
      </c>
      <c r="L32" s="106">
        <v>0.8</v>
      </c>
      <c r="M32" s="106">
        <v>0.8</v>
      </c>
      <c r="N32" s="106">
        <v>0</v>
      </c>
      <c r="O32" s="106">
        <v>0.8</v>
      </c>
      <c r="P32" s="106">
        <v>0.8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0.8</v>
      </c>
      <c r="X32" s="106">
        <v>0.8</v>
      </c>
      <c r="Y32" s="106">
        <v>0</v>
      </c>
      <c r="Z32" s="106">
        <v>0.8</v>
      </c>
      <c r="AA32" s="106">
        <v>0</v>
      </c>
      <c r="AB32" s="106">
        <v>0</v>
      </c>
      <c r="AC32" s="106">
        <v>0</v>
      </c>
      <c r="AD32" s="106">
        <v>0</v>
      </c>
      <c r="AE32" s="106">
        <v>0.8</v>
      </c>
      <c r="AF32" s="106">
        <v>0</v>
      </c>
      <c r="AG32" s="106">
        <v>0</v>
      </c>
      <c r="AH32" s="106">
        <v>0</v>
      </c>
    </row>
    <row r="33" spans="1:34" x14ac:dyDescent="0.15">
      <c r="A33" s="183" t="s">
        <v>223</v>
      </c>
      <c r="B33" s="106">
        <v>0</v>
      </c>
      <c r="C33" s="106">
        <v>0.8</v>
      </c>
      <c r="D33" s="106">
        <v>0.8</v>
      </c>
      <c r="E33" s="106">
        <v>0.8</v>
      </c>
      <c r="F33" s="106">
        <v>0.8</v>
      </c>
      <c r="G33" s="106">
        <v>0.8</v>
      </c>
      <c r="H33" s="106">
        <v>0.8</v>
      </c>
      <c r="I33" s="106">
        <v>0</v>
      </c>
      <c r="J33" s="106">
        <v>0.8</v>
      </c>
      <c r="K33" s="106">
        <v>0.8</v>
      </c>
      <c r="L33" s="106">
        <v>0.8</v>
      </c>
      <c r="M33" s="106">
        <v>0.8</v>
      </c>
      <c r="N33" s="106">
        <v>0.8</v>
      </c>
      <c r="O33" s="106">
        <v>0.8</v>
      </c>
      <c r="P33" s="106">
        <v>0.8</v>
      </c>
      <c r="Q33" s="106">
        <v>0.8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0.8</v>
      </c>
      <c r="X33" s="106">
        <v>0.8</v>
      </c>
      <c r="Y33" s="106">
        <v>0</v>
      </c>
      <c r="Z33" s="106">
        <v>0</v>
      </c>
      <c r="AA33" s="106">
        <v>0.8</v>
      </c>
      <c r="AB33" s="106">
        <v>0</v>
      </c>
      <c r="AC33" s="106">
        <v>0.8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</row>
    <row r="34" spans="1:34" x14ac:dyDescent="0.15">
      <c r="A34" s="183" t="s">
        <v>224</v>
      </c>
      <c r="B34" s="106">
        <v>0</v>
      </c>
      <c r="C34" s="106">
        <v>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</row>
    <row r="35" spans="1:34" x14ac:dyDescent="0.15">
      <c r="A35" s="183" t="s">
        <v>226</v>
      </c>
      <c r="B35" s="106">
        <v>0</v>
      </c>
      <c r="C35" s="106">
        <v>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36.6640625" style="106" bestFit="1" customWidth="1"/>
    <col min="2" max="34" width="2.33203125" style="106" customWidth="1"/>
    <col min="35" max="16384" width="10.83203125" style="106"/>
  </cols>
  <sheetData>
    <row r="1" spans="1:34" x14ac:dyDescent="0.15">
      <c r="A1" s="62" t="s">
        <v>139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  <c r="AH1" s="186" t="s">
        <v>224</v>
      </c>
    </row>
    <row r="2" spans="1:34" customFormat="1" x14ac:dyDescent="0.15">
      <c r="A2" s="185" t="s">
        <v>192</v>
      </c>
      <c r="B2" s="106">
        <v>0</v>
      </c>
      <c r="C2" s="106">
        <v>1</v>
      </c>
      <c r="D2" s="106">
        <v>1</v>
      </c>
      <c r="E2" s="106">
        <v>1</v>
      </c>
      <c r="F2" s="106">
        <v>1</v>
      </c>
      <c r="G2" s="106">
        <v>1</v>
      </c>
      <c r="H2" s="106">
        <v>1</v>
      </c>
      <c r="I2" s="106">
        <v>1</v>
      </c>
      <c r="J2" s="106">
        <v>1</v>
      </c>
      <c r="K2" s="106">
        <v>1</v>
      </c>
      <c r="L2" s="106">
        <v>1</v>
      </c>
      <c r="M2" s="106">
        <v>1</v>
      </c>
      <c r="N2" s="106">
        <v>1</v>
      </c>
      <c r="O2" s="106">
        <v>0</v>
      </c>
      <c r="P2" s="106">
        <v>1</v>
      </c>
      <c r="Q2" s="106">
        <v>1</v>
      </c>
      <c r="R2" s="106">
        <v>1</v>
      </c>
      <c r="S2" s="106">
        <v>1</v>
      </c>
      <c r="T2" s="106">
        <v>0</v>
      </c>
      <c r="U2" s="106">
        <v>1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  <c r="AH2" s="106">
        <v>0</v>
      </c>
    </row>
    <row r="3" spans="1:34" customFormat="1" x14ac:dyDescent="0.15">
      <c r="A3" s="185" t="s">
        <v>193</v>
      </c>
      <c r="B3" s="106">
        <v>0</v>
      </c>
      <c r="C3" s="106">
        <v>0</v>
      </c>
      <c r="D3" s="106">
        <v>1</v>
      </c>
      <c r="E3" s="106">
        <v>0</v>
      </c>
      <c r="F3" s="106">
        <v>0</v>
      </c>
      <c r="G3" s="106">
        <v>1</v>
      </c>
      <c r="H3" s="106">
        <v>0</v>
      </c>
      <c r="I3" s="106">
        <v>1</v>
      </c>
      <c r="J3" s="106">
        <v>1</v>
      </c>
      <c r="K3" s="106">
        <v>1</v>
      </c>
      <c r="L3" s="106">
        <v>1</v>
      </c>
      <c r="M3" s="106">
        <v>1</v>
      </c>
      <c r="N3" s="106">
        <v>1</v>
      </c>
      <c r="O3" s="106">
        <v>1</v>
      </c>
      <c r="P3" s="106">
        <v>1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  <c r="AE3" s="106">
        <v>0</v>
      </c>
      <c r="AF3" s="106">
        <v>0</v>
      </c>
      <c r="AG3" s="106">
        <v>0</v>
      </c>
      <c r="AH3" s="106">
        <v>0</v>
      </c>
    </row>
    <row r="4" spans="1:34" customFormat="1" x14ac:dyDescent="0.15">
      <c r="A4" s="185" t="s">
        <v>194</v>
      </c>
      <c r="B4" s="106">
        <v>0</v>
      </c>
      <c r="C4" s="106">
        <v>0</v>
      </c>
      <c r="D4" s="106">
        <v>1</v>
      </c>
      <c r="E4" s="106">
        <v>1</v>
      </c>
      <c r="F4" s="106">
        <v>1</v>
      </c>
      <c r="G4" s="106">
        <v>1</v>
      </c>
      <c r="H4" s="106">
        <v>0</v>
      </c>
      <c r="I4" s="106">
        <v>1</v>
      </c>
      <c r="J4" s="106">
        <v>0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  <c r="AH4" s="106">
        <v>0</v>
      </c>
    </row>
    <row r="5" spans="1:34" customFormat="1" x14ac:dyDescent="0.15">
      <c r="A5" s="185" t="s">
        <v>195</v>
      </c>
      <c r="B5" s="106">
        <v>0</v>
      </c>
      <c r="C5" s="106">
        <v>0</v>
      </c>
      <c r="D5" s="106">
        <v>0</v>
      </c>
      <c r="E5" s="106">
        <v>1</v>
      </c>
      <c r="F5" s="106">
        <v>1</v>
      </c>
      <c r="G5" s="106">
        <v>1</v>
      </c>
      <c r="H5" s="106">
        <v>1</v>
      </c>
      <c r="I5" s="106">
        <v>1</v>
      </c>
      <c r="J5" s="106">
        <v>0</v>
      </c>
      <c r="K5" s="106">
        <v>1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1</v>
      </c>
      <c r="R5" s="106">
        <v>1</v>
      </c>
      <c r="S5" s="106">
        <v>1</v>
      </c>
      <c r="T5" s="106">
        <v>0</v>
      </c>
      <c r="U5" s="106">
        <v>1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1</v>
      </c>
      <c r="AD5" s="106">
        <v>0</v>
      </c>
      <c r="AE5" s="106">
        <v>0</v>
      </c>
      <c r="AF5" s="106">
        <v>0</v>
      </c>
      <c r="AG5" s="106">
        <v>0</v>
      </c>
      <c r="AH5" s="106">
        <v>0</v>
      </c>
    </row>
    <row r="6" spans="1:34" customFormat="1" x14ac:dyDescent="0.15">
      <c r="A6" s="185" t="s">
        <v>196</v>
      </c>
      <c r="B6" s="106">
        <v>0</v>
      </c>
      <c r="C6" s="106">
        <v>0</v>
      </c>
      <c r="D6" s="106">
        <v>0</v>
      </c>
      <c r="E6" s="106">
        <v>0</v>
      </c>
      <c r="F6" s="106">
        <v>1</v>
      </c>
      <c r="G6" s="106">
        <v>1</v>
      </c>
      <c r="H6" s="106">
        <v>1</v>
      </c>
      <c r="I6" s="106">
        <v>1</v>
      </c>
      <c r="J6" s="106">
        <v>0</v>
      </c>
      <c r="K6" s="106">
        <v>1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1</v>
      </c>
      <c r="R6" s="106">
        <v>1</v>
      </c>
      <c r="S6" s="106">
        <v>1</v>
      </c>
      <c r="T6" s="106">
        <v>1</v>
      </c>
      <c r="U6" s="106">
        <v>1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1</v>
      </c>
      <c r="AB6" s="106">
        <v>0</v>
      </c>
      <c r="AC6" s="106">
        <v>1</v>
      </c>
      <c r="AD6" s="106">
        <v>0</v>
      </c>
      <c r="AE6" s="106">
        <v>1</v>
      </c>
      <c r="AF6" s="106">
        <v>0</v>
      </c>
      <c r="AG6" s="106">
        <v>0</v>
      </c>
      <c r="AH6" s="106">
        <v>0</v>
      </c>
    </row>
    <row r="7" spans="1:34" customFormat="1" x14ac:dyDescent="0.15">
      <c r="A7" s="185" t="s">
        <v>197</v>
      </c>
      <c r="B7" s="106">
        <v>0</v>
      </c>
      <c r="C7" s="106">
        <v>0</v>
      </c>
      <c r="D7" s="106">
        <v>0</v>
      </c>
      <c r="E7" s="106">
        <v>0</v>
      </c>
      <c r="F7" s="106">
        <v>1</v>
      </c>
      <c r="G7" s="106">
        <v>1</v>
      </c>
      <c r="H7" s="106">
        <v>1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1</v>
      </c>
      <c r="S7" s="106">
        <v>1</v>
      </c>
      <c r="T7" s="106">
        <v>1</v>
      </c>
      <c r="U7" s="106">
        <v>0</v>
      </c>
      <c r="V7" s="106">
        <v>1</v>
      </c>
      <c r="W7" s="106">
        <v>1</v>
      </c>
      <c r="X7" s="106">
        <v>1</v>
      </c>
      <c r="Y7" s="106">
        <v>0</v>
      </c>
      <c r="Z7" s="106">
        <v>1</v>
      </c>
      <c r="AA7" s="106">
        <v>1</v>
      </c>
      <c r="AB7" s="106">
        <v>1</v>
      </c>
      <c r="AC7" s="106">
        <v>1</v>
      </c>
      <c r="AD7" s="106">
        <v>1</v>
      </c>
      <c r="AE7" s="106">
        <v>0</v>
      </c>
      <c r="AF7" s="106">
        <v>0</v>
      </c>
      <c r="AG7" s="106">
        <v>0</v>
      </c>
      <c r="AH7" s="106">
        <v>0</v>
      </c>
    </row>
    <row r="8" spans="1:34" customFormat="1" x14ac:dyDescent="0.15">
      <c r="A8" s="185" t="s">
        <v>198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1</v>
      </c>
      <c r="I8" s="106">
        <v>1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1</v>
      </c>
      <c r="Q8" s="106">
        <v>1</v>
      </c>
      <c r="R8" s="106">
        <v>1</v>
      </c>
      <c r="S8" s="106">
        <v>1</v>
      </c>
      <c r="T8" s="106">
        <v>1</v>
      </c>
      <c r="U8" s="106">
        <v>1</v>
      </c>
      <c r="V8" s="106">
        <v>0</v>
      </c>
      <c r="W8" s="106">
        <v>1</v>
      </c>
      <c r="X8" s="106">
        <v>1</v>
      </c>
      <c r="Y8" s="106">
        <v>1</v>
      </c>
      <c r="Z8" s="106">
        <v>1</v>
      </c>
      <c r="AA8" s="106">
        <v>0</v>
      </c>
      <c r="AB8" s="106">
        <v>0</v>
      </c>
      <c r="AC8" s="106">
        <v>1</v>
      </c>
      <c r="AD8" s="106">
        <v>1</v>
      </c>
      <c r="AE8" s="106">
        <v>1</v>
      </c>
      <c r="AF8" s="106">
        <v>0</v>
      </c>
      <c r="AG8" s="106">
        <v>0</v>
      </c>
      <c r="AH8" s="106">
        <v>0</v>
      </c>
    </row>
    <row r="9" spans="1:34" customFormat="1" x14ac:dyDescent="0.15">
      <c r="A9" s="185" t="s">
        <v>199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1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1</v>
      </c>
      <c r="S9" s="106">
        <v>1</v>
      </c>
      <c r="T9" s="106">
        <v>1</v>
      </c>
      <c r="U9" s="106">
        <v>1</v>
      </c>
      <c r="V9" s="106">
        <v>0</v>
      </c>
      <c r="W9" s="106">
        <v>0</v>
      </c>
      <c r="X9" s="106">
        <v>0</v>
      </c>
      <c r="Y9" s="106">
        <v>1</v>
      </c>
      <c r="Z9" s="106">
        <v>0</v>
      </c>
      <c r="AA9" s="106">
        <v>1</v>
      </c>
      <c r="AB9" s="106">
        <v>1</v>
      </c>
      <c r="AC9" s="106">
        <v>1</v>
      </c>
      <c r="AD9" s="106">
        <v>1</v>
      </c>
      <c r="AE9" s="106">
        <v>1</v>
      </c>
      <c r="AF9" s="106">
        <v>0</v>
      </c>
      <c r="AG9" s="106">
        <v>0</v>
      </c>
      <c r="AH9" s="106">
        <v>0</v>
      </c>
    </row>
    <row r="10" spans="1:34" customFormat="1" x14ac:dyDescent="0.15">
      <c r="A10" s="185" t="s">
        <v>200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1</v>
      </c>
      <c r="K10" s="106">
        <v>1</v>
      </c>
      <c r="L10" s="106">
        <v>0</v>
      </c>
      <c r="M10" s="106">
        <v>1</v>
      </c>
      <c r="N10" s="106">
        <v>0</v>
      </c>
      <c r="O10" s="106">
        <v>1</v>
      </c>
      <c r="P10" s="106">
        <v>0</v>
      </c>
      <c r="Q10" s="106">
        <v>1</v>
      </c>
      <c r="R10" s="106">
        <v>1</v>
      </c>
      <c r="S10" s="106">
        <v>0</v>
      </c>
      <c r="T10" s="106">
        <v>0</v>
      </c>
      <c r="U10" s="106">
        <v>1</v>
      </c>
      <c r="V10" s="106">
        <v>0</v>
      </c>
      <c r="W10" s="106">
        <v>1</v>
      </c>
      <c r="X10" s="106">
        <v>1</v>
      </c>
      <c r="Y10" s="106">
        <v>1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</row>
    <row r="11" spans="1:34" customFormat="1" x14ac:dyDescent="0.15">
      <c r="A11" s="185" t="s">
        <v>201</v>
      </c>
      <c r="B11" s="106">
        <v>0</v>
      </c>
      <c r="C11" s="106">
        <v>0</v>
      </c>
      <c r="D11" s="106">
        <v>0</v>
      </c>
      <c r="E11" s="106">
        <v>0</v>
      </c>
      <c r="F11" s="106">
        <v>1</v>
      </c>
      <c r="G11" s="106">
        <v>0</v>
      </c>
      <c r="H11" s="106">
        <v>0</v>
      </c>
      <c r="I11" s="106">
        <v>0</v>
      </c>
      <c r="J11" s="106">
        <v>1</v>
      </c>
      <c r="K11" s="106">
        <v>1</v>
      </c>
      <c r="L11" s="106">
        <v>0</v>
      </c>
      <c r="M11" s="106">
        <v>1</v>
      </c>
      <c r="N11" s="106">
        <v>0</v>
      </c>
      <c r="O11" s="106">
        <v>1</v>
      </c>
      <c r="P11" s="106">
        <v>1</v>
      </c>
      <c r="Q11" s="106">
        <v>1</v>
      </c>
      <c r="R11" s="106">
        <v>1</v>
      </c>
      <c r="S11" s="106">
        <v>1</v>
      </c>
      <c r="T11" s="106">
        <v>1</v>
      </c>
      <c r="U11" s="106">
        <v>1</v>
      </c>
      <c r="V11" s="106">
        <v>1</v>
      </c>
      <c r="W11" s="106">
        <v>1</v>
      </c>
      <c r="X11" s="106">
        <v>1</v>
      </c>
      <c r="Y11" s="106">
        <v>1</v>
      </c>
      <c r="Z11" s="106">
        <v>1</v>
      </c>
      <c r="AA11" s="106">
        <v>1</v>
      </c>
      <c r="AB11" s="106">
        <v>0</v>
      </c>
      <c r="AC11" s="106">
        <v>1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</row>
    <row r="12" spans="1:34" customFormat="1" x14ac:dyDescent="0.15">
      <c r="A12" s="185" t="s">
        <v>202</v>
      </c>
      <c r="B12" s="106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1</v>
      </c>
      <c r="K12" s="106">
        <v>1</v>
      </c>
      <c r="L12" s="106">
        <v>1</v>
      </c>
      <c r="M12" s="106">
        <v>1</v>
      </c>
      <c r="N12" s="106">
        <v>0</v>
      </c>
      <c r="O12" s="106">
        <v>1</v>
      </c>
      <c r="P12" s="106">
        <v>0</v>
      </c>
      <c r="Q12" s="106">
        <v>1</v>
      </c>
      <c r="R12" s="106">
        <v>1</v>
      </c>
      <c r="S12" s="106">
        <v>1</v>
      </c>
      <c r="T12" s="106">
        <v>0</v>
      </c>
      <c r="U12" s="106">
        <v>0</v>
      </c>
      <c r="V12" s="106">
        <v>0</v>
      </c>
      <c r="W12" s="106">
        <v>1</v>
      </c>
      <c r="X12" s="106">
        <v>1</v>
      </c>
      <c r="Y12" s="106">
        <v>1</v>
      </c>
      <c r="Z12" s="106">
        <v>1</v>
      </c>
      <c r="AA12" s="106">
        <v>0</v>
      </c>
      <c r="AB12" s="106">
        <v>0</v>
      </c>
      <c r="AC12" s="106">
        <v>1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</row>
    <row r="13" spans="1:34" customFormat="1" x14ac:dyDescent="0.15">
      <c r="A13" s="185" t="s">
        <v>203</v>
      </c>
      <c r="B13" s="106">
        <v>0</v>
      </c>
      <c r="C13" s="106">
        <v>0</v>
      </c>
      <c r="D13" s="106">
        <v>0</v>
      </c>
      <c r="E13" s="106">
        <v>0</v>
      </c>
      <c r="F13" s="106">
        <v>1</v>
      </c>
      <c r="G13" s="106">
        <v>0</v>
      </c>
      <c r="H13" s="106">
        <v>0</v>
      </c>
      <c r="I13" s="106">
        <v>0</v>
      </c>
      <c r="J13" s="106">
        <v>1</v>
      </c>
      <c r="K13" s="106">
        <v>1</v>
      </c>
      <c r="L13" s="106">
        <v>1</v>
      </c>
      <c r="M13" s="106">
        <v>1</v>
      </c>
      <c r="N13" s="106">
        <v>0</v>
      </c>
      <c r="O13" s="106">
        <v>1</v>
      </c>
      <c r="P13" s="106">
        <v>1</v>
      </c>
      <c r="Q13" s="106">
        <v>1</v>
      </c>
      <c r="R13" s="106">
        <v>1</v>
      </c>
      <c r="S13" s="106">
        <v>1</v>
      </c>
      <c r="T13" s="106">
        <v>1</v>
      </c>
      <c r="U13" s="106">
        <v>0</v>
      </c>
      <c r="V13" s="106">
        <v>1</v>
      </c>
      <c r="W13" s="106">
        <v>1</v>
      </c>
      <c r="X13" s="106">
        <v>1</v>
      </c>
      <c r="Y13" s="106">
        <v>1</v>
      </c>
      <c r="Z13" s="106">
        <v>1</v>
      </c>
      <c r="AA13" s="106">
        <v>1</v>
      </c>
      <c r="AB13" s="106">
        <v>0</v>
      </c>
      <c r="AC13" s="106">
        <v>1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</row>
    <row r="14" spans="1:34" customFormat="1" x14ac:dyDescent="0.15">
      <c r="A14" s="185" t="s">
        <v>204</v>
      </c>
      <c r="B14" s="106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1</v>
      </c>
      <c r="K14" s="106">
        <v>1</v>
      </c>
      <c r="L14" s="106">
        <v>1</v>
      </c>
      <c r="M14" s="106">
        <v>1</v>
      </c>
      <c r="N14" s="106">
        <v>0</v>
      </c>
      <c r="O14" s="106">
        <v>1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1</v>
      </c>
      <c r="X14" s="106">
        <v>1</v>
      </c>
      <c r="Y14" s="106">
        <v>1</v>
      </c>
      <c r="Z14" s="106">
        <v>1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</row>
    <row r="15" spans="1:34" customFormat="1" x14ac:dyDescent="0.15">
      <c r="A15" s="185" t="s">
        <v>205</v>
      </c>
      <c r="B15" s="106">
        <v>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1</v>
      </c>
      <c r="K15" s="106">
        <v>1</v>
      </c>
      <c r="L15" s="106">
        <v>1</v>
      </c>
      <c r="M15" s="106">
        <v>1</v>
      </c>
      <c r="N15" s="106">
        <v>0</v>
      </c>
      <c r="O15" s="106">
        <v>1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1</v>
      </c>
      <c r="W15" s="106">
        <v>1</v>
      </c>
      <c r="X15" s="106">
        <v>1</v>
      </c>
      <c r="Y15" s="106">
        <v>1</v>
      </c>
      <c r="Z15" s="106">
        <v>1</v>
      </c>
      <c r="AA15" s="106">
        <v>0</v>
      </c>
      <c r="AB15" s="106">
        <v>0</v>
      </c>
      <c r="AC15" s="106">
        <v>1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</row>
    <row r="16" spans="1:34" customFormat="1" x14ac:dyDescent="0.15">
      <c r="A16" s="185" t="s">
        <v>206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1</v>
      </c>
      <c r="Q16" s="106">
        <v>0</v>
      </c>
      <c r="R16" s="106">
        <v>0</v>
      </c>
      <c r="S16" s="106">
        <v>0</v>
      </c>
      <c r="T16" s="106">
        <v>1</v>
      </c>
      <c r="U16" s="106">
        <v>0</v>
      </c>
      <c r="V16" s="106">
        <v>1</v>
      </c>
      <c r="W16" s="106">
        <v>1</v>
      </c>
      <c r="X16" s="106">
        <v>1</v>
      </c>
      <c r="Y16" s="106">
        <v>1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1</v>
      </c>
      <c r="AF16" s="106">
        <v>0</v>
      </c>
      <c r="AG16" s="106">
        <v>0</v>
      </c>
      <c r="AH16" s="106">
        <v>0</v>
      </c>
    </row>
    <row r="17" spans="1:34" customFormat="1" x14ac:dyDescent="0.15">
      <c r="A17" s="185" t="s">
        <v>207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1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1</v>
      </c>
      <c r="R17" s="106">
        <v>1</v>
      </c>
      <c r="S17" s="106">
        <v>1</v>
      </c>
      <c r="T17" s="106">
        <v>1</v>
      </c>
      <c r="U17" s="106">
        <v>1</v>
      </c>
      <c r="V17" s="106">
        <v>1</v>
      </c>
      <c r="W17" s="106">
        <v>0</v>
      </c>
      <c r="X17" s="106">
        <v>1</v>
      </c>
      <c r="Y17" s="106">
        <v>1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</row>
    <row r="18" spans="1:34" customFormat="1" x14ac:dyDescent="0.15">
      <c r="A18" s="185" t="s">
        <v>208</v>
      </c>
      <c r="B18" s="106">
        <v>0</v>
      </c>
      <c r="C18" s="106">
        <v>0</v>
      </c>
      <c r="D18" s="106">
        <v>0</v>
      </c>
      <c r="E18" s="106">
        <v>0</v>
      </c>
      <c r="F18" s="106">
        <v>0</v>
      </c>
      <c r="G18" s="106">
        <v>1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1</v>
      </c>
      <c r="S18" s="106">
        <v>0</v>
      </c>
      <c r="T18" s="106">
        <v>1</v>
      </c>
      <c r="U18" s="106">
        <v>0</v>
      </c>
      <c r="V18" s="106">
        <v>1</v>
      </c>
      <c r="W18" s="106">
        <v>1</v>
      </c>
      <c r="X18" s="106">
        <v>1</v>
      </c>
      <c r="Y18" s="106">
        <v>1</v>
      </c>
      <c r="Z18" s="106">
        <v>1</v>
      </c>
      <c r="AA18" s="106">
        <v>1</v>
      </c>
      <c r="AB18" s="106">
        <v>1</v>
      </c>
      <c r="AC18" s="106">
        <v>1</v>
      </c>
      <c r="AD18" s="106">
        <v>1</v>
      </c>
      <c r="AE18" s="106">
        <v>1</v>
      </c>
      <c r="AF18" s="106">
        <v>0</v>
      </c>
      <c r="AG18" s="106">
        <v>0</v>
      </c>
      <c r="AH18" s="106">
        <v>0</v>
      </c>
    </row>
    <row r="19" spans="1:34" customFormat="1" x14ac:dyDescent="0.15">
      <c r="A19" s="185" t="s">
        <v>209</v>
      </c>
      <c r="B19" s="106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1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1</v>
      </c>
      <c r="S19" s="106">
        <v>0</v>
      </c>
      <c r="T19" s="106">
        <v>1</v>
      </c>
      <c r="U19" s="106">
        <v>0</v>
      </c>
      <c r="V19" s="106">
        <v>1</v>
      </c>
      <c r="W19" s="106">
        <v>1</v>
      </c>
      <c r="X19" s="106">
        <v>1</v>
      </c>
      <c r="Y19" s="106">
        <v>1</v>
      </c>
      <c r="Z19" s="106">
        <v>1</v>
      </c>
      <c r="AA19" s="106">
        <v>1</v>
      </c>
      <c r="AB19" s="106">
        <v>1</v>
      </c>
      <c r="AC19" s="106">
        <v>1</v>
      </c>
      <c r="AD19" s="106">
        <v>1</v>
      </c>
      <c r="AE19" s="106">
        <v>1</v>
      </c>
      <c r="AF19" s="106">
        <v>0</v>
      </c>
      <c r="AG19" s="106">
        <v>0</v>
      </c>
      <c r="AH19" s="106">
        <v>0</v>
      </c>
    </row>
    <row r="20" spans="1:34" customFormat="1" x14ac:dyDescent="0.15">
      <c r="A20" s="185" t="s">
        <v>210</v>
      </c>
      <c r="B20" s="106">
        <v>0</v>
      </c>
      <c r="C20" s="106">
        <v>0</v>
      </c>
      <c r="D20" s="106">
        <v>0</v>
      </c>
      <c r="E20" s="106">
        <v>0</v>
      </c>
      <c r="F20" s="106">
        <v>0</v>
      </c>
      <c r="G20" s="106">
        <v>1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1</v>
      </c>
      <c r="S20" s="106">
        <v>0</v>
      </c>
      <c r="T20" s="106">
        <v>1</v>
      </c>
      <c r="U20" s="106">
        <v>0</v>
      </c>
      <c r="V20" s="106">
        <v>1</v>
      </c>
      <c r="W20" s="106">
        <v>1</v>
      </c>
      <c r="X20" s="106">
        <v>1</v>
      </c>
      <c r="Y20" s="106">
        <v>1</v>
      </c>
      <c r="Z20" s="106">
        <v>1</v>
      </c>
      <c r="AA20" s="106">
        <v>1</v>
      </c>
      <c r="AB20" s="106">
        <v>1</v>
      </c>
      <c r="AC20" s="106">
        <v>1</v>
      </c>
      <c r="AD20" s="106">
        <v>1</v>
      </c>
      <c r="AE20" s="106">
        <v>1</v>
      </c>
      <c r="AF20" s="106">
        <v>0</v>
      </c>
      <c r="AG20" s="106">
        <v>0</v>
      </c>
      <c r="AH20" s="106">
        <v>0</v>
      </c>
    </row>
    <row r="21" spans="1:34" customFormat="1" x14ac:dyDescent="0.15">
      <c r="A21" s="185" t="s">
        <v>211</v>
      </c>
      <c r="B21" s="106">
        <v>0</v>
      </c>
      <c r="C21" s="106">
        <v>0</v>
      </c>
      <c r="D21" s="106">
        <v>0</v>
      </c>
      <c r="E21" s="106">
        <v>0</v>
      </c>
      <c r="F21" s="106">
        <v>0</v>
      </c>
      <c r="G21" s="106">
        <v>1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1</v>
      </c>
      <c r="U21" s="106">
        <v>0</v>
      </c>
      <c r="V21" s="106">
        <v>1</v>
      </c>
      <c r="W21" s="106">
        <v>0</v>
      </c>
      <c r="X21" s="106">
        <v>0</v>
      </c>
      <c r="Y21" s="106">
        <v>1</v>
      </c>
      <c r="Z21" s="106">
        <v>1</v>
      </c>
      <c r="AA21" s="106">
        <v>1</v>
      </c>
      <c r="AB21" s="106">
        <v>0</v>
      </c>
      <c r="AC21" s="106">
        <v>1</v>
      </c>
      <c r="AD21" s="106">
        <v>1</v>
      </c>
      <c r="AE21" s="106">
        <v>1</v>
      </c>
      <c r="AF21" s="106">
        <v>0</v>
      </c>
      <c r="AG21" s="106">
        <v>0</v>
      </c>
      <c r="AH21" s="106">
        <v>0</v>
      </c>
    </row>
    <row r="22" spans="1:34" customFormat="1" x14ac:dyDescent="0.15">
      <c r="A22" s="185" t="s">
        <v>212</v>
      </c>
      <c r="B22" s="106">
        <v>0</v>
      </c>
      <c r="C22" s="106">
        <v>0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1</v>
      </c>
      <c r="W22" s="106">
        <v>0</v>
      </c>
      <c r="X22" s="106">
        <v>0</v>
      </c>
      <c r="Y22" s="106">
        <v>0</v>
      </c>
      <c r="Z22" s="106">
        <v>1</v>
      </c>
      <c r="AA22" s="106">
        <v>1</v>
      </c>
      <c r="AB22" s="106">
        <v>0</v>
      </c>
      <c r="AC22" s="106">
        <v>0</v>
      </c>
      <c r="AD22" s="106">
        <v>1</v>
      </c>
      <c r="AE22" s="106">
        <v>1</v>
      </c>
      <c r="AF22" s="106">
        <v>0</v>
      </c>
      <c r="AG22" s="106">
        <v>0</v>
      </c>
      <c r="AH22" s="106">
        <v>0</v>
      </c>
    </row>
    <row r="23" spans="1:34" customFormat="1" x14ac:dyDescent="0.15">
      <c r="A23" s="185" t="s">
        <v>213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1</v>
      </c>
      <c r="L23" s="106">
        <v>0</v>
      </c>
      <c r="M23" s="106">
        <v>1</v>
      </c>
      <c r="N23" s="106">
        <v>0</v>
      </c>
      <c r="O23" s="106">
        <v>1</v>
      </c>
      <c r="P23" s="106">
        <v>0</v>
      </c>
      <c r="Q23" s="106">
        <v>0</v>
      </c>
      <c r="R23" s="106">
        <v>1</v>
      </c>
      <c r="S23" s="106">
        <v>0</v>
      </c>
      <c r="T23" s="106">
        <v>0</v>
      </c>
      <c r="U23" s="106">
        <v>0</v>
      </c>
      <c r="V23" s="106">
        <v>1</v>
      </c>
      <c r="W23" s="106">
        <v>1</v>
      </c>
      <c r="X23" s="106">
        <v>1</v>
      </c>
      <c r="Y23" s="106">
        <v>1</v>
      </c>
      <c r="Z23" s="106">
        <v>1</v>
      </c>
      <c r="AA23" s="106">
        <v>1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</row>
    <row r="24" spans="1:34" customFormat="1" x14ac:dyDescent="0.15">
      <c r="A24" s="185" t="s">
        <v>214</v>
      </c>
      <c r="B24" s="106">
        <v>0</v>
      </c>
      <c r="C24" s="106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1</v>
      </c>
      <c r="L24" s="106">
        <v>0</v>
      </c>
      <c r="M24" s="106">
        <v>1</v>
      </c>
      <c r="N24" s="106">
        <v>0</v>
      </c>
      <c r="O24" s="106">
        <v>1</v>
      </c>
      <c r="P24" s="106">
        <v>0</v>
      </c>
      <c r="Q24" s="106">
        <v>0</v>
      </c>
      <c r="R24" s="106">
        <v>1</v>
      </c>
      <c r="S24" s="106">
        <v>0</v>
      </c>
      <c r="T24" s="106">
        <v>0</v>
      </c>
      <c r="U24" s="106">
        <v>0</v>
      </c>
      <c r="V24" s="106">
        <v>1</v>
      </c>
      <c r="W24" s="106">
        <v>1</v>
      </c>
      <c r="X24" s="106">
        <v>1</v>
      </c>
      <c r="Y24" s="106">
        <v>1</v>
      </c>
      <c r="Z24" s="106">
        <v>1</v>
      </c>
      <c r="AA24" s="106">
        <v>1</v>
      </c>
      <c r="AB24" s="106">
        <v>0</v>
      </c>
      <c r="AC24" s="106">
        <v>0</v>
      </c>
      <c r="AD24" s="106">
        <v>1</v>
      </c>
      <c r="AE24" s="106">
        <v>1</v>
      </c>
      <c r="AF24" s="106">
        <v>0</v>
      </c>
      <c r="AG24" s="106">
        <v>0</v>
      </c>
      <c r="AH24" s="106">
        <v>0</v>
      </c>
    </row>
    <row r="25" spans="1:34" customFormat="1" x14ac:dyDescent="0.15">
      <c r="A25" s="185" t="s">
        <v>215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1</v>
      </c>
      <c r="N25" s="106">
        <v>0</v>
      </c>
      <c r="O25" s="106">
        <v>1</v>
      </c>
      <c r="P25" s="106">
        <v>0</v>
      </c>
      <c r="Q25" s="106">
        <v>0</v>
      </c>
      <c r="R25" s="106">
        <v>1</v>
      </c>
      <c r="S25" s="106">
        <v>0</v>
      </c>
      <c r="T25" s="106">
        <v>0</v>
      </c>
      <c r="U25" s="106">
        <v>0</v>
      </c>
      <c r="V25" s="106">
        <v>1</v>
      </c>
      <c r="W25" s="106">
        <v>1</v>
      </c>
      <c r="X25" s="106">
        <v>1</v>
      </c>
      <c r="Y25" s="106">
        <v>1</v>
      </c>
      <c r="Z25" s="106">
        <v>1</v>
      </c>
      <c r="AA25" s="106">
        <v>1</v>
      </c>
      <c r="AB25" s="106">
        <v>0</v>
      </c>
      <c r="AC25" s="106">
        <v>0</v>
      </c>
      <c r="AD25" s="106">
        <v>1</v>
      </c>
      <c r="AE25" s="106">
        <v>1</v>
      </c>
      <c r="AF25" s="106">
        <v>0</v>
      </c>
      <c r="AG25" s="106">
        <v>0</v>
      </c>
      <c r="AH25" s="106">
        <v>0</v>
      </c>
    </row>
    <row r="26" spans="1:34" customFormat="1" x14ac:dyDescent="0.15">
      <c r="A26" s="185" t="s">
        <v>216</v>
      </c>
      <c r="B26" s="106">
        <v>0</v>
      </c>
      <c r="C26" s="106">
        <v>0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1</v>
      </c>
      <c r="AA26" s="106">
        <v>1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</row>
    <row r="27" spans="1:34" customFormat="1" x14ac:dyDescent="0.15">
      <c r="A27" s="185" t="s">
        <v>217</v>
      </c>
      <c r="B27" s="106">
        <v>0</v>
      </c>
      <c r="C27" s="106">
        <v>0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1</v>
      </c>
      <c r="AA27" s="106">
        <v>1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</row>
    <row r="28" spans="1:34" customFormat="1" x14ac:dyDescent="0.15">
      <c r="A28" s="185" t="s">
        <v>218</v>
      </c>
      <c r="B28" s="106">
        <v>0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1</v>
      </c>
      <c r="AA28" s="106">
        <v>1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</row>
    <row r="29" spans="1:34" customFormat="1" x14ac:dyDescent="0.15">
      <c r="A29" s="185" t="s">
        <v>219</v>
      </c>
      <c r="B29" s="106">
        <v>0</v>
      </c>
      <c r="C29" s="106">
        <v>0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1</v>
      </c>
      <c r="AA29" s="106">
        <v>1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</row>
    <row r="30" spans="1:34" customFormat="1" x14ac:dyDescent="0.15">
      <c r="A30" s="185" t="s">
        <v>220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1</v>
      </c>
      <c r="AA30" s="106">
        <v>1</v>
      </c>
      <c r="AB30" s="106">
        <v>0</v>
      </c>
      <c r="AC30" s="106">
        <v>0</v>
      </c>
      <c r="AD30" s="106">
        <v>1</v>
      </c>
      <c r="AE30" s="106">
        <v>0</v>
      </c>
      <c r="AF30" s="106">
        <v>0</v>
      </c>
      <c r="AG30" s="106">
        <v>0</v>
      </c>
      <c r="AH30" s="106">
        <v>0</v>
      </c>
    </row>
    <row r="31" spans="1:34" customFormat="1" x14ac:dyDescent="0.15">
      <c r="A31" s="185" t="s">
        <v>221</v>
      </c>
      <c r="B31" s="106">
        <v>0</v>
      </c>
      <c r="C31" s="106">
        <v>0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1</v>
      </c>
      <c r="AA31" s="106">
        <v>1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</row>
    <row r="32" spans="1:34" x14ac:dyDescent="0.15">
      <c r="A32" s="185" t="s">
        <v>222</v>
      </c>
      <c r="B32" s="106">
        <v>0</v>
      </c>
      <c r="C32" s="106">
        <v>0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1</v>
      </c>
      <c r="J32" s="106">
        <v>1</v>
      </c>
      <c r="K32" s="106">
        <v>1</v>
      </c>
      <c r="L32" s="106">
        <v>1</v>
      </c>
      <c r="M32" s="106">
        <v>1</v>
      </c>
      <c r="N32" s="106">
        <v>0</v>
      </c>
      <c r="O32" s="106">
        <v>1</v>
      </c>
      <c r="P32" s="106">
        <v>1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1</v>
      </c>
      <c r="X32" s="106">
        <v>1</v>
      </c>
      <c r="Y32" s="106">
        <v>0</v>
      </c>
      <c r="Z32" s="106">
        <v>1</v>
      </c>
      <c r="AA32" s="106">
        <v>0</v>
      </c>
      <c r="AB32" s="106">
        <v>0</v>
      </c>
      <c r="AC32" s="106">
        <v>0</v>
      </c>
      <c r="AD32" s="106">
        <v>0</v>
      </c>
      <c r="AE32" s="106">
        <v>1</v>
      </c>
      <c r="AF32" s="106">
        <v>0</v>
      </c>
      <c r="AG32" s="106">
        <v>0</v>
      </c>
      <c r="AH32" s="106">
        <v>0</v>
      </c>
    </row>
    <row r="33" spans="1:34" x14ac:dyDescent="0.15">
      <c r="A33" s="185" t="s">
        <v>223</v>
      </c>
      <c r="B33" s="106">
        <v>0</v>
      </c>
      <c r="C33" s="106">
        <v>1</v>
      </c>
      <c r="D33" s="106">
        <v>1</v>
      </c>
      <c r="E33" s="106">
        <v>1</v>
      </c>
      <c r="F33" s="106">
        <v>1</v>
      </c>
      <c r="G33" s="106">
        <v>1</v>
      </c>
      <c r="H33" s="106">
        <v>1</v>
      </c>
      <c r="I33" s="106">
        <v>0</v>
      </c>
      <c r="J33" s="106">
        <v>1</v>
      </c>
      <c r="K33" s="106">
        <v>1</v>
      </c>
      <c r="L33" s="106">
        <v>1</v>
      </c>
      <c r="M33" s="106">
        <v>1</v>
      </c>
      <c r="N33" s="106">
        <v>1</v>
      </c>
      <c r="O33" s="106">
        <v>1</v>
      </c>
      <c r="P33" s="106">
        <v>1</v>
      </c>
      <c r="Q33" s="106">
        <v>1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1</v>
      </c>
      <c r="X33" s="106">
        <v>1</v>
      </c>
      <c r="Y33" s="106">
        <v>0</v>
      </c>
      <c r="Z33" s="106">
        <v>0</v>
      </c>
      <c r="AA33" s="106">
        <v>1</v>
      </c>
      <c r="AB33" s="106">
        <v>0</v>
      </c>
      <c r="AC33" s="106">
        <v>1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</row>
    <row r="34" spans="1:34" x14ac:dyDescent="0.15">
      <c r="A34" s="185" t="s">
        <v>224</v>
      </c>
      <c r="B34" s="106">
        <v>0</v>
      </c>
      <c r="C34" s="106">
        <v>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</row>
    <row r="35" spans="1:34" x14ac:dyDescent="0.15">
      <c r="A35" s="185" t="s">
        <v>226</v>
      </c>
      <c r="B35" s="106">
        <v>0</v>
      </c>
      <c r="C35" s="106">
        <v>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6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8" t="s">
        <v>225</v>
      </c>
    </row>
    <row r="2" spans="1:3" x14ac:dyDescent="0.15">
      <c r="A2">
        <v>1</v>
      </c>
      <c r="B2" s="187" t="s">
        <v>192</v>
      </c>
      <c r="C2">
        <v>0</v>
      </c>
    </row>
    <row r="3" spans="1:3" x14ac:dyDescent="0.15">
      <c r="A3">
        <v>2</v>
      </c>
      <c r="B3" s="187" t="s">
        <v>193</v>
      </c>
      <c r="C3">
        <v>0</v>
      </c>
    </row>
    <row r="4" spans="1:3" x14ac:dyDescent="0.15">
      <c r="A4">
        <v>3</v>
      </c>
      <c r="B4" s="187" t="s">
        <v>194</v>
      </c>
      <c r="C4">
        <v>0</v>
      </c>
    </row>
    <row r="5" spans="1:3" x14ac:dyDescent="0.15">
      <c r="A5">
        <v>4</v>
      </c>
      <c r="B5" s="187" t="s">
        <v>195</v>
      </c>
      <c r="C5">
        <v>0</v>
      </c>
    </row>
    <row r="6" spans="1:3" x14ac:dyDescent="0.15">
      <c r="A6">
        <v>5</v>
      </c>
      <c r="B6" s="187" t="s">
        <v>196</v>
      </c>
      <c r="C6">
        <v>0</v>
      </c>
    </row>
    <row r="7" spans="1:3" x14ac:dyDescent="0.15">
      <c r="A7">
        <v>6</v>
      </c>
      <c r="B7" s="187" t="s">
        <v>197</v>
      </c>
      <c r="C7">
        <v>0.8</v>
      </c>
    </row>
    <row r="8" spans="1:3" x14ac:dyDescent="0.15">
      <c r="A8">
        <v>7</v>
      </c>
      <c r="B8" s="187" t="s">
        <v>198</v>
      </c>
      <c r="C8">
        <v>0.8</v>
      </c>
    </row>
    <row r="9" spans="1:3" x14ac:dyDescent="0.15">
      <c r="A9">
        <v>8</v>
      </c>
      <c r="B9" s="187" t="s">
        <v>199</v>
      </c>
      <c r="C9">
        <v>0.8</v>
      </c>
    </row>
    <row r="10" spans="1:3" x14ac:dyDescent="0.15">
      <c r="A10">
        <v>9</v>
      </c>
      <c r="B10" s="187" t="s">
        <v>200</v>
      </c>
      <c r="C10">
        <v>0.8</v>
      </c>
    </row>
    <row r="11" spans="1:3" x14ac:dyDescent="0.15">
      <c r="A11">
        <v>10</v>
      </c>
      <c r="B11" s="187" t="s">
        <v>201</v>
      </c>
      <c r="C11">
        <v>0.8</v>
      </c>
    </row>
    <row r="12" spans="1:3" x14ac:dyDescent="0.15">
      <c r="A12">
        <v>11</v>
      </c>
      <c r="B12" s="187" t="s">
        <v>202</v>
      </c>
      <c r="C12">
        <v>0.8</v>
      </c>
    </row>
    <row r="13" spans="1:3" x14ac:dyDescent="0.15">
      <c r="A13">
        <v>12</v>
      </c>
      <c r="B13" s="187" t="s">
        <v>203</v>
      </c>
      <c r="C13">
        <v>0.8</v>
      </c>
    </row>
    <row r="14" spans="1:3" x14ac:dyDescent="0.15">
      <c r="A14">
        <v>13</v>
      </c>
      <c r="B14" s="187" t="s">
        <v>204</v>
      </c>
      <c r="C14">
        <v>0.8</v>
      </c>
    </row>
    <row r="15" spans="1:3" x14ac:dyDescent="0.15">
      <c r="A15">
        <v>14</v>
      </c>
      <c r="B15" s="187" t="s">
        <v>205</v>
      </c>
      <c r="C15">
        <v>0.8</v>
      </c>
    </row>
    <row r="16" spans="1:3" x14ac:dyDescent="0.15">
      <c r="A16">
        <v>15</v>
      </c>
      <c r="B16" s="187" t="s">
        <v>206</v>
      </c>
      <c r="C16">
        <v>0.8</v>
      </c>
    </row>
    <row r="17" spans="1:3" x14ac:dyDescent="0.15">
      <c r="A17">
        <v>16</v>
      </c>
      <c r="B17" s="187" t="s">
        <v>207</v>
      </c>
      <c r="C17">
        <v>0.8</v>
      </c>
    </row>
    <row r="18" spans="1:3" x14ac:dyDescent="0.15">
      <c r="A18">
        <v>17</v>
      </c>
      <c r="B18" s="187" t="s">
        <v>208</v>
      </c>
      <c r="C18">
        <v>0.8</v>
      </c>
    </row>
    <row r="19" spans="1:3" x14ac:dyDescent="0.15">
      <c r="A19">
        <v>18</v>
      </c>
      <c r="B19" s="187" t="s">
        <v>209</v>
      </c>
      <c r="C19">
        <v>0.8</v>
      </c>
    </row>
    <row r="20" spans="1:3" x14ac:dyDescent="0.15">
      <c r="A20">
        <v>19</v>
      </c>
      <c r="B20" s="187" t="s">
        <v>210</v>
      </c>
      <c r="C20">
        <v>0.8</v>
      </c>
    </row>
    <row r="21" spans="1:3" x14ac:dyDescent="0.15">
      <c r="A21">
        <v>20</v>
      </c>
      <c r="B21" s="187" t="s">
        <v>211</v>
      </c>
      <c r="C21">
        <v>0.8</v>
      </c>
    </row>
    <row r="22" spans="1:3" x14ac:dyDescent="0.15">
      <c r="A22">
        <v>21</v>
      </c>
      <c r="B22" s="187" t="s">
        <v>212</v>
      </c>
      <c r="C22">
        <v>0.8</v>
      </c>
    </row>
    <row r="23" spans="1:3" x14ac:dyDescent="0.15">
      <c r="A23">
        <v>22</v>
      </c>
      <c r="B23" s="187" t="s">
        <v>213</v>
      </c>
      <c r="C23">
        <v>0.8</v>
      </c>
    </row>
    <row r="24" spans="1:3" x14ac:dyDescent="0.15">
      <c r="A24">
        <v>23</v>
      </c>
      <c r="B24" s="187" t="s">
        <v>214</v>
      </c>
      <c r="C24">
        <v>0.8</v>
      </c>
    </row>
    <row r="25" spans="1:3" x14ac:dyDescent="0.15">
      <c r="A25">
        <v>24</v>
      </c>
      <c r="B25" s="187" t="s">
        <v>215</v>
      </c>
      <c r="C25">
        <v>0.8</v>
      </c>
    </row>
    <row r="26" spans="1:3" x14ac:dyDescent="0.15">
      <c r="A26">
        <v>25</v>
      </c>
      <c r="B26" s="187" t="s">
        <v>216</v>
      </c>
      <c r="C26">
        <v>0.8</v>
      </c>
    </row>
    <row r="27" spans="1:3" x14ac:dyDescent="0.15">
      <c r="A27">
        <v>26</v>
      </c>
      <c r="B27" s="187" t="s">
        <v>217</v>
      </c>
      <c r="C27">
        <v>0.8</v>
      </c>
    </row>
    <row r="28" spans="1:3" x14ac:dyDescent="0.15">
      <c r="A28">
        <v>27</v>
      </c>
      <c r="B28" s="187" t="s">
        <v>218</v>
      </c>
      <c r="C28">
        <v>0.8</v>
      </c>
    </row>
    <row r="29" spans="1:3" x14ac:dyDescent="0.15">
      <c r="A29">
        <v>28</v>
      </c>
      <c r="B29" s="187" t="s">
        <v>219</v>
      </c>
      <c r="C29">
        <v>0.8</v>
      </c>
    </row>
    <row r="30" spans="1:3" x14ac:dyDescent="0.15">
      <c r="A30">
        <v>29</v>
      </c>
      <c r="B30" s="187" t="s">
        <v>220</v>
      </c>
      <c r="C30">
        <v>0.8</v>
      </c>
    </row>
    <row r="31" spans="1:3" x14ac:dyDescent="0.15">
      <c r="A31">
        <v>30</v>
      </c>
      <c r="B31" s="187" t="s">
        <v>221</v>
      </c>
      <c r="C31">
        <v>0.8</v>
      </c>
    </row>
    <row r="32" spans="1:3" x14ac:dyDescent="0.15">
      <c r="A32">
        <v>31</v>
      </c>
      <c r="B32" s="187" t="s">
        <v>222</v>
      </c>
      <c r="C32">
        <v>0</v>
      </c>
    </row>
    <row r="33" spans="1:3" x14ac:dyDescent="0.15">
      <c r="A33">
        <v>32</v>
      </c>
      <c r="B33" s="187" t="s">
        <v>223</v>
      </c>
      <c r="C33">
        <v>0</v>
      </c>
    </row>
    <row r="34" spans="1:3" x14ac:dyDescent="0.15">
      <c r="A34">
        <v>33</v>
      </c>
      <c r="B34" s="187" t="s">
        <v>224</v>
      </c>
      <c r="C3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6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0" t="s">
        <v>225</v>
      </c>
    </row>
    <row r="2" spans="1:3" x14ac:dyDescent="0.15">
      <c r="A2">
        <v>1</v>
      </c>
      <c r="B2" s="189" t="s">
        <v>192</v>
      </c>
      <c r="C2">
        <v>0</v>
      </c>
    </row>
    <row r="3" spans="1:3" x14ac:dyDescent="0.15">
      <c r="A3">
        <v>2</v>
      </c>
      <c r="B3" s="189" t="s">
        <v>193</v>
      </c>
      <c r="C3">
        <v>0</v>
      </c>
    </row>
    <row r="4" spans="1:3" x14ac:dyDescent="0.15">
      <c r="A4">
        <v>3</v>
      </c>
      <c r="B4" s="189" t="s">
        <v>194</v>
      </c>
      <c r="C4">
        <v>0</v>
      </c>
    </row>
    <row r="5" spans="1:3" x14ac:dyDescent="0.15">
      <c r="A5">
        <v>4</v>
      </c>
      <c r="B5" s="189" t="s">
        <v>195</v>
      </c>
      <c r="C5">
        <v>0</v>
      </c>
    </row>
    <row r="6" spans="1:3" x14ac:dyDescent="0.15">
      <c r="A6">
        <v>5</v>
      </c>
      <c r="B6" s="189" t="s">
        <v>196</v>
      </c>
      <c r="C6">
        <v>0</v>
      </c>
    </row>
    <row r="7" spans="1:3" x14ac:dyDescent="0.15">
      <c r="A7">
        <v>6</v>
      </c>
      <c r="B7" s="189" t="s">
        <v>197</v>
      </c>
      <c r="C7">
        <v>0.8</v>
      </c>
    </row>
    <row r="8" spans="1:3" x14ac:dyDescent="0.15">
      <c r="A8">
        <v>7</v>
      </c>
      <c r="B8" s="189" t="s">
        <v>198</v>
      </c>
      <c r="C8">
        <v>0.8</v>
      </c>
    </row>
    <row r="9" spans="1:3" x14ac:dyDescent="0.15">
      <c r="A9">
        <v>8</v>
      </c>
      <c r="B9" s="189" t="s">
        <v>199</v>
      </c>
      <c r="C9">
        <v>0.8</v>
      </c>
    </row>
    <row r="10" spans="1:3" x14ac:dyDescent="0.15">
      <c r="A10">
        <v>9</v>
      </c>
      <c r="B10" s="189" t="s">
        <v>200</v>
      </c>
      <c r="C10">
        <v>0.8</v>
      </c>
    </row>
    <row r="11" spans="1:3" x14ac:dyDescent="0.15">
      <c r="A11">
        <v>10</v>
      </c>
      <c r="B11" s="189" t="s">
        <v>201</v>
      </c>
      <c r="C11">
        <v>0.8</v>
      </c>
    </row>
    <row r="12" spans="1:3" x14ac:dyDescent="0.15">
      <c r="A12">
        <v>11</v>
      </c>
      <c r="B12" s="189" t="s">
        <v>202</v>
      </c>
      <c r="C12">
        <v>0.8</v>
      </c>
    </row>
    <row r="13" spans="1:3" x14ac:dyDescent="0.15">
      <c r="A13">
        <v>12</v>
      </c>
      <c r="B13" s="189" t="s">
        <v>203</v>
      </c>
      <c r="C13">
        <v>0.8</v>
      </c>
    </row>
    <row r="14" spans="1:3" x14ac:dyDescent="0.15">
      <c r="A14">
        <v>13</v>
      </c>
      <c r="B14" s="189" t="s">
        <v>204</v>
      </c>
      <c r="C14">
        <v>0.8</v>
      </c>
    </row>
    <row r="15" spans="1:3" x14ac:dyDescent="0.15">
      <c r="A15">
        <v>14</v>
      </c>
      <c r="B15" s="189" t="s">
        <v>205</v>
      </c>
      <c r="C15">
        <v>0.8</v>
      </c>
    </row>
    <row r="16" spans="1:3" x14ac:dyDescent="0.15">
      <c r="A16">
        <v>15</v>
      </c>
      <c r="B16" s="189" t="s">
        <v>206</v>
      </c>
      <c r="C16">
        <v>0.8</v>
      </c>
    </row>
    <row r="17" spans="1:3" x14ac:dyDescent="0.15">
      <c r="A17">
        <v>16</v>
      </c>
      <c r="B17" s="189" t="s">
        <v>207</v>
      </c>
      <c r="C17">
        <v>0.8</v>
      </c>
    </row>
    <row r="18" spans="1:3" x14ac:dyDescent="0.15">
      <c r="A18">
        <v>17</v>
      </c>
      <c r="B18" s="189" t="s">
        <v>208</v>
      </c>
      <c r="C18">
        <v>0.8</v>
      </c>
    </row>
    <row r="19" spans="1:3" x14ac:dyDescent="0.15">
      <c r="A19">
        <v>18</v>
      </c>
      <c r="B19" s="189" t="s">
        <v>209</v>
      </c>
      <c r="C19">
        <v>0.8</v>
      </c>
    </row>
    <row r="20" spans="1:3" x14ac:dyDescent="0.15">
      <c r="A20">
        <v>19</v>
      </c>
      <c r="B20" s="189" t="s">
        <v>210</v>
      </c>
      <c r="C20">
        <v>0.8</v>
      </c>
    </row>
    <row r="21" spans="1:3" x14ac:dyDescent="0.15">
      <c r="A21">
        <v>20</v>
      </c>
      <c r="B21" s="189" t="s">
        <v>211</v>
      </c>
      <c r="C21">
        <v>0.8</v>
      </c>
    </row>
    <row r="22" spans="1:3" x14ac:dyDescent="0.15">
      <c r="A22">
        <v>21</v>
      </c>
      <c r="B22" s="189" t="s">
        <v>212</v>
      </c>
      <c r="C22">
        <v>0.8</v>
      </c>
    </row>
    <row r="23" spans="1:3" x14ac:dyDescent="0.15">
      <c r="A23">
        <v>22</v>
      </c>
      <c r="B23" s="189" t="s">
        <v>213</v>
      </c>
      <c r="C23">
        <v>0.8</v>
      </c>
    </row>
    <row r="24" spans="1:3" x14ac:dyDescent="0.15">
      <c r="A24">
        <v>23</v>
      </c>
      <c r="B24" s="189" t="s">
        <v>214</v>
      </c>
      <c r="C24">
        <v>0.8</v>
      </c>
    </row>
    <row r="25" spans="1:3" x14ac:dyDescent="0.15">
      <c r="A25">
        <v>24</v>
      </c>
      <c r="B25" s="189" t="s">
        <v>215</v>
      </c>
      <c r="C25">
        <v>0.8</v>
      </c>
    </row>
    <row r="26" spans="1:3" x14ac:dyDescent="0.15">
      <c r="A26">
        <v>25</v>
      </c>
      <c r="B26" s="189" t="s">
        <v>216</v>
      </c>
      <c r="C26">
        <v>0.8</v>
      </c>
    </row>
    <row r="27" spans="1:3" x14ac:dyDescent="0.15">
      <c r="A27">
        <v>26</v>
      </c>
      <c r="B27" s="189" t="s">
        <v>217</v>
      </c>
      <c r="C27">
        <v>0.8</v>
      </c>
    </row>
    <row r="28" spans="1:3" x14ac:dyDescent="0.15">
      <c r="A28">
        <v>27</v>
      </c>
      <c r="B28" s="189" t="s">
        <v>218</v>
      </c>
      <c r="C28">
        <v>0.8</v>
      </c>
    </row>
    <row r="29" spans="1:3" x14ac:dyDescent="0.15">
      <c r="A29">
        <v>28</v>
      </c>
      <c r="B29" s="189" t="s">
        <v>219</v>
      </c>
      <c r="C29">
        <v>0.8</v>
      </c>
    </row>
    <row r="30" spans="1:3" x14ac:dyDescent="0.15">
      <c r="A30">
        <v>29</v>
      </c>
      <c r="B30" s="189" t="s">
        <v>220</v>
      </c>
      <c r="C30">
        <v>0.8</v>
      </c>
    </row>
    <row r="31" spans="1:3" x14ac:dyDescent="0.15">
      <c r="A31">
        <v>30</v>
      </c>
      <c r="B31" s="189" t="s">
        <v>221</v>
      </c>
      <c r="C31">
        <v>0.8</v>
      </c>
    </row>
    <row r="32" spans="1:3" x14ac:dyDescent="0.15">
      <c r="A32">
        <v>31</v>
      </c>
      <c r="B32" s="189" t="s">
        <v>222</v>
      </c>
      <c r="C32">
        <v>0</v>
      </c>
    </row>
    <row r="33" spans="1:3" x14ac:dyDescent="0.15">
      <c r="A33">
        <v>32</v>
      </c>
      <c r="B33" s="189" t="s">
        <v>223</v>
      </c>
      <c r="C33">
        <v>0</v>
      </c>
    </row>
    <row r="34" spans="1:3" x14ac:dyDescent="0.15">
      <c r="A34">
        <v>33</v>
      </c>
      <c r="B34" s="189" t="s">
        <v>224</v>
      </c>
      <c r="C3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2">
        <v>1</v>
      </c>
      <c r="B2" s="142" t="s">
        <v>192</v>
      </c>
      <c r="C2" s="8">
        <v>1</v>
      </c>
      <c r="D2" s="9">
        <v>20.045499801635742</v>
      </c>
      <c r="E2" s="9">
        <v>212.11114501953125</v>
      </c>
      <c r="F2" s="10"/>
      <c r="G2" s="9">
        <v>0.46677646040916443</v>
      </c>
      <c r="H2" s="10"/>
      <c r="I2">
        <v>0</v>
      </c>
      <c r="J2"/>
    </row>
    <row r="3" spans="1:10" ht="15" customHeight="1" x14ac:dyDescent="0.15">
      <c r="A3" s="143">
        <v>2</v>
      </c>
      <c r="B3" s="143" t="s">
        <v>193</v>
      </c>
      <c r="C3" s="8">
        <v>2</v>
      </c>
      <c r="D3" s="9">
        <v>7.157778263092041</v>
      </c>
      <c r="E3" s="9">
        <v>91.250007629394531</v>
      </c>
      <c r="F3" s="9">
        <v>380.20822143554688</v>
      </c>
      <c r="G3" s="9">
        <v>0.85425442457199097</v>
      </c>
      <c r="H3" s="9">
        <v>0.24000008404254913</v>
      </c>
      <c r="I3">
        <v>0</v>
      </c>
      <c r="J3"/>
    </row>
    <row r="4" spans="1:10" ht="15" customHeight="1" x14ac:dyDescent="0.15">
      <c r="A4" s="144">
        <v>3</v>
      </c>
      <c r="B4" s="144" t="s">
        <v>194</v>
      </c>
      <c r="C4" s="8">
        <v>2.3330788612365723</v>
      </c>
      <c r="D4" s="9">
        <v>4.7208600044250488</v>
      </c>
      <c r="E4" s="9">
        <v>72.000007629394531</v>
      </c>
      <c r="F4" s="9">
        <v>242.42425537109375</v>
      </c>
      <c r="G4" s="9">
        <v>0.84843873977661133</v>
      </c>
      <c r="H4" s="9">
        <v>0.29700002074241638</v>
      </c>
      <c r="I4">
        <v>0</v>
      </c>
      <c r="J4"/>
    </row>
    <row r="5" spans="1:10" ht="15" customHeight="1" x14ac:dyDescent="0.15">
      <c r="A5" s="145">
        <v>4</v>
      </c>
      <c r="B5" s="145" t="s">
        <v>195</v>
      </c>
      <c r="C5" s="8">
        <v>2.2576406002044678</v>
      </c>
      <c r="D5" s="9">
        <v>5.5500249862670898</v>
      </c>
      <c r="E5" s="9">
        <v>66.531517028808594</v>
      </c>
      <c r="F5" s="9">
        <v>127.75</v>
      </c>
      <c r="G5" s="9">
        <v>0.63249397277832031</v>
      </c>
      <c r="H5" s="9">
        <v>0.52079463005065918</v>
      </c>
      <c r="I5">
        <v>0</v>
      </c>
      <c r="J5"/>
    </row>
    <row r="6" spans="1:10" ht="15" customHeight="1" x14ac:dyDescent="0.15">
      <c r="A6" s="146">
        <v>5</v>
      </c>
      <c r="B6" s="146" t="s">
        <v>196</v>
      </c>
      <c r="C6" s="8">
        <v>2.4930028915405273</v>
      </c>
      <c r="D6" s="9">
        <v>4.5118041038513184</v>
      </c>
      <c r="E6" s="9">
        <v>75.661300659179688</v>
      </c>
      <c r="F6" s="9">
        <v>109.5</v>
      </c>
      <c r="G6" s="9">
        <v>0.82930362224578857</v>
      </c>
      <c r="H6" s="9">
        <v>0.690970778465271</v>
      </c>
      <c r="I6">
        <v>0</v>
      </c>
      <c r="J6"/>
    </row>
    <row r="7" spans="1:10" ht="15" customHeight="1" x14ac:dyDescent="0.15">
      <c r="A7" s="147">
        <v>6</v>
      </c>
      <c r="B7" s="147" t="s">
        <v>197</v>
      </c>
      <c r="C7" s="8">
        <v>3.2918574810028076</v>
      </c>
      <c r="D7" s="9">
        <v>0.2341802716255188</v>
      </c>
      <c r="E7" s="9">
        <v>40</v>
      </c>
      <c r="F7" s="9">
        <v>146</v>
      </c>
      <c r="G7" s="9">
        <v>0.90009909868240356</v>
      </c>
      <c r="H7" s="9">
        <v>0.27397260069847107</v>
      </c>
      <c r="I7">
        <v>8.4127202626405051E-7</v>
      </c>
      <c r="J7"/>
    </row>
    <row r="8" spans="1:10" ht="15" customHeight="1" x14ac:dyDescent="0.15">
      <c r="A8" s="148">
        <v>7</v>
      </c>
      <c r="B8" s="148" t="s">
        <v>198</v>
      </c>
      <c r="C8" s="8">
        <v>2.9148504734039307</v>
      </c>
      <c r="D8" s="9">
        <v>3.4957048892974854</v>
      </c>
      <c r="E8" s="9">
        <v>14.25</v>
      </c>
      <c r="F8" s="9">
        <v>145.05099487304688</v>
      </c>
      <c r="G8" s="9">
        <v>0.56043398380279541</v>
      </c>
      <c r="H8" s="9">
        <v>9.8241314291954041E-2</v>
      </c>
      <c r="I8">
        <v>9.3814153224229813E-3</v>
      </c>
      <c r="J8"/>
    </row>
    <row r="9" spans="1:10" ht="15" customHeight="1" x14ac:dyDescent="0.15">
      <c r="A9" s="149">
        <v>8</v>
      </c>
      <c r="B9" s="149" t="s">
        <v>199</v>
      </c>
      <c r="C9" s="8">
        <v>3.2866508960723877</v>
      </c>
      <c r="D9" s="9">
        <v>0.18141105771064758</v>
      </c>
      <c r="E9" s="9">
        <v>0.95037627220153809</v>
      </c>
      <c r="F9" s="9">
        <v>1.8250000476837158</v>
      </c>
      <c r="G9" s="9">
        <v>0.90540659427642822</v>
      </c>
      <c r="H9" s="9">
        <v>0.52075409889221191</v>
      </c>
      <c r="I9">
        <v>2.3023899453633589E-10</v>
      </c>
      <c r="J9"/>
    </row>
    <row r="10" spans="1:10" ht="15" customHeight="1" x14ac:dyDescent="0.15">
      <c r="A10" s="150">
        <v>9</v>
      </c>
      <c r="B10" s="150" t="s">
        <v>200</v>
      </c>
      <c r="C10" s="8">
        <v>2.3884639739990234</v>
      </c>
      <c r="D10" s="9">
        <v>20.954265594482422</v>
      </c>
      <c r="E10" s="9">
        <v>2.5</v>
      </c>
      <c r="F10" s="9">
        <v>17.5</v>
      </c>
      <c r="G10" s="9">
        <v>0.76977056264877319</v>
      </c>
      <c r="H10" s="9">
        <v>0.1428571492433548</v>
      </c>
      <c r="I10">
        <v>1.2399000115692616E-4</v>
      </c>
      <c r="J10"/>
    </row>
    <row r="11" spans="1:10" ht="15" customHeight="1" x14ac:dyDescent="0.15">
      <c r="A11" s="151">
        <v>10</v>
      </c>
      <c r="B11" s="151" t="s">
        <v>201</v>
      </c>
      <c r="C11" s="8">
        <v>2.63565993309021</v>
      </c>
      <c r="D11" s="9">
        <v>5.5581912994384766</v>
      </c>
      <c r="E11" s="9">
        <v>3</v>
      </c>
      <c r="F11" s="9">
        <v>21</v>
      </c>
      <c r="G11" s="9">
        <v>0.76395529508590698</v>
      </c>
      <c r="H11" s="9">
        <v>0.1428571492433548</v>
      </c>
      <c r="I11">
        <v>3.2888699934119359E-5</v>
      </c>
      <c r="J11"/>
    </row>
    <row r="12" spans="1:10" ht="15" customHeight="1" x14ac:dyDescent="0.15">
      <c r="A12" s="152">
        <v>11</v>
      </c>
      <c r="B12" s="152" t="s">
        <v>202</v>
      </c>
      <c r="C12" s="8">
        <v>2.2403526306152344</v>
      </c>
      <c r="D12" s="9">
        <v>32.885162353515625</v>
      </c>
      <c r="E12" s="9">
        <v>2</v>
      </c>
      <c r="F12" s="9">
        <v>14</v>
      </c>
      <c r="G12" s="9">
        <v>0.74238866567611694</v>
      </c>
      <c r="H12" s="9">
        <v>0.1428571492433548</v>
      </c>
      <c r="I12">
        <v>6.5559102222323418E-4</v>
      </c>
      <c r="J12"/>
    </row>
    <row r="13" spans="1:10" ht="15" customHeight="1" x14ac:dyDescent="0.15">
      <c r="A13" s="153">
        <v>12</v>
      </c>
      <c r="B13" s="153" t="s">
        <v>203</v>
      </c>
      <c r="C13" s="8">
        <v>2.3948569297790527</v>
      </c>
      <c r="D13" s="9">
        <v>32.446544647216797</v>
      </c>
      <c r="E13" s="9">
        <v>2</v>
      </c>
      <c r="F13" s="9">
        <v>18</v>
      </c>
      <c r="G13" s="9">
        <v>0.90016406774520874</v>
      </c>
      <c r="H13" s="9">
        <v>0.1111111119389534</v>
      </c>
      <c r="I13">
        <v>9.451230289414525E-4</v>
      </c>
      <c r="J13"/>
    </row>
    <row r="14" spans="1:10" ht="15" customHeight="1" x14ac:dyDescent="0.15">
      <c r="A14" s="154">
        <v>13</v>
      </c>
      <c r="B14" s="154" t="s">
        <v>204</v>
      </c>
      <c r="C14" s="8">
        <v>2.0800001621246338</v>
      </c>
      <c r="D14" s="9">
        <v>4.425755500793457</v>
      </c>
      <c r="E14" s="9">
        <v>5</v>
      </c>
      <c r="F14" s="9">
        <v>19</v>
      </c>
      <c r="G14" s="9">
        <v>0.89925628900527954</v>
      </c>
      <c r="H14" s="9">
        <v>0.26315790414810181</v>
      </c>
      <c r="I14">
        <v>3.8777940273284912</v>
      </c>
      <c r="J14"/>
    </row>
    <row r="15" spans="1:10" ht="15" customHeight="1" x14ac:dyDescent="0.15">
      <c r="A15" s="155">
        <v>14</v>
      </c>
      <c r="B15" s="155" t="s">
        <v>205</v>
      </c>
      <c r="C15" s="8">
        <v>2.9625494480133057</v>
      </c>
      <c r="D15" s="9">
        <v>3.5077295303344727</v>
      </c>
      <c r="E15" s="9">
        <v>1.9966709613800049</v>
      </c>
      <c r="F15" s="9">
        <v>18</v>
      </c>
      <c r="G15" s="9">
        <v>0.89765030145645142</v>
      </c>
      <c r="H15" s="9">
        <v>0.11092616617679596</v>
      </c>
      <c r="I15">
        <v>2.3140823468565941E-2</v>
      </c>
      <c r="J15"/>
    </row>
    <row r="16" spans="1:10" ht="15" customHeight="1" x14ac:dyDescent="0.15">
      <c r="A16" s="156">
        <v>15</v>
      </c>
      <c r="B16" s="156" t="s">
        <v>206</v>
      </c>
      <c r="C16" s="8">
        <v>2.6997513771057129</v>
      </c>
      <c r="D16" s="9">
        <v>0.17840215563774109</v>
      </c>
      <c r="E16" s="9">
        <v>2</v>
      </c>
      <c r="F16" s="9">
        <v>5</v>
      </c>
      <c r="G16" s="9">
        <v>0.83963865041732788</v>
      </c>
      <c r="H16" s="9">
        <v>0.40000000596046448</v>
      </c>
      <c r="I16">
        <v>3.9387106895446777E-2</v>
      </c>
      <c r="J16"/>
    </row>
    <row r="17" spans="1:10" ht="15" customHeight="1" x14ac:dyDescent="0.15">
      <c r="A17" s="157">
        <v>16</v>
      </c>
      <c r="B17" s="157" t="s">
        <v>207</v>
      </c>
      <c r="C17" s="8">
        <v>3.2598569393157959</v>
      </c>
      <c r="D17" s="9">
        <v>0.16565993428230286</v>
      </c>
      <c r="E17" s="9">
        <v>21</v>
      </c>
      <c r="F17" s="9">
        <v>45</v>
      </c>
      <c r="G17" s="9">
        <v>0.80174118280410767</v>
      </c>
      <c r="H17" s="9">
        <v>0.46666666865348816</v>
      </c>
      <c r="I17">
        <v>5.3147299894362732E-9</v>
      </c>
      <c r="J17"/>
    </row>
    <row r="18" spans="1:10" ht="15" customHeight="1" x14ac:dyDescent="0.15">
      <c r="A18" s="158">
        <v>17</v>
      </c>
      <c r="B18" s="158" t="s">
        <v>208</v>
      </c>
      <c r="C18" s="8">
        <v>3.6637101173400879</v>
      </c>
      <c r="D18" s="9">
        <v>5.7384052276611328</v>
      </c>
      <c r="E18" s="9">
        <v>0.36962178349494934</v>
      </c>
      <c r="F18" s="9">
        <v>2</v>
      </c>
      <c r="G18" s="9">
        <v>0.91280096769332886</v>
      </c>
      <c r="H18" s="9">
        <v>0.18481089174747467</v>
      </c>
      <c r="I18">
        <v>0.22889836132526398</v>
      </c>
      <c r="J18"/>
    </row>
    <row r="19" spans="1:10" ht="15" customHeight="1" x14ac:dyDescent="0.15">
      <c r="A19" s="159">
        <v>18</v>
      </c>
      <c r="B19" s="159" t="s">
        <v>209</v>
      </c>
      <c r="C19" s="8">
        <v>3.275721549987793</v>
      </c>
      <c r="D19" s="9">
        <v>2.4941623210906982</v>
      </c>
      <c r="E19" s="9">
        <v>0.95037627220153809</v>
      </c>
      <c r="F19" s="9">
        <v>2</v>
      </c>
      <c r="G19" s="9">
        <v>0.86509549617767334</v>
      </c>
      <c r="H19" s="9">
        <v>0.47518813610076904</v>
      </c>
      <c r="I19">
        <v>1.008672833442688</v>
      </c>
      <c r="J19"/>
    </row>
    <row r="20" spans="1:10" ht="15" customHeight="1" x14ac:dyDescent="0.15">
      <c r="A20" s="160">
        <v>19</v>
      </c>
      <c r="B20" s="160" t="s">
        <v>210</v>
      </c>
      <c r="C20" s="8">
        <v>3.8981242179870605</v>
      </c>
      <c r="D20" s="9">
        <v>1.179829478263855</v>
      </c>
      <c r="E20" s="9">
        <v>0.95037627220153809</v>
      </c>
      <c r="F20" s="9">
        <v>2.75</v>
      </c>
      <c r="G20" s="9">
        <v>0.96015304327011108</v>
      </c>
      <c r="H20" s="9">
        <v>0.34559136629104614</v>
      </c>
      <c r="I20">
        <v>2.5343585759401321E-2</v>
      </c>
      <c r="J20"/>
    </row>
    <row r="21" spans="1:10" ht="15" customHeight="1" x14ac:dyDescent="0.15">
      <c r="A21" s="161">
        <v>20</v>
      </c>
      <c r="B21" s="161" t="s">
        <v>211</v>
      </c>
      <c r="C21" s="8">
        <v>3.4723584651947021</v>
      </c>
      <c r="D21" s="9">
        <v>0.50700002908706665</v>
      </c>
      <c r="E21" s="9">
        <v>0.42498090863227844</v>
      </c>
      <c r="F21" s="9">
        <v>2</v>
      </c>
      <c r="G21" s="9">
        <v>0.99462765455245972</v>
      </c>
      <c r="H21" s="9">
        <v>0.21249045431613922</v>
      </c>
      <c r="I21">
        <v>0.19252254068851471</v>
      </c>
      <c r="J21"/>
    </row>
    <row r="22" spans="1:10" ht="15" customHeight="1" x14ac:dyDescent="0.15">
      <c r="A22" s="162">
        <v>21</v>
      </c>
      <c r="B22" s="162" t="s">
        <v>212</v>
      </c>
      <c r="C22" s="8">
        <v>4.5035228729248047</v>
      </c>
      <c r="D22" s="9">
        <v>0.24904021620750427</v>
      </c>
      <c r="E22" s="9">
        <v>0.44999998807907104</v>
      </c>
      <c r="F22" s="9">
        <v>2.0399999618530273</v>
      </c>
      <c r="G22" s="9">
        <v>0.89122939109802246</v>
      </c>
      <c r="H22" s="9">
        <v>0.22058823704719543</v>
      </c>
      <c r="I22">
        <v>7.7836096286773682E-2</v>
      </c>
      <c r="J22"/>
    </row>
    <row r="23" spans="1:10" ht="15" customHeight="1" x14ac:dyDescent="0.15">
      <c r="A23" s="163">
        <v>22</v>
      </c>
      <c r="B23" s="163" t="s">
        <v>213</v>
      </c>
      <c r="C23" s="8">
        <v>3.7927539348602295</v>
      </c>
      <c r="D23" s="9">
        <v>3.5098686218261719</v>
      </c>
      <c r="E23" s="9">
        <v>0.44999998807907104</v>
      </c>
      <c r="F23" s="9">
        <v>0.89999997615814209</v>
      </c>
      <c r="G23" s="9">
        <v>0.89821422100067139</v>
      </c>
      <c r="H23" s="9">
        <v>0.5</v>
      </c>
      <c r="I23">
        <v>4.4594496488571167E-2</v>
      </c>
      <c r="J23"/>
    </row>
    <row r="24" spans="1:10" ht="15" customHeight="1" x14ac:dyDescent="0.15">
      <c r="A24" s="164">
        <v>23</v>
      </c>
      <c r="B24" s="164" t="s">
        <v>214</v>
      </c>
      <c r="C24" s="8">
        <v>3.5909335613250732</v>
      </c>
      <c r="D24" s="9">
        <v>2.3063898086547852</v>
      </c>
      <c r="E24" s="9">
        <v>0.44999998807907104</v>
      </c>
      <c r="F24" s="9">
        <v>0.80000001192092896</v>
      </c>
      <c r="G24" s="9">
        <v>0.89999997615814209</v>
      </c>
      <c r="H24" s="9">
        <v>0.5625</v>
      </c>
      <c r="I24">
        <v>4.6493962407112122E-2</v>
      </c>
      <c r="J24"/>
    </row>
    <row r="25" spans="1:10" ht="15" customHeight="1" x14ac:dyDescent="0.15">
      <c r="A25" s="165">
        <v>24</v>
      </c>
      <c r="B25" s="165" t="s">
        <v>215</v>
      </c>
      <c r="C25" s="8">
        <v>4.3052177429199219</v>
      </c>
      <c r="D25" s="9">
        <v>1.9837329387664795</v>
      </c>
      <c r="E25" s="9">
        <v>0.44999998807907104</v>
      </c>
      <c r="F25" s="9">
        <v>1.1499999761581421</v>
      </c>
      <c r="G25" s="9">
        <v>0.90000003576278687</v>
      </c>
      <c r="H25" s="9">
        <v>0.39130434393882751</v>
      </c>
      <c r="I25">
        <v>0.46291708946228027</v>
      </c>
      <c r="J25"/>
    </row>
    <row r="26" spans="1:10" ht="15" customHeight="1" x14ac:dyDescent="0.15">
      <c r="A26" s="166">
        <v>25</v>
      </c>
      <c r="B26" s="166" t="s">
        <v>216</v>
      </c>
      <c r="C26" s="8">
        <v>4.3951759338378906</v>
      </c>
      <c r="D26" s="9">
        <v>3.9999999105930328E-2</v>
      </c>
      <c r="E26" s="9">
        <v>0.10000000149011612</v>
      </c>
      <c r="F26" s="9">
        <v>1.4600000381469727</v>
      </c>
      <c r="G26" s="9">
        <v>0.88120162487030029</v>
      </c>
      <c r="H26" s="9">
        <v>6.8493150174617767E-2</v>
      </c>
      <c r="I26">
        <v>2.4999999441206455E-3</v>
      </c>
      <c r="J26"/>
    </row>
    <row r="27" spans="1:10" ht="15" customHeight="1" x14ac:dyDescent="0.15">
      <c r="A27" s="167">
        <v>26</v>
      </c>
      <c r="B27" s="167" t="s">
        <v>217</v>
      </c>
      <c r="C27" s="8">
        <v>4.7107868194580078</v>
      </c>
      <c r="D27" s="9">
        <v>2.6864770799875259E-2</v>
      </c>
      <c r="E27" s="9">
        <v>0.10000000149011612</v>
      </c>
      <c r="F27" s="9">
        <v>1.3200647830963135</v>
      </c>
      <c r="G27" s="9">
        <v>0.98617351055145264</v>
      </c>
      <c r="H27" s="9">
        <v>7.5753860175609589E-2</v>
      </c>
      <c r="I27">
        <v>1.3575069606304169E-3</v>
      </c>
      <c r="J27"/>
    </row>
    <row r="28" spans="1:10" ht="15" customHeight="1" x14ac:dyDescent="0.15">
      <c r="A28" s="168">
        <v>27</v>
      </c>
      <c r="B28" s="168" t="s">
        <v>218</v>
      </c>
      <c r="C28" s="8">
        <v>4.314277172088623</v>
      </c>
      <c r="D28" s="9">
        <v>3.1999997794628143E-2</v>
      </c>
      <c r="E28" s="9">
        <v>0.49917396903038025</v>
      </c>
      <c r="F28" s="9">
        <v>8.253544807434082</v>
      </c>
      <c r="G28" s="9">
        <v>0.86565673351287842</v>
      </c>
      <c r="H28" s="9">
        <v>6.0479950159788132E-2</v>
      </c>
      <c r="I28">
        <v>1.3201331719756126E-2</v>
      </c>
      <c r="J28"/>
    </row>
    <row r="29" spans="1:10" ht="15" customHeight="1" x14ac:dyDescent="0.15">
      <c r="A29" s="169">
        <v>28</v>
      </c>
      <c r="B29" s="169" t="s">
        <v>219</v>
      </c>
      <c r="C29" s="8">
        <v>3.6772067546844482</v>
      </c>
      <c r="D29" s="9">
        <v>0.15999999642372131</v>
      </c>
      <c r="E29" s="9">
        <v>3.8048189133405685E-2</v>
      </c>
      <c r="F29" s="9">
        <v>4.1500000953674316</v>
      </c>
      <c r="G29" s="9">
        <v>0.1894969642162323</v>
      </c>
      <c r="H29" s="9">
        <v>9.1682383790612221E-3</v>
      </c>
      <c r="I29">
        <v>8.8136102860403298E-9</v>
      </c>
      <c r="J29"/>
    </row>
    <row r="30" spans="1:10" ht="15" customHeight="1" x14ac:dyDescent="0.15">
      <c r="A30" s="170">
        <v>29</v>
      </c>
      <c r="B30" s="170" t="s">
        <v>220</v>
      </c>
      <c r="C30" s="8">
        <v>4.666111946105957</v>
      </c>
      <c r="D30" s="9">
        <v>6.1650227755308151E-2</v>
      </c>
      <c r="E30" s="9">
        <v>3.9999999105930328E-2</v>
      </c>
      <c r="F30" s="9">
        <v>17.360000610351562</v>
      </c>
      <c r="G30" s="9">
        <v>0.89999997615814209</v>
      </c>
      <c r="H30" s="9">
        <v>2.3041472304612398E-3</v>
      </c>
      <c r="I30">
        <v>1.2840500218658235E-8</v>
      </c>
      <c r="J30"/>
    </row>
    <row r="31" spans="1:10" ht="15" customHeight="1" x14ac:dyDescent="0.15">
      <c r="A31" s="171">
        <v>30</v>
      </c>
      <c r="B31" s="171" t="s">
        <v>221</v>
      </c>
      <c r="C31" s="8">
        <v>4.0841617584228516</v>
      </c>
      <c r="D31" s="9">
        <v>2.9485940467566252E-3</v>
      </c>
      <c r="E31" s="9">
        <v>0.27500000596046448</v>
      </c>
      <c r="F31" s="9">
        <v>17.342592239379883</v>
      </c>
      <c r="G31" s="9">
        <v>0.89999997615814209</v>
      </c>
      <c r="H31" s="9">
        <v>1.5856914222240448E-2</v>
      </c>
      <c r="I31">
        <v>3.634489985415712E-5</v>
      </c>
      <c r="J31"/>
    </row>
    <row r="32" spans="1:10" ht="15" customHeight="1" x14ac:dyDescent="0.15">
      <c r="A32" s="200">
        <v>31</v>
      </c>
      <c r="B32" s="200" t="s">
        <v>222</v>
      </c>
      <c r="C32" s="8">
        <v>1</v>
      </c>
      <c r="D32" s="9">
        <v>1.2686505317687988</v>
      </c>
      <c r="E32" s="10"/>
      <c r="F32" s="10"/>
      <c r="G32" s="9">
        <v>0.32420766353607178</v>
      </c>
      <c r="H32" s="10"/>
      <c r="I32">
        <v>0</v>
      </c>
      <c r="J32"/>
    </row>
    <row r="33" spans="1:10" ht="15" customHeight="1" x14ac:dyDescent="0.15">
      <c r="A33" s="201">
        <v>32</v>
      </c>
      <c r="B33" s="201" t="s">
        <v>223</v>
      </c>
      <c r="C33" s="8">
        <v>1</v>
      </c>
      <c r="D33" s="9">
        <v>30</v>
      </c>
      <c r="E33" s="10"/>
      <c r="F33" s="10"/>
      <c r="G33" s="9">
        <v>0.80759274959564209</v>
      </c>
      <c r="H33" s="10"/>
      <c r="I33">
        <v>0</v>
      </c>
      <c r="J33"/>
    </row>
    <row r="34" spans="1:10" ht="15" customHeight="1" x14ac:dyDescent="0.15">
      <c r="A34" s="202">
        <v>33</v>
      </c>
      <c r="B34" s="202" t="s">
        <v>224</v>
      </c>
      <c r="C34" s="8">
        <v>1</v>
      </c>
      <c r="D34" s="9">
        <v>5</v>
      </c>
      <c r="E34" s="10"/>
      <c r="F34" s="10"/>
      <c r="G34" s="7">
        <v>0</v>
      </c>
      <c r="H34" s="10"/>
      <c r="I34">
        <v>0</v>
      </c>
      <c r="J34"/>
    </row>
    <row r="35" spans="1:10" ht="15" customHeight="1" x14ac:dyDescent="0.15">
      <c r="A35" s="203">
        <v>34</v>
      </c>
      <c r="B35" s="203" t="s">
        <v>225</v>
      </c>
      <c r="C35" s="8">
        <v>3.6315586566925049</v>
      </c>
      <c r="D35" s="10"/>
      <c r="E35" s="10"/>
      <c r="F35" s="10"/>
      <c r="G35" s="10"/>
      <c r="H35" s="10"/>
      <c r="I35">
        <v>6.0558352470397949</v>
      </c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212.11114501953125</v>
      </c>
      <c r="C2">
        <v>113.10265350341797</v>
      </c>
      <c r="D2"/>
      <c r="E2"/>
      <c r="F2" s="234">
        <v>20.364519119262695</v>
      </c>
      <c r="G2" s="216">
        <v>12.173213005065918</v>
      </c>
      <c r="H2" s="264">
        <v>24.088010787963867</v>
      </c>
      <c r="I2" s="227">
        <v>15.318506240844727</v>
      </c>
      <c r="J2" s="11">
        <v>0.14675439894199371</v>
      </c>
      <c r="K2" s="64">
        <v>4.6138491630554199</v>
      </c>
      <c r="L2" s="11">
        <v>4.8300714115612209E-4</v>
      </c>
      <c r="M2" s="18">
        <v>2.4323101043701172</v>
      </c>
      <c r="N2" s="12">
        <v>0.89105445146560669</v>
      </c>
      <c r="O2" s="211">
        <v>9.5156040191650391</v>
      </c>
      <c r="P2" s="25">
        <v>6.4984049797058105</v>
      </c>
      <c r="Q2" s="17">
        <v>2.8944978713989258</v>
      </c>
      <c r="R2"/>
      <c r="S2" s="11">
        <v>2.5231009349226952E-3</v>
      </c>
      <c r="T2" s="11">
        <v>2.1986721083521843E-2</v>
      </c>
      <c r="U2" s="11">
        <v>6.4087305217981339E-3</v>
      </c>
      <c r="V2" s="11">
        <v>3.9818711578845978E-2</v>
      </c>
      <c r="W2"/>
      <c r="X2" s="11">
        <v>5.572850932367146E-4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91.250007629394531</v>
      </c>
      <c r="C3">
        <v>13.299284934997559</v>
      </c>
      <c r="D3"/>
      <c r="E3"/>
      <c r="F3"/>
      <c r="G3" s="274">
        <v>25.222311019897461</v>
      </c>
      <c r="H3"/>
      <c r="I3"/>
      <c r="J3" s="14">
        <v>9.6703201532363892E-2</v>
      </c>
      <c r="K3"/>
      <c r="L3" s="11">
        <v>3.7003119359724224E-4</v>
      </c>
      <c r="M3" s="272">
        <v>16.218402862548828</v>
      </c>
      <c r="N3" s="24">
        <v>2.5377109050750732</v>
      </c>
      <c r="O3" s="228">
        <v>12.999337196350098</v>
      </c>
      <c r="P3" s="223">
        <v>18.198911666870117</v>
      </c>
      <c r="Q3" s="15">
        <v>0.93983745574951172</v>
      </c>
      <c r="R3" s="19">
        <v>1.6952463388442993</v>
      </c>
      <c r="S3" s="11">
        <v>4.1872557252645493E-2</v>
      </c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72.000007629394531</v>
      </c>
      <c r="C4">
        <v>10.912411689758301</v>
      </c>
      <c r="D4"/>
      <c r="E4"/>
      <c r="F4"/>
      <c r="G4" s="273">
        <v>31.88432502746582</v>
      </c>
      <c r="H4" s="270">
        <v>21.760482788085938</v>
      </c>
      <c r="I4" s="235">
        <v>7.0700798034667969</v>
      </c>
      <c r="J4" s="23">
        <v>0.36655411124229431</v>
      </c>
      <c r="K4"/>
      <c r="L4" s="11">
        <v>6.1527690850198269E-3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66.531517028808594</v>
      </c>
      <c r="C5">
        <v>24.450733184814453</v>
      </c>
      <c r="D5"/>
      <c r="E5"/>
      <c r="F5"/>
      <c r="G5"/>
      <c r="H5" s="235">
        <v>6.5511131286621094</v>
      </c>
      <c r="I5" s="204">
        <v>11.66565990447998</v>
      </c>
      <c r="J5" s="28">
        <v>2.3072569370269775</v>
      </c>
      <c r="K5" s="271">
        <v>20.172496795654297</v>
      </c>
      <c r="L5" s="11">
        <v>2.7175469323992729E-2</v>
      </c>
      <c r="M5"/>
      <c r="N5" s="23">
        <v>0.32728445529937744</v>
      </c>
      <c r="O5"/>
      <c r="P5"/>
      <c r="Q5"/>
      <c r="R5"/>
      <c r="S5"/>
      <c r="T5" s="15">
        <v>0.65667045116424561</v>
      </c>
      <c r="U5" s="12">
        <v>0.24619951844215393</v>
      </c>
      <c r="V5" s="14">
        <v>0.10534338653087616</v>
      </c>
      <c r="W5"/>
      <c r="X5" s="11">
        <v>1.445552334189415E-2</v>
      </c>
      <c r="Y5"/>
      <c r="Z5"/>
      <c r="AA5"/>
      <c r="AB5"/>
      <c r="AC5"/>
      <c r="AD5"/>
      <c r="AE5"/>
      <c r="AF5" s="11">
        <v>7.1279611438512802E-3</v>
      </c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75.661300659179688</v>
      </c>
      <c r="C6">
        <v>12.915109634399414</v>
      </c>
      <c r="D6"/>
      <c r="E6"/>
      <c r="F6"/>
      <c r="G6"/>
      <c r="H6"/>
      <c r="I6" s="232">
        <v>15.239215850830078</v>
      </c>
      <c r="J6" s="65">
        <v>3.0683081150054932</v>
      </c>
      <c r="K6" s="275">
        <v>40.997753143310547</v>
      </c>
      <c r="L6" s="11">
        <v>2.756112813949585E-2</v>
      </c>
      <c r="M6"/>
      <c r="N6" s="15">
        <v>0.80519312620162964</v>
      </c>
      <c r="O6"/>
      <c r="P6"/>
      <c r="Q6"/>
      <c r="R6"/>
      <c r="S6"/>
      <c r="T6" s="23">
        <v>0.41328182816505432</v>
      </c>
      <c r="U6" s="17">
        <v>1.0509258508682251</v>
      </c>
      <c r="V6" s="15">
        <v>0.69975471496582031</v>
      </c>
      <c r="W6" s="14">
        <v>0.18033753335475922</v>
      </c>
      <c r="X6" s="14">
        <v>0.19657009840011597</v>
      </c>
      <c r="Y6"/>
      <c r="Z6"/>
      <c r="AA6"/>
      <c r="AB6"/>
      <c r="AC6"/>
      <c r="AD6" s="11">
        <v>8.5057035903446376E-5</v>
      </c>
      <c r="AE6"/>
      <c r="AF6" s="11">
        <v>6.6819667816162109E-2</v>
      </c>
      <c r="AG6"/>
      <c r="AH6" s="11">
        <v>3.7278590025380254E-4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40</v>
      </c>
      <c r="C7">
        <v>3.9960360527038574</v>
      </c>
      <c r="D7" s="11">
        <v>3.592411985664512E-6</v>
      </c>
      <c r="E7"/>
      <c r="F7"/>
      <c r="G7"/>
      <c r="H7"/>
      <c r="I7" s="262">
        <v>26.257862091064453</v>
      </c>
      <c r="J7" s="226">
        <v>3.251323938369751</v>
      </c>
      <c r="K7" s="253">
        <v>3.4643769264221191</v>
      </c>
      <c r="L7"/>
      <c r="M7"/>
      <c r="N7"/>
      <c r="O7"/>
      <c r="P7"/>
      <c r="Q7"/>
      <c r="R7"/>
      <c r="S7"/>
      <c r="T7"/>
      <c r="U7" s="248">
        <v>1.545993447303772</v>
      </c>
      <c r="V7" s="19">
        <v>0.67300117015838623</v>
      </c>
      <c r="W7" s="18">
        <v>0.4737885594367981</v>
      </c>
      <c r="X7"/>
      <c r="Y7" s="11">
        <v>2.2862978279590607E-2</v>
      </c>
      <c r="Z7" s="11">
        <v>3.0606925487518311E-2</v>
      </c>
      <c r="AA7" s="12">
        <v>0.18153810501098633</v>
      </c>
      <c r="AB7"/>
      <c r="AC7" s="11">
        <v>2.9885006370022893E-4</v>
      </c>
      <c r="AD7" s="11">
        <v>1.6387406503781676E-4</v>
      </c>
      <c r="AE7" s="14">
        <v>9.4198465347290039E-2</v>
      </c>
      <c r="AF7" s="11">
        <v>2.9126077424734831E-3</v>
      </c>
      <c r="AG7" s="11">
        <v>5.034338217228651E-3</v>
      </c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14.25</v>
      </c>
      <c r="C8">
        <v>6.2638158798217773</v>
      </c>
      <c r="D8" s="11">
        <v>2.683697734028101E-3</v>
      </c>
      <c r="E8"/>
      <c r="F8"/>
      <c r="G8"/>
      <c r="H8"/>
      <c r="I8"/>
      <c r="J8"/>
      <c r="K8" s="268">
        <v>6.7303662300109863</v>
      </c>
      <c r="L8" s="11">
        <v>1.3848594389855862E-3</v>
      </c>
      <c r="M8"/>
      <c r="N8"/>
      <c r="O8"/>
      <c r="P8"/>
      <c r="Q8"/>
      <c r="R8"/>
      <c r="S8" s="14">
        <v>2.893655002117157E-2</v>
      </c>
      <c r="T8" s="14">
        <v>2.424594946205616E-2</v>
      </c>
      <c r="U8" s="230">
        <v>0.71160846948623657</v>
      </c>
      <c r="V8" s="12">
        <v>6.1082798987627029E-2</v>
      </c>
      <c r="W8" s="64">
        <v>0.31739509105682373</v>
      </c>
      <c r="X8" s="11">
        <v>5.2292495965957642E-3</v>
      </c>
      <c r="Y8"/>
      <c r="Z8" s="11">
        <v>1.0251920903101563E-3</v>
      </c>
      <c r="AA8" s="11">
        <v>1.7373409355059266E-3</v>
      </c>
      <c r="AB8" s="14">
        <v>3.3033892512321472E-2</v>
      </c>
      <c r="AC8" s="11">
        <v>6.6066737053915858E-4</v>
      </c>
      <c r="AD8"/>
      <c r="AE8"/>
      <c r="AF8" s="12">
        <v>5.6389134377241135E-2</v>
      </c>
      <c r="AG8" s="11">
        <v>8.4313657134771347E-3</v>
      </c>
      <c r="AH8" s="11">
        <v>1.972689526155591E-3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0.95037627220153809</v>
      </c>
      <c r="C9">
        <v>8.9899331331253052E-2</v>
      </c>
      <c r="D9" s="11">
        <v>1.269156335581556E-9</v>
      </c>
      <c r="E9"/>
      <c r="F9"/>
      <c r="G9"/>
      <c r="H9"/>
      <c r="I9"/>
      <c r="J9" s="223">
        <v>0.18917164206504822</v>
      </c>
      <c r="K9"/>
      <c r="L9"/>
      <c r="M9"/>
      <c r="N9"/>
      <c r="O9"/>
      <c r="P9"/>
      <c r="Q9"/>
      <c r="R9"/>
      <c r="S9"/>
      <c r="T9"/>
      <c r="U9" s="231">
        <v>0.32427480816841125</v>
      </c>
      <c r="V9" s="28">
        <v>3.3169787377119064E-2</v>
      </c>
      <c r="W9" s="229">
        <v>0.19853919744491577</v>
      </c>
      <c r="X9" s="14">
        <v>9.3942997045814991E-4</v>
      </c>
      <c r="Y9"/>
      <c r="Z9"/>
      <c r="AA9"/>
      <c r="AB9" s="226">
        <v>7.5486741960048676E-2</v>
      </c>
      <c r="AC9"/>
      <c r="AD9" s="11">
        <v>1.4803501835558563E-4</v>
      </c>
      <c r="AE9" s="11">
        <v>5.0395137805026025E-5</v>
      </c>
      <c r="AF9" s="22">
        <v>7.4063041247427464E-3</v>
      </c>
      <c r="AG9" s="225">
        <v>3.1259737908840179E-2</v>
      </c>
      <c r="AH9" s="11">
        <v>3.0888939363649115E-5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2.5</v>
      </c>
      <c r="C10">
        <v>0.57557356357574463</v>
      </c>
      <c r="D10" s="11">
        <v>5.9171725297346711E-6</v>
      </c>
      <c r="E10"/>
      <c r="F10"/>
      <c r="G10"/>
      <c r="H10"/>
      <c r="I10"/>
      <c r="J10"/>
      <c r="K10"/>
      <c r="L10"/>
      <c r="M10" s="263">
        <v>0.33650162816047668</v>
      </c>
      <c r="N10" s="105">
        <v>0.45759403705596924</v>
      </c>
      <c r="O10"/>
      <c r="P10" s="267">
        <v>0.83722496032714844</v>
      </c>
      <c r="Q10"/>
      <c r="R10" s="235">
        <v>0.2428564727306366</v>
      </c>
      <c r="S10"/>
      <c r="T10" s="14">
        <v>3.9603607729077339E-3</v>
      </c>
      <c r="U10" s="14">
        <v>6.1307898722589016E-3</v>
      </c>
      <c r="V10"/>
      <c r="W10"/>
      <c r="X10" s="11">
        <v>1.4539534458890557E-4</v>
      </c>
      <c r="Y10"/>
      <c r="Z10" s="15">
        <v>2.6680357754230499E-2</v>
      </c>
      <c r="AA10" s="12">
        <v>1.1883145198225975E-2</v>
      </c>
      <c r="AB10" s="11">
        <v>1.4433295000344515E-3</v>
      </c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3</v>
      </c>
      <c r="C11">
        <v>0.70813411474227905</v>
      </c>
      <c r="D11" s="11">
        <v>5.9171588873141445E-6</v>
      </c>
      <c r="E11"/>
      <c r="F11"/>
      <c r="G11"/>
      <c r="H11"/>
      <c r="I11" s="16">
        <v>4.865395650267601E-2</v>
      </c>
      <c r="J11"/>
      <c r="K11"/>
      <c r="L11"/>
      <c r="M11" s="27">
        <v>0.22903747856616974</v>
      </c>
      <c r="N11" s="258">
        <v>0.61295801401138306</v>
      </c>
      <c r="O11"/>
      <c r="P11" s="261">
        <v>0.94919055700302124</v>
      </c>
      <c r="Q11"/>
      <c r="R11" s="66">
        <v>0.1764126718044281</v>
      </c>
      <c r="S11" s="14">
        <v>3.507076995447278E-3</v>
      </c>
      <c r="T11" s="23">
        <v>1.8449041992425919E-2</v>
      </c>
      <c r="U11" s="13">
        <v>0.11346356570720673</v>
      </c>
      <c r="V11" s="11">
        <v>1.8293673638254404E-3</v>
      </c>
      <c r="W11" s="16">
        <v>4.9904700368642807E-2</v>
      </c>
      <c r="X11" s="11">
        <v>1.0962749365717173E-3</v>
      </c>
      <c r="Y11" s="11">
        <v>1.1559284757822752E-3</v>
      </c>
      <c r="Z11" s="19">
        <v>5.1581744104623795E-2</v>
      </c>
      <c r="AA11" s="22">
        <v>2.1853266283869743E-2</v>
      </c>
      <c r="AB11" s="14">
        <v>5.4413219913840294E-3</v>
      </c>
      <c r="AC11" s="11">
        <v>1.3850424147676677E-4</v>
      </c>
      <c r="AD11" s="11">
        <v>6.9044166593812406E-5</v>
      </c>
      <c r="AE11"/>
      <c r="AF11" s="14">
        <v>7.1174884214997292E-3</v>
      </c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2</v>
      </c>
      <c r="C12">
        <v>0.51522266864776611</v>
      </c>
      <c r="D12" s="11">
        <v>1.9935769159928896E-5</v>
      </c>
      <c r="E12"/>
      <c r="F12"/>
      <c r="G12"/>
      <c r="H12"/>
      <c r="I12"/>
      <c r="J12"/>
      <c r="K12"/>
      <c r="L12"/>
      <c r="M12" s="15">
        <v>1.7733979970216751E-2</v>
      </c>
      <c r="N12" s="264">
        <v>0.2277025580406189</v>
      </c>
      <c r="O12" s="27">
        <v>0.15379908680915833</v>
      </c>
      <c r="P12" s="269">
        <v>0.79439139366149902</v>
      </c>
      <c r="Q12"/>
      <c r="R12" s="265">
        <v>0.26509937644004822</v>
      </c>
      <c r="S12"/>
      <c r="T12" s="14">
        <v>2.2668878082185984E-3</v>
      </c>
      <c r="U12" s="14">
        <v>3.9065098389983177E-3</v>
      </c>
      <c r="V12" s="11">
        <v>3.0919641721993685E-4</v>
      </c>
      <c r="W12"/>
      <c r="X12"/>
      <c r="Y12"/>
      <c r="Z12" s="14">
        <v>5.4489150643348694E-3</v>
      </c>
      <c r="AA12" s="23">
        <v>1.108079869300127E-2</v>
      </c>
      <c r="AB12" s="14">
        <v>2.7590477839112282E-3</v>
      </c>
      <c r="AC12" s="11">
        <v>1.0640790605975781E-5</v>
      </c>
      <c r="AD12"/>
      <c r="AE12"/>
      <c r="AF12" s="11">
        <v>2.4889348424039781E-4</v>
      </c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</v>
      </c>
      <c r="C13">
        <v>0.19967186450958252</v>
      </c>
      <c r="D13" s="11">
        <v>2.9128619644325227E-5</v>
      </c>
      <c r="E13"/>
      <c r="F13"/>
      <c r="G13"/>
      <c r="H13"/>
      <c r="I13" s="23">
        <v>1.0086750611662865E-2</v>
      </c>
      <c r="J13"/>
      <c r="K13"/>
      <c r="L13"/>
      <c r="M13" s="265">
        <v>0.26726943254470825</v>
      </c>
      <c r="N13" s="266">
        <v>0.37715062499046326</v>
      </c>
      <c r="O13" s="140">
        <v>0.12101066112518311</v>
      </c>
      <c r="P13" s="141">
        <v>0.51050406694412231</v>
      </c>
      <c r="Q13"/>
      <c r="R13" s="250">
        <v>0.47958028316497803</v>
      </c>
      <c r="S13" s="14">
        <v>2.1649633999913931E-3</v>
      </c>
      <c r="T13" s="14">
        <v>4.9386592581868172E-3</v>
      </c>
      <c r="U13" s="14">
        <v>3.9593186229467392E-3</v>
      </c>
      <c r="V13" s="11">
        <v>4.7006423119455576E-4</v>
      </c>
      <c r="W13" s="11">
        <v>1.7097649397328496E-3</v>
      </c>
      <c r="X13"/>
      <c r="Y13" s="11">
        <v>1.9801403686869889E-4</v>
      </c>
      <c r="Z13" s="12">
        <v>7.7316006645560265E-3</v>
      </c>
      <c r="AA13" s="14">
        <v>3.7435304839164019E-3</v>
      </c>
      <c r="AB13" s="12">
        <v>9.2364111915230751E-3</v>
      </c>
      <c r="AC13" s="11">
        <v>4.9609305278863758E-5</v>
      </c>
      <c r="AD13" s="11">
        <v>1.182747473649215E-5</v>
      </c>
      <c r="AE13"/>
      <c r="AF13" s="11">
        <v>4.8349463031627238E-4</v>
      </c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5</v>
      </c>
      <c r="C14">
        <v>0.50371855497360229</v>
      </c>
      <c r="D14" s="204">
        <v>0.87618803977966309</v>
      </c>
      <c r="E14"/>
      <c r="F14"/>
      <c r="G14"/>
      <c r="H14"/>
      <c r="I14"/>
      <c r="J14"/>
      <c r="K14"/>
      <c r="L14"/>
      <c r="M14" s="254">
        <v>0.2623005211353302</v>
      </c>
      <c r="N14" s="233">
        <v>0.41042414307594299</v>
      </c>
      <c r="O14" s="260">
        <v>1.1713557243347168</v>
      </c>
      <c r="P14" s="259">
        <v>0.84934347867965698</v>
      </c>
      <c r="Q14"/>
      <c r="R14" s="257">
        <v>0.75397408008575439</v>
      </c>
      <c r="S14"/>
      <c r="T14"/>
      <c r="U14"/>
      <c r="V14"/>
      <c r="W14"/>
      <c r="X14"/>
      <c r="Y14"/>
      <c r="Z14" s="21">
        <v>9.7170323133468628E-2</v>
      </c>
      <c r="AA14" s="17">
        <v>6.861240416765213E-2</v>
      </c>
      <c r="AB14" s="14">
        <v>6.833614781498909E-3</v>
      </c>
      <c r="AC14" s="11">
        <v>7.9065393947530538E-5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1.9966709613800049</v>
      </c>
      <c r="C15">
        <v>0.20435866713523865</v>
      </c>
      <c r="D15" s="12">
        <v>6.5970947034657001E-3</v>
      </c>
      <c r="E15"/>
      <c r="F15"/>
      <c r="G15"/>
      <c r="H15"/>
      <c r="I15"/>
      <c r="J15"/>
      <c r="K15"/>
      <c r="L15"/>
      <c r="M15" s="139">
        <v>6.0457117855548859E-2</v>
      </c>
      <c r="N15" s="24">
        <v>5.4083265364170074E-2</v>
      </c>
      <c r="O15" s="21">
        <v>3.7944085896015167E-2</v>
      </c>
      <c r="P15" s="256">
        <v>0.91680628061294556</v>
      </c>
      <c r="Q15"/>
      <c r="R15" s="75">
        <v>0.44318166375160217</v>
      </c>
      <c r="S15"/>
      <c r="T15"/>
      <c r="U15"/>
      <c r="V15"/>
      <c r="W15"/>
      <c r="X15"/>
      <c r="Y15" s="18">
        <v>2.4574408307671547E-2</v>
      </c>
      <c r="Z15" s="227">
        <v>0.14303481578826904</v>
      </c>
      <c r="AA15" s="20">
        <v>8.6569309234619141E-2</v>
      </c>
      <c r="AB15" s="22">
        <v>1.724415086209774E-2</v>
      </c>
      <c r="AC15" s="11">
        <v>4.5888673048466444E-4</v>
      </c>
      <c r="AD15"/>
      <c r="AE15"/>
      <c r="AF15" s="11">
        <v>1.3611443573608994E-3</v>
      </c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</v>
      </c>
      <c r="C16">
        <v>0.32072269916534424</v>
      </c>
      <c r="D16" s="205">
        <v>0.22077707946300507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 s="14">
        <v>3.0042058788239956E-3</v>
      </c>
      <c r="T16"/>
      <c r="U16"/>
      <c r="V16"/>
      <c r="W16" s="232">
        <v>0.40377545356750488</v>
      </c>
      <c r="X16"/>
      <c r="Y16" s="18">
        <v>2.3781128227710724E-2</v>
      </c>
      <c r="Z16" s="26">
        <v>5.1973789930343628E-2</v>
      </c>
      <c r="AA16" s="136">
        <v>0.19894377887248993</v>
      </c>
      <c r="AB16" s="238">
        <v>0.76759892702102661</v>
      </c>
      <c r="AC16"/>
      <c r="AD16"/>
      <c r="AE16"/>
      <c r="AF16"/>
      <c r="AG16"/>
      <c r="AH16" s="12">
        <v>9.4229718670248985E-3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21</v>
      </c>
      <c r="C17">
        <v>4.1634349822998047</v>
      </c>
      <c r="D17" s="11">
        <v>3.208216980965517E-8</v>
      </c>
      <c r="E17"/>
      <c r="F17"/>
      <c r="G17"/>
      <c r="H17"/>
      <c r="I17"/>
      <c r="J17" s="136">
        <v>2.0891597270965576</v>
      </c>
      <c r="K17"/>
      <c r="L17"/>
      <c r="M17"/>
      <c r="N17"/>
      <c r="O17"/>
      <c r="P17"/>
      <c r="Q17"/>
      <c r="R17"/>
      <c r="S17"/>
      <c r="T17" s="252">
        <v>3.3741815090179443</v>
      </c>
      <c r="U17" s="255">
        <v>7.3925762176513672</v>
      </c>
      <c r="V17" s="15">
        <v>0.2148251086473465</v>
      </c>
      <c r="W17" s="251">
        <v>3.3487863540649414</v>
      </c>
      <c r="X17" s="14">
        <v>4.9042671918869019E-2</v>
      </c>
      <c r="Y17" s="14">
        <v>3.8783494383096695E-2</v>
      </c>
      <c r="Z17"/>
      <c r="AA17" s="22">
        <v>0.14664334058761597</v>
      </c>
      <c r="AB17" s="22">
        <v>0.18256622552871704</v>
      </c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0.36962178349494934</v>
      </c>
      <c r="C18">
        <v>3.2230660319328308E-2</v>
      </c>
      <c r="D18" s="206">
        <v>3.988884761929512E-2</v>
      </c>
      <c r="E18"/>
      <c r="F18"/>
      <c r="G18"/>
      <c r="H18"/>
      <c r="I18"/>
      <c r="J18" s="250">
        <v>8.858402818441391E-2</v>
      </c>
      <c r="K18"/>
      <c r="L18"/>
      <c r="M18"/>
      <c r="N18"/>
      <c r="O18"/>
      <c r="P18"/>
      <c r="Q18"/>
      <c r="R18"/>
      <c r="S18"/>
      <c r="T18"/>
      <c r="U18" s="12">
        <v>1.6428999369964004E-3</v>
      </c>
      <c r="V18"/>
      <c r="W18" s="208">
        <v>9.0229883790016174E-3</v>
      </c>
      <c r="X18"/>
      <c r="Y18" s="27">
        <v>2.7990670874714851E-2</v>
      </c>
      <c r="Z18" s="22">
        <v>3.0044061131775379E-3</v>
      </c>
      <c r="AA18" s="24">
        <v>9.9963340908288956E-3</v>
      </c>
      <c r="AB18" s="249">
        <v>7.8577443957328796E-2</v>
      </c>
      <c r="AC18" s="23">
        <v>2.07329704426229E-3</v>
      </c>
      <c r="AD18" s="12">
        <v>1.4043928822502494E-3</v>
      </c>
      <c r="AE18" s="15">
        <v>3.2959515228867531E-3</v>
      </c>
      <c r="AF18" s="21">
        <v>6.893964484333992E-3</v>
      </c>
      <c r="AG18" s="76">
        <v>6.2456130981445312E-2</v>
      </c>
      <c r="AH18" s="22">
        <v>2.5597552303224802E-3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0.95037627220153809</v>
      </c>
      <c r="C19">
        <v>0.12821003794670105</v>
      </c>
      <c r="D19" s="207">
        <v>0.40441349148750305</v>
      </c>
      <c r="E19"/>
      <c r="F19"/>
      <c r="G19"/>
      <c r="H19"/>
      <c r="I19"/>
      <c r="J19" s="66">
        <v>5.5504024028778076E-2</v>
      </c>
      <c r="K19"/>
      <c r="L19"/>
      <c r="M19"/>
      <c r="N19"/>
      <c r="O19"/>
      <c r="P19"/>
      <c r="Q19"/>
      <c r="R19"/>
      <c r="S19"/>
      <c r="T19"/>
      <c r="U19" s="12">
        <v>4.2043533176183701E-3</v>
      </c>
      <c r="V19"/>
      <c r="W19" s="208">
        <v>2.2242322564125061E-2</v>
      </c>
      <c r="X19"/>
      <c r="Y19" s="28">
        <v>3.4346174448728561E-2</v>
      </c>
      <c r="Z19" s="211">
        <v>4.3105866760015488E-2</v>
      </c>
      <c r="AA19" s="14">
        <v>1.445487723685801E-3</v>
      </c>
      <c r="AB19" s="240">
        <v>6.6141143441200256E-2</v>
      </c>
      <c r="AC19" s="23">
        <v>4.7701061703264713E-3</v>
      </c>
      <c r="AD19" s="14">
        <v>1.2001357972621918E-3</v>
      </c>
      <c r="AE19" s="68">
        <v>8.7858229875564575E-2</v>
      </c>
      <c r="AF19" s="14">
        <v>1.6408119117841125E-3</v>
      </c>
      <c r="AG19" s="73">
        <v>8.9809350669384003E-2</v>
      </c>
      <c r="AH19" s="23">
        <v>5.4847090505063534E-3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0.95037627220153809</v>
      </c>
      <c r="C20">
        <v>3.786960244178772E-2</v>
      </c>
      <c r="D20" s="208">
        <v>2.148071862757206E-2</v>
      </c>
      <c r="E20"/>
      <c r="F20"/>
      <c r="G20"/>
      <c r="H20"/>
      <c r="I20"/>
      <c r="J20" s="13">
        <v>3.5124130547046661E-2</v>
      </c>
      <c r="K20"/>
      <c r="L20"/>
      <c r="M20"/>
      <c r="N20"/>
      <c r="O20"/>
      <c r="P20"/>
      <c r="Q20"/>
      <c r="R20"/>
      <c r="S20"/>
      <c r="T20"/>
      <c r="U20" s="23">
        <v>6.4664632081985474E-3</v>
      </c>
      <c r="V20"/>
      <c r="W20" s="234">
        <v>9.0400978922843933E-2</v>
      </c>
      <c r="X20"/>
      <c r="Y20" s="63">
        <v>5.2248876541852951E-2</v>
      </c>
      <c r="Z20" s="241">
        <v>0.21292310953140259</v>
      </c>
      <c r="AA20" s="14">
        <v>1.9391188398003578E-3</v>
      </c>
      <c r="AB20" s="242">
        <v>0.21802660822868347</v>
      </c>
      <c r="AC20" s="22">
        <v>6.6435867920517921E-3</v>
      </c>
      <c r="AD20" s="23">
        <v>4.8790192231535912E-3</v>
      </c>
      <c r="AE20" s="12">
        <v>3.3891827333718538E-3</v>
      </c>
      <c r="AF20" s="12">
        <v>3.1614594627171755E-3</v>
      </c>
      <c r="AG20" s="245">
        <v>0.25380909442901611</v>
      </c>
      <c r="AH20" s="14">
        <v>2.0143019501119852E-3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0.42498090863227844</v>
      </c>
      <c r="C21">
        <v>2.2831442765891552E-3</v>
      </c>
      <c r="D21" s="209">
        <v>0.37972885370254517</v>
      </c>
      <c r="E21"/>
      <c r="F21"/>
      <c r="G21"/>
      <c r="H21"/>
      <c r="I21"/>
      <c r="J21" s="12">
        <v>1.7420683288946748E-3</v>
      </c>
      <c r="K21"/>
      <c r="L21"/>
      <c r="M21"/>
      <c r="N21"/>
      <c r="O21"/>
      <c r="P21"/>
      <c r="Q21"/>
      <c r="R21"/>
      <c r="S21"/>
      <c r="T21"/>
      <c r="U21"/>
      <c r="V21"/>
      <c r="W21" s="12">
        <v>1.6439950559288263E-3</v>
      </c>
      <c r="X21"/>
      <c r="Y21" s="15">
        <v>4.0453388355672359E-3</v>
      </c>
      <c r="Z21"/>
      <c r="AA21"/>
      <c r="AB21" s="227">
        <v>3.0641879886388779E-2</v>
      </c>
      <c r="AC21" s="14">
        <v>1.2117407750338316E-3</v>
      </c>
      <c r="AD21" s="11">
        <v>3.5521655809134245E-4</v>
      </c>
      <c r="AE21"/>
      <c r="AF21" s="11">
        <v>8.2269158156123012E-5</v>
      </c>
      <c r="AG21" s="23">
        <v>2.7352767065167427E-3</v>
      </c>
      <c r="AH21" s="14">
        <v>5.1113712834194303E-4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0.44999998807907104</v>
      </c>
      <c r="C22">
        <v>4.8946771770715714E-2</v>
      </c>
      <c r="D22" s="210">
        <v>0.31254428625106812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228">
        <v>6.4496323466300964E-2</v>
      </c>
      <c r="Z22"/>
      <c r="AA22"/>
      <c r="AB22"/>
      <c r="AC22" s="14">
        <v>5.6203606072813272E-4</v>
      </c>
      <c r="AD22" s="65">
        <v>1.8491506576538086E-2</v>
      </c>
      <c r="AE22"/>
      <c r="AF22"/>
      <c r="AG22" s="15">
        <v>4.7339452430605888E-3</v>
      </c>
      <c r="AH22" s="11">
        <v>2.2512252326123416E-4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0.44999998807907104</v>
      </c>
      <c r="C23">
        <v>4.5803599059581757E-2</v>
      </c>
      <c r="D23" s="24">
        <v>1.2705461122095585E-2</v>
      </c>
      <c r="E23"/>
      <c r="F23"/>
      <c r="G23"/>
      <c r="H23"/>
      <c r="I23"/>
      <c r="J23"/>
      <c r="K23"/>
      <c r="L23"/>
      <c r="M23"/>
      <c r="N23" s="239">
        <v>4.6596545726060867E-2</v>
      </c>
      <c r="O23"/>
      <c r="P23" s="243">
        <v>7.3317766189575195E-2</v>
      </c>
      <c r="Q23"/>
      <c r="R23" s="239">
        <v>4.6915486454963684E-2</v>
      </c>
      <c r="S23"/>
      <c r="T23"/>
      <c r="U23" s="16">
        <v>6.6548073664307594E-3</v>
      </c>
      <c r="V23"/>
      <c r="W23"/>
      <c r="X23"/>
      <c r="Y23" s="19">
        <v>7.627150509506464E-3</v>
      </c>
      <c r="Z23" s="246">
        <v>8.6673744022846222E-2</v>
      </c>
      <c r="AA23" s="211">
        <v>2.0187150686979294E-2</v>
      </c>
      <c r="AB23" s="247">
        <v>0.10183504968881607</v>
      </c>
      <c r="AC23" s="14">
        <v>1.1365482350811362E-3</v>
      </c>
      <c r="AD23" s="14">
        <v>5.4668821394443512E-4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0.44999998807907104</v>
      </c>
      <c r="C24">
        <v>4.500000923871994E-2</v>
      </c>
      <c r="D24" s="211">
        <v>2.0158762112259865E-2</v>
      </c>
      <c r="E24"/>
      <c r="F24"/>
      <c r="G24"/>
      <c r="H24"/>
      <c r="I24"/>
      <c r="J24"/>
      <c r="K24"/>
      <c r="L24"/>
      <c r="M24"/>
      <c r="N24" s="206">
        <v>4.837094247341156E-2</v>
      </c>
      <c r="O24"/>
      <c r="P24" s="244">
        <v>0.11850659549236298</v>
      </c>
      <c r="Q24"/>
      <c r="R24" s="237">
        <v>5.5127788335084915E-2</v>
      </c>
      <c r="S24"/>
      <c r="T24"/>
      <c r="U24" s="64">
        <v>1.0127299465239048E-2</v>
      </c>
      <c r="V24"/>
      <c r="W24"/>
      <c r="X24"/>
      <c r="Y24" s="24">
        <v>1.2767717242240906E-2</v>
      </c>
      <c r="Z24" s="27">
        <v>3.414999321103096E-2</v>
      </c>
      <c r="AA24" s="230">
        <v>2.1943498402833939E-2</v>
      </c>
      <c r="AB24" s="236">
        <v>4.7683950513601303E-2</v>
      </c>
      <c r="AC24" s="12">
        <v>1.7296012956649065E-3</v>
      </c>
      <c r="AD24" s="12">
        <v>1.3311216607689857E-3</v>
      </c>
      <c r="AE24"/>
      <c r="AF24"/>
      <c r="AG24" s="70">
        <v>3.2203320413827896E-2</v>
      </c>
      <c r="AH24" s="14">
        <v>8.9940935140475631E-4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0.44999998807907104</v>
      </c>
      <c r="C25">
        <v>4.4999983161687851E-2</v>
      </c>
      <c r="D25" s="212">
        <v>0.23335655033588409</v>
      </c>
      <c r="E25"/>
      <c r="F25"/>
      <c r="G25"/>
      <c r="H25"/>
      <c r="I25"/>
      <c r="J25"/>
      <c r="K25"/>
      <c r="L25"/>
      <c r="M25"/>
      <c r="N25"/>
      <c r="O25"/>
      <c r="P25" s="19">
        <v>8.3598094061017036E-3</v>
      </c>
      <c r="Q25"/>
      <c r="R25" s="14">
        <v>1.3036933960393071E-3</v>
      </c>
      <c r="S25"/>
      <c r="T25"/>
      <c r="U25" s="21">
        <v>8.5473861545324326E-3</v>
      </c>
      <c r="V25"/>
      <c r="W25"/>
      <c r="X25"/>
      <c r="Y25" s="18">
        <v>5.3979628719389439E-3</v>
      </c>
      <c r="Z25" s="234">
        <v>4.3506238609552383E-2</v>
      </c>
      <c r="AA25" s="20">
        <v>1.903533935546875E-2</v>
      </c>
      <c r="AB25" s="235">
        <v>4.3980136513710022E-2</v>
      </c>
      <c r="AC25" s="12">
        <v>2.0109233446419239E-3</v>
      </c>
      <c r="AD25" s="12">
        <v>1.3541769003495574E-3</v>
      </c>
      <c r="AE25"/>
      <c r="AF25"/>
      <c r="AG25" s="233">
        <v>3.7441231310367584E-2</v>
      </c>
      <c r="AH25" s="14">
        <v>7.0655369199812412E-4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0.10000000149011612</v>
      </c>
      <c r="C26">
        <v>1.1879838071763515E-2</v>
      </c>
      <c r="D26" s="213">
        <v>6.25E-2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216">
        <v>5.6714820675551891E-3</v>
      </c>
      <c r="AD26" s="223">
        <v>1.9948679953813553E-2</v>
      </c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0.10000000149011612</v>
      </c>
      <c r="C27">
        <v>1.3826489448547363E-3</v>
      </c>
      <c r="D27" s="214">
        <v>5.0531122833490372E-2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 s="218">
        <v>1.9516423344612122E-2</v>
      </c>
      <c r="AD27" s="220">
        <v>2.8569810092449188E-2</v>
      </c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0.49917396903038025</v>
      </c>
      <c r="C28">
        <v>6.7060664296150208E-2</v>
      </c>
      <c r="D28" s="215">
        <v>0.41254162788391113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64">
        <v>1.1202268302440643E-2</v>
      </c>
      <c r="AD28" s="19">
        <v>8.3693964406847954E-3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3.8048189133405685E-2</v>
      </c>
      <c r="C29">
        <v>3.0838172882795334E-2</v>
      </c>
      <c r="D29" s="11">
        <v>5.5085067174331925E-8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222">
        <v>4.8114564269781113E-3</v>
      </c>
      <c r="AD29" s="67">
        <v>2.3985044099390507E-3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3.9999999105930328E-2</v>
      </c>
      <c r="C30">
        <v>4.0000006556510925E-3</v>
      </c>
      <c r="D30" s="11">
        <v>2.0827985736104893E-7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217">
        <v>7.9290252178907394E-3</v>
      </c>
      <c r="AD30" s="221">
        <v>1.2449611909687519E-2</v>
      </c>
      <c r="AE30"/>
      <c r="AF30"/>
      <c r="AG30" s="224">
        <v>1.5621153637766838E-2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0.27500000596046448</v>
      </c>
      <c r="C31">
        <v>2.7500007301568985E-2</v>
      </c>
      <c r="D31" s="211">
        <v>1.2326180003583431E-2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219">
        <v>0.21001197397708893</v>
      </c>
      <c r="AD31" s="68">
        <v>2.5161854922771454E-2</v>
      </c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/>
      <c r="C32">
        <v>0.32420766353607178</v>
      </c>
      <c r="D32"/>
      <c r="E32"/>
      <c r="F32"/>
      <c r="G32"/>
      <c r="H32"/>
      <c r="I32"/>
      <c r="J32"/>
      <c r="K32"/>
      <c r="L32" s="9">
        <v>9.6821198239922523E-3</v>
      </c>
      <c r="M32" s="9">
        <v>2.3217554092407227</v>
      </c>
      <c r="N32" s="9">
        <v>0.90821844339370728</v>
      </c>
      <c r="O32" s="9">
        <v>2.7913913726806641</v>
      </c>
      <c r="P32" s="9">
        <v>6.1300582885742188</v>
      </c>
      <c r="Q32"/>
      <c r="R32" s="9">
        <v>3.3369050025939941</v>
      </c>
      <c r="S32" s="9">
        <v>5.0576820969581604E-2</v>
      </c>
      <c r="T32"/>
      <c r="U32"/>
      <c r="V32"/>
      <c r="W32"/>
      <c r="X32"/>
      <c r="Y32"/>
      <c r="Z32" s="9">
        <v>4.3005194514989853E-2</v>
      </c>
      <c r="AA32" s="9">
        <v>4.8585850745439529E-2</v>
      </c>
      <c r="AB32"/>
      <c r="AC32" s="9">
        <v>3.9891349151730537E-3</v>
      </c>
      <c r="AD32"/>
      <c r="AE32"/>
      <c r="AF32"/>
      <c r="AG32"/>
      <c r="AH32" s="9">
        <v>6.3352948054671288E-3</v>
      </c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0.80759274959564209</v>
      </c>
      <c r="D33"/>
      <c r="E33"/>
      <c r="F33" s="9">
        <v>2313.229248046875</v>
      </c>
      <c r="G33" s="9">
        <v>569.37567138671875</v>
      </c>
      <c r="H33" s="9">
        <v>87.072433471679688</v>
      </c>
      <c r="I33" s="9">
        <v>13.350746154785156</v>
      </c>
      <c r="J33" s="9">
        <v>0.34609004855155945</v>
      </c>
      <c r="K33" s="9">
        <v>93.298202514648438</v>
      </c>
      <c r="L33"/>
      <c r="M33" s="9">
        <v>180.58099365234375</v>
      </c>
      <c r="N33" s="9">
        <v>39.336467742919922</v>
      </c>
      <c r="O33" s="9">
        <v>159.50814819335938</v>
      </c>
      <c r="P33" s="9">
        <v>244.35107421875</v>
      </c>
      <c r="Q33" s="9">
        <v>19.340551376342773</v>
      </c>
      <c r="R33" s="9">
        <v>12.134197235107422</v>
      </c>
      <c r="S33" s="9">
        <v>0.29971447587013245</v>
      </c>
      <c r="T33" s="9">
        <v>0.44073480367660522</v>
      </c>
      <c r="U33"/>
      <c r="V33"/>
      <c r="W33"/>
      <c r="X33"/>
      <c r="Y33"/>
      <c r="Z33" s="9">
        <v>4.3005194514989853E-2</v>
      </c>
      <c r="AA33" s="9">
        <v>2.024409594014287E-3</v>
      </c>
      <c r="AB33"/>
      <c r="AC33"/>
      <c r="AD33" s="9">
        <v>1.9188037840649486E-3</v>
      </c>
      <c r="AE33"/>
      <c r="AF33" s="9">
        <v>8.1849023699760437E-3</v>
      </c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/>
      <c r="C34">
        <v>0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4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6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6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1" t="s">
        <v>192</v>
      </c>
      <c r="E5">
        <v>4</v>
      </c>
      <c r="F5">
        <v>2</v>
      </c>
      <c r="G5">
        <v>4</v>
      </c>
      <c r="H5" s="192" t="s">
        <v>192</v>
      </c>
      <c r="J5" s="56"/>
      <c r="K5" s="57"/>
    </row>
    <row r="6" spans="1:12" ht="14" thickBot="1" x14ac:dyDescent="0.2">
      <c r="A6" s="40" t="s">
        <v>121</v>
      </c>
      <c r="D6" s="191" t="s">
        <v>193</v>
      </c>
      <c r="E6">
        <v>5</v>
      </c>
      <c r="F6">
        <v>9</v>
      </c>
      <c r="G6">
        <v>5</v>
      </c>
      <c r="H6" s="192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1" t="s">
        <v>194</v>
      </c>
      <c r="E7">
        <v>6</v>
      </c>
      <c r="F7">
        <v>3.14</v>
      </c>
      <c r="G7">
        <v>6</v>
      </c>
      <c r="H7" s="192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1" t="s">
        <v>195</v>
      </c>
      <c r="E8">
        <v>7</v>
      </c>
      <c r="F8">
        <v>3.11</v>
      </c>
      <c r="G8">
        <v>7</v>
      </c>
      <c r="H8" s="192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1" t="s">
        <v>196</v>
      </c>
      <c r="E9">
        <v>8</v>
      </c>
      <c r="F9">
        <v>3.11</v>
      </c>
      <c r="G9">
        <v>8</v>
      </c>
      <c r="H9" s="192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1" t="s">
        <v>197</v>
      </c>
      <c r="E10">
        <v>9</v>
      </c>
      <c r="F10">
        <v>3.11</v>
      </c>
      <c r="G10">
        <v>9</v>
      </c>
      <c r="H10" s="192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1" t="s">
        <v>198</v>
      </c>
      <c r="E11">
        <v>10</v>
      </c>
      <c r="F11">
        <v>3.12</v>
      </c>
      <c r="G11">
        <v>10</v>
      </c>
      <c r="H11" s="192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1" t="s">
        <v>199</v>
      </c>
      <c r="E12">
        <v>11</v>
      </c>
      <c r="F12">
        <v>3.12</v>
      </c>
      <c r="G12">
        <v>11</v>
      </c>
      <c r="H12" s="192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1" t="s">
        <v>200</v>
      </c>
      <c r="E13">
        <v>12</v>
      </c>
      <c r="F13">
        <v>3.21</v>
      </c>
      <c r="G13">
        <v>12</v>
      </c>
      <c r="H13" s="192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1" t="s">
        <v>201</v>
      </c>
      <c r="E14">
        <v>13</v>
      </c>
      <c r="F14">
        <v>3.21</v>
      </c>
      <c r="G14">
        <v>13</v>
      </c>
      <c r="H14" s="192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1" t="s">
        <v>202</v>
      </c>
      <c r="E15">
        <v>14</v>
      </c>
      <c r="F15">
        <v>3.21</v>
      </c>
      <c r="G15">
        <v>14</v>
      </c>
      <c r="H15" s="192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1" t="s">
        <v>203</v>
      </c>
      <c r="E16">
        <v>15</v>
      </c>
      <c r="F16">
        <v>3.21</v>
      </c>
      <c r="G16">
        <v>15</v>
      </c>
      <c r="H16" s="192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1" t="s">
        <v>204</v>
      </c>
      <c r="E17">
        <v>16</v>
      </c>
      <c r="F17">
        <v>3.21</v>
      </c>
      <c r="G17">
        <v>16</v>
      </c>
      <c r="H17" s="192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1" t="s">
        <v>205</v>
      </c>
      <c r="E18">
        <v>17</v>
      </c>
      <c r="F18">
        <v>3.21</v>
      </c>
      <c r="G18">
        <v>17</v>
      </c>
      <c r="H18" s="192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1" t="s">
        <v>206</v>
      </c>
      <c r="E19">
        <v>18</v>
      </c>
      <c r="F19">
        <v>3</v>
      </c>
      <c r="G19">
        <v>18</v>
      </c>
      <c r="H19" s="192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1" t="s">
        <v>207</v>
      </c>
      <c r="E20">
        <v>19</v>
      </c>
      <c r="F20">
        <v>3.11</v>
      </c>
      <c r="G20">
        <v>19</v>
      </c>
      <c r="H20" s="192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1" t="s">
        <v>208</v>
      </c>
      <c r="E21">
        <v>20</v>
      </c>
      <c r="F21">
        <v>3.1</v>
      </c>
      <c r="G21">
        <v>20</v>
      </c>
      <c r="H21" s="192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1" t="s">
        <v>209</v>
      </c>
      <c r="E22">
        <v>21</v>
      </c>
      <c r="F22">
        <v>3.1</v>
      </c>
      <c r="G22">
        <v>21</v>
      </c>
      <c r="H22" s="192" t="s">
        <v>209</v>
      </c>
    </row>
    <row r="23" spans="1:12" x14ac:dyDescent="0.15">
      <c r="A23" s="35" t="s">
        <v>129</v>
      </c>
      <c r="B23" s="43">
        <v>4</v>
      </c>
      <c r="C23" s="37"/>
      <c r="D23" s="191" t="s">
        <v>210</v>
      </c>
      <c r="E23">
        <v>22</v>
      </c>
      <c r="F23">
        <v>3.12</v>
      </c>
      <c r="G23">
        <v>22</v>
      </c>
      <c r="H23" s="192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1" t="s">
        <v>211</v>
      </c>
      <c r="E24">
        <v>23</v>
      </c>
      <c r="F24">
        <v>3.12</v>
      </c>
      <c r="G24">
        <v>23</v>
      </c>
      <c r="H24" s="192" t="s">
        <v>211</v>
      </c>
    </row>
    <row r="25" spans="1:12" x14ac:dyDescent="0.15">
      <c r="A25" s="35" t="s">
        <v>70</v>
      </c>
      <c r="B25" s="43">
        <v>4.2</v>
      </c>
      <c r="C25" s="37"/>
      <c r="D25" s="191" t="s">
        <v>212</v>
      </c>
      <c r="E25">
        <v>24</v>
      </c>
      <c r="F25">
        <v>3.1</v>
      </c>
      <c r="G25">
        <v>24</v>
      </c>
      <c r="H25" s="192" t="s">
        <v>212</v>
      </c>
    </row>
    <row r="26" spans="1:12" x14ac:dyDescent="0.15">
      <c r="A26" s="35" t="s">
        <v>123</v>
      </c>
      <c r="B26" s="43">
        <v>4.3</v>
      </c>
      <c r="C26" s="37"/>
      <c r="D26" s="191" t="s">
        <v>213</v>
      </c>
      <c r="E26">
        <v>25</v>
      </c>
      <c r="F26">
        <v>3.2</v>
      </c>
      <c r="G26">
        <v>25</v>
      </c>
      <c r="H26" s="192" t="s">
        <v>213</v>
      </c>
    </row>
    <row r="27" spans="1:12" x14ac:dyDescent="0.15">
      <c r="A27" s="35" t="s">
        <v>125</v>
      </c>
      <c r="B27" s="43">
        <v>6.1</v>
      </c>
      <c r="D27" s="191" t="s">
        <v>214</v>
      </c>
      <c r="E27">
        <v>26</v>
      </c>
      <c r="F27">
        <v>3.2</v>
      </c>
      <c r="G27">
        <v>26</v>
      </c>
      <c r="H27" s="192" t="s">
        <v>214</v>
      </c>
    </row>
    <row r="28" spans="1:12" x14ac:dyDescent="0.15">
      <c r="A28" s="35" t="s">
        <v>124</v>
      </c>
      <c r="B28" s="43">
        <v>6.2</v>
      </c>
      <c r="D28" s="191" t="s">
        <v>215</v>
      </c>
      <c r="E28">
        <v>27</v>
      </c>
      <c r="F28">
        <v>3.2</v>
      </c>
      <c r="G28">
        <v>27</v>
      </c>
      <c r="H28" s="192" t="s">
        <v>215</v>
      </c>
    </row>
    <row r="29" spans="1:12" x14ac:dyDescent="0.15">
      <c r="A29" s="35" t="s">
        <v>44</v>
      </c>
      <c r="B29" s="43">
        <v>5</v>
      </c>
      <c r="D29" s="191" t="s">
        <v>216</v>
      </c>
      <c r="E29">
        <v>28</v>
      </c>
      <c r="F29">
        <v>3.12</v>
      </c>
      <c r="G29">
        <v>28</v>
      </c>
      <c r="H29" s="192" t="s">
        <v>216</v>
      </c>
    </row>
    <row r="30" spans="1:12" x14ac:dyDescent="0.15">
      <c r="A30" s="35" t="s">
        <v>73</v>
      </c>
      <c r="B30" s="43">
        <v>7</v>
      </c>
      <c r="D30" s="191" t="s">
        <v>217</v>
      </c>
      <c r="E30">
        <v>29</v>
      </c>
      <c r="F30">
        <v>3.12</v>
      </c>
      <c r="G30">
        <v>29</v>
      </c>
      <c r="H30" s="192" t="s">
        <v>217</v>
      </c>
    </row>
    <row r="31" spans="1:12" x14ac:dyDescent="0.15">
      <c r="A31" s="35" t="s">
        <v>169</v>
      </c>
      <c r="B31" s="43">
        <v>3.14</v>
      </c>
      <c r="D31" s="191" t="s">
        <v>218</v>
      </c>
      <c r="E31">
        <v>30</v>
      </c>
      <c r="F31">
        <v>3.12</v>
      </c>
      <c r="G31">
        <v>30</v>
      </c>
      <c r="H31" s="192" t="s">
        <v>218</v>
      </c>
    </row>
    <row r="32" spans="1:12" ht="12" customHeight="1" thickBot="1" x14ac:dyDescent="0.2">
      <c r="A32" s="41" t="s">
        <v>170</v>
      </c>
      <c r="B32" s="44">
        <v>9</v>
      </c>
      <c r="D32" s="191" t="s">
        <v>219</v>
      </c>
      <c r="E32">
        <v>31</v>
      </c>
      <c r="F32">
        <v>3.13</v>
      </c>
      <c r="G32">
        <v>31</v>
      </c>
      <c r="H32" s="192" t="s">
        <v>219</v>
      </c>
    </row>
    <row r="33" spans="4:8" customFormat="1" ht="12" customHeight="1" x14ac:dyDescent="0.15">
      <c r="D33" s="191" t="s">
        <v>220</v>
      </c>
      <c r="E33">
        <v>32</v>
      </c>
      <c r="F33">
        <v>3.13</v>
      </c>
      <c r="G33">
        <v>32</v>
      </c>
      <c r="H33" s="192" t="s">
        <v>220</v>
      </c>
    </row>
    <row r="34" spans="4:8" customFormat="1" ht="12" customHeight="1" x14ac:dyDescent="0.15">
      <c r="D34" s="191" t="s">
        <v>221</v>
      </c>
      <c r="E34">
        <v>33</v>
      </c>
      <c r="F34">
        <v>3.13</v>
      </c>
      <c r="G34">
        <v>33</v>
      </c>
      <c r="H34" s="192" t="s">
        <v>221</v>
      </c>
    </row>
    <row r="35" spans="4:8" customFormat="1" x14ac:dyDescent="0.15">
      <c r="D35" s="191" t="s">
        <v>222</v>
      </c>
      <c r="E35">
        <v>34</v>
      </c>
      <c r="F35">
        <v>4.2</v>
      </c>
      <c r="G35">
        <v>34</v>
      </c>
      <c r="H35" s="192" t="s">
        <v>222</v>
      </c>
    </row>
    <row r="36" spans="4:8" customFormat="1" x14ac:dyDescent="0.15">
      <c r="D36" s="191" t="s">
        <v>223</v>
      </c>
      <c r="E36">
        <v>35</v>
      </c>
      <c r="F36">
        <v>4.0999999999999996</v>
      </c>
      <c r="G36">
        <v>35</v>
      </c>
      <c r="H36" s="192" t="s">
        <v>223</v>
      </c>
    </row>
    <row r="37" spans="4:8" customFormat="1" ht="12" customHeight="1" x14ac:dyDescent="0.15">
      <c r="D37" s="191" t="s">
        <v>224</v>
      </c>
      <c r="E37">
        <v>36</v>
      </c>
      <c r="F37">
        <v>4.3</v>
      </c>
      <c r="G37">
        <v>36</v>
      </c>
      <c r="H37" s="192" t="s">
        <v>224</v>
      </c>
    </row>
    <row r="38" spans="4:8" customFormat="1" x14ac:dyDescent="0.15">
      <c r="D38" s="191" t="s">
        <v>225</v>
      </c>
      <c r="E38">
        <v>37</v>
      </c>
      <c r="F38">
        <v>5</v>
      </c>
      <c r="G38">
        <v>37</v>
      </c>
      <c r="H38" s="192" t="s">
        <v>225</v>
      </c>
    </row>
    <row r="39" spans="4:8" customFormat="1" x14ac:dyDescent="0.15">
      <c r="D39" s="191" t="s">
        <v>138</v>
      </c>
      <c r="E39">
        <v>38</v>
      </c>
      <c r="F39">
        <v>6.1</v>
      </c>
      <c r="G39">
        <v>38</v>
      </c>
      <c r="H39" s="192" t="s">
        <v>138</v>
      </c>
    </row>
    <row r="40" spans="4:8" customFormat="1" x14ac:dyDescent="0.15">
      <c r="D40" s="191" t="s">
        <v>45</v>
      </c>
      <c r="E40">
        <v>39</v>
      </c>
      <c r="F40">
        <v>6.2</v>
      </c>
      <c r="G40">
        <v>39</v>
      </c>
      <c r="H40" s="192" t="s">
        <v>45</v>
      </c>
    </row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2" bestFit="1" customWidth="1"/>
    <col min="2" max="2" width="7.83203125" style="81" customWidth="1"/>
    <col min="3" max="3" width="29.6640625" style="81" customWidth="1"/>
    <col min="4" max="4" width="39.6640625" style="81" customWidth="1"/>
    <col min="5" max="5" width="8.1640625" style="81" customWidth="1"/>
    <col min="6" max="6" width="36.6640625" style="81" bestFit="1" customWidth="1"/>
    <col min="7" max="9" width="2.33203125" style="81" customWidth="1"/>
    <col min="10" max="10" width="2.33203125" style="81" bestFit="1" customWidth="1"/>
    <col min="11" max="15" width="5.83203125" style="81" customWidth="1"/>
    <col min="16" max="16" width="5.83203125" style="71" customWidth="1"/>
    <col min="17" max="17" width="2.33203125" style="81" customWidth="1"/>
    <col min="18" max="18" width="2.33203125" style="72" customWidth="1"/>
    <col min="19" max="16384" width="11.5" style="81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3" t="s">
        <v>48</v>
      </c>
      <c r="L1" s="72"/>
      <c r="M1" s="83" t="s">
        <v>119</v>
      </c>
      <c r="N1" s="72"/>
      <c r="O1" s="83" t="s">
        <v>49</v>
      </c>
      <c r="P1" s="74"/>
      <c r="Q1" s="83" t="s">
        <v>50</v>
      </c>
      <c r="R1" s="69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5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5">
        <v>0</v>
      </c>
      <c r="R4" s="107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5">
        <v>0</v>
      </c>
      <c r="R5" s="107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193" t="s">
        <v>192</v>
      </c>
      <c r="G6" s="81">
        <v>0</v>
      </c>
      <c r="H6" s="81">
        <v>0</v>
      </c>
      <c r="I6" s="81">
        <v>0</v>
      </c>
      <c r="J6" s="81">
        <v>0</v>
      </c>
      <c r="K6" s="81">
        <v>0</v>
      </c>
      <c r="L6" s="81">
        <v>0</v>
      </c>
      <c r="M6" s="81">
        <v>0.99</v>
      </c>
      <c r="N6" s="81">
        <v>1.0000000000000009E-2</v>
      </c>
      <c r="O6" s="81">
        <v>0</v>
      </c>
      <c r="P6" s="71">
        <v>0</v>
      </c>
      <c r="Q6" s="81">
        <v>0</v>
      </c>
      <c r="R6" s="72">
        <v>1</v>
      </c>
      <c r="S6"/>
      <c r="T6"/>
    </row>
    <row r="7" spans="1:23" ht="15" customHeight="1" thickBot="1" x14ac:dyDescent="0.2">
      <c r="F7" s="193" t="s">
        <v>193</v>
      </c>
      <c r="G7" s="81">
        <v>0</v>
      </c>
      <c r="H7" s="81">
        <v>0</v>
      </c>
      <c r="I7" s="81">
        <v>0</v>
      </c>
      <c r="J7" s="81">
        <v>0</v>
      </c>
      <c r="K7" s="81">
        <v>0.99</v>
      </c>
      <c r="L7" s="81">
        <v>1.0000000000000009E-2</v>
      </c>
      <c r="M7" s="81">
        <v>0.99</v>
      </c>
      <c r="N7" s="81">
        <v>1.0000000000000009E-2</v>
      </c>
      <c r="O7" s="81">
        <v>0.99</v>
      </c>
      <c r="P7" s="71">
        <v>1.0000000000000009E-2</v>
      </c>
      <c r="Q7" s="81">
        <v>0</v>
      </c>
      <c r="R7" s="72">
        <v>1</v>
      </c>
      <c r="S7"/>
      <c r="T7"/>
    </row>
    <row r="8" spans="1:23" ht="15" customHeight="1" x14ac:dyDescent="0.15">
      <c r="A8" s="83" t="s">
        <v>56</v>
      </c>
      <c r="B8" s="90">
        <v>1</v>
      </c>
      <c r="C8" s="194" t="s">
        <v>192</v>
      </c>
      <c r="D8" s="85" t="s">
        <v>160</v>
      </c>
      <c r="F8" s="193" t="s">
        <v>194</v>
      </c>
      <c r="G8" s="81">
        <v>0</v>
      </c>
      <c r="H8" s="81">
        <v>0</v>
      </c>
      <c r="I8" s="81">
        <v>0</v>
      </c>
      <c r="J8" s="81">
        <v>0</v>
      </c>
      <c r="K8" s="81">
        <v>0.99</v>
      </c>
      <c r="L8" s="81">
        <v>1.0000000000000009E-2</v>
      </c>
      <c r="M8" s="81">
        <v>0.99</v>
      </c>
      <c r="N8" s="81">
        <v>1.0000000000000009E-2</v>
      </c>
      <c r="O8" s="81">
        <v>0.99</v>
      </c>
      <c r="P8" s="71">
        <v>1.0000000000000009E-2</v>
      </c>
      <c r="Q8" s="81">
        <v>0</v>
      </c>
      <c r="R8" s="72">
        <v>1</v>
      </c>
      <c r="S8"/>
      <c r="T8"/>
      <c r="W8"/>
    </row>
    <row r="9" spans="1:23" ht="15" customHeight="1" x14ac:dyDescent="0.15">
      <c r="A9" s="121" t="s">
        <v>168</v>
      </c>
      <c r="B9" s="92"/>
      <c r="C9" s="80"/>
      <c r="D9" s="85" t="s">
        <v>160</v>
      </c>
      <c r="F9" s="193" t="s">
        <v>195</v>
      </c>
      <c r="G9" s="81">
        <v>0</v>
      </c>
      <c r="H9" s="81">
        <v>0</v>
      </c>
      <c r="I9" s="81">
        <v>0</v>
      </c>
      <c r="J9" s="81">
        <v>0</v>
      </c>
      <c r="K9" s="81">
        <v>0.99</v>
      </c>
      <c r="L9" s="81">
        <v>1.0000000000000009E-2</v>
      </c>
      <c r="M9" s="81">
        <v>0.99</v>
      </c>
      <c r="N9" s="81">
        <v>1.0000000000000009E-2</v>
      </c>
      <c r="O9" s="81">
        <v>0.99</v>
      </c>
      <c r="P9" s="71">
        <v>1.0000000000000009E-2</v>
      </c>
      <c r="Q9" s="81">
        <v>0</v>
      </c>
      <c r="R9" s="72">
        <v>1</v>
      </c>
      <c r="S9"/>
      <c r="T9"/>
      <c r="W9"/>
    </row>
    <row r="10" spans="1:23" ht="15" customHeight="1" x14ac:dyDescent="0.15">
      <c r="B10" s="92"/>
      <c r="C10" s="80"/>
      <c r="D10" s="85" t="s">
        <v>160</v>
      </c>
      <c r="F10" s="193" t="s">
        <v>196</v>
      </c>
      <c r="G10" s="81">
        <v>0</v>
      </c>
      <c r="H10" s="81">
        <v>0</v>
      </c>
      <c r="I10" s="81">
        <v>0</v>
      </c>
      <c r="J10" s="81">
        <v>0</v>
      </c>
      <c r="K10" s="81">
        <v>0.99</v>
      </c>
      <c r="L10" s="81">
        <v>1.0000000000000009E-2</v>
      </c>
      <c r="M10" s="81">
        <v>0.99</v>
      </c>
      <c r="N10" s="81">
        <v>1.0000000000000009E-2</v>
      </c>
      <c r="O10" s="81">
        <v>0.99</v>
      </c>
      <c r="P10" s="71">
        <v>1.0000000000000009E-2</v>
      </c>
      <c r="Q10" s="81">
        <v>0</v>
      </c>
      <c r="R10" s="72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193" t="s">
        <v>197</v>
      </c>
      <c r="G11" s="81">
        <v>0</v>
      </c>
      <c r="H11" s="81">
        <v>0</v>
      </c>
      <c r="I11" s="81">
        <v>0</v>
      </c>
      <c r="J11" s="81">
        <v>0</v>
      </c>
      <c r="K11" s="81">
        <v>0.99</v>
      </c>
      <c r="L11" s="81">
        <v>1.0000000000000009E-2</v>
      </c>
      <c r="M11" s="81">
        <v>0.99</v>
      </c>
      <c r="N11" s="81">
        <v>1.0000000000000009E-2</v>
      </c>
      <c r="O11" s="81">
        <v>0.99</v>
      </c>
      <c r="P11" s="71">
        <v>1.0000000000000009E-2</v>
      </c>
      <c r="Q11" s="81">
        <v>0</v>
      </c>
      <c r="R11" s="72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193" t="s">
        <v>198</v>
      </c>
      <c r="G12" s="81">
        <v>0</v>
      </c>
      <c r="H12" s="81">
        <v>0</v>
      </c>
      <c r="I12" s="81">
        <v>0</v>
      </c>
      <c r="J12" s="81">
        <v>0</v>
      </c>
      <c r="K12" s="81">
        <v>0.99</v>
      </c>
      <c r="L12" s="81">
        <v>1.0000000000000009E-2</v>
      </c>
      <c r="M12" s="81">
        <v>0.99</v>
      </c>
      <c r="N12" s="81">
        <v>1.0000000000000009E-2</v>
      </c>
      <c r="O12" s="81">
        <v>0.99</v>
      </c>
      <c r="P12" s="71">
        <v>1.0000000000000009E-2</v>
      </c>
      <c r="Q12" s="81">
        <v>0</v>
      </c>
      <c r="R12" s="72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193" t="s">
        <v>199</v>
      </c>
      <c r="G13" s="81">
        <v>0</v>
      </c>
      <c r="H13" s="81">
        <v>0</v>
      </c>
      <c r="I13" s="81">
        <v>0</v>
      </c>
      <c r="J13" s="81">
        <v>0</v>
      </c>
      <c r="K13" s="81">
        <v>0.99</v>
      </c>
      <c r="L13" s="81">
        <v>1.0000000000000009E-2</v>
      </c>
      <c r="M13" s="81">
        <v>0.99</v>
      </c>
      <c r="N13" s="81">
        <v>1.0000000000000009E-2</v>
      </c>
      <c r="O13" s="81">
        <v>0.99</v>
      </c>
      <c r="P13" s="71">
        <v>1.0000000000000009E-2</v>
      </c>
      <c r="Q13" s="81">
        <v>0</v>
      </c>
      <c r="R13" s="72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193" t="s">
        <v>200</v>
      </c>
      <c r="G14" s="81">
        <v>0</v>
      </c>
      <c r="H14" s="81">
        <v>0</v>
      </c>
      <c r="I14" s="81">
        <v>0</v>
      </c>
      <c r="J14" s="81">
        <v>0</v>
      </c>
      <c r="K14" s="81">
        <v>0.99</v>
      </c>
      <c r="L14" s="81">
        <v>1.0000000000000009E-2</v>
      </c>
      <c r="M14" s="81">
        <v>0.99</v>
      </c>
      <c r="N14" s="81">
        <v>1.0000000000000009E-2</v>
      </c>
      <c r="O14" s="81">
        <v>0.99</v>
      </c>
      <c r="P14" s="71">
        <v>1.0000000000000009E-2</v>
      </c>
      <c r="Q14" s="81">
        <v>0</v>
      </c>
      <c r="R14" s="72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193" t="s">
        <v>201</v>
      </c>
      <c r="G15" s="81">
        <v>0</v>
      </c>
      <c r="H15" s="81">
        <v>0</v>
      </c>
      <c r="I15" s="81">
        <v>0</v>
      </c>
      <c r="J15" s="81">
        <v>0</v>
      </c>
      <c r="K15" s="81">
        <v>0.99</v>
      </c>
      <c r="L15" s="81">
        <v>1.0000000000000009E-2</v>
      </c>
      <c r="M15" s="81">
        <v>0.99</v>
      </c>
      <c r="N15" s="81">
        <v>1.0000000000000009E-2</v>
      </c>
      <c r="O15" s="81">
        <v>0.99</v>
      </c>
      <c r="P15" s="71">
        <v>1.0000000000000009E-2</v>
      </c>
      <c r="Q15" s="81">
        <v>0</v>
      </c>
      <c r="R15" s="72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193" t="s">
        <v>202</v>
      </c>
      <c r="G16" s="81">
        <v>0</v>
      </c>
      <c r="H16" s="81">
        <v>0</v>
      </c>
      <c r="I16" s="81">
        <v>0</v>
      </c>
      <c r="J16" s="81">
        <v>0</v>
      </c>
      <c r="K16" s="81">
        <v>0.99</v>
      </c>
      <c r="L16" s="81">
        <v>1.0000000000000009E-2</v>
      </c>
      <c r="M16" s="81">
        <v>0.99</v>
      </c>
      <c r="N16" s="81">
        <v>1.0000000000000009E-2</v>
      </c>
      <c r="O16" s="81">
        <v>0.99</v>
      </c>
      <c r="P16" s="71">
        <v>1.0000000000000009E-2</v>
      </c>
      <c r="Q16" s="81">
        <v>0</v>
      </c>
      <c r="R16" s="72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193" t="s">
        <v>203</v>
      </c>
      <c r="G17" s="81">
        <v>0</v>
      </c>
      <c r="H17" s="81">
        <v>0</v>
      </c>
      <c r="I17" s="81">
        <v>0</v>
      </c>
      <c r="J17" s="81">
        <v>0</v>
      </c>
      <c r="K17" s="81">
        <v>0.99</v>
      </c>
      <c r="L17" s="81">
        <v>1.0000000000000009E-2</v>
      </c>
      <c r="M17" s="81">
        <v>0.99</v>
      </c>
      <c r="N17" s="81">
        <v>1.0000000000000009E-2</v>
      </c>
      <c r="O17" s="81">
        <v>0.99</v>
      </c>
      <c r="P17" s="71">
        <v>1.0000000000000009E-2</v>
      </c>
      <c r="Q17" s="81">
        <v>0</v>
      </c>
      <c r="R17" s="72">
        <v>1</v>
      </c>
      <c r="S17"/>
      <c r="T17"/>
    </row>
    <row r="18" spans="1:20" ht="15" customHeight="1" thickBot="1" x14ac:dyDescent="0.2">
      <c r="B18" s="93"/>
      <c r="F18" s="193" t="s">
        <v>204</v>
      </c>
      <c r="G18" s="81">
        <v>0</v>
      </c>
      <c r="H18" s="81">
        <v>0</v>
      </c>
      <c r="I18" s="81">
        <v>0</v>
      </c>
      <c r="J18" s="81">
        <v>0</v>
      </c>
      <c r="K18" s="81">
        <v>0.99</v>
      </c>
      <c r="L18" s="81">
        <v>1.0000000000000009E-2</v>
      </c>
      <c r="M18" s="81">
        <v>0.99</v>
      </c>
      <c r="N18" s="81">
        <v>1.0000000000000009E-2</v>
      </c>
      <c r="O18" s="81">
        <v>0.99</v>
      </c>
      <c r="P18" s="71">
        <v>1.0000000000000009E-2</v>
      </c>
      <c r="Q18" s="81">
        <v>0</v>
      </c>
      <c r="R18" s="72">
        <v>1</v>
      </c>
      <c r="S18"/>
      <c r="T18"/>
    </row>
    <row r="19" spans="1:20" ht="15" customHeight="1" x14ac:dyDescent="0.15">
      <c r="A19" s="83" t="s">
        <v>57</v>
      </c>
      <c r="B19" s="90">
        <v>1</v>
      </c>
      <c r="C19" s="195" t="s">
        <v>192</v>
      </c>
      <c r="D19" s="85" t="s">
        <v>160</v>
      </c>
      <c r="F19" s="193" t="s">
        <v>205</v>
      </c>
      <c r="G19" s="81">
        <v>0</v>
      </c>
      <c r="H19" s="81">
        <v>0</v>
      </c>
      <c r="I19" s="81">
        <v>0</v>
      </c>
      <c r="J19" s="81">
        <v>0</v>
      </c>
      <c r="K19" s="81">
        <v>0.99</v>
      </c>
      <c r="L19" s="81">
        <v>1.0000000000000009E-2</v>
      </c>
      <c r="M19" s="81">
        <v>0.99</v>
      </c>
      <c r="N19" s="81">
        <v>1.0000000000000009E-2</v>
      </c>
      <c r="O19" s="81">
        <v>0.99</v>
      </c>
      <c r="P19" s="71">
        <v>1.0000000000000009E-2</v>
      </c>
      <c r="Q19" s="81">
        <v>0</v>
      </c>
      <c r="R19" s="72">
        <v>1</v>
      </c>
      <c r="S19"/>
      <c r="T19"/>
    </row>
    <row r="20" spans="1:20" ht="15" customHeight="1" x14ac:dyDescent="0.15">
      <c r="A20" s="121" t="s">
        <v>168</v>
      </c>
      <c r="B20" s="92"/>
      <c r="C20" s="80"/>
      <c r="D20" s="85" t="s">
        <v>160</v>
      </c>
      <c r="F20" s="193" t="s">
        <v>206</v>
      </c>
      <c r="G20" s="81">
        <v>0</v>
      </c>
      <c r="H20" s="81">
        <v>0</v>
      </c>
      <c r="I20" s="81">
        <v>0</v>
      </c>
      <c r="J20" s="81">
        <v>0</v>
      </c>
      <c r="K20" s="81">
        <v>0.99</v>
      </c>
      <c r="L20" s="81">
        <v>1.0000000000000009E-2</v>
      </c>
      <c r="M20" s="81">
        <v>0.99</v>
      </c>
      <c r="N20" s="81">
        <v>1.0000000000000009E-2</v>
      </c>
      <c r="O20" s="81">
        <v>0.99</v>
      </c>
      <c r="P20" s="71">
        <v>1.0000000000000009E-2</v>
      </c>
      <c r="Q20" s="81">
        <v>0</v>
      </c>
      <c r="R20" s="72">
        <v>1</v>
      </c>
      <c r="S20"/>
      <c r="T20"/>
    </row>
    <row r="21" spans="1:20" ht="15" customHeight="1" x14ac:dyDescent="0.15">
      <c r="B21" s="92"/>
      <c r="C21" s="80"/>
      <c r="D21" s="85" t="s">
        <v>160</v>
      </c>
      <c r="F21" s="193" t="s">
        <v>207</v>
      </c>
      <c r="G21" s="81">
        <v>0</v>
      </c>
      <c r="H21" s="81">
        <v>0</v>
      </c>
      <c r="I21" s="81">
        <v>0</v>
      </c>
      <c r="J21" s="81">
        <v>0</v>
      </c>
      <c r="K21" s="81">
        <v>0.99</v>
      </c>
      <c r="L21" s="81">
        <v>1.0000000000000009E-2</v>
      </c>
      <c r="M21" s="81">
        <v>0.99</v>
      </c>
      <c r="N21" s="81">
        <v>1.0000000000000009E-2</v>
      </c>
      <c r="O21" s="81">
        <v>0.99</v>
      </c>
      <c r="P21" s="71">
        <v>1.0000000000000009E-2</v>
      </c>
      <c r="Q21" s="81">
        <v>0</v>
      </c>
      <c r="R21" s="72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193" t="s">
        <v>208</v>
      </c>
      <c r="G22" s="81">
        <v>0</v>
      </c>
      <c r="H22" s="81">
        <v>0</v>
      </c>
      <c r="I22" s="81">
        <v>0</v>
      </c>
      <c r="J22" s="81">
        <v>0</v>
      </c>
      <c r="K22" s="81">
        <v>0.99</v>
      </c>
      <c r="L22" s="81">
        <v>1.0000000000000009E-2</v>
      </c>
      <c r="M22" s="81">
        <v>0.99</v>
      </c>
      <c r="N22" s="81">
        <v>1.0000000000000009E-2</v>
      </c>
      <c r="O22" s="81">
        <v>0.99</v>
      </c>
      <c r="P22" s="71">
        <v>1.0000000000000009E-2</v>
      </c>
      <c r="Q22" s="81">
        <v>0</v>
      </c>
      <c r="R22" s="72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193" t="s">
        <v>209</v>
      </c>
      <c r="G23" s="81">
        <v>0</v>
      </c>
      <c r="H23" s="81">
        <v>0</v>
      </c>
      <c r="I23" s="81">
        <v>0</v>
      </c>
      <c r="J23" s="81">
        <v>0</v>
      </c>
      <c r="K23" s="81">
        <v>0.99</v>
      </c>
      <c r="L23" s="81">
        <v>1.0000000000000009E-2</v>
      </c>
      <c r="M23" s="81">
        <v>0.99</v>
      </c>
      <c r="N23" s="81">
        <v>1.0000000000000009E-2</v>
      </c>
      <c r="O23" s="81">
        <v>0.99</v>
      </c>
      <c r="P23" s="71">
        <v>1.0000000000000009E-2</v>
      </c>
      <c r="Q23" s="81">
        <v>0</v>
      </c>
      <c r="R23" s="72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193" t="s">
        <v>210</v>
      </c>
      <c r="G24" s="81">
        <v>0</v>
      </c>
      <c r="H24" s="81">
        <v>0</v>
      </c>
      <c r="I24" s="81">
        <v>0</v>
      </c>
      <c r="J24" s="81">
        <v>0</v>
      </c>
      <c r="K24" s="81">
        <v>0.99</v>
      </c>
      <c r="L24" s="81">
        <v>1.0000000000000009E-2</v>
      </c>
      <c r="M24" s="81">
        <v>0.99</v>
      </c>
      <c r="N24" s="81">
        <v>1.0000000000000009E-2</v>
      </c>
      <c r="O24" s="81">
        <v>0.99</v>
      </c>
      <c r="P24" s="71">
        <v>1.0000000000000009E-2</v>
      </c>
      <c r="Q24" s="81">
        <v>0</v>
      </c>
      <c r="R24" s="72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193" t="s">
        <v>211</v>
      </c>
      <c r="G25" s="81">
        <v>0</v>
      </c>
      <c r="H25" s="81">
        <v>0</v>
      </c>
      <c r="I25" s="81">
        <v>0</v>
      </c>
      <c r="J25" s="81">
        <v>0</v>
      </c>
      <c r="K25" s="81">
        <v>0.99</v>
      </c>
      <c r="L25" s="81">
        <v>1.0000000000000009E-2</v>
      </c>
      <c r="M25" s="81">
        <v>0.99</v>
      </c>
      <c r="N25" s="81">
        <v>1.0000000000000009E-2</v>
      </c>
      <c r="O25" s="81">
        <v>0.99</v>
      </c>
      <c r="P25" s="71">
        <v>1.0000000000000009E-2</v>
      </c>
      <c r="Q25" s="81">
        <v>0</v>
      </c>
      <c r="R25" s="72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193" t="s">
        <v>212</v>
      </c>
      <c r="G26" s="81">
        <v>0</v>
      </c>
      <c r="H26" s="81">
        <v>0</v>
      </c>
      <c r="I26" s="81">
        <v>0</v>
      </c>
      <c r="J26" s="81">
        <v>0</v>
      </c>
      <c r="K26" s="81">
        <v>0.99</v>
      </c>
      <c r="L26" s="81">
        <v>1.0000000000000009E-2</v>
      </c>
      <c r="M26" s="81">
        <v>0.99</v>
      </c>
      <c r="N26" s="81">
        <v>1.0000000000000009E-2</v>
      </c>
      <c r="O26" s="81">
        <v>0.99</v>
      </c>
      <c r="P26" s="71">
        <v>1.0000000000000009E-2</v>
      </c>
      <c r="Q26" s="81">
        <v>0</v>
      </c>
      <c r="R26" s="72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193" t="s">
        <v>213</v>
      </c>
      <c r="G27" s="81">
        <v>0</v>
      </c>
      <c r="H27" s="81">
        <v>0</v>
      </c>
      <c r="I27" s="81">
        <v>0</v>
      </c>
      <c r="J27" s="81">
        <v>0</v>
      </c>
      <c r="K27" s="81">
        <v>0.99</v>
      </c>
      <c r="L27" s="81">
        <v>1.0000000000000009E-2</v>
      </c>
      <c r="M27" s="81">
        <v>0.99</v>
      </c>
      <c r="N27" s="81">
        <v>1.0000000000000009E-2</v>
      </c>
      <c r="O27" s="81">
        <v>0.99</v>
      </c>
      <c r="P27" s="71">
        <v>1.0000000000000009E-2</v>
      </c>
      <c r="Q27" s="81">
        <v>0</v>
      </c>
      <c r="R27" s="72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193" t="s">
        <v>214</v>
      </c>
      <c r="G28" s="81">
        <v>0</v>
      </c>
      <c r="H28" s="81">
        <v>0</v>
      </c>
      <c r="I28" s="81">
        <v>0</v>
      </c>
      <c r="J28" s="81">
        <v>0</v>
      </c>
      <c r="K28" s="81">
        <v>0.99</v>
      </c>
      <c r="L28" s="81">
        <v>1.0000000000000009E-2</v>
      </c>
      <c r="M28" s="81">
        <v>0.99</v>
      </c>
      <c r="N28" s="81">
        <v>1.0000000000000009E-2</v>
      </c>
      <c r="O28" s="81">
        <v>0.99</v>
      </c>
      <c r="P28" s="71">
        <v>1.0000000000000009E-2</v>
      </c>
      <c r="Q28" s="81">
        <v>0</v>
      </c>
      <c r="R28" s="72">
        <v>1</v>
      </c>
      <c r="S28"/>
      <c r="T28"/>
    </row>
    <row r="29" spans="1:20" ht="15" customHeight="1" x14ac:dyDescent="0.15">
      <c r="F29" s="193" t="s">
        <v>215</v>
      </c>
      <c r="G29" s="81">
        <v>0</v>
      </c>
      <c r="H29" s="81">
        <v>0</v>
      </c>
      <c r="I29" s="81">
        <v>0</v>
      </c>
      <c r="J29" s="81">
        <v>0</v>
      </c>
      <c r="K29" s="81">
        <v>0.99</v>
      </c>
      <c r="L29" s="81">
        <v>1.0000000000000009E-2</v>
      </c>
      <c r="M29" s="81">
        <v>0.99</v>
      </c>
      <c r="N29" s="81">
        <v>1.0000000000000009E-2</v>
      </c>
      <c r="O29" s="81">
        <v>0.99</v>
      </c>
      <c r="P29" s="71">
        <v>1.0000000000000009E-2</v>
      </c>
      <c r="Q29" s="81">
        <v>0</v>
      </c>
      <c r="R29" s="72">
        <v>1</v>
      </c>
      <c r="S29"/>
      <c r="T29"/>
    </row>
    <row r="30" spans="1:20" ht="15" customHeight="1" x14ac:dyDescent="0.15">
      <c r="F30" s="193" t="s">
        <v>216</v>
      </c>
      <c r="G30" s="81">
        <v>0</v>
      </c>
      <c r="H30" s="81">
        <v>0</v>
      </c>
      <c r="I30" s="81">
        <v>0</v>
      </c>
      <c r="J30" s="81">
        <v>0</v>
      </c>
      <c r="K30" s="81">
        <v>0.99</v>
      </c>
      <c r="L30" s="81">
        <v>1.0000000000000009E-2</v>
      </c>
      <c r="M30" s="81">
        <v>0.99</v>
      </c>
      <c r="N30" s="81">
        <v>1.0000000000000009E-2</v>
      </c>
      <c r="O30" s="81">
        <v>0.99</v>
      </c>
      <c r="P30" s="71">
        <v>1.0000000000000009E-2</v>
      </c>
      <c r="Q30" s="81">
        <v>0</v>
      </c>
      <c r="R30" s="72">
        <v>1</v>
      </c>
      <c r="S30"/>
      <c r="T30"/>
    </row>
    <row r="31" spans="1:20" ht="15" customHeight="1" x14ac:dyDescent="0.15">
      <c r="A31" s="122"/>
      <c r="B31" s="133" t="s">
        <v>17</v>
      </c>
      <c r="C31" s="133" t="s">
        <v>1</v>
      </c>
      <c r="D31" s="133" t="s">
        <v>161</v>
      </c>
      <c r="E31" s="134" t="s">
        <v>163</v>
      </c>
      <c r="F31" s="193" t="s">
        <v>217</v>
      </c>
      <c r="G31" s="81">
        <v>0</v>
      </c>
      <c r="H31" s="81">
        <v>0</v>
      </c>
      <c r="I31" s="81">
        <v>0</v>
      </c>
      <c r="J31" s="81">
        <v>0</v>
      </c>
      <c r="K31" s="81">
        <v>0.99</v>
      </c>
      <c r="L31" s="81">
        <v>1.0000000000000009E-2</v>
      </c>
      <c r="M31" s="81">
        <v>0.99</v>
      </c>
      <c r="N31" s="81">
        <v>1.0000000000000009E-2</v>
      </c>
      <c r="O31" s="81">
        <v>0.99</v>
      </c>
      <c r="P31" s="71">
        <v>1.0000000000000009E-2</v>
      </c>
      <c r="Q31" s="81">
        <v>0</v>
      </c>
      <c r="R31" s="72">
        <v>1</v>
      </c>
      <c r="S31"/>
      <c r="T31"/>
    </row>
    <row r="32" spans="1:20" ht="15" customHeight="1" x14ac:dyDescent="0.15">
      <c r="A32" s="196" t="s">
        <v>192</v>
      </c>
      <c r="B32" s="93">
        <v>20.045500000000001</v>
      </c>
      <c r="C32" s="93">
        <v>212.11114499999999</v>
      </c>
      <c r="D32" s="93">
        <v>4251.8739570975004</v>
      </c>
      <c r="E32" s="124">
        <v>1</v>
      </c>
      <c r="F32" s="193" t="s">
        <v>218</v>
      </c>
      <c r="G32" s="81">
        <v>0</v>
      </c>
      <c r="H32" s="81">
        <v>0</v>
      </c>
      <c r="I32" s="81">
        <v>0</v>
      </c>
      <c r="J32" s="81">
        <v>0</v>
      </c>
      <c r="K32" s="81">
        <v>0.99</v>
      </c>
      <c r="L32" s="81">
        <v>1.0000000000000009E-2</v>
      </c>
      <c r="M32" s="81">
        <v>0.99</v>
      </c>
      <c r="N32" s="81">
        <v>1.0000000000000009E-2</v>
      </c>
      <c r="O32" s="81">
        <v>0.99</v>
      </c>
      <c r="P32" s="71">
        <v>1.0000000000000009E-2</v>
      </c>
      <c r="Q32" s="81">
        <v>0</v>
      </c>
      <c r="R32" s="72">
        <v>1</v>
      </c>
      <c r="S32"/>
      <c r="T32"/>
    </row>
    <row r="33" spans="1:20" ht="15" customHeight="1" x14ac:dyDescent="0.15">
      <c r="A33" s="123"/>
      <c r="B33" s="93"/>
      <c r="C33" s="93"/>
      <c r="D33" s="93"/>
      <c r="E33" s="124"/>
      <c r="F33" s="193" t="s">
        <v>219</v>
      </c>
      <c r="G33" s="81">
        <v>0</v>
      </c>
      <c r="H33" s="81">
        <v>0</v>
      </c>
      <c r="I33" s="81">
        <v>0</v>
      </c>
      <c r="J33" s="81">
        <v>0</v>
      </c>
      <c r="K33" s="81">
        <v>0.99</v>
      </c>
      <c r="L33" s="81">
        <v>1.0000000000000009E-2</v>
      </c>
      <c r="M33" s="81">
        <v>0.99</v>
      </c>
      <c r="N33" s="81">
        <v>1.0000000000000009E-2</v>
      </c>
      <c r="O33" s="81">
        <v>0.99</v>
      </c>
      <c r="P33" s="71">
        <v>1.0000000000000009E-2</v>
      </c>
      <c r="Q33" s="81">
        <v>0</v>
      </c>
      <c r="R33" s="72">
        <v>1</v>
      </c>
      <c r="S33"/>
      <c r="T33"/>
    </row>
    <row r="34" spans="1:20" ht="15" customHeight="1" x14ac:dyDescent="0.15">
      <c r="A34" s="125"/>
      <c r="B34" s="93"/>
      <c r="C34" s="93"/>
      <c r="D34" s="93"/>
      <c r="E34" s="124"/>
      <c r="F34" s="193" t="s">
        <v>220</v>
      </c>
      <c r="G34" s="81">
        <v>0</v>
      </c>
      <c r="H34" s="81">
        <v>0</v>
      </c>
      <c r="I34" s="81">
        <v>0</v>
      </c>
      <c r="J34" s="81">
        <v>0</v>
      </c>
      <c r="K34" s="81">
        <v>0.99</v>
      </c>
      <c r="L34" s="81">
        <v>1.0000000000000009E-2</v>
      </c>
      <c r="M34" s="81">
        <v>0.99</v>
      </c>
      <c r="N34" s="81">
        <v>1.0000000000000009E-2</v>
      </c>
      <c r="O34" s="81">
        <v>0.99</v>
      </c>
      <c r="P34" s="71">
        <v>1.0000000000000009E-2</v>
      </c>
      <c r="Q34" s="81">
        <v>0</v>
      </c>
      <c r="R34" s="72">
        <v>1</v>
      </c>
      <c r="S34"/>
      <c r="T34"/>
    </row>
    <row r="35" spans="1:20" ht="15" customHeight="1" x14ac:dyDescent="0.15">
      <c r="A35" s="126"/>
      <c r="B35" s="93"/>
      <c r="C35" s="93"/>
      <c r="D35" s="93"/>
      <c r="E35" s="124"/>
      <c r="F35" s="193" t="s">
        <v>221</v>
      </c>
      <c r="G35" s="81">
        <v>0</v>
      </c>
      <c r="H35" s="81">
        <v>0</v>
      </c>
      <c r="I35" s="81">
        <v>0</v>
      </c>
      <c r="J35" s="81">
        <v>0</v>
      </c>
      <c r="K35" s="81">
        <v>1E-3</v>
      </c>
      <c r="L35" s="81">
        <v>0.999</v>
      </c>
      <c r="M35" s="81">
        <v>1E-3</v>
      </c>
      <c r="N35" s="81">
        <v>0.999</v>
      </c>
      <c r="O35" s="81">
        <v>1E-3</v>
      </c>
      <c r="P35" s="71">
        <v>0.999</v>
      </c>
      <c r="Q35" s="81">
        <v>0</v>
      </c>
      <c r="R35" s="72">
        <v>1</v>
      </c>
      <c r="S35"/>
      <c r="T35"/>
    </row>
    <row r="36" spans="1:20" ht="15" customHeight="1" x14ac:dyDescent="0.15">
      <c r="A36" s="127"/>
      <c r="B36" s="93"/>
      <c r="C36" s="93"/>
      <c r="D36" s="93"/>
      <c r="E36" s="124"/>
      <c r="F36" s="193" t="s">
        <v>222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1</v>
      </c>
      <c r="M36" s="81">
        <v>0</v>
      </c>
      <c r="N36" s="81">
        <v>1</v>
      </c>
      <c r="O36" s="81">
        <v>0</v>
      </c>
      <c r="P36" s="71">
        <v>1</v>
      </c>
      <c r="Q36" s="81">
        <v>0</v>
      </c>
      <c r="R36" s="72">
        <v>1</v>
      </c>
      <c r="S36"/>
      <c r="T36"/>
    </row>
    <row r="37" spans="1:20" ht="15" customHeight="1" x14ac:dyDescent="0.15">
      <c r="A37" s="127"/>
      <c r="B37" s="93"/>
      <c r="C37" s="93"/>
      <c r="D37" s="93"/>
      <c r="E37" s="124"/>
      <c r="F37" s="193" t="s">
        <v>223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1</v>
      </c>
      <c r="M37" s="81">
        <v>0</v>
      </c>
      <c r="N37" s="81">
        <v>1</v>
      </c>
      <c r="O37" s="81">
        <v>0</v>
      </c>
      <c r="P37" s="71">
        <v>1</v>
      </c>
      <c r="Q37" s="81">
        <v>0</v>
      </c>
      <c r="R37" s="72">
        <v>1</v>
      </c>
      <c r="S37"/>
      <c r="T37"/>
    </row>
    <row r="38" spans="1:20" ht="15" customHeight="1" x14ac:dyDescent="0.15">
      <c r="A38" s="128"/>
      <c r="B38" s="93"/>
      <c r="C38" s="93"/>
      <c r="D38" s="93"/>
      <c r="E38" s="124"/>
      <c r="F38" s="193" t="s">
        <v>224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1</v>
      </c>
      <c r="M38" s="81">
        <v>0</v>
      </c>
      <c r="N38" s="81">
        <v>1</v>
      </c>
      <c r="O38" s="81">
        <v>0</v>
      </c>
      <c r="P38" s="71">
        <v>1</v>
      </c>
      <c r="Q38" s="81">
        <v>0</v>
      </c>
      <c r="R38" s="72">
        <v>1</v>
      </c>
      <c r="S38"/>
      <c r="T38"/>
    </row>
    <row r="39" spans="1:20" ht="15" customHeight="1" x14ac:dyDescent="0.15">
      <c r="A39" s="128"/>
      <c r="B39" s="93"/>
      <c r="C39" s="93"/>
      <c r="D39" s="93"/>
      <c r="E39" s="124"/>
      <c r="F39" s="193" t="s">
        <v>225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1</v>
      </c>
      <c r="M39" s="81">
        <v>0</v>
      </c>
      <c r="N39" s="81">
        <v>0</v>
      </c>
      <c r="O39" s="81">
        <v>0</v>
      </c>
      <c r="P39" s="71">
        <v>0</v>
      </c>
      <c r="Q39" s="81">
        <v>0</v>
      </c>
      <c r="R39" s="72">
        <v>1</v>
      </c>
      <c r="S39"/>
      <c r="T39"/>
    </row>
    <row r="40" spans="1:20" ht="15" customHeight="1" x14ac:dyDescent="0.15">
      <c r="A40" s="128"/>
      <c r="B40" s="93"/>
      <c r="C40" s="93"/>
      <c r="D40" s="93"/>
      <c r="E40" s="124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8"/>
      <c r="B41" s="93"/>
      <c r="C41" s="93"/>
      <c r="D41" s="94"/>
      <c r="E41" s="129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0"/>
      <c r="B42" s="131"/>
      <c r="C42" s="131" t="s">
        <v>162</v>
      </c>
      <c r="D42" s="131">
        <f>SUM(D32:D41)</f>
        <v>4251.8739570975004</v>
      </c>
      <c r="E42" s="132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1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1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1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P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6.6640625" bestFit="1" customWidth="1"/>
    <col min="2" max="2" width="2.33203125" style="107" customWidth="1"/>
    <col min="3" max="5" width="7.83203125" style="107" customWidth="1"/>
    <col min="6" max="8" width="8.83203125" style="6"/>
    <col min="9" max="9" width="29.6640625" style="6" customWidth="1"/>
    <col min="10" max="10" width="8.1640625" style="6" customWidth="1"/>
    <col min="11" max="11" width="15.83203125" style="6" customWidth="1"/>
    <col min="12" max="12" width="14.5" style="6" customWidth="1"/>
    <col min="13" max="13" width="14.6640625" style="6" customWidth="1"/>
    <col min="14" max="14" width="20.6640625" style="6" customWidth="1"/>
    <col min="15" max="15" width="11.5" style="6" customWidth="1"/>
    <col min="16" max="16" width="12.6640625" style="6" customWidth="1"/>
    <col min="17" max="17" width="24.1640625" style="6" customWidth="1"/>
    <col min="18" max="18" width="24.33203125" style="6" customWidth="1"/>
    <col min="19" max="19" width="21.5" style="6" customWidth="1"/>
    <col min="20" max="20" width="18.33203125" style="6" customWidth="1"/>
    <col min="21" max="21" width="19.5" style="6" customWidth="1"/>
    <col min="22" max="22" width="17.6640625" style="6" customWidth="1"/>
    <col min="23" max="23" width="11.83203125" style="6" customWidth="1"/>
    <col min="24" max="24" width="15.1640625" style="6" customWidth="1"/>
    <col min="25" max="25" width="24.5" style="6" customWidth="1"/>
    <col min="26" max="26" width="19" style="6" customWidth="1"/>
    <col min="27" max="27" width="19.33203125" style="6" customWidth="1"/>
    <col min="28" max="28" width="25" style="6" customWidth="1"/>
    <col min="29" max="29" width="36.6640625" style="6" customWidth="1"/>
    <col min="30" max="30" width="20.5" style="6" customWidth="1"/>
    <col min="31" max="32" width="19.5" style="6" customWidth="1"/>
    <col min="33" max="33" width="14.33203125" style="6" customWidth="1"/>
    <col min="34" max="34" width="15.1640625" style="6" customWidth="1"/>
    <col min="35" max="35" width="5.5" style="6" customWidth="1"/>
    <col min="36" max="36" width="13.83203125" style="6" customWidth="1"/>
    <col min="37" max="37" width="11.83203125" style="6" customWidth="1"/>
    <col min="38" max="38" width="9.5" style="6" customWidth="1"/>
    <col min="39" max="39" width="7.5" customWidth="1"/>
    <col min="40" max="40" width="12.33203125" customWidth="1"/>
    <col min="41" max="41" width="21.6640625" customWidth="1"/>
    <col min="42" max="42" width="8.6640625" customWidth="1"/>
    <col min="81" max="81" width="22.1640625" bestFit="1" customWidth="1"/>
  </cols>
  <sheetData>
    <row r="1" spans="1:42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198" t="s">
        <v>192</v>
      </c>
      <c r="J1" s="198" t="s">
        <v>193</v>
      </c>
      <c r="K1" s="198" t="s">
        <v>194</v>
      </c>
      <c r="L1" s="198" t="s">
        <v>195</v>
      </c>
      <c r="M1" s="198" t="s">
        <v>196</v>
      </c>
      <c r="N1" s="198" t="s">
        <v>197</v>
      </c>
      <c r="O1" s="198" t="s">
        <v>198</v>
      </c>
      <c r="P1" s="198" t="s">
        <v>199</v>
      </c>
      <c r="Q1" s="198" t="s">
        <v>200</v>
      </c>
      <c r="R1" s="198" t="s">
        <v>201</v>
      </c>
      <c r="S1" s="198" t="s">
        <v>202</v>
      </c>
      <c r="T1" s="198" t="s">
        <v>203</v>
      </c>
      <c r="U1" s="198" t="s">
        <v>204</v>
      </c>
      <c r="V1" s="198" t="s">
        <v>205</v>
      </c>
      <c r="W1" s="198" t="s">
        <v>206</v>
      </c>
      <c r="X1" s="198" t="s">
        <v>207</v>
      </c>
      <c r="Y1" s="198" t="s">
        <v>208</v>
      </c>
      <c r="Z1" s="198" t="s">
        <v>209</v>
      </c>
      <c r="AA1" s="198" t="s">
        <v>210</v>
      </c>
      <c r="AB1" s="198" t="s">
        <v>211</v>
      </c>
      <c r="AC1" s="198" t="s">
        <v>212</v>
      </c>
      <c r="AD1" s="198" t="s">
        <v>213</v>
      </c>
      <c r="AE1" s="198" t="s">
        <v>214</v>
      </c>
      <c r="AF1" s="198" t="s">
        <v>215</v>
      </c>
      <c r="AG1" s="198" t="s">
        <v>216</v>
      </c>
      <c r="AH1" s="198" t="s">
        <v>217</v>
      </c>
      <c r="AI1" s="198" t="s">
        <v>218</v>
      </c>
      <c r="AJ1" s="198" t="s">
        <v>219</v>
      </c>
      <c r="AK1" s="198" t="s">
        <v>220</v>
      </c>
      <c r="AL1" s="198" t="s">
        <v>221</v>
      </c>
      <c r="AM1" s="198" t="s">
        <v>222</v>
      </c>
      <c r="AN1" s="198" t="s">
        <v>223</v>
      </c>
      <c r="AO1" s="198" t="s">
        <v>224</v>
      </c>
      <c r="AP1" s="198" t="s">
        <v>225</v>
      </c>
    </row>
    <row r="2" spans="1:42" x14ac:dyDescent="0.15">
      <c r="A2" t="s">
        <v>38</v>
      </c>
      <c r="B2" s="10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2" x14ac:dyDescent="0.15">
      <c r="A3" t="s">
        <v>40</v>
      </c>
      <c r="B3" s="10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2" x14ac:dyDescent="0.15">
      <c r="A4" t="s">
        <v>41</v>
      </c>
      <c r="B4" s="10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2" x14ac:dyDescent="0.15">
      <c r="A5" s="197" t="s">
        <v>192</v>
      </c>
      <c r="B5" s="10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2" x14ac:dyDescent="0.15">
      <c r="A6" s="197" t="s">
        <v>193</v>
      </c>
      <c r="B6" s="10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2" x14ac:dyDescent="0.15">
      <c r="A7" s="197" t="s">
        <v>194</v>
      </c>
      <c r="B7" s="10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2" x14ac:dyDescent="0.15">
      <c r="A8" s="197" t="s">
        <v>195</v>
      </c>
      <c r="B8" s="10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2" x14ac:dyDescent="0.15">
      <c r="A9" s="197" t="s">
        <v>196</v>
      </c>
      <c r="B9" s="10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2" x14ac:dyDescent="0.15">
      <c r="A10" s="197" t="s">
        <v>197</v>
      </c>
      <c r="B10" s="10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2" x14ac:dyDescent="0.15">
      <c r="A11" s="197" t="s">
        <v>198</v>
      </c>
      <c r="B11" s="10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2" x14ac:dyDescent="0.15">
      <c r="A12" s="197" t="s">
        <v>199</v>
      </c>
      <c r="B12" s="10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2" x14ac:dyDescent="0.15">
      <c r="A13" s="197" t="s">
        <v>200</v>
      </c>
      <c r="B13" s="10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2" x14ac:dyDescent="0.15">
      <c r="A14" s="197" t="s">
        <v>201</v>
      </c>
      <c r="B14" s="10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2" x14ac:dyDescent="0.15">
      <c r="A15" s="197" t="s">
        <v>202</v>
      </c>
      <c r="B15" s="10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2" x14ac:dyDescent="0.15">
      <c r="A16" s="197" t="s">
        <v>203</v>
      </c>
      <c r="B16" s="10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7" t="s">
        <v>204</v>
      </c>
      <c r="B17" s="10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7" t="s">
        <v>205</v>
      </c>
      <c r="B18" s="10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7" t="s">
        <v>206</v>
      </c>
      <c r="B19" s="10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7" t="s">
        <v>207</v>
      </c>
      <c r="B20" s="10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7" t="s">
        <v>208</v>
      </c>
      <c r="B21" s="10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7" t="s">
        <v>209</v>
      </c>
      <c r="B22" s="10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7" t="s">
        <v>210</v>
      </c>
      <c r="B23" s="10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7" t="s">
        <v>211</v>
      </c>
      <c r="B24" s="10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7" t="s">
        <v>212</v>
      </c>
      <c r="B25" s="10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7" t="s">
        <v>213</v>
      </c>
      <c r="B26" s="10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7" t="s">
        <v>214</v>
      </c>
      <c r="B27" s="107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7" t="s">
        <v>215</v>
      </c>
      <c r="B28" s="107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7" t="s">
        <v>216</v>
      </c>
      <c r="B29" s="107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7" t="s">
        <v>217</v>
      </c>
      <c r="B30" s="107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7" t="s">
        <v>218</v>
      </c>
      <c r="B31" s="107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7" t="s">
        <v>219</v>
      </c>
      <c r="B32" s="107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7" t="s">
        <v>220</v>
      </c>
      <c r="B33" s="107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7" t="s">
        <v>221</v>
      </c>
      <c r="B34" s="107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7" t="s">
        <v>222</v>
      </c>
      <c r="B35" s="107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7" t="s">
        <v>223</v>
      </c>
      <c r="B36" s="107">
        <v>0</v>
      </c>
      <c r="C36"/>
      <c r="D36"/>
    </row>
    <row r="37" spans="1:38" ht="15" customHeight="1" x14ac:dyDescent="0.15">
      <c r="A37" s="197" t="s">
        <v>224</v>
      </c>
      <c r="B37" s="107">
        <v>0</v>
      </c>
      <c r="C37"/>
      <c r="D37"/>
    </row>
    <row r="38" spans="1:38" ht="15" customHeight="1" x14ac:dyDescent="0.15">
      <c r="A38" s="197" t="s">
        <v>225</v>
      </c>
      <c r="B38" s="107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2022-10-24T04:50:58Z</dcterms:modified>
</cp:coreProperties>
</file>