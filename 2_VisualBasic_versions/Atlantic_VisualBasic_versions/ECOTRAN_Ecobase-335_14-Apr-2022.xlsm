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E37901A1-A919-154E-94BC-478952014269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Main!$C$2:$N$35</definedName>
    <definedName name="matDetritus">Detritus!$C$2:$F$35</definedName>
    <definedName name="matDiet">Diets!$B$2:$AE$35</definedName>
    <definedName name="matDiscards">Discards!$C$2:$C$34</definedName>
    <definedName name="matFishery">Fishing!$C$2:$C$34</definedName>
    <definedName name="matFishing">Fishing!#REF!</definedName>
    <definedName name="matMort">Mortalities!$A$1:$AK$34</definedName>
    <definedName name="matOut">MainOutputs!$A$2:$I$35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<sst xmlns="http://schemas.openxmlformats.org/spreadsheetml/2006/main" count="999" uniqueCount="232">
  <si>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</si>
  <si>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</si>
  <si>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</si>
  <si>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</si>
  <si>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</si>
  <si>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</si>
  <si>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</si>
  <si>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</si>
  <si>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</si>
  <si>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</si>
  <si>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</si>
  <si>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</si>
  <si>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</si>
  <si>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</si>
  <si>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</si>
  <si>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</si>
  <si>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</si>
  <si>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</si>
  <si>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</si>
  <si>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</si>
  <si>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</si>
  <si>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</si>
  <si>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</si>
  <si>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</si>
  <si>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</si>
  <si>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</si>
  <si>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</si>
  <si>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</si>
  <si>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</si>
  <si>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</si>
  <si>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</si>
  <si>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</si>
  <si>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</si>
  <si>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</si>
  <si>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</si>
  <si>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</si>
  <si>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</si>
  <si>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</si>
  <si>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</si>
  <si>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</si>
  <si>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</si>
  <si>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</si>
  <si>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</si>
  <si>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</si>
  <si>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</si>
  <si>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</si>
  <si>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</si>
  <si>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</si>
  <si>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</si>
  <si>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</si>
  <si>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</si>
  <si>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</si>
  <si>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</si>
  <si>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</si>
  <si>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</si>
  <si>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</si>
  <si>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</si>
  <si>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</si>
  <si>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</si>
  <si>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</si>
  <si>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</si>
  <si>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</si>
  <si>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</si>
  <si>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</si>
  <si>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</si>
  <si>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</si>
  <si>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</si>
  <si>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</si>
  <si>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</si>
  <si>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</si>
  <si>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</si>
  <si>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</si>
  <si>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</si>
  <si>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</si>
  <si>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</si>
  <si>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</si>
  <si>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</si>
  <si>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</si>
  <si>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</si>
  <si>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</si>
  <si>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</si>
  <si>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</si>
  <si>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</si>
  <si>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</si>
  <si>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</si>
  <si>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</si>
  <si>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</si>
  <si>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</si>
  <si>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</si>
  <si>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</si>
  <si>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</si>
  <si>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</si>
  <si>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</si>
  <si>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</si>
  <si>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</si>
  <si>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</si>
  <si>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</si>
  <si>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</si>
  <si>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</si>
  <si>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</si>
  <si>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</si>
  <si>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</si>
  <si>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</si>
  <si>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</si>
  <si>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</si>
  <si>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</si>
  <si>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</si>
  <si>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</si>
  <si>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</si>
  <si>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</si>
  <si>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</si>
  <si>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</si>
  <si>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</si>
  <si>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</si>
  <si>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</si>
  <si>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</si>
  <si>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</si>
  <si>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</si>
  <si>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</si>
  <si>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</si>
  <si>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</si>
  <si>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</si>
  <si>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</si>
  <si>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</si>
  <si>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</si>
  <si>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</si>
  <si>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</si>
  <si>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</si>
  <si>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</si>
  <si>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</si>
  <si>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</si>
  <si>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</si>
  <si>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</si>
  <si>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</si>
  <si>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</si>
  <si>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</si>
  <si>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</si>
  <si>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</si>
  <si>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</si>
  <si>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</si>
  <si>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</si>
  <si>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</si>
  <si>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</si>
  <si>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</si>
  <si>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</si>
  <si>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</si>
  <si>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</si>
  <si>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</si>
  <si>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</si>
  <si>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</si>
  <si>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</si>
  <si>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</si>
  <si>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</si>
  <si>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</si>
  <si>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</si>
  <si>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</si>
  <si>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</si>
  <si>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</si>
  <si>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</si>
  <si>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</si>
  <si>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</si>
  <si>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</si>
  <si>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</si>
  <si>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</si>
  <si>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</si>
  <si>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</si>
  <si>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</si>
  <si>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</si>
  <si>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</si>
  <si>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</si>
  <si>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</si>
  <si>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</si>
  <si>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</si>
  <si>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</si>
  <si>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</si>
  <si>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</si>
  <si>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</si>
  <si>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</si>
  <si>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</si>
  <si>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</si>
  <si>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</si>
  <si>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</si>
  <si>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</si>
  <si>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</si>
  <si>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</si>
  <si>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Bay of Biscay</t>
  </si>
  <si>
    <t>France</t>
  </si>
  <si>
    <t>BOX(-8.00000002711554 43.0000004887997,-2.45344189409025e-08 48.0000000024435)</t>
  </si>
  <si>
    <t>continental shelf</t>
  </si>
  <si>
    <t>kgC/km²</t>
  </si>
  <si>
    <t>Ewe Model of Bay of Biscay</t>
  </si>
  <si>
    <t>Lassalle G.,Gascuel D., Lobry J.,Pierce G.J.,Ridoux V.,Santos M.B.,Spitz J.,Niquil N.(2012). An ecosystem approach for the assessment of fisheries impacts on marine top predators: the Bay of Biscay case study ICES Journal of Marine Science: Journal du Conseil. pp 925-938</t>
  </si>
  <si>
    <t>https://doi.org/10.1093/icesjms/fss049</t>
  </si>
  <si>
    <t>Pursuit divers seabirds</t>
  </si>
  <si>
    <t>Surface feeders seabirds</t>
  </si>
  <si>
    <t>Striped dolphins</t>
  </si>
  <si>
    <t>Bottlenose dolphins</t>
  </si>
  <si>
    <t>Common dolphins</t>
  </si>
  <si>
    <t>Long-finned pilot whales</t>
  </si>
  <si>
    <t>Harbour porpoises</t>
  </si>
  <si>
    <t>Piscivorous demersal fish</t>
  </si>
  <si>
    <t>Piscivorous and benthivorous demersal fish</t>
  </si>
  <si>
    <t>Suprabenthivorous demersal fish</t>
  </si>
  <si>
    <t>Benthivorous demersal fish</t>
  </si>
  <si>
    <t>Mackerel</t>
  </si>
  <si>
    <t>Horse mackerel</t>
  </si>
  <si>
    <t>Anchovy</t>
  </si>
  <si>
    <t>Sardine</t>
  </si>
  <si>
    <t>Sprat</t>
  </si>
  <si>
    <t>Benthic cephalopods</t>
  </si>
  <si>
    <t>Pelagic cephalopods</t>
  </si>
  <si>
    <t>Carnivorous benthic invertebrates</t>
  </si>
  <si>
    <t>Necrophagous benthic invertebrates</t>
  </si>
  <si>
    <t>Sub-surface deposit feeders invertebrates</t>
  </si>
  <si>
    <t>Surface suspension and deposit feeders inv</t>
  </si>
  <si>
    <t>Benthic meiofauna</t>
  </si>
  <si>
    <t>Suprabenthic invertebrates</t>
  </si>
  <si>
    <t>Macrozooplankton</t>
  </si>
  <si>
    <t>Mesozooplankton</t>
  </si>
  <si>
    <t>Microzooplankton</t>
  </si>
  <si>
    <t>Bacteria</t>
  </si>
  <si>
    <t>Large phytoplankton</t>
  </si>
  <si>
    <t>Small phytoplankton</t>
  </si>
  <si>
    <t>Discards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</si>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</sst>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4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FF4000"/>
        <bgColor indexed="64"/>
      </patternFill>
    </fill>
    <fill>
      <patternFill patternType="solid">
        <fgColor rgb="FFFF55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FF5900"/>
        <bgColor indexed="64"/>
      </patternFill>
    </fill>
    <fill>
      <patternFill patternType="solid">
        <fgColor rgb="FFFFB8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FFBA00"/>
        <bgColor indexed="64"/>
      </patternFill>
    </fill>
    <fill>
      <patternFill patternType="solid">
        <fgColor rgb="FFFF6100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FFAE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64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1" fillId="0" borderId="0" xfId="0" applyFont="1" applyAlignment="1">
      <alignment horizontal="center"/>
    </xf>
    <xf numFmtId="0" fontId="0" fillId="33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5" borderId="0" xfId="0" applyFill="1"/>
    <xf numFmtId="0" fontId="0" fillId="36" borderId="0" xfId="0" applyFill="1"/>
    <xf numFmtId="0" fontId="0" fillId="0" borderId="0" xfId="0" applyFont="1" applyFill="1" applyAlignment="1">
      <alignment horizontal="center"/>
    </xf>
    <xf numFmtId="0" fontId="0" fillId="37" borderId="0" xfId="0" applyFill="1"/>
    <xf numFmtId="0" fontId="0" fillId="38" borderId="0" xfId="0" applyFill="1"/>
    <xf numFmtId="0" fontId="0" fillId="39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4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4" borderId="3" xfId="0" applyNumberFormat="1" applyFont="1" applyFill="1" applyBorder="1"/>
    <xf numFmtId="0" fontId="0" fillId="34" borderId="2" xfId="0" applyFont="1" applyFill="1" applyBorder="1"/>
    <xf numFmtId="0" fontId="0" fillId="34" borderId="3" xfId="0" applyFont="1" applyFill="1" applyBorder="1"/>
    <xf numFmtId="0" fontId="0" fillId="34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5" borderId="0" xfId="0" applyFill="1"/>
    <xf numFmtId="0" fontId="0" fillId="46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30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74" t="s">
        <v>171</v>
      </c>
      <c r="C53" s="109">
        <v>335</v>
      </c>
      <c r="D53" s="109"/>
    </row>
    <row r="54" spans="2:4" x14ac:dyDescent="0.15">
      <c r="B54" s="174" t="s">
        <v>172</v>
      </c>
      <c r="C54" s="174" t="s">
        <v>185</v>
      </c>
      <c r="D54" s="109"/>
    </row>
    <row r="55" spans="2:4" x14ac:dyDescent="0.15">
      <c r="B55" s="174" t="s">
        <v>173</v>
      </c>
      <c r="C55" s="174" t="s">
        <v>186</v>
      </c>
      <c r="D55" s="109"/>
    </row>
    <row r="56" spans="2:4" x14ac:dyDescent="0.15">
      <c r="B56" s="174" t="s">
        <v>174</v>
      </c>
      <c r="C56" s="109">
        <v>102585</v>
      </c>
      <c r="D56" s="109"/>
    </row>
    <row r="57" spans="2:4" x14ac:dyDescent="0.15">
      <c r="B57" s="174" t="s">
        <v>175</v>
      </c>
      <c r="C57" s="174" t="s">
        <v>187</v>
      </c>
      <c r="D57" s="109"/>
    </row>
    <row r="58" spans="2:4" x14ac:dyDescent="0.15">
      <c r="B58" s="174" t="s">
        <v>176</v>
      </c>
      <c r="C58" s="174" t="s">
        <v>188</v>
      </c>
      <c r="D58" s="109"/>
    </row>
    <row r="59" spans="2:4" x14ac:dyDescent="0.15">
      <c r="B59" s="174" t="s">
        <v>177</v>
      </c>
      <c r="C59" s="174" t="s">
        <v>189</v>
      </c>
      <c r="D59" s="109"/>
    </row>
    <row r="60" spans="2:4" x14ac:dyDescent="0.15">
      <c r="B60" s="174" t="s">
        <v>178</v>
      </c>
      <c r="C60" s="174" t="s">
        <v>190</v>
      </c>
      <c r="D60" s="109"/>
    </row>
    <row r="61" spans="2:4" x14ac:dyDescent="0.15">
      <c r="B61" s="174" t="s">
        <v>179</v>
      </c>
      <c r="C61" s="109">
        <v>32</v>
      </c>
      <c r="D61" s="109"/>
    </row>
    <row r="62" spans="2:4" x14ac:dyDescent="0.15">
      <c r="B62" s="174" t="s">
        <v>180</v>
      </c>
      <c r="C62" s="109">
        <v>1</v>
      </c>
      <c r="D62" s="109"/>
    </row>
    <row r="63" spans="2:4" x14ac:dyDescent="0.15">
      <c r="B63" s="174" t="s">
        <v>181</v>
      </c>
      <c r="C63" s="109">
        <v>1994</v>
      </c>
      <c r="D63" s="109"/>
    </row>
    <row r="64" spans="2:4" x14ac:dyDescent="0.15">
      <c r="B64" s="174" t="s">
        <v>182</v>
      </c>
      <c r="C64" s="109">
        <v>11</v>
      </c>
      <c r="D64" s="109"/>
    </row>
    <row r="65" spans="2:4" x14ac:dyDescent="0.15">
      <c r="B65" s="174" t="s">
        <v>183</v>
      </c>
      <c r="C65" s="174" t="s">
        <v>191</v>
      </c>
      <c r="D65" s="109"/>
    </row>
    <row r="66" spans="2:4" x14ac:dyDescent="0.15">
      <c r="B66" s="174" t="s">
        <v>184</v>
      </c>
      <c r="C66" s="174" t="s">
        <v>192</v>
      </c>
      <c r="D66" s="109"/>
    </row>
    <row r="67" spans="2:4" x14ac:dyDescent="0.15">
      <c r="B67" s="109"/>
      <c r="C67" s="109"/>
      <c r="D67" s="109"/>
    </row>
    <row r="68" spans="2:4" x14ac:dyDescent="0.15">
      <c r="B68" s="109"/>
      <c r="C68" s="109"/>
      <c r="D68" s="109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topLeftCell="E1"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80" customWidth="1"/>
    <col min="2" max="3" width="3.33203125" style="80" customWidth="1"/>
    <col min="4" max="4" width="14.33203125" style="80" customWidth="1"/>
    <col min="5" max="5" width="37" style="80" bestFit="1" customWidth="1"/>
    <col min="6" max="6" width="2.33203125" style="80" bestFit="1" customWidth="1"/>
    <col min="7" max="7" width="10.83203125" style="80" bestFit="1" customWidth="1"/>
    <col min="8" max="9" width="10.83203125" style="80" customWidth="1"/>
    <col min="10" max="10" width="11.83203125" style="80" customWidth="1"/>
    <col min="11" max="11" width="13.83203125" style="80" customWidth="1"/>
    <col min="12" max="12" width="2.33203125" style="80" customWidth="1"/>
    <col min="13" max="13" width="3.83203125" style="80" customWidth="1"/>
    <col min="14" max="14" width="4.33203125" style="80" customWidth="1"/>
    <col min="16" max="25" width="8.83203125" style="80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0"/>
  </cols>
  <sheetData>
    <row r="1" spans="1:46" s="97" customFormat="1" ht="15" customHeight="1" x14ac:dyDescent="0.15">
      <c r="A1" s="76" t="s">
        <v>18</v>
      </c>
      <c r="C1" s="77" t="s">
        <v>8</v>
      </c>
      <c r="D1" s="76" t="s">
        <v>23</v>
      </c>
      <c r="E1" s="76" t="s">
        <v>0</v>
      </c>
      <c r="F1" s="76" t="s">
        <v>7</v>
      </c>
      <c r="G1" s="78" t="s">
        <v>13</v>
      </c>
      <c r="H1" s="76" t="s">
        <v>1</v>
      </c>
      <c r="I1" s="76" t="s">
        <v>2</v>
      </c>
      <c r="J1" s="76" t="s">
        <v>14</v>
      </c>
      <c r="K1" s="76" t="s">
        <v>3</v>
      </c>
      <c r="L1" s="76" t="s">
        <v>4</v>
      </c>
      <c r="M1" s="76" t="s">
        <v>5</v>
      </c>
      <c r="N1" s="76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7">
        <v>1</v>
      </c>
      <c r="D2"/>
      <c r="E2" s="175" t="s">
        <v>193</v>
      </c>
      <c r="F2" s="80">
        <v>0</v>
      </c>
      <c r="G2" s="80">
        <v>0.26800000000000002</v>
      </c>
      <c r="H2" s="80">
        <v>0.09</v>
      </c>
      <c r="I2" s="6">
        <v>57.66</v>
      </c>
      <c r="J2" s="6">
        <v>0</v>
      </c>
      <c r="K2" s="6">
        <v>1.56087417E-3</v>
      </c>
      <c r="L2" s="6">
        <v>0</v>
      </c>
      <c r="M2" s="80">
        <v>0.2</v>
      </c>
      <c r="N2" s="80">
        <v>0</v>
      </c>
    </row>
    <row r="3" spans="1:46" ht="15" customHeight="1" x14ac:dyDescent="0.15">
      <c r="A3" s="1" t="s">
        <v>9</v>
      </c>
      <c r="B3" s="4">
        <v>30</v>
      </c>
      <c r="C3" s="80">
        <v>2</v>
      </c>
      <c r="D3"/>
      <c r="E3" s="175" t="s">
        <v>194</v>
      </c>
      <c r="F3" s="80">
        <v>0</v>
      </c>
      <c r="G3" s="80">
        <v>7.2999999999999995E-2</v>
      </c>
      <c r="H3" s="80">
        <v>0.09</v>
      </c>
      <c r="I3" s="80">
        <v>69.954999999999998</v>
      </c>
      <c r="J3" s="80">
        <v>0</v>
      </c>
      <c r="K3" s="80">
        <v>1.2865413399999999E-3</v>
      </c>
      <c r="L3" s="80">
        <v>0</v>
      </c>
      <c r="M3" s="80">
        <v>0.2</v>
      </c>
      <c r="N3" s="80">
        <v>0</v>
      </c>
    </row>
    <row r="4" spans="1:46" ht="15" customHeight="1" x14ac:dyDescent="0.15">
      <c r="A4" s="1" t="s">
        <v>10</v>
      </c>
      <c r="B4" s="4">
        <v>3</v>
      </c>
      <c r="C4" s="80">
        <v>3</v>
      </c>
      <c r="D4"/>
      <c r="E4" s="175" t="s">
        <v>195</v>
      </c>
      <c r="F4" s="80">
        <v>0</v>
      </c>
      <c r="G4" s="80">
        <v>0.58499999999999996</v>
      </c>
      <c r="H4" s="80">
        <v>0.08</v>
      </c>
      <c r="I4" s="80">
        <v>20.797000000000001</v>
      </c>
      <c r="J4" s="80">
        <v>0</v>
      </c>
      <c r="K4" s="80">
        <v>3.8467084499999998E-3</v>
      </c>
      <c r="L4" s="80">
        <v>0</v>
      </c>
      <c r="M4" s="80">
        <v>0.2</v>
      </c>
      <c r="N4" s="80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80">
        <v>4</v>
      </c>
      <c r="D5"/>
      <c r="E5" s="175" t="s">
        <v>196</v>
      </c>
      <c r="F5" s="80">
        <v>0</v>
      </c>
      <c r="G5" s="80">
        <v>2.1800000000000002</v>
      </c>
      <c r="H5" s="80">
        <v>0.08</v>
      </c>
      <c r="I5" s="80">
        <v>21.67</v>
      </c>
      <c r="J5" s="80">
        <v>0</v>
      </c>
      <c r="K5" s="80">
        <v>3.6917396399999999E-3</v>
      </c>
      <c r="L5" s="80">
        <v>0</v>
      </c>
      <c r="M5" s="80">
        <v>0.2</v>
      </c>
      <c r="N5" s="80">
        <v>0</v>
      </c>
      <c r="P5" s="68"/>
      <c r="Q5" s="68"/>
      <c r="R5" s="68"/>
    </row>
    <row r="6" spans="1:46" ht="15" customHeight="1" thickBot="1" x14ac:dyDescent="0.2">
      <c r="B6" s="1"/>
      <c r="C6" s="80">
        <v>5</v>
      </c>
      <c r="D6"/>
      <c r="E6" s="175" t="s">
        <v>197</v>
      </c>
      <c r="F6" s="80">
        <v>0</v>
      </c>
      <c r="G6" s="80">
        <v>1.4430000000000001</v>
      </c>
      <c r="H6" s="80">
        <v>0.08</v>
      </c>
      <c r="I6" s="80">
        <v>26.114999999999998</v>
      </c>
      <c r="J6" s="80">
        <v>0.87491345399999998</v>
      </c>
      <c r="K6" s="80">
        <v>3.0633735E-3</v>
      </c>
      <c r="L6" s="80">
        <v>0</v>
      </c>
      <c r="M6" s="80">
        <v>0.2</v>
      </c>
      <c r="N6" s="80">
        <v>0</v>
      </c>
      <c r="P6" s="68"/>
      <c r="Q6" s="68"/>
      <c r="R6" s="68"/>
      <c r="W6" s="34" t="s">
        <v>31</v>
      </c>
      <c r="X6" s="50">
        <f>MAX(MainOutputs!G:G)</f>
        <v>0.99887353181838989</v>
      </c>
    </row>
    <row r="7" spans="1:46" ht="15" customHeight="1" x14ac:dyDescent="0.15">
      <c r="A7" s="2" t="s">
        <v>27</v>
      </c>
      <c r="B7" s="80">
        <f ca="1">COUNTIF(OFFSET(cornerDiets,1,1,NumLiving+NumDead+1,NumLiving+NumDead),"&gt;0")+NumLiving+NumDead+1</f>
        <v>229</v>
      </c>
      <c r="C7" s="80">
        <v>6</v>
      </c>
      <c r="D7"/>
      <c r="E7" s="175" t="s">
        <v>198</v>
      </c>
      <c r="F7" s="80">
        <v>0</v>
      </c>
      <c r="G7" s="80">
        <v>0.82899999999999996</v>
      </c>
      <c r="H7" s="80">
        <v>0.05</v>
      </c>
      <c r="I7" s="80">
        <v>10.34</v>
      </c>
      <c r="J7" s="80">
        <v>0</v>
      </c>
      <c r="K7" s="80">
        <v>4.8355899999999999E-3</v>
      </c>
      <c r="L7" s="80">
        <v>0</v>
      </c>
      <c r="M7" s="80">
        <v>0.2</v>
      </c>
      <c r="N7" s="80">
        <v>0</v>
      </c>
      <c r="P7" s="68"/>
      <c r="Q7" s="68"/>
      <c r="R7" s="68"/>
    </row>
    <row r="8" spans="1:46" ht="15" customHeight="1" x14ac:dyDescent="0.15">
      <c r="A8" s="2" t="s">
        <v>28</v>
      </c>
      <c r="B8" s="80">
        <f ca="1">COUNTIF(OFFSET(cornerFishing,1,2,NumLiving+NumDead,NumGears),"&gt;0")+NumDead*COUNTIF(OFFSET(cornerDiscards,1,2,NumLiving+NumDead,NumGears),"&gt;0")+NumLiving+NumDead+1</f>
        <v>69</v>
      </c>
      <c r="C8" s="80">
        <v>7</v>
      </c>
      <c r="D8"/>
      <c r="E8" s="175" t="s">
        <v>199</v>
      </c>
      <c r="F8" s="80">
        <v>0</v>
      </c>
      <c r="G8" s="80">
        <v>0.11700000000000001</v>
      </c>
      <c r="H8" s="80">
        <v>0.08</v>
      </c>
      <c r="I8" s="80">
        <v>40.69</v>
      </c>
      <c r="J8" s="80">
        <v>0.83333330000000005</v>
      </c>
      <c r="K8" s="80">
        <v>1.9660849999999998E-3</v>
      </c>
      <c r="L8" s="80">
        <v>0</v>
      </c>
      <c r="M8" s="80">
        <v>0.2</v>
      </c>
      <c r="N8" s="80">
        <v>0</v>
      </c>
      <c r="P8" s="68"/>
      <c r="Q8" s="68"/>
      <c r="R8" s="68"/>
    </row>
    <row r="9" spans="1:46" ht="15" customHeight="1" x14ac:dyDescent="0.15">
      <c r="B9" s="1"/>
      <c r="C9" s="80">
        <v>8</v>
      </c>
      <c r="D9"/>
      <c r="E9" s="175" t="s">
        <v>200</v>
      </c>
      <c r="F9" s="80">
        <v>0</v>
      </c>
      <c r="G9" s="80">
        <v>48.45</v>
      </c>
      <c r="H9" s="80">
        <v>0.63049999999999995</v>
      </c>
      <c r="I9" s="80">
        <v>2.0284</v>
      </c>
      <c r="J9" s="80">
        <v>0.99068129999999999</v>
      </c>
      <c r="K9" s="80">
        <v>0.31083613599999999</v>
      </c>
      <c r="L9" s="80">
        <v>0</v>
      </c>
      <c r="M9" s="80">
        <v>0.2</v>
      </c>
      <c r="N9" s="80">
        <v>0</v>
      </c>
      <c r="P9" s="68"/>
      <c r="Q9" s="68"/>
      <c r="R9" s="68"/>
    </row>
    <row r="10" spans="1:46" ht="15" customHeight="1" x14ac:dyDescent="0.15">
      <c r="B10" s="1"/>
      <c r="C10" s="80">
        <v>9</v>
      </c>
      <c r="D10"/>
      <c r="E10" s="175" t="s">
        <v>201</v>
      </c>
      <c r="F10" s="80">
        <v>0</v>
      </c>
      <c r="G10" s="80">
        <v>130.02000000000001</v>
      </c>
      <c r="H10" s="80">
        <v>0.65700000000000003</v>
      </c>
      <c r="I10" s="80">
        <v>3.42</v>
      </c>
      <c r="J10" s="80">
        <v>0.98068535300000004</v>
      </c>
      <c r="K10" s="80">
        <v>0.192105263</v>
      </c>
      <c r="L10" s="80">
        <v>0</v>
      </c>
      <c r="M10" s="80">
        <v>0.2</v>
      </c>
      <c r="N10" s="80">
        <v>0</v>
      </c>
    </row>
    <row r="11" spans="1:46" ht="15" customHeight="1" x14ac:dyDescent="0.15">
      <c r="C11" s="80">
        <v>10</v>
      </c>
      <c r="D11"/>
      <c r="E11" s="175" t="s">
        <v>202</v>
      </c>
      <c r="F11" s="80">
        <v>0</v>
      </c>
      <c r="G11" s="80">
        <v>311.2</v>
      </c>
      <c r="H11" s="80">
        <v>0.55000000000000004</v>
      </c>
      <c r="I11" s="80">
        <v>5.3</v>
      </c>
      <c r="J11" s="80">
        <v>0.76460300000000003</v>
      </c>
      <c r="K11" s="80">
        <v>0.103773586</v>
      </c>
      <c r="L11" s="80">
        <v>0</v>
      </c>
      <c r="M11" s="80">
        <v>0.2</v>
      </c>
      <c r="N11" s="80">
        <v>0</v>
      </c>
    </row>
    <row r="12" spans="1:46" ht="15" customHeight="1" x14ac:dyDescent="0.15">
      <c r="C12" s="80">
        <v>11</v>
      </c>
      <c r="D12"/>
      <c r="E12" s="175" t="s">
        <v>203</v>
      </c>
      <c r="F12" s="80">
        <v>0</v>
      </c>
      <c r="G12" s="80">
        <v>28.97</v>
      </c>
      <c r="H12" s="80">
        <v>0.876</v>
      </c>
      <c r="I12" s="80">
        <v>5.51</v>
      </c>
      <c r="J12" s="80">
        <v>0.94925236700000004</v>
      </c>
      <c r="K12" s="80">
        <v>0.158983663</v>
      </c>
      <c r="L12" s="80">
        <v>0</v>
      </c>
      <c r="M12" s="80">
        <v>0.2</v>
      </c>
      <c r="N12" s="80">
        <v>0</v>
      </c>
    </row>
    <row r="13" spans="1:46" ht="15" customHeight="1" x14ac:dyDescent="0.15">
      <c r="C13" s="80">
        <v>12</v>
      </c>
      <c r="D13"/>
      <c r="E13" s="175" t="s">
        <v>204</v>
      </c>
      <c r="F13" s="80">
        <v>0</v>
      </c>
      <c r="G13" s="80">
        <v>145.93</v>
      </c>
      <c r="H13" s="80">
        <v>0.79520000000000002</v>
      </c>
      <c r="I13" s="80">
        <v>4.4000000000000004</v>
      </c>
      <c r="J13" s="80">
        <v>0.97787480000000004</v>
      </c>
      <c r="K13" s="80">
        <v>0.18072727299999999</v>
      </c>
      <c r="L13" s="80">
        <v>0</v>
      </c>
      <c r="M13" s="80">
        <v>0.2</v>
      </c>
      <c r="N13" s="80">
        <v>0</v>
      </c>
    </row>
    <row r="14" spans="1:46" ht="15" customHeight="1" x14ac:dyDescent="0.15">
      <c r="C14" s="80">
        <v>13</v>
      </c>
      <c r="D14"/>
      <c r="E14" s="175" t="s">
        <v>205</v>
      </c>
      <c r="F14" s="80">
        <v>0</v>
      </c>
      <c r="G14" s="80">
        <v>262.20999999999998</v>
      </c>
      <c r="H14" s="80">
        <v>0.51300000000000001</v>
      </c>
      <c r="I14" s="80">
        <v>4</v>
      </c>
      <c r="J14" s="80">
        <v>0.98689454799999998</v>
      </c>
      <c r="K14" s="80">
        <v>0.12825</v>
      </c>
      <c r="L14" s="80">
        <v>0</v>
      </c>
      <c r="M14" s="80">
        <v>0.2</v>
      </c>
      <c r="N14" s="80">
        <v>0</v>
      </c>
    </row>
    <row r="15" spans="1:46" ht="15" customHeight="1" x14ac:dyDescent="0.15">
      <c r="C15" s="80">
        <v>14</v>
      </c>
      <c r="D15"/>
      <c r="E15" s="175" t="s">
        <v>206</v>
      </c>
      <c r="F15" s="80">
        <v>0</v>
      </c>
      <c r="G15" s="80">
        <v>55.75</v>
      </c>
      <c r="H15" s="80">
        <v>1.82</v>
      </c>
      <c r="I15" s="80">
        <v>8.6839999999999993</v>
      </c>
      <c r="J15" s="80">
        <v>0.82502540000000002</v>
      </c>
      <c r="K15" s="80">
        <v>0.20958083899999999</v>
      </c>
      <c r="L15" s="80">
        <v>0</v>
      </c>
      <c r="M15" s="80">
        <v>0.2</v>
      </c>
      <c r="N15" s="80">
        <v>0</v>
      </c>
    </row>
    <row r="16" spans="1:46" ht="15" customHeight="1" x14ac:dyDescent="0.15">
      <c r="C16" s="80">
        <v>15</v>
      </c>
      <c r="D16"/>
      <c r="E16" s="175" t="s">
        <v>207</v>
      </c>
      <c r="F16" s="80">
        <v>0</v>
      </c>
      <c r="G16" s="80">
        <v>184.23</v>
      </c>
      <c r="H16" s="80">
        <v>0.68</v>
      </c>
      <c r="I16" s="80">
        <v>8.9649999999999999</v>
      </c>
      <c r="J16" s="80">
        <v>0.78737970000000002</v>
      </c>
      <c r="K16" s="80">
        <v>7.5850529999999999E-2</v>
      </c>
      <c r="L16" s="80">
        <v>0</v>
      </c>
      <c r="M16" s="80">
        <v>0.2</v>
      </c>
      <c r="N16" s="80">
        <v>0</v>
      </c>
    </row>
    <row r="17" spans="1:22" ht="15" customHeight="1" x14ac:dyDescent="0.15">
      <c r="C17" s="80">
        <v>16</v>
      </c>
      <c r="D17"/>
      <c r="E17" s="175" t="s">
        <v>208</v>
      </c>
      <c r="F17" s="80">
        <v>0</v>
      </c>
      <c r="G17" s="80">
        <v>49.78</v>
      </c>
      <c r="H17" s="80">
        <v>1.34</v>
      </c>
      <c r="I17" s="80">
        <v>11.59</v>
      </c>
      <c r="J17" s="80">
        <v>0.67887459999999999</v>
      </c>
      <c r="K17" s="80">
        <v>0.11561691</v>
      </c>
      <c r="L17" s="80">
        <v>0</v>
      </c>
      <c r="M17" s="80">
        <v>0.2</v>
      </c>
      <c r="N17" s="80">
        <v>0</v>
      </c>
      <c r="V17" s="1" t="s">
        <v>30</v>
      </c>
    </row>
    <row r="18" spans="1:22" ht="15" customHeight="1" x14ac:dyDescent="0.15">
      <c r="C18" s="80">
        <v>17</v>
      </c>
      <c r="D18"/>
      <c r="E18" s="175" t="s">
        <v>209</v>
      </c>
      <c r="F18" s="80">
        <v>0</v>
      </c>
      <c r="G18" s="80">
        <v>10.389299400000001</v>
      </c>
      <c r="H18" s="80">
        <v>2.75</v>
      </c>
      <c r="I18" s="80">
        <v>7</v>
      </c>
      <c r="J18" s="80">
        <v>0.95</v>
      </c>
      <c r="K18" s="80">
        <v>0.392857134</v>
      </c>
      <c r="L18" s="80">
        <v>0</v>
      </c>
      <c r="M18" s="80">
        <v>0.2</v>
      </c>
      <c r="N18" s="80">
        <v>0</v>
      </c>
      <c r="V18" s="1"/>
    </row>
    <row r="19" spans="1:22" ht="15" customHeight="1" x14ac:dyDescent="0.15">
      <c r="C19" s="80">
        <v>18</v>
      </c>
      <c r="D19"/>
      <c r="E19" s="175" t="s">
        <v>210</v>
      </c>
      <c r="F19" s="80">
        <v>0</v>
      </c>
      <c r="G19" s="80">
        <v>14.1088381</v>
      </c>
      <c r="H19" s="80">
        <v>3.2</v>
      </c>
      <c r="I19" s="80">
        <v>7.5</v>
      </c>
      <c r="J19" s="80">
        <v>0.95</v>
      </c>
      <c r="K19" s="80">
        <v>0.42666667699999999</v>
      </c>
      <c r="L19" s="80">
        <v>0</v>
      </c>
      <c r="M19" s="80">
        <v>0.2</v>
      </c>
      <c r="N19" s="80">
        <v>0</v>
      </c>
    </row>
    <row r="20" spans="1:22" ht="15" customHeight="1" thickBot="1" x14ac:dyDescent="0.2">
      <c r="C20" s="80">
        <v>19</v>
      </c>
      <c r="D20"/>
      <c r="E20" s="175" t="s">
        <v>211</v>
      </c>
      <c r="F20" s="80">
        <v>0</v>
      </c>
      <c r="G20" s="80">
        <v>116.75</v>
      </c>
      <c r="H20" s="80">
        <v>2.2999999999999998</v>
      </c>
      <c r="I20" s="80">
        <v>11.5</v>
      </c>
      <c r="J20" s="80">
        <v>0.99887353199999995</v>
      </c>
      <c r="K20" s="80">
        <v>0.2</v>
      </c>
      <c r="L20" s="80">
        <v>0</v>
      </c>
      <c r="M20" s="80">
        <v>0.2</v>
      </c>
      <c r="N20" s="80">
        <v>0</v>
      </c>
    </row>
    <row r="21" spans="1:22" ht="15" customHeight="1" thickBot="1" x14ac:dyDescent="0.2">
      <c r="A21" s="45" t="s">
        <v>137</v>
      </c>
      <c r="B21" s="98"/>
      <c r="C21" s="80">
        <v>20</v>
      </c>
      <c r="D21"/>
      <c r="E21" s="175" t="s">
        <v>212</v>
      </c>
      <c r="F21" s="80">
        <v>0</v>
      </c>
      <c r="G21" s="80">
        <v>16.97</v>
      </c>
      <c r="H21" s="80">
        <v>1.53</v>
      </c>
      <c r="I21" s="80">
        <v>15.2999992</v>
      </c>
      <c r="J21" s="80">
        <v>0.90847480000000003</v>
      </c>
      <c r="K21" s="80">
        <v>0.1</v>
      </c>
      <c r="L21" s="80">
        <v>0</v>
      </c>
      <c r="M21" s="80">
        <v>0.2</v>
      </c>
      <c r="N21" s="80">
        <v>0</v>
      </c>
    </row>
    <row r="22" spans="1:22" ht="15" customHeight="1" x14ac:dyDescent="0.15">
      <c r="A22" s="99" t="s">
        <v>58</v>
      </c>
      <c r="B22" s="100">
        <v>0</v>
      </c>
      <c r="C22" s="80">
        <v>21</v>
      </c>
      <c r="D22"/>
      <c r="E22" s="175" t="s">
        <v>213</v>
      </c>
      <c r="F22" s="80">
        <v>0</v>
      </c>
      <c r="G22" s="80">
        <v>234.83</v>
      </c>
      <c r="H22" s="80">
        <v>1.6</v>
      </c>
      <c r="I22" s="80">
        <v>8</v>
      </c>
      <c r="J22" s="80">
        <v>0.83432275099999997</v>
      </c>
      <c r="K22" s="80">
        <v>0.2</v>
      </c>
      <c r="L22" s="80">
        <v>0</v>
      </c>
      <c r="M22" s="80">
        <v>0.3</v>
      </c>
      <c r="N22" s="80">
        <v>0</v>
      </c>
    </row>
    <row r="23" spans="1:22" ht="15" customHeight="1" x14ac:dyDescent="0.15">
      <c r="A23" s="99" t="s">
        <v>59</v>
      </c>
      <c r="B23" s="100">
        <v>1</v>
      </c>
      <c r="C23" s="80">
        <v>22</v>
      </c>
      <c r="D23"/>
      <c r="E23" s="175" t="s">
        <v>214</v>
      </c>
      <c r="F23" s="80">
        <v>0</v>
      </c>
      <c r="G23" s="80">
        <v>223.93</v>
      </c>
      <c r="H23" s="80">
        <v>2.8</v>
      </c>
      <c r="I23" s="80">
        <v>14</v>
      </c>
      <c r="J23" s="80">
        <v>0.89145920000000001</v>
      </c>
      <c r="K23" s="80">
        <v>0.2</v>
      </c>
      <c r="L23" s="80">
        <v>0</v>
      </c>
      <c r="M23" s="80">
        <v>0.2</v>
      </c>
      <c r="N23" s="80">
        <v>0</v>
      </c>
    </row>
    <row r="24" spans="1:22" ht="15" customHeight="1" x14ac:dyDescent="0.15">
      <c r="A24" s="99" t="s">
        <v>60</v>
      </c>
      <c r="B24" s="100">
        <v>2</v>
      </c>
      <c r="C24" s="80">
        <v>23</v>
      </c>
      <c r="D24"/>
      <c r="E24" s="175" t="s">
        <v>215</v>
      </c>
      <c r="F24" s="80">
        <v>0</v>
      </c>
      <c r="G24" s="80">
        <v>100</v>
      </c>
      <c r="H24" s="80">
        <v>10</v>
      </c>
      <c r="I24" s="80">
        <v>50</v>
      </c>
      <c r="J24" s="80">
        <v>0.92068886800000005</v>
      </c>
      <c r="K24" s="80">
        <v>0.2</v>
      </c>
      <c r="L24" s="80">
        <v>0</v>
      </c>
      <c r="M24" s="80">
        <v>0.4</v>
      </c>
      <c r="N24" s="80">
        <v>0</v>
      </c>
    </row>
    <row r="25" spans="1:22" ht="15" customHeight="1" thickBot="1" x14ac:dyDescent="0.2">
      <c r="A25" s="101" t="s">
        <v>44</v>
      </c>
      <c r="B25" s="102">
        <v>3</v>
      </c>
      <c r="C25" s="80">
        <v>24</v>
      </c>
      <c r="D25"/>
      <c r="E25" s="175" t="s">
        <v>216</v>
      </c>
      <c r="F25" s="80">
        <v>0</v>
      </c>
      <c r="G25" s="80">
        <v>38</v>
      </c>
      <c r="H25" s="80">
        <v>20</v>
      </c>
      <c r="I25" s="80">
        <v>100</v>
      </c>
      <c r="J25" s="80">
        <v>0.93591815199999995</v>
      </c>
      <c r="K25" s="80">
        <v>0.2</v>
      </c>
      <c r="L25" s="80">
        <v>0</v>
      </c>
      <c r="M25" s="80">
        <v>0.2</v>
      </c>
      <c r="N25" s="80">
        <v>0</v>
      </c>
    </row>
    <row r="26" spans="1:22" ht="15" customHeight="1" x14ac:dyDescent="0.15">
      <c r="A26" s="103" t="s">
        <v>140</v>
      </c>
      <c r="C26" s="80">
        <v>25</v>
      </c>
      <c r="D26"/>
      <c r="E26" s="175" t="s">
        <v>217</v>
      </c>
      <c r="F26" s="80">
        <v>0</v>
      </c>
      <c r="G26" s="80">
        <v>120</v>
      </c>
      <c r="H26" s="80">
        <v>6.1342610000000004</v>
      </c>
      <c r="I26" s="80">
        <v>38</v>
      </c>
      <c r="J26" s="80">
        <v>0.95</v>
      </c>
      <c r="K26" s="80">
        <v>0.16142793</v>
      </c>
      <c r="L26" s="80">
        <v>0</v>
      </c>
      <c r="M26" s="80">
        <v>0.4</v>
      </c>
      <c r="N26" s="80">
        <v>0</v>
      </c>
    </row>
    <row r="27" spans="1:22" ht="15" customHeight="1" x14ac:dyDescent="0.15">
      <c r="C27" s="80">
        <v>26</v>
      </c>
      <c r="D27"/>
      <c r="E27" s="175" t="s">
        <v>218</v>
      </c>
      <c r="F27" s="80">
        <v>0</v>
      </c>
      <c r="G27" s="80">
        <v>638</v>
      </c>
      <c r="H27" s="80">
        <v>13.2690372</v>
      </c>
      <c r="I27" s="80">
        <v>80</v>
      </c>
      <c r="J27" s="80">
        <v>0.95</v>
      </c>
      <c r="K27" s="80">
        <v>0.165862963</v>
      </c>
      <c r="L27" s="80">
        <v>0</v>
      </c>
      <c r="M27" s="80">
        <v>0.4</v>
      </c>
      <c r="N27" s="80">
        <v>0</v>
      </c>
    </row>
    <row r="28" spans="1:22" ht="15" customHeight="1" x14ac:dyDescent="0.15">
      <c r="C28" s="80">
        <v>27</v>
      </c>
      <c r="D28"/>
      <c r="E28" s="175" t="s">
        <v>219</v>
      </c>
      <c r="F28" s="80">
        <v>0</v>
      </c>
      <c r="G28" s="80">
        <v>894</v>
      </c>
      <c r="H28" s="80">
        <v>44.912796</v>
      </c>
      <c r="I28" s="80">
        <v>316</v>
      </c>
      <c r="J28" s="80">
        <v>0.95</v>
      </c>
      <c r="K28" s="80">
        <v>0.142129108</v>
      </c>
      <c r="L28" s="80">
        <v>0</v>
      </c>
      <c r="M28" s="80">
        <v>0.4</v>
      </c>
      <c r="N28" s="80">
        <v>0</v>
      </c>
    </row>
    <row r="29" spans="1:22" customFormat="1" ht="15" customHeight="1" x14ac:dyDescent="0.15">
      <c r="C29" s="80">
        <v>28</v>
      </c>
      <c r="E29" s="175" t="s">
        <v>220</v>
      </c>
      <c r="F29" s="80">
        <v>0</v>
      </c>
      <c r="G29" s="80">
        <v>394</v>
      </c>
      <c r="H29" s="80">
        <v>115</v>
      </c>
      <c r="I29" s="80">
        <v>328.57144199999999</v>
      </c>
      <c r="J29" s="80">
        <v>0.81053894800000004</v>
      </c>
      <c r="K29" s="80">
        <v>0.35</v>
      </c>
      <c r="L29" s="80">
        <v>0</v>
      </c>
      <c r="M29" s="80">
        <v>0.5</v>
      </c>
      <c r="N29" s="80">
        <v>0</v>
      </c>
    </row>
    <row r="30" spans="1:22" customFormat="1" ht="15" customHeight="1" x14ac:dyDescent="0.15">
      <c r="C30" s="80">
        <v>29</v>
      </c>
      <c r="E30" s="175" t="s">
        <v>221</v>
      </c>
      <c r="F30" s="80">
        <v>1</v>
      </c>
      <c r="G30" s="80">
        <v>1046</v>
      </c>
      <c r="H30" s="80">
        <v>119</v>
      </c>
      <c r="I30" s="80">
        <v>0</v>
      </c>
      <c r="J30" s="80">
        <v>0.85123680000000002</v>
      </c>
      <c r="K30" s="80">
        <v>0</v>
      </c>
      <c r="L30" s="80">
        <v>0</v>
      </c>
      <c r="M30" s="80">
        <v>0</v>
      </c>
      <c r="N30" s="80">
        <v>0</v>
      </c>
    </row>
    <row r="31" spans="1:22" customFormat="1" ht="15" customHeight="1" x14ac:dyDescent="0.15">
      <c r="C31" s="80">
        <v>30</v>
      </c>
      <c r="E31" s="175" t="s">
        <v>222</v>
      </c>
      <c r="F31" s="80">
        <v>1</v>
      </c>
      <c r="G31" s="80">
        <v>448</v>
      </c>
      <c r="H31" s="80">
        <v>151</v>
      </c>
      <c r="I31" s="80">
        <v>0</v>
      </c>
      <c r="J31" s="80">
        <v>0.75169589999999997</v>
      </c>
      <c r="K31" s="80">
        <v>0</v>
      </c>
      <c r="L31" s="80">
        <v>0</v>
      </c>
      <c r="M31" s="80">
        <v>0</v>
      </c>
      <c r="N31" s="80">
        <v>0</v>
      </c>
    </row>
    <row r="32" spans="1:22" customFormat="1" ht="15" customHeight="1" x14ac:dyDescent="0.15">
      <c r="C32" s="80">
        <v>31</v>
      </c>
      <c r="E32" s="175" t="s">
        <v>223</v>
      </c>
      <c r="F32" s="80">
        <v>2</v>
      </c>
      <c r="G32" s="80">
        <v>46.67</v>
      </c>
      <c r="H32" s="80">
        <v>0</v>
      </c>
      <c r="I32" s="80">
        <v>0</v>
      </c>
      <c r="J32" s="80">
        <v>0.7314811</v>
      </c>
      <c r="K32" s="80">
        <v>0</v>
      </c>
      <c r="L32" s="80">
        <v>0</v>
      </c>
      <c r="M32" s="80">
        <v>0</v>
      </c>
      <c r="N32" s="80">
        <v>0</v>
      </c>
    </row>
    <row r="33" spans="3:14" customFormat="1" ht="15" customHeight="1" x14ac:dyDescent="0.15">
      <c r="C33" s="80">
        <v>32</v>
      </c>
      <c r="E33" s="175" t="s">
        <v>224</v>
      </c>
      <c r="F33" s="80">
        <v>2</v>
      </c>
      <c r="G33" s="80">
        <v>2800</v>
      </c>
      <c r="H33" s="80">
        <v>0</v>
      </c>
      <c r="I33" s="80">
        <v>0</v>
      </c>
      <c r="J33" s="80">
        <v>0</v>
      </c>
      <c r="K33" s="80">
        <v>0</v>
      </c>
      <c r="L33" s="80">
        <v>0</v>
      </c>
      <c r="M33" s="80">
        <v>0</v>
      </c>
      <c r="N33" s="80">
        <v>454</v>
      </c>
    </row>
    <row r="34" spans="3:14" customFormat="1" ht="15" customHeight="1" x14ac:dyDescent="0.15">
      <c r="C34" s="80">
        <v>33</v>
      </c>
      <c r="E34" s="175" t="s">
        <v>225</v>
      </c>
      <c r="F34" s="80">
        <v>2</v>
      </c>
      <c r="G34" s="80">
        <v>5</v>
      </c>
      <c r="H34" s="80">
        <v>0</v>
      </c>
      <c r="I34" s="80">
        <v>0</v>
      </c>
      <c r="J34" s="80">
        <v>0</v>
      </c>
      <c r="K34" s="80">
        <v>0</v>
      </c>
      <c r="L34" s="80">
        <v>0</v>
      </c>
      <c r="M34" s="80">
        <v>0</v>
      </c>
      <c r="N34" s="80">
        <v>0</v>
      </c>
    </row>
    <row r="35" spans="3:14" customFormat="1" ht="15" customHeight="1" x14ac:dyDescent="0.15">
      <c r="C35" s="80">
        <v>34</v>
      </c>
      <c r="E35" s="175" t="s">
        <v>226</v>
      </c>
      <c r="F35" s="80">
        <v>3</v>
      </c>
      <c r="G35" s="80">
        <v>0</v>
      </c>
      <c r="H35" s="80">
        <v>0</v>
      </c>
      <c r="I35" s="80">
        <v>0</v>
      </c>
      <c r="J35" s="80">
        <v>0</v>
      </c>
      <c r="K35" s="80">
        <v>0</v>
      </c>
      <c r="L35" s="80">
        <v>0</v>
      </c>
      <c r="M35" s="80">
        <v>0</v>
      </c>
      <c r="N35" s="80">
        <v>0</v>
      </c>
    </row>
    <row r="36" spans="3:14" customFormat="1" ht="15" customHeight="1" x14ac:dyDescent="0.15"/>
    <row r="37" spans="3:14" customFormat="1" ht="15" customHeight="1" x14ac:dyDescent="0.15"/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7" style="141" bestFit="1" customWidth="1"/>
    <col min="2" max="3" width="4.83203125" style="141" bestFit="1" customWidth="1"/>
    <col min="4" max="14" width="5.83203125" style="141" bestFit="1" customWidth="1"/>
    <col min="15" max="15" width="2.33203125" style="141" bestFit="1" customWidth="1"/>
    <col min="16" max="16" width="4.83203125" style="141" bestFit="1" customWidth="1"/>
    <col min="17" max="17" width="2.33203125" style="141" bestFit="1" customWidth="1"/>
    <col min="18" max="20" width="5.83203125" style="141" bestFit="1" customWidth="1"/>
    <col min="21" max="22" width="4.83203125" style="141" bestFit="1" customWidth="1"/>
    <col min="23" max="24" width="3.83203125" style="141" bestFit="1" customWidth="1"/>
    <col min="25" max="25" width="4.83203125" style="141" bestFit="1" customWidth="1"/>
    <col min="26" max="26" width="3.83203125" style="141" bestFit="1" customWidth="1"/>
    <col min="27" max="28" width="4.83203125" style="141" bestFit="1" customWidth="1"/>
    <col min="29" max="29" width="2.33203125" style="141" bestFit="1" customWidth="1"/>
    <col min="30" max="34" width="2.33203125" style="141" customWidth="1"/>
    <col min="35" max="16384" width="8.83203125" style="141"/>
  </cols>
  <sheetData>
    <row r="1" spans="1:34" x14ac:dyDescent="0.15">
      <c r="A1" s="140" t="s">
        <v>19</v>
      </c>
      <c r="B1" s="177" t="s">
        <v>193</v>
      </c>
      <c r="C1" s="177" t="s">
        <v>194</v>
      </c>
      <c r="D1" s="177" t="s">
        <v>195</v>
      </c>
      <c r="E1" s="177" t="s">
        <v>196</v>
      </c>
      <c r="F1" s="177" t="s">
        <v>197</v>
      </c>
      <c r="G1" s="177" t="s">
        <v>198</v>
      </c>
      <c r="H1" s="177" t="s">
        <v>199</v>
      </c>
      <c r="I1" s="177" t="s">
        <v>200</v>
      </c>
      <c r="J1" s="177" t="s">
        <v>201</v>
      </c>
      <c r="K1" s="177" t="s">
        <v>202</v>
      </c>
      <c r="L1" s="177" t="s">
        <v>203</v>
      </c>
      <c r="M1" s="177" t="s">
        <v>204</v>
      </c>
      <c r="N1" s="177" t="s">
        <v>205</v>
      </c>
      <c r="O1" s="177" t="s">
        <v>206</v>
      </c>
      <c r="P1" s="177" t="s">
        <v>207</v>
      </c>
      <c r="Q1" s="177" t="s">
        <v>208</v>
      </c>
      <c r="R1" s="177" t="s">
        <v>209</v>
      </c>
      <c r="S1" s="177" t="s">
        <v>210</v>
      </c>
      <c r="T1" s="177" t="s">
        <v>211</v>
      </c>
      <c r="U1" s="177" t="s">
        <v>212</v>
      </c>
      <c r="V1" s="177" t="s">
        <v>213</v>
      </c>
      <c r="W1" s="177" t="s">
        <v>214</v>
      </c>
      <c r="X1" s="177" t="s">
        <v>215</v>
      </c>
      <c r="Y1" s="177" t="s">
        <v>216</v>
      </c>
      <c r="Z1" s="177" t="s">
        <v>217</v>
      </c>
      <c r="AA1" s="177" t="s">
        <v>218</v>
      </c>
      <c r="AB1" s="177" t="s">
        <v>219</v>
      </c>
      <c r="AC1" s="177" t="s">
        <v>220</v>
      </c>
      <c r="AD1" s="177" t="s">
        <v>221</v>
      </c>
      <c r="AE1" s="177" t="s">
        <v>222</v>
      </c>
      <c r="AF1" s="177" t="s">
        <v>223</v>
      </c>
      <c r="AG1" s="177" t="s">
        <v>224</v>
      </c>
      <c r="AH1" s="177" t="s">
        <v>225</v>
      </c>
    </row>
    <row r="2" spans="1:34" customFormat="1" x14ac:dyDescent="0.15">
      <c r="A2" s="176" t="s">
        <v>193</v>
      </c>
      <c r="B2" s="141">
        <v>0</v>
      </c>
      <c r="C2" s="141">
        <v>0</v>
      </c>
      <c r="D2" s="141">
        <v>0</v>
      </c>
      <c r="E2" s="141">
        <v>0</v>
      </c>
      <c r="F2" s="141">
        <v>0</v>
      </c>
      <c r="G2" s="141">
        <v>0</v>
      </c>
      <c r="H2" s="141">
        <v>0</v>
      </c>
      <c r="I2" s="141">
        <v>0</v>
      </c>
      <c r="J2" s="141">
        <v>0</v>
      </c>
      <c r="K2" s="141">
        <v>0</v>
      </c>
      <c r="L2" s="141">
        <v>0</v>
      </c>
      <c r="M2" s="141">
        <v>0</v>
      </c>
      <c r="N2" s="141">
        <v>0</v>
      </c>
      <c r="O2" s="141">
        <v>0</v>
      </c>
      <c r="P2" s="141">
        <v>0</v>
      </c>
      <c r="Q2" s="141">
        <v>0</v>
      </c>
      <c r="R2" s="141">
        <v>0</v>
      </c>
      <c r="S2" s="141">
        <v>0</v>
      </c>
      <c r="T2" s="141">
        <v>0</v>
      </c>
      <c r="U2" s="141">
        <v>0</v>
      </c>
      <c r="V2" s="141">
        <v>0</v>
      </c>
      <c r="W2" s="141">
        <v>0</v>
      </c>
      <c r="X2" s="141">
        <v>0</v>
      </c>
      <c r="Y2" s="141">
        <v>0</v>
      </c>
      <c r="Z2" s="141">
        <v>0</v>
      </c>
      <c r="AA2" s="141">
        <v>0</v>
      </c>
      <c r="AB2" s="141">
        <v>0</v>
      </c>
      <c r="AC2" s="141">
        <v>0</v>
      </c>
      <c r="AD2" s="141">
        <v>0</v>
      </c>
      <c r="AE2" s="141">
        <v>0</v>
      </c>
      <c r="AF2" s="141">
        <v>0</v>
      </c>
      <c r="AG2" s="141">
        <v>0</v>
      </c>
      <c r="AH2" s="141">
        <v>0</v>
      </c>
    </row>
    <row r="3" spans="1:34" customFormat="1" x14ac:dyDescent="0.15">
      <c r="A3" s="176" t="s">
        <v>194</v>
      </c>
      <c r="B3" s="141">
        <v>0</v>
      </c>
      <c r="C3" s="141">
        <v>0</v>
      </c>
      <c r="D3" s="141">
        <v>0</v>
      </c>
      <c r="E3" s="141">
        <v>0</v>
      </c>
      <c r="F3" s="141">
        <v>0</v>
      </c>
      <c r="G3" s="141">
        <v>0</v>
      </c>
      <c r="H3" s="141">
        <v>0</v>
      </c>
      <c r="I3" s="141">
        <v>0</v>
      </c>
      <c r="J3" s="141">
        <v>0</v>
      </c>
      <c r="K3" s="141">
        <v>0</v>
      </c>
      <c r="L3" s="141">
        <v>0</v>
      </c>
      <c r="M3" s="141">
        <v>0</v>
      </c>
      <c r="N3" s="141">
        <v>0</v>
      </c>
      <c r="O3" s="141">
        <v>0</v>
      </c>
      <c r="P3" s="141">
        <v>0</v>
      </c>
      <c r="Q3" s="141">
        <v>0</v>
      </c>
      <c r="R3" s="141">
        <v>0</v>
      </c>
      <c r="S3" s="141">
        <v>0</v>
      </c>
      <c r="T3" s="141">
        <v>0</v>
      </c>
      <c r="U3" s="141">
        <v>0</v>
      </c>
      <c r="V3" s="141">
        <v>0</v>
      </c>
      <c r="W3" s="141">
        <v>0</v>
      </c>
      <c r="X3" s="141">
        <v>0</v>
      </c>
      <c r="Y3" s="141">
        <v>0</v>
      </c>
      <c r="Z3" s="141">
        <v>0</v>
      </c>
      <c r="AA3" s="141">
        <v>0</v>
      </c>
      <c r="AB3" s="141">
        <v>0</v>
      </c>
      <c r="AC3" s="141">
        <v>0</v>
      </c>
      <c r="AD3" s="141">
        <v>0</v>
      </c>
      <c r="AE3" s="141">
        <v>0</v>
      </c>
      <c r="AF3" s="141">
        <v>0</v>
      </c>
      <c r="AG3" s="141">
        <v>0</v>
      </c>
      <c r="AH3" s="141">
        <v>0</v>
      </c>
    </row>
    <row r="4" spans="1:34" customFormat="1" x14ac:dyDescent="0.15">
      <c r="A4" s="176" t="s">
        <v>195</v>
      </c>
      <c r="B4" s="141">
        <v>0</v>
      </c>
      <c r="C4" s="141">
        <v>0</v>
      </c>
      <c r="D4" s="141">
        <v>0</v>
      </c>
      <c r="E4" s="141">
        <v>0</v>
      </c>
      <c r="F4" s="141">
        <v>0</v>
      </c>
      <c r="G4" s="141">
        <v>0</v>
      </c>
      <c r="H4" s="141">
        <v>0</v>
      </c>
      <c r="I4" s="141">
        <v>0</v>
      </c>
      <c r="J4" s="141">
        <v>0</v>
      </c>
      <c r="K4" s="141">
        <v>0</v>
      </c>
      <c r="L4" s="141">
        <v>0</v>
      </c>
      <c r="M4" s="141">
        <v>0</v>
      </c>
      <c r="N4" s="141">
        <v>0</v>
      </c>
      <c r="O4" s="141">
        <v>0</v>
      </c>
      <c r="P4" s="141">
        <v>0</v>
      </c>
      <c r="Q4" s="141">
        <v>0</v>
      </c>
      <c r="R4" s="141">
        <v>0</v>
      </c>
      <c r="S4" s="141">
        <v>0</v>
      </c>
      <c r="T4" s="141">
        <v>0</v>
      </c>
      <c r="U4" s="141">
        <v>0</v>
      </c>
      <c r="V4" s="141">
        <v>0</v>
      </c>
      <c r="W4" s="141">
        <v>0</v>
      </c>
      <c r="X4" s="141">
        <v>0</v>
      </c>
      <c r="Y4" s="141">
        <v>0</v>
      </c>
      <c r="Z4" s="141">
        <v>0</v>
      </c>
      <c r="AA4" s="141">
        <v>0</v>
      </c>
      <c r="AB4" s="141">
        <v>0</v>
      </c>
      <c r="AC4" s="141">
        <v>0</v>
      </c>
      <c r="AD4" s="141">
        <v>0</v>
      </c>
      <c r="AE4" s="141">
        <v>0</v>
      </c>
      <c r="AF4" s="141">
        <v>0</v>
      </c>
      <c r="AG4" s="141">
        <v>0</v>
      </c>
      <c r="AH4" s="141">
        <v>0</v>
      </c>
    </row>
    <row r="5" spans="1:34" customFormat="1" x14ac:dyDescent="0.15">
      <c r="A5" s="176" t="s">
        <v>196</v>
      </c>
      <c r="B5" s="141">
        <v>0</v>
      </c>
      <c r="C5" s="141">
        <v>0</v>
      </c>
      <c r="D5" s="141">
        <v>0</v>
      </c>
      <c r="E5" s="141">
        <v>0</v>
      </c>
      <c r="F5" s="141">
        <v>0</v>
      </c>
      <c r="G5" s="141">
        <v>0</v>
      </c>
      <c r="H5" s="141">
        <v>0</v>
      </c>
      <c r="I5" s="141">
        <v>0</v>
      </c>
      <c r="J5" s="141">
        <v>0</v>
      </c>
      <c r="K5" s="141">
        <v>0</v>
      </c>
      <c r="L5" s="141">
        <v>0</v>
      </c>
      <c r="M5" s="141">
        <v>0</v>
      </c>
      <c r="N5" s="141">
        <v>0</v>
      </c>
      <c r="O5" s="141">
        <v>0</v>
      </c>
      <c r="P5" s="141">
        <v>0</v>
      </c>
      <c r="Q5" s="141">
        <v>0</v>
      </c>
      <c r="R5" s="141">
        <v>0</v>
      </c>
      <c r="S5" s="141">
        <v>0</v>
      </c>
      <c r="T5" s="141">
        <v>0</v>
      </c>
      <c r="U5" s="141">
        <v>0</v>
      </c>
      <c r="V5" s="141">
        <v>0</v>
      </c>
      <c r="W5" s="141">
        <v>0</v>
      </c>
      <c r="X5" s="141">
        <v>0</v>
      </c>
      <c r="Y5" s="141">
        <v>0</v>
      </c>
      <c r="Z5" s="141">
        <v>0</v>
      </c>
      <c r="AA5" s="141">
        <v>0</v>
      </c>
      <c r="AB5" s="141">
        <v>0</v>
      </c>
      <c r="AC5" s="141">
        <v>0</v>
      </c>
      <c r="AD5" s="141">
        <v>0</v>
      </c>
      <c r="AE5" s="141">
        <v>0</v>
      </c>
      <c r="AF5" s="141">
        <v>0</v>
      </c>
      <c r="AG5" s="141">
        <v>0</v>
      </c>
      <c r="AH5" s="141">
        <v>0</v>
      </c>
    </row>
    <row r="6" spans="1:34" customFormat="1" x14ac:dyDescent="0.15">
      <c r="A6" s="176" t="s">
        <v>197</v>
      </c>
      <c r="B6" s="141">
        <v>0</v>
      </c>
      <c r="C6" s="141">
        <v>0</v>
      </c>
      <c r="D6" s="141">
        <v>0</v>
      </c>
      <c r="E6" s="141">
        <v>0</v>
      </c>
      <c r="F6" s="141">
        <v>0</v>
      </c>
      <c r="G6" s="141">
        <v>0</v>
      </c>
      <c r="H6" s="141">
        <v>0</v>
      </c>
      <c r="I6" s="141">
        <v>0</v>
      </c>
      <c r="J6" s="141">
        <v>0</v>
      </c>
      <c r="K6" s="141">
        <v>0</v>
      </c>
      <c r="L6" s="141">
        <v>0</v>
      </c>
      <c r="M6" s="141">
        <v>0</v>
      </c>
      <c r="N6" s="141">
        <v>0</v>
      </c>
      <c r="O6" s="141">
        <v>0</v>
      </c>
      <c r="P6" s="141">
        <v>0</v>
      </c>
      <c r="Q6" s="141">
        <v>0</v>
      </c>
      <c r="R6" s="141">
        <v>0</v>
      </c>
      <c r="S6" s="141">
        <v>0</v>
      </c>
      <c r="T6" s="141">
        <v>0</v>
      </c>
      <c r="U6" s="141">
        <v>0</v>
      </c>
      <c r="V6" s="141">
        <v>0</v>
      </c>
      <c r="W6" s="141">
        <v>0</v>
      </c>
      <c r="X6" s="141">
        <v>0</v>
      </c>
      <c r="Y6" s="141">
        <v>0</v>
      </c>
      <c r="Z6" s="141">
        <v>0</v>
      </c>
      <c r="AA6" s="141">
        <v>0</v>
      </c>
      <c r="AB6" s="141">
        <v>0</v>
      </c>
      <c r="AC6" s="141">
        <v>0</v>
      </c>
      <c r="AD6" s="141">
        <v>0</v>
      </c>
      <c r="AE6" s="141">
        <v>0</v>
      </c>
      <c r="AF6" s="141">
        <v>0</v>
      </c>
      <c r="AG6" s="141">
        <v>0</v>
      </c>
      <c r="AH6" s="141">
        <v>0</v>
      </c>
    </row>
    <row r="7" spans="1:34" customFormat="1" x14ac:dyDescent="0.15">
      <c r="A7" s="176" t="s">
        <v>198</v>
      </c>
      <c r="B7" s="141">
        <v>0</v>
      </c>
      <c r="C7" s="141">
        <v>0</v>
      </c>
      <c r="D7" s="141">
        <v>0</v>
      </c>
      <c r="E7" s="141">
        <v>0</v>
      </c>
      <c r="F7" s="141">
        <v>0</v>
      </c>
      <c r="G7" s="141">
        <v>0</v>
      </c>
      <c r="H7" s="141">
        <v>0</v>
      </c>
      <c r="I7" s="141">
        <v>0</v>
      </c>
      <c r="J7" s="141">
        <v>0</v>
      </c>
      <c r="K7" s="141">
        <v>0</v>
      </c>
      <c r="L7" s="141">
        <v>0</v>
      </c>
      <c r="M7" s="141">
        <v>0</v>
      </c>
      <c r="N7" s="141">
        <v>0</v>
      </c>
      <c r="O7" s="141">
        <v>0</v>
      </c>
      <c r="P7" s="141">
        <v>0</v>
      </c>
      <c r="Q7" s="141">
        <v>0</v>
      </c>
      <c r="R7" s="141">
        <v>0</v>
      </c>
      <c r="S7" s="141">
        <v>0</v>
      </c>
      <c r="T7" s="141">
        <v>0</v>
      </c>
      <c r="U7" s="141">
        <v>0</v>
      </c>
      <c r="V7" s="141">
        <v>0</v>
      </c>
      <c r="W7" s="141">
        <v>0</v>
      </c>
      <c r="X7" s="141">
        <v>0</v>
      </c>
      <c r="Y7" s="141">
        <v>0</v>
      </c>
      <c r="Z7" s="141">
        <v>0</v>
      </c>
      <c r="AA7" s="141">
        <v>0</v>
      </c>
      <c r="AB7" s="141">
        <v>0</v>
      </c>
      <c r="AC7" s="141">
        <v>0</v>
      </c>
      <c r="AD7" s="141">
        <v>0</v>
      </c>
      <c r="AE7" s="141">
        <v>0</v>
      </c>
      <c r="AF7" s="141">
        <v>0</v>
      </c>
      <c r="AG7" s="141">
        <v>0</v>
      </c>
      <c r="AH7" s="141">
        <v>0</v>
      </c>
    </row>
    <row r="8" spans="1:34" customFormat="1" x14ac:dyDescent="0.15">
      <c r="A8" s="176" t="s">
        <v>199</v>
      </c>
      <c r="B8" s="141">
        <v>0</v>
      </c>
      <c r="C8" s="141">
        <v>0</v>
      </c>
      <c r="D8" s="141">
        <v>0</v>
      </c>
      <c r="E8" s="141">
        <v>0</v>
      </c>
      <c r="F8" s="141">
        <v>0</v>
      </c>
      <c r="G8" s="141">
        <v>0</v>
      </c>
      <c r="H8" s="141">
        <v>0</v>
      </c>
      <c r="I8" s="141">
        <v>0</v>
      </c>
      <c r="J8" s="141">
        <v>0</v>
      </c>
      <c r="K8" s="141">
        <v>0</v>
      </c>
      <c r="L8" s="141">
        <v>0</v>
      </c>
      <c r="M8" s="141">
        <v>0</v>
      </c>
      <c r="N8" s="141">
        <v>0</v>
      </c>
      <c r="O8" s="141">
        <v>0</v>
      </c>
      <c r="P8" s="141">
        <v>0</v>
      </c>
      <c r="Q8" s="141">
        <v>0</v>
      </c>
      <c r="R8" s="141">
        <v>0</v>
      </c>
      <c r="S8" s="141">
        <v>0</v>
      </c>
      <c r="T8" s="141">
        <v>0</v>
      </c>
      <c r="U8" s="141">
        <v>0</v>
      </c>
      <c r="V8" s="141">
        <v>0</v>
      </c>
      <c r="W8" s="141">
        <v>0</v>
      </c>
      <c r="X8" s="141">
        <v>0</v>
      </c>
      <c r="Y8" s="141">
        <v>0</v>
      </c>
      <c r="Z8" s="141">
        <v>0</v>
      </c>
      <c r="AA8" s="141">
        <v>0</v>
      </c>
      <c r="AB8" s="141">
        <v>0</v>
      </c>
      <c r="AC8" s="141">
        <v>0</v>
      </c>
      <c r="AD8" s="141">
        <v>0</v>
      </c>
      <c r="AE8" s="141">
        <v>0</v>
      </c>
      <c r="AF8" s="141">
        <v>0</v>
      </c>
      <c r="AG8" s="141">
        <v>0</v>
      </c>
      <c r="AH8" s="141">
        <v>0</v>
      </c>
    </row>
    <row r="9" spans="1:34" customFormat="1" x14ac:dyDescent="0.15">
      <c r="A9" s="176" t="s">
        <v>200</v>
      </c>
      <c r="B9" s="141">
        <v>0</v>
      </c>
      <c r="C9" s="141">
        <v>0</v>
      </c>
      <c r="D9" s="141">
        <v>1.4E-2</v>
      </c>
      <c r="E9" s="141">
        <v>0.40300000000000002</v>
      </c>
      <c r="F9" s="141">
        <v>1.4999999999999999E-2</v>
      </c>
      <c r="G9" s="141">
        <v>2E-3</v>
      </c>
      <c r="H9" s="141">
        <v>1.0999999999999999E-2</v>
      </c>
      <c r="I9" s="141">
        <v>0</v>
      </c>
      <c r="J9" s="141">
        <v>0</v>
      </c>
      <c r="K9" s="141">
        <v>0</v>
      </c>
      <c r="L9" s="141">
        <v>0</v>
      </c>
      <c r="M9" s="141">
        <v>0</v>
      </c>
      <c r="N9" s="141">
        <v>0</v>
      </c>
      <c r="O9" s="141">
        <v>0</v>
      </c>
      <c r="P9" s="141">
        <v>0</v>
      </c>
      <c r="Q9" s="141">
        <v>0</v>
      </c>
      <c r="R9" s="141">
        <v>0</v>
      </c>
      <c r="S9" s="141">
        <v>0</v>
      </c>
      <c r="T9" s="141">
        <v>0</v>
      </c>
      <c r="U9" s="141">
        <v>0</v>
      </c>
      <c r="V9" s="141">
        <v>0</v>
      </c>
      <c r="W9" s="141">
        <v>0</v>
      </c>
      <c r="X9" s="141">
        <v>0</v>
      </c>
      <c r="Y9" s="141">
        <v>0</v>
      </c>
      <c r="Z9" s="141">
        <v>0</v>
      </c>
      <c r="AA9" s="141">
        <v>0</v>
      </c>
      <c r="AB9" s="141">
        <v>0</v>
      </c>
      <c r="AC9" s="141">
        <v>0</v>
      </c>
      <c r="AD9" s="141">
        <v>0</v>
      </c>
      <c r="AE9" s="141">
        <v>0</v>
      </c>
      <c r="AF9" s="141">
        <v>0</v>
      </c>
      <c r="AG9" s="141">
        <v>0</v>
      </c>
      <c r="AH9" s="141">
        <v>0</v>
      </c>
    </row>
    <row r="10" spans="1:34" customFormat="1" x14ac:dyDescent="0.15">
      <c r="A10" s="176" t="s">
        <v>201</v>
      </c>
      <c r="B10" s="141">
        <v>0</v>
      </c>
      <c r="C10" s="141">
        <v>0</v>
      </c>
      <c r="D10" s="141">
        <v>9.7000000000000003E-2</v>
      </c>
      <c r="E10" s="141">
        <v>0.2</v>
      </c>
      <c r="F10" s="141">
        <v>3.1E-2</v>
      </c>
      <c r="G10" s="141">
        <v>8.5000000000000006E-2</v>
      </c>
      <c r="H10" s="141">
        <v>0.24</v>
      </c>
      <c r="I10" s="141">
        <v>0.16</v>
      </c>
      <c r="J10" s="141">
        <v>0.03</v>
      </c>
      <c r="K10" s="141">
        <v>0</v>
      </c>
      <c r="L10" s="141">
        <v>0.01</v>
      </c>
      <c r="M10" s="141">
        <v>0</v>
      </c>
      <c r="N10" s="141">
        <v>0</v>
      </c>
      <c r="O10" s="141">
        <v>0</v>
      </c>
      <c r="P10" s="141">
        <v>0</v>
      </c>
      <c r="Q10" s="141">
        <v>0</v>
      </c>
      <c r="R10" s="141">
        <v>0.06</v>
      </c>
      <c r="S10" s="141">
        <v>0.1</v>
      </c>
      <c r="T10" s="141">
        <v>0</v>
      </c>
      <c r="U10" s="141">
        <v>0</v>
      </c>
      <c r="V10" s="141">
        <v>0</v>
      </c>
      <c r="W10" s="141">
        <v>0</v>
      </c>
      <c r="X10" s="141">
        <v>0</v>
      </c>
      <c r="Y10" s="141">
        <v>0</v>
      </c>
      <c r="Z10" s="141">
        <v>0</v>
      </c>
      <c r="AA10" s="141">
        <v>0</v>
      </c>
      <c r="AB10" s="141">
        <v>0</v>
      </c>
      <c r="AC10" s="141">
        <v>0</v>
      </c>
      <c r="AD10" s="141">
        <v>0</v>
      </c>
      <c r="AE10" s="141">
        <v>0</v>
      </c>
      <c r="AF10" s="141">
        <v>0</v>
      </c>
      <c r="AG10" s="141">
        <v>0</v>
      </c>
      <c r="AH10" s="141">
        <v>0</v>
      </c>
    </row>
    <row r="11" spans="1:34" customFormat="1" x14ac:dyDescent="0.15">
      <c r="A11" s="176" t="s">
        <v>202</v>
      </c>
      <c r="B11" s="141">
        <v>0.1</v>
      </c>
      <c r="C11" s="141">
        <v>0</v>
      </c>
      <c r="D11" s="141">
        <v>0.34499999999999997</v>
      </c>
      <c r="E11" s="141">
        <v>7.0000000000000001E-3</v>
      </c>
      <c r="F11" s="141">
        <v>4.0000000000000001E-3</v>
      </c>
      <c r="G11" s="141">
        <v>6.0000000000000001E-3</v>
      </c>
      <c r="H11" s="141">
        <v>0.216</v>
      </c>
      <c r="I11" s="141">
        <v>0.19</v>
      </c>
      <c r="J11" s="141">
        <v>6.5000000000000002E-2</v>
      </c>
      <c r="K11" s="141">
        <v>5.0000000000000001E-3</v>
      </c>
      <c r="L11" s="141">
        <v>0.03</v>
      </c>
      <c r="M11" s="141">
        <v>1.7000000000000001E-2</v>
      </c>
      <c r="N11" s="141">
        <v>0.01</v>
      </c>
      <c r="O11" s="141">
        <v>0</v>
      </c>
      <c r="P11" s="141">
        <v>0</v>
      </c>
      <c r="Q11" s="141">
        <v>0</v>
      </c>
      <c r="R11" s="141">
        <v>0</v>
      </c>
      <c r="S11" s="141">
        <v>7.0000000000000007E-2</v>
      </c>
      <c r="T11" s="141">
        <v>5.0000000000000001E-3</v>
      </c>
      <c r="U11" s="141">
        <v>0</v>
      </c>
      <c r="V11" s="141">
        <v>0</v>
      </c>
      <c r="W11" s="141">
        <v>0</v>
      </c>
      <c r="X11" s="141">
        <v>0</v>
      </c>
      <c r="Y11" s="141">
        <v>0</v>
      </c>
      <c r="Z11" s="141">
        <v>0</v>
      </c>
      <c r="AA11" s="141">
        <v>0</v>
      </c>
      <c r="AB11" s="141">
        <v>0</v>
      </c>
      <c r="AC11" s="141">
        <v>0</v>
      </c>
      <c r="AD11" s="141">
        <v>0</v>
      </c>
      <c r="AE11" s="141">
        <v>0</v>
      </c>
      <c r="AF11" s="141">
        <v>0</v>
      </c>
      <c r="AG11" s="141">
        <v>0</v>
      </c>
      <c r="AH11" s="141">
        <v>0</v>
      </c>
    </row>
    <row r="12" spans="1:34" customFormat="1" x14ac:dyDescent="0.15">
      <c r="A12" s="176" t="s">
        <v>203</v>
      </c>
      <c r="B12" s="141">
        <v>0</v>
      </c>
      <c r="C12" s="141">
        <v>0</v>
      </c>
      <c r="D12" s="141">
        <v>0.14799999999999999</v>
      </c>
      <c r="E12" s="141">
        <v>0.1</v>
      </c>
      <c r="F12" s="141">
        <v>3.2000000000000001E-2</v>
      </c>
      <c r="G12" s="141">
        <v>0</v>
      </c>
      <c r="H12" s="141">
        <v>1.2E-2</v>
      </c>
      <c r="I12" s="141">
        <v>0.05</v>
      </c>
      <c r="J12" s="141">
        <v>0.01</v>
      </c>
      <c r="K12" s="141">
        <v>0</v>
      </c>
      <c r="L12" s="141">
        <v>0.01</v>
      </c>
      <c r="M12" s="141">
        <v>0</v>
      </c>
      <c r="N12" s="141">
        <v>0</v>
      </c>
      <c r="O12" s="141">
        <v>0</v>
      </c>
      <c r="P12" s="141">
        <v>0</v>
      </c>
      <c r="Q12" s="141">
        <v>0</v>
      </c>
      <c r="R12" s="141">
        <v>2E-3</v>
      </c>
      <c r="S12" s="141">
        <v>0</v>
      </c>
      <c r="T12" s="141">
        <v>0</v>
      </c>
      <c r="U12" s="141">
        <v>0</v>
      </c>
      <c r="V12" s="141">
        <v>0</v>
      </c>
      <c r="W12" s="141">
        <v>0</v>
      </c>
      <c r="X12" s="141">
        <v>0</v>
      </c>
      <c r="Y12" s="141">
        <v>0</v>
      </c>
      <c r="Z12" s="141">
        <v>0</v>
      </c>
      <c r="AA12" s="141">
        <v>0</v>
      </c>
      <c r="AB12" s="141">
        <v>0</v>
      </c>
      <c r="AC12" s="141">
        <v>0</v>
      </c>
      <c r="AD12" s="141">
        <v>0</v>
      </c>
      <c r="AE12" s="141">
        <v>0</v>
      </c>
      <c r="AF12" s="141">
        <v>0</v>
      </c>
      <c r="AG12" s="141">
        <v>0</v>
      </c>
      <c r="AH12" s="141">
        <v>0</v>
      </c>
    </row>
    <row r="13" spans="1:34" customFormat="1" x14ac:dyDescent="0.15">
      <c r="A13" s="176" t="s">
        <v>204</v>
      </c>
      <c r="B13" s="141">
        <v>0.09</v>
      </c>
      <c r="C13" s="141">
        <v>7.0000000000000007E-2</v>
      </c>
      <c r="D13" s="141">
        <v>0</v>
      </c>
      <c r="E13" s="141">
        <v>2.3E-2</v>
      </c>
      <c r="F13" s="141">
        <v>5.6000000000000001E-2</v>
      </c>
      <c r="G13" s="141">
        <v>4.0000000000000001E-3</v>
      </c>
      <c r="H13" s="141">
        <v>8.9999999999999993E-3</v>
      </c>
      <c r="I13" s="141">
        <v>0.09</v>
      </c>
      <c r="J13" s="141">
        <v>0.09</v>
      </c>
      <c r="K13" s="141">
        <v>5.0000000000000001E-3</v>
      </c>
      <c r="L13" s="141">
        <v>0</v>
      </c>
      <c r="M13" s="141">
        <v>0.03</v>
      </c>
      <c r="N13" s="141">
        <v>5.0000000000000001E-3</v>
      </c>
      <c r="O13" s="141">
        <v>0</v>
      </c>
      <c r="P13" s="141">
        <v>0</v>
      </c>
      <c r="Q13" s="141">
        <v>0</v>
      </c>
      <c r="R13" s="141">
        <v>0</v>
      </c>
      <c r="S13" s="141">
        <v>0.19</v>
      </c>
      <c r="T13" s="141">
        <v>0</v>
      </c>
      <c r="U13" s="141">
        <v>0</v>
      </c>
      <c r="V13" s="141">
        <v>0</v>
      </c>
      <c r="W13" s="141">
        <v>0</v>
      </c>
      <c r="X13" s="141">
        <v>0</v>
      </c>
      <c r="Y13" s="141">
        <v>0</v>
      </c>
      <c r="Z13" s="141">
        <v>0</v>
      </c>
      <c r="AA13" s="141">
        <v>0</v>
      </c>
      <c r="AB13" s="141">
        <v>0</v>
      </c>
      <c r="AC13" s="141">
        <v>0</v>
      </c>
      <c r="AD13" s="141">
        <v>0</v>
      </c>
      <c r="AE13" s="141">
        <v>0</v>
      </c>
      <c r="AF13" s="141">
        <v>0</v>
      </c>
      <c r="AG13" s="141">
        <v>0</v>
      </c>
      <c r="AH13" s="141">
        <v>0</v>
      </c>
    </row>
    <row r="14" spans="1:34" customFormat="1" x14ac:dyDescent="0.15">
      <c r="A14" s="176" t="s">
        <v>205</v>
      </c>
      <c r="B14" s="141">
        <v>0.14000000000000001</v>
      </c>
      <c r="C14" s="141">
        <v>7.0000000000000007E-2</v>
      </c>
      <c r="D14" s="141">
        <v>0</v>
      </c>
      <c r="E14" s="141">
        <v>0.13200000000000001</v>
      </c>
      <c r="F14" s="141">
        <v>0.05</v>
      </c>
      <c r="G14" s="141">
        <v>3.9E-2</v>
      </c>
      <c r="H14" s="141">
        <v>0.27600000000000002</v>
      </c>
      <c r="I14" s="141">
        <v>0.2</v>
      </c>
      <c r="J14" s="141">
        <v>0.1</v>
      </c>
      <c r="K14" s="141">
        <v>5.0000000000000001E-3</v>
      </c>
      <c r="L14" s="141">
        <v>0.02</v>
      </c>
      <c r="M14" s="141">
        <v>0.02</v>
      </c>
      <c r="N14" s="141">
        <v>5.0000000000000001E-3</v>
      </c>
      <c r="O14" s="141">
        <v>0</v>
      </c>
      <c r="P14" s="141">
        <v>0</v>
      </c>
      <c r="Q14" s="141">
        <v>0</v>
      </c>
      <c r="R14" s="141">
        <v>0</v>
      </c>
      <c r="S14" s="141">
        <v>8.5000000000000006E-2</v>
      </c>
      <c r="T14" s="141">
        <v>0</v>
      </c>
      <c r="U14" s="141">
        <v>0</v>
      </c>
      <c r="V14" s="141">
        <v>0</v>
      </c>
      <c r="W14" s="141">
        <v>0</v>
      </c>
      <c r="X14" s="141">
        <v>0</v>
      </c>
      <c r="Y14" s="141">
        <v>0</v>
      </c>
      <c r="Z14" s="141">
        <v>0</v>
      </c>
      <c r="AA14" s="141">
        <v>0</v>
      </c>
      <c r="AB14" s="141">
        <v>0</v>
      </c>
      <c r="AC14" s="141">
        <v>0</v>
      </c>
      <c r="AD14" s="141">
        <v>0</v>
      </c>
      <c r="AE14" s="141">
        <v>0</v>
      </c>
      <c r="AF14" s="141">
        <v>0</v>
      </c>
      <c r="AG14" s="141">
        <v>0</v>
      </c>
      <c r="AH14" s="141">
        <v>0</v>
      </c>
    </row>
    <row r="15" spans="1:34" customFormat="1" x14ac:dyDescent="0.15">
      <c r="A15" s="176" t="s">
        <v>206</v>
      </c>
      <c r="B15" s="141">
        <v>7.0000000000000007E-2</v>
      </c>
      <c r="C15" s="141">
        <v>0.13</v>
      </c>
      <c r="D15" s="141">
        <v>2E-3</v>
      </c>
      <c r="E15" s="141">
        <v>2E-3</v>
      </c>
      <c r="F15" s="141">
        <v>0.22600000000000001</v>
      </c>
      <c r="G15" s="141">
        <v>0</v>
      </c>
      <c r="H15" s="141">
        <v>3.0000000000000001E-3</v>
      </c>
      <c r="I15" s="141">
        <v>0.13500000000000001</v>
      </c>
      <c r="J15" s="141">
        <v>3.2000000000000001E-2</v>
      </c>
      <c r="K15" s="141">
        <v>5.0000000000000001E-3</v>
      </c>
      <c r="L15" s="141">
        <v>0</v>
      </c>
      <c r="M15" s="141">
        <v>1.0999999999999999E-2</v>
      </c>
      <c r="N15" s="141">
        <v>5.0000000000000001E-3</v>
      </c>
      <c r="O15" s="141">
        <v>0</v>
      </c>
      <c r="P15" s="141">
        <v>0</v>
      </c>
      <c r="Q15" s="141">
        <v>0</v>
      </c>
      <c r="R15" s="141">
        <v>0</v>
      </c>
      <c r="S15" s="141">
        <v>0.08</v>
      </c>
      <c r="T15" s="141">
        <v>0</v>
      </c>
      <c r="U15" s="141">
        <v>0</v>
      </c>
      <c r="V15" s="141">
        <v>0</v>
      </c>
      <c r="W15" s="141">
        <v>0</v>
      </c>
      <c r="X15" s="141">
        <v>0</v>
      </c>
      <c r="Y15" s="141">
        <v>0</v>
      </c>
      <c r="Z15" s="141">
        <v>0</v>
      </c>
      <c r="AA15" s="141">
        <v>0</v>
      </c>
      <c r="AB15" s="141">
        <v>0</v>
      </c>
      <c r="AC15" s="141">
        <v>0</v>
      </c>
      <c r="AD15" s="141">
        <v>0</v>
      </c>
      <c r="AE15" s="141">
        <v>0</v>
      </c>
      <c r="AF15" s="141">
        <v>0</v>
      </c>
      <c r="AG15" s="141">
        <v>0</v>
      </c>
      <c r="AH15" s="141">
        <v>0</v>
      </c>
    </row>
    <row r="16" spans="1:34" customFormat="1" x14ac:dyDescent="0.15">
      <c r="A16" s="176" t="s">
        <v>207</v>
      </c>
      <c r="B16" s="141">
        <v>0.38</v>
      </c>
      <c r="C16" s="141">
        <v>0.21</v>
      </c>
      <c r="D16" s="141">
        <v>0</v>
      </c>
      <c r="E16" s="141">
        <v>3.1E-2</v>
      </c>
      <c r="F16" s="141">
        <v>0.44900000000000001</v>
      </c>
      <c r="G16" s="141">
        <v>6.0000000000000001E-3</v>
      </c>
      <c r="H16" s="141">
        <v>0.21299999999999999</v>
      </c>
      <c r="I16" s="141">
        <v>0.12</v>
      </c>
      <c r="J16" s="141">
        <v>0.05</v>
      </c>
      <c r="K16" s="141">
        <v>5.0000000000000001E-3</v>
      </c>
      <c r="L16" s="141">
        <v>0</v>
      </c>
      <c r="M16" s="141">
        <v>8.9999999999999993E-3</v>
      </c>
      <c r="N16" s="141">
        <v>7.0000000000000001E-3</v>
      </c>
      <c r="O16" s="141">
        <v>0</v>
      </c>
      <c r="P16" s="141">
        <v>0</v>
      </c>
      <c r="Q16" s="141">
        <v>0</v>
      </c>
      <c r="R16" s="141">
        <v>0</v>
      </c>
      <c r="S16" s="141">
        <v>5.7000000000000002E-2</v>
      </c>
      <c r="T16" s="141">
        <v>0</v>
      </c>
      <c r="U16" s="141">
        <v>0</v>
      </c>
      <c r="V16" s="141">
        <v>0</v>
      </c>
      <c r="W16" s="141">
        <v>0</v>
      </c>
      <c r="X16" s="141">
        <v>0</v>
      </c>
      <c r="Y16" s="141">
        <v>0</v>
      </c>
      <c r="Z16" s="141">
        <v>0</v>
      </c>
      <c r="AA16" s="141">
        <v>0</v>
      </c>
      <c r="AB16" s="141">
        <v>0</v>
      </c>
      <c r="AC16" s="141">
        <v>0</v>
      </c>
      <c r="AD16" s="141">
        <v>0</v>
      </c>
      <c r="AE16" s="141">
        <v>0</v>
      </c>
      <c r="AF16" s="141">
        <v>0</v>
      </c>
      <c r="AG16" s="141">
        <v>0</v>
      </c>
      <c r="AH16" s="141">
        <v>0</v>
      </c>
    </row>
    <row r="17" spans="1:34" customFormat="1" x14ac:dyDescent="0.15">
      <c r="A17" s="176" t="s">
        <v>208</v>
      </c>
      <c r="B17" s="141">
        <v>0.14000000000000001</v>
      </c>
      <c r="C17" s="141">
        <v>0.11</v>
      </c>
      <c r="D17" s="141">
        <v>0</v>
      </c>
      <c r="E17" s="141">
        <v>8.9999999999999993E-3</v>
      </c>
      <c r="F17" s="141">
        <v>0.08</v>
      </c>
      <c r="G17" s="141">
        <v>0</v>
      </c>
      <c r="H17" s="141">
        <v>0</v>
      </c>
      <c r="I17" s="141">
        <v>5.5E-2</v>
      </c>
      <c r="J17" s="141">
        <v>1.7999999999999999E-2</v>
      </c>
      <c r="K17" s="141">
        <v>5.0000000000000001E-3</v>
      </c>
      <c r="L17" s="141">
        <v>0</v>
      </c>
      <c r="M17" s="141">
        <v>7.0000000000000001E-3</v>
      </c>
      <c r="N17" s="141">
        <v>5.0000000000000001E-3</v>
      </c>
      <c r="O17" s="141">
        <v>0</v>
      </c>
      <c r="P17" s="141">
        <v>0</v>
      </c>
      <c r="Q17" s="141">
        <v>0</v>
      </c>
      <c r="R17" s="141">
        <v>0</v>
      </c>
      <c r="S17" s="141">
        <v>7.2999999999999995E-2</v>
      </c>
      <c r="T17" s="141">
        <v>0</v>
      </c>
      <c r="U17" s="141">
        <v>0</v>
      </c>
      <c r="V17" s="141">
        <v>0</v>
      </c>
      <c r="W17" s="141">
        <v>0</v>
      </c>
      <c r="X17" s="141">
        <v>0</v>
      </c>
      <c r="Y17" s="141">
        <v>0</v>
      </c>
      <c r="Z17" s="141">
        <v>0</v>
      </c>
      <c r="AA17" s="141">
        <v>0</v>
      </c>
      <c r="AB17" s="141">
        <v>0</v>
      </c>
      <c r="AC17" s="141">
        <v>0</v>
      </c>
      <c r="AD17" s="141">
        <v>0</v>
      </c>
      <c r="AE17" s="141">
        <v>0</v>
      </c>
      <c r="AF17" s="141">
        <v>0</v>
      </c>
      <c r="AG17" s="141">
        <v>0</v>
      </c>
      <c r="AH17" s="141">
        <v>0</v>
      </c>
    </row>
    <row r="18" spans="1:34" customFormat="1" x14ac:dyDescent="0.15">
      <c r="A18" s="176" t="s">
        <v>209</v>
      </c>
      <c r="B18" s="141">
        <v>0</v>
      </c>
      <c r="C18" s="141">
        <v>0</v>
      </c>
      <c r="D18" s="141">
        <v>6.0000000000000001E-3</v>
      </c>
      <c r="E18" s="141">
        <v>0</v>
      </c>
      <c r="F18" s="141">
        <v>3.2000000000000001E-2</v>
      </c>
      <c r="G18" s="141">
        <v>0.24299999999999999</v>
      </c>
      <c r="H18" s="141">
        <v>8.9999999999999993E-3</v>
      </c>
      <c r="I18" s="141">
        <v>0</v>
      </c>
      <c r="J18" s="141">
        <v>0.01</v>
      </c>
      <c r="K18" s="141">
        <v>2E-3</v>
      </c>
      <c r="L18" s="141">
        <v>3.0000000000000001E-3</v>
      </c>
      <c r="M18" s="141">
        <v>0</v>
      </c>
      <c r="N18" s="141">
        <v>0</v>
      </c>
      <c r="O18" s="141">
        <v>0</v>
      </c>
      <c r="P18" s="141">
        <v>0</v>
      </c>
      <c r="Q18" s="141">
        <v>0</v>
      </c>
      <c r="R18" s="141">
        <v>0.04</v>
      </c>
      <c r="S18" s="141">
        <v>3.5000000000000003E-2</v>
      </c>
      <c r="T18" s="141">
        <v>4.0000000000000001E-3</v>
      </c>
      <c r="U18" s="141">
        <v>0</v>
      </c>
      <c r="V18" s="141">
        <v>0</v>
      </c>
      <c r="W18" s="141">
        <v>0</v>
      </c>
      <c r="X18" s="141">
        <v>0</v>
      </c>
      <c r="Y18" s="141">
        <v>0</v>
      </c>
      <c r="Z18" s="141">
        <v>0</v>
      </c>
      <c r="AA18" s="141">
        <v>0</v>
      </c>
      <c r="AB18" s="141">
        <v>0</v>
      </c>
      <c r="AC18" s="141">
        <v>0</v>
      </c>
      <c r="AD18" s="141">
        <v>0</v>
      </c>
      <c r="AE18" s="141">
        <v>0</v>
      </c>
      <c r="AF18" s="141">
        <v>0</v>
      </c>
      <c r="AG18" s="141">
        <v>0</v>
      </c>
      <c r="AH18" s="141">
        <v>0</v>
      </c>
    </row>
    <row r="19" spans="1:34" customFormat="1" x14ac:dyDescent="0.15">
      <c r="A19" s="176" t="s">
        <v>210</v>
      </c>
      <c r="B19" s="141">
        <v>0</v>
      </c>
      <c r="C19" s="141">
        <v>0</v>
      </c>
      <c r="D19" s="141">
        <v>0.122</v>
      </c>
      <c r="E19" s="141">
        <v>9.2999999999999999E-2</v>
      </c>
      <c r="F19" s="141">
        <v>2.5000000000000001E-2</v>
      </c>
      <c r="G19" s="141">
        <v>6.0000000000000001E-3</v>
      </c>
      <c r="H19" s="141">
        <v>8.0000000000000002E-3</v>
      </c>
      <c r="I19" s="141">
        <v>0</v>
      </c>
      <c r="J19" s="141">
        <v>5.0000000000000001E-3</v>
      </c>
      <c r="K19" s="141">
        <v>3.0000000000000001E-3</v>
      </c>
      <c r="L19" s="141">
        <v>7.0000000000000001E-3</v>
      </c>
      <c r="M19" s="141">
        <v>5.0000000000000001E-3</v>
      </c>
      <c r="N19" s="141">
        <v>0.01</v>
      </c>
      <c r="O19" s="141">
        <v>0</v>
      </c>
      <c r="P19" s="141">
        <v>0</v>
      </c>
      <c r="Q19" s="141">
        <v>0</v>
      </c>
      <c r="R19" s="141">
        <v>0</v>
      </c>
      <c r="S19" s="141">
        <v>0.05</v>
      </c>
      <c r="T19" s="141">
        <v>5.0000000000000001E-3</v>
      </c>
      <c r="U19" s="141">
        <v>0</v>
      </c>
      <c r="V19" s="141">
        <v>0</v>
      </c>
      <c r="W19" s="141">
        <v>0</v>
      </c>
      <c r="X19" s="141">
        <v>0</v>
      </c>
      <c r="Y19" s="141">
        <v>0</v>
      </c>
      <c r="Z19" s="141">
        <v>0</v>
      </c>
      <c r="AA19" s="141">
        <v>0</v>
      </c>
      <c r="AB19" s="141">
        <v>0</v>
      </c>
      <c r="AC19" s="141">
        <v>0</v>
      </c>
      <c r="AD19" s="141">
        <v>0</v>
      </c>
      <c r="AE19" s="141">
        <v>0</v>
      </c>
      <c r="AF19" s="141">
        <v>0</v>
      </c>
      <c r="AG19" s="141">
        <v>0</v>
      </c>
      <c r="AH19" s="141">
        <v>0</v>
      </c>
    </row>
    <row r="20" spans="1:34" customFormat="1" x14ac:dyDescent="0.15">
      <c r="A20" s="176" t="s">
        <v>211</v>
      </c>
      <c r="B20" s="141">
        <v>0</v>
      </c>
      <c r="C20" s="141">
        <v>0</v>
      </c>
      <c r="D20" s="141">
        <v>0</v>
      </c>
      <c r="E20" s="141">
        <v>0</v>
      </c>
      <c r="F20" s="141">
        <v>0</v>
      </c>
      <c r="G20" s="141">
        <v>0</v>
      </c>
      <c r="H20" s="141">
        <v>0</v>
      </c>
      <c r="I20" s="141">
        <v>0</v>
      </c>
      <c r="J20" s="141">
        <v>0.27500000000000002</v>
      </c>
      <c r="K20" s="141">
        <v>0</v>
      </c>
      <c r="L20" s="141">
        <v>0.2</v>
      </c>
      <c r="M20" s="141">
        <v>0</v>
      </c>
      <c r="N20" s="141">
        <v>0.02</v>
      </c>
      <c r="O20" s="141">
        <v>0</v>
      </c>
      <c r="P20" s="141">
        <v>0</v>
      </c>
      <c r="Q20" s="141">
        <v>0</v>
      </c>
      <c r="R20" s="141">
        <v>0.21</v>
      </c>
      <c r="S20" s="141">
        <v>0.05</v>
      </c>
      <c r="T20" s="141">
        <v>5.0999999999999997E-2</v>
      </c>
      <c r="U20" s="141">
        <v>0</v>
      </c>
      <c r="V20" s="141">
        <v>0</v>
      </c>
      <c r="W20" s="141">
        <v>0</v>
      </c>
      <c r="X20" s="141">
        <v>0</v>
      </c>
      <c r="Y20" s="141">
        <v>0</v>
      </c>
      <c r="Z20" s="141">
        <v>0</v>
      </c>
      <c r="AA20" s="141">
        <v>0</v>
      </c>
      <c r="AB20" s="141">
        <v>0</v>
      </c>
      <c r="AC20" s="141">
        <v>0</v>
      </c>
      <c r="AD20" s="141">
        <v>0</v>
      </c>
      <c r="AE20" s="141">
        <v>0</v>
      </c>
      <c r="AF20" s="141">
        <v>0</v>
      </c>
      <c r="AG20" s="141">
        <v>0</v>
      </c>
      <c r="AH20" s="141">
        <v>0</v>
      </c>
    </row>
    <row r="21" spans="1:34" customFormat="1" x14ac:dyDescent="0.15">
      <c r="A21" s="176" t="s">
        <v>212</v>
      </c>
      <c r="B21" s="141">
        <v>0</v>
      </c>
      <c r="C21" s="141">
        <v>0</v>
      </c>
      <c r="D21" s="141">
        <v>0</v>
      </c>
      <c r="E21" s="141">
        <v>0</v>
      </c>
      <c r="F21" s="141">
        <v>0</v>
      </c>
      <c r="G21" s="141">
        <v>0</v>
      </c>
      <c r="H21" s="141">
        <v>0</v>
      </c>
      <c r="I21" s="141">
        <v>0</v>
      </c>
      <c r="J21" s="141">
        <v>0.02</v>
      </c>
      <c r="K21" s="141">
        <v>0</v>
      </c>
      <c r="L21" s="141">
        <v>0.05</v>
      </c>
      <c r="M21" s="141">
        <v>0</v>
      </c>
      <c r="N21" s="141">
        <v>0</v>
      </c>
      <c r="O21" s="141">
        <v>0</v>
      </c>
      <c r="P21" s="141">
        <v>0</v>
      </c>
      <c r="Q21" s="141">
        <v>0</v>
      </c>
      <c r="R21" s="141">
        <v>0</v>
      </c>
      <c r="S21" s="141">
        <v>0</v>
      </c>
      <c r="T21" s="141">
        <v>5.0000000000000001E-3</v>
      </c>
      <c r="U21" s="141">
        <v>0</v>
      </c>
      <c r="V21" s="141">
        <v>0</v>
      </c>
      <c r="W21" s="141">
        <v>0</v>
      </c>
      <c r="X21" s="141">
        <v>0</v>
      </c>
      <c r="Y21" s="141">
        <v>0</v>
      </c>
      <c r="Z21" s="141">
        <v>0</v>
      </c>
      <c r="AA21" s="141">
        <v>0</v>
      </c>
      <c r="AB21" s="141">
        <v>0</v>
      </c>
      <c r="AC21" s="141">
        <v>0</v>
      </c>
      <c r="AD21" s="141">
        <v>0</v>
      </c>
      <c r="AE21" s="141">
        <v>0</v>
      </c>
      <c r="AF21" s="141">
        <v>0</v>
      </c>
      <c r="AG21" s="141">
        <v>0</v>
      </c>
      <c r="AH21" s="141">
        <v>0</v>
      </c>
    </row>
    <row r="22" spans="1:34" customFormat="1" x14ac:dyDescent="0.15">
      <c r="A22" s="176" t="s">
        <v>213</v>
      </c>
      <c r="B22" s="141">
        <v>0</v>
      </c>
      <c r="C22" s="141">
        <v>0</v>
      </c>
      <c r="D22" s="141">
        <v>0</v>
      </c>
      <c r="E22" s="141">
        <v>0</v>
      </c>
      <c r="F22" s="141">
        <v>0</v>
      </c>
      <c r="G22" s="141">
        <v>0</v>
      </c>
      <c r="H22" s="141">
        <v>0</v>
      </c>
      <c r="I22" s="141">
        <v>0</v>
      </c>
      <c r="J22" s="141">
        <v>0.03</v>
      </c>
      <c r="K22" s="141">
        <v>0</v>
      </c>
      <c r="L22" s="141">
        <v>0.12</v>
      </c>
      <c r="M22" s="141">
        <v>0</v>
      </c>
      <c r="N22" s="141">
        <v>0</v>
      </c>
      <c r="O22" s="141">
        <v>0</v>
      </c>
      <c r="P22" s="141">
        <v>0</v>
      </c>
      <c r="Q22" s="141">
        <v>0</v>
      </c>
      <c r="R22" s="141">
        <v>7.9000000000000001E-2</v>
      </c>
      <c r="S22" s="141">
        <v>0</v>
      </c>
      <c r="T22" s="141">
        <v>0.20499999999999999</v>
      </c>
      <c r="U22" s="141">
        <v>0</v>
      </c>
      <c r="V22" s="141">
        <v>0</v>
      </c>
      <c r="W22" s="141">
        <v>0</v>
      </c>
      <c r="X22" s="141">
        <v>0</v>
      </c>
      <c r="Y22" s="141">
        <v>0</v>
      </c>
      <c r="Z22" s="141">
        <v>0</v>
      </c>
      <c r="AA22" s="141">
        <v>0</v>
      </c>
      <c r="AB22" s="141">
        <v>0</v>
      </c>
      <c r="AC22" s="141">
        <v>0</v>
      </c>
      <c r="AD22" s="141">
        <v>0</v>
      </c>
      <c r="AE22" s="141">
        <v>0</v>
      </c>
      <c r="AF22" s="141">
        <v>0</v>
      </c>
      <c r="AG22" s="141">
        <v>0</v>
      </c>
      <c r="AH22" s="141">
        <v>0</v>
      </c>
    </row>
    <row r="23" spans="1:34" customFormat="1" x14ac:dyDescent="0.15">
      <c r="A23" s="176" t="s">
        <v>214</v>
      </c>
      <c r="B23" s="141">
        <v>0</v>
      </c>
      <c r="C23" s="141">
        <v>0</v>
      </c>
      <c r="D23" s="141">
        <v>0</v>
      </c>
      <c r="E23" s="141">
        <v>0</v>
      </c>
      <c r="F23" s="141">
        <v>0</v>
      </c>
      <c r="G23" s="141">
        <v>0</v>
      </c>
      <c r="H23" s="141">
        <v>0</v>
      </c>
      <c r="I23" s="141">
        <v>0</v>
      </c>
      <c r="J23" s="141">
        <v>0.23499999999999999</v>
      </c>
      <c r="K23" s="141">
        <v>0</v>
      </c>
      <c r="L23" s="141">
        <v>0.54</v>
      </c>
      <c r="M23" s="141">
        <v>0</v>
      </c>
      <c r="N23" s="141">
        <v>0</v>
      </c>
      <c r="O23" s="141">
        <v>0</v>
      </c>
      <c r="P23" s="141">
        <v>0</v>
      </c>
      <c r="Q23" s="141">
        <v>0</v>
      </c>
      <c r="R23" s="141">
        <v>7.9000000000000001E-2</v>
      </c>
      <c r="S23" s="141">
        <v>0</v>
      </c>
      <c r="T23" s="141">
        <v>0.27</v>
      </c>
      <c r="U23" s="141">
        <v>0</v>
      </c>
      <c r="V23" s="141">
        <v>0</v>
      </c>
      <c r="W23" s="141">
        <v>0</v>
      </c>
      <c r="X23" s="141">
        <v>0</v>
      </c>
      <c r="Y23" s="141">
        <v>0</v>
      </c>
      <c r="Z23" s="141">
        <v>0</v>
      </c>
      <c r="AA23" s="141">
        <v>0</v>
      </c>
      <c r="AB23" s="141">
        <v>0</v>
      </c>
      <c r="AC23" s="141">
        <v>0</v>
      </c>
      <c r="AD23" s="141">
        <v>0</v>
      </c>
      <c r="AE23" s="141">
        <v>0</v>
      </c>
      <c r="AF23" s="141">
        <v>0</v>
      </c>
      <c r="AG23" s="141">
        <v>0</v>
      </c>
      <c r="AH23" s="141">
        <v>0</v>
      </c>
    </row>
    <row r="24" spans="1:34" customFormat="1" x14ac:dyDescent="0.15">
      <c r="A24" s="176" t="s">
        <v>215</v>
      </c>
      <c r="B24" s="141">
        <v>0</v>
      </c>
      <c r="C24" s="141">
        <v>0</v>
      </c>
      <c r="D24" s="141">
        <v>0</v>
      </c>
      <c r="E24" s="141">
        <v>0</v>
      </c>
      <c r="F24" s="141">
        <v>0</v>
      </c>
      <c r="G24" s="141">
        <v>0</v>
      </c>
      <c r="H24" s="141">
        <v>0</v>
      </c>
      <c r="I24" s="141">
        <v>0</v>
      </c>
      <c r="J24" s="141">
        <v>0</v>
      </c>
      <c r="K24" s="141">
        <v>0</v>
      </c>
      <c r="L24" s="141">
        <v>0</v>
      </c>
      <c r="M24" s="141">
        <v>0</v>
      </c>
      <c r="N24" s="141">
        <v>0</v>
      </c>
      <c r="O24" s="141">
        <v>0</v>
      </c>
      <c r="P24" s="141">
        <v>0</v>
      </c>
      <c r="Q24" s="141">
        <v>0</v>
      </c>
      <c r="R24" s="141">
        <v>0</v>
      </c>
      <c r="S24" s="141">
        <v>0</v>
      </c>
      <c r="T24" s="141">
        <v>0.21</v>
      </c>
      <c r="U24" s="141">
        <v>0</v>
      </c>
      <c r="V24" s="141">
        <v>0.34</v>
      </c>
      <c r="W24" s="141">
        <v>0</v>
      </c>
      <c r="X24" s="141">
        <v>0</v>
      </c>
      <c r="Y24" s="141">
        <v>0</v>
      </c>
      <c r="Z24" s="141">
        <v>0</v>
      </c>
      <c r="AA24" s="141">
        <v>0</v>
      </c>
      <c r="AB24" s="141">
        <v>0</v>
      </c>
      <c r="AC24" s="141">
        <v>0</v>
      </c>
      <c r="AD24" s="141">
        <v>0</v>
      </c>
      <c r="AE24" s="141">
        <v>0</v>
      </c>
      <c r="AF24" s="141">
        <v>0</v>
      </c>
      <c r="AG24" s="141">
        <v>0</v>
      </c>
      <c r="AH24" s="141">
        <v>0</v>
      </c>
    </row>
    <row r="25" spans="1:34" customFormat="1" x14ac:dyDescent="0.15">
      <c r="A25" s="176" t="s">
        <v>216</v>
      </c>
      <c r="B25" s="141">
        <v>0</v>
      </c>
      <c r="C25" s="141">
        <v>0</v>
      </c>
      <c r="D25" s="141">
        <v>0</v>
      </c>
      <c r="E25" s="141">
        <v>0</v>
      </c>
      <c r="F25" s="141">
        <v>0</v>
      </c>
      <c r="G25" s="141">
        <v>0</v>
      </c>
      <c r="H25" s="141">
        <v>0</v>
      </c>
      <c r="I25" s="141">
        <v>0</v>
      </c>
      <c r="J25" s="141">
        <v>0.01</v>
      </c>
      <c r="K25" s="141">
        <v>0.38</v>
      </c>
      <c r="L25" s="141">
        <v>0</v>
      </c>
      <c r="M25" s="141">
        <v>0</v>
      </c>
      <c r="N25" s="141">
        <v>0.01</v>
      </c>
      <c r="O25" s="141">
        <v>0</v>
      </c>
      <c r="P25" s="141">
        <v>0</v>
      </c>
      <c r="Q25" s="141">
        <v>0</v>
      </c>
      <c r="R25" s="141">
        <v>0.18</v>
      </c>
      <c r="S25" s="141">
        <v>0.09</v>
      </c>
      <c r="T25" s="141">
        <v>3.5000000000000003E-2</v>
      </c>
      <c r="U25" s="141">
        <v>0</v>
      </c>
      <c r="V25" s="141">
        <v>0</v>
      </c>
      <c r="W25" s="141">
        <v>0</v>
      </c>
      <c r="X25" s="141">
        <v>0</v>
      </c>
      <c r="Y25" s="141">
        <v>0</v>
      </c>
      <c r="Z25" s="141">
        <v>0</v>
      </c>
      <c r="AA25" s="141">
        <v>0</v>
      </c>
      <c r="AB25" s="141">
        <v>0</v>
      </c>
      <c r="AC25" s="141">
        <v>0</v>
      </c>
      <c r="AD25" s="141">
        <v>0</v>
      </c>
      <c r="AE25" s="141">
        <v>0</v>
      </c>
      <c r="AF25" s="141">
        <v>0</v>
      </c>
      <c r="AG25" s="141">
        <v>0</v>
      </c>
      <c r="AH25" s="141">
        <v>0</v>
      </c>
    </row>
    <row r="26" spans="1:34" customFormat="1" x14ac:dyDescent="0.15">
      <c r="A26" s="176" t="s">
        <v>217</v>
      </c>
      <c r="B26" s="141">
        <v>0</v>
      </c>
      <c r="C26" s="141">
        <v>0.12</v>
      </c>
      <c r="D26" s="141">
        <v>0</v>
      </c>
      <c r="E26" s="141">
        <v>0</v>
      </c>
      <c r="F26" s="141">
        <v>0</v>
      </c>
      <c r="G26" s="141">
        <v>0.05</v>
      </c>
      <c r="H26" s="141">
        <v>0</v>
      </c>
      <c r="I26" s="141">
        <v>0</v>
      </c>
      <c r="J26" s="141">
        <v>0</v>
      </c>
      <c r="K26" s="141">
        <v>0.17499999999999999</v>
      </c>
      <c r="L26" s="141">
        <v>0</v>
      </c>
      <c r="M26" s="141">
        <v>0.21299999999999999</v>
      </c>
      <c r="N26" s="141">
        <v>0.15</v>
      </c>
      <c r="O26" s="141">
        <v>0</v>
      </c>
      <c r="P26" s="141">
        <v>0</v>
      </c>
      <c r="Q26" s="141">
        <v>0</v>
      </c>
      <c r="R26" s="141">
        <v>0.35</v>
      </c>
      <c r="S26" s="141">
        <v>0.09</v>
      </c>
      <c r="T26" s="141">
        <v>0.06</v>
      </c>
      <c r="U26" s="141">
        <v>0</v>
      </c>
      <c r="V26" s="141">
        <v>0</v>
      </c>
      <c r="W26" s="141">
        <v>0</v>
      </c>
      <c r="X26" s="141">
        <v>0</v>
      </c>
      <c r="Y26" s="141">
        <v>0</v>
      </c>
      <c r="Z26" s="141">
        <v>0</v>
      </c>
      <c r="AA26" s="141">
        <v>0</v>
      </c>
      <c r="AB26" s="141">
        <v>0</v>
      </c>
      <c r="AC26" s="141">
        <v>0</v>
      </c>
      <c r="AD26" s="141">
        <v>0</v>
      </c>
      <c r="AE26" s="141">
        <v>0</v>
      </c>
      <c r="AF26" s="141">
        <v>0</v>
      </c>
      <c r="AG26" s="141">
        <v>0</v>
      </c>
      <c r="AH26" s="141">
        <v>0</v>
      </c>
    </row>
    <row r="27" spans="1:34" customFormat="1" x14ac:dyDescent="0.15">
      <c r="A27" s="176" t="s">
        <v>218</v>
      </c>
      <c r="B27" s="141">
        <v>0</v>
      </c>
      <c r="C27" s="141">
        <v>0</v>
      </c>
      <c r="D27" s="141">
        <v>0</v>
      </c>
      <c r="E27" s="141">
        <v>0</v>
      </c>
      <c r="F27" s="141">
        <v>0</v>
      </c>
      <c r="G27" s="141">
        <v>0</v>
      </c>
      <c r="H27" s="141">
        <v>0</v>
      </c>
      <c r="I27" s="141">
        <v>0</v>
      </c>
      <c r="J27" s="141">
        <v>0</v>
      </c>
      <c r="K27" s="141">
        <v>0.41</v>
      </c>
      <c r="L27" s="141">
        <v>0</v>
      </c>
      <c r="M27" s="141">
        <v>0.65500000000000003</v>
      </c>
      <c r="N27" s="141">
        <v>0.72299999999999998</v>
      </c>
      <c r="O27" s="141">
        <v>1</v>
      </c>
      <c r="P27" s="141">
        <v>0.8</v>
      </c>
      <c r="Q27" s="141">
        <v>1</v>
      </c>
      <c r="R27" s="141">
        <v>0</v>
      </c>
      <c r="S27" s="141">
        <v>0.03</v>
      </c>
      <c r="T27" s="141">
        <v>0.11</v>
      </c>
      <c r="U27" s="141">
        <v>0</v>
      </c>
      <c r="V27" s="141">
        <v>0</v>
      </c>
      <c r="W27" s="141">
        <v>0</v>
      </c>
      <c r="X27" s="141">
        <v>0</v>
      </c>
      <c r="Y27" s="141">
        <v>0.05</v>
      </c>
      <c r="Z27" s="141">
        <v>0.2</v>
      </c>
      <c r="AA27" s="141">
        <v>0.05</v>
      </c>
      <c r="AB27" s="141">
        <v>0</v>
      </c>
      <c r="AC27" s="141">
        <v>0</v>
      </c>
      <c r="AD27" s="141">
        <v>0</v>
      </c>
      <c r="AE27" s="141">
        <v>0</v>
      </c>
      <c r="AF27" s="141">
        <v>0</v>
      </c>
      <c r="AG27" s="141">
        <v>0</v>
      </c>
      <c r="AH27" s="141">
        <v>0</v>
      </c>
    </row>
    <row r="28" spans="1:34" customFormat="1" x14ac:dyDescent="0.15">
      <c r="A28" s="176" t="s">
        <v>219</v>
      </c>
      <c r="B28" s="141">
        <v>0</v>
      </c>
      <c r="C28" s="141">
        <v>0</v>
      </c>
      <c r="D28" s="141">
        <v>0</v>
      </c>
      <c r="E28" s="141">
        <v>0</v>
      </c>
      <c r="F28" s="141">
        <v>0</v>
      </c>
      <c r="G28" s="141">
        <v>0</v>
      </c>
      <c r="H28" s="141">
        <v>0</v>
      </c>
      <c r="I28" s="141">
        <v>0</v>
      </c>
      <c r="J28" s="141">
        <v>0</v>
      </c>
      <c r="K28" s="141">
        <v>0</v>
      </c>
      <c r="L28" s="141">
        <v>0</v>
      </c>
      <c r="M28" s="141">
        <v>3.3000000000000002E-2</v>
      </c>
      <c r="N28" s="141">
        <v>0.05</v>
      </c>
      <c r="O28" s="141">
        <v>0</v>
      </c>
      <c r="P28" s="141">
        <v>0.09</v>
      </c>
      <c r="Q28" s="141">
        <v>0</v>
      </c>
      <c r="R28" s="141">
        <v>0</v>
      </c>
      <c r="S28" s="141">
        <v>0</v>
      </c>
      <c r="T28" s="141">
        <v>0</v>
      </c>
      <c r="U28" s="141">
        <v>0</v>
      </c>
      <c r="V28" s="141">
        <v>0</v>
      </c>
      <c r="W28" s="141">
        <v>0</v>
      </c>
      <c r="X28" s="141">
        <v>0</v>
      </c>
      <c r="Y28" s="141">
        <v>0.05</v>
      </c>
      <c r="Z28" s="141">
        <v>0.2</v>
      </c>
      <c r="AA28" s="141">
        <v>0.5</v>
      </c>
      <c r="AB28" s="141">
        <v>4.0000000000000008E-2</v>
      </c>
      <c r="AC28" s="141">
        <v>0</v>
      </c>
      <c r="AD28" s="141">
        <v>0</v>
      </c>
      <c r="AE28" s="141">
        <v>0</v>
      </c>
      <c r="AF28" s="141">
        <v>0</v>
      </c>
      <c r="AG28" s="141">
        <v>0</v>
      </c>
      <c r="AH28" s="141">
        <v>0</v>
      </c>
    </row>
    <row r="29" spans="1:34" customFormat="1" x14ac:dyDescent="0.15">
      <c r="A29" s="176" t="s">
        <v>220</v>
      </c>
      <c r="B29" s="141">
        <v>0</v>
      </c>
      <c r="C29" s="141">
        <v>0</v>
      </c>
      <c r="D29" s="141">
        <v>0</v>
      </c>
      <c r="E29" s="141">
        <v>0</v>
      </c>
      <c r="F29" s="141">
        <v>0</v>
      </c>
      <c r="G29" s="141">
        <v>0</v>
      </c>
      <c r="H29" s="141">
        <v>0</v>
      </c>
      <c r="I29" s="141">
        <v>0</v>
      </c>
      <c r="J29" s="141">
        <v>0</v>
      </c>
      <c r="K29" s="141">
        <v>0</v>
      </c>
      <c r="L29" s="141">
        <v>0</v>
      </c>
      <c r="M29" s="141">
        <v>0</v>
      </c>
      <c r="N29" s="141">
        <v>0</v>
      </c>
      <c r="O29" s="141">
        <v>0</v>
      </c>
      <c r="P29" s="141">
        <v>0</v>
      </c>
      <c r="Q29" s="141">
        <v>0</v>
      </c>
      <c r="R29" s="141">
        <v>0</v>
      </c>
      <c r="S29" s="141">
        <v>0</v>
      </c>
      <c r="T29" s="141">
        <v>0</v>
      </c>
      <c r="U29" s="141">
        <v>0</v>
      </c>
      <c r="V29" s="141">
        <v>0</v>
      </c>
      <c r="W29" s="141">
        <v>0</v>
      </c>
      <c r="X29" s="141">
        <v>0</v>
      </c>
      <c r="Y29" s="141">
        <v>0</v>
      </c>
      <c r="Z29" s="141">
        <v>0</v>
      </c>
      <c r="AA29" s="141">
        <v>0</v>
      </c>
      <c r="AB29" s="141">
        <v>0.13000000000000003</v>
      </c>
      <c r="AC29" s="141">
        <v>0</v>
      </c>
      <c r="AD29" s="141">
        <v>0</v>
      </c>
      <c r="AE29" s="141">
        <v>0</v>
      </c>
      <c r="AF29" s="141">
        <v>0</v>
      </c>
      <c r="AG29" s="141">
        <v>0</v>
      </c>
      <c r="AH29" s="141">
        <v>0</v>
      </c>
    </row>
    <row r="30" spans="1:34" customFormat="1" x14ac:dyDescent="0.15">
      <c r="A30" s="176" t="s">
        <v>221</v>
      </c>
      <c r="B30" s="141">
        <v>0</v>
      </c>
      <c r="C30" s="141">
        <v>0</v>
      </c>
      <c r="D30" s="141">
        <v>0</v>
      </c>
      <c r="E30" s="141">
        <v>0</v>
      </c>
      <c r="F30" s="141">
        <v>0</v>
      </c>
      <c r="G30" s="141">
        <v>0</v>
      </c>
      <c r="H30" s="141">
        <v>0</v>
      </c>
      <c r="I30" s="141">
        <v>0</v>
      </c>
      <c r="J30" s="141">
        <v>0</v>
      </c>
      <c r="K30" s="141">
        <v>0</v>
      </c>
      <c r="L30" s="141">
        <v>0</v>
      </c>
      <c r="M30" s="141">
        <v>0</v>
      </c>
      <c r="N30" s="141">
        <v>0</v>
      </c>
      <c r="O30" s="141">
        <v>0</v>
      </c>
      <c r="P30" s="141">
        <v>0.11</v>
      </c>
      <c r="Q30" s="141">
        <v>0</v>
      </c>
      <c r="R30" s="141">
        <v>0</v>
      </c>
      <c r="S30" s="141">
        <v>0</v>
      </c>
      <c r="T30" s="141">
        <v>0</v>
      </c>
      <c r="U30" s="141">
        <v>0</v>
      </c>
      <c r="V30" s="141">
        <v>0</v>
      </c>
      <c r="W30" s="141">
        <v>0.6</v>
      </c>
      <c r="X30" s="141">
        <v>0.1</v>
      </c>
      <c r="Y30" s="141">
        <v>0.9</v>
      </c>
      <c r="Z30" s="141">
        <v>0.6</v>
      </c>
      <c r="AA30" s="141">
        <v>0.3</v>
      </c>
      <c r="AB30" s="141">
        <v>0.29000000000000004</v>
      </c>
      <c r="AC30" s="141">
        <v>0</v>
      </c>
      <c r="AD30" s="141">
        <v>0</v>
      </c>
      <c r="AE30" s="141">
        <v>0</v>
      </c>
      <c r="AF30" s="141">
        <v>0</v>
      </c>
      <c r="AG30" s="141">
        <v>0</v>
      </c>
      <c r="AH30" s="141">
        <v>0</v>
      </c>
    </row>
    <row r="31" spans="1:34" customFormat="1" x14ac:dyDescent="0.15">
      <c r="A31" s="176" t="s">
        <v>222</v>
      </c>
      <c r="B31" s="141">
        <v>0</v>
      </c>
      <c r="C31" s="141">
        <v>0</v>
      </c>
      <c r="D31" s="141">
        <v>0</v>
      </c>
      <c r="E31" s="141">
        <v>0</v>
      </c>
      <c r="F31" s="141">
        <v>0</v>
      </c>
      <c r="G31" s="141">
        <v>0</v>
      </c>
      <c r="H31" s="141">
        <v>0</v>
      </c>
      <c r="I31" s="141">
        <v>0</v>
      </c>
      <c r="J31" s="141">
        <v>0</v>
      </c>
      <c r="K31" s="141">
        <v>0</v>
      </c>
      <c r="L31" s="141">
        <v>0</v>
      </c>
      <c r="M31" s="141">
        <v>0</v>
      </c>
      <c r="N31" s="141">
        <v>0</v>
      </c>
      <c r="O31" s="141">
        <v>0</v>
      </c>
      <c r="P31" s="141">
        <v>0</v>
      </c>
      <c r="Q31" s="141">
        <v>0</v>
      </c>
      <c r="R31" s="141">
        <v>0</v>
      </c>
      <c r="S31" s="141">
        <v>0</v>
      </c>
      <c r="T31" s="141">
        <v>0</v>
      </c>
      <c r="U31" s="141">
        <v>0</v>
      </c>
      <c r="V31" s="141">
        <v>0</v>
      </c>
      <c r="W31" s="141">
        <v>0</v>
      </c>
      <c r="X31" s="141">
        <v>0</v>
      </c>
      <c r="Y31" s="141">
        <v>0</v>
      </c>
      <c r="Z31" s="141">
        <v>0</v>
      </c>
      <c r="AA31" s="141">
        <v>0</v>
      </c>
      <c r="AB31" s="141">
        <v>0.18000000000000002</v>
      </c>
      <c r="AC31" s="141">
        <v>0</v>
      </c>
      <c r="AD31" s="141">
        <v>0</v>
      </c>
      <c r="AE31" s="141">
        <v>0</v>
      </c>
      <c r="AF31" s="141">
        <v>0</v>
      </c>
      <c r="AG31" s="141">
        <v>0</v>
      </c>
      <c r="AH31" s="141">
        <v>0</v>
      </c>
    </row>
    <row r="32" spans="1:34" customFormat="1" x14ac:dyDescent="0.15">
      <c r="A32" s="176" t="s">
        <v>223</v>
      </c>
      <c r="B32" s="141">
        <v>0.08</v>
      </c>
      <c r="C32" s="141">
        <v>0.28999999999999998</v>
      </c>
      <c r="D32" s="141">
        <v>0</v>
      </c>
      <c r="E32" s="141">
        <v>0</v>
      </c>
      <c r="F32" s="141">
        <v>0</v>
      </c>
      <c r="G32" s="141">
        <v>0</v>
      </c>
      <c r="H32" s="141">
        <v>0</v>
      </c>
      <c r="I32" s="141">
        <v>0</v>
      </c>
      <c r="J32" s="141">
        <v>0.02</v>
      </c>
      <c r="K32" s="141">
        <v>0</v>
      </c>
      <c r="L32" s="141">
        <v>0.01</v>
      </c>
      <c r="M32" s="141">
        <v>0</v>
      </c>
      <c r="N32" s="141">
        <v>0</v>
      </c>
      <c r="O32" s="141">
        <v>0</v>
      </c>
      <c r="P32" s="141">
        <v>0</v>
      </c>
      <c r="Q32" s="141">
        <v>0</v>
      </c>
      <c r="R32" s="141">
        <v>0</v>
      </c>
      <c r="S32" s="141">
        <v>0</v>
      </c>
      <c r="T32" s="141">
        <v>0.01</v>
      </c>
      <c r="U32" s="141">
        <v>0.02</v>
      </c>
      <c r="V32" s="141">
        <v>0</v>
      </c>
      <c r="W32" s="141">
        <v>0</v>
      </c>
      <c r="X32" s="141">
        <v>0</v>
      </c>
      <c r="Y32" s="141">
        <v>0</v>
      </c>
      <c r="Z32" s="141">
        <v>0</v>
      </c>
      <c r="AA32" s="141">
        <v>0</v>
      </c>
      <c r="AB32" s="141">
        <v>0</v>
      </c>
      <c r="AC32" s="141">
        <v>0</v>
      </c>
      <c r="AD32" s="141">
        <v>0</v>
      </c>
      <c r="AE32" s="141">
        <v>0</v>
      </c>
      <c r="AF32" s="141">
        <v>0</v>
      </c>
      <c r="AG32" s="141">
        <v>0</v>
      </c>
      <c r="AH32" s="141">
        <v>0</v>
      </c>
    </row>
    <row r="33" spans="1:34" customFormat="1" x14ac:dyDescent="0.15">
      <c r="A33" s="176" t="s">
        <v>224</v>
      </c>
      <c r="B33" s="141">
        <v>0</v>
      </c>
      <c r="C33" s="141">
        <v>0</v>
      </c>
      <c r="D33" s="141">
        <v>0</v>
      </c>
      <c r="E33" s="141">
        <v>0</v>
      </c>
      <c r="F33" s="141">
        <v>0</v>
      </c>
      <c r="G33" s="141">
        <v>0</v>
      </c>
      <c r="H33" s="141">
        <v>0</v>
      </c>
      <c r="I33" s="141">
        <v>0</v>
      </c>
      <c r="J33" s="141">
        <v>0</v>
      </c>
      <c r="K33" s="141">
        <v>0</v>
      </c>
      <c r="L33" s="141">
        <v>0</v>
      </c>
      <c r="M33" s="141">
        <v>0</v>
      </c>
      <c r="N33" s="141">
        <v>0</v>
      </c>
      <c r="O33" s="141">
        <v>0</v>
      </c>
      <c r="P33" s="141">
        <v>0</v>
      </c>
      <c r="Q33" s="141">
        <v>0</v>
      </c>
      <c r="R33" s="141">
        <v>0</v>
      </c>
      <c r="S33" s="141">
        <v>0</v>
      </c>
      <c r="T33" s="141">
        <v>0.03</v>
      </c>
      <c r="U33" s="141">
        <v>0.98</v>
      </c>
      <c r="V33" s="141">
        <v>0.66</v>
      </c>
      <c r="W33" s="141">
        <v>0.4</v>
      </c>
      <c r="X33" s="141">
        <v>0.9</v>
      </c>
      <c r="Y33" s="141">
        <v>0</v>
      </c>
      <c r="Z33" s="141">
        <v>0</v>
      </c>
      <c r="AA33" s="141">
        <v>0.15</v>
      </c>
      <c r="AB33" s="141">
        <v>0.36000000000000004</v>
      </c>
      <c r="AC33" s="141">
        <v>1</v>
      </c>
      <c r="AD33" s="141">
        <v>0</v>
      </c>
      <c r="AE33" s="141">
        <v>0</v>
      </c>
      <c r="AF33" s="141">
        <v>0</v>
      </c>
      <c r="AG33" s="141">
        <v>0</v>
      </c>
      <c r="AH33" s="141">
        <v>0</v>
      </c>
    </row>
    <row r="34" spans="1:34" customFormat="1" x14ac:dyDescent="0.15">
      <c r="A34" s="176" t="s">
        <v>225</v>
      </c>
      <c r="B34" s="141">
        <v>0</v>
      </c>
      <c r="C34" s="141">
        <v>0</v>
      </c>
      <c r="D34" s="141">
        <v>0</v>
      </c>
      <c r="E34" s="141">
        <v>0</v>
      </c>
      <c r="F34" s="141">
        <v>0</v>
      </c>
      <c r="G34" s="141">
        <v>0</v>
      </c>
      <c r="H34" s="141">
        <v>0</v>
      </c>
      <c r="I34" s="141">
        <v>0</v>
      </c>
      <c r="J34" s="141">
        <v>0</v>
      </c>
      <c r="K34" s="141">
        <v>0</v>
      </c>
      <c r="L34" s="141">
        <v>0</v>
      </c>
      <c r="M34" s="141">
        <v>0</v>
      </c>
      <c r="N34" s="141">
        <v>0</v>
      </c>
      <c r="O34" s="141">
        <v>0</v>
      </c>
      <c r="P34" s="141">
        <v>0</v>
      </c>
      <c r="Q34" s="141">
        <v>0</v>
      </c>
      <c r="R34" s="141">
        <v>0</v>
      </c>
      <c r="S34" s="141">
        <v>0</v>
      </c>
      <c r="T34" s="141">
        <v>0</v>
      </c>
      <c r="U34" s="141">
        <v>0</v>
      </c>
      <c r="V34" s="141">
        <v>0</v>
      </c>
      <c r="W34" s="141">
        <v>0</v>
      </c>
      <c r="X34" s="141">
        <v>0</v>
      </c>
      <c r="Y34" s="141">
        <v>0</v>
      </c>
      <c r="Z34" s="141">
        <v>0</v>
      </c>
      <c r="AA34" s="141">
        <v>0</v>
      </c>
      <c r="AB34" s="141">
        <v>0</v>
      </c>
      <c r="AC34" s="141">
        <v>0</v>
      </c>
      <c r="AD34" s="141">
        <v>0</v>
      </c>
      <c r="AE34" s="141">
        <v>0</v>
      </c>
      <c r="AF34" s="141">
        <v>0</v>
      </c>
      <c r="AG34" s="141">
        <v>0</v>
      </c>
      <c r="AH34" s="141">
        <v>0</v>
      </c>
    </row>
    <row r="35" spans="1:34" customFormat="1" x14ac:dyDescent="0.15">
      <c r="A35" s="176" t="s">
        <v>227</v>
      </c>
      <c r="B35" s="141">
        <v>0</v>
      </c>
      <c r="C35" s="141">
        <v>0</v>
      </c>
      <c r="D35" s="141">
        <v>0.26600000000000001</v>
      </c>
      <c r="E35" s="141">
        <v>0</v>
      </c>
      <c r="F35" s="141">
        <v>0</v>
      </c>
      <c r="G35" s="141">
        <v>0.55900000000000005</v>
      </c>
      <c r="H35" s="141">
        <v>3.0000000000000001E-3</v>
      </c>
      <c r="I35" s="141">
        <v>0</v>
      </c>
      <c r="J35" s="141">
        <v>0</v>
      </c>
      <c r="K35" s="141">
        <v>0</v>
      </c>
      <c r="L35" s="141">
        <v>0</v>
      </c>
      <c r="M35" s="141">
        <v>0</v>
      </c>
      <c r="N35" s="141">
        <v>0</v>
      </c>
      <c r="O35" s="141">
        <v>0</v>
      </c>
      <c r="P35" s="141">
        <v>0</v>
      </c>
      <c r="Q35" s="141">
        <v>0</v>
      </c>
      <c r="R35" s="141">
        <v>0</v>
      </c>
      <c r="S35" s="141">
        <v>0</v>
      </c>
      <c r="T35" s="141">
        <v>0</v>
      </c>
      <c r="U35" s="141">
        <v>0</v>
      </c>
      <c r="V35" s="141">
        <v>0</v>
      </c>
      <c r="W35" s="141">
        <v>0</v>
      </c>
      <c r="X35" s="141">
        <v>0</v>
      </c>
      <c r="Y35" s="141">
        <v>0</v>
      </c>
      <c r="Z35" s="141">
        <v>0</v>
      </c>
      <c r="AA35" s="141">
        <v>0</v>
      </c>
      <c r="AB35" s="141">
        <v>0</v>
      </c>
      <c r="AC35" s="141">
        <v>0</v>
      </c>
      <c r="AD35" s="141">
        <v>0</v>
      </c>
      <c r="AE35" s="141">
        <v>0</v>
      </c>
      <c r="AF35" s="141">
        <v>0</v>
      </c>
      <c r="AG35" s="141">
        <v>0</v>
      </c>
      <c r="AH35" s="141">
        <v>0</v>
      </c>
    </row>
    <row r="36" spans="1:34" customFormat="1" x14ac:dyDescent="0.15"/>
    <row r="37" spans="1:34" customFormat="1" x14ac:dyDescent="0.15"/>
    <row r="38" spans="1:34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0" activePane="bottomRight" state="frozen"/>
      <selection pane="topRight" activeCell="C1" sqref="C1"/>
      <selection pane="bottomLeft" activeCell="A2" sqref="A2"/>
      <selection pane="bottomRight" activeCell="I39" sqref="I39"/>
    </sheetView>
  </sheetViews>
  <sheetFormatPr baseColWidth="10" defaultColWidth="8.83203125" defaultRowHeight="13" x14ac:dyDescent="0.15"/>
  <cols>
    <col min="1" max="1" width="3.33203125" customWidth="1"/>
    <col min="2" max="2" width="37" customWidth="1"/>
    <col min="3" max="4" width="15" style="111" customWidth="1"/>
    <col min="5" max="6" width="15" style="110" customWidth="1"/>
    <col min="7" max="7" width="15" style="111" customWidth="1"/>
    <col min="8" max="8" width="8.83203125" style="111"/>
  </cols>
  <sheetData>
    <row r="1" spans="1:8" ht="70" x14ac:dyDescent="0.15">
      <c r="A1" s="5" t="s">
        <v>20</v>
      </c>
      <c r="B1" s="1" t="s">
        <v>0</v>
      </c>
      <c r="C1" s="179" t="s">
        <v>223</v>
      </c>
      <c r="D1" s="179" t="s">
        <v>224</v>
      </c>
      <c r="E1" s="179" t="s">
        <v>225</v>
      </c>
      <c r="F1" s="179" t="s">
        <v>228</v>
      </c>
      <c r="G1" s="179" t="s">
        <v>229</v>
      </c>
      <c r="H1"/>
    </row>
    <row r="2" spans="1:8" x14ac:dyDescent="0.15">
      <c r="A2">
        <v>1</v>
      </c>
      <c r="B2" s="178" t="s">
        <v>193</v>
      </c>
      <c r="C2" s="111">
        <v>0</v>
      </c>
      <c r="D2" s="111">
        <v>1</v>
      </c>
      <c r="E2" s="110">
        <v>0</v>
      </c>
      <c r="F2" s="110">
        <v>0</v>
      </c>
      <c r="G2" s="111">
        <v>1</v>
      </c>
      <c r="H2"/>
    </row>
    <row r="3" spans="1:8" x14ac:dyDescent="0.15">
      <c r="A3">
        <v>2</v>
      </c>
      <c r="B3" s="178" t="s">
        <v>194</v>
      </c>
      <c r="C3" s="111">
        <v>0</v>
      </c>
      <c r="D3" s="111">
        <v>1</v>
      </c>
      <c r="E3" s="110">
        <v>0</v>
      </c>
      <c r="F3" s="110">
        <v>0</v>
      </c>
      <c r="G3" s="111">
        <v>1</v>
      </c>
      <c r="H3"/>
    </row>
    <row r="4" spans="1:8" x14ac:dyDescent="0.15">
      <c r="A4">
        <v>3</v>
      </c>
      <c r="B4" s="178" t="s">
        <v>195</v>
      </c>
      <c r="C4" s="111">
        <v>0</v>
      </c>
      <c r="D4" s="111">
        <v>1</v>
      </c>
      <c r="E4" s="110">
        <v>0</v>
      </c>
      <c r="F4" s="110">
        <v>0</v>
      </c>
      <c r="G4" s="111">
        <v>1</v>
      </c>
      <c r="H4"/>
    </row>
    <row r="5" spans="1:8" x14ac:dyDescent="0.15">
      <c r="A5">
        <v>4</v>
      </c>
      <c r="B5" s="178" t="s">
        <v>196</v>
      </c>
      <c r="C5" s="111">
        <v>0</v>
      </c>
      <c r="D5" s="111">
        <v>1</v>
      </c>
      <c r="E5" s="110">
        <v>0</v>
      </c>
      <c r="F5" s="110">
        <v>0</v>
      </c>
      <c r="G5" s="111">
        <v>1</v>
      </c>
      <c r="H5"/>
    </row>
    <row r="6" spans="1:8" x14ac:dyDescent="0.15">
      <c r="A6">
        <v>5</v>
      </c>
      <c r="B6" s="178" t="s">
        <v>197</v>
      </c>
      <c r="C6" s="111">
        <v>0</v>
      </c>
      <c r="D6" s="111">
        <v>1</v>
      </c>
      <c r="E6" s="110">
        <v>0</v>
      </c>
      <c r="F6" s="110">
        <v>0</v>
      </c>
      <c r="G6" s="111">
        <v>1</v>
      </c>
      <c r="H6"/>
    </row>
    <row r="7" spans="1:8" x14ac:dyDescent="0.15">
      <c r="A7">
        <v>6</v>
      </c>
      <c r="B7" s="178" t="s">
        <v>198</v>
      </c>
      <c r="C7" s="111">
        <v>0</v>
      </c>
      <c r="D7" s="111">
        <v>1</v>
      </c>
      <c r="E7" s="110">
        <v>0</v>
      </c>
      <c r="F7" s="110">
        <v>0</v>
      </c>
      <c r="G7" s="111">
        <v>1</v>
      </c>
      <c r="H7"/>
    </row>
    <row r="8" spans="1:8" x14ac:dyDescent="0.15">
      <c r="A8">
        <v>7</v>
      </c>
      <c r="B8" s="178" t="s">
        <v>199</v>
      </c>
      <c r="C8" s="111">
        <v>0</v>
      </c>
      <c r="D8" s="111">
        <v>1</v>
      </c>
      <c r="E8" s="110">
        <v>0</v>
      </c>
      <c r="F8" s="110">
        <v>0</v>
      </c>
      <c r="G8" s="111">
        <v>1</v>
      </c>
      <c r="H8"/>
    </row>
    <row r="9" spans="1:8" x14ac:dyDescent="0.15">
      <c r="A9">
        <v>8</v>
      </c>
      <c r="B9" s="178" t="s">
        <v>200</v>
      </c>
      <c r="C9" s="111">
        <v>0</v>
      </c>
      <c r="D9" s="111">
        <v>1</v>
      </c>
      <c r="E9" s="110">
        <v>0</v>
      </c>
      <c r="F9" s="110">
        <v>0</v>
      </c>
      <c r="G9" s="111">
        <v>1</v>
      </c>
      <c r="H9"/>
    </row>
    <row r="10" spans="1:8" x14ac:dyDescent="0.15">
      <c r="A10">
        <v>9</v>
      </c>
      <c r="B10" s="178" t="s">
        <v>201</v>
      </c>
      <c r="C10" s="111">
        <v>0</v>
      </c>
      <c r="D10" s="111">
        <v>1</v>
      </c>
      <c r="E10" s="110">
        <v>0</v>
      </c>
      <c r="F10" s="110">
        <v>0</v>
      </c>
      <c r="G10" s="111">
        <v>1</v>
      </c>
      <c r="H10"/>
    </row>
    <row r="11" spans="1:8" x14ac:dyDescent="0.15">
      <c r="A11">
        <v>10</v>
      </c>
      <c r="B11" s="178" t="s">
        <v>202</v>
      </c>
      <c r="C11" s="111">
        <v>0</v>
      </c>
      <c r="D11" s="111">
        <v>1</v>
      </c>
      <c r="E11" s="110">
        <v>0</v>
      </c>
      <c r="F11" s="110">
        <v>0</v>
      </c>
      <c r="G11" s="111">
        <v>1</v>
      </c>
      <c r="H11"/>
    </row>
    <row r="12" spans="1:8" x14ac:dyDescent="0.15">
      <c r="A12">
        <v>11</v>
      </c>
      <c r="B12" s="178" t="s">
        <v>203</v>
      </c>
      <c r="C12" s="111">
        <v>0</v>
      </c>
      <c r="D12" s="111">
        <v>1</v>
      </c>
      <c r="E12" s="110">
        <v>0</v>
      </c>
      <c r="F12" s="110">
        <v>0</v>
      </c>
      <c r="G12" s="111">
        <v>1</v>
      </c>
      <c r="H12"/>
    </row>
    <row r="13" spans="1:8" x14ac:dyDescent="0.15">
      <c r="A13">
        <v>12</v>
      </c>
      <c r="B13" s="178" t="s">
        <v>204</v>
      </c>
      <c r="C13" s="111">
        <v>0</v>
      </c>
      <c r="D13" s="111">
        <v>1</v>
      </c>
      <c r="E13" s="110">
        <v>0</v>
      </c>
      <c r="F13" s="110">
        <v>0</v>
      </c>
      <c r="G13" s="111">
        <v>1</v>
      </c>
      <c r="H13"/>
    </row>
    <row r="14" spans="1:8" x14ac:dyDescent="0.15">
      <c r="A14">
        <v>13</v>
      </c>
      <c r="B14" s="178" t="s">
        <v>205</v>
      </c>
      <c r="C14" s="111">
        <v>0</v>
      </c>
      <c r="D14" s="111">
        <v>1</v>
      </c>
      <c r="E14" s="110">
        <v>0</v>
      </c>
      <c r="F14" s="110">
        <v>0</v>
      </c>
      <c r="G14" s="111">
        <v>1</v>
      </c>
      <c r="H14"/>
    </row>
    <row r="15" spans="1:8" x14ac:dyDescent="0.15">
      <c r="A15">
        <v>14</v>
      </c>
      <c r="B15" s="178" t="s">
        <v>206</v>
      </c>
      <c r="C15" s="111">
        <v>0</v>
      </c>
      <c r="D15" s="111">
        <v>1</v>
      </c>
      <c r="E15" s="110">
        <v>0</v>
      </c>
      <c r="F15" s="110">
        <v>0</v>
      </c>
      <c r="G15" s="111">
        <v>1</v>
      </c>
      <c r="H15"/>
    </row>
    <row r="16" spans="1:8" x14ac:dyDescent="0.15">
      <c r="A16">
        <v>15</v>
      </c>
      <c r="B16" s="178" t="s">
        <v>207</v>
      </c>
      <c r="C16" s="111">
        <v>0</v>
      </c>
      <c r="D16" s="111">
        <v>1</v>
      </c>
      <c r="E16" s="110">
        <v>0</v>
      </c>
      <c r="F16" s="110">
        <v>0</v>
      </c>
      <c r="G16" s="111">
        <v>1</v>
      </c>
      <c r="H16"/>
    </row>
    <row r="17" spans="1:8" ht="15" customHeight="1" x14ac:dyDescent="0.15">
      <c r="A17">
        <v>16</v>
      </c>
      <c r="B17" s="178" t="s">
        <v>208</v>
      </c>
      <c r="C17" s="111">
        <v>0</v>
      </c>
      <c r="D17" s="111">
        <v>1</v>
      </c>
      <c r="E17" s="110">
        <v>0</v>
      </c>
      <c r="F17" s="110">
        <v>0</v>
      </c>
      <c r="G17" s="111">
        <v>1</v>
      </c>
      <c r="H17"/>
    </row>
    <row r="18" spans="1:8" ht="15" customHeight="1" x14ac:dyDescent="0.15">
      <c r="A18">
        <v>17</v>
      </c>
      <c r="B18" s="178" t="s">
        <v>209</v>
      </c>
      <c r="C18" s="111">
        <v>0</v>
      </c>
      <c r="D18" s="111">
        <v>1</v>
      </c>
      <c r="E18" s="110">
        <v>0</v>
      </c>
      <c r="F18" s="110">
        <v>0</v>
      </c>
      <c r="G18" s="111">
        <v>1</v>
      </c>
      <c r="H18"/>
    </row>
    <row r="19" spans="1:8" ht="15" customHeight="1" x14ac:dyDescent="0.15">
      <c r="A19">
        <v>18</v>
      </c>
      <c r="B19" s="178" t="s">
        <v>210</v>
      </c>
      <c r="C19" s="111">
        <v>0</v>
      </c>
      <c r="D19" s="111">
        <v>1</v>
      </c>
      <c r="E19" s="110">
        <v>0</v>
      </c>
      <c r="F19" s="110">
        <v>0</v>
      </c>
      <c r="G19" s="111">
        <v>1</v>
      </c>
      <c r="H19"/>
    </row>
    <row r="20" spans="1:8" ht="15" customHeight="1" x14ac:dyDescent="0.15">
      <c r="A20">
        <v>19</v>
      </c>
      <c r="B20" s="178" t="s">
        <v>211</v>
      </c>
      <c r="C20" s="111">
        <v>0</v>
      </c>
      <c r="D20" s="111">
        <v>1</v>
      </c>
      <c r="E20" s="110">
        <v>0</v>
      </c>
      <c r="F20" s="110">
        <v>0</v>
      </c>
      <c r="G20" s="111">
        <v>1</v>
      </c>
      <c r="H20"/>
    </row>
    <row r="21" spans="1:8" ht="15" customHeight="1" x14ac:dyDescent="0.15">
      <c r="A21">
        <v>20</v>
      </c>
      <c r="B21" s="178" t="s">
        <v>212</v>
      </c>
      <c r="C21" s="111">
        <v>0</v>
      </c>
      <c r="D21" s="111">
        <v>1</v>
      </c>
      <c r="E21" s="110">
        <v>0</v>
      </c>
      <c r="F21" s="110">
        <v>0</v>
      </c>
      <c r="G21" s="111">
        <v>1</v>
      </c>
      <c r="H21"/>
    </row>
    <row r="22" spans="1:8" ht="15" customHeight="1" x14ac:dyDescent="0.15">
      <c r="A22">
        <v>21</v>
      </c>
      <c r="B22" s="178" t="s">
        <v>213</v>
      </c>
      <c r="C22" s="111">
        <v>0</v>
      </c>
      <c r="D22" s="111">
        <v>1</v>
      </c>
      <c r="E22" s="110">
        <v>0</v>
      </c>
      <c r="F22" s="110">
        <v>0</v>
      </c>
      <c r="G22" s="111">
        <v>1</v>
      </c>
      <c r="H22"/>
    </row>
    <row r="23" spans="1:8" ht="15" customHeight="1" x14ac:dyDescent="0.15">
      <c r="A23">
        <v>22</v>
      </c>
      <c r="B23" s="178" t="s">
        <v>214</v>
      </c>
      <c r="C23" s="111">
        <v>0</v>
      </c>
      <c r="D23" s="111">
        <v>1</v>
      </c>
      <c r="E23" s="110">
        <v>0</v>
      </c>
      <c r="F23" s="110">
        <v>0</v>
      </c>
      <c r="G23" s="111">
        <v>1</v>
      </c>
      <c r="H23"/>
    </row>
    <row r="24" spans="1:8" ht="15" customHeight="1" x14ac:dyDescent="0.15">
      <c r="A24">
        <v>23</v>
      </c>
      <c r="B24" s="178" t="s">
        <v>215</v>
      </c>
      <c r="C24" s="111">
        <v>0</v>
      </c>
      <c r="D24" s="111">
        <v>1</v>
      </c>
      <c r="E24" s="110">
        <v>0</v>
      </c>
      <c r="F24" s="110">
        <v>0</v>
      </c>
      <c r="G24" s="111">
        <v>1</v>
      </c>
      <c r="H24"/>
    </row>
    <row r="25" spans="1:8" ht="15" customHeight="1" x14ac:dyDescent="0.15">
      <c r="A25">
        <v>24</v>
      </c>
      <c r="B25" s="178" t="s">
        <v>216</v>
      </c>
      <c r="C25" s="111">
        <v>0</v>
      </c>
      <c r="D25" s="111">
        <v>1</v>
      </c>
      <c r="E25" s="110">
        <v>0</v>
      </c>
      <c r="F25" s="110">
        <v>0</v>
      </c>
      <c r="G25" s="111">
        <v>1</v>
      </c>
      <c r="H25"/>
    </row>
    <row r="26" spans="1:8" ht="15" customHeight="1" x14ac:dyDescent="0.15">
      <c r="A26">
        <v>25</v>
      </c>
      <c r="B26" s="178" t="s">
        <v>217</v>
      </c>
      <c r="C26" s="111">
        <v>0</v>
      </c>
      <c r="D26" s="111">
        <v>1</v>
      </c>
      <c r="E26" s="110">
        <v>0</v>
      </c>
      <c r="F26" s="110">
        <v>0</v>
      </c>
      <c r="G26" s="111">
        <v>1</v>
      </c>
      <c r="H26"/>
    </row>
    <row r="27" spans="1:8" ht="15" customHeight="1" x14ac:dyDescent="0.15">
      <c r="A27">
        <v>26</v>
      </c>
      <c r="B27" s="178" t="s">
        <v>218</v>
      </c>
      <c r="C27" s="111">
        <v>0</v>
      </c>
      <c r="D27" s="111">
        <v>1</v>
      </c>
      <c r="E27" s="110">
        <v>0</v>
      </c>
      <c r="F27" s="110">
        <v>0</v>
      </c>
      <c r="G27" s="111">
        <v>1</v>
      </c>
      <c r="H27"/>
    </row>
    <row r="28" spans="1:8" ht="15" customHeight="1" x14ac:dyDescent="0.15">
      <c r="A28">
        <v>27</v>
      </c>
      <c r="B28" s="178" t="s">
        <v>219</v>
      </c>
      <c r="C28" s="111">
        <v>0</v>
      </c>
      <c r="D28" s="111">
        <v>1</v>
      </c>
      <c r="E28" s="110">
        <v>0</v>
      </c>
      <c r="F28" s="110">
        <v>0</v>
      </c>
      <c r="G28" s="111">
        <v>1</v>
      </c>
      <c r="H28"/>
    </row>
    <row r="29" spans="1:8" ht="15" customHeight="1" x14ac:dyDescent="0.15">
      <c r="A29">
        <v>28</v>
      </c>
      <c r="B29" s="178" t="s">
        <v>220</v>
      </c>
      <c r="C29" s="111">
        <v>0</v>
      </c>
      <c r="D29" s="111">
        <v>1</v>
      </c>
      <c r="E29" s="110">
        <v>0</v>
      </c>
      <c r="F29" s="110">
        <v>0</v>
      </c>
      <c r="G29" s="111">
        <v>1</v>
      </c>
      <c r="H29"/>
    </row>
    <row r="30" spans="1:8" ht="15" customHeight="1" x14ac:dyDescent="0.15">
      <c r="A30">
        <v>29</v>
      </c>
      <c r="B30" s="178" t="s">
        <v>221</v>
      </c>
      <c r="C30" s="111">
        <v>0</v>
      </c>
      <c r="D30" s="111">
        <v>1</v>
      </c>
      <c r="E30" s="110">
        <v>0</v>
      </c>
      <c r="F30" s="110">
        <v>0</v>
      </c>
      <c r="G30" s="111">
        <v>1</v>
      </c>
      <c r="H30"/>
    </row>
    <row r="31" spans="1:8" ht="15" customHeight="1" x14ac:dyDescent="0.15">
      <c r="A31">
        <v>30</v>
      </c>
      <c r="B31" s="178" t="s">
        <v>222</v>
      </c>
      <c r="C31" s="111">
        <v>0</v>
      </c>
      <c r="D31" s="111">
        <v>1</v>
      </c>
      <c r="E31" s="110">
        <v>0</v>
      </c>
      <c r="F31" s="110">
        <v>0</v>
      </c>
      <c r="G31" s="111">
        <v>1</v>
      </c>
      <c r="H31"/>
    </row>
    <row r="32" spans="1:8" ht="15" customHeight="1" x14ac:dyDescent="0.15">
      <c r="A32">
        <v>31</v>
      </c>
      <c r="B32" s="178" t="s">
        <v>223</v>
      </c>
      <c r="C32" s="111">
        <v>0</v>
      </c>
      <c r="D32" s="111">
        <v>1</v>
      </c>
      <c r="E32" s="110">
        <v>0</v>
      </c>
      <c r="F32" s="110">
        <v>0</v>
      </c>
      <c r="G32" s="111">
        <v>1</v>
      </c>
    </row>
    <row r="33" spans="1:8" ht="15" customHeight="1" x14ac:dyDescent="0.15">
      <c r="A33">
        <v>32</v>
      </c>
      <c r="B33" s="178" t="s">
        <v>224</v>
      </c>
      <c r="C33" s="111">
        <v>0</v>
      </c>
      <c r="D33" s="111">
        <v>0</v>
      </c>
      <c r="E33" s="110">
        <v>1</v>
      </c>
      <c r="F33" s="110">
        <v>0</v>
      </c>
      <c r="G33" s="111">
        <v>1</v>
      </c>
    </row>
    <row r="34" spans="1:8" ht="15" customHeight="1" x14ac:dyDescent="0.15">
      <c r="A34">
        <v>33</v>
      </c>
      <c r="B34" s="178" t="s">
        <v>225</v>
      </c>
      <c r="C34" s="111">
        <v>0</v>
      </c>
      <c r="D34" s="111">
        <v>0</v>
      </c>
      <c r="E34" s="110">
        <v>0</v>
      </c>
      <c r="F34" s="110">
        <v>1</v>
      </c>
      <c r="G34" s="111">
        <v>1</v>
      </c>
    </row>
    <row r="35" spans="1:8" ht="15" customHeight="1" x14ac:dyDescent="0.15">
      <c r="A35">
        <v>34</v>
      </c>
      <c r="B35" s="178" t="s">
        <v>226</v>
      </c>
      <c r="C35" s="111">
        <v>1</v>
      </c>
      <c r="D35" s="111">
        <v>0</v>
      </c>
      <c r="E35" s="110">
        <v>0</v>
      </c>
      <c r="F35" s="110">
        <v>0</v>
      </c>
      <c r="G35" s="111">
        <v>1</v>
      </c>
    </row>
    <row r="36" spans="1:8" ht="15" customHeight="1" x14ac:dyDescent="0.15">
      <c r="C36"/>
      <c r="D36"/>
      <c r="E36" s="111"/>
      <c r="F36" s="111"/>
      <c r="G36"/>
      <c r="H36"/>
    </row>
    <row r="37" spans="1:8" ht="15" customHeight="1" x14ac:dyDescent="0.15">
      <c r="C37"/>
      <c r="D37"/>
      <c r="E37" s="111"/>
      <c r="F37" s="111"/>
      <c r="G37"/>
      <c r="H37"/>
    </row>
    <row r="38" spans="1:8" ht="15" customHeight="1" x14ac:dyDescent="0.15">
      <c r="C38"/>
      <c r="D38"/>
      <c r="E38" s="111"/>
      <c r="F38" s="111"/>
      <c r="G38"/>
      <c r="H38"/>
    </row>
    <row r="39" spans="1:8" ht="15" customHeight="1" x14ac:dyDescent="0.15">
      <c r="C39"/>
      <c r="D39"/>
      <c r="E39" s="111"/>
      <c r="F39" s="111"/>
      <c r="G39"/>
      <c r="H39"/>
    </row>
    <row r="40" spans="1:8" ht="15" customHeight="1" x14ac:dyDescent="0.15">
      <c r="C40"/>
      <c r="D40"/>
      <c r="E40" s="111"/>
      <c r="F40" s="111"/>
      <c r="G40"/>
      <c r="H40"/>
    </row>
    <row r="41" spans="1:8" ht="15" customHeight="1" x14ac:dyDescent="0.15">
      <c r="C41"/>
      <c r="D41"/>
      <c r="E41" s="111"/>
      <c r="F41" s="111"/>
      <c r="G41"/>
      <c r="H41"/>
    </row>
    <row r="42" spans="1:8" ht="15" customHeight="1" x14ac:dyDescent="0.15">
      <c r="C42"/>
      <c r="D42"/>
      <c r="E42" s="111"/>
      <c r="F42" s="111"/>
      <c r="G42"/>
      <c r="H42"/>
    </row>
    <row r="43" spans="1:8" ht="15" customHeight="1" x14ac:dyDescent="0.15">
      <c r="C43"/>
      <c r="D43"/>
      <c r="E43" s="111"/>
      <c r="F43" s="111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1"/>
      <c r="F46" s="111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7" bestFit="1" customWidth="1"/>
    <col min="3" max="4" width="5.83203125" bestFit="1" customWidth="1"/>
    <col min="5" max="5" width="12.1640625" bestFit="1" customWidth="1"/>
  </cols>
  <sheetData>
    <row r="1" spans="1:5" s="112" customFormat="1" ht="112" x14ac:dyDescent="0.15">
      <c r="A1" s="5" t="s">
        <v>21</v>
      </c>
      <c r="B1" s="3" t="s">
        <v>0</v>
      </c>
      <c r="C1" s="181" t="s">
        <v>226</v>
      </c>
      <c r="D1" s="181" t="s">
        <v>230</v>
      </c>
      <c r="E1"/>
    </row>
    <row r="2" spans="1:5" ht="15" customHeight="1" x14ac:dyDescent="0.15">
      <c r="A2">
        <v>1</v>
      </c>
      <c r="B2" s="180" t="s">
        <v>193</v>
      </c>
      <c r="C2">
        <v>0</v>
      </c>
      <c r="D2">
        <v>0</v>
      </c>
    </row>
    <row r="3" spans="1:5" ht="15" customHeight="1" x14ac:dyDescent="0.15">
      <c r="A3">
        <v>2</v>
      </c>
      <c r="B3" s="180" t="s">
        <v>194</v>
      </c>
      <c r="C3">
        <v>0</v>
      </c>
      <c r="D3">
        <v>0</v>
      </c>
    </row>
    <row r="4" spans="1:5" ht="15" customHeight="1" x14ac:dyDescent="0.15">
      <c r="A4">
        <v>3</v>
      </c>
      <c r="B4" s="180" t="s">
        <v>195</v>
      </c>
      <c r="C4">
        <v>0</v>
      </c>
      <c r="D4">
        <v>0</v>
      </c>
    </row>
    <row r="5" spans="1:5" ht="15" customHeight="1" x14ac:dyDescent="0.15">
      <c r="A5">
        <v>4</v>
      </c>
      <c r="B5" s="180" t="s">
        <v>196</v>
      </c>
      <c r="C5">
        <v>0</v>
      </c>
      <c r="D5">
        <v>0</v>
      </c>
    </row>
    <row r="6" spans="1:5" ht="15" customHeight="1" x14ac:dyDescent="0.15">
      <c r="A6">
        <v>5</v>
      </c>
      <c r="B6" s="180" t="s">
        <v>197</v>
      </c>
      <c r="C6">
        <v>0</v>
      </c>
      <c r="D6">
        <v>0</v>
      </c>
    </row>
    <row r="7" spans="1:5" ht="15" customHeight="1" x14ac:dyDescent="0.15">
      <c r="A7">
        <v>6</v>
      </c>
      <c r="B7" s="180" t="s">
        <v>198</v>
      </c>
      <c r="C7">
        <v>0</v>
      </c>
      <c r="D7">
        <v>0</v>
      </c>
    </row>
    <row r="8" spans="1:5" ht="15" customHeight="1" x14ac:dyDescent="0.15">
      <c r="A8">
        <v>7</v>
      </c>
      <c r="B8" s="180" t="s">
        <v>199</v>
      </c>
      <c r="C8">
        <v>0</v>
      </c>
      <c r="D8">
        <v>0</v>
      </c>
    </row>
    <row r="9" spans="1:5" ht="15" customHeight="1" x14ac:dyDescent="0.15">
      <c r="A9">
        <v>8</v>
      </c>
      <c r="B9" s="180" t="s">
        <v>200</v>
      </c>
      <c r="C9">
        <v>10.42</v>
      </c>
      <c r="D9">
        <v>10.42</v>
      </c>
    </row>
    <row r="10" spans="1:5" ht="15" customHeight="1" x14ac:dyDescent="0.15">
      <c r="A10">
        <v>9</v>
      </c>
      <c r="B10" s="180" t="s">
        <v>201</v>
      </c>
      <c r="C10">
        <v>10.68</v>
      </c>
      <c r="D10">
        <v>10.68</v>
      </c>
    </row>
    <row r="11" spans="1:5" ht="15" customHeight="1" x14ac:dyDescent="0.15">
      <c r="A11">
        <v>10</v>
      </c>
      <c r="B11" s="180" t="s">
        <v>202</v>
      </c>
      <c r="C11">
        <v>0.64</v>
      </c>
      <c r="D11">
        <v>0.64</v>
      </c>
    </row>
    <row r="12" spans="1:5" ht="15" customHeight="1" x14ac:dyDescent="0.15">
      <c r="A12">
        <v>11</v>
      </c>
      <c r="B12" s="180" t="s">
        <v>203</v>
      </c>
      <c r="C12">
        <v>5</v>
      </c>
      <c r="D12">
        <v>5</v>
      </c>
    </row>
    <row r="13" spans="1:5" ht="15" customHeight="1" x14ac:dyDescent="0.15">
      <c r="A13">
        <v>12</v>
      </c>
      <c r="B13" s="180" t="s">
        <v>204</v>
      </c>
      <c r="C13">
        <v>6.24</v>
      </c>
      <c r="D13">
        <v>6.24</v>
      </c>
    </row>
    <row r="14" spans="1:5" ht="15" customHeight="1" x14ac:dyDescent="0.15">
      <c r="A14">
        <v>13</v>
      </c>
      <c r="B14" s="180" t="s">
        <v>205</v>
      </c>
      <c r="C14">
        <v>16.809999999999999</v>
      </c>
      <c r="D14">
        <v>16.809999999999999</v>
      </c>
    </row>
    <row r="15" spans="1:5" ht="15" customHeight="1" x14ac:dyDescent="0.15">
      <c r="A15">
        <v>14</v>
      </c>
      <c r="B15" s="180" t="s">
        <v>206</v>
      </c>
      <c r="C15">
        <v>16.8</v>
      </c>
      <c r="D15">
        <v>16.8</v>
      </c>
    </row>
    <row r="16" spans="1:5" ht="15" customHeight="1" x14ac:dyDescent="0.15">
      <c r="A16">
        <v>15</v>
      </c>
      <c r="B16" s="180" t="s">
        <v>207</v>
      </c>
      <c r="C16">
        <v>10.82</v>
      </c>
      <c r="D16">
        <v>10.82</v>
      </c>
    </row>
    <row r="17" spans="1:4" ht="15" customHeight="1" x14ac:dyDescent="0.15">
      <c r="A17">
        <v>16</v>
      </c>
      <c r="B17" s="180" t="s">
        <v>208</v>
      </c>
      <c r="C17">
        <v>0</v>
      </c>
      <c r="D17">
        <v>0</v>
      </c>
    </row>
    <row r="18" spans="1:4" ht="15" customHeight="1" x14ac:dyDescent="0.15">
      <c r="A18">
        <v>17</v>
      </c>
      <c r="B18" s="180" t="s">
        <v>209</v>
      </c>
      <c r="C18">
        <v>3.53</v>
      </c>
      <c r="D18">
        <v>3.53</v>
      </c>
    </row>
    <row r="19" spans="1:4" ht="15" customHeight="1" x14ac:dyDescent="0.15">
      <c r="A19">
        <v>18</v>
      </c>
      <c r="B19" s="180" t="s">
        <v>210</v>
      </c>
      <c r="C19">
        <v>1.99</v>
      </c>
      <c r="D19">
        <v>1.99</v>
      </c>
    </row>
    <row r="20" spans="1:4" ht="15" customHeight="1" x14ac:dyDescent="0.15">
      <c r="A20">
        <v>19</v>
      </c>
      <c r="B20" s="180" t="s">
        <v>211</v>
      </c>
      <c r="C20">
        <v>2.91</v>
      </c>
      <c r="D20">
        <v>2.91</v>
      </c>
    </row>
    <row r="21" spans="1:4" ht="15" customHeight="1" x14ac:dyDescent="0.15">
      <c r="A21">
        <v>20</v>
      </c>
      <c r="B21" s="180" t="s">
        <v>212</v>
      </c>
      <c r="C21">
        <v>0</v>
      </c>
      <c r="D21">
        <v>0</v>
      </c>
    </row>
    <row r="22" spans="1:4" ht="15" customHeight="1" x14ac:dyDescent="0.15">
      <c r="A22">
        <v>21</v>
      </c>
      <c r="B22" s="180" t="s">
        <v>213</v>
      </c>
      <c r="C22">
        <v>0</v>
      </c>
      <c r="D22">
        <v>0</v>
      </c>
    </row>
    <row r="23" spans="1:4" ht="15" customHeight="1" x14ac:dyDescent="0.15">
      <c r="A23">
        <v>22</v>
      </c>
      <c r="B23" s="180" t="s">
        <v>214</v>
      </c>
      <c r="C23">
        <v>0</v>
      </c>
      <c r="D23">
        <v>0</v>
      </c>
    </row>
    <row r="24" spans="1:4" ht="15" customHeight="1" x14ac:dyDescent="0.15">
      <c r="A24">
        <v>23</v>
      </c>
      <c r="B24" s="180" t="s">
        <v>215</v>
      </c>
      <c r="C24">
        <v>0</v>
      </c>
      <c r="D24">
        <v>0</v>
      </c>
    </row>
    <row r="25" spans="1:4" ht="15" customHeight="1" x14ac:dyDescent="0.15">
      <c r="A25">
        <v>24</v>
      </c>
      <c r="B25" s="180" t="s">
        <v>216</v>
      </c>
      <c r="C25">
        <v>0</v>
      </c>
      <c r="D25">
        <v>0</v>
      </c>
    </row>
    <row r="26" spans="1:4" ht="15" customHeight="1" x14ac:dyDescent="0.15">
      <c r="A26">
        <v>25</v>
      </c>
      <c r="B26" s="180" t="s">
        <v>217</v>
      </c>
      <c r="C26">
        <v>0</v>
      </c>
      <c r="D26">
        <v>0</v>
      </c>
    </row>
    <row r="27" spans="1:4" ht="15" customHeight="1" x14ac:dyDescent="0.15">
      <c r="A27">
        <v>26</v>
      </c>
      <c r="B27" s="180" t="s">
        <v>218</v>
      </c>
      <c r="C27">
        <v>0</v>
      </c>
      <c r="D27">
        <v>0</v>
      </c>
    </row>
    <row r="28" spans="1:4" ht="15" customHeight="1" x14ac:dyDescent="0.15">
      <c r="A28">
        <v>27</v>
      </c>
      <c r="B28" s="180" t="s">
        <v>219</v>
      </c>
      <c r="C28">
        <v>0</v>
      </c>
      <c r="D28">
        <v>0</v>
      </c>
    </row>
    <row r="29" spans="1:4" ht="15" customHeight="1" x14ac:dyDescent="0.15">
      <c r="A29">
        <v>28</v>
      </c>
      <c r="B29" s="180" t="s">
        <v>220</v>
      </c>
      <c r="C29">
        <v>0</v>
      </c>
      <c r="D29">
        <v>0</v>
      </c>
    </row>
    <row r="30" spans="1:4" ht="15" customHeight="1" x14ac:dyDescent="0.15">
      <c r="A30">
        <v>29</v>
      </c>
      <c r="B30" s="180" t="s">
        <v>221</v>
      </c>
      <c r="C30">
        <v>0</v>
      </c>
      <c r="D30">
        <v>0</v>
      </c>
    </row>
    <row r="31" spans="1:4" ht="15" customHeight="1" x14ac:dyDescent="0.15">
      <c r="A31">
        <v>30</v>
      </c>
      <c r="B31" s="180" t="s">
        <v>222</v>
      </c>
      <c r="C31">
        <v>0</v>
      </c>
      <c r="D31">
        <v>0</v>
      </c>
    </row>
    <row r="32" spans="1:4" ht="15" customHeight="1" x14ac:dyDescent="0.15">
      <c r="A32">
        <v>31</v>
      </c>
      <c r="B32" s="180" t="s">
        <v>223</v>
      </c>
      <c r="C32">
        <v>0</v>
      </c>
      <c r="D32">
        <v>0</v>
      </c>
    </row>
    <row r="33" spans="1:4" ht="15" customHeight="1" x14ac:dyDescent="0.15">
      <c r="A33">
        <v>32</v>
      </c>
      <c r="B33" s="180" t="s">
        <v>224</v>
      </c>
      <c r="C33">
        <v>0</v>
      </c>
      <c r="D33">
        <v>0</v>
      </c>
    </row>
    <row r="34" spans="1:4" ht="15" customHeight="1" x14ac:dyDescent="0.15">
      <c r="A34">
        <v>33</v>
      </c>
      <c r="B34" s="180" t="s">
        <v>225</v>
      </c>
      <c r="C34">
        <v>0</v>
      </c>
      <c r="D34">
        <v>0</v>
      </c>
    </row>
    <row r="35" spans="1:4" ht="15" customHeight="1" x14ac:dyDescent="0.15"/>
    <row r="36" spans="1:4" ht="15" customHeight="1" x14ac:dyDescent="0.15"/>
    <row r="37" spans="1:4" ht="15" customHeight="1" x14ac:dyDescent="0.15"/>
    <row r="38" spans="1:4" ht="15" customHeight="1" x14ac:dyDescent="0.15"/>
    <row r="39" spans="1:4" ht="15" customHeight="1" x14ac:dyDescent="0.15"/>
    <row r="40" spans="1:4" ht="15" customHeight="1" x14ac:dyDescent="0.15"/>
    <row r="41" spans="1:4" ht="15" customHeight="1" x14ac:dyDescent="0.15"/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3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7" bestFit="1" customWidth="1"/>
    <col min="3" max="4" width="6.83203125" bestFit="1" customWidth="1"/>
    <col min="5" max="5" width="12.1640625" bestFit="1" customWidth="1"/>
  </cols>
  <sheetData>
    <row r="1" spans="1:4" s="112" customFormat="1" ht="112" x14ac:dyDescent="0.15">
      <c r="A1" s="5" t="s">
        <v>22</v>
      </c>
      <c r="B1" s="3" t="s">
        <v>0</v>
      </c>
      <c r="C1" s="183" t="s">
        <v>226</v>
      </c>
      <c r="D1" s="183" t="s">
        <v>230</v>
      </c>
    </row>
    <row r="2" spans="1:4" x14ac:dyDescent="0.15">
      <c r="A2">
        <v>1</v>
      </c>
      <c r="B2" s="182" t="s">
        <v>193</v>
      </c>
      <c r="C2">
        <v>0</v>
      </c>
      <c r="D2">
        <v>0</v>
      </c>
    </row>
    <row r="3" spans="1:4" x14ac:dyDescent="0.15">
      <c r="A3">
        <v>2</v>
      </c>
      <c r="B3" s="182" t="s">
        <v>194</v>
      </c>
      <c r="C3">
        <v>0</v>
      </c>
      <c r="D3">
        <v>0</v>
      </c>
    </row>
    <row r="4" spans="1:4" x14ac:dyDescent="0.15">
      <c r="A4">
        <v>3</v>
      </c>
      <c r="B4" s="182" t="s">
        <v>195</v>
      </c>
      <c r="C4">
        <v>0</v>
      </c>
      <c r="D4">
        <v>0</v>
      </c>
    </row>
    <row r="5" spans="1:4" x14ac:dyDescent="0.15">
      <c r="A5">
        <v>4</v>
      </c>
      <c r="B5" s="182" t="s">
        <v>196</v>
      </c>
      <c r="C5">
        <v>0</v>
      </c>
      <c r="D5">
        <v>0</v>
      </c>
    </row>
    <row r="6" spans="1:4" x14ac:dyDescent="0.15">
      <c r="A6">
        <v>5</v>
      </c>
      <c r="B6" s="182" t="s">
        <v>197</v>
      </c>
      <c r="C6">
        <v>0.10100000000000001</v>
      </c>
      <c r="D6">
        <v>0.10100000000000001</v>
      </c>
    </row>
    <row r="7" spans="1:4" x14ac:dyDescent="0.15">
      <c r="A7">
        <v>6</v>
      </c>
      <c r="B7" s="182" t="s">
        <v>198</v>
      </c>
      <c r="C7">
        <v>0</v>
      </c>
      <c r="D7">
        <v>0</v>
      </c>
    </row>
    <row r="8" spans="1:4" x14ac:dyDescent="0.15">
      <c r="A8">
        <v>7</v>
      </c>
      <c r="B8" s="182" t="s">
        <v>199</v>
      </c>
      <c r="C8">
        <v>7.7999999999999996E-3</v>
      </c>
      <c r="D8">
        <v>7.7999999999999996E-3</v>
      </c>
    </row>
    <row r="9" spans="1:4" x14ac:dyDescent="0.15">
      <c r="A9">
        <v>8</v>
      </c>
      <c r="B9" s="182" t="s">
        <v>200</v>
      </c>
      <c r="C9">
        <v>0</v>
      </c>
      <c r="D9">
        <v>0</v>
      </c>
    </row>
    <row r="10" spans="1:4" x14ac:dyDescent="0.15">
      <c r="A10">
        <v>9</v>
      </c>
      <c r="B10" s="182" t="s">
        <v>201</v>
      </c>
      <c r="C10">
        <v>13.82</v>
      </c>
      <c r="D10">
        <v>13.82</v>
      </c>
    </row>
    <row r="11" spans="1:4" x14ac:dyDescent="0.15">
      <c r="A11">
        <v>10</v>
      </c>
      <c r="B11" s="182" t="s">
        <v>202</v>
      </c>
      <c r="C11">
        <v>26.79</v>
      </c>
      <c r="D11">
        <v>26.79</v>
      </c>
    </row>
    <row r="12" spans="1:4" x14ac:dyDescent="0.15">
      <c r="A12">
        <v>11</v>
      </c>
      <c r="B12" s="182" t="s">
        <v>203</v>
      </c>
      <c r="C12">
        <v>0.2</v>
      </c>
      <c r="D12">
        <v>0.2</v>
      </c>
    </row>
    <row r="13" spans="1:4" x14ac:dyDescent="0.15">
      <c r="A13">
        <v>12</v>
      </c>
      <c r="B13" s="182" t="s">
        <v>204</v>
      </c>
      <c r="C13">
        <v>0.49</v>
      </c>
      <c r="D13">
        <v>0.49</v>
      </c>
    </row>
    <row r="14" spans="1:4" x14ac:dyDescent="0.15">
      <c r="A14">
        <v>13</v>
      </c>
      <c r="B14" s="182" t="s">
        <v>205</v>
      </c>
      <c r="C14">
        <v>1.01</v>
      </c>
      <c r="D14">
        <v>1.01</v>
      </c>
    </row>
    <row r="15" spans="1:4" x14ac:dyDescent="0.15">
      <c r="A15">
        <v>14</v>
      </c>
      <c r="B15" s="182" t="s">
        <v>206</v>
      </c>
      <c r="C15">
        <v>0</v>
      </c>
      <c r="D15">
        <v>0</v>
      </c>
    </row>
    <row r="16" spans="1:4" x14ac:dyDescent="0.15">
      <c r="A16">
        <v>15</v>
      </c>
      <c r="B16" s="182" t="s">
        <v>207</v>
      </c>
      <c r="C16">
        <v>0</v>
      </c>
      <c r="D16">
        <v>0</v>
      </c>
    </row>
    <row r="17" spans="1:4" x14ac:dyDescent="0.15">
      <c r="A17">
        <v>16</v>
      </c>
      <c r="B17" s="182" t="s">
        <v>208</v>
      </c>
      <c r="C17">
        <v>0</v>
      </c>
      <c r="D17">
        <v>0</v>
      </c>
    </row>
    <row r="18" spans="1:4" x14ac:dyDescent="0.15">
      <c r="A18">
        <v>17</v>
      </c>
      <c r="B18" s="182" t="s">
        <v>209</v>
      </c>
      <c r="C18">
        <v>0</v>
      </c>
      <c r="D18">
        <v>0</v>
      </c>
    </row>
    <row r="19" spans="1:4" x14ac:dyDescent="0.15">
      <c r="A19">
        <v>18</v>
      </c>
      <c r="B19" s="182" t="s">
        <v>210</v>
      </c>
      <c r="C19">
        <v>0</v>
      </c>
      <c r="D19">
        <v>0</v>
      </c>
    </row>
    <row r="20" spans="1:4" x14ac:dyDescent="0.15">
      <c r="A20">
        <v>19</v>
      </c>
      <c r="B20" s="182" t="s">
        <v>211</v>
      </c>
      <c r="C20">
        <v>1.0900000000000001</v>
      </c>
      <c r="D20">
        <v>1.0900000000000001</v>
      </c>
    </row>
    <row r="21" spans="1:4" x14ac:dyDescent="0.15">
      <c r="A21">
        <v>20</v>
      </c>
      <c r="B21" s="182" t="s">
        <v>212</v>
      </c>
      <c r="C21">
        <v>0</v>
      </c>
      <c r="D21">
        <v>0</v>
      </c>
    </row>
    <row r="22" spans="1:4" x14ac:dyDescent="0.15">
      <c r="A22">
        <v>21</v>
      </c>
      <c r="B22" s="182" t="s">
        <v>213</v>
      </c>
      <c r="C22">
        <v>0</v>
      </c>
      <c r="D22">
        <v>0</v>
      </c>
    </row>
    <row r="23" spans="1:4" x14ac:dyDescent="0.15">
      <c r="A23">
        <v>22</v>
      </c>
      <c r="B23" s="182" t="s">
        <v>214</v>
      </c>
      <c r="C23">
        <v>0</v>
      </c>
      <c r="D23">
        <v>0</v>
      </c>
    </row>
    <row r="24" spans="1:4" x14ac:dyDescent="0.15">
      <c r="A24">
        <v>23</v>
      </c>
      <c r="B24" s="182" t="s">
        <v>215</v>
      </c>
      <c r="C24">
        <v>0</v>
      </c>
      <c r="D24">
        <v>0</v>
      </c>
    </row>
    <row r="25" spans="1:4" x14ac:dyDescent="0.15">
      <c r="A25">
        <v>24</v>
      </c>
      <c r="B25" s="182" t="s">
        <v>216</v>
      </c>
      <c r="C25">
        <v>0</v>
      </c>
      <c r="D25">
        <v>0</v>
      </c>
    </row>
    <row r="26" spans="1:4" x14ac:dyDescent="0.15">
      <c r="A26">
        <v>25</v>
      </c>
      <c r="B26" s="182" t="s">
        <v>217</v>
      </c>
      <c r="C26">
        <v>0</v>
      </c>
      <c r="D26">
        <v>0</v>
      </c>
    </row>
    <row r="27" spans="1:4" x14ac:dyDescent="0.15">
      <c r="A27">
        <v>26</v>
      </c>
      <c r="B27" s="182" t="s">
        <v>218</v>
      </c>
      <c r="C27">
        <v>0</v>
      </c>
      <c r="D27">
        <v>0</v>
      </c>
    </row>
    <row r="28" spans="1:4" x14ac:dyDescent="0.15">
      <c r="A28">
        <v>27</v>
      </c>
      <c r="B28" s="182" t="s">
        <v>219</v>
      </c>
      <c r="C28">
        <v>0</v>
      </c>
      <c r="D28">
        <v>0</v>
      </c>
    </row>
    <row r="29" spans="1:4" x14ac:dyDescent="0.15">
      <c r="A29">
        <v>28</v>
      </c>
      <c r="B29" s="182" t="s">
        <v>220</v>
      </c>
      <c r="C29">
        <v>0</v>
      </c>
      <c r="D29">
        <v>0</v>
      </c>
    </row>
    <row r="30" spans="1:4" x14ac:dyDescent="0.15">
      <c r="A30">
        <v>29</v>
      </c>
      <c r="B30" s="182" t="s">
        <v>221</v>
      </c>
      <c r="C30">
        <v>0</v>
      </c>
      <c r="D30">
        <v>0</v>
      </c>
    </row>
    <row r="31" spans="1:4" x14ac:dyDescent="0.15">
      <c r="A31">
        <v>30</v>
      </c>
      <c r="B31" s="182" t="s">
        <v>222</v>
      </c>
      <c r="C31">
        <v>0</v>
      </c>
      <c r="D31">
        <v>0</v>
      </c>
    </row>
    <row r="32" spans="1:4" x14ac:dyDescent="0.15">
      <c r="A32">
        <v>31</v>
      </c>
      <c r="B32" s="182" t="s">
        <v>223</v>
      </c>
      <c r="C32">
        <v>0</v>
      </c>
      <c r="D32">
        <v>0</v>
      </c>
    </row>
    <row r="33" spans="1:4" x14ac:dyDescent="0.15">
      <c r="A33">
        <v>32</v>
      </c>
      <c r="B33" s="182" t="s">
        <v>224</v>
      </c>
      <c r="C33">
        <v>0</v>
      </c>
      <c r="D33">
        <v>0</v>
      </c>
    </row>
    <row r="34" spans="1:4" x14ac:dyDescent="0.15">
      <c r="A34">
        <v>33</v>
      </c>
      <c r="B34" s="182" t="s">
        <v>225</v>
      </c>
      <c r="C34">
        <v>0</v>
      </c>
      <c r="D34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37" bestFit="1" customWidth="1"/>
    <col min="6" max="6" width="4.83203125" bestFit="1" customWidth="1"/>
    <col min="7" max="9" width="3.83203125" bestFit="1" customWidth="1"/>
    <col min="10" max="11" width="4.83203125" style="111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3" customFormat="1" ht="14" thickBot="1" x14ac:dyDescent="0.2">
      <c r="D1" s="114" t="s">
        <v>8</v>
      </c>
      <c r="E1" s="114" t="s">
        <v>0</v>
      </c>
      <c r="F1" s="115" t="s">
        <v>99</v>
      </c>
      <c r="G1" s="116" t="s">
        <v>84</v>
      </c>
      <c r="H1" s="116" t="s">
        <v>85</v>
      </c>
      <c r="I1" s="116" t="s">
        <v>86</v>
      </c>
      <c r="J1" s="116" t="s">
        <v>87</v>
      </c>
      <c r="K1" s="116" t="s">
        <v>88</v>
      </c>
      <c r="L1" s="117" t="s">
        <v>89</v>
      </c>
      <c r="M1" s="117" t="s">
        <v>93</v>
      </c>
      <c r="N1" s="117" t="s">
        <v>92</v>
      </c>
      <c r="O1" s="117" t="s">
        <v>90</v>
      </c>
      <c r="P1" s="117" t="s">
        <v>91</v>
      </c>
      <c r="Q1" s="118" t="s">
        <v>94</v>
      </c>
      <c r="R1" s="118" t="s">
        <v>95</v>
      </c>
      <c r="S1" s="118" t="s">
        <v>96</v>
      </c>
      <c r="T1" s="118" t="s">
        <v>97</v>
      </c>
      <c r="U1" s="118" t="s">
        <v>98</v>
      </c>
      <c r="V1" s="116" t="s">
        <v>100</v>
      </c>
      <c r="W1" s="116" t="s">
        <v>101</v>
      </c>
      <c r="X1" s="116" t="s">
        <v>102</v>
      </c>
      <c r="Y1" s="116" t="s">
        <v>134</v>
      </c>
      <c r="Z1" s="117" t="s">
        <v>103</v>
      </c>
      <c r="AA1" s="117" t="s">
        <v>104</v>
      </c>
      <c r="AB1" s="117" t="s">
        <v>105</v>
      </c>
      <c r="AC1" s="119" t="s">
        <v>135</v>
      </c>
      <c r="AD1" s="118" t="s">
        <v>106</v>
      </c>
      <c r="AE1" s="118" t="s">
        <v>107</v>
      </c>
      <c r="AF1" s="118" t="s">
        <v>108</v>
      </c>
      <c r="AG1" s="118" t="s">
        <v>136</v>
      </c>
      <c r="AH1" s="116" t="s">
        <v>109</v>
      </c>
      <c r="AI1" s="116" t="s">
        <v>111</v>
      </c>
      <c r="AJ1" s="116" t="s">
        <v>110</v>
      </c>
      <c r="AK1" s="117" t="s">
        <v>115</v>
      </c>
      <c r="AL1" s="117" t="s">
        <v>116</v>
      </c>
      <c r="AM1" s="117" t="s">
        <v>117</v>
      </c>
      <c r="AN1" s="118" t="s">
        <v>112</v>
      </c>
      <c r="AO1" s="118" t="s">
        <v>113</v>
      </c>
      <c r="AP1" s="118" t="s">
        <v>114</v>
      </c>
    </row>
    <row r="2" spans="1:42" x14ac:dyDescent="0.15">
      <c r="A2" s="120" t="s">
        <v>74</v>
      </c>
      <c r="B2" s="121">
        <v>1</v>
      </c>
      <c r="D2">
        <v>1</v>
      </c>
      <c r="E2" s="184" t="s">
        <v>193</v>
      </c>
      <c r="F2">
        <v>0.98</v>
      </c>
      <c r="G2">
        <v>0.8</v>
      </c>
      <c r="H2">
        <v>0.8</v>
      </c>
      <c r="I2">
        <v>0.8</v>
      </c>
      <c r="J2" s="111">
        <v>0.25</v>
      </c>
      <c r="K2" s="111">
        <v>0.05</v>
      </c>
    </row>
    <row r="3" spans="1:42" x14ac:dyDescent="0.15">
      <c r="A3" s="120" t="s">
        <v>75</v>
      </c>
      <c r="B3" s="122">
        <v>1</v>
      </c>
      <c r="D3">
        <v>2</v>
      </c>
      <c r="E3" s="184" t="s">
        <v>194</v>
      </c>
      <c r="F3">
        <v>0.98</v>
      </c>
      <c r="G3">
        <v>0.8</v>
      </c>
      <c r="H3">
        <v>0.8</v>
      </c>
      <c r="I3">
        <v>0.8</v>
      </c>
      <c r="J3" s="111">
        <v>0.25</v>
      </c>
      <c r="K3" s="111">
        <v>0.05</v>
      </c>
    </row>
    <row r="4" spans="1:42" x14ac:dyDescent="0.15">
      <c r="A4" s="120" t="s">
        <v>76</v>
      </c>
      <c r="B4" s="122">
        <v>1</v>
      </c>
      <c r="D4">
        <v>3</v>
      </c>
      <c r="E4" s="184" t="s">
        <v>195</v>
      </c>
      <c r="F4">
        <v>0.98</v>
      </c>
      <c r="G4">
        <v>0.8</v>
      </c>
      <c r="H4">
        <v>0.8</v>
      </c>
      <c r="I4">
        <v>0.8</v>
      </c>
      <c r="J4" s="111">
        <v>0.25</v>
      </c>
      <c r="K4" s="111">
        <v>0.05</v>
      </c>
    </row>
    <row r="5" spans="1:42" x14ac:dyDescent="0.15">
      <c r="A5" s="120" t="s">
        <v>77</v>
      </c>
      <c r="B5" s="122">
        <v>1</v>
      </c>
      <c r="D5">
        <v>4</v>
      </c>
      <c r="E5" s="184" t="s">
        <v>196</v>
      </c>
      <c r="F5">
        <v>0.98</v>
      </c>
      <c r="G5">
        <v>0.8</v>
      </c>
      <c r="H5">
        <v>0.8</v>
      </c>
      <c r="I5">
        <v>0.8</v>
      </c>
      <c r="J5" s="111">
        <v>0.25</v>
      </c>
      <c r="K5" s="111">
        <v>0.05</v>
      </c>
    </row>
    <row r="6" spans="1:42" x14ac:dyDescent="0.15">
      <c r="A6" s="120" t="s">
        <v>78</v>
      </c>
      <c r="B6" s="122">
        <v>1</v>
      </c>
      <c r="D6">
        <v>5</v>
      </c>
      <c r="E6" s="184" t="s">
        <v>197</v>
      </c>
      <c r="F6">
        <v>0.98</v>
      </c>
      <c r="G6">
        <v>0.8</v>
      </c>
      <c r="H6">
        <v>0.8</v>
      </c>
      <c r="I6">
        <v>0.8</v>
      </c>
      <c r="J6" s="111">
        <v>0.25</v>
      </c>
      <c r="K6" s="111">
        <v>0.05</v>
      </c>
    </row>
    <row r="7" spans="1:42" x14ac:dyDescent="0.15">
      <c r="A7" s="120" t="s">
        <v>79</v>
      </c>
      <c r="B7" s="122">
        <v>1</v>
      </c>
      <c r="D7">
        <v>6</v>
      </c>
      <c r="E7" s="184" t="s">
        <v>198</v>
      </c>
      <c r="F7">
        <v>0.98</v>
      </c>
      <c r="G7">
        <v>0.8</v>
      </c>
      <c r="H7">
        <v>0.8</v>
      </c>
      <c r="I7">
        <v>0.8</v>
      </c>
      <c r="J7" s="111">
        <v>0.25</v>
      </c>
      <c r="K7" s="111">
        <v>0.05</v>
      </c>
    </row>
    <row r="8" spans="1:42" x14ac:dyDescent="0.15">
      <c r="A8" s="120" t="s">
        <v>80</v>
      </c>
      <c r="B8" s="122">
        <v>1</v>
      </c>
      <c r="D8">
        <v>7</v>
      </c>
      <c r="E8" s="184" t="s">
        <v>199</v>
      </c>
      <c r="F8">
        <v>0.98</v>
      </c>
      <c r="G8">
        <v>0.8</v>
      </c>
      <c r="H8">
        <v>0.8</v>
      </c>
      <c r="I8">
        <v>0.8</v>
      </c>
      <c r="J8" s="111">
        <v>0.25</v>
      </c>
      <c r="K8" s="111">
        <v>0.05</v>
      </c>
    </row>
    <row r="9" spans="1:42" x14ac:dyDescent="0.15">
      <c r="A9" s="120" t="s">
        <v>81</v>
      </c>
      <c r="B9" s="122">
        <v>0.1</v>
      </c>
      <c r="C9" s="59" t="s">
        <v>150</v>
      </c>
      <c r="D9">
        <v>8</v>
      </c>
      <c r="E9" s="184" t="s">
        <v>200</v>
      </c>
      <c r="F9">
        <v>0.98</v>
      </c>
      <c r="G9">
        <v>0.8</v>
      </c>
      <c r="H9">
        <v>0.8</v>
      </c>
      <c r="I9">
        <v>0.8</v>
      </c>
      <c r="J9" s="111">
        <v>0.25</v>
      </c>
      <c r="K9" s="111">
        <v>0.05</v>
      </c>
    </row>
    <row r="10" spans="1:42" ht="14" thickBot="1" x14ac:dyDescent="0.2">
      <c r="A10" s="120" t="s">
        <v>149</v>
      </c>
      <c r="B10" s="123">
        <f>1/3</f>
        <v>0.33333333333333331</v>
      </c>
      <c r="C10" s="59" t="s">
        <v>150</v>
      </c>
      <c r="D10">
        <v>9</v>
      </c>
      <c r="E10" s="184" t="s">
        <v>201</v>
      </c>
      <c r="F10">
        <v>0.98</v>
      </c>
      <c r="G10">
        <v>0.8</v>
      </c>
      <c r="H10">
        <v>0.8</v>
      </c>
      <c r="I10">
        <v>0.8</v>
      </c>
      <c r="J10" s="111">
        <v>0.25</v>
      </c>
      <c r="K10" s="111">
        <v>0.05</v>
      </c>
    </row>
    <row r="11" spans="1:42" x14ac:dyDescent="0.15">
      <c r="D11">
        <v>10</v>
      </c>
      <c r="E11" s="184" t="s">
        <v>202</v>
      </c>
      <c r="F11">
        <v>0.98</v>
      </c>
      <c r="G11">
        <v>0.8</v>
      </c>
      <c r="H11">
        <v>0.8</v>
      </c>
      <c r="I11">
        <v>0.8</v>
      </c>
      <c r="J11" s="111">
        <v>0.25</v>
      </c>
      <c r="K11" s="111">
        <v>0.05</v>
      </c>
    </row>
    <row r="12" spans="1:42" x14ac:dyDescent="0.15">
      <c r="D12">
        <v>11</v>
      </c>
      <c r="E12" s="184" t="s">
        <v>203</v>
      </c>
      <c r="F12">
        <v>0.98</v>
      </c>
      <c r="G12">
        <v>0.8</v>
      </c>
      <c r="H12">
        <v>0.8</v>
      </c>
      <c r="I12">
        <v>0.8</v>
      </c>
      <c r="J12" s="111">
        <v>0.25</v>
      </c>
      <c r="K12" s="111">
        <v>0.05</v>
      </c>
    </row>
    <row r="13" spans="1:42" x14ac:dyDescent="0.15">
      <c r="D13">
        <v>12</v>
      </c>
      <c r="E13" s="184" t="s">
        <v>204</v>
      </c>
      <c r="F13">
        <v>0.98</v>
      </c>
      <c r="G13">
        <v>0.8</v>
      </c>
      <c r="H13">
        <v>0.8</v>
      </c>
      <c r="I13">
        <v>0.8</v>
      </c>
      <c r="J13" s="111">
        <v>0.25</v>
      </c>
      <c r="K13" s="111">
        <v>0.05</v>
      </c>
    </row>
    <row r="14" spans="1:42" x14ac:dyDescent="0.15">
      <c r="D14">
        <v>13</v>
      </c>
      <c r="E14" s="184" t="s">
        <v>205</v>
      </c>
      <c r="F14">
        <v>0.98</v>
      </c>
      <c r="G14">
        <v>0.8</v>
      </c>
      <c r="H14">
        <v>0.8</v>
      </c>
      <c r="I14">
        <v>0.8</v>
      </c>
      <c r="J14" s="111">
        <v>0.25</v>
      </c>
      <c r="K14" s="111">
        <v>0.05</v>
      </c>
    </row>
    <row r="15" spans="1:42" x14ac:dyDescent="0.15">
      <c r="D15">
        <v>14</v>
      </c>
      <c r="E15" s="184" t="s">
        <v>206</v>
      </c>
      <c r="F15">
        <v>0.98</v>
      </c>
      <c r="G15">
        <v>0.8</v>
      </c>
      <c r="H15">
        <v>0.8</v>
      </c>
      <c r="I15">
        <v>0.8</v>
      </c>
      <c r="J15" s="111">
        <v>0.25</v>
      </c>
      <c r="K15" s="111">
        <v>0.05</v>
      </c>
    </row>
    <row r="16" spans="1:42" x14ac:dyDescent="0.15">
      <c r="D16">
        <v>15</v>
      </c>
      <c r="E16" s="184" t="s">
        <v>207</v>
      </c>
      <c r="F16">
        <v>0.98</v>
      </c>
      <c r="G16">
        <v>0.8</v>
      </c>
      <c r="H16">
        <v>0.8</v>
      </c>
      <c r="I16">
        <v>0.8</v>
      </c>
      <c r="J16" s="111">
        <v>0.25</v>
      </c>
      <c r="K16" s="111">
        <v>0.05</v>
      </c>
    </row>
    <row r="17" spans="4:33" ht="15" customHeight="1" x14ac:dyDescent="0.15">
      <c r="D17">
        <v>16</v>
      </c>
      <c r="E17" s="184" t="s">
        <v>208</v>
      </c>
      <c r="F17">
        <v>0.98</v>
      </c>
      <c r="G17">
        <v>0.8</v>
      </c>
      <c r="H17">
        <v>0.8</v>
      </c>
      <c r="I17">
        <v>0.8</v>
      </c>
      <c r="J17" s="111">
        <v>0.25</v>
      </c>
      <c r="K17" s="111">
        <v>0.05</v>
      </c>
    </row>
    <row r="18" spans="4:33" ht="15" customHeight="1" x14ac:dyDescent="0.15">
      <c r="D18">
        <v>17</v>
      </c>
      <c r="E18" s="184" t="s">
        <v>209</v>
      </c>
      <c r="F18">
        <v>0.98</v>
      </c>
      <c r="G18">
        <v>0.8</v>
      </c>
      <c r="H18">
        <v>0.8</v>
      </c>
      <c r="I18">
        <v>0.8</v>
      </c>
      <c r="J18" s="111">
        <v>0.25</v>
      </c>
      <c r="K18" s="111">
        <v>0.05</v>
      </c>
    </row>
    <row r="19" spans="4:33" ht="15" customHeight="1" x14ac:dyDescent="0.15">
      <c r="D19">
        <v>18</v>
      </c>
      <c r="E19" s="184" t="s">
        <v>210</v>
      </c>
      <c r="F19">
        <v>0.98</v>
      </c>
      <c r="G19">
        <v>0.8</v>
      </c>
      <c r="H19">
        <v>0.8</v>
      </c>
      <c r="I19">
        <v>0.8</v>
      </c>
      <c r="J19" s="111">
        <v>0.25</v>
      </c>
      <c r="K19" s="111">
        <v>0.05</v>
      </c>
    </row>
    <row r="20" spans="4:33" ht="15" customHeight="1" x14ac:dyDescent="0.15">
      <c r="D20">
        <v>19</v>
      </c>
      <c r="E20" s="184" t="s">
        <v>211</v>
      </c>
      <c r="F20">
        <v>0.98</v>
      </c>
      <c r="G20">
        <v>0.8</v>
      </c>
      <c r="H20">
        <v>0.8</v>
      </c>
      <c r="I20">
        <v>0.8</v>
      </c>
      <c r="J20" s="111">
        <v>0.25</v>
      </c>
      <c r="K20" s="111">
        <v>0.05</v>
      </c>
    </row>
    <row r="21" spans="4:33" ht="15" customHeight="1" x14ac:dyDescent="0.15">
      <c r="D21">
        <v>20</v>
      </c>
      <c r="E21" s="184" t="s">
        <v>212</v>
      </c>
      <c r="F21">
        <v>0.98</v>
      </c>
      <c r="G21">
        <v>0.8</v>
      </c>
      <c r="H21">
        <v>0.8</v>
      </c>
      <c r="I21">
        <v>0.8</v>
      </c>
      <c r="J21" s="111">
        <v>0.25</v>
      </c>
      <c r="K21" s="111">
        <v>0.05</v>
      </c>
    </row>
    <row r="22" spans="4:33" ht="15" customHeight="1" x14ac:dyDescent="0.15">
      <c r="D22">
        <v>21</v>
      </c>
      <c r="E22" s="184" t="s">
        <v>213</v>
      </c>
      <c r="F22">
        <v>0.98</v>
      </c>
      <c r="G22">
        <v>0.8</v>
      </c>
      <c r="H22">
        <v>0.8</v>
      </c>
      <c r="I22">
        <v>0.8</v>
      </c>
      <c r="J22" s="111">
        <v>0.25</v>
      </c>
      <c r="K22" s="111">
        <v>0.05</v>
      </c>
    </row>
    <row r="23" spans="4:33" ht="15" customHeight="1" x14ac:dyDescent="0.15">
      <c r="D23">
        <v>22</v>
      </c>
      <c r="E23" s="184" t="s">
        <v>214</v>
      </c>
      <c r="F23">
        <v>0.98</v>
      </c>
      <c r="G23">
        <v>0.8</v>
      </c>
      <c r="H23">
        <v>0.8</v>
      </c>
      <c r="I23">
        <v>0.8</v>
      </c>
      <c r="J23" s="111">
        <v>0.25</v>
      </c>
      <c r="K23" s="111">
        <v>0.05</v>
      </c>
    </row>
    <row r="24" spans="4:33" ht="15" customHeight="1" x14ac:dyDescent="0.15">
      <c r="D24">
        <v>23</v>
      </c>
      <c r="E24" s="184" t="s">
        <v>215</v>
      </c>
      <c r="F24">
        <v>0.98</v>
      </c>
      <c r="G24">
        <v>0.8</v>
      </c>
      <c r="H24">
        <v>0.8</v>
      </c>
      <c r="I24">
        <v>0.8</v>
      </c>
      <c r="J24" s="111">
        <v>0.25</v>
      </c>
      <c r="K24" s="111">
        <v>0.05</v>
      </c>
    </row>
    <row r="25" spans="4:33" ht="15" customHeight="1" x14ac:dyDescent="0.15">
      <c r="D25">
        <v>24</v>
      </c>
      <c r="E25" s="184" t="s">
        <v>216</v>
      </c>
      <c r="F25">
        <v>0.98</v>
      </c>
      <c r="G25">
        <v>0.8</v>
      </c>
      <c r="H25">
        <v>0.8</v>
      </c>
      <c r="I25">
        <v>0.8</v>
      </c>
      <c r="J25" s="111">
        <v>0.25</v>
      </c>
      <c r="K25" s="111">
        <v>0.05</v>
      </c>
    </row>
    <row r="26" spans="4:33" ht="15" customHeight="1" x14ac:dyDescent="0.15">
      <c r="D26">
        <v>25</v>
      </c>
      <c r="E26" s="184" t="s">
        <v>217</v>
      </c>
      <c r="F26">
        <v>0.98</v>
      </c>
      <c r="G26">
        <v>0.8</v>
      </c>
      <c r="H26">
        <v>0.8</v>
      </c>
      <c r="I26">
        <v>0.8</v>
      </c>
      <c r="J26" s="111">
        <v>0.25</v>
      </c>
      <c r="K26" s="111">
        <v>0.05</v>
      </c>
    </row>
    <row r="27" spans="4:33" ht="15" customHeight="1" x14ac:dyDescent="0.15">
      <c r="D27">
        <v>26</v>
      </c>
      <c r="E27" s="184" t="s">
        <v>218</v>
      </c>
      <c r="F27">
        <v>0.98</v>
      </c>
      <c r="G27">
        <v>0.8</v>
      </c>
      <c r="H27">
        <v>0.8</v>
      </c>
      <c r="I27">
        <v>0.8</v>
      </c>
      <c r="J27" s="111">
        <v>0.25</v>
      </c>
      <c r="K27" s="111">
        <v>0.05</v>
      </c>
    </row>
    <row r="28" spans="4:33" ht="15" customHeight="1" x14ac:dyDescent="0.15">
      <c r="D28">
        <v>27</v>
      </c>
      <c r="E28" s="184" t="s">
        <v>219</v>
      </c>
      <c r="F28">
        <v>0.98</v>
      </c>
      <c r="G28">
        <v>0.8</v>
      </c>
      <c r="H28">
        <v>0.8</v>
      </c>
      <c r="I28">
        <v>0.8</v>
      </c>
      <c r="J28" s="111">
        <v>0.25</v>
      </c>
      <c r="K28" s="111">
        <v>0.05</v>
      </c>
    </row>
    <row r="29" spans="4:33" ht="15" customHeight="1" x14ac:dyDescent="0.15">
      <c r="D29">
        <v>28</v>
      </c>
      <c r="E29" s="184" t="s">
        <v>220</v>
      </c>
      <c r="F29">
        <v>0.98</v>
      </c>
      <c r="G29">
        <v>0.8</v>
      </c>
      <c r="H29">
        <v>0.8</v>
      </c>
      <c r="I29">
        <v>0.8</v>
      </c>
      <c r="J29" s="111">
        <v>0.25</v>
      </c>
      <c r="K29" s="111">
        <v>0.05</v>
      </c>
      <c r="Y29"/>
      <c r="AC29"/>
      <c r="AG29"/>
    </row>
    <row r="30" spans="4:33" ht="15" customHeight="1" x14ac:dyDescent="0.15">
      <c r="D30">
        <v>29</v>
      </c>
      <c r="E30" s="184" t="s">
        <v>221</v>
      </c>
      <c r="F30">
        <v>0.98</v>
      </c>
      <c r="G30">
        <v>0.8</v>
      </c>
      <c r="H30">
        <v>0.8</v>
      </c>
      <c r="I30">
        <v>0</v>
      </c>
      <c r="J30" s="111">
        <v>0</v>
      </c>
      <c r="K30" s="111">
        <v>0</v>
      </c>
      <c r="Y30"/>
      <c r="AC30"/>
      <c r="AG30"/>
    </row>
    <row r="31" spans="4:33" ht="15" customHeight="1" x14ac:dyDescent="0.15">
      <c r="D31">
        <v>30</v>
      </c>
      <c r="E31" s="184" t="s">
        <v>222</v>
      </c>
      <c r="F31">
        <v>0.98</v>
      </c>
      <c r="G31">
        <v>0.8</v>
      </c>
      <c r="H31">
        <v>0.8</v>
      </c>
      <c r="I31">
        <v>0</v>
      </c>
      <c r="J31" s="111">
        <v>0</v>
      </c>
      <c r="K31" s="111">
        <v>0</v>
      </c>
      <c r="Y31"/>
      <c r="AC31"/>
      <c r="AG31"/>
    </row>
    <row r="32" spans="4:33" ht="15" customHeight="1" x14ac:dyDescent="0.15">
      <c r="D32">
        <v>31</v>
      </c>
      <c r="E32" s="184" t="s">
        <v>223</v>
      </c>
      <c r="F32">
        <v>0.98</v>
      </c>
      <c r="G32">
        <v>0.8</v>
      </c>
      <c r="H32">
        <v>0</v>
      </c>
      <c r="I32">
        <v>0</v>
      </c>
      <c r="J32" s="111">
        <v>0</v>
      </c>
      <c r="K32" s="111">
        <v>0</v>
      </c>
      <c r="Y32"/>
      <c r="AC32"/>
      <c r="AG32"/>
    </row>
    <row r="33" spans="4:33" ht="15" customHeight="1" x14ac:dyDescent="0.15">
      <c r="D33">
        <v>32</v>
      </c>
      <c r="E33" s="184" t="s">
        <v>224</v>
      </c>
      <c r="F33">
        <v>0.98</v>
      </c>
      <c r="G33">
        <v>0.8</v>
      </c>
      <c r="H33">
        <v>0</v>
      </c>
      <c r="I33">
        <v>0</v>
      </c>
      <c r="J33" s="111">
        <v>0</v>
      </c>
      <c r="K33" s="111">
        <v>0</v>
      </c>
      <c r="Y33"/>
      <c r="AC33"/>
      <c r="AG33"/>
    </row>
    <row r="34" spans="4:33" ht="15" customHeight="1" x14ac:dyDescent="0.15">
      <c r="D34">
        <v>33</v>
      </c>
      <c r="E34" s="184" t="s">
        <v>225</v>
      </c>
      <c r="F34">
        <v>0.98</v>
      </c>
      <c r="G34">
        <v>0.8</v>
      </c>
      <c r="H34">
        <v>0</v>
      </c>
      <c r="I34">
        <v>0</v>
      </c>
      <c r="J34" s="111">
        <v>0</v>
      </c>
      <c r="K34" s="111">
        <v>0</v>
      </c>
      <c r="Y34"/>
      <c r="AC34"/>
      <c r="AG34"/>
    </row>
    <row r="35" spans="4:33" ht="15" customHeight="1" x14ac:dyDescent="0.15">
      <c r="J35"/>
      <c r="K35"/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H35"/>
  <sheetViews>
    <sheetView workbookViewId="0">
      <selection activeCell="A3" sqref="A3"/>
    </sheetView>
  </sheetViews>
  <sheetFormatPr baseColWidth="10" defaultRowHeight="13" x14ac:dyDescent="0.15"/>
  <cols>
    <col min="1" max="1" width="37" style="109" bestFit="1" customWidth="1"/>
    <col min="2" max="29" width="3.83203125" style="109" customWidth="1"/>
    <col min="30" max="34" width="2.33203125" style="109" customWidth="1"/>
    <col min="35" max="16384" width="10.83203125" style="109"/>
  </cols>
  <sheetData>
    <row r="1" spans="1:34" x14ac:dyDescent="0.15">
      <c r="A1" s="61" t="s">
        <v>118</v>
      </c>
      <c r="B1" s="186" t="s">
        <v>193</v>
      </c>
      <c r="C1" s="186" t="s">
        <v>194</v>
      </c>
      <c r="D1" s="186" t="s">
        <v>195</v>
      </c>
      <c r="E1" s="186" t="s">
        <v>196</v>
      </c>
      <c r="F1" s="186" t="s">
        <v>197</v>
      </c>
      <c r="G1" s="186" t="s">
        <v>198</v>
      </c>
      <c r="H1" s="186" t="s">
        <v>199</v>
      </c>
      <c r="I1" s="186" t="s">
        <v>200</v>
      </c>
      <c r="J1" s="186" t="s">
        <v>201</v>
      </c>
      <c r="K1" s="186" t="s">
        <v>202</v>
      </c>
      <c r="L1" s="186" t="s">
        <v>203</v>
      </c>
      <c r="M1" s="186" t="s">
        <v>204</v>
      </c>
      <c r="N1" s="186" t="s">
        <v>205</v>
      </c>
      <c r="O1" s="186" t="s">
        <v>206</v>
      </c>
      <c r="P1" s="186" t="s">
        <v>207</v>
      </c>
      <c r="Q1" s="186" t="s">
        <v>208</v>
      </c>
      <c r="R1" s="186" t="s">
        <v>209</v>
      </c>
      <c r="S1" s="186" t="s">
        <v>210</v>
      </c>
      <c r="T1" s="186" t="s">
        <v>211</v>
      </c>
      <c r="U1" s="186" t="s">
        <v>212</v>
      </c>
      <c r="V1" s="186" t="s">
        <v>213</v>
      </c>
      <c r="W1" s="186" t="s">
        <v>214</v>
      </c>
      <c r="X1" s="186" t="s">
        <v>215</v>
      </c>
      <c r="Y1" s="186" t="s">
        <v>216</v>
      </c>
      <c r="Z1" s="186" t="s">
        <v>217</v>
      </c>
      <c r="AA1" s="186" t="s">
        <v>218</v>
      </c>
      <c r="AB1" s="186" t="s">
        <v>219</v>
      </c>
      <c r="AC1" s="186" t="s">
        <v>220</v>
      </c>
      <c r="AD1" s="186" t="s">
        <v>221</v>
      </c>
      <c r="AE1" s="186" t="s">
        <v>222</v>
      </c>
      <c r="AF1" s="186" t="s">
        <v>223</v>
      </c>
      <c r="AG1" s="186" t="s">
        <v>224</v>
      </c>
      <c r="AH1" s="186" t="s">
        <v>225</v>
      </c>
    </row>
    <row r="2" spans="1:34" customFormat="1" x14ac:dyDescent="0.15">
      <c r="A2" s="185" t="s">
        <v>193</v>
      </c>
      <c r="B2" s="109">
        <v>0</v>
      </c>
      <c r="C2" s="109">
        <v>0</v>
      </c>
      <c r="D2" s="109">
        <v>0</v>
      </c>
      <c r="E2" s="109">
        <v>0</v>
      </c>
      <c r="F2" s="109">
        <v>0</v>
      </c>
      <c r="G2" s="109">
        <v>0</v>
      </c>
      <c r="H2" s="109">
        <v>0</v>
      </c>
      <c r="I2" s="109">
        <v>0</v>
      </c>
      <c r="J2" s="109">
        <v>0</v>
      </c>
      <c r="K2" s="109">
        <v>0</v>
      </c>
      <c r="L2" s="109">
        <v>0</v>
      </c>
      <c r="M2" s="109">
        <v>0</v>
      </c>
      <c r="N2" s="109">
        <v>0</v>
      </c>
      <c r="O2" s="109">
        <v>0</v>
      </c>
      <c r="P2" s="109">
        <v>0</v>
      </c>
      <c r="Q2" s="109">
        <v>0</v>
      </c>
      <c r="R2" s="109">
        <v>0</v>
      </c>
      <c r="S2" s="109">
        <v>0</v>
      </c>
      <c r="T2" s="109">
        <v>0</v>
      </c>
      <c r="U2" s="109">
        <v>0</v>
      </c>
      <c r="V2" s="109">
        <v>0</v>
      </c>
      <c r="W2" s="109">
        <v>0</v>
      </c>
      <c r="X2" s="109">
        <v>0</v>
      </c>
      <c r="Y2" s="109">
        <v>0</v>
      </c>
      <c r="Z2" s="109">
        <v>0</v>
      </c>
      <c r="AA2" s="109">
        <v>0</v>
      </c>
      <c r="AB2" s="109">
        <v>0</v>
      </c>
      <c r="AC2" s="109">
        <v>0</v>
      </c>
      <c r="AD2" s="109">
        <v>0</v>
      </c>
      <c r="AE2" s="109">
        <v>0</v>
      </c>
      <c r="AF2" s="109">
        <v>0</v>
      </c>
      <c r="AG2" s="109">
        <v>0</v>
      </c>
      <c r="AH2" s="109">
        <v>0</v>
      </c>
    </row>
    <row r="3" spans="1:34" customFormat="1" x14ac:dyDescent="0.15">
      <c r="A3" s="185" t="s">
        <v>194</v>
      </c>
      <c r="B3" s="109">
        <v>0</v>
      </c>
      <c r="C3" s="109">
        <v>0</v>
      </c>
      <c r="D3" s="109">
        <v>0</v>
      </c>
      <c r="E3" s="109">
        <v>0</v>
      </c>
      <c r="F3" s="109">
        <v>0</v>
      </c>
      <c r="G3" s="109">
        <v>0</v>
      </c>
      <c r="H3" s="109">
        <v>0</v>
      </c>
      <c r="I3" s="109">
        <v>0</v>
      </c>
      <c r="J3" s="109">
        <v>0</v>
      </c>
      <c r="K3" s="109">
        <v>0</v>
      </c>
      <c r="L3" s="109">
        <v>0</v>
      </c>
      <c r="M3" s="109">
        <v>0</v>
      </c>
      <c r="N3" s="109">
        <v>0</v>
      </c>
      <c r="O3" s="109">
        <v>0</v>
      </c>
      <c r="P3" s="109">
        <v>0</v>
      </c>
      <c r="Q3" s="109">
        <v>0</v>
      </c>
      <c r="R3" s="109">
        <v>0</v>
      </c>
      <c r="S3" s="109">
        <v>0</v>
      </c>
      <c r="T3" s="109">
        <v>0</v>
      </c>
      <c r="U3" s="109">
        <v>0</v>
      </c>
      <c r="V3" s="109">
        <v>0</v>
      </c>
      <c r="W3" s="109">
        <v>0</v>
      </c>
      <c r="X3" s="109">
        <v>0</v>
      </c>
      <c r="Y3" s="109">
        <v>0</v>
      </c>
      <c r="Z3" s="109">
        <v>0</v>
      </c>
      <c r="AA3" s="109">
        <v>0</v>
      </c>
      <c r="AB3" s="109">
        <v>0</v>
      </c>
      <c r="AC3" s="109">
        <v>0</v>
      </c>
      <c r="AD3" s="109">
        <v>0</v>
      </c>
      <c r="AE3" s="109">
        <v>0</v>
      </c>
      <c r="AF3" s="109">
        <v>0</v>
      </c>
      <c r="AG3" s="109">
        <v>0</v>
      </c>
      <c r="AH3" s="109">
        <v>0</v>
      </c>
    </row>
    <row r="4" spans="1:34" customFormat="1" x14ac:dyDescent="0.15">
      <c r="A4" s="185" t="s">
        <v>195</v>
      </c>
      <c r="B4" s="109">
        <v>0</v>
      </c>
      <c r="C4" s="109">
        <v>0</v>
      </c>
      <c r="D4" s="109">
        <v>0</v>
      </c>
      <c r="E4" s="109">
        <v>0</v>
      </c>
      <c r="F4" s="109">
        <v>0</v>
      </c>
      <c r="G4" s="109">
        <v>0</v>
      </c>
      <c r="H4" s="109">
        <v>0</v>
      </c>
      <c r="I4" s="109">
        <v>0</v>
      </c>
      <c r="J4" s="109">
        <v>0</v>
      </c>
      <c r="K4" s="109">
        <v>0</v>
      </c>
      <c r="L4" s="109">
        <v>0</v>
      </c>
      <c r="M4" s="109">
        <v>0</v>
      </c>
      <c r="N4" s="109">
        <v>0</v>
      </c>
      <c r="O4" s="109">
        <v>0</v>
      </c>
      <c r="P4" s="109">
        <v>0</v>
      </c>
      <c r="Q4" s="109">
        <v>0</v>
      </c>
      <c r="R4" s="109">
        <v>0</v>
      </c>
      <c r="S4" s="109">
        <v>0</v>
      </c>
      <c r="T4" s="109">
        <v>0</v>
      </c>
      <c r="U4" s="109">
        <v>0</v>
      </c>
      <c r="V4" s="109">
        <v>0</v>
      </c>
      <c r="W4" s="109">
        <v>0</v>
      </c>
      <c r="X4" s="109">
        <v>0</v>
      </c>
      <c r="Y4" s="109">
        <v>0</v>
      </c>
      <c r="Z4" s="109">
        <v>0</v>
      </c>
      <c r="AA4" s="109">
        <v>0</v>
      </c>
      <c r="AB4" s="109">
        <v>0</v>
      </c>
      <c r="AC4" s="109">
        <v>0</v>
      </c>
      <c r="AD4" s="109">
        <v>0</v>
      </c>
      <c r="AE4" s="109">
        <v>0</v>
      </c>
      <c r="AF4" s="109">
        <v>0</v>
      </c>
      <c r="AG4" s="109">
        <v>0</v>
      </c>
      <c r="AH4" s="109">
        <v>0</v>
      </c>
    </row>
    <row r="5" spans="1:34" customFormat="1" x14ac:dyDescent="0.15">
      <c r="A5" s="185" t="s">
        <v>196</v>
      </c>
      <c r="B5" s="109">
        <v>0</v>
      </c>
      <c r="C5" s="109">
        <v>0</v>
      </c>
      <c r="D5" s="109">
        <v>0</v>
      </c>
      <c r="E5" s="109">
        <v>0</v>
      </c>
      <c r="F5" s="109">
        <v>0</v>
      </c>
      <c r="G5" s="109">
        <v>0</v>
      </c>
      <c r="H5" s="109">
        <v>0</v>
      </c>
      <c r="I5" s="109">
        <v>0</v>
      </c>
      <c r="J5" s="109">
        <v>0</v>
      </c>
      <c r="K5" s="109">
        <v>0</v>
      </c>
      <c r="L5" s="109">
        <v>0</v>
      </c>
      <c r="M5" s="109">
        <v>0</v>
      </c>
      <c r="N5" s="109">
        <v>0</v>
      </c>
      <c r="O5" s="109">
        <v>0</v>
      </c>
      <c r="P5" s="109">
        <v>0</v>
      </c>
      <c r="Q5" s="109">
        <v>0</v>
      </c>
      <c r="R5" s="109">
        <v>0</v>
      </c>
      <c r="S5" s="109">
        <v>0</v>
      </c>
      <c r="T5" s="109">
        <v>0</v>
      </c>
      <c r="U5" s="109">
        <v>0</v>
      </c>
      <c r="V5" s="109">
        <v>0</v>
      </c>
      <c r="W5" s="109">
        <v>0</v>
      </c>
      <c r="X5" s="109">
        <v>0</v>
      </c>
      <c r="Y5" s="109">
        <v>0</v>
      </c>
      <c r="Z5" s="109">
        <v>0</v>
      </c>
      <c r="AA5" s="109">
        <v>0</v>
      </c>
      <c r="AB5" s="109">
        <v>0</v>
      </c>
      <c r="AC5" s="109">
        <v>0</v>
      </c>
      <c r="AD5" s="109">
        <v>0</v>
      </c>
      <c r="AE5" s="109">
        <v>0</v>
      </c>
      <c r="AF5" s="109">
        <v>0</v>
      </c>
      <c r="AG5" s="109">
        <v>0</v>
      </c>
      <c r="AH5" s="109">
        <v>0</v>
      </c>
    </row>
    <row r="6" spans="1:34" customFormat="1" x14ac:dyDescent="0.15">
      <c r="A6" s="185" t="s">
        <v>197</v>
      </c>
      <c r="B6" s="109">
        <v>0</v>
      </c>
      <c r="C6" s="109">
        <v>0</v>
      </c>
      <c r="D6" s="109">
        <v>0</v>
      </c>
      <c r="E6" s="109">
        <v>0</v>
      </c>
      <c r="F6" s="109">
        <v>0</v>
      </c>
      <c r="G6" s="109">
        <v>0</v>
      </c>
      <c r="H6" s="109">
        <v>0</v>
      </c>
      <c r="I6" s="109">
        <v>0</v>
      </c>
      <c r="J6" s="109">
        <v>0</v>
      </c>
      <c r="K6" s="109">
        <v>0</v>
      </c>
      <c r="L6" s="109">
        <v>0</v>
      </c>
      <c r="M6" s="109">
        <v>0</v>
      </c>
      <c r="N6" s="109">
        <v>0</v>
      </c>
      <c r="O6" s="109">
        <v>0</v>
      </c>
      <c r="P6" s="109">
        <v>0</v>
      </c>
      <c r="Q6" s="109">
        <v>0</v>
      </c>
      <c r="R6" s="109">
        <v>0</v>
      </c>
      <c r="S6" s="109">
        <v>0</v>
      </c>
      <c r="T6" s="109">
        <v>0</v>
      </c>
      <c r="U6" s="109">
        <v>0</v>
      </c>
      <c r="V6" s="109">
        <v>0</v>
      </c>
      <c r="W6" s="109">
        <v>0</v>
      </c>
      <c r="X6" s="109">
        <v>0</v>
      </c>
      <c r="Y6" s="109">
        <v>0</v>
      </c>
      <c r="Z6" s="109">
        <v>0</v>
      </c>
      <c r="AA6" s="109">
        <v>0</v>
      </c>
      <c r="AB6" s="109">
        <v>0</v>
      </c>
      <c r="AC6" s="109">
        <v>0</v>
      </c>
      <c r="AD6" s="109">
        <v>0</v>
      </c>
      <c r="AE6" s="109">
        <v>0</v>
      </c>
      <c r="AF6" s="109">
        <v>0</v>
      </c>
      <c r="AG6" s="109">
        <v>0</v>
      </c>
      <c r="AH6" s="109">
        <v>0</v>
      </c>
    </row>
    <row r="7" spans="1:34" customFormat="1" x14ac:dyDescent="0.15">
      <c r="A7" s="185" t="s">
        <v>198</v>
      </c>
      <c r="B7" s="109">
        <v>0</v>
      </c>
      <c r="C7" s="109">
        <v>0</v>
      </c>
      <c r="D7" s="109">
        <v>0</v>
      </c>
      <c r="E7" s="109">
        <v>0</v>
      </c>
      <c r="F7" s="109">
        <v>0</v>
      </c>
      <c r="G7" s="109">
        <v>0</v>
      </c>
      <c r="H7" s="109">
        <v>0</v>
      </c>
      <c r="I7" s="109">
        <v>0</v>
      </c>
      <c r="J7" s="109">
        <v>0</v>
      </c>
      <c r="K7" s="109">
        <v>0</v>
      </c>
      <c r="L7" s="109">
        <v>0</v>
      </c>
      <c r="M7" s="109">
        <v>0</v>
      </c>
      <c r="N7" s="109">
        <v>0</v>
      </c>
      <c r="O7" s="109">
        <v>0</v>
      </c>
      <c r="P7" s="109">
        <v>0</v>
      </c>
      <c r="Q7" s="109">
        <v>0</v>
      </c>
      <c r="R7" s="109">
        <v>0</v>
      </c>
      <c r="S7" s="109">
        <v>0</v>
      </c>
      <c r="T7" s="109">
        <v>0</v>
      </c>
      <c r="U7" s="109">
        <v>0</v>
      </c>
      <c r="V7" s="109">
        <v>0</v>
      </c>
      <c r="W7" s="109">
        <v>0</v>
      </c>
      <c r="X7" s="109">
        <v>0</v>
      </c>
      <c r="Y7" s="109">
        <v>0</v>
      </c>
      <c r="Z7" s="109">
        <v>0</v>
      </c>
      <c r="AA7" s="109">
        <v>0</v>
      </c>
      <c r="AB7" s="109">
        <v>0</v>
      </c>
      <c r="AC7" s="109">
        <v>0</v>
      </c>
      <c r="AD7" s="109">
        <v>0</v>
      </c>
      <c r="AE7" s="109">
        <v>0</v>
      </c>
      <c r="AF7" s="109">
        <v>0</v>
      </c>
      <c r="AG7" s="109">
        <v>0</v>
      </c>
      <c r="AH7" s="109">
        <v>0</v>
      </c>
    </row>
    <row r="8" spans="1:34" customFormat="1" x14ac:dyDescent="0.15">
      <c r="A8" s="185" t="s">
        <v>199</v>
      </c>
      <c r="B8" s="109">
        <v>0</v>
      </c>
      <c r="C8" s="109">
        <v>0</v>
      </c>
      <c r="D8" s="109">
        <v>0</v>
      </c>
      <c r="E8" s="109">
        <v>0</v>
      </c>
      <c r="F8" s="109">
        <v>0</v>
      </c>
      <c r="G8" s="109">
        <v>0</v>
      </c>
      <c r="H8" s="109">
        <v>0</v>
      </c>
      <c r="I8" s="109">
        <v>0</v>
      </c>
      <c r="J8" s="109">
        <v>0</v>
      </c>
      <c r="K8" s="109">
        <v>0</v>
      </c>
      <c r="L8" s="109">
        <v>0</v>
      </c>
      <c r="M8" s="109">
        <v>0</v>
      </c>
      <c r="N8" s="109">
        <v>0</v>
      </c>
      <c r="O8" s="109">
        <v>0</v>
      </c>
      <c r="P8" s="109">
        <v>0</v>
      </c>
      <c r="Q8" s="109">
        <v>0</v>
      </c>
      <c r="R8" s="109">
        <v>0</v>
      </c>
      <c r="S8" s="109">
        <v>0</v>
      </c>
      <c r="T8" s="109">
        <v>0</v>
      </c>
      <c r="U8" s="109">
        <v>0</v>
      </c>
      <c r="V8" s="109">
        <v>0</v>
      </c>
      <c r="W8" s="109">
        <v>0</v>
      </c>
      <c r="X8" s="109">
        <v>0</v>
      </c>
      <c r="Y8" s="109">
        <v>0</v>
      </c>
      <c r="Z8" s="109">
        <v>0</v>
      </c>
      <c r="AA8" s="109">
        <v>0</v>
      </c>
      <c r="AB8" s="109">
        <v>0</v>
      </c>
      <c r="AC8" s="109">
        <v>0</v>
      </c>
      <c r="AD8" s="109">
        <v>0</v>
      </c>
      <c r="AE8" s="109">
        <v>0</v>
      </c>
      <c r="AF8" s="109">
        <v>0</v>
      </c>
      <c r="AG8" s="109">
        <v>0</v>
      </c>
      <c r="AH8" s="109">
        <v>0</v>
      </c>
    </row>
    <row r="9" spans="1:34" customFormat="1" x14ac:dyDescent="0.15">
      <c r="A9" s="185" t="s">
        <v>200</v>
      </c>
      <c r="B9" s="109">
        <v>0</v>
      </c>
      <c r="C9" s="109">
        <v>0</v>
      </c>
      <c r="D9" s="109">
        <v>0.8</v>
      </c>
      <c r="E9" s="109">
        <v>0.8</v>
      </c>
      <c r="F9" s="109">
        <v>0.8</v>
      </c>
      <c r="G9" s="109">
        <v>0.8</v>
      </c>
      <c r="H9" s="109">
        <v>0.8</v>
      </c>
      <c r="I9" s="109">
        <v>0</v>
      </c>
      <c r="J9" s="109">
        <v>0</v>
      </c>
      <c r="K9" s="109">
        <v>0</v>
      </c>
      <c r="L9" s="109">
        <v>0</v>
      </c>
      <c r="M9" s="109">
        <v>0</v>
      </c>
      <c r="N9" s="109">
        <v>0</v>
      </c>
      <c r="O9" s="109">
        <v>0</v>
      </c>
      <c r="P9" s="109">
        <v>0</v>
      </c>
      <c r="Q9" s="109">
        <v>0</v>
      </c>
      <c r="R9" s="109">
        <v>0</v>
      </c>
      <c r="S9" s="109">
        <v>0</v>
      </c>
      <c r="T9" s="109">
        <v>0</v>
      </c>
      <c r="U9" s="109">
        <v>0</v>
      </c>
      <c r="V9" s="109">
        <v>0</v>
      </c>
      <c r="W9" s="109">
        <v>0</v>
      </c>
      <c r="X9" s="109">
        <v>0</v>
      </c>
      <c r="Y9" s="109">
        <v>0</v>
      </c>
      <c r="Z9" s="109">
        <v>0</v>
      </c>
      <c r="AA9" s="109">
        <v>0</v>
      </c>
      <c r="AB9" s="109">
        <v>0</v>
      </c>
      <c r="AC9" s="109">
        <v>0</v>
      </c>
      <c r="AD9" s="109">
        <v>0</v>
      </c>
      <c r="AE9" s="109">
        <v>0</v>
      </c>
      <c r="AF9" s="109">
        <v>0</v>
      </c>
      <c r="AG9" s="109">
        <v>0</v>
      </c>
      <c r="AH9" s="109">
        <v>0</v>
      </c>
    </row>
    <row r="10" spans="1:34" customFormat="1" x14ac:dyDescent="0.15">
      <c r="A10" s="185" t="s">
        <v>201</v>
      </c>
      <c r="B10" s="109">
        <v>0</v>
      </c>
      <c r="C10" s="109">
        <v>0</v>
      </c>
      <c r="D10" s="109">
        <v>0.8</v>
      </c>
      <c r="E10" s="109">
        <v>0.8</v>
      </c>
      <c r="F10" s="109">
        <v>0.8</v>
      </c>
      <c r="G10" s="109">
        <v>0.8</v>
      </c>
      <c r="H10" s="109">
        <v>0.8</v>
      </c>
      <c r="I10" s="109">
        <v>0.8</v>
      </c>
      <c r="J10" s="109">
        <v>0.8</v>
      </c>
      <c r="K10" s="109">
        <v>0</v>
      </c>
      <c r="L10" s="109">
        <v>0.8</v>
      </c>
      <c r="M10" s="109">
        <v>0</v>
      </c>
      <c r="N10" s="109">
        <v>0</v>
      </c>
      <c r="O10" s="109">
        <v>0</v>
      </c>
      <c r="P10" s="109">
        <v>0</v>
      </c>
      <c r="Q10" s="109">
        <v>0</v>
      </c>
      <c r="R10" s="109">
        <v>0.8</v>
      </c>
      <c r="S10" s="109">
        <v>0.8</v>
      </c>
      <c r="T10" s="109">
        <v>0</v>
      </c>
      <c r="U10" s="109">
        <v>0</v>
      </c>
      <c r="V10" s="109">
        <v>0</v>
      </c>
      <c r="W10" s="109">
        <v>0</v>
      </c>
      <c r="X10" s="109">
        <v>0</v>
      </c>
      <c r="Y10" s="109">
        <v>0</v>
      </c>
      <c r="Z10" s="109">
        <v>0</v>
      </c>
      <c r="AA10" s="109">
        <v>0</v>
      </c>
      <c r="AB10" s="109">
        <v>0</v>
      </c>
      <c r="AC10" s="109">
        <v>0</v>
      </c>
      <c r="AD10" s="109">
        <v>0</v>
      </c>
      <c r="AE10" s="109">
        <v>0</v>
      </c>
      <c r="AF10" s="109">
        <v>0</v>
      </c>
      <c r="AG10" s="109">
        <v>0</v>
      </c>
      <c r="AH10" s="109">
        <v>0</v>
      </c>
    </row>
    <row r="11" spans="1:34" customFormat="1" x14ac:dyDescent="0.15">
      <c r="A11" s="185" t="s">
        <v>202</v>
      </c>
      <c r="B11" s="109">
        <v>0.8</v>
      </c>
      <c r="C11" s="109">
        <v>0</v>
      </c>
      <c r="D11" s="109">
        <v>0.8</v>
      </c>
      <c r="E11" s="109">
        <v>0.8</v>
      </c>
      <c r="F11" s="109">
        <v>0.8</v>
      </c>
      <c r="G11" s="109">
        <v>0.8</v>
      </c>
      <c r="H11" s="109">
        <v>0.8</v>
      </c>
      <c r="I11" s="109">
        <v>0.8</v>
      </c>
      <c r="J11" s="109">
        <v>0.8</v>
      </c>
      <c r="K11" s="109">
        <v>0.8</v>
      </c>
      <c r="L11" s="109">
        <v>0.8</v>
      </c>
      <c r="M11" s="109">
        <v>0.8</v>
      </c>
      <c r="N11" s="109">
        <v>0.8</v>
      </c>
      <c r="O11" s="109">
        <v>0</v>
      </c>
      <c r="P11" s="109">
        <v>0</v>
      </c>
      <c r="Q11" s="109">
        <v>0</v>
      </c>
      <c r="R11" s="109">
        <v>0</v>
      </c>
      <c r="S11" s="109">
        <v>0.8</v>
      </c>
      <c r="T11" s="109">
        <v>0.8</v>
      </c>
      <c r="U11" s="109">
        <v>0</v>
      </c>
      <c r="V11" s="109">
        <v>0</v>
      </c>
      <c r="W11" s="109">
        <v>0</v>
      </c>
      <c r="X11" s="109">
        <v>0</v>
      </c>
      <c r="Y11" s="109">
        <v>0</v>
      </c>
      <c r="Z11" s="109">
        <v>0</v>
      </c>
      <c r="AA11" s="109">
        <v>0</v>
      </c>
      <c r="AB11" s="109">
        <v>0</v>
      </c>
      <c r="AC11" s="109">
        <v>0</v>
      </c>
      <c r="AD11" s="109">
        <v>0</v>
      </c>
      <c r="AE11" s="109">
        <v>0</v>
      </c>
      <c r="AF11" s="109">
        <v>0</v>
      </c>
      <c r="AG11" s="109">
        <v>0</v>
      </c>
      <c r="AH11" s="109">
        <v>0</v>
      </c>
    </row>
    <row r="12" spans="1:34" customFormat="1" x14ac:dyDescent="0.15">
      <c r="A12" s="185" t="s">
        <v>203</v>
      </c>
      <c r="B12" s="109">
        <v>0</v>
      </c>
      <c r="C12" s="109">
        <v>0</v>
      </c>
      <c r="D12" s="109">
        <v>0.8</v>
      </c>
      <c r="E12" s="109">
        <v>0.8</v>
      </c>
      <c r="F12" s="109">
        <v>0.8</v>
      </c>
      <c r="G12" s="109">
        <v>0</v>
      </c>
      <c r="H12" s="109">
        <v>0.8</v>
      </c>
      <c r="I12" s="109">
        <v>0.8</v>
      </c>
      <c r="J12" s="109">
        <v>0.8</v>
      </c>
      <c r="K12" s="109">
        <v>0</v>
      </c>
      <c r="L12" s="109">
        <v>0.8</v>
      </c>
      <c r="M12" s="109">
        <v>0</v>
      </c>
      <c r="N12" s="109">
        <v>0</v>
      </c>
      <c r="O12" s="109">
        <v>0</v>
      </c>
      <c r="P12" s="109">
        <v>0</v>
      </c>
      <c r="Q12" s="109">
        <v>0</v>
      </c>
      <c r="R12" s="109">
        <v>0.8</v>
      </c>
      <c r="S12" s="109">
        <v>0</v>
      </c>
      <c r="T12" s="109">
        <v>0</v>
      </c>
      <c r="U12" s="109">
        <v>0</v>
      </c>
      <c r="V12" s="109">
        <v>0</v>
      </c>
      <c r="W12" s="109">
        <v>0</v>
      </c>
      <c r="X12" s="109">
        <v>0</v>
      </c>
      <c r="Y12" s="109">
        <v>0</v>
      </c>
      <c r="Z12" s="109">
        <v>0</v>
      </c>
      <c r="AA12" s="109">
        <v>0</v>
      </c>
      <c r="AB12" s="109">
        <v>0</v>
      </c>
      <c r="AC12" s="109">
        <v>0</v>
      </c>
      <c r="AD12" s="109">
        <v>0</v>
      </c>
      <c r="AE12" s="109">
        <v>0</v>
      </c>
      <c r="AF12" s="109">
        <v>0</v>
      </c>
      <c r="AG12" s="109">
        <v>0</v>
      </c>
      <c r="AH12" s="109">
        <v>0</v>
      </c>
    </row>
    <row r="13" spans="1:34" customFormat="1" x14ac:dyDescent="0.15">
      <c r="A13" s="185" t="s">
        <v>204</v>
      </c>
      <c r="B13" s="109">
        <v>0.8</v>
      </c>
      <c r="C13" s="109">
        <v>0.8</v>
      </c>
      <c r="D13" s="109">
        <v>0</v>
      </c>
      <c r="E13" s="109">
        <v>0.8</v>
      </c>
      <c r="F13" s="109">
        <v>0.8</v>
      </c>
      <c r="G13" s="109">
        <v>0.8</v>
      </c>
      <c r="H13" s="109">
        <v>0.8</v>
      </c>
      <c r="I13" s="109">
        <v>0.8</v>
      </c>
      <c r="J13" s="109">
        <v>0.8</v>
      </c>
      <c r="K13" s="109">
        <v>0.8</v>
      </c>
      <c r="L13" s="109">
        <v>0</v>
      </c>
      <c r="M13" s="109">
        <v>0.8</v>
      </c>
      <c r="N13" s="109">
        <v>0.8</v>
      </c>
      <c r="O13" s="109">
        <v>0</v>
      </c>
      <c r="P13" s="109">
        <v>0</v>
      </c>
      <c r="Q13" s="109">
        <v>0</v>
      </c>
      <c r="R13" s="109">
        <v>0</v>
      </c>
      <c r="S13" s="109">
        <v>0.8</v>
      </c>
      <c r="T13" s="109">
        <v>0</v>
      </c>
      <c r="U13" s="109">
        <v>0</v>
      </c>
      <c r="V13" s="109">
        <v>0</v>
      </c>
      <c r="W13" s="109">
        <v>0</v>
      </c>
      <c r="X13" s="109">
        <v>0</v>
      </c>
      <c r="Y13" s="109">
        <v>0</v>
      </c>
      <c r="Z13" s="109">
        <v>0</v>
      </c>
      <c r="AA13" s="109">
        <v>0</v>
      </c>
      <c r="AB13" s="109">
        <v>0</v>
      </c>
      <c r="AC13" s="109">
        <v>0</v>
      </c>
      <c r="AD13" s="109">
        <v>0</v>
      </c>
      <c r="AE13" s="109">
        <v>0</v>
      </c>
      <c r="AF13" s="109">
        <v>0</v>
      </c>
      <c r="AG13" s="109">
        <v>0</v>
      </c>
      <c r="AH13" s="109">
        <v>0</v>
      </c>
    </row>
    <row r="14" spans="1:34" customFormat="1" x14ac:dyDescent="0.15">
      <c r="A14" s="185" t="s">
        <v>205</v>
      </c>
      <c r="B14" s="109">
        <v>0.8</v>
      </c>
      <c r="C14" s="109">
        <v>0.8</v>
      </c>
      <c r="D14" s="109">
        <v>0</v>
      </c>
      <c r="E14" s="109">
        <v>0.8</v>
      </c>
      <c r="F14" s="109">
        <v>0.8</v>
      </c>
      <c r="G14" s="109">
        <v>0.8</v>
      </c>
      <c r="H14" s="109">
        <v>0.8</v>
      </c>
      <c r="I14" s="109">
        <v>0.8</v>
      </c>
      <c r="J14" s="109">
        <v>0.8</v>
      </c>
      <c r="K14" s="109">
        <v>0.8</v>
      </c>
      <c r="L14" s="109">
        <v>0.8</v>
      </c>
      <c r="M14" s="109">
        <v>0.8</v>
      </c>
      <c r="N14" s="109">
        <v>0.8</v>
      </c>
      <c r="O14" s="109">
        <v>0</v>
      </c>
      <c r="P14" s="109">
        <v>0</v>
      </c>
      <c r="Q14" s="109">
        <v>0</v>
      </c>
      <c r="R14" s="109">
        <v>0</v>
      </c>
      <c r="S14" s="109">
        <v>0.8</v>
      </c>
      <c r="T14" s="109">
        <v>0</v>
      </c>
      <c r="U14" s="109">
        <v>0</v>
      </c>
      <c r="V14" s="109">
        <v>0</v>
      </c>
      <c r="W14" s="109">
        <v>0</v>
      </c>
      <c r="X14" s="109">
        <v>0</v>
      </c>
      <c r="Y14" s="109">
        <v>0</v>
      </c>
      <c r="Z14" s="109">
        <v>0</v>
      </c>
      <c r="AA14" s="109">
        <v>0</v>
      </c>
      <c r="AB14" s="109">
        <v>0</v>
      </c>
      <c r="AC14" s="109">
        <v>0</v>
      </c>
      <c r="AD14" s="109">
        <v>0</v>
      </c>
      <c r="AE14" s="109">
        <v>0</v>
      </c>
      <c r="AF14" s="109">
        <v>0</v>
      </c>
      <c r="AG14" s="109">
        <v>0</v>
      </c>
      <c r="AH14" s="109">
        <v>0</v>
      </c>
    </row>
    <row r="15" spans="1:34" customFormat="1" x14ac:dyDescent="0.15">
      <c r="A15" s="185" t="s">
        <v>206</v>
      </c>
      <c r="B15" s="109">
        <v>0.8</v>
      </c>
      <c r="C15" s="109">
        <v>0.8</v>
      </c>
      <c r="D15" s="109">
        <v>0.8</v>
      </c>
      <c r="E15" s="109">
        <v>0.8</v>
      </c>
      <c r="F15" s="109">
        <v>0.8</v>
      </c>
      <c r="G15" s="109">
        <v>0</v>
      </c>
      <c r="H15" s="109">
        <v>0.8</v>
      </c>
      <c r="I15" s="109">
        <v>0.8</v>
      </c>
      <c r="J15" s="109">
        <v>0.8</v>
      </c>
      <c r="K15" s="109">
        <v>0.8</v>
      </c>
      <c r="L15" s="109">
        <v>0</v>
      </c>
      <c r="M15" s="109">
        <v>0.8</v>
      </c>
      <c r="N15" s="109">
        <v>0.8</v>
      </c>
      <c r="O15" s="109">
        <v>0</v>
      </c>
      <c r="P15" s="109">
        <v>0</v>
      </c>
      <c r="Q15" s="109">
        <v>0</v>
      </c>
      <c r="R15" s="109">
        <v>0</v>
      </c>
      <c r="S15" s="109">
        <v>0.8</v>
      </c>
      <c r="T15" s="109">
        <v>0</v>
      </c>
      <c r="U15" s="109">
        <v>0</v>
      </c>
      <c r="V15" s="109">
        <v>0</v>
      </c>
      <c r="W15" s="109">
        <v>0</v>
      </c>
      <c r="X15" s="109">
        <v>0</v>
      </c>
      <c r="Y15" s="109">
        <v>0</v>
      </c>
      <c r="Z15" s="109">
        <v>0</v>
      </c>
      <c r="AA15" s="109">
        <v>0</v>
      </c>
      <c r="AB15" s="109">
        <v>0</v>
      </c>
      <c r="AC15" s="109">
        <v>0</v>
      </c>
      <c r="AD15" s="109">
        <v>0</v>
      </c>
      <c r="AE15" s="109">
        <v>0</v>
      </c>
      <c r="AF15" s="109">
        <v>0</v>
      </c>
      <c r="AG15" s="109">
        <v>0</v>
      </c>
      <c r="AH15" s="109">
        <v>0</v>
      </c>
    </row>
    <row r="16" spans="1:34" customFormat="1" x14ac:dyDescent="0.15">
      <c r="A16" s="185" t="s">
        <v>207</v>
      </c>
      <c r="B16" s="109">
        <v>0.8</v>
      </c>
      <c r="C16" s="109">
        <v>0.8</v>
      </c>
      <c r="D16" s="109">
        <v>0</v>
      </c>
      <c r="E16" s="109">
        <v>0.8</v>
      </c>
      <c r="F16" s="109">
        <v>0.8</v>
      </c>
      <c r="G16" s="109">
        <v>0.8</v>
      </c>
      <c r="H16" s="109">
        <v>0.8</v>
      </c>
      <c r="I16" s="109">
        <v>0.8</v>
      </c>
      <c r="J16" s="109">
        <v>0.8</v>
      </c>
      <c r="K16" s="109">
        <v>0.8</v>
      </c>
      <c r="L16" s="109">
        <v>0</v>
      </c>
      <c r="M16" s="109">
        <v>0.8</v>
      </c>
      <c r="N16" s="109">
        <v>0.8</v>
      </c>
      <c r="O16" s="109">
        <v>0</v>
      </c>
      <c r="P16" s="109">
        <v>0</v>
      </c>
      <c r="Q16" s="109">
        <v>0</v>
      </c>
      <c r="R16" s="109">
        <v>0</v>
      </c>
      <c r="S16" s="109">
        <v>0.8</v>
      </c>
      <c r="T16" s="109">
        <v>0</v>
      </c>
      <c r="U16" s="109">
        <v>0</v>
      </c>
      <c r="V16" s="109">
        <v>0</v>
      </c>
      <c r="W16" s="109">
        <v>0</v>
      </c>
      <c r="X16" s="109">
        <v>0</v>
      </c>
      <c r="Y16" s="109">
        <v>0</v>
      </c>
      <c r="Z16" s="109">
        <v>0</v>
      </c>
      <c r="AA16" s="109">
        <v>0</v>
      </c>
      <c r="AB16" s="109">
        <v>0</v>
      </c>
      <c r="AC16" s="109">
        <v>0</v>
      </c>
      <c r="AD16" s="109">
        <v>0</v>
      </c>
      <c r="AE16" s="109">
        <v>0</v>
      </c>
      <c r="AF16" s="109">
        <v>0</v>
      </c>
      <c r="AG16" s="109">
        <v>0</v>
      </c>
      <c r="AH16" s="109">
        <v>0</v>
      </c>
    </row>
    <row r="17" spans="1:34" customFormat="1" x14ac:dyDescent="0.15">
      <c r="A17" s="185" t="s">
        <v>208</v>
      </c>
      <c r="B17" s="109">
        <v>0.8</v>
      </c>
      <c r="C17" s="109">
        <v>0.8</v>
      </c>
      <c r="D17" s="109">
        <v>0</v>
      </c>
      <c r="E17" s="109">
        <v>0.8</v>
      </c>
      <c r="F17" s="109">
        <v>0.8</v>
      </c>
      <c r="G17" s="109">
        <v>0</v>
      </c>
      <c r="H17" s="109">
        <v>0</v>
      </c>
      <c r="I17" s="109">
        <v>0.8</v>
      </c>
      <c r="J17" s="109">
        <v>0.8</v>
      </c>
      <c r="K17" s="109">
        <v>0.8</v>
      </c>
      <c r="L17" s="109">
        <v>0</v>
      </c>
      <c r="M17" s="109">
        <v>0.8</v>
      </c>
      <c r="N17" s="109">
        <v>0.8</v>
      </c>
      <c r="O17" s="109">
        <v>0</v>
      </c>
      <c r="P17" s="109">
        <v>0</v>
      </c>
      <c r="Q17" s="109">
        <v>0</v>
      </c>
      <c r="R17" s="109">
        <v>0</v>
      </c>
      <c r="S17" s="109">
        <v>0.8</v>
      </c>
      <c r="T17" s="109">
        <v>0</v>
      </c>
      <c r="U17" s="109">
        <v>0</v>
      </c>
      <c r="V17" s="109">
        <v>0</v>
      </c>
      <c r="W17" s="109">
        <v>0</v>
      </c>
      <c r="X17" s="109">
        <v>0</v>
      </c>
      <c r="Y17" s="109">
        <v>0</v>
      </c>
      <c r="Z17" s="109">
        <v>0</v>
      </c>
      <c r="AA17" s="109">
        <v>0</v>
      </c>
      <c r="AB17" s="109">
        <v>0</v>
      </c>
      <c r="AC17" s="109">
        <v>0</v>
      </c>
      <c r="AD17" s="109">
        <v>0</v>
      </c>
      <c r="AE17" s="109">
        <v>0</v>
      </c>
      <c r="AF17" s="109">
        <v>0</v>
      </c>
      <c r="AG17" s="109">
        <v>0</v>
      </c>
      <c r="AH17" s="109">
        <v>0</v>
      </c>
    </row>
    <row r="18" spans="1:34" customFormat="1" x14ac:dyDescent="0.15">
      <c r="A18" s="185" t="s">
        <v>209</v>
      </c>
      <c r="B18" s="109">
        <v>0</v>
      </c>
      <c r="C18" s="109">
        <v>0</v>
      </c>
      <c r="D18" s="109">
        <v>0.8</v>
      </c>
      <c r="E18" s="109">
        <v>0</v>
      </c>
      <c r="F18" s="109">
        <v>0.8</v>
      </c>
      <c r="G18" s="109">
        <v>0.8</v>
      </c>
      <c r="H18" s="109">
        <v>0.8</v>
      </c>
      <c r="I18" s="109">
        <v>0</v>
      </c>
      <c r="J18" s="109">
        <v>0.8</v>
      </c>
      <c r="K18" s="109">
        <v>0.8</v>
      </c>
      <c r="L18" s="109">
        <v>0.8</v>
      </c>
      <c r="M18" s="109">
        <v>0</v>
      </c>
      <c r="N18" s="109">
        <v>0</v>
      </c>
      <c r="O18" s="109">
        <v>0</v>
      </c>
      <c r="P18" s="109">
        <v>0</v>
      </c>
      <c r="Q18" s="109">
        <v>0</v>
      </c>
      <c r="R18" s="109">
        <v>0.8</v>
      </c>
      <c r="S18" s="109">
        <v>0.8</v>
      </c>
      <c r="T18" s="109">
        <v>0.8</v>
      </c>
      <c r="U18" s="109">
        <v>0</v>
      </c>
      <c r="V18" s="109">
        <v>0</v>
      </c>
      <c r="W18" s="109">
        <v>0</v>
      </c>
      <c r="X18" s="109">
        <v>0</v>
      </c>
      <c r="Y18" s="109">
        <v>0</v>
      </c>
      <c r="Z18" s="109">
        <v>0</v>
      </c>
      <c r="AA18" s="109">
        <v>0</v>
      </c>
      <c r="AB18" s="109">
        <v>0</v>
      </c>
      <c r="AC18" s="109">
        <v>0</v>
      </c>
      <c r="AD18" s="109">
        <v>0</v>
      </c>
      <c r="AE18" s="109">
        <v>0</v>
      </c>
      <c r="AF18" s="109">
        <v>0</v>
      </c>
      <c r="AG18" s="109">
        <v>0</v>
      </c>
      <c r="AH18" s="109">
        <v>0</v>
      </c>
    </row>
    <row r="19" spans="1:34" customFormat="1" x14ac:dyDescent="0.15">
      <c r="A19" s="185" t="s">
        <v>210</v>
      </c>
      <c r="B19" s="109">
        <v>0</v>
      </c>
      <c r="C19" s="109">
        <v>0</v>
      </c>
      <c r="D19" s="109">
        <v>0.8</v>
      </c>
      <c r="E19" s="109">
        <v>0.8</v>
      </c>
      <c r="F19" s="109">
        <v>0.8</v>
      </c>
      <c r="G19" s="109">
        <v>0.8</v>
      </c>
      <c r="H19" s="109">
        <v>0.8</v>
      </c>
      <c r="I19" s="109">
        <v>0</v>
      </c>
      <c r="J19" s="109">
        <v>0.8</v>
      </c>
      <c r="K19" s="109">
        <v>0.8</v>
      </c>
      <c r="L19" s="109">
        <v>0.8</v>
      </c>
      <c r="M19" s="109">
        <v>0.8</v>
      </c>
      <c r="N19" s="109">
        <v>0.8</v>
      </c>
      <c r="O19" s="109">
        <v>0</v>
      </c>
      <c r="P19" s="109">
        <v>0</v>
      </c>
      <c r="Q19" s="109">
        <v>0</v>
      </c>
      <c r="R19" s="109">
        <v>0</v>
      </c>
      <c r="S19" s="109">
        <v>0.8</v>
      </c>
      <c r="T19" s="109">
        <v>0.8</v>
      </c>
      <c r="U19" s="109">
        <v>0</v>
      </c>
      <c r="V19" s="109">
        <v>0</v>
      </c>
      <c r="W19" s="109">
        <v>0</v>
      </c>
      <c r="X19" s="109">
        <v>0</v>
      </c>
      <c r="Y19" s="109">
        <v>0</v>
      </c>
      <c r="Z19" s="109">
        <v>0</v>
      </c>
      <c r="AA19" s="109">
        <v>0</v>
      </c>
      <c r="AB19" s="109">
        <v>0</v>
      </c>
      <c r="AC19" s="109">
        <v>0</v>
      </c>
      <c r="AD19" s="109">
        <v>0</v>
      </c>
      <c r="AE19" s="109">
        <v>0</v>
      </c>
      <c r="AF19" s="109">
        <v>0</v>
      </c>
      <c r="AG19" s="109">
        <v>0</v>
      </c>
      <c r="AH19" s="109">
        <v>0</v>
      </c>
    </row>
    <row r="20" spans="1:34" customFormat="1" x14ac:dyDescent="0.15">
      <c r="A20" s="185" t="s">
        <v>211</v>
      </c>
      <c r="B20" s="109">
        <v>0</v>
      </c>
      <c r="C20" s="109">
        <v>0</v>
      </c>
      <c r="D20" s="109">
        <v>0</v>
      </c>
      <c r="E20" s="109">
        <v>0</v>
      </c>
      <c r="F20" s="109">
        <v>0</v>
      </c>
      <c r="G20" s="109">
        <v>0</v>
      </c>
      <c r="H20" s="109">
        <v>0</v>
      </c>
      <c r="I20" s="109">
        <v>0</v>
      </c>
      <c r="J20" s="109">
        <v>0.8</v>
      </c>
      <c r="K20" s="109">
        <v>0</v>
      </c>
      <c r="L20" s="109">
        <v>0.8</v>
      </c>
      <c r="M20" s="109">
        <v>0</v>
      </c>
      <c r="N20" s="109">
        <v>0.8</v>
      </c>
      <c r="O20" s="109">
        <v>0</v>
      </c>
      <c r="P20" s="109">
        <v>0</v>
      </c>
      <c r="Q20" s="109">
        <v>0</v>
      </c>
      <c r="R20" s="109">
        <v>0.8</v>
      </c>
      <c r="S20" s="109">
        <v>0.8</v>
      </c>
      <c r="T20" s="109">
        <v>0.8</v>
      </c>
      <c r="U20" s="109">
        <v>0</v>
      </c>
      <c r="V20" s="109">
        <v>0</v>
      </c>
      <c r="W20" s="109">
        <v>0</v>
      </c>
      <c r="X20" s="109">
        <v>0</v>
      </c>
      <c r="Y20" s="109">
        <v>0</v>
      </c>
      <c r="Z20" s="109">
        <v>0</v>
      </c>
      <c r="AA20" s="109">
        <v>0</v>
      </c>
      <c r="AB20" s="109">
        <v>0</v>
      </c>
      <c r="AC20" s="109">
        <v>0</v>
      </c>
      <c r="AD20" s="109">
        <v>0</v>
      </c>
      <c r="AE20" s="109">
        <v>0</v>
      </c>
      <c r="AF20" s="109">
        <v>0</v>
      </c>
      <c r="AG20" s="109">
        <v>0</v>
      </c>
      <c r="AH20" s="109">
        <v>0</v>
      </c>
    </row>
    <row r="21" spans="1:34" customFormat="1" x14ac:dyDescent="0.15">
      <c r="A21" s="185" t="s">
        <v>212</v>
      </c>
      <c r="B21" s="109">
        <v>0</v>
      </c>
      <c r="C21" s="109">
        <v>0</v>
      </c>
      <c r="D21" s="109">
        <v>0</v>
      </c>
      <c r="E21" s="109">
        <v>0</v>
      </c>
      <c r="F21" s="109">
        <v>0</v>
      </c>
      <c r="G21" s="109">
        <v>0</v>
      </c>
      <c r="H21" s="109">
        <v>0</v>
      </c>
      <c r="I21" s="109">
        <v>0</v>
      </c>
      <c r="J21" s="109">
        <v>0.8</v>
      </c>
      <c r="K21" s="109">
        <v>0</v>
      </c>
      <c r="L21" s="109">
        <v>0.8</v>
      </c>
      <c r="M21" s="109">
        <v>0</v>
      </c>
      <c r="N21" s="109">
        <v>0</v>
      </c>
      <c r="O21" s="109">
        <v>0</v>
      </c>
      <c r="P21" s="109">
        <v>0</v>
      </c>
      <c r="Q21" s="109">
        <v>0</v>
      </c>
      <c r="R21" s="109">
        <v>0</v>
      </c>
      <c r="S21" s="109">
        <v>0</v>
      </c>
      <c r="T21" s="109">
        <v>0.8</v>
      </c>
      <c r="U21" s="109">
        <v>0</v>
      </c>
      <c r="V21" s="109">
        <v>0</v>
      </c>
      <c r="W21" s="109">
        <v>0</v>
      </c>
      <c r="X21" s="109">
        <v>0</v>
      </c>
      <c r="Y21" s="109">
        <v>0</v>
      </c>
      <c r="Z21" s="109">
        <v>0</v>
      </c>
      <c r="AA21" s="109">
        <v>0</v>
      </c>
      <c r="AB21" s="109">
        <v>0</v>
      </c>
      <c r="AC21" s="109">
        <v>0</v>
      </c>
      <c r="AD21" s="109">
        <v>0</v>
      </c>
      <c r="AE21" s="109">
        <v>0</v>
      </c>
      <c r="AF21" s="109">
        <v>0</v>
      </c>
      <c r="AG21" s="109">
        <v>0</v>
      </c>
      <c r="AH21" s="109">
        <v>0</v>
      </c>
    </row>
    <row r="22" spans="1:34" customFormat="1" x14ac:dyDescent="0.15">
      <c r="A22" s="185" t="s">
        <v>213</v>
      </c>
      <c r="B22" s="109">
        <v>0</v>
      </c>
      <c r="C22" s="109">
        <v>0</v>
      </c>
      <c r="D22" s="109">
        <v>0</v>
      </c>
      <c r="E22" s="109">
        <v>0</v>
      </c>
      <c r="F22" s="109">
        <v>0</v>
      </c>
      <c r="G22" s="109">
        <v>0</v>
      </c>
      <c r="H22" s="109">
        <v>0</v>
      </c>
      <c r="I22" s="109">
        <v>0</v>
      </c>
      <c r="J22" s="109">
        <v>0.8</v>
      </c>
      <c r="K22" s="109">
        <v>0</v>
      </c>
      <c r="L22" s="109">
        <v>0.8</v>
      </c>
      <c r="M22" s="109">
        <v>0</v>
      </c>
      <c r="N22" s="109">
        <v>0</v>
      </c>
      <c r="O22" s="109">
        <v>0</v>
      </c>
      <c r="P22" s="109">
        <v>0</v>
      </c>
      <c r="Q22" s="109">
        <v>0</v>
      </c>
      <c r="R22" s="109">
        <v>0.8</v>
      </c>
      <c r="S22" s="109">
        <v>0</v>
      </c>
      <c r="T22" s="109">
        <v>0.8</v>
      </c>
      <c r="U22" s="109">
        <v>0</v>
      </c>
      <c r="V22" s="109">
        <v>0</v>
      </c>
      <c r="W22" s="109">
        <v>0</v>
      </c>
      <c r="X22" s="109">
        <v>0</v>
      </c>
      <c r="Y22" s="109">
        <v>0</v>
      </c>
      <c r="Z22" s="109">
        <v>0</v>
      </c>
      <c r="AA22" s="109">
        <v>0</v>
      </c>
      <c r="AB22" s="109">
        <v>0</v>
      </c>
      <c r="AC22" s="109">
        <v>0</v>
      </c>
      <c r="AD22" s="109">
        <v>0</v>
      </c>
      <c r="AE22" s="109">
        <v>0</v>
      </c>
      <c r="AF22" s="109">
        <v>0</v>
      </c>
      <c r="AG22" s="109">
        <v>0</v>
      </c>
      <c r="AH22" s="109">
        <v>0</v>
      </c>
    </row>
    <row r="23" spans="1:34" customFormat="1" x14ac:dyDescent="0.15">
      <c r="A23" s="185" t="s">
        <v>214</v>
      </c>
      <c r="B23" s="109">
        <v>0</v>
      </c>
      <c r="C23" s="109">
        <v>0</v>
      </c>
      <c r="D23" s="109">
        <v>0</v>
      </c>
      <c r="E23" s="109">
        <v>0</v>
      </c>
      <c r="F23" s="109">
        <v>0</v>
      </c>
      <c r="G23" s="109">
        <v>0</v>
      </c>
      <c r="H23" s="109">
        <v>0</v>
      </c>
      <c r="I23" s="109">
        <v>0</v>
      </c>
      <c r="J23" s="109">
        <v>0.8</v>
      </c>
      <c r="K23" s="109">
        <v>0</v>
      </c>
      <c r="L23" s="109">
        <v>0.8</v>
      </c>
      <c r="M23" s="109">
        <v>0</v>
      </c>
      <c r="N23" s="109">
        <v>0</v>
      </c>
      <c r="O23" s="109">
        <v>0</v>
      </c>
      <c r="P23" s="109">
        <v>0</v>
      </c>
      <c r="Q23" s="109">
        <v>0</v>
      </c>
      <c r="R23" s="109">
        <v>0.8</v>
      </c>
      <c r="S23" s="109">
        <v>0</v>
      </c>
      <c r="T23" s="109">
        <v>0.8</v>
      </c>
      <c r="U23" s="109">
        <v>0</v>
      </c>
      <c r="V23" s="109">
        <v>0</v>
      </c>
      <c r="W23" s="109">
        <v>0</v>
      </c>
      <c r="X23" s="109">
        <v>0</v>
      </c>
      <c r="Y23" s="109">
        <v>0</v>
      </c>
      <c r="Z23" s="109">
        <v>0</v>
      </c>
      <c r="AA23" s="109">
        <v>0</v>
      </c>
      <c r="AB23" s="109">
        <v>0</v>
      </c>
      <c r="AC23" s="109">
        <v>0</v>
      </c>
      <c r="AD23" s="109">
        <v>0</v>
      </c>
      <c r="AE23" s="109">
        <v>0</v>
      </c>
      <c r="AF23" s="109">
        <v>0</v>
      </c>
      <c r="AG23" s="109">
        <v>0</v>
      </c>
      <c r="AH23" s="109">
        <v>0</v>
      </c>
    </row>
    <row r="24" spans="1:34" customFormat="1" x14ac:dyDescent="0.15">
      <c r="A24" s="185" t="s">
        <v>215</v>
      </c>
      <c r="B24" s="109">
        <v>0</v>
      </c>
      <c r="C24" s="109">
        <v>0</v>
      </c>
      <c r="D24" s="109">
        <v>0</v>
      </c>
      <c r="E24" s="109">
        <v>0</v>
      </c>
      <c r="F24" s="109">
        <v>0</v>
      </c>
      <c r="G24" s="109">
        <v>0</v>
      </c>
      <c r="H24" s="109">
        <v>0</v>
      </c>
      <c r="I24" s="109">
        <v>0</v>
      </c>
      <c r="J24" s="109">
        <v>0</v>
      </c>
      <c r="K24" s="109">
        <v>0</v>
      </c>
      <c r="L24" s="109">
        <v>0</v>
      </c>
      <c r="M24" s="109">
        <v>0</v>
      </c>
      <c r="N24" s="109">
        <v>0</v>
      </c>
      <c r="O24" s="109">
        <v>0</v>
      </c>
      <c r="P24" s="109">
        <v>0</v>
      </c>
      <c r="Q24" s="109">
        <v>0</v>
      </c>
      <c r="R24" s="109">
        <v>0</v>
      </c>
      <c r="S24" s="109">
        <v>0</v>
      </c>
      <c r="T24" s="109">
        <v>0.8</v>
      </c>
      <c r="U24" s="109">
        <v>0</v>
      </c>
      <c r="V24" s="109">
        <v>0.8</v>
      </c>
      <c r="W24" s="109">
        <v>0</v>
      </c>
      <c r="X24" s="109">
        <v>0</v>
      </c>
      <c r="Y24" s="109">
        <v>0</v>
      </c>
      <c r="Z24" s="109">
        <v>0</v>
      </c>
      <c r="AA24" s="109">
        <v>0</v>
      </c>
      <c r="AB24" s="109">
        <v>0</v>
      </c>
      <c r="AC24" s="109">
        <v>0</v>
      </c>
      <c r="AD24" s="109">
        <v>0</v>
      </c>
      <c r="AE24" s="109">
        <v>0</v>
      </c>
      <c r="AF24" s="109">
        <v>0</v>
      </c>
      <c r="AG24" s="109">
        <v>0</v>
      </c>
      <c r="AH24" s="109">
        <v>0</v>
      </c>
    </row>
    <row r="25" spans="1:34" customFormat="1" x14ac:dyDescent="0.15">
      <c r="A25" s="185" t="s">
        <v>216</v>
      </c>
      <c r="B25" s="109">
        <v>0</v>
      </c>
      <c r="C25" s="109">
        <v>0</v>
      </c>
      <c r="D25" s="109">
        <v>0</v>
      </c>
      <c r="E25" s="109">
        <v>0</v>
      </c>
      <c r="F25" s="109">
        <v>0</v>
      </c>
      <c r="G25" s="109">
        <v>0</v>
      </c>
      <c r="H25" s="109">
        <v>0</v>
      </c>
      <c r="I25" s="109">
        <v>0</v>
      </c>
      <c r="J25" s="109">
        <v>0.8</v>
      </c>
      <c r="K25" s="109">
        <v>0.8</v>
      </c>
      <c r="L25" s="109">
        <v>0</v>
      </c>
      <c r="M25" s="109">
        <v>0</v>
      </c>
      <c r="N25" s="109">
        <v>0.8</v>
      </c>
      <c r="O25" s="109">
        <v>0</v>
      </c>
      <c r="P25" s="109">
        <v>0</v>
      </c>
      <c r="Q25" s="109">
        <v>0</v>
      </c>
      <c r="R25" s="109">
        <v>0.8</v>
      </c>
      <c r="S25" s="109">
        <v>0.8</v>
      </c>
      <c r="T25" s="109">
        <v>0.8</v>
      </c>
      <c r="U25" s="109">
        <v>0</v>
      </c>
      <c r="V25" s="109">
        <v>0</v>
      </c>
      <c r="W25" s="109">
        <v>0</v>
      </c>
      <c r="X25" s="109">
        <v>0</v>
      </c>
      <c r="Y25" s="109">
        <v>0</v>
      </c>
      <c r="Z25" s="109">
        <v>0</v>
      </c>
      <c r="AA25" s="109">
        <v>0</v>
      </c>
      <c r="AB25" s="109">
        <v>0</v>
      </c>
      <c r="AC25" s="109">
        <v>0</v>
      </c>
      <c r="AD25" s="109">
        <v>0</v>
      </c>
      <c r="AE25" s="109">
        <v>0</v>
      </c>
      <c r="AF25" s="109">
        <v>0</v>
      </c>
      <c r="AG25" s="109">
        <v>0</v>
      </c>
      <c r="AH25" s="109">
        <v>0</v>
      </c>
    </row>
    <row r="26" spans="1:34" customFormat="1" x14ac:dyDescent="0.15">
      <c r="A26" s="185" t="s">
        <v>217</v>
      </c>
      <c r="B26" s="109">
        <v>0</v>
      </c>
      <c r="C26" s="109">
        <v>0.8</v>
      </c>
      <c r="D26" s="109">
        <v>0</v>
      </c>
      <c r="E26" s="109">
        <v>0</v>
      </c>
      <c r="F26" s="109">
        <v>0</v>
      </c>
      <c r="G26" s="109">
        <v>0.8</v>
      </c>
      <c r="H26" s="109">
        <v>0</v>
      </c>
      <c r="I26" s="109">
        <v>0</v>
      </c>
      <c r="J26" s="109">
        <v>0</v>
      </c>
      <c r="K26" s="109">
        <v>0.8</v>
      </c>
      <c r="L26" s="109">
        <v>0</v>
      </c>
      <c r="M26" s="109">
        <v>0.8</v>
      </c>
      <c r="N26" s="109">
        <v>0.8</v>
      </c>
      <c r="O26" s="109">
        <v>0</v>
      </c>
      <c r="P26" s="109">
        <v>0</v>
      </c>
      <c r="Q26" s="109">
        <v>0</v>
      </c>
      <c r="R26" s="109">
        <v>0.8</v>
      </c>
      <c r="S26" s="109">
        <v>0.8</v>
      </c>
      <c r="T26" s="109">
        <v>0.8</v>
      </c>
      <c r="U26" s="109">
        <v>0</v>
      </c>
      <c r="V26" s="109">
        <v>0</v>
      </c>
      <c r="W26" s="109">
        <v>0</v>
      </c>
      <c r="X26" s="109">
        <v>0</v>
      </c>
      <c r="Y26" s="109">
        <v>0</v>
      </c>
      <c r="Z26" s="109">
        <v>0</v>
      </c>
      <c r="AA26" s="109">
        <v>0</v>
      </c>
      <c r="AB26" s="109">
        <v>0</v>
      </c>
      <c r="AC26" s="109">
        <v>0</v>
      </c>
      <c r="AD26" s="109">
        <v>0</v>
      </c>
      <c r="AE26" s="109">
        <v>0</v>
      </c>
      <c r="AF26" s="109">
        <v>0</v>
      </c>
      <c r="AG26" s="109">
        <v>0</v>
      </c>
      <c r="AH26" s="109">
        <v>0</v>
      </c>
    </row>
    <row r="27" spans="1:34" customFormat="1" x14ac:dyDescent="0.15">
      <c r="A27" s="185" t="s">
        <v>218</v>
      </c>
      <c r="B27" s="109">
        <v>0</v>
      </c>
      <c r="C27" s="109">
        <v>0</v>
      </c>
      <c r="D27" s="109">
        <v>0</v>
      </c>
      <c r="E27" s="109">
        <v>0</v>
      </c>
      <c r="F27" s="109">
        <v>0</v>
      </c>
      <c r="G27" s="109">
        <v>0</v>
      </c>
      <c r="H27" s="109">
        <v>0</v>
      </c>
      <c r="I27" s="109">
        <v>0</v>
      </c>
      <c r="J27" s="109">
        <v>0</v>
      </c>
      <c r="K27" s="109">
        <v>0.8</v>
      </c>
      <c r="L27" s="109">
        <v>0</v>
      </c>
      <c r="M27" s="109">
        <v>0.8</v>
      </c>
      <c r="N27" s="109">
        <v>0.8</v>
      </c>
      <c r="O27" s="109">
        <v>0.8</v>
      </c>
      <c r="P27" s="109">
        <v>0.8</v>
      </c>
      <c r="Q27" s="109">
        <v>0.8</v>
      </c>
      <c r="R27" s="109">
        <v>0</v>
      </c>
      <c r="S27" s="109">
        <v>0.8</v>
      </c>
      <c r="T27" s="109">
        <v>0.8</v>
      </c>
      <c r="U27" s="109">
        <v>0</v>
      </c>
      <c r="V27" s="109">
        <v>0</v>
      </c>
      <c r="W27" s="109">
        <v>0</v>
      </c>
      <c r="X27" s="109">
        <v>0</v>
      </c>
      <c r="Y27" s="109">
        <v>0.8</v>
      </c>
      <c r="Z27" s="109">
        <v>0.8</v>
      </c>
      <c r="AA27" s="109">
        <v>0.8</v>
      </c>
      <c r="AB27" s="109">
        <v>0</v>
      </c>
      <c r="AC27" s="109">
        <v>0</v>
      </c>
      <c r="AD27" s="109">
        <v>0</v>
      </c>
      <c r="AE27" s="109">
        <v>0</v>
      </c>
      <c r="AF27" s="109">
        <v>0</v>
      </c>
      <c r="AG27" s="109">
        <v>0</v>
      </c>
      <c r="AH27" s="109">
        <v>0</v>
      </c>
    </row>
    <row r="28" spans="1:34" customFormat="1" x14ac:dyDescent="0.15">
      <c r="A28" s="185" t="s">
        <v>219</v>
      </c>
      <c r="B28" s="109">
        <v>0</v>
      </c>
      <c r="C28" s="109">
        <v>0</v>
      </c>
      <c r="D28" s="109">
        <v>0</v>
      </c>
      <c r="E28" s="109">
        <v>0</v>
      </c>
      <c r="F28" s="109">
        <v>0</v>
      </c>
      <c r="G28" s="109">
        <v>0</v>
      </c>
      <c r="H28" s="109">
        <v>0</v>
      </c>
      <c r="I28" s="109">
        <v>0</v>
      </c>
      <c r="J28" s="109">
        <v>0</v>
      </c>
      <c r="K28" s="109">
        <v>0</v>
      </c>
      <c r="L28" s="109">
        <v>0</v>
      </c>
      <c r="M28" s="109">
        <v>0.8</v>
      </c>
      <c r="N28" s="109">
        <v>0.8</v>
      </c>
      <c r="O28" s="109">
        <v>0</v>
      </c>
      <c r="P28" s="109">
        <v>0.8</v>
      </c>
      <c r="Q28" s="109">
        <v>0</v>
      </c>
      <c r="R28" s="109">
        <v>0</v>
      </c>
      <c r="S28" s="109">
        <v>0</v>
      </c>
      <c r="T28" s="109">
        <v>0</v>
      </c>
      <c r="U28" s="109">
        <v>0</v>
      </c>
      <c r="V28" s="109">
        <v>0</v>
      </c>
      <c r="W28" s="109">
        <v>0</v>
      </c>
      <c r="X28" s="109">
        <v>0</v>
      </c>
      <c r="Y28" s="109">
        <v>0.8</v>
      </c>
      <c r="Z28" s="109">
        <v>0.8</v>
      </c>
      <c r="AA28" s="109">
        <v>0.8</v>
      </c>
      <c r="AB28" s="109">
        <v>0.8</v>
      </c>
      <c r="AC28" s="109">
        <v>0</v>
      </c>
      <c r="AD28" s="109">
        <v>0</v>
      </c>
      <c r="AE28" s="109">
        <v>0</v>
      </c>
      <c r="AF28" s="109">
        <v>0</v>
      </c>
      <c r="AG28" s="109">
        <v>0</v>
      </c>
      <c r="AH28" s="109">
        <v>0</v>
      </c>
    </row>
    <row r="29" spans="1:34" customFormat="1" x14ac:dyDescent="0.15">
      <c r="A29" s="185" t="s">
        <v>220</v>
      </c>
      <c r="B29" s="109">
        <v>0</v>
      </c>
      <c r="C29" s="109">
        <v>0</v>
      </c>
      <c r="D29" s="109">
        <v>0</v>
      </c>
      <c r="E29" s="109">
        <v>0</v>
      </c>
      <c r="F29" s="109">
        <v>0</v>
      </c>
      <c r="G29" s="109">
        <v>0</v>
      </c>
      <c r="H29" s="109">
        <v>0</v>
      </c>
      <c r="I29" s="109">
        <v>0</v>
      </c>
      <c r="J29" s="109">
        <v>0</v>
      </c>
      <c r="K29" s="109">
        <v>0</v>
      </c>
      <c r="L29" s="109">
        <v>0</v>
      </c>
      <c r="M29" s="109">
        <v>0</v>
      </c>
      <c r="N29" s="109">
        <v>0</v>
      </c>
      <c r="O29" s="109">
        <v>0</v>
      </c>
      <c r="P29" s="109">
        <v>0</v>
      </c>
      <c r="Q29" s="109">
        <v>0</v>
      </c>
      <c r="R29" s="109">
        <v>0</v>
      </c>
      <c r="S29" s="109">
        <v>0</v>
      </c>
      <c r="T29" s="109">
        <v>0</v>
      </c>
      <c r="U29" s="109">
        <v>0</v>
      </c>
      <c r="V29" s="109">
        <v>0</v>
      </c>
      <c r="W29" s="109">
        <v>0</v>
      </c>
      <c r="X29" s="109">
        <v>0</v>
      </c>
      <c r="Y29" s="109">
        <v>0</v>
      </c>
      <c r="Z29" s="109">
        <v>0</v>
      </c>
      <c r="AA29" s="109">
        <v>0</v>
      </c>
      <c r="AB29" s="109">
        <v>0.8</v>
      </c>
      <c r="AC29" s="109">
        <v>0</v>
      </c>
      <c r="AD29" s="109">
        <v>0</v>
      </c>
      <c r="AE29" s="109">
        <v>0</v>
      </c>
      <c r="AF29" s="109">
        <v>0</v>
      </c>
      <c r="AG29" s="109">
        <v>0</v>
      </c>
      <c r="AH29" s="109">
        <v>0</v>
      </c>
    </row>
    <row r="30" spans="1:34" customFormat="1" x14ac:dyDescent="0.15">
      <c r="A30" s="185" t="s">
        <v>221</v>
      </c>
      <c r="B30" s="109">
        <v>0</v>
      </c>
      <c r="C30" s="109">
        <v>0</v>
      </c>
      <c r="D30" s="109">
        <v>0</v>
      </c>
      <c r="E30" s="109">
        <v>0</v>
      </c>
      <c r="F30" s="109">
        <v>0</v>
      </c>
      <c r="G30" s="109">
        <v>0</v>
      </c>
      <c r="H30" s="109">
        <v>0</v>
      </c>
      <c r="I30" s="109">
        <v>0</v>
      </c>
      <c r="J30" s="109">
        <v>0</v>
      </c>
      <c r="K30" s="109">
        <v>0</v>
      </c>
      <c r="L30" s="109">
        <v>0</v>
      </c>
      <c r="M30" s="109">
        <v>0</v>
      </c>
      <c r="N30" s="109">
        <v>0</v>
      </c>
      <c r="O30" s="109">
        <v>0</v>
      </c>
      <c r="P30" s="109">
        <v>0.8</v>
      </c>
      <c r="Q30" s="109">
        <v>0</v>
      </c>
      <c r="R30" s="109">
        <v>0</v>
      </c>
      <c r="S30" s="109">
        <v>0</v>
      </c>
      <c r="T30" s="109">
        <v>0</v>
      </c>
      <c r="U30" s="109">
        <v>0</v>
      </c>
      <c r="V30" s="109">
        <v>0</v>
      </c>
      <c r="W30" s="109">
        <v>0.8</v>
      </c>
      <c r="X30" s="109">
        <v>0.8</v>
      </c>
      <c r="Y30" s="109">
        <v>0.8</v>
      </c>
      <c r="Z30" s="109">
        <v>0.8</v>
      </c>
      <c r="AA30" s="109">
        <v>0.8</v>
      </c>
      <c r="AB30" s="109">
        <v>0.8</v>
      </c>
      <c r="AC30" s="109">
        <v>0</v>
      </c>
      <c r="AD30" s="109">
        <v>0</v>
      </c>
      <c r="AE30" s="109">
        <v>0</v>
      </c>
      <c r="AF30" s="109">
        <v>0</v>
      </c>
      <c r="AG30" s="109">
        <v>0</v>
      </c>
      <c r="AH30" s="109">
        <v>0</v>
      </c>
    </row>
    <row r="31" spans="1:34" customFormat="1" x14ac:dyDescent="0.15">
      <c r="A31" s="185" t="s">
        <v>222</v>
      </c>
      <c r="B31" s="109">
        <v>0</v>
      </c>
      <c r="C31" s="109">
        <v>0</v>
      </c>
      <c r="D31" s="109">
        <v>0</v>
      </c>
      <c r="E31" s="109">
        <v>0</v>
      </c>
      <c r="F31" s="109">
        <v>0</v>
      </c>
      <c r="G31" s="109">
        <v>0</v>
      </c>
      <c r="H31" s="109">
        <v>0</v>
      </c>
      <c r="I31" s="109">
        <v>0</v>
      </c>
      <c r="J31" s="109">
        <v>0</v>
      </c>
      <c r="K31" s="109">
        <v>0</v>
      </c>
      <c r="L31" s="109">
        <v>0</v>
      </c>
      <c r="M31" s="109">
        <v>0</v>
      </c>
      <c r="N31" s="109">
        <v>0</v>
      </c>
      <c r="O31" s="109">
        <v>0</v>
      </c>
      <c r="P31" s="109">
        <v>0</v>
      </c>
      <c r="Q31" s="109">
        <v>0</v>
      </c>
      <c r="R31" s="109">
        <v>0</v>
      </c>
      <c r="S31" s="109">
        <v>0</v>
      </c>
      <c r="T31" s="109">
        <v>0</v>
      </c>
      <c r="U31" s="109">
        <v>0</v>
      </c>
      <c r="V31" s="109">
        <v>0</v>
      </c>
      <c r="W31" s="109">
        <v>0</v>
      </c>
      <c r="X31" s="109">
        <v>0</v>
      </c>
      <c r="Y31" s="109">
        <v>0</v>
      </c>
      <c r="Z31" s="109">
        <v>0</v>
      </c>
      <c r="AA31" s="109">
        <v>0</v>
      </c>
      <c r="AB31" s="109">
        <v>0.8</v>
      </c>
      <c r="AC31" s="109">
        <v>0</v>
      </c>
      <c r="AD31" s="109">
        <v>0</v>
      </c>
      <c r="AE31" s="109">
        <v>0</v>
      </c>
      <c r="AF31" s="109">
        <v>0</v>
      </c>
      <c r="AG31" s="109">
        <v>0</v>
      </c>
      <c r="AH31" s="109">
        <v>0</v>
      </c>
    </row>
    <row r="32" spans="1:34" customFormat="1" x14ac:dyDescent="0.15">
      <c r="A32" s="185" t="s">
        <v>223</v>
      </c>
      <c r="B32" s="109">
        <v>0.8</v>
      </c>
      <c r="C32" s="109">
        <v>0.8</v>
      </c>
      <c r="D32" s="109">
        <v>0</v>
      </c>
      <c r="E32" s="109">
        <v>0</v>
      </c>
      <c r="F32" s="109">
        <v>0</v>
      </c>
      <c r="G32" s="109">
        <v>0</v>
      </c>
      <c r="H32" s="109">
        <v>0</v>
      </c>
      <c r="I32" s="109">
        <v>0</v>
      </c>
      <c r="J32" s="109">
        <v>0.8</v>
      </c>
      <c r="K32" s="109">
        <v>0</v>
      </c>
      <c r="L32" s="109">
        <v>0.8</v>
      </c>
      <c r="M32" s="109">
        <v>0</v>
      </c>
      <c r="N32" s="109">
        <v>0</v>
      </c>
      <c r="O32" s="109">
        <v>0</v>
      </c>
      <c r="P32" s="109">
        <v>0</v>
      </c>
      <c r="Q32" s="109">
        <v>0</v>
      </c>
      <c r="R32" s="109">
        <v>0</v>
      </c>
      <c r="S32" s="109">
        <v>0</v>
      </c>
      <c r="T32" s="109">
        <v>0.8</v>
      </c>
      <c r="U32" s="109">
        <v>0.8</v>
      </c>
      <c r="V32" s="109">
        <v>0</v>
      </c>
      <c r="W32" s="109">
        <v>0</v>
      </c>
      <c r="X32" s="109">
        <v>0</v>
      </c>
      <c r="Y32" s="109">
        <v>0</v>
      </c>
      <c r="Z32" s="109">
        <v>0</v>
      </c>
      <c r="AA32" s="109">
        <v>0</v>
      </c>
      <c r="AB32" s="109">
        <v>0</v>
      </c>
      <c r="AC32" s="109">
        <v>0</v>
      </c>
      <c r="AD32" s="109">
        <v>0</v>
      </c>
      <c r="AE32" s="109">
        <v>0</v>
      </c>
      <c r="AF32" s="109">
        <v>0</v>
      </c>
      <c r="AG32" s="109">
        <v>0</v>
      </c>
      <c r="AH32" s="109">
        <v>0</v>
      </c>
    </row>
    <row r="33" spans="1:34" x14ac:dyDescent="0.15">
      <c r="A33" s="185" t="s">
        <v>224</v>
      </c>
      <c r="B33" s="109">
        <v>0</v>
      </c>
      <c r="C33" s="109">
        <v>0</v>
      </c>
      <c r="D33" s="109">
        <v>0</v>
      </c>
      <c r="E33" s="109">
        <v>0</v>
      </c>
      <c r="F33" s="109">
        <v>0</v>
      </c>
      <c r="G33" s="109">
        <v>0</v>
      </c>
      <c r="H33" s="109">
        <v>0</v>
      </c>
      <c r="I33" s="109">
        <v>0</v>
      </c>
      <c r="J33" s="109">
        <v>0</v>
      </c>
      <c r="K33" s="109">
        <v>0</v>
      </c>
      <c r="L33" s="109">
        <v>0</v>
      </c>
      <c r="M33" s="109">
        <v>0</v>
      </c>
      <c r="N33" s="109">
        <v>0</v>
      </c>
      <c r="O33" s="109">
        <v>0</v>
      </c>
      <c r="P33" s="109">
        <v>0</v>
      </c>
      <c r="Q33" s="109">
        <v>0</v>
      </c>
      <c r="R33" s="109">
        <v>0</v>
      </c>
      <c r="S33" s="109">
        <v>0</v>
      </c>
      <c r="T33" s="109">
        <v>0.8</v>
      </c>
      <c r="U33" s="109">
        <v>0.8</v>
      </c>
      <c r="V33" s="109">
        <v>0.8</v>
      </c>
      <c r="W33" s="109">
        <v>0.8</v>
      </c>
      <c r="X33" s="109">
        <v>0.8</v>
      </c>
      <c r="Y33" s="109">
        <v>0</v>
      </c>
      <c r="Z33" s="109">
        <v>0</v>
      </c>
      <c r="AA33" s="109">
        <v>0.8</v>
      </c>
      <c r="AB33" s="109">
        <v>0.8</v>
      </c>
      <c r="AC33" s="109">
        <v>0.8</v>
      </c>
      <c r="AD33" s="109">
        <v>0</v>
      </c>
      <c r="AE33" s="109">
        <v>0</v>
      </c>
      <c r="AF33" s="109">
        <v>0</v>
      </c>
      <c r="AG33" s="109">
        <v>0</v>
      </c>
      <c r="AH33" s="109">
        <v>0</v>
      </c>
    </row>
    <row r="34" spans="1:34" x14ac:dyDescent="0.15">
      <c r="A34" s="185" t="s">
        <v>225</v>
      </c>
      <c r="B34" s="109">
        <v>0</v>
      </c>
      <c r="C34" s="109">
        <v>0</v>
      </c>
      <c r="D34" s="109">
        <v>0</v>
      </c>
      <c r="E34" s="109">
        <v>0</v>
      </c>
      <c r="F34" s="109">
        <v>0</v>
      </c>
      <c r="G34" s="109">
        <v>0</v>
      </c>
      <c r="H34" s="109">
        <v>0</v>
      </c>
      <c r="I34" s="109">
        <v>0</v>
      </c>
      <c r="J34" s="109">
        <v>0</v>
      </c>
      <c r="K34" s="109">
        <v>0</v>
      </c>
      <c r="L34" s="109">
        <v>0</v>
      </c>
      <c r="M34" s="109">
        <v>0</v>
      </c>
      <c r="N34" s="109">
        <v>0</v>
      </c>
      <c r="O34" s="109">
        <v>0</v>
      </c>
      <c r="P34" s="109">
        <v>0</v>
      </c>
      <c r="Q34" s="109">
        <v>0</v>
      </c>
      <c r="R34" s="109">
        <v>0</v>
      </c>
      <c r="S34" s="109">
        <v>0</v>
      </c>
      <c r="T34" s="109">
        <v>0</v>
      </c>
      <c r="U34" s="109">
        <v>0</v>
      </c>
      <c r="V34" s="109">
        <v>0</v>
      </c>
      <c r="W34" s="109">
        <v>0</v>
      </c>
      <c r="X34" s="109">
        <v>0</v>
      </c>
      <c r="Y34" s="109">
        <v>0</v>
      </c>
      <c r="Z34" s="109">
        <v>0</v>
      </c>
      <c r="AA34" s="109">
        <v>0</v>
      </c>
      <c r="AB34" s="109">
        <v>0</v>
      </c>
      <c r="AC34" s="109">
        <v>0</v>
      </c>
      <c r="AD34" s="109">
        <v>0</v>
      </c>
      <c r="AE34" s="109">
        <v>0</v>
      </c>
      <c r="AF34" s="109">
        <v>0</v>
      </c>
      <c r="AG34" s="109">
        <v>0</v>
      </c>
      <c r="AH34" s="109">
        <v>0</v>
      </c>
    </row>
    <row r="35" spans="1:34" x14ac:dyDescent="0.15">
      <c r="A35" s="185" t="s">
        <v>227</v>
      </c>
      <c r="B35" s="109">
        <v>0</v>
      </c>
      <c r="C35" s="109">
        <v>0</v>
      </c>
      <c r="D35" s="109">
        <v>0.8</v>
      </c>
      <c r="E35" s="109">
        <v>0</v>
      </c>
      <c r="F35" s="109">
        <v>0</v>
      </c>
      <c r="G35" s="109">
        <v>0.8</v>
      </c>
      <c r="H35" s="109">
        <v>0.8</v>
      </c>
      <c r="I35" s="109">
        <v>0</v>
      </c>
      <c r="J35" s="109">
        <v>0</v>
      </c>
      <c r="K35" s="109">
        <v>0</v>
      </c>
      <c r="L35" s="109">
        <v>0</v>
      </c>
      <c r="M35" s="109">
        <v>0</v>
      </c>
      <c r="N35" s="109">
        <v>0</v>
      </c>
      <c r="O35" s="109">
        <v>0</v>
      </c>
      <c r="P35" s="109">
        <v>0</v>
      </c>
      <c r="Q35" s="109">
        <v>0</v>
      </c>
      <c r="R35" s="109">
        <v>0</v>
      </c>
      <c r="S35" s="109">
        <v>0</v>
      </c>
      <c r="T35" s="109">
        <v>0</v>
      </c>
      <c r="U35" s="109">
        <v>0</v>
      </c>
      <c r="V35" s="109">
        <v>0</v>
      </c>
      <c r="W35" s="109">
        <v>0</v>
      </c>
      <c r="X35" s="109">
        <v>0</v>
      </c>
      <c r="Y35" s="109">
        <v>0</v>
      </c>
      <c r="Z35" s="109">
        <v>0</v>
      </c>
      <c r="AA35" s="109">
        <v>0</v>
      </c>
      <c r="AB35" s="109">
        <v>0</v>
      </c>
      <c r="AC35" s="109">
        <v>0</v>
      </c>
      <c r="AD35" s="109">
        <v>0</v>
      </c>
      <c r="AE35" s="109">
        <v>0</v>
      </c>
      <c r="AF35" s="109">
        <v>0</v>
      </c>
      <c r="AG35" s="109">
        <v>0</v>
      </c>
      <c r="AH35" s="10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H35"/>
  <sheetViews>
    <sheetView workbookViewId="0">
      <selection activeCell="A3" sqref="A3"/>
    </sheetView>
  </sheetViews>
  <sheetFormatPr baseColWidth="10" defaultRowHeight="13" x14ac:dyDescent="0.15"/>
  <cols>
    <col min="1" max="1" width="37" style="109" bestFit="1" customWidth="1"/>
    <col min="2" max="34" width="2.33203125" style="109" customWidth="1"/>
    <col min="35" max="16384" width="10.83203125" style="109"/>
  </cols>
  <sheetData>
    <row r="1" spans="1:34" x14ac:dyDescent="0.15">
      <c r="A1" s="61" t="s">
        <v>139</v>
      </c>
      <c r="B1" s="188" t="s">
        <v>193</v>
      </c>
      <c r="C1" s="188" t="s">
        <v>194</v>
      </c>
      <c r="D1" s="188" t="s">
        <v>195</v>
      </c>
      <c r="E1" s="188" t="s">
        <v>196</v>
      </c>
      <c r="F1" s="188" t="s">
        <v>197</v>
      </c>
      <c r="G1" s="188" t="s">
        <v>198</v>
      </c>
      <c r="H1" s="188" t="s">
        <v>199</v>
      </c>
      <c r="I1" s="188" t="s">
        <v>200</v>
      </c>
      <c r="J1" s="188" t="s">
        <v>201</v>
      </c>
      <c r="K1" s="188" t="s">
        <v>202</v>
      </c>
      <c r="L1" s="188" t="s">
        <v>203</v>
      </c>
      <c r="M1" s="188" t="s">
        <v>204</v>
      </c>
      <c r="N1" s="188" t="s">
        <v>205</v>
      </c>
      <c r="O1" s="188" t="s">
        <v>206</v>
      </c>
      <c r="P1" s="188" t="s">
        <v>207</v>
      </c>
      <c r="Q1" s="188" t="s">
        <v>208</v>
      </c>
      <c r="R1" s="188" t="s">
        <v>209</v>
      </c>
      <c r="S1" s="188" t="s">
        <v>210</v>
      </c>
      <c r="T1" s="188" t="s">
        <v>211</v>
      </c>
      <c r="U1" s="188" t="s">
        <v>212</v>
      </c>
      <c r="V1" s="188" t="s">
        <v>213</v>
      </c>
      <c r="W1" s="188" t="s">
        <v>214</v>
      </c>
      <c r="X1" s="188" t="s">
        <v>215</v>
      </c>
      <c r="Y1" s="188" t="s">
        <v>216</v>
      </c>
      <c r="Z1" s="188" t="s">
        <v>217</v>
      </c>
      <c r="AA1" s="188" t="s">
        <v>218</v>
      </c>
      <c r="AB1" s="188" t="s">
        <v>219</v>
      </c>
      <c r="AC1" s="188" t="s">
        <v>220</v>
      </c>
      <c r="AD1" s="188" t="s">
        <v>221</v>
      </c>
      <c r="AE1" s="188" t="s">
        <v>222</v>
      </c>
      <c r="AF1" s="188" t="s">
        <v>223</v>
      </c>
      <c r="AG1" s="188" t="s">
        <v>224</v>
      </c>
      <c r="AH1" s="188" t="s">
        <v>225</v>
      </c>
    </row>
    <row r="2" spans="1:34" customFormat="1" x14ac:dyDescent="0.15">
      <c r="A2" s="187" t="s">
        <v>193</v>
      </c>
      <c r="B2" s="109">
        <v>0</v>
      </c>
      <c r="C2" s="109">
        <v>0</v>
      </c>
      <c r="D2" s="109">
        <v>0</v>
      </c>
      <c r="E2" s="109">
        <v>0</v>
      </c>
      <c r="F2" s="109">
        <v>0</v>
      </c>
      <c r="G2" s="109">
        <v>0</v>
      </c>
      <c r="H2" s="109">
        <v>0</v>
      </c>
      <c r="I2" s="109">
        <v>0</v>
      </c>
      <c r="J2" s="109">
        <v>0</v>
      </c>
      <c r="K2" s="109">
        <v>0</v>
      </c>
      <c r="L2" s="109">
        <v>0</v>
      </c>
      <c r="M2" s="109">
        <v>0</v>
      </c>
      <c r="N2" s="109">
        <v>0</v>
      </c>
      <c r="O2" s="109">
        <v>0</v>
      </c>
      <c r="P2" s="109">
        <v>0</v>
      </c>
      <c r="Q2" s="109">
        <v>0</v>
      </c>
      <c r="R2" s="109">
        <v>0</v>
      </c>
      <c r="S2" s="109">
        <v>0</v>
      </c>
      <c r="T2" s="109">
        <v>0</v>
      </c>
      <c r="U2" s="109">
        <v>0</v>
      </c>
      <c r="V2" s="109">
        <v>0</v>
      </c>
      <c r="W2" s="109">
        <v>0</v>
      </c>
      <c r="X2" s="109">
        <v>0</v>
      </c>
      <c r="Y2" s="109">
        <v>0</v>
      </c>
      <c r="Z2" s="109">
        <v>0</v>
      </c>
      <c r="AA2" s="109">
        <v>0</v>
      </c>
      <c r="AB2" s="109">
        <v>0</v>
      </c>
      <c r="AC2" s="109">
        <v>0</v>
      </c>
      <c r="AD2" s="109">
        <v>0</v>
      </c>
      <c r="AE2" s="109">
        <v>0</v>
      </c>
      <c r="AF2" s="109">
        <v>0</v>
      </c>
      <c r="AG2" s="109">
        <v>0</v>
      </c>
      <c r="AH2" s="109">
        <v>0</v>
      </c>
    </row>
    <row r="3" spans="1:34" customFormat="1" x14ac:dyDescent="0.15">
      <c r="A3" s="187" t="s">
        <v>194</v>
      </c>
      <c r="B3" s="109">
        <v>0</v>
      </c>
      <c r="C3" s="109">
        <v>0</v>
      </c>
      <c r="D3" s="109">
        <v>0</v>
      </c>
      <c r="E3" s="109">
        <v>0</v>
      </c>
      <c r="F3" s="109">
        <v>0</v>
      </c>
      <c r="G3" s="109">
        <v>0</v>
      </c>
      <c r="H3" s="109">
        <v>0</v>
      </c>
      <c r="I3" s="109">
        <v>0</v>
      </c>
      <c r="J3" s="109">
        <v>0</v>
      </c>
      <c r="K3" s="109">
        <v>0</v>
      </c>
      <c r="L3" s="109">
        <v>0</v>
      </c>
      <c r="M3" s="109">
        <v>0</v>
      </c>
      <c r="N3" s="109">
        <v>0</v>
      </c>
      <c r="O3" s="109">
        <v>0</v>
      </c>
      <c r="P3" s="109">
        <v>0</v>
      </c>
      <c r="Q3" s="109">
        <v>0</v>
      </c>
      <c r="R3" s="109">
        <v>0</v>
      </c>
      <c r="S3" s="109">
        <v>0</v>
      </c>
      <c r="T3" s="109">
        <v>0</v>
      </c>
      <c r="U3" s="109">
        <v>0</v>
      </c>
      <c r="V3" s="109">
        <v>0</v>
      </c>
      <c r="W3" s="109">
        <v>0</v>
      </c>
      <c r="X3" s="109">
        <v>0</v>
      </c>
      <c r="Y3" s="109">
        <v>0</v>
      </c>
      <c r="Z3" s="109">
        <v>0</v>
      </c>
      <c r="AA3" s="109">
        <v>0</v>
      </c>
      <c r="AB3" s="109">
        <v>0</v>
      </c>
      <c r="AC3" s="109">
        <v>0</v>
      </c>
      <c r="AD3" s="109">
        <v>0</v>
      </c>
      <c r="AE3" s="109">
        <v>0</v>
      </c>
      <c r="AF3" s="109">
        <v>0</v>
      </c>
      <c r="AG3" s="109">
        <v>0</v>
      </c>
      <c r="AH3" s="109">
        <v>0</v>
      </c>
    </row>
    <row r="4" spans="1:34" customFormat="1" x14ac:dyDescent="0.15">
      <c r="A4" s="187" t="s">
        <v>195</v>
      </c>
      <c r="B4" s="109">
        <v>0</v>
      </c>
      <c r="C4" s="109">
        <v>0</v>
      </c>
      <c r="D4" s="109">
        <v>0</v>
      </c>
      <c r="E4" s="109">
        <v>0</v>
      </c>
      <c r="F4" s="109">
        <v>0</v>
      </c>
      <c r="G4" s="109">
        <v>0</v>
      </c>
      <c r="H4" s="109">
        <v>0</v>
      </c>
      <c r="I4" s="109">
        <v>0</v>
      </c>
      <c r="J4" s="109">
        <v>0</v>
      </c>
      <c r="K4" s="109">
        <v>0</v>
      </c>
      <c r="L4" s="109">
        <v>0</v>
      </c>
      <c r="M4" s="109">
        <v>0</v>
      </c>
      <c r="N4" s="109">
        <v>0</v>
      </c>
      <c r="O4" s="109">
        <v>0</v>
      </c>
      <c r="P4" s="109">
        <v>0</v>
      </c>
      <c r="Q4" s="109">
        <v>0</v>
      </c>
      <c r="R4" s="109">
        <v>0</v>
      </c>
      <c r="S4" s="109">
        <v>0</v>
      </c>
      <c r="T4" s="109">
        <v>0</v>
      </c>
      <c r="U4" s="109">
        <v>0</v>
      </c>
      <c r="V4" s="109">
        <v>0</v>
      </c>
      <c r="W4" s="109">
        <v>0</v>
      </c>
      <c r="X4" s="109">
        <v>0</v>
      </c>
      <c r="Y4" s="109">
        <v>0</v>
      </c>
      <c r="Z4" s="109">
        <v>0</v>
      </c>
      <c r="AA4" s="109">
        <v>0</v>
      </c>
      <c r="AB4" s="109">
        <v>0</v>
      </c>
      <c r="AC4" s="109">
        <v>0</v>
      </c>
      <c r="AD4" s="109">
        <v>0</v>
      </c>
      <c r="AE4" s="109">
        <v>0</v>
      </c>
      <c r="AF4" s="109">
        <v>0</v>
      </c>
      <c r="AG4" s="109">
        <v>0</v>
      </c>
      <c r="AH4" s="109">
        <v>0</v>
      </c>
    </row>
    <row r="5" spans="1:34" customFormat="1" x14ac:dyDescent="0.15">
      <c r="A5" s="187" t="s">
        <v>196</v>
      </c>
      <c r="B5" s="109">
        <v>0</v>
      </c>
      <c r="C5" s="109">
        <v>0</v>
      </c>
      <c r="D5" s="109">
        <v>0</v>
      </c>
      <c r="E5" s="109">
        <v>0</v>
      </c>
      <c r="F5" s="109">
        <v>0</v>
      </c>
      <c r="G5" s="109">
        <v>0</v>
      </c>
      <c r="H5" s="109">
        <v>0</v>
      </c>
      <c r="I5" s="109">
        <v>0</v>
      </c>
      <c r="J5" s="109">
        <v>0</v>
      </c>
      <c r="K5" s="109">
        <v>0</v>
      </c>
      <c r="L5" s="109">
        <v>0</v>
      </c>
      <c r="M5" s="109">
        <v>0</v>
      </c>
      <c r="N5" s="109">
        <v>0</v>
      </c>
      <c r="O5" s="109">
        <v>0</v>
      </c>
      <c r="P5" s="109">
        <v>0</v>
      </c>
      <c r="Q5" s="109">
        <v>0</v>
      </c>
      <c r="R5" s="109">
        <v>0</v>
      </c>
      <c r="S5" s="109">
        <v>0</v>
      </c>
      <c r="T5" s="109">
        <v>0</v>
      </c>
      <c r="U5" s="109">
        <v>0</v>
      </c>
      <c r="V5" s="109">
        <v>0</v>
      </c>
      <c r="W5" s="109">
        <v>0</v>
      </c>
      <c r="X5" s="109">
        <v>0</v>
      </c>
      <c r="Y5" s="109">
        <v>0</v>
      </c>
      <c r="Z5" s="109">
        <v>0</v>
      </c>
      <c r="AA5" s="109">
        <v>0</v>
      </c>
      <c r="AB5" s="109">
        <v>0</v>
      </c>
      <c r="AC5" s="109">
        <v>0</v>
      </c>
      <c r="AD5" s="109">
        <v>0</v>
      </c>
      <c r="AE5" s="109">
        <v>0</v>
      </c>
      <c r="AF5" s="109">
        <v>0</v>
      </c>
      <c r="AG5" s="109">
        <v>0</v>
      </c>
      <c r="AH5" s="109">
        <v>0</v>
      </c>
    </row>
    <row r="6" spans="1:34" customFormat="1" x14ac:dyDescent="0.15">
      <c r="A6" s="187" t="s">
        <v>197</v>
      </c>
      <c r="B6" s="109">
        <v>0</v>
      </c>
      <c r="C6" s="109">
        <v>0</v>
      </c>
      <c r="D6" s="109">
        <v>0</v>
      </c>
      <c r="E6" s="109">
        <v>0</v>
      </c>
      <c r="F6" s="109">
        <v>0</v>
      </c>
      <c r="G6" s="109">
        <v>0</v>
      </c>
      <c r="H6" s="109">
        <v>0</v>
      </c>
      <c r="I6" s="109">
        <v>0</v>
      </c>
      <c r="J6" s="109">
        <v>0</v>
      </c>
      <c r="K6" s="109">
        <v>0</v>
      </c>
      <c r="L6" s="109">
        <v>0</v>
      </c>
      <c r="M6" s="109">
        <v>0</v>
      </c>
      <c r="N6" s="109">
        <v>0</v>
      </c>
      <c r="O6" s="109">
        <v>0</v>
      </c>
      <c r="P6" s="109">
        <v>0</v>
      </c>
      <c r="Q6" s="109">
        <v>0</v>
      </c>
      <c r="R6" s="109">
        <v>0</v>
      </c>
      <c r="S6" s="109">
        <v>0</v>
      </c>
      <c r="T6" s="109">
        <v>0</v>
      </c>
      <c r="U6" s="109">
        <v>0</v>
      </c>
      <c r="V6" s="109">
        <v>0</v>
      </c>
      <c r="W6" s="109">
        <v>0</v>
      </c>
      <c r="X6" s="109">
        <v>0</v>
      </c>
      <c r="Y6" s="109">
        <v>0</v>
      </c>
      <c r="Z6" s="109">
        <v>0</v>
      </c>
      <c r="AA6" s="109">
        <v>0</v>
      </c>
      <c r="AB6" s="109">
        <v>0</v>
      </c>
      <c r="AC6" s="109">
        <v>0</v>
      </c>
      <c r="AD6" s="109">
        <v>0</v>
      </c>
      <c r="AE6" s="109">
        <v>0</v>
      </c>
      <c r="AF6" s="109">
        <v>0</v>
      </c>
      <c r="AG6" s="109">
        <v>0</v>
      </c>
      <c r="AH6" s="109">
        <v>0</v>
      </c>
    </row>
    <row r="7" spans="1:34" customFormat="1" x14ac:dyDescent="0.15">
      <c r="A7" s="187" t="s">
        <v>198</v>
      </c>
      <c r="B7" s="109">
        <v>0</v>
      </c>
      <c r="C7" s="109">
        <v>0</v>
      </c>
      <c r="D7" s="109">
        <v>0</v>
      </c>
      <c r="E7" s="109">
        <v>0</v>
      </c>
      <c r="F7" s="109">
        <v>0</v>
      </c>
      <c r="G7" s="109">
        <v>0</v>
      </c>
      <c r="H7" s="109">
        <v>0</v>
      </c>
      <c r="I7" s="109">
        <v>0</v>
      </c>
      <c r="J7" s="109">
        <v>0</v>
      </c>
      <c r="K7" s="109">
        <v>0</v>
      </c>
      <c r="L7" s="109">
        <v>0</v>
      </c>
      <c r="M7" s="109">
        <v>0</v>
      </c>
      <c r="N7" s="109">
        <v>0</v>
      </c>
      <c r="O7" s="109">
        <v>0</v>
      </c>
      <c r="P7" s="109">
        <v>0</v>
      </c>
      <c r="Q7" s="109">
        <v>0</v>
      </c>
      <c r="R7" s="109">
        <v>0</v>
      </c>
      <c r="S7" s="109">
        <v>0</v>
      </c>
      <c r="T7" s="109">
        <v>0</v>
      </c>
      <c r="U7" s="109">
        <v>0</v>
      </c>
      <c r="V7" s="109">
        <v>0</v>
      </c>
      <c r="W7" s="109">
        <v>0</v>
      </c>
      <c r="X7" s="109">
        <v>0</v>
      </c>
      <c r="Y7" s="109">
        <v>0</v>
      </c>
      <c r="Z7" s="109">
        <v>0</v>
      </c>
      <c r="AA7" s="109">
        <v>0</v>
      </c>
      <c r="AB7" s="109">
        <v>0</v>
      </c>
      <c r="AC7" s="109">
        <v>0</v>
      </c>
      <c r="AD7" s="109">
        <v>0</v>
      </c>
      <c r="AE7" s="109">
        <v>0</v>
      </c>
      <c r="AF7" s="109">
        <v>0</v>
      </c>
      <c r="AG7" s="109">
        <v>0</v>
      </c>
      <c r="AH7" s="109">
        <v>0</v>
      </c>
    </row>
    <row r="8" spans="1:34" customFormat="1" x14ac:dyDescent="0.15">
      <c r="A8" s="187" t="s">
        <v>199</v>
      </c>
      <c r="B8" s="109">
        <v>0</v>
      </c>
      <c r="C8" s="109">
        <v>0</v>
      </c>
      <c r="D8" s="109">
        <v>0</v>
      </c>
      <c r="E8" s="109">
        <v>0</v>
      </c>
      <c r="F8" s="109">
        <v>0</v>
      </c>
      <c r="G8" s="109">
        <v>0</v>
      </c>
      <c r="H8" s="109">
        <v>0</v>
      </c>
      <c r="I8" s="109">
        <v>0</v>
      </c>
      <c r="J8" s="109">
        <v>0</v>
      </c>
      <c r="K8" s="109">
        <v>0</v>
      </c>
      <c r="L8" s="109">
        <v>0</v>
      </c>
      <c r="M8" s="109">
        <v>0</v>
      </c>
      <c r="N8" s="109">
        <v>0</v>
      </c>
      <c r="O8" s="109">
        <v>0</v>
      </c>
      <c r="P8" s="109">
        <v>0</v>
      </c>
      <c r="Q8" s="109">
        <v>0</v>
      </c>
      <c r="R8" s="109">
        <v>0</v>
      </c>
      <c r="S8" s="109">
        <v>0</v>
      </c>
      <c r="T8" s="109">
        <v>0</v>
      </c>
      <c r="U8" s="109">
        <v>0</v>
      </c>
      <c r="V8" s="109">
        <v>0</v>
      </c>
      <c r="W8" s="109">
        <v>0</v>
      </c>
      <c r="X8" s="109">
        <v>0</v>
      </c>
      <c r="Y8" s="109">
        <v>0</v>
      </c>
      <c r="Z8" s="109">
        <v>0</v>
      </c>
      <c r="AA8" s="109">
        <v>0</v>
      </c>
      <c r="AB8" s="109">
        <v>0</v>
      </c>
      <c r="AC8" s="109">
        <v>0</v>
      </c>
      <c r="AD8" s="109">
        <v>0</v>
      </c>
      <c r="AE8" s="109">
        <v>0</v>
      </c>
      <c r="AF8" s="109">
        <v>0</v>
      </c>
      <c r="AG8" s="109">
        <v>0</v>
      </c>
      <c r="AH8" s="109">
        <v>0</v>
      </c>
    </row>
    <row r="9" spans="1:34" customFormat="1" x14ac:dyDescent="0.15">
      <c r="A9" s="187" t="s">
        <v>200</v>
      </c>
      <c r="B9" s="109">
        <v>0</v>
      </c>
      <c r="C9" s="109">
        <v>0</v>
      </c>
      <c r="D9" s="109">
        <v>1</v>
      </c>
      <c r="E9" s="109">
        <v>1</v>
      </c>
      <c r="F9" s="109">
        <v>1</v>
      </c>
      <c r="G9" s="109">
        <v>1</v>
      </c>
      <c r="H9" s="109">
        <v>1</v>
      </c>
      <c r="I9" s="109">
        <v>0</v>
      </c>
      <c r="J9" s="109">
        <v>0</v>
      </c>
      <c r="K9" s="109">
        <v>0</v>
      </c>
      <c r="L9" s="109">
        <v>0</v>
      </c>
      <c r="M9" s="109">
        <v>0</v>
      </c>
      <c r="N9" s="109">
        <v>0</v>
      </c>
      <c r="O9" s="109">
        <v>0</v>
      </c>
      <c r="P9" s="109">
        <v>0</v>
      </c>
      <c r="Q9" s="109">
        <v>0</v>
      </c>
      <c r="R9" s="109">
        <v>0</v>
      </c>
      <c r="S9" s="109">
        <v>0</v>
      </c>
      <c r="T9" s="109">
        <v>0</v>
      </c>
      <c r="U9" s="109">
        <v>0</v>
      </c>
      <c r="V9" s="109">
        <v>0</v>
      </c>
      <c r="W9" s="109">
        <v>0</v>
      </c>
      <c r="X9" s="109">
        <v>0</v>
      </c>
      <c r="Y9" s="109">
        <v>0</v>
      </c>
      <c r="Z9" s="109">
        <v>0</v>
      </c>
      <c r="AA9" s="109">
        <v>0</v>
      </c>
      <c r="AB9" s="109">
        <v>0</v>
      </c>
      <c r="AC9" s="109">
        <v>0</v>
      </c>
      <c r="AD9" s="109">
        <v>0</v>
      </c>
      <c r="AE9" s="109">
        <v>0</v>
      </c>
      <c r="AF9" s="109">
        <v>0</v>
      </c>
      <c r="AG9" s="109">
        <v>0</v>
      </c>
      <c r="AH9" s="109">
        <v>0</v>
      </c>
    </row>
    <row r="10" spans="1:34" customFormat="1" x14ac:dyDescent="0.15">
      <c r="A10" s="187" t="s">
        <v>201</v>
      </c>
      <c r="B10" s="109">
        <v>0</v>
      </c>
      <c r="C10" s="109">
        <v>0</v>
      </c>
      <c r="D10" s="109">
        <v>1</v>
      </c>
      <c r="E10" s="109">
        <v>1</v>
      </c>
      <c r="F10" s="109">
        <v>1</v>
      </c>
      <c r="G10" s="109">
        <v>1</v>
      </c>
      <c r="H10" s="109">
        <v>1</v>
      </c>
      <c r="I10" s="109">
        <v>1</v>
      </c>
      <c r="J10" s="109">
        <v>1</v>
      </c>
      <c r="K10" s="109">
        <v>0</v>
      </c>
      <c r="L10" s="109">
        <v>1</v>
      </c>
      <c r="M10" s="109">
        <v>0</v>
      </c>
      <c r="N10" s="109">
        <v>0</v>
      </c>
      <c r="O10" s="109">
        <v>0</v>
      </c>
      <c r="P10" s="109">
        <v>0</v>
      </c>
      <c r="Q10" s="109">
        <v>0</v>
      </c>
      <c r="R10" s="109">
        <v>1</v>
      </c>
      <c r="S10" s="109">
        <v>1</v>
      </c>
      <c r="T10" s="109">
        <v>0</v>
      </c>
      <c r="U10" s="109">
        <v>0</v>
      </c>
      <c r="V10" s="109">
        <v>0</v>
      </c>
      <c r="W10" s="109">
        <v>0</v>
      </c>
      <c r="X10" s="109">
        <v>0</v>
      </c>
      <c r="Y10" s="109">
        <v>0</v>
      </c>
      <c r="Z10" s="109">
        <v>0</v>
      </c>
      <c r="AA10" s="109">
        <v>0</v>
      </c>
      <c r="AB10" s="109">
        <v>0</v>
      </c>
      <c r="AC10" s="109">
        <v>0</v>
      </c>
      <c r="AD10" s="109">
        <v>0</v>
      </c>
      <c r="AE10" s="109">
        <v>0</v>
      </c>
      <c r="AF10" s="109">
        <v>0</v>
      </c>
      <c r="AG10" s="109">
        <v>0</v>
      </c>
      <c r="AH10" s="109">
        <v>0</v>
      </c>
    </row>
    <row r="11" spans="1:34" customFormat="1" x14ac:dyDescent="0.15">
      <c r="A11" s="187" t="s">
        <v>202</v>
      </c>
      <c r="B11" s="109">
        <v>1</v>
      </c>
      <c r="C11" s="109">
        <v>0</v>
      </c>
      <c r="D11" s="109">
        <v>1</v>
      </c>
      <c r="E11" s="109">
        <v>1</v>
      </c>
      <c r="F11" s="109">
        <v>1</v>
      </c>
      <c r="G11" s="109">
        <v>1</v>
      </c>
      <c r="H11" s="109">
        <v>1</v>
      </c>
      <c r="I11" s="109">
        <v>1</v>
      </c>
      <c r="J11" s="109">
        <v>1</v>
      </c>
      <c r="K11" s="109">
        <v>1</v>
      </c>
      <c r="L11" s="109">
        <v>1</v>
      </c>
      <c r="M11" s="109">
        <v>1</v>
      </c>
      <c r="N11" s="109">
        <v>1</v>
      </c>
      <c r="O11" s="109">
        <v>0</v>
      </c>
      <c r="P11" s="109">
        <v>0</v>
      </c>
      <c r="Q11" s="109">
        <v>0</v>
      </c>
      <c r="R11" s="109">
        <v>0</v>
      </c>
      <c r="S11" s="109">
        <v>1</v>
      </c>
      <c r="T11" s="109">
        <v>1</v>
      </c>
      <c r="U11" s="109">
        <v>0</v>
      </c>
      <c r="V11" s="109">
        <v>0</v>
      </c>
      <c r="W11" s="109">
        <v>0</v>
      </c>
      <c r="X11" s="109">
        <v>0</v>
      </c>
      <c r="Y11" s="109">
        <v>0</v>
      </c>
      <c r="Z11" s="109">
        <v>0</v>
      </c>
      <c r="AA11" s="109">
        <v>0</v>
      </c>
      <c r="AB11" s="109">
        <v>0</v>
      </c>
      <c r="AC11" s="109">
        <v>0</v>
      </c>
      <c r="AD11" s="109">
        <v>0</v>
      </c>
      <c r="AE11" s="109">
        <v>0</v>
      </c>
      <c r="AF11" s="109">
        <v>0</v>
      </c>
      <c r="AG11" s="109">
        <v>0</v>
      </c>
      <c r="AH11" s="109">
        <v>0</v>
      </c>
    </row>
    <row r="12" spans="1:34" customFormat="1" x14ac:dyDescent="0.15">
      <c r="A12" s="187" t="s">
        <v>203</v>
      </c>
      <c r="B12" s="109">
        <v>0</v>
      </c>
      <c r="C12" s="109">
        <v>0</v>
      </c>
      <c r="D12" s="109">
        <v>1</v>
      </c>
      <c r="E12" s="109">
        <v>1</v>
      </c>
      <c r="F12" s="109">
        <v>1</v>
      </c>
      <c r="G12" s="109">
        <v>0</v>
      </c>
      <c r="H12" s="109">
        <v>1</v>
      </c>
      <c r="I12" s="109">
        <v>1</v>
      </c>
      <c r="J12" s="109">
        <v>1</v>
      </c>
      <c r="K12" s="109">
        <v>0</v>
      </c>
      <c r="L12" s="109">
        <v>1</v>
      </c>
      <c r="M12" s="109">
        <v>0</v>
      </c>
      <c r="N12" s="109">
        <v>0</v>
      </c>
      <c r="O12" s="109">
        <v>0</v>
      </c>
      <c r="P12" s="109">
        <v>0</v>
      </c>
      <c r="Q12" s="109">
        <v>0</v>
      </c>
      <c r="R12" s="109">
        <v>1</v>
      </c>
      <c r="S12" s="109">
        <v>0</v>
      </c>
      <c r="T12" s="109">
        <v>0</v>
      </c>
      <c r="U12" s="109">
        <v>0</v>
      </c>
      <c r="V12" s="109">
        <v>0</v>
      </c>
      <c r="W12" s="109">
        <v>0</v>
      </c>
      <c r="X12" s="109">
        <v>0</v>
      </c>
      <c r="Y12" s="109">
        <v>0</v>
      </c>
      <c r="Z12" s="109">
        <v>0</v>
      </c>
      <c r="AA12" s="109">
        <v>0</v>
      </c>
      <c r="AB12" s="109">
        <v>0</v>
      </c>
      <c r="AC12" s="109">
        <v>0</v>
      </c>
      <c r="AD12" s="109">
        <v>0</v>
      </c>
      <c r="AE12" s="109">
        <v>0</v>
      </c>
      <c r="AF12" s="109">
        <v>0</v>
      </c>
      <c r="AG12" s="109">
        <v>0</v>
      </c>
      <c r="AH12" s="109">
        <v>0</v>
      </c>
    </row>
    <row r="13" spans="1:34" customFormat="1" x14ac:dyDescent="0.15">
      <c r="A13" s="187" t="s">
        <v>204</v>
      </c>
      <c r="B13" s="109">
        <v>1</v>
      </c>
      <c r="C13" s="109">
        <v>1</v>
      </c>
      <c r="D13" s="109">
        <v>0</v>
      </c>
      <c r="E13" s="109">
        <v>1</v>
      </c>
      <c r="F13" s="109">
        <v>1</v>
      </c>
      <c r="G13" s="109">
        <v>1</v>
      </c>
      <c r="H13" s="109">
        <v>1</v>
      </c>
      <c r="I13" s="109">
        <v>1</v>
      </c>
      <c r="J13" s="109">
        <v>1</v>
      </c>
      <c r="K13" s="109">
        <v>1</v>
      </c>
      <c r="L13" s="109">
        <v>0</v>
      </c>
      <c r="M13" s="109">
        <v>1</v>
      </c>
      <c r="N13" s="109">
        <v>1</v>
      </c>
      <c r="O13" s="109">
        <v>0</v>
      </c>
      <c r="P13" s="109">
        <v>0</v>
      </c>
      <c r="Q13" s="109">
        <v>0</v>
      </c>
      <c r="R13" s="109">
        <v>0</v>
      </c>
      <c r="S13" s="109">
        <v>1</v>
      </c>
      <c r="T13" s="109">
        <v>0</v>
      </c>
      <c r="U13" s="109">
        <v>0</v>
      </c>
      <c r="V13" s="109">
        <v>0</v>
      </c>
      <c r="W13" s="109">
        <v>0</v>
      </c>
      <c r="X13" s="109">
        <v>0</v>
      </c>
      <c r="Y13" s="109">
        <v>0</v>
      </c>
      <c r="Z13" s="109">
        <v>0</v>
      </c>
      <c r="AA13" s="109">
        <v>0</v>
      </c>
      <c r="AB13" s="109">
        <v>0</v>
      </c>
      <c r="AC13" s="109">
        <v>0</v>
      </c>
      <c r="AD13" s="109">
        <v>0</v>
      </c>
      <c r="AE13" s="109">
        <v>0</v>
      </c>
      <c r="AF13" s="109">
        <v>0</v>
      </c>
      <c r="AG13" s="109">
        <v>0</v>
      </c>
      <c r="AH13" s="109">
        <v>0</v>
      </c>
    </row>
    <row r="14" spans="1:34" customFormat="1" x14ac:dyDescent="0.15">
      <c r="A14" s="187" t="s">
        <v>205</v>
      </c>
      <c r="B14" s="109">
        <v>1</v>
      </c>
      <c r="C14" s="109">
        <v>1</v>
      </c>
      <c r="D14" s="109">
        <v>0</v>
      </c>
      <c r="E14" s="109">
        <v>1</v>
      </c>
      <c r="F14" s="109">
        <v>1</v>
      </c>
      <c r="G14" s="109">
        <v>1</v>
      </c>
      <c r="H14" s="109">
        <v>1</v>
      </c>
      <c r="I14" s="109">
        <v>1</v>
      </c>
      <c r="J14" s="109">
        <v>1</v>
      </c>
      <c r="K14" s="109">
        <v>1</v>
      </c>
      <c r="L14" s="109">
        <v>1</v>
      </c>
      <c r="M14" s="109">
        <v>1</v>
      </c>
      <c r="N14" s="109">
        <v>1</v>
      </c>
      <c r="O14" s="109">
        <v>0</v>
      </c>
      <c r="P14" s="109">
        <v>0</v>
      </c>
      <c r="Q14" s="109">
        <v>0</v>
      </c>
      <c r="R14" s="109">
        <v>0</v>
      </c>
      <c r="S14" s="109">
        <v>1</v>
      </c>
      <c r="T14" s="109">
        <v>0</v>
      </c>
      <c r="U14" s="109">
        <v>0</v>
      </c>
      <c r="V14" s="109">
        <v>0</v>
      </c>
      <c r="W14" s="109">
        <v>0</v>
      </c>
      <c r="X14" s="109">
        <v>0</v>
      </c>
      <c r="Y14" s="109">
        <v>0</v>
      </c>
      <c r="Z14" s="109">
        <v>0</v>
      </c>
      <c r="AA14" s="109">
        <v>0</v>
      </c>
      <c r="AB14" s="109">
        <v>0</v>
      </c>
      <c r="AC14" s="109">
        <v>0</v>
      </c>
      <c r="AD14" s="109">
        <v>0</v>
      </c>
      <c r="AE14" s="109">
        <v>0</v>
      </c>
      <c r="AF14" s="109">
        <v>0</v>
      </c>
      <c r="AG14" s="109">
        <v>0</v>
      </c>
      <c r="AH14" s="109">
        <v>0</v>
      </c>
    </row>
    <row r="15" spans="1:34" customFormat="1" x14ac:dyDescent="0.15">
      <c r="A15" s="187" t="s">
        <v>206</v>
      </c>
      <c r="B15" s="109">
        <v>1</v>
      </c>
      <c r="C15" s="109">
        <v>1</v>
      </c>
      <c r="D15" s="109">
        <v>1</v>
      </c>
      <c r="E15" s="109">
        <v>1</v>
      </c>
      <c r="F15" s="109">
        <v>1</v>
      </c>
      <c r="G15" s="109">
        <v>0</v>
      </c>
      <c r="H15" s="109">
        <v>1</v>
      </c>
      <c r="I15" s="109">
        <v>1</v>
      </c>
      <c r="J15" s="109">
        <v>1</v>
      </c>
      <c r="K15" s="109">
        <v>1</v>
      </c>
      <c r="L15" s="109">
        <v>0</v>
      </c>
      <c r="M15" s="109">
        <v>1</v>
      </c>
      <c r="N15" s="109">
        <v>1</v>
      </c>
      <c r="O15" s="109">
        <v>0</v>
      </c>
      <c r="P15" s="109">
        <v>0</v>
      </c>
      <c r="Q15" s="109">
        <v>0</v>
      </c>
      <c r="R15" s="109">
        <v>0</v>
      </c>
      <c r="S15" s="109">
        <v>1</v>
      </c>
      <c r="T15" s="109">
        <v>0</v>
      </c>
      <c r="U15" s="109">
        <v>0</v>
      </c>
      <c r="V15" s="109">
        <v>0</v>
      </c>
      <c r="W15" s="109">
        <v>0</v>
      </c>
      <c r="X15" s="109">
        <v>0</v>
      </c>
      <c r="Y15" s="109">
        <v>0</v>
      </c>
      <c r="Z15" s="109">
        <v>0</v>
      </c>
      <c r="AA15" s="109">
        <v>0</v>
      </c>
      <c r="AB15" s="109">
        <v>0</v>
      </c>
      <c r="AC15" s="109">
        <v>0</v>
      </c>
      <c r="AD15" s="109">
        <v>0</v>
      </c>
      <c r="AE15" s="109">
        <v>0</v>
      </c>
      <c r="AF15" s="109">
        <v>0</v>
      </c>
      <c r="AG15" s="109">
        <v>0</v>
      </c>
      <c r="AH15" s="109">
        <v>0</v>
      </c>
    </row>
    <row r="16" spans="1:34" customFormat="1" x14ac:dyDescent="0.15">
      <c r="A16" s="187" t="s">
        <v>207</v>
      </c>
      <c r="B16" s="109">
        <v>1</v>
      </c>
      <c r="C16" s="109">
        <v>1</v>
      </c>
      <c r="D16" s="109">
        <v>0</v>
      </c>
      <c r="E16" s="109">
        <v>1</v>
      </c>
      <c r="F16" s="109">
        <v>1</v>
      </c>
      <c r="G16" s="109">
        <v>1</v>
      </c>
      <c r="H16" s="109">
        <v>1</v>
      </c>
      <c r="I16" s="109">
        <v>1</v>
      </c>
      <c r="J16" s="109">
        <v>1</v>
      </c>
      <c r="K16" s="109">
        <v>1</v>
      </c>
      <c r="L16" s="109">
        <v>0</v>
      </c>
      <c r="M16" s="109">
        <v>1</v>
      </c>
      <c r="N16" s="109">
        <v>1</v>
      </c>
      <c r="O16" s="109">
        <v>0</v>
      </c>
      <c r="P16" s="109">
        <v>0</v>
      </c>
      <c r="Q16" s="109">
        <v>0</v>
      </c>
      <c r="R16" s="109">
        <v>0</v>
      </c>
      <c r="S16" s="109">
        <v>1</v>
      </c>
      <c r="T16" s="109">
        <v>0</v>
      </c>
      <c r="U16" s="109">
        <v>0</v>
      </c>
      <c r="V16" s="109">
        <v>0</v>
      </c>
      <c r="W16" s="109">
        <v>0</v>
      </c>
      <c r="X16" s="109">
        <v>0</v>
      </c>
      <c r="Y16" s="109">
        <v>0</v>
      </c>
      <c r="Z16" s="109">
        <v>0</v>
      </c>
      <c r="AA16" s="109">
        <v>0</v>
      </c>
      <c r="AB16" s="109">
        <v>0</v>
      </c>
      <c r="AC16" s="109">
        <v>0</v>
      </c>
      <c r="AD16" s="109">
        <v>0</v>
      </c>
      <c r="AE16" s="109">
        <v>0</v>
      </c>
      <c r="AF16" s="109">
        <v>0</v>
      </c>
      <c r="AG16" s="109">
        <v>0</v>
      </c>
      <c r="AH16" s="109">
        <v>0</v>
      </c>
    </row>
    <row r="17" spans="1:34" customFormat="1" x14ac:dyDescent="0.15">
      <c r="A17" s="187" t="s">
        <v>208</v>
      </c>
      <c r="B17" s="109">
        <v>1</v>
      </c>
      <c r="C17" s="109">
        <v>1</v>
      </c>
      <c r="D17" s="109">
        <v>0</v>
      </c>
      <c r="E17" s="109">
        <v>1</v>
      </c>
      <c r="F17" s="109">
        <v>1</v>
      </c>
      <c r="G17" s="109">
        <v>0</v>
      </c>
      <c r="H17" s="109">
        <v>0</v>
      </c>
      <c r="I17" s="109">
        <v>1</v>
      </c>
      <c r="J17" s="109">
        <v>1</v>
      </c>
      <c r="K17" s="109">
        <v>1</v>
      </c>
      <c r="L17" s="109">
        <v>0</v>
      </c>
      <c r="M17" s="109">
        <v>1</v>
      </c>
      <c r="N17" s="109">
        <v>1</v>
      </c>
      <c r="O17" s="109">
        <v>0</v>
      </c>
      <c r="P17" s="109">
        <v>0</v>
      </c>
      <c r="Q17" s="109">
        <v>0</v>
      </c>
      <c r="R17" s="109">
        <v>0</v>
      </c>
      <c r="S17" s="109">
        <v>1</v>
      </c>
      <c r="T17" s="109">
        <v>0</v>
      </c>
      <c r="U17" s="109">
        <v>0</v>
      </c>
      <c r="V17" s="109">
        <v>0</v>
      </c>
      <c r="W17" s="109">
        <v>0</v>
      </c>
      <c r="X17" s="109">
        <v>0</v>
      </c>
      <c r="Y17" s="109">
        <v>0</v>
      </c>
      <c r="Z17" s="109">
        <v>0</v>
      </c>
      <c r="AA17" s="109">
        <v>0</v>
      </c>
      <c r="AB17" s="109">
        <v>0</v>
      </c>
      <c r="AC17" s="109">
        <v>0</v>
      </c>
      <c r="AD17" s="109">
        <v>0</v>
      </c>
      <c r="AE17" s="109">
        <v>0</v>
      </c>
      <c r="AF17" s="109">
        <v>0</v>
      </c>
      <c r="AG17" s="109">
        <v>0</v>
      </c>
      <c r="AH17" s="109">
        <v>0</v>
      </c>
    </row>
    <row r="18" spans="1:34" customFormat="1" x14ac:dyDescent="0.15">
      <c r="A18" s="187" t="s">
        <v>209</v>
      </c>
      <c r="B18" s="109">
        <v>0</v>
      </c>
      <c r="C18" s="109">
        <v>0</v>
      </c>
      <c r="D18" s="109">
        <v>1</v>
      </c>
      <c r="E18" s="109">
        <v>0</v>
      </c>
      <c r="F18" s="109">
        <v>1</v>
      </c>
      <c r="G18" s="109">
        <v>1</v>
      </c>
      <c r="H18" s="109">
        <v>1</v>
      </c>
      <c r="I18" s="109">
        <v>0</v>
      </c>
      <c r="J18" s="109">
        <v>1</v>
      </c>
      <c r="K18" s="109">
        <v>1</v>
      </c>
      <c r="L18" s="109">
        <v>1</v>
      </c>
      <c r="M18" s="109">
        <v>0</v>
      </c>
      <c r="N18" s="109">
        <v>0</v>
      </c>
      <c r="O18" s="109">
        <v>0</v>
      </c>
      <c r="P18" s="109">
        <v>0</v>
      </c>
      <c r="Q18" s="109">
        <v>0</v>
      </c>
      <c r="R18" s="109">
        <v>1</v>
      </c>
      <c r="S18" s="109">
        <v>1</v>
      </c>
      <c r="T18" s="109">
        <v>1</v>
      </c>
      <c r="U18" s="109">
        <v>0</v>
      </c>
      <c r="V18" s="109">
        <v>0</v>
      </c>
      <c r="W18" s="109">
        <v>0</v>
      </c>
      <c r="X18" s="109">
        <v>0</v>
      </c>
      <c r="Y18" s="109">
        <v>0</v>
      </c>
      <c r="Z18" s="109">
        <v>0</v>
      </c>
      <c r="AA18" s="109">
        <v>0</v>
      </c>
      <c r="AB18" s="109">
        <v>0</v>
      </c>
      <c r="AC18" s="109">
        <v>0</v>
      </c>
      <c r="AD18" s="109">
        <v>0</v>
      </c>
      <c r="AE18" s="109">
        <v>0</v>
      </c>
      <c r="AF18" s="109">
        <v>0</v>
      </c>
      <c r="AG18" s="109">
        <v>0</v>
      </c>
      <c r="AH18" s="109">
        <v>0</v>
      </c>
    </row>
    <row r="19" spans="1:34" customFormat="1" x14ac:dyDescent="0.15">
      <c r="A19" s="187" t="s">
        <v>210</v>
      </c>
      <c r="B19" s="109">
        <v>0</v>
      </c>
      <c r="C19" s="109">
        <v>0</v>
      </c>
      <c r="D19" s="109">
        <v>1</v>
      </c>
      <c r="E19" s="109">
        <v>1</v>
      </c>
      <c r="F19" s="109">
        <v>1</v>
      </c>
      <c r="G19" s="109">
        <v>1</v>
      </c>
      <c r="H19" s="109">
        <v>1</v>
      </c>
      <c r="I19" s="109">
        <v>0</v>
      </c>
      <c r="J19" s="109">
        <v>1</v>
      </c>
      <c r="K19" s="109">
        <v>1</v>
      </c>
      <c r="L19" s="109">
        <v>1</v>
      </c>
      <c r="M19" s="109">
        <v>1</v>
      </c>
      <c r="N19" s="109">
        <v>1</v>
      </c>
      <c r="O19" s="109">
        <v>0</v>
      </c>
      <c r="P19" s="109">
        <v>0</v>
      </c>
      <c r="Q19" s="109">
        <v>0</v>
      </c>
      <c r="R19" s="109">
        <v>0</v>
      </c>
      <c r="S19" s="109">
        <v>1</v>
      </c>
      <c r="T19" s="109">
        <v>1</v>
      </c>
      <c r="U19" s="109">
        <v>0</v>
      </c>
      <c r="V19" s="109">
        <v>0</v>
      </c>
      <c r="W19" s="109">
        <v>0</v>
      </c>
      <c r="X19" s="109">
        <v>0</v>
      </c>
      <c r="Y19" s="109">
        <v>0</v>
      </c>
      <c r="Z19" s="109">
        <v>0</v>
      </c>
      <c r="AA19" s="109">
        <v>0</v>
      </c>
      <c r="AB19" s="109">
        <v>0</v>
      </c>
      <c r="AC19" s="109">
        <v>0</v>
      </c>
      <c r="AD19" s="109">
        <v>0</v>
      </c>
      <c r="AE19" s="109">
        <v>0</v>
      </c>
      <c r="AF19" s="109">
        <v>0</v>
      </c>
      <c r="AG19" s="109">
        <v>0</v>
      </c>
      <c r="AH19" s="109">
        <v>0</v>
      </c>
    </row>
    <row r="20" spans="1:34" customFormat="1" x14ac:dyDescent="0.15">
      <c r="A20" s="187" t="s">
        <v>211</v>
      </c>
      <c r="B20" s="109">
        <v>0</v>
      </c>
      <c r="C20" s="109">
        <v>0</v>
      </c>
      <c r="D20" s="109">
        <v>0</v>
      </c>
      <c r="E20" s="109">
        <v>0</v>
      </c>
      <c r="F20" s="109">
        <v>0</v>
      </c>
      <c r="G20" s="109">
        <v>0</v>
      </c>
      <c r="H20" s="109">
        <v>0</v>
      </c>
      <c r="I20" s="109">
        <v>0</v>
      </c>
      <c r="J20" s="109">
        <v>1</v>
      </c>
      <c r="K20" s="109">
        <v>0</v>
      </c>
      <c r="L20" s="109">
        <v>1</v>
      </c>
      <c r="M20" s="109">
        <v>0</v>
      </c>
      <c r="N20" s="109">
        <v>1</v>
      </c>
      <c r="O20" s="109">
        <v>0</v>
      </c>
      <c r="P20" s="109">
        <v>0</v>
      </c>
      <c r="Q20" s="109">
        <v>0</v>
      </c>
      <c r="R20" s="109">
        <v>1</v>
      </c>
      <c r="S20" s="109">
        <v>1</v>
      </c>
      <c r="T20" s="109">
        <v>1</v>
      </c>
      <c r="U20" s="109">
        <v>0</v>
      </c>
      <c r="V20" s="109">
        <v>0</v>
      </c>
      <c r="W20" s="109">
        <v>0</v>
      </c>
      <c r="X20" s="109">
        <v>0</v>
      </c>
      <c r="Y20" s="109">
        <v>0</v>
      </c>
      <c r="Z20" s="109">
        <v>0</v>
      </c>
      <c r="AA20" s="109">
        <v>0</v>
      </c>
      <c r="AB20" s="109">
        <v>0</v>
      </c>
      <c r="AC20" s="109">
        <v>0</v>
      </c>
      <c r="AD20" s="109">
        <v>0</v>
      </c>
      <c r="AE20" s="109">
        <v>0</v>
      </c>
      <c r="AF20" s="109">
        <v>0</v>
      </c>
      <c r="AG20" s="109">
        <v>0</v>
      </c>
      <c r="AH20" s="109">
        <v>0</v>
      </c>
    </row>
    <row r="21" spans="1:34" customFormat="1" x14ac:dyDescent="0.15">
      <c r="A21" s="187" t="s">
        <v>212</v>
      </c>
      <c r="B21" s="109">
        <v>0</v>
      </c>
      <c r="C21" s="109">
        <v>0</v>
      </c>
      <c r="D21" s="109">
        <v>0</v>
      </c>
      <c r="E21" s="109">
        <v>0</v>
      </c>
      <c r="F21" s="109">
        <v>0</v>
      </c>
      <c r="G21" s="109">
        <v>0</v>
      </c>
      <c r="H21" s="109">
        <v>0</v>
      </c>
      <c r="I21" s="109">
        <v>0</v>
      </c>
      <c r="J21" s="109">
        <v>1</v>
      </c>
      <c r="K21" s="109">
        <v>0</v>
      </c>
      <c r="L21" s="109">
        <v>1</v>
      </c>
      <c r="M21" s="109">
        <v>0</v>
      </c>
      <c r="N21" s="109">
        <v>0</v>
      </c>
      <c r="O21" s="109">
        <v>0</v>
      </c>
      <c r="P21" s="109">
        <v>0</v>
      </c>
      <c r="Q21" s="109">
        <v>0</v>
      </c>
      <c r="R21" s="109">
        <v>0</v>
      </c>
      <c r="S21" s="109">
        <v>0</v>
      </c>
      <c r="T21" s="109">
        <v>1</v>
      </c>
      <c r="U21" s="109">
        <v>0</v>
      </c>
      <c r="V21" s="109">
        <v>0</v>
      </c>
      <c r="W21" s="109">
        <v>0</v>
      </c>
      <c r="X21" s="109">
        <v>0</v>
      </c>
      <c r="Y21" s="109">
        <v>0</v>
      </c>
      <c r="Z21" s="109">
        <v>0</v>
      </c>
      <c r="AA21" s="109">
        <v>0</v>
      </c>
      <c r="AB21" s="109">
        <v>0</v>
      </c>
      <c r="AC21" s="109">
        <v>0</v>
      </c>
      <c r="AD21" s="109">
        <v>0</v>
      </c>
      <c r="AE21" s="109">
        <v>0</v>
      </c>
      <c r="AF21" s="109">
        <v>0</v>
      </c>
      <c r="AG21" s="109">
        <v>0</v>
      </c>
      <c r="AH21" s="109">
        <v>0</v>
      </c>
    </row>
    <row r="22" spans="1:34" customFormat="1" x14ac:dyDescent="0.15">
      <c r="A22" s="187" t="s">
        <v>213</v>
      </c>
      <c r="B22" s="109">
        <v>0</v>
      </c>
      <c r="C22" s="109">
        <v>0</v>
      </c>
      <c r="D22" s="109">
        <v>0</v>
      </c>
      <c r="E22" s="109">
        <v>0</v>
      </c>
      <c r="F22" s="109">
        <v>0</v>
      </c>
      <c r="G22" s="109">
        <v>0</v>
      </c>
      <c r="H22" s="109">
        <v>0</v>
      </c>
      <c r="I22" s="109">
        <v>0</v>
      </c>
      <c r="J22" s="109">
        <v>1</v>
      </c>
      <c r="K22" s="109">
        <v>0</v>
      </c>
      <c r="L22" s="109">
        <v>1</v>
      </c>
      <c r="M22" s="109">
        <v>0</v>
      </c>
      <c r="N22" s="109">
        <v>0</v>
      </c>
      <c r="O22" s="109">
        <v>0</v>
      </c>
      <c r="P22" s="109">
        <v>0</v>
      </c>
      <c r="Q22" s="109">
        <v>0</v>
      </c>
      <c r="R22" s="109">
        <v>1</v>
      </c>
      <c r="S22" s="109">
        <v>0</v>
      </c>
      <c r="T22" s="109">
        <v>1</v>
      </c>
      <c r="U22" s="109">
        <v>0</v>
      </c>
      <c r="V22" s="109">
        <v>0</v>
      </c>
      <c r="W22" s="109">
        <v>0</v>
      </c>
      <c r="X22" s="109">
        <v>0</v>
      </c>
      <c r="Y22" s="109">
        <v>0</v>
      </c>
      <c r="Z22" s="109">
        <v>0</v>
      </c>
      <c r="AA22" s="109">
        <v>0</v>
      </c>
      <c r="AB22" s="109">
        <v>0</v>
      </c>
      <c r="AC22" s="109">
        <v>0</v>
      </c>
      <c r="AD22" s="109">
        <v>0</v>
      </c>
      <c r="AE22" s="109">
        <v>0</v>
      </c>
      <c r="AF22" s="109">
        <v>0</v>
      </c>
      <c r="AG22" s="109">
        <v>0</v>
      </c>
      <c r="AH22" s="109">
        <v>0</v>
      </c>
    </row>
    <row r="23" spans="1:34" customFormat="1" x14ac:dyDescent="0.15">
      <c r="A23" s="187" t="s">
        <v>214</v>
      </c>
      <c r="B23" s="109">
        <v>0</v>
      </c>
      <c r="C23" s="109">
        <v>0</v>
      </c>
      <c r="D23" s="109">
        <v>0</v>
      </c>
      <c r="E23" s="109">
        <v>0</v>
      </c>
      <c r="F23" s="109">
        <v>0</v>
      </c>
      <c r="G23" s="109">
        <v>0</v>
      </c>
      <c r="H23" s="109">
        <v>0</v>
      </c>
      <c r="I23" s="109">
        <v>0</v>
      </c>
      <c r="J23" s="109">
        <v>1</v>
      </c>
      <c r="K23" s="109">
        <v>0</v>
      </c>
      <c r="L23" s="109">
        <v>1</v>
      </c>
      <c r="M23" s="109">
        <v>0</v>
      </c>
      <c r="N23" s="109">
        <v>0</v>
      </c>
      <c r="O23" s="109">
        <v>0</v>
      </c>
      <c r="P23" s="109">
        <v>0</v>
      </c>
      <c r="Q23" s="109">
        <v>0</v>
      </c>
      <c r="R23" s="109">
        <v>1</v>
      </c>
      <c r="S23" s="109">
        <v>0</v>
      </c>
      <c r="T23" s="109">
        <v>1</v>
      </c>
      <c r="U23" s="109">
        <v>0</v>
      </c>
      <c r="V23" s="109">
        <v>0</v>
      </c>
      <c r="W23" s="109">
        <v>0</v>
      </c>
      <c r="X23" s="109">
        <v>0</v>
      </c>
      <c r="Y23" s="109">
        <v>0</v>
      </c>
      <c r="Z23" s="109">
        <v>0</v>
      </c>
      <c r="AA23" s="109">
        <v>0</v>
      </c>
      <c r="AB23" s="109">
        <v>0</v>
      </c>
      <c r="AC23" s="109">
        <v>0</v>
      </c>
      <c r="AD23" s="109">
        <v>0</v>
      </c>
      <c r="AE23" s="109">
        <v>0</v>
      </c>
      <c r="AF23" s="109">
        <v>0</v>
      </c>
      <c r="AG23" s="109">
        <v>0</v>
      </c>
      <c r="AH23" s="109">
        <v>0</v>
      </c>
    </row>
    <row r="24" spans="1:34" customFormat="1" x14ac:dyDescent="0.15">
      <c r="A24" s="187" t="s">
        <v>215</v>
      </c>
      <c r="B24" s="109">
        <v>0</v>
      </c>
      <c r="C24" s="109">
        <v>0</v>
      </c>
      <c r="D24" s="109">
        <v>0</v>
      </c>
      <c r="E24" s="109">
        <v>0</v>
      </c>
      <c r="F24" s="109">
        <v>0</v>
      </c>
      <c r="G24" s="109">
        <v>0</v>
      </c>
      <c r="H24" s="109">
        <v>0</v>
      </c>
      <c r="I24" s="109">
        <v>0</v>
      </c>
      <c r="J24" s="109">
        <v>0</v>
      </c>
      <c r="K24" s="109">
        <v>0</v>
      </c>
      <c r="L24" s="109">
        <v>0</v>
      </c>
      <c r="M24" s="109">
        <v>0</v>
      </c>
      <c r="N24" s="109">
        <v>0</v>
      </c>
      <c r="O24" s="109">
        <v>0</v>
      </c>
      <c r="P24" s="109">
        <v>0</v>
      </c>
      <c r="Q24" s="109">
        <v>0</v>
      </c>
      <c r="R24" s="109">
        <v>0</v>
      </c>
      <c r="S24" s="109">
        <v>0</v>
      </c>
      <c r="T24" s="109">
        <v>1</v>
      </c>
      <c r="U24" s="109">
        <v>0</v>
      </c>
      <c r="V24" s="109">
        <v>1</v>
      </c>
      <c r="W24" s="109">
        <v>0</v>
      </c>
      <c r="X24" s="109">
        <v>0</v>
      </c>
      <c r="Y24" s="109">
        <v>0</v>
      </c>
      <c r="Z24" s="109">
        <v>0</v>
      </c>
      <c r="AA24" s="109">
        <v>0</v>
      </c>
      <c r="AB24" s="109">
        <v>0</v>
      </c>
      <c r="AC24" s="109">
        <v>0</v>
      </c>
      <c r="AD24" s="109">
        <v>0</v>
      </c>
      <c r="AE24" s="109">
        <v>0</v>
      </c>
      <c r="AF24" s="109">
        <v>0</v>
      </c>
      <c r="AG24" s="109">
        <v>0</v>
      </c>
      <c r="AH24" s="109">
        <v>0</v>
      </c>
    </row>
    <row r="25" spans="1:34" customFormat="1" x14ac:dyDescent="0.15">
      <c r="A25" s="187" t="s">
        <v>216</v>
      </c>
      <c r="B25" s="109">
        <v>0</v>
      </c>
      <c r="C25" s="109">
        <v>0</v>
      </c>
      <c r="D25" s="109">
        <v>0</v>
      </c>
      <c r="E25" s="109">
        <v>0</v>
      </c>
      <c r="F25" s="109">
        <v>0</v>
      </c>
      <c r="G25" s="109">
        <v>0</v>
      </c>
      <c r="H25" s="109">
        <v>0</v>
      </c>
      <c r="I25" s="109">
        <v>0</v>
      </c>
      <c r="J25" s="109">
        <v>1</v>
      </c>
      <c r="K25" s="109">
        <v>1</v>
      </c>
      <c r="L25" s="109">
        <v>0</v>
      </c>
      <c r="M25" s="109">
        <v>0</v>
      </c>
      <c r="N25" s="109">
        <v>1</v>
      </c>
      <c r="O25" s="109">
        <v>0</v>
      </c>
      <c r="P25" s="109">
        <v>0</v>
      </c>
      <c r="Q25" s="109">
        <v>0</v>
      </c>
      <c r="R25" s="109">
        <v>1</v>
      </c>
      <c r="S25" s="109">
        <v>1</v>
      </c>
      <c r="T25" s="109">
        <v>1</v>
      </c>
      <c r="U25" s="109">
        <v>0</v>
      </c>
      <c r="V25" s="109">
        <v>0</v>
      </c>
      <c r="W25" s="109">
        <v>0</v>
      </c>
      <c r="X25" s="109">
        <v>0</v>
      </c>
      <c r="Y25" s="109">
        <v>0</v>
      </c>
      <c r="Z25" s="109">
        <v>0</v>
      </c>
      <c r="AA25" s="109">
        <v>0</v>
      </c>
      <c r="AB25" s="109">
        <v>0</v>
      </c>
      <c r="AC25" s="109">
        <v>0</v>
      </c>
      <c r="AD25" s="109">
        <v>0</v>
      </c>
      <c r="AE25" s="109">
        <v>0</v>
      </c>
      <c r="AF25" s="109">
        <v>0</v>
      </c>
      <c r="AG25" s="109">
        <v>0</v>
      </c>
      <c r="AH25" s="109">
        <v>0</v>
      </c>
    </row>
    <row r="26" spans="1:34" customFormat="1" x14ac:dyDescent="0.15">
      <c r="A26" s="187" t="s">
        <v>217</v>
      </c>
      <c r="B26" s="109">
        <v>0</v>
      </c>
      <c r="C26" s="109">
        <v>1</v>
      </c>
      <c r="D26" s="109">
        <v>0</v>
      </c>
      <c r="E26" s="109">
        <v>0</v>
      </c>
      <c r="F26" s="109">
        <v>0</v>
      </c>
      <c r="G26" s="109">
        <v>1</v>
      </c>
      <c r="H26" s="109">
        <v>0</v>
      </c>
      <c r="I26" s="109">
        <v>0</v>
      </c>
      <c r="J26" s="109">
        <v>0</v>
      </c>
      <c r="K26" s="109">
        <v>1</v>
      </c>
      <c r="L26" s="109">
        <v>0</v>
      </c>
      <c r="M26" s="109">
        <v>1</v>
      </c>
      <c r="N26" s="109">
        <v>1</v>
      </c>
      <c r="O26" s="109">
        <v>0</v>
      </c>
      <c r="P26" s="109">
        <v>0</v>
      </c>
      <c r="Q26" s="109">
        <v>0</v>
      </c>
      <c r="R26" s="109">
        <v>1</v>
      </c>
      <c r="S26" s="109">
        <v>1</v>
      </c>
      <c r="T26" s="109">
        <v>1</v>
      </c>
      <c r="U26" s="109">
        <v>0</v>
      </c>
      <c r="V26" s="109">
        <v>0</v>
      </c>
      <c r="W26" s="109">
        <v>0</v>
      </c>
      <c r="X26" s="109">
        <v>0</v>
      </c>
      <c r="Y26" s="109">
        <v>0</v>
      </c>
      <c r="Z26" s="109">
        <v>0</v>
      </c>
      <c r="AA26" s="109">
        <v>0</v>
      </c>
      <c r="AB26" s="109">
        <v>0</v>
      </c>
      <c r="AC26" s="109">
        <v>0</v>
      </c>
      <c r="AD26" s="109">
        <v>0</v>
      </c>
      <c r="AE26" s="109">
        <v>0</v>
      </c>
      <c r="AF26" s="109">
        <v>0</v>
      </c>
      <c r="AG26" s="109">
        <v>0</v>
      </c>
      <c r="AH26" s="109">
        <v>0</v>
      </c>
    </row>
    <row r="27" spans="1:34" customFormat="1" x14ac:dyDescent="0.15">
      <c r="A27" s="187" t="s">
        <v>218</v>
      </c>
      <c r="B27" s="109">
        <v>0</v>
      </c>
      <c r="C27" s="109">
        <v>0</v>
      </c>
      <c r="D27" s="109">
        <v>0</v>
      </c>
      <c r="E27" s="109">
        <v>0</v>
      </c>
      <c r="F27" s="109">
        <v>0</v>
      </c>
      <c r="G27" s="109">
        <v>0</v>
      </c>
      <c r="H27" s="109">
        <v>0</v>
      </c>
      <c r="I27" s="109">
        <v>0</v>
      </c>
      <c r="J27" s="109">
        <v>0</v>
      </c>
      <c r="K27" s="109">
        <v>1</v>
      </c>
      <c r="L27" s="109">
        <v>0</v>
      </c>
      <c r="M27" s="109">
        <v>1</v>
      </c>
      <c r="N27" s="109">
        <v>1</v>
      </c>
      <c r="O27" s="109">
        <v>1</v>
      </c>
      <c r="P27" s="109">
        <v>1</v>
      </c>
      <c r="Q27" s="109">
        <v>1</v>
      </c>
      <c r="R27" s="109">
        <v>0</v>
      </c>
      <c r="S27" s="109">
        <v>1</v>
      </c>
      <c r="T27" s="109">
        <v>1</v>
      </c>
      <c r="U27" s="109">
        <v>0</v>
      </c>
      <c r="V27" s="109">
        <v>0</v>
      </c>
      <c r="W27" s="109">
        <v>0</v>
      </c>
      <c r="X27" s="109">
        <v>0</v>
      </c>
      <c r="Y27" s="109">
        <v>1</v>
      </c>
      <c r="Z27" s="109">
        <v>1</v>
      </c>
      <c r="AA27" s="109">
        <v>1</v>
      </c>
      <c r="AB27" s="109">
        <v>0</v>
      </c>
      <c r="AC27" s="109">
        <v>0</v>
      </c>
      <c r="AD27" s="109">
        <v>0</v>
      </c>
      <c r="AE27" s="109">
        <v>0</v>
      </c>
      <c r="AF27" s="109">
        <v>0</v>
      </c>
      <c r="AG27" s="109">
        <v>0</v>
      </c>
      <c r="AH27" s="109">
        <v>0</v>
      </c>
    </row>
    <row r="28" spans="1:34" customFormat="1" x14ac:dyDescent="0.15">
      <c r="A28" s="187" t="s">
        <v>219</v>
      </c>
      <c r="B28" s="109">
        <v>0</v>
      </c>
      <c r="C28" s="109">
        <v>0</v>
      </c>
      <c r="D28" s="109">
        <v>0</v>
      </c>
      <c r="E28" s="109">
        <v>0</v>
      </c>
      <c r="F28" s="109">
        <v>0</v>
      </c>
      <c r="G28" s="109">
        <v>0</v>
      </c>
      <c r="H28" s="109">
        <v>0</v>
      </c>
      <c r="I28" s="109">
        <v>0</v>
      </c>
      <c r="J28" s="109">
        <v>0</v>
      </c>
      <c r="K28" s="109">
        <v>0</v>
      </c>
      <c r="L28" s="109">
        <v>0</v>
      </c>
      <c r="M28" s="109">
        <v>1</v>
      </c>
      <c r="N28" s="109">
        <v>1</v>
      </c>
      <c r="O28" s="109">
        <v>0</v>
      </c>
      <c r="P28" s="109">
        <v>1</v>
      </c>
      <c r="Q28" s="109">
        <v>0</v>
      </c>
      <c r="R28" s="109">
        <v>0</v>
      </c>
      <c r="S28" s="109">
        <v>0</v>
      </c>
      <c r="T28" s="109">
        <v>0</v>
      </c>
      <c r="U28" s="109">
        <v>0</v>
      </c>
      <c r="V28" s="109">
        <v>0</v>
      </c>
      <c r="W28" s="109">
        <v>0</v>
      </c>
      <c r="X28" s="109">
        <v>0</v>
      </c>
      <c r="Y28" s="109">
        <v>1</v>
      </c>
      <c r="Z28" s="109">
        <v>1</v>
      </c>
      <c r="AA28" s="109">
        <v>1</v>
      </c>
      <c r="AB28" s="109">
        <v>1</v>
      </c>
      <c r="AC28" s="109">
        <v>0</v>
      </c>
      <c r="AD28" s="109">
        <v>0</v>
      </c>
      <c r="AE28" s="109">
        <v>0</v>
      </c>
      <c r="AF28" s="109">
        <v>0</v>
      </c>
      <c r="AG28" s="109">
        <v>0</v>
      </c>
      <c r="AH28" s="109">
        <v>0</v>
      </c>
    </row>
    <row r="29" spans="1:34" customFormat="1" x14ac:dyDescent="0.15">
      <c r="A29" s="187" t="s">
        <v>220</v>
      </c>
      <c r="B29" s="109">
        <v>0</v>
      </c>
      <c r="C29" s="109">
        <v>0</v>
      </c>
      <c r="D29" s="109">
        <v>0</v>
      </c>
      <c r="E29" s="109">
        <v>0</v>
      </c>
      <c r="F29" s="109">
        <v>0</v>
      </c>
      <c r="G29" s="109">
        <v>0</v>
      </c>
      <c r="H29" s="109">
        <v>0</v>
      </c>
      <c r="I29" s="109">
        <v>0</v>
      </c>
      <c r="J29" s="109">
        <v>0</v>
      </c>
      <c r="K29" s="109">
        <v>0</v>
      </c>
      <c r="L29" s="109">
        <v>0</v>
      </c>
      <c r="M29" s="109">
        <v>0</v>
      </c>
      <c r="N29" s="109">
        <v>0</v>
      </c>
      <c r="O29" s="109">
        <v>0</v>
      </c>
      <c r="P29" s="109">
        <v>0</v>
      </c>
      <c r="Q29" s="109">
        <v>0</v>
      </c>
      <c r="R29" s="109">
        <v>0</v>
      </c>
      <c r="S29" s="109">
        <v>0</v>
      </c>
      <c r="T29" s="109">
        <v>0</v>
      </c>
      <c r="U29" s="109">
        <v>0</v>
      </c>
      <c r="V29" s="109">
        <v>0</v>
      </c>
      <c r="W29" s="109">
        <v>0</v>
      </c>
      <c r="X29" s="109">
        <v>0</v>
      </c>
      <c r="Y29" s="109">
        <v>0</v>
      </c>
      <c r="Z29" s="109">
        <v>0</v>
      </c>
      <c r="AA29" s="109">
        <v>0</v>
      </c>
      <c r="AB29" s="109">
        <v>1</v>
      </c>
      <c r="AC29" s="109">
        <v>0</v>
      </c>
      <c r="AD29" s="109">
        <v>0</v>
      </c>
      <c r="AE29" s="109">
        <v>0</v>
      </c>
      <c r="AF29" s="109">
        <v>0</v>
      </c>
      <c r="AG29" s="109">
        <v>0</v>
      </c>
      <c r="AH29" s="109">
        <v>0</v>
      </c>
    </row>
    <row r="30" spans="1:34" customFormat="1" x14ac:dyDescent="0.15">
      <c r="A30" s="187" t="s">
        <v>221</v>
      </c>
      <c r="B30" s="109">
        <v>0</v>
      </c>
      <c r="C30" s="109">
        <v>0</v>
      </c>
      <c r="D30" s="109">
        <v>0</v>
      </c>
      <c r="E30" s="109">
        <v>0</v>
      </c>
      <c r="F30" s="109">
        <v>0</v>
      </c>
      <c r="G30" s="109">
        <v>0</v>
      </c>
      <c r="H30" s="109">
        <v>0</v>
      </c>
      <c r="I30" s="109">
        <v>0</v>
      </c>
      <c r="J30" s="109">
        <v>0</v>
      </c>
      <c r="K30" s="109">
        <v>0</v>
      </c>
      <c r="L30" s="109">
        <v>0</v>
      </c>
      <c r="M30" s="109">
        <v>0</v>
      </c>
      <c r="N30" s="109">
        <v>0</v>
      </c>
      <c r="O30" s="109">
        <v>0</v>
      </c>
      <c r="P30" s="109">
        <v>1</v>
      </c>
      <c r="Q30" s="109">
        <v>0</v>
      </c>
      <c r="R30" s="109">
        <v>0</v>
      </c>
      <c r="S30" s="109">
        <v>0</v>
      </c>
      <c r="T30" s="109">
        <v>0</v>
      </c>
      <c r="U30" s="109">
        <v>0</v>
      </c>
      <c r="V30" s="109">
        <v>0</v>
      </c>
      <c r="W30" s="109">
        <v>1</v>
      </c>
      <c r="X30" s="109">
        <v>1</v>
      </c>
      <c r="Y30" s="109">
        <v>1</v>
      </c>
      <c r="Z30" s="109">
        <v>1</v>
      </c>
      <c r="AA30" s="109">
        <v>1</v>
      </c>
      <c r="AB30" s="109">
        <v>1</v>
      </c>
      <c r="AC30" s="109">
        <v>0</v>
      </c>
      <c r="AD30" s="109">
        <v>0</v>
      </c>
      <c r="AE30" s="109">
        <v>0</v>
      </c>
      <c r="AF30" s="109">
        <v>0</v>
      </c>
      <c r="AG30" s="109">
        <v>0</v>
      </c>
      <c r="AH30" s="109">
        <v>0</v>
      </c>
    </row>
    <row r="31" spans="1:34" customFormat="1" x14ac:dyDescent="0.15">
      <c r="A31" s="187" t="s">
        <v>222</v>
      </c>
      <c r="B31" s="109">
        <v>0</v>
      </c>
      <c r="C31" s="109">
        <v>0</v>
      </c>
      <c r="D31" s="109">
        <v>0</v>
      </c>
      <c r="E31" s="109">
        <v>0</v>
      </c>
      <c r="F31" s="109">
        <v>0</v>
      </c>
      <c r="G31" s="109">
        <v>0</v>
      </c>
      <c r="H31" s="109">
        <v>0</v>
      </c>
      <c r="I31" s="109">
        <v>0</v>
      </c>
      <c r="J31" s="109">
        <v>0</v>
      </c>
      <c r="K31" s="109">
        <v>0</v>
      </c>
      <c r="L31" s="109">
        <v>0</v>
      </c>
      <c r="M31" s="109">
        <v>0</v>
      </c>
      <c r="N31" s="109">
        <v>0</v>
      </c>
      <c r="O31" s="109">
        <v>0</v>
      </c>
      <c r="P31" s="109">
        <v>0</v>
      </c>
      <c r="Q31" s="109">
        <v>0</v>
      </c>
      <c r="R31" s="109">
        <v>0</v>
      </c>
      <c r="S31" s="109">
        <v>0</v>
      </c>
      <c r="T31" s="109">
        <v>0</v>
      </c>
      <c r="U31" s="109">
        <v>0</v>
      </c>
      <c r="V31" s="109">
        <v>0</v>
      </c>
      <c r="W31" s="109">
        <v>0</v>
      </c>
      <c r="X31" s="109">
        <v>0</v>
      </c>
      <c r="Y31" s="109">
        <v>0</v>
      </c>
      <c r="Z31" s="109">
        <v>0</v>
      </c>
      <c r="AA31" s="109">
        <v>0</v>
      </c>
      <c r="AB31" s="109">
        <v>1</v>
      </c>
      <c r="AC31" s="109">
        <v>0</v>
      </c>
      <c r="AD31" s="109">
        <v>0</v>
      </c>
      <c r="AE31" s="109">
        <v>0</v>
      </c>
      <c r="AF31" s="109">
        <v>0</v>
      </c>
      <c r="AG31" s="109">
        <v>0</v>
      </c>
      <c r="AH31" s="109">
        <v>0</v>
      </c>
    </row>
    <row r="32" spans="1:34" x14ac:dyDescent="0.15">
      <c r="A32" s="187" t="s">
        <v>223</v>
      </c>
      <c r="B32" s="109">
        <v>1</v>
      </c>
      <c r="C32" s="109">
        <v>1</v>
      </c>
      <c r="D32" s="109">
        <v>0</v>
      </c>
      <c r="E32" s="109">
        <v>0</v>
      </c>
      <c r="F32" s="109">
        <v>0</v>
      </c>
      <c r="G32" s="109">
        <v>0</v>
      </c>
      <c r="H32" s="109">
        <v>0</v>
      </c>
      <c r="I32" s="109">
        <v>0</v>
      </c>
      <c r="J32" s="109">
        <v>1</v>
      </c>
      <c r="K32" s="109">
        <v>0</v>
      </c>
      <c r="L32" s="109">
        <v>1</v>
      </c>
      <c r="M32" s="109">
        <v>0</v>
      </c>
      <c r="N32" s="109">
        <v>0</v>
      </c>
      <c r="O32" s="109">
        <v>0</v>
      </c>
      <c r="P32" s="109">
        <v>0</v>
      </c>
      <c r="Q32" s="109">
        <v>0</v>
      </c>
      <c r="R32" s="109">
        <v>0</v>
      </c>
      <c r="S32" s="109">
        <v>0</v>
      </c>
      <c r="T32" s="109">
        <v>1</v>
      </c>
      <c r="U32" s="109">
        <v>1</v>
      </c>
      <c r="V32" s="109">
        <v>0</v>
      </c>
      <c r="W32" s="109">
        <v>0</v>
      </c>
      <c r="X32" s="109">
        <v>0</v>
      </c>
      <c r="Y32" s="109">
        <v>0</v>
      </c>
      <c r="Z32" s="109">
        <v>0</v>
      </c>
      <c r="AA32" s="109">
        <v>0</v>
      </c>
      <c r="AB32" s="109">
        <v>0</v>
      </c>
      <c r="AC32" s="109">
        <v>0</v>
      </c>
      <c r="AD32" s="109">
        <v>0</v>
      </c>
      <c r="AE32" s="109">
        <v>0</v>
      </c>
      <c r="AF32" s="109">
        <v>0</v>
      </c>
      <c r="AG32" s="109">
        <v>0</v>
      </c>
      <c r="AH32" s="109">
        <v>0</v>
      </c>
    </row>
    <row r="33" spans="1:34" x14ac:dyDescent="0.15">
      <c r="A33" s="187" t="s">
        <v>224</v>
      </c>
      <c r="B33" s="109">
        <v>0</v>
      </c>
      <c r="C33" s="109">
        <v>0</v>
      </c>
      <c r="D33" s="109">
        <v>0</v>
      </c>
      <c r="E33" s="109">
        <v>0</v>
      </c>
      <c r="F33" s="109">
        <v>0</v>
      </c>
      <c r="G33" s="109">
        <v>0</v>
      </c>
      <c r="H33" s="109">
        <v>0</v>
      </c>
      <c r="I33" s="109">
        <v>0</v>
      </c>
      <c r="J33" s="109">
        <v>0</v>
      </c>
      <c r="K33" s="109">
        <v>0</v>
      </c>
      <c r="L33" s="109">
        <v>0</v>
      </c>
      <c r="M33" s="109">
        <v>0</v>
      </c>
      <c r="N33" s="109">
        <v>0</v>
      </c>
      <c r="O33" s="109">
        <v>0</v>
      </c>
      <c r="P33" s="109">
        <v>0</v>
      </c>
      <c r="Q33" s="109">
        <v>0</v>
      </c>
      <c r="R33" s="109">
        <v>0</v>
      </c>
      <c r="S33" s="109">
        <v>0</v>
      </c>
      <c r="T33" s="109">
        <v>1</v>
      </c>
      <c r="U33" s="109">
        <v>1</v>
      </c>
      <c r="V33" s="109">
        <v>1</v>
      </c>
      <c r="W33" s="109">
        <v>1</v>
      </c>
      <c r="X33" s="109">
        <v>1</v>
      </c>
      <c r="Y33" s="109">
        <v>0</v>
      </c>
      <c r="Z33" s="109">
        <v>0</v>
      </c>
      <c r="AA33" s="109">
        <v>1</v>
      </c>
      <c r="AB33" s="109">
        <v>1</v>
      </c>
      <c r="AC33" s="109">
        <v>1</v>
      </c>
      <c r="AD33" s="109">
        <v>0</v>
      </c>
      <c r="AE33" s="109">
        <v>0</v>
      </c>
      <c r="AF33" s="109">
        <v>0</v>
      </c>
      <c r="AG33" s="109">
        <v>0</v>
      </c>
      <c r="AH33" s="109">
        <v>0</v>
      </c>
    </row>
    <row r="34" spans="1:34" x14ac:dyDescent="0.15">
      <c r="A34" s="187" t="s">
        <v>225</v>
      </c>
      <c r="B34" s="109">
        <v>0</v>
      </c>
      <c r="C34" s="109">
        <v>0</v>
      </c>
      <c r="D34" s="109">
        <v>0</v>
      </c>
      <c r="E34" s="109">
        <v>0</v>
      </c>
      <c r="F34" s="109">
        <v>0</v>
      </c>
      <c r="G34" s="109">
        <v>0</v>
      </c>
      <c r="H34" s="109">
        <v>0</v>
      </c>
      <c r="I34" s="109">
        <v>0</v>
      </c>
      <c r="J34" s="109">
        <v>0</v>
      </c>
      <c r="K34" s="109">
        <v>0</v>
      </c>
      <c r="L34" s="109">
        <v>0</v>
      </c>
      <c r="M34" s="109">
        <v>0</v>
      </c>
      <c r="N34" s="109">
        <v>0</v>
      </c>
      <c r="O34" s="109">
        <v>0</v>
      </c>
      <c r="P34" s="109">
        <v>0</v>
      </c>
      <c r="Q34" s="109">
        <v>0</v>
      </c>
      <c r="R34" s="109">
        <v>0</v>
      </c>
      <c r="S34" s="109">
        <v>0</v>
      </c>
      <c r="T34" s="109">
        <v>0</v>
      </c>
      <c r="U34" s="109">
        <v>0</v>
      </c>
      <c r="V34" s="109">
        <v>0</v>
      </c>
      <c r="W34" s="109">
        <v>0</v>
      </c>
      <c r="X34" s="109">
        <v>0</v>
      </c>
      <c r="Y34" s="109">
        <v>0</v>
      </c>
      <c r="Z34" s="109">
        <v>0</v>
      </c>
      <c r="AA34" s="109">
        <v>0</v>
      </c>
      <c r="AB34" s="109">
        <v>0</v>
      </c>
      <c r="AC34" s="109">
        <v>0</v>
      </c>
      <c r="AD34" s="109">
        <v>0</v>
      </c>
      <c r="AE34" s="109">
        <v>0</v>
      </c>
      <c r="AF34" s="109">
        <v>0</v>
      </c>
      <c r="AG34" s="109">
        <v>0</v>
      </c>
      <c r="AH34" s="109">
        <v>0</v>
      </c>
    </row>
    <row r="35" spans="1:34" x14ac:dyDescent="0.15">
      <c r="A35" s="187" t="s">
        <v>227</v>
      </c>
      <c r="B35" s="109">
        <v>0</v>
      </c>
      <c r="C35" s="109">
        <v>0</v>
      </c>
      <c r="D35" s="109">
        <v>1</v>
      </c>
      <c r="E35" s="109">
        <v>0</v>
      </c>
      <c r="F35" s="109">
        <v>0</v>
      </c>
      <c r="G35" s="109">
        <v>1</v>
      </c>
      <c r="H35" s="109">
        <v>1</v>
      </c>
      <c r="I35" s="109">
        <v>0</v>
      </c>
      <c r="J35" s="109">
        <v>0</v>
      </c>
      <c r="K35" s="109">
        <v>0</v>
      </c>
      <c r="L35" s="109">
        <v>0</v>
      </c>
      <c r="M35" s="109">
        <v>0</v>
      </c>
      <c r="N35" s="109">
        <v>0</v>
      </c>
      <c r="O35" s="109">
        <v>0</v>
      </c>
      <c r="P35" s="109">
        <v>0</v>
      </c>
      <c r="Q35" s="109">
        <v>0</v>
      </c>
      <c r="R35" s="109">
        <v>0</v>
      </c>
      <c r="S35" s="109">
        <v>0</v>
      </c>
      <c r="T35" s="109">
        <v>0</v>
      </c>
      <c r="U35" s="109">
        <v>0</v>
      </c>
      <c r="V35" s="109">
        <v>0</v>
      </c>
      <c r="W35" s="109">
        <v>0</v>
      </c>
      <c r="X35" s="109">
        <v>0</v>
      </c>
      <c r="Y35" s="109">
        <v>0</v>
      </c>
      <c r="Z35" s="109">
        <v>0</v>
      </c>
      <c r="AA35" s="109">
        <v>0</v>
      </c>
      <c r="AB35" s="109">
        <v>0</v>
      </c>
      <c r="AC35" s="109">
        <v>0</v>
      </c>
      <c r="AD35" s="109">
        <v>0</v>
      </c>
      <c r="AE35" s="109">
        <v>0</v>
      </c>
      <c r="AF35" s="109">
        <v>0</v>
      </c>
      <c r="AG35" s="109">
        <v>0</v>
      </c>
      <c r="AH35" s="10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7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90" t="s">
        <v>226</v>
      </c>
    </row>
    <row r="2" spans="1:3" x14ac:dyDescent="0.15">
      <c r="A2">
        <v>1</v>
      </c>
      <c r="B2" s="189" t="s">
        <v>193</v>
      </c>
      <c r="C2">
        <v>0</v>
      </c>
    </row>
    <row r="3" spans="1:3" x14ac:dyDescent="0.15">
      <c r="A3">
        <v>2</v>
      </c>
      <c r="B3" s="189" t="s">
        <v>194</v>
      </c>
      <c r="C3">
        <v>0</v>
      </c>
    </row>
    <row r="4" spans="1:3" x14ac:dyDescent="0.15">
      <c r="A4">
        <v>3</v>
      </c>
      <c r="B4" s="189" t="s">
        <v>195</v>
      </c>
      <c r="C4">
        <v>0</v>
      </c>
    </row>
    <row r="5" spans="1:3" x14ac:dyDescent="0.15">
      <c r="A5">
        <v>4</v>
      </c>
      <c r="B5" s="189" t="s">
        <v>196</v>
      </c>
      <c r="C5">
        <v>0</v>
      </c>
    </row>
    <row r="6" spans="1:3" x14ac:dyDescent="0.15">
      <c r="A6">
        <v>5</v>
      </c>
      <c r="B6" s="189" t="s">
        <v>197</v>
      </c>
      <c r="C6">
        <v>0.8</v>
      </c>
    </row>
    <row r="7" spans="1:3" x14ac:dyDescent="0.15">
      <c r="A7">
        <v>6</v>
      </c>
      <c r="B7" s="189" t="s">
        <v>198</v>
      </c>
      <c r="C7">
        <v>0</v>
      </c>
    </row>
    <row r="8" spans="1:3" x14ac:dyDescent="0.15">
      <c r="A8">
        <v>7</v>
      </c>
      <c r="B8" s="189" t="s">
        <v>199</v>
      </c>
      <c r="C8">
        <v>0.8</v>
      </c>
    </row>
    <row r="9" spans="1:3" x14ac:dyDescent="0.15">
      <c r="A9">
        <v>8</v>
      </c>
      <c r="B9" s="189" t="s">
        <v>200</v>
      </c>
      <c r="C9">
        <v>0.8</v>
      </c>
    </row>
    <row r="10" spans="1:3" x14ac:dyDescent="0.15">
      <c r="A10">
        <v>9</v>
      </c>
      <c r="B10" s="189" t="s">
        <v>201</v>
      </c>
      <c r="C10">
        <v>0.8</v>
      </c>
    </row>
    <row r="11" spans="1:3" x14ac:dyDescent="0.15">
      <c r="A11">
        <v>10</v>
      </c>
      <c r="B11" s="189" t="s">
        <v>202</v>
      </c>
      <c r="C11">
        <v>0.8</v>
      </c>
    </row>
    <row r="12" spans="1:3" x14ac:dyDescent="0.15">
      <c r="A12">
        <v>11</v>
      </c>
      <c r="B12" s="189" t="s">
        <v>203</v>
      </c>
      <c r="C12">
        <v>0.8</v>
      </c>
    </row>
    <row r="13" spans="1:3" x14ac:dyDescent="0.15">
      <c r="A13">
        <v>12</v>
      </c>
      <c r="B13" s="189" t="s">
        <v>204</v>
      </c>
      <c r="C13">
        <v>0.8</v>
      </c>
    </row>
    <row r="14" spans="1:3" x14ac:dyDescent="0.15">
      <c r="A14">
        <v>13</v>
      </c>
      <c r="B14" s="189" t="s">
        <v>205</v>
      </c>
      <c r="C14">
        <v>0.8</v>
      </c>
    </row>
    <row r="15" spans="1:3" x14ac:dyDescent="0.15">
      <c r="A15">
        <v>14</v>
      </c>
      <c r="B15" s="189" t="s">
        <v>206</v>
      </c>
      <c r="C15">
        <v>0.8</v>
      </c>
    </row>
    <row r="16" spans="1:3" x14ac:dyDescent="0.15">
      <c r="A16">
        <v>15</v>
      </c>
      <c r="B16" s="189" t="s">
        <v>207</v>
      </c>
      <c r="C16">
        <v>0.8</v>
      </c>
    </row>
    <row r="17" spans="1:3" x14ac:dyDescent="0.15">
      <c r="A17">
        <v>16</v>
      </c>
      <c r="B17" s="189" t="s">
        <v>208</v>
      </c>
      <c r="C17">
        <v>0</v>
      </c>
    </row>
    <row r="18" spans="1:3" x14ac:dyDescent="0.15">
      <c r="A18">
        <v>17</v>
      </c>
      <c r="B18" s="189" t="s">
        <v>209</v>
      </c>
      <c r="C18">
        <v>0.8</v>
      </c>
    </row>
    <row r="19" spans="1:3" x14ac:dyDescent="0.15">
      <c r="A19">
        <v>18</v>
      </c>
      <c r="B19" s="189" t="s">
        <v>210</v>
      </c>
      <c r="C19">
        <v>0.8</v>
      </c>
    </row>
    <row r="20" spans="1:3" x14ac:dyDescent="0.15">
      <c r="A20">
        <v>19</v>
      </c>
      <c r="B20" s="189" t="s">
        <v>211</v>
      </c>
      <c r="C20">
        <v>0.8</v>
      </c>
    </row>
    <row r="21" spans="1:3" x14ac:dyDescent="0.15">
      <c r="A21">
        <v>20</v>
      </c>
      <c r="B21" s="189" t="s">
        <v>212</v>
      </c>
      <c r="C21">
        <v>0</v>
      </c>
    </row>
    <row r="22" spans="1:3" x14ac:dyDescent="0.15">
      <c r="A22">
        <v>21</v>
      </c>
      <c r="B22" s="189" t="s">
        <v>213</v>
      </c>
      <c r="C22">
        <v>0</v>
      </c>
    </row>
    <row r="23" spans="1:3" x14ac:dyDescent="0.15">
      <c r="A23">
        <v>22</v>
      </c>
      <c r="B23" s="189" t="s">
        <v>214</v>
      </c>
      <c r="C23">
        <v>0</v>
      </c>
    </row>
    <row r="24" spans="1:3" x14ac:dyDescent="0.15">
      <c r="A24">
        <v>23</v>
      </c>
      <c r="B24" s="189" t="s">
        <v>215</v>
      </c>
      <c r="C24">
        <v>0</v>
      </c>
    </row>
    <row r="25" spans="1:3" x14ac:dyDescent="0.15">
      <c r="A25">
        <v>24</v>
      </c>
      <c r="B25" s="189" t="s">
        <v>216</v>
      </c>
      <c r="C25">
        <v>0</v>
      </c>
    </row>
    <row r="26" spans="1:3" x14ac:dyDescent="0.15">
      <c r="A26">
        <v>25</v>
      </c>
      <c r="B26" s="189" t="s">
        <v>217</v>
      </c>
      <c r="C26">
        <v>0</v>
      </c>
    </row>
    <row r="27" spans="1:3" x14ac:dyDescent="0.15">
      <c r="A27">
        <v>26</v>
      </c>
      <c r="B27" s="189" t="s">
        <v>218</v>
      </c>
      <c r="C27">
        <v>0</v>
      </c>
    </row>
    <row r="28" spans="1:3" x14ac:dyDescent="0.15">
      <c r="A28">
        <v>27</v>
      </c>
      <c r="B28" s="189" t="s">
        <v>219</v>
      </c>
      <c r="C28">
        <v>0</v>
      </c>
    </row>
    <row r="29" spans="1:3" x14ac:dyDescent="0.15">
      <c r="A29">
        <v>28</v>
      </c>
      <c r="B29" s="189" t="s">
        <v>220</v>
      </c>
      <c r="C29">
        <v>0</v>
      </c>
    </row>
    <row r="30" spans="1:3" x14ac:dyDescent="0.15">
      <c r="A30">
        <v>29</v>
      </c>
      <c r="B30" s="189" t="s">
        <v>221</v>
      </c>
      <c r="C30">
        <v>0</v>
      </c>
    </row>
    <row r="31" spans="1:3" x14ac:dyDescent="0.15">
      <c r="A31">
        <v>30</v>
      </c>
      <c r="B31" s="189" t="s">
        <v>222</v>
      </c>
      <c r="C31">
        <v>0</v>
      </c>
    </row>
    <row r="32" spans="1:3" x14ac:dyDescent="0.15">
      <c r="A32">
        <v>31</v>
      </c>
      <c r="B32" s="189" t="s">
        <v>223</v>
      </c>
      <c r="C32">
        <v>0</v>
      </c>
    </row>
    <row r="33" spans="1:3" x14ac:dyDescent="0.15">
      <c r="A33">
        <v>32</v>
      </c>
      <c r="B33" s="189" t="s">
        <v>224</v>
      </c>
      <c r="C33">
        <v>0</v>
      </c>
    </row>
    <row r="34" spans="1:3" x14ac:dyDescent="0.15">
      <c r="A34">
        <v>33</v>
      </c>
      <c r="B34" s="189" t="s">
        <v>225</v>
      </c>
      <c r="C34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34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7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92" t="s">
        <v>226</v>
      </c>
    </row>
    <row r="2" spans="1:3" x14ac:dyDescent="0.15">
      <c r="A2">
        <v>1</v>
      </c>
      <c r="B2" s="191" t="s">
        <v>193</v>
      </c>
      <c r="C2">
        <v>0</v>
      </c>
    </row>
    <row r="3" spans="1:3" x14ac:dyDescent="0.15">
      <c r="A3">
        <v>2</v>
      </c>
      <c r="B3" s="191" t="s">
        <v>194</v>
      </c>
      <c r="C3">
        <v>0</v>
      </c>
    </row>
    <row r="4" spans="1:3" x14ac:dyDescent="0.15">
      <c r="A4">
        <v>3</v>
      </c>
      <c r="B4" s="191" t="s">
        <v>195</v>
      </c>
      <c r="C4">
        <v>0</v>
      </c>
    </row>
    <row r="5" spans="1:3" x14ac:dyDescent="0.15">
      <c r="A5">
        <v>4</v>
      </c>
      <c r="B5" s="191" t="s">
        <v>196</v>
      </c>
      <c r="C5">
        <v>0</v>
      </c>
    </row>
    <row r="6" spans="1:3" x14ac:dyDescent="0.15">
      <c r="A6">
        <v>5</v>
      </c>
      <c r="B6" s="191" t="s">
        <v>197</v>
      </c>
      <c r="C6">
        <v>0.8</v>
      </c>
    </row>
    <row r="7" spans="1:3" x14ac:dyDescent="0.15">
      <c r="A7">
        <v>6</v>
      </c>
      <c r="B7" s="191" t="s">
        <v>198</v>
      </c>
      <c r="C7">
        <v>0</v>
      </c>
    </row>
    <row r="8" spans="1:3" x14ac:dyDescent="0.15">
      <c r="A8">
        <v>7</v>
      </c>
      <c r="B8" s="191" t="s">
        <v>199</v>
      </c>
      <c r="C8">
        <v>0.8</v>
      </c>
    </row>
    <row r="9" spans="1:3" x14ac:dyDescent="0.15">
      <c r="A9">
        <v>8</v>
      </c>
      <c r="B9" s="191" t="s">
        <v>200</v>
      </c>
      <c r="C9">
        <v>0.8</v>
      </c>
    </row>
    <row r="10" spans="1:3" x14ac:dyDescent="0.15">
      <c r="A10">
        <v>9</v>
      </c>
      <c r="B10" s="191" t="s">
        <v>201</v>
      </c>
      <c r="C10">
        <v>0.8</v>
      </c>
    </row>
    <row r="11" spans="1:3" x14ac:dyDescent="0.15">
      <c r="A11">
        <v>10</v>
      </c>
      <c r="B11" s="191" t="s">
        <v>202</v>
      </c>
      <c r="C11">
        <v>0.8</v>
      </c>
    </row>
    <row r="12" spans="1:3" x14ac:dyDescent="0.15">
      <c r="A12">
        <v>11</v>
      </c>
      <c r="B12" s="191" t="s">
        <v>203</v>
      </c>
      <c r="C12">
        <v>0.8</v>
      </c>
    </row>
    <row r="13" spans="1:3" x14ac:dyDescent="0.15">
      <c r="A13">
        <v>12</v>
      </c>
      <c r="B13" s="191" t="s">
        <v>204</v>
      </c>
      <c r="C13">
        <v>0.8</v>
      </c>
    </row>
    <row r="14" spans="1:3" x14ac:dyDescent="0.15">
      <c r="A14">
        <v>13</v>
      </c>
      <c r="B14" s="191" t="s">
        <v>205</v>
      </c>
      <c r="C14">
        <v>0.8</v>
      </c>
    </row>
    <row r="15" spans="1:3" x14ac:dyDescent="0.15">
      <c r="A15">
        <v>14</v>
      </c>
      <c r="B15" s="191" t="s">
        <v>206</v>
      </c>
      <c r="C15">
        <v>0.8</v>
      </c>
    </row>
    <row r="16" spans="1:3" x14ac:dyDescent="0.15">
      <c r="A16">
        <v>15</v>
      </c>
      <c r="B16" s="191" t="s">
        <v>207</v>
      </c>
      <c r="C16">
        <v>0.8</v>
      </c>
    </row>
    <row r="17" spans="1:3" x14ac:dyDescent="0.15">
      <c r="A17">
        <v>16</v>
      </c>
      <c r="B17" s="191" t="s">
        <v>208</v>
      </c>
      <c r="C17">
        <v>0</v>
      </c>
    </row>
    <row r="18" spans="1:3" x14ac:dyDescent="0.15">
      <c r="A18">
        <v>17</v>
      </c>
      <c r="B18" s="191" t="s">
        <v>209</v>
      </c>
      <c r="C18">
        <v>0.8</v>
      </c>
    </row>
    <row r="19" spans="1:3" x14ac:dyDescent="0.15">
      <c r="A19">
        <v>18</v>
      </c>
      <c r="B19" s="191" t="s">
        <v>210</v>
      </c>
      <c r="C19">
        <v>0.8</v>
      </c>
    </row>
    <row r="20" spans="1:3" x14ac:dyDescent="0.15">
      <c r="A20">
        <v>19</v>
      </c>
      <c r="B20" s="191" t="s">
        <v>211</v>
      </c>
      <c r="C20">
        <v>0.8</v>
      </c>
    </row>
    <row r="21" spans="1:3" x14ac:dyDescent="0.15">
      <c r="A21">
        <v>20</v>
      </c>
      <c r="B21" s="191" t="s">
        <v>212</v>
      </c>
      <c r="C21">
        <v>0</v>
      </c>
    </row>
    <row r="22" spans="1:3" x14ac:dyDescent="0.15">
      <c r="A22">
        <v>21</v>
      </c>
      <c r="B22" s="191" t="s">
        <v>213</v>
      </c>
      <c r="C22">
        <v>0</v>
      </c>
    </row>
    <row r="23" spans="1:3" x14ac:dyDescent="0.15">
      <c r="A23">
        <v>22</v>
      </c>
      <c r="B23" s="191" t="s">
        <v>214</v>
      </c>
      <c r="C23">
        <v>0</v>
      </c>
    </row>
    <row r="24" spans="1:3" x14ac:dyDescent="0.15">
      <c r="A24">
        <v>23</v>
      </c>
      <c r="B24" s="191" t="s">
        <v>215</v>
      </c>
      <c r="C24">
        <v>0</v>
      </c>
    </row>
    <row r="25" spans="1:3" x14ac:dyDescent="0.15">
      <c r="A25">
        <v>24</v>
      </c>
      <c r="B25" s="191" t="s">
        <v>216</v>
      </c>
      <c r="C25">
        <v>0</v>
      </c>
    </row>
    <row r="26" spans="1:3" x14ac:dyDescent="0.15">
      <c r="A26">
        <v>25</v>
      </c>
      <c r="B26" s="191" t="s">
        <v>217</v>
      </c>
      <c r="C26">
        <v>0</v>
      </c>
    </row>
    <row r="27" spans="1:3" x14ac:dyDescent="0.15">
      <c r="A27">
        <v>26</v>
      </c>
      <c r="B27" s="191" t="s">
        <v>218</v>
      </c>
      <c r="C27">
        <v>0</v>
      </c>
    </row>
    <row r="28" spans="1:3" x14ac:dyDescent="0.15">
      <c r="A28">
        <v>27</v>
      </c>
      <c r="B28" s="191" t="s">
        <v>219</v>
      </c>
      <c r="C28">
        <v>0</v>
      </c>
    </row>
    <row r="29" spans="1:3" x14ac:dyDescent="0.15">
      <c r="A29">
        <v>28</v>
      </c>
      <c r="B29" s="191" t="s">
        <v>220</v>
      </c>
      <c r="C29">
        <v>0</v>
      </c>
    </row>
    <row r="30" spans="1:3" x14ac:dyDescent="0.15">
      <c r="A30">
        <v>29</v>
      </c>
      <c r="B30" s="191" t="s">
        <v>221</v>
      </c>
      <c r="C30">
        <v>0</v>
      </c>
    </row>
    <row r="31" spans="1:3" x14ac:dyDescent="0.15">
      <c r="A31">
        <v>30</v>
      </c>
      <c r="B31" s="191" t="s">
        <v>222</v>
      </c>
      <c r="C31">
        <v>0</v>
      </c>
    </row>
    <row r="32" spans="1:3" x14ac:dyDescent="0.15">
      <c r="A32">
        <v>31</v>
      </c>
      <c r="B32" s="191" t="s">
        <v>223</v>
      </c>
      <c r="C32">
        <v>0</v>
      </c>
    </row>
    <row r="33" spans="1:3" x14ac:dyDescent="0.15">
      <c r="A33">
        <v>32</v>
      </c>
      <c r="B33" s="191" t="s">
        <v>224</v>
      </c>
      <c r="C33">
        <v>0</v>
      </c>
    </row>
    <row r="34" spans="1:3" x14ac:dyDescent="0.15">
      <c r="A34">
        <v>33</v>
      </c>
      <c r="B34" s="191" t="s">
        <v>225</v>
      </c>
      <c r="C3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80"/>
    <col min="2" max="2" width="41.83203125" style="80" bestFit="1" customWidth="1"/>
    <col min="3" max="3" width="9.33203125" style="80" bestFit="1" customWidth="1"/>
    <col min="4" max="4" width="13" style="80" bestFit="1" customWidth="1"/>
    <col min="5" max="6" width="9.33203125" style="80" bestFit="1" customWidth="1"/>
    <col min="7" max="7" width="9.33203125" style="96" bestFit="1" customWidth="1"/>
    <col min="8" max="8" width="9.33203125" style="80" bestFit="1" customWidth="1"/>
    <col min="9" max="9" width="11" style="80" customWidth="1"/>
    <col min="10" max="10" width="8.83203125" style="80"/>
    <col min="15" max="16384" width="8.83203125" style="80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44">
        <v>1</v>
      </c>
      <c r="B2" s="144" t="s">
        <v>193</v>
      </c>
      <c r="C2" s="8">
        <v>4.3612098693847656</v>
      </c>
      <c r="D2" s="9">
        <v>0.26800000667572021</v>
      </c>
      <c r="E2" s="9">
        <v>9.0000003576278687E-2</v>
      </c>
      <c r="F2" s="9">
        <v>57.659999847412109</v>
      </c>
      <c r="G2" s="7">
        <v>0</v>
      </c>
      <c r="H2" s="9">
        <v>1.5608741668984294E-3</v>
      </c>
      <c r="I2">
        <v>0</v>
      </c>
      <c r="J2"/>
    </row>
    <row r="3" spans="1:10" ht="15" customHeight="1" x14ac:dyDescent="0.15">
      <c r="A3" s="145">
        <v>2</v>
      </c>
      <c r="B3" s="145" t="s">
        <v>194</v>
      </c>
      <c r="C3" s="8">
        <v>3.7225131988525391</v>
      </c>
      <c r="D3" s="9">
        <v>7.2999998927116394E-2</v>
      </c>
      <c r="E3" s="9">
        <v>9.0000003576278687E-2</v>
      </c>
      <c r="F3" s="9">
        <v>69.955001831054688</v>
      </c>
      <c r="G3" s="7">
        <v>0</v>
      </c>
      <c r="H3" s="9">
        <v>1.2865413445979357E-3</v>
      </c>
      <c r="I3">
        <v>0</v>
      </c>
      <c r="J3"/>
    </row>
    <row r="4" spans="1:10" ht="15" customHeight="1" x14ac:dyDescent="0.15">
      <c r="A4" s="146">
        <v>3</v>
      </c>
      <c r="B4" s="146" t="s">
        <v>195</v>
      </c>
      <c r="C4" s="8">
        <v>4.7257890701293945</v>
      </c>
      <c r="D4" s="9">
        <v>0.58499997854232788</v>
      </c>
      <c r="E4" s="9">
        <v>7.9999998211860657E-2</v>
      </c>
      <c r="F4" s="9">
        <v>20.797000885009766</v>
      </c>
      <c r="G4" s="7">
        <v>0</v>
      </c>
      <c r="H4" s="9">
        <v>3.8467084523290396E-3</v>
      </c>
      <c r="I4">
        <v>0</v>
      </c>
      <c r="J4"/>
    </row>
    <row r="5" spans="1:10" ht="15" customHeight="1" x14ac:dyDescent="0.15">
      <c r="A5" s="147">
        <v>4</v>
      </c>
      <c r="B5" s="147" t="s">
        <v>196</v>
      </c>
      <c r="C5" s="8">
        <v>5.1794424057006836</v>
      </c>
      <c r="D5" s="9">
        <v>2.1800000667572021</v>
      </c>
      <c r="E5" s="9">
        <v>7.9999998211860657E-2</v>
      </c>
      <c r="F5" s="9">
        <v>21.670000076293945</v>
      </c>
      <c r="G5" s="7">
        <v>0</v>
      </c>
      <c r="H5" s="9">
        <v>3.6917396355420351E-3</v>
      </c>
      <c r="I5">
        <v>0</v>
      </c>
      <c r="J5"/>
    </row>
    <row r="6" spans="1:10" ht="15" customHeight="1" x14ac:dyDescent="0.15">
      <c r="A6" s="148">
        <v>5</v>
      </c>
      <c r="B6" s="148" t="s">
        <v>197</v>
      </c>
      <c r="C6" s="8">
        <v>4.6104512214660645</v>
      </c>
      <c r="D6" s="9">
        <v>1.4429999589920044</v>
      </c>
      <c r="E6" s="9">
        <v>7.9999998211860657E-2</v>
      </c>
      <c r="F6" s="9">
        <v>26.114999771118164</v>
      </c>
      <c r="G6" s="9">
        <v>0.87491345405578613</v>
      </c>
      <c r="H6" s="9">
        <v>3.0633735004812479E-3</v>
      </c>
      <c r="I6">
        <v>0.10100000351667404</v>
      </c>
      <c r="J6"/>
    </row>
    <row r="7" spans="1:10" ht="15" customHeight="1" x14ac:dyDescent="0.15">
      <c r="A7" s="149">
        <v>6</v>
      </c>
      <c r="B7" s="149" t="s">
        <v>198</v>
      </c>
      <c r="C7" s="8">
        <v>4.6407384872436523</v>
      </c>
      <c r="D7" s="9">
        <v>0.82899999618530273</v>
      </c>
      <c r="E7" s="9">
        <v>5.000000074505806E-2</v>
      </c>
      <c r="F7" s="9">
        <v>10.340000152587891</v>
      </c>
      <c r="G7" s="7">
        <v>0</v>
      </c>
      <c r="H7" s="9">
        <v>4.8355897888541222E-3</v>
      </c>
      <c r="I7">
        <v>0</v>
      </c>
      <c r="J7"/>
    </row>
    <row r="8" spans="1:10" ht="15" customHeight="1" x14ac:dyDescent="0.15">
      <c r="A8" s="150">
        <v>7</v>
      </c>
      <c r="B8" s="150" t="s">
        <v>199</v>
      </c>
      <c r="C8" s="8">
        <v>4.6849722862243652</v>
      </c>
      <c r="D8" s="9">
        <v>0.11699999868869781</v>
      </c>
      <c r="E8" s="9">
        <v>7.9999998211860657E-2</v>
      </c>
      <c r="F8" s="9">
        <v>40.689998626708984</v>
      </c>
      <c r="G8" s="9">
        <v>0.83333331346511841</v>
      </c>
      <c r="H8" s="9">
        <v>1.9660850521177053E-3</v>
      </c>
      <c r="I8">
        <v>7.799999788403511E-3</v>
      </c>
      <c r="J8"/>
    </row>
    <row r="9" spans="1:10" ht="15" customHeight="1" x14ac:dyDescent="0.15">
      <c r="A9" s="151">
        <v>8</v>
      </c>
      <c r="B9" s="151" t="s">
        <v>200</v>
      </c>
      <c r="C9" s="8">
        <v>4.6602616310119629</v>
      </c>
      <c r="D9" s="9">
        <v>48.450000762939453</v>
      </c>
      <c r="E9" s="9">
        <v>0.63050001859664917</v>
      </c>
      <c r="F9" s="9">
        <v>2.0283999443054199</v>
      </c>
      <c r="G9" s="9">
        <v>0.99068129062652588</v>
      </c>
      <c r="H9" s="9">
        <v>0.31083613634109497</v>
      </c>
      <c r="I9">
        <v>10.420000076293945</v>
      </c>
      <c r="J9"/>
    </row>
    <row r="10" spans="1:10" ht="15" customHeight="1" x14ac:dyDescent="0.15">
      <c r="A10" s="152">
        <v>9</v>
      </c>
      <c r="B10" s="152" t="s">
        <v>201</v>
      </c>
      <c r="C10" s="8">
        <v>4.0117478370666504</v>
      </c>
      <c r="D10" s="9">
        <v>130.02000427246094</v>
      </c>
      <c r="E10" s="9">
        <v>0.65700000524520874</v>
      </c>
      <c r="F10" s="9">
        <v>3.4200000762939453</v>
      </c>
      <c r="G10" s="9">
        <v>0.98068535327911377</v>
      </c>
      <c r="H10" s="9">
        <v>0.19210526347160339</v>
      </c>
      <c r="I10">
        <v>24.5</v>
      </c>
      <c r="J10"/>
    </row>
    <row r="11" spans="1:10" ht="15" customHeight="1" x14ac:dyDescent="0.15">
      <c r="A11" s="153">
        <v>10</v>
      </c>
      <c r="B11" s="153" t="s">
        <v>202</v>
      </c>
      <c r="C11" s="8">
        <v>3.488677978515625</v>
      </c>
      <c r="D11" s="9">
        <v>311.20001220703125</v>
      </c>
      <c r="E11" s="9">
        <v>0.55000001192092896</v>
      </c>
      <c r="F11" s="9">
        <v>5.3000001907348633</v>
      </c>
      <c r="G11" s="9">
        <v>0.76460307836532593</v>
      </c>
      <c r="H11" s="9">
        <v>0.10377358645200729</v>
      </c>
      <c r="I11">
        <v>27.430000305175781</v>
      </c>
      <c r="J11"/>
    </row>
    <row r="12" spans="1:10" ht="15" customHeight="1" x14ac:dyDescent="0.15">
      <c r="A12" s="154">
        <v>11</v>
      </c>
      <c r="B12" s="154" t="s">
        <v>203</v>
      </c>
      <c r="C12" s="8">
        <v>3.4121339321136475</v>
      </c>
      <c r="D12" s="9">
        <v>28.969999313354492</v>
      </c>
      <c r="E12" s="9">
        <v>0.87599998712539673</v>
      </c>
      <c r="F12" s="9">
        <v>5.5100002288818359</v>
      </c>
      <c r="G12" s="9">
        <v>0.94925236701965332</v>
      </c>
      <c r="H12" s="9">
        <v>0.15898366272449493</v>
      </c>
      <c r="I12">
        <v>5.1999998092651367</v>
      </c>
      <c r="J12"/>
    </row>
    <row r="13" spans="1:10" ht="15" customHeight="1" x14ac:dyDescent="0.15">
      <c r="A13" s="155">
        <v>12</v>
      </c>
      <c r="B13" s="155" t="s">
        <v>204</v>
      </c>
      <c r="C13" s="8">
        <v>3.7339088916778564</v>
      </c>
      <c r="D13" s="9">
        <v>145.92999267578125</v>
      </c>
      <c r="E13" s="9">
        <v>0.79519999027252197</v>
      </c>
      <c r="F13" s="9">
        <v>4.4000000953674316</v>
      </c>
      <c r="G13" s="9">
        <v>0.97787493467330933</v>
      </c>
      <c r="H13" s="9">
        <v>0.1807272732257843</v>
      </c>
      <c r="I13">
        <v>6.7299995422363281</v>
      </c>
      <c r="J13"/>
    </row>
    <row r="14" spans="1:10" ht="15" customHeight="1" x14ac:dyDescent="0.15">
      <c r="A14" s="156">
        <v>13</v>
      </c>
      <c r="B14" s="156" t="s">
        <v>205</v>
      </c>
      <c r="C14" s="8">
        <v>3.6896359920501709</v>
      </c>
      <c r="D14" s="9">
        <v>262.20999145507812</v>
      </c>
      <c r="E14" s="9">
        <v>0.5130000114440918</v>
      </c>
      <c r="F14" s="9">
        <v>4</v>
      </c>
      <c r="G14" s="9">
        <v>0.98689454793930054</v>
      </c>
      <c r="H14" s="9">
        <v>0.12825000286102295</v>
      </c>
      <c r="I14">
        <v>17.819999694824219</v>
      </c>
      <c r="J14"/>
    </row>
    <row r="15" spans="1:10" ht="15" customHeight="1" x14ac:dyDescent="0.15">
      <c r="A15" s="157">
        <v>14</v>
      </c>
      <c r="B15" s="157" t="s">
        <v>206</v>
      </c>
      <c r="C15" s="8">
        <v>3.6721491813659668</v>
      </c>
      <c r="D15" s="9">
        <v>55.75</v>
      </c>
      <c r="E15" s="9">
        <v>1.8200000524520874</v>
      </c>
      <c r="F15" s="9">
        <v>8.6840000152587891</v>
      </c>
      <c r="G15" s="9">
        <v>0.82502537965774536</v>
      </c>
      <c r="H15" s="9">
        <v>0.20958083868026733</v>
      </c>
      <c r="I15">
        <v>16.799999237060547</v>
      </c>
      <c r="J15"/>
    </row>
    <row r="16" spans="1:10" ht="15" customHeight="1" x14ac:dyDescent="0.15">
      <c r="A16" s="158">
        <v>15</v>
      </c>
      <c r="B16" s="158" t="s">
        <v>207</v>
      </c>
      <c r="C16" s="8">
        <v>3.4436569213867188</v>
      </c>
      <c r="D16" s="9">
        <v>184.22999572753906</v>
      </c>
      <c r="E16" s="9">
        <v>0.68000000715255737</v>
      </c>
      <c r="F16" s="9">
        <v>8.9650001525878906</v>
      </c>
      <c r="G16" s="9">
        <v>0.7873796820640564</v>
      </c>
      <c r="H16" s="9">
        <v>7.5850531458854675E-2</v>
      </c>
      <c r="I16">
        <v>10.819999694824219</v>
      </c>
      <c r="J16"/>
    </row>
    <row r="17" spans="1:10" ht="15" customHeight="1" x14ac:dyDescent="0.15">
      <c r="A17" s="159">
        <v>16</v>
      </c>
      <c r="B17" s="159" t="s">
        <v>208</v>
      </c>
      <c r="C17" s="8">
        <v>3.6721491813659668</v>
      </c>
      <c r="D17" s="9">
        <v>49.779998779296875</v>
      </c>
      <c r="E17" s="9">
        <v>1.3400000333786011</v>
      </c>
      <c r="F17" s="9">
        <v>11.590000152587891</v>
      </c>
      <c r="G17" s="9">
        <v>0.67887461185455322</v>
      </c>
      <c r="H17" s="9">
        <v>0.11561691015958786</v>
      </c>
      <c r="I17">
        <v>0</v>
      </c>
      <c r="J17"/>
    </row>
    <row r="18" spans="1:10" ht="15" customHeight="1" x14ac:dyDescent="0.15">
      <c r="A18" s="160">
        <v>17</v>
      </c>
      <c r="B18" s="160" t="s">
        <v>209</v>
      </c>
      <c r="C18" s="8">
        <v>3.7023179531097412</v>
      </c>
      <c r="D18" s="9">
        <v>10.389299392700195</v>
      </c>
      <c r="E18" s="9">
        <v>2.75</v>
      </c>
      <c r="F18" s="9">
        <v>7</v>
      </c>
      <c r="G18" s="9">
        <v>0.9500001072883606</v>
      </c>
      <c r="H18" s="9">
        <v>0.3928571343421936</v>
      </c>
      <c r="I18">
        <v>3.5299999713897705</v>
      </c>
      <c r="J18"/>
    </row>
    <row r="19" spans="1:10" ht="15" customHeight="1" x14ac:dyDescent="0.15">
      <c r="A19" s="161">
        <v>18</v>
      </c>
      <c r="B19" s="161" t="s">
        <v>210</v>
      </c>
      <c r="C19" s="8">
        <v>4.444242000579834</v>
      </c>
      <c r="D19" s="9">
        <v>14.108838081359863</v>
      </c>
      <c r="E19" s="9">
        <v>3.2000000476837158</v>
      </c>
      <c r="F19" s="9">
        <v>7.5</v>
      </c>
      <c r="G19" s="9">
        <v>0.94999998807907104</v>
      </c>
      <c r="H19" s="9">
        <v>0.42666667699813843</v>
      </c>
      <c r="I19">
        <v>1.9900000095367432</v>
      </c>
      <c r="J19"/>
    </row>
    <row r="20" spans="1:10" ht="15" customHeight="1" x14ac:dyDescent="0.15">
      <c r="A20" s="162">
        <v>19</v>
      </c>
      <c r="B20" s="162" t="s">
        <v>211</v>
      </c>
      <c r="C20" s="8">
        <v>3.2321257591247559</v>
      </c>
      <c r="D20" s="9">
        <v>116.75</v>
      </c>
      <c r="E20" s="9">
        <v>2.2999999523162842</v>
      </c>
      <c r="F20" s="9">
        <v>11.5</v>
      </c>
      <c r="G20" s="9">
        <v>0.99887353181838989</v>
      </c>
      <c r="H20" s="9">
        <v>0.20000000298023224</v>
      </c>
      <c r="I20">
        <v>4</v>
      </c>
      <c r="J20"/>
    </row>
    <row r="21" spans="1:10" ht="15" customHeight="1" x14ac:dyDescent="0.15">
      <c r="A21" s="163">
        <v>20</v>
      </c>
      <c r="B21" s="163" t="s">
        <v>212</v>
      </c>
      <c r="C21" s="8">
        <v>2</v>
      </c>
      <c r="D21" s="9">
        <v>16.969999313354492</v>
      </c>
      <c r="E21" s="9">
        <v>1.5299999713897705</v>
      </c>
      <c r="F21" s="9">
        <v>15.299999237060547</v>
      </c>
      <c r="G21" s="9">
        <v>0.90847480297088623</v>
      </c>
      <c r="H21" s="9">
        <v>0.10000000149011612</v>
      </c>
      <c r="I21">
        <v>0</v>
      </c>
      <c r="J21"/>
    </row>
    <row r="22" spans="1:10" ht="15" customHeight="1" x14ac:dyDescent="0.15">
      <c r="A22" s="164">
        <v>21</v>
      </c>
      <c r="B22" s="164" t="s">
        <v>213</v>
      </c>
      <c r="C22" s="8">
        <v>2.3400001525878906</v>
      </c>
      <c r="D22" s="9">
        <v>234.83000183105469</v>
      </c>
      <c r="E22" s="9">
        <v>1.6000000238418579</v>
      </c>
      <c r="F22" s="9">
        <v>8</v>
      </c>
      <c r="G22" s="9">
        <v>0.83432275056838989</v>
      </c>
      <c r="H22" s="9">
        <v>0.20000000298023224</v>
      </c>
      <c r="I22">
        <v>0</v>
      </c>
      <c r="J22"/>
    </row>
    <row r="23" spans="1:10" ht="15" customHeight="1" x14ac:dyDescent="0.15">
      <c r="A23" s="165">
        <v>22</v>
      </c>
      <c r="B23" s="165" t="s">
        <v>214</v>
      </c>
      <c r="C23" s="8">
        <v>2</v>
      </c>
      <c r="D23" s="9">
        <v>223.92999267578125</v>
      </c>
      <c r="E23" s="9">
        <v>2.7999999523162842</v>
      </c>
      <c r="F23" s="9">
        <v>14</v>
      </c>
      <c r="G23" s="9">
        <v>0.89145922660827637</v>
      </c>
      <c r="H23" s="9">
        <v>0.20000000298023224</v>
      </c>
      <c r="I23">
        <v>0</v>
      </c>
      <c r="J23"/>
    </row>
    <row r="24" spans="1:10" ht="15" customHeight="1" x14ac:dyDescent="0.15">
      <c r="A24" s="166">
        <v>23</v>
      </c>
      <c r="B24" s="166" t="s">
        <v>215</v>
      </c>
      <c r="C24" s="8">
        <v>2</v>
      </c>
      <c r="D24" s="9">
        <v>100</v>
      </c>
      <c r="E24" s="9">
        <v>10</v>
      </c>
      <c r="F24" s="9">
        <v>50</v>
      </c>
      <c r="G24" s="9">
        <v>0.92068886756896973</v>
      </c>
      <c r="H24" s="9">
        <v>0.20000000298023224</v>
      </c>
      <c r="I24">
        <v>0</v>
      </c>
      <c r="J24"/>
    </row>
    <row r="25" spans="1:10" ht="15" customHeight="1" x14ac:dyDescent="0.15">
      <c r="A25" s="167">
        <v>24</v>
      </c>
      <c r="B25" s="167" t="s">
        <v>216</v>
      </c>
      <c r="C25" s="8">
        <v>2.1424617767333984</v>
      </c>
      <c r="D25" s="9">
        <v>38</v>
      </c>
      <c r="E25" s="9">
        <v>20</v>
      </c>
      <c r="F25" s="9">
        <v>100</v>
      </c>
      <c r="G25" s="9">
        <v>0.93591815233230591</v>
      </c>
      <c r="H25" s="9">
        <v>0.20000000298023224</v>
      </c>
      <c r="I25">
        <v>0</v>
      </c>
      <c r="J25"/>
    </row>
    <row r="26" spans="1:10" ht="15" customHeight="1" x14ac:dyDescent="0.15">
      <c r="A26" s="168">
        <v>25</v>
      </c>
      <c r="B26" s="168" t="s">
        <v>217</v>
      </c>
      <c r="C26" s="8">
        <v>2.5698466300964355</v>
      </c>
      <c r="D26" s="9">
        <v>120</v>
      </c>
      <c r="E26" s="9">
        <v>6.1342611312866211</v>
      </c>
      <c r="F26" s="9">
        <v>38</v>
      </c>
      <c r="G26" s="9">
        <v>0.94999992847442627</v>
      </c>
      <c r="H26" s="9">
        <v>0.16142792999744415</v>
      </c>
      <c r="I26">
        <v>0</v>
      </c>
      <c r="J26"/>
    </row>
    <row r="27" spans="1:10" ht="15" customHeight="1" x14ac:dyDescent="0.15">
      <c r="A27" s="169">
        <v>26</v>
      </c>
      <c r="B27" s="169" t="s">
        <v>218</v>
      </c>
      <c r="C27" s="8">
        <v>2.6721491813659668</v>
      </c>
      <c r="D27" s="9">
        <v>638</v>
      </c>
      <c r="E27" s="9">
        <v>13.269037246704102</v>
      </c>
      <c r="F27" s="9">
        <v>80</v>
      </c>
      <c r="G27" s="9">
        <v>0.94999998807907104</v>
      </c>
      <c r="H27" s="9">
        <v>0.16586296260356903</v>
      </c>
      <c r="I27">
        <v>0</v>
      </c>
      <c r="J27"/>
    </row>
    <row r="28" spans="1:10" ht="15" customHeight="1" x14ac:dyDescent="0.15">
      <c r="A28" s="170">
        <v>27</v>
      </c>
      <c r="B28" s="170" t="s">
        <v>219</v>
      </c>
      <c r="C28" s="8">
        <v>2.1770834922790527</v>
      </c>
      <c r="D28" s="9">
        <v>894</v>
      </c>
      <c r="E28" s="9">
        <v>44.912796020507812</v>
      </c>
      <c r="F28" s="9">
        <v>316</v>
      </c>
      <c r="G28" s="9">
        <v>0.94999998807907104</v>
      </c>
      <c r="H28" s="9">
        <v>0.14212910830974579</v>
      </c>
      <c r="I28">
        <v>0</v>
      </c>
      <c r="J28"/>
    </row>
    <row r="29" spans="1:10" ht="15" customHeight="1" x14ac:dyDescent="0.15">
      <c r="A29" s="171">
        <v>28</v>
      </c>
      <c r="B29" s="171" t="s">
        <v>220</v>
      </c>
      <c r="C29" s="8">
        <v>2</v>
      </c>
      <c r="D29" s="9">
        <v>394</v>
      </c>
      <c r="E29" s="9">
        <v>115</v>
      </c>
      <c r="F29" s="9">
        <v>328.57144165039062</v>
      </c>
      <c r="G29" s="9">
        <v>0.81053894758224487</v>
      </c>
      <c r="H29" s="9">
        <v>0.34999999403953552</v>
      </c>
      <c r="I29">
        <v>0</v>
      </c>
      <c r="J29"/>
    </row>
    <row r="30" spans="1:10" ht="15" customHeight="1" x14ac:dyDescent="0.15">
      <c r="A30" s="172">
        <v>29</v>
      </c>
      <c r="B30" s="172" t="s">
        <v>221</v>
      </c>
      <c r="C30" s="8">
        <v>1</v>
      </c>
      <c r="D30" s="9">
        <v>1046</v>
      </c>
      <c r="E30" s="9">
        <v>119</v>
      </c>
      <c r="F30" s="10"/>
      <c r="G30" s="9">
        <v>0.85123682022094727</v>
      </c>
      <c r="H30" s="10"/>
      <c r="I30">
        <v>0</v>
      </c>
      <c r="J30"/>
    </row>
    <row r="31" spans="1:10" ht="15" customHeight="1" x14ac:dyDescent="0.15">
      <c r="A31" s="173">
        <v>30</v>
      </c>
      <c r="B31" s="173" t="s">
        <v>222</v>
      </c>
      <c r="C31" s="8">
        <v>1</v>
      </c>
      <c r="D31" s="9">
        <v>448</v>
      </c>
      <c r="E31" s="9">
        <v>151</v>
      </c>
      <c r="F31" s="10"/>
      <c r="G31" s="9">
        <v>0.75169587135314941</v>
      </c>
      <c r="H31" s="10"/>
      <c r="I31">
        <v>0</v>
      </c>
      <c r="J31"/>
    </row>
    <row r="32" spans="1:10" ht="15" customHeight="1" x14ac:dyDescent="0.15">
      <c r="A32" s="201">
        <v>31</v>
      </c>
      <c r="B32" s="201" t="s">
        <v>223</v>
      </c>
      <c r="C32" s="8">
        <v>1</v>
      </c>
      <c r="D32" s="9">
        <v>46.669998168945312</v>
      </c>
      <c r="E32" s="10"/>
      <c r="F32" s="10"/>
      <c r="G32" s="9">
        <v>0.73148101568222046</v>
      </c>
      <c r="H32" s="10"/>
      <c r="I32">
        <v>0</v>
      </c>
      <c r="J32"/>
    </row>
    <row r="33" spans="1:10" ht="15" customHeight="1" x14ac:dyDescent="0.15">
      <c r="A33" s="202">
        <v>32</v>
      </c>
      <c r="B33" s="202" t="s">
        <v>224</v>
      </c>
      <c r="C33" s="8">
        <v>1</v>
      </c>
      <c r="D33" s="9">
        <v>2800</v>
      </c>
      <c r="E33" s="10"/>
      <c r="F33" s="10"/>
      <c r="G33" s="7">
        <v>0.97325867414474487</v>
      </c>
      <c r="H33" s="10"/>
      <c r="I33">
        <v>0</v>
      </c>
      <c r="J33"/>
    </row>
    <row r="34" spans="1:10" ht="15" customHeight="1" x14ac:dyDescent="0.15">
      <c r="A34" s="203">
        <v>33</v>
      </c>
      <c r="B34" s="203" t="s">
        <v>225</v>
      </c>
      <c r="C34" s="8">
        <v>1</v>
      </c>
      <c r="D34" s="9">
        <v>5</v>
      </c>
      <c r="E34" s="10"/>
      <c r="F34" s="10"/>
      <c r="G34" s="7">
        <v>0</v>
      </c>
      <c r="H34" s="10"/>
      <c r="I34">
        <v>0</v>
      </c>
      <c r="J34"/>
    </row>
    <row r="35" spans="1:10" ht="15" customHeight="1" x14ac:dyDescent="0.15">
      <c r="A35" s="204">
        <v>34</v>
      </c>
      <c r="B35" s="204" t="s">
        <v>226</v>
      </c>
      <c r="C35" s="8">
        <v>4.7531094551086426</v>
      </c>
      <c r="D35" s="10"/>
      <c r="E35" s="10"/>
      <c r="F35" s="10"/>
      <c r="G35" s="10"/>
      <c r="H35" s="10"/>
      <c r="I35">
        <v>129.34880065917969</v>
      </c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0" bestFit="1" customWidth="1"/>
    <col min="2" max="4" width="9.5" style="80" bestFit="1" customWidth="1"/>
    <col min="5" max="7" width="9" style="80" bestFit="1" customWidth="1"/>
    <col min="8" max="16" width="12.6640625" style="80" bestFit="1" customWidth="1"/>
    <col min="17" max="17" width="12.33203125" style="80" bestFit="1" customWidth="1"/>
    <col min="18" max="18" width="8.83203125" style="80"/>
    <col min="19" max="21" width="9.33203125" style="80" bestFit="1" customWidth="1"/>
    <col min="22" max="23" width="8.83203125" style="80"/>
    <col min="24" max="24" width="9.33203125" style="80" bestFit="1" customWidth="1"/>
    <col min="25" max="27" width="8.83203125" style="80"/>
    <col min="28" max="58" width="9" style="80" bestFit="1" customWidth="1"/>
    <col min="59" max="59" width="12.33203125" style="80" bestFit="1" customWidth="1"/>
    <col min="60" max="60" width="9" style="80" bestFit="1" customWidth="1"/>
    <col min="61" max="61" width="11.33203125" style="80" bestFit="1" customWidth="1"/>
    <col min="62" max="77" width="9" style="80" bestFit="1" customWidth="1"/>
    <col min="78" max="78" width="12.33203125" style="80" bestFit="1" customWidth="1"/>
    <col min="79" max="79" width="9" style="80" bestFit="1" customWidth="1"/>
    <col min="80" max="80" width="12.33203125" style="80" bestFit="1" customWidth="1"/>
    <col min="81" max="107" width="9" style="80" bestFit="1" customWidth="1"/>
    <col min="108" max="108" width="11.33203125" style="80" bestFit="1" customWidth="1"/>
    <col min="109" max="124" width="9" style="80" bestFit="1" customWidth="1"/>
    <col min="125" max="125" width="10.33203125" style="80" bestFit="1" customWidth="1"/>
    <col min="126" max="129" width="9.33203125" style="80" bestFit="1" customWidth="1"/>
    <col min="130" max="130" width="9" style="80" bestFit="1" customWidth="1"/>
    <col min="131" max="134" width="9.33203125" style="80" bestFit="1" customWidth="1"/>
    <col min="135" max="165" width="9" style="80" bestFit="1" customWidth="1"/>
    <col min="166" max="166" width="12.33203125" style="80" bestFit="1" customWidth="1"/>
    <col min="167" max="170" width="9" style="80" bestFit="1" customWidth="1"/>
    <col min="171" max="176" width="8.83203125" style="80"/>
    <col min="177" max="177" width="13.83203125" style="80" bestFit="1" customWidth="1"/>
    <col min="178" max="16384" width="8.83203125" style="80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231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200</v>
      </c>
      <c r="M1" t="s">
        <v>201</v>
      </c>
      <c r="N1" t="s">
        <v>202</v>
      </c>
      <c r="O1" t="s">
        <v>203</v>
      </c>
      <c r="P1" t="s">
        <v>204</v>
      </c>
      <c r="Q1" t="s">
        <v>205</v>
      </c>
      <c r="R1" t="s">
        <v>206</v>
      </c>
      <c r="S1" t="s">
        <v>207</v>
      </c>
      <c r="T1" t="s">
        <v>208</v>
      </c>
      <c r="U1" t="s">
        <v>209</v>
      </c>
      <c r="V1" t="s">
        <v>210</v>
      </c>
      <c r="W1" t="s">
        <v>211</v>
      </c>
      <c r="X1" t="s">
        <v>212</v>
      </c>
      <c r="Y1" t="s">
        <v>213</v>
      </c>
      <c r="Z1" t="s">
        <v>214</v>
      </c>
      <c r="AA1" t="s">
        <v>215</v>
      </c>
      <c r="AB1" t="s">
        <v>216</v>
      </c>
      <c r="AC1" t="s">
        <v>217</v>
      </c>
      <c r="AD1" t="s">
        <v>218</v>
      </c>
      <c r="AE1" t="s">
        <v>219</v>
      </c>
      <c r="AF1" t="s">
        <v>220</v>
      </c>
      <c r="AG1" t="s">
        <v>221</v>
      </c>
      <c r="AH1" t="s">
        <v>222</v>
      </c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9.0000003576278687E-2</v>
      </c>
      <c r="C2">
        <v>9.0000003576278687E-2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9.0000003576278687E-2</v>
      </c>
      <c r="C3">
        <v>9.0000003576278687E-2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7.9999998211860657E-2</v>
      </c>
      <c r="C4">
        <v>7.9999998211860657E-2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7.9999998211860657E-2</v>
      </c>
      <c r="C5">
        <v>7.9999998211860657E-2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7.9999998211860657E-2</v>
      </c>
      <c r="C6">
        <v>1.0006923228502274E-2</v>
      </c>
      <c r="D6" s="205">
        <v>6.9993071258068085E-2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5.000000074505806E-2</v>
      </c>
      <c r="C7">
        <v>5.000000074505806E-2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7.9999998211860657E-2</v>
      </c>
      <c r="C8">
        <v>1.33333345875144E-2</v>
      </c>
      <c r="D8" s="206">
        <v>6.6666662693023682E-2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0.63050001859664917</v>
      </c>
      <c r="C9">
        <v>5.875446368008852E-3</v>
      </c>
      <c r="D9" s="207">
        <v>0.21506707370281219</v>
      </c>
      <c r="E9"/>
      <c r="F9"/>
      <c r="G9" s="22">
        <v>3.5155303776264191E-3</v>
      </c>
      <c r="H9" s="241">
        <v>0.39294037222862244</v>
      </c>
      <c r="I9" s="18">
        <v>1.1666855774819851E-2</v>
      </c>
      <c r="J9" s="11">
        <v>3.5384355578571558E-4</v>
      </c>
      <c r="K9" s="13">
        <v>1.0808673687279224E-3</v>
      </c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0.65700000524520874</v>
      </c>
      <c r="C10">
        <v>1.2689722701907158E-2</v>
      </c>
      <c r="D10" s="208">
        <v>0.18843254446983337</v>
      </c>
      <c r="E10"/>
      <c r="F10"/>
      <c r="G10" s="16">
        <v>9.0764956548810005E-3</v>
      </c>
      <c r="H10" s="225">
        <v>7.2666667401790619E-2</v>
      </c>
      <c r="I10" s="16">
        <v>8.984789252281189E-3</v>
      </c>
      <c r="J10" s="21">
        <v>5.6038154289126396E-3</v>
      </c>
      <c r="K10" s="16">
        <v>8.7876869365572929E-3</v>
      </c>
      <c r="L10" s="239">
        <v>0.12093643844127655</v>
      </c>
      <c r="M10" s="105">
        <v>0.10260000824928284</v>
      </c>
      <c r="N10"/>
      <c r="O10" s="20">
        <v>1.2276933528482914E-2</v>
      </c>
      <c r="P10"/>
      <c r="Q10"/>
      <c r="R10"/>
      <c r="S10"/>
      <c r="T10"/>
      <c r="U10" s="65">
        <v>3.3560264855623245E-2</v>
      </c>
      <c r="V10" s="104">
        <v>8.1384621560573578E-2</v>
      </c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0.55000001192092896</v>
      </c>
      <c r="C11">
        <v>0.12946830689907074</v>
      </c>
      <c r="D11" s="209">
        <v>8.8142670691013336E-2</v>
      </c>
      <c r="E11" s="14">
        <v>4.965578205883503E-3</v>
      </c>
      <c r="F11"/>
      <c r="G11" s="24">
        <v>1.348764356225729E-2</v>
      </c>
      <c r="H11" s="13">
        <v>1.0626099538058043E-3</v>
      </c>
      <c r="I11" s="11">
        <v>4.8436946235597134E-4</v>
      </c>
      <c r="J11" s="11">
        <v>1.6526722174603492E-4</v>
      </c>
      <c r="K11" s="22">
        <v>3.3043625298887491E-3</v>
      </c>
      <c r="L11" s="225">
        <v>6.0001399368047714E-2</v>
      </c>
      <c r="M11" s="75">
        <v>9.2877402901649475E-2</v>
      </c>
      <c r="N11" s="216">
        <v>2.6499999687075615E-2</v>
      </c>
      <c r="O11" s="23">
        <v>1.5387984924018383E-2</v>
      </c>
      <c r="P11" s="73">
        <v>3.5075720399618149E-2</v>
      </c>
      <c r="Q11" s="142">
        <v>3.370308130979538E-2</v>
      </c>
      <c r="R11"/>
      <c r="S11"/>
      <c r="T11"/>
      <c r="U11"/>
      <c r="V11" s="19">
        <v>2.3801863193511963E-2</v>
      </c>
      <c r="W11" s="226">
        <v>2.157173678278923E-2</v>
      </c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0.87599998712539673</v>
      </c>
      <c r="C12">
        <v>4.4454924762248993E-2</v>
      </c>
      <c r="D12" s="210">
        <v>0.17949603497982025</v>
      </c>
      <c r="E12"/>
      <c r="F12"/>
      <c r="G12" s="67">
        <v>6.2154106795787811E-2</v>
      </c>
      <c r="H12" s="224">
        <v>0.16306731104850769</v>
      </c>
      <c r="I12" s="27">
        <v>4.162534698843956E-2</v>
      </c>
      <c r="J12"/>
      <c r="K12" s="13">
        <v>1.9719970878213644E-3</v>
      </c>
      <c r="L12" s="108">
        <v>0.16961680352687836</v>
      </c>
      <c r="M12" s="222">
        <v>0.15349273383617401</v>
      </c>
      <c r="N12"/>
      <c r="O12" s="64">
        <v>5.5100001394748688E-2</v>
      </c>
      <c r="P12"/>
      <c r="Q12"/>
      <c r="R12"/>
      <c r="S12"/>
      <c r="T12"/>
      <c r="U12" s="22">
        <v>5.020718090236187E-3</v>
      </c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0.79519999027252197</v>
      </c>
      <c r="C13">
        <v>1.7593851312994957E-2</v>
      </c>
      <c r="D13" s="63">
        <v>4.6118002384901047E-2</v>
      </c>
      <c r="E13" s="17">
        <v>9.5303179696202278E-3</v>
      </c>
      <c r="F13" s="12">
        <v>2.4495997931808233E-3</v>
      </c>
      <c r="G13"/>
      <c r="H13" s="14">
        <v>7.4455821886658669E-3</v>
      </c>
      <c r="I13" s="18">
        <v>1.4461050741374493E-2</v>
      </c>
      <c r="J13" s="11">
        <v>2.3495814821217209E-4</v>
      </c>
      <c r="K13" s="11">
        <v>2.9361044289544225E-4</v>
      </c>
      <c r="L13" s="25">
        <v>6.0610145330429077E-2</v>
      </c>
      <c r="M13" s="245">
        <v>0.27424222230911255</v>
      </c>
      <c r="N13" s="67">
        <v>5.6512031704187393E-2</v>
      </c>
      <c r="O13"/>
      <c r="P13" s="242">
        <v>0.13199999928474426</v>
      </c>
      <c r="Q13" s="218">
        <v>3.5936407744884491E-2</v>
      </c>
      <c r="R13"/>
      <c r="S13"/>
      <c r="T13"/>
      <c r="U13"/>
      <c r="V13" s="107">
        <v>0.13777218759059906</v>
      </c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0.5130000114440918</v>
      </c>
      <c r="C14">
        <v>6.7230970598757267E-3</v>
      </c>
      <c r="D14" s="211">
        <v>6.7960791289806366E-2</v>
      </c>
      <c r="E14" s="15">
        <v>8.2506518810987473E-3</v>
      </c>
      <c r="F14" s="13">
        <v>1.3632968766614795E-3</v>
      </c>
      <c r="G14"/>
      <c r="H14" s="27">
        <v>2.3781547322869301E-2</v>
      </c>
      <c r="I14" s="16">
        <v>7.1858330629765987E-3</v>
      </c>
      <c r="J14" s="13">
        <v>1.2749420711770654E-3</v>
      </c>
      <c r="K14" s="14">
        <v>5.0111035816371441E-3</v>
      </c>
      <c r="L14" s="243">
        <v>7.4959747493267059E-2</v>
      </c>
      <c r="M14" s="246">
        <v>0.16958487033843994</v>
      </c>
      <c r="N14" s="142">
        <v>3.1451128423213959E-2</v>
      </c>
      <c r="O14" s="219">
        <v>1.2175332754850388E-2</v>
      </c>
      <c r="P14" s="236">
        <v>4.8975400626659393E-2</v>
      </c>
      <c r="Q14" s="226">
        <v>1.9999999552965164E-2</v>
      </c>
      <c r="R14"/>
      <c r="S14"/>
      <c r="T14"/>
      <c r="U14"/>
      <c r="V14" s="106">
        <v>3.4302219748497009E-2</v>
      </c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1.8200000524520874</v>
      </c>
      <c r="C15">
        <v>0.31845381855964661</v>
      </c>
      <c r="D15" s="212">
        <v>0.30134528875350952</v>
      </c>
      <c r="E15" s="14">
        <v>1.9402720034122467E-2</v>
      </c>
      <c r="F15" s="22">
        <v>1.1908034794032574E-2</v>
      </c>
      <c r="G15" s="11">
        <v>4.3645728146657348E-4</v>
      </c>
      <c r="H15" s="11">
        <v>1.6947301337495446E-3</v>
      </c>
      <c r="I15" s="233">
        <v>0.15276360511779785</v>
      </c>
      <c r="J15"/>
      <c r="K15" s="11">
        <v>2.5618277140893042E-4</v>
      </c>
      <c r="L15" s="237">
        <v>0.23797771334648132</v>
      </c>
      <c r="M15" s="74">
        <v>0.25523573160171509</v>
      </c>
      <c r="N15" s="229">
        <v>0.14792467653751373</v>
      </c>
      <c r="O15"/>
      <c r="P15" s="67">
        <v>0.12669079005718231</v>
      </c>
      <c r="Q15" s="65">
        <v>9.406636655330658E-2</v>
      </c>
      <c r="R15"/>
      <c r="S15"/>
      <c r="T15"/>
      <c r="U15"/>
      <c r="V15" s="233">
        <v>0.15184399485588074</v>
      </c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0.68000000715255737</v>
      </c>
      <c r="C16">
        <v>0.14458182454109192</v>
      </c>
      <c r="D16" s="213">
        <v>5.873093381524086E-2</v>
      </c>
      <c r="E16" s="27">
        <v>3.1873714178800583E-2</v>
      </c>
      <c r="F16" s="21">
        <v>5.8210394345223904E-3</v>
      </c>
      <c r="G16"/>
      <c r="H16" s="17">
        <v>7.9490775242447853E-3</v>
      </c>
      <c r="I16" s="240">
        <v>9.1842219233512878E-2</v>
      </c>
      <c r="J16" s="11">
        <v>2.7916822000406682E-4</v>
      </c>
      <c r="K16" s="21">
        <v>5.5041820742189884E-3</v>
      </c>
      <c r="L16" s="70">
        <v>6.4013011753559113E-2</v>
      </c>
      <c r="M16" s="244">
        <v>0.1206829696893692</v>
      </c>
      <c r="N16" s="106">
        <v>4.4763613492250443E-2</v>
      </c>
      <c r="O16"/>
      <c r="P16" s="27">
        <v>3.1367462128400803E-2</v>
      </c>
      <c r="Q16" s="63">
        <v>3.9851706475019455E-2</v>
      </c>
      <c r="R16"/>
      <c r="S16"/>
      <c r="T16"/>
      <c r="U16"/>
      <c r="V16" s="216">
        <v>3.2739121466875076E-2</v>
      </c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1.3400000333786011</v>
      </c>
      <c r="C17">
        <v>0.43030804395675659</v>
      </c>
      <c r="D17"/>
      <c r="E17" s="214">
        <v>4.3459288775920868E-2</v>
      </c>
      <c r="F17" s="21">
        <v>1.1284424923360348E-2</v>
      </c>
      <c r="G17"/>
      <c r="H17" s="22">
        <v>8.5408873856067657E-3</v>
      </c>
      <c r="I17" s="218">
        <v>6.056077778339386E-2</v>
      </c>
      <c r="J17"/>
      <c r="K17"/>
      <c r="L17" s="229">
        <v>0.10858134180307388</v>
      </c>
      <c r="M17" s="139">
        <v>0.16078811883926392</v>
      </c>
      <c r="N17" s="104">
        <v>0.16566494107246399</v>
      </c>
      <c r="O17"/>
      <c r="P17" s="106">
        <v>9.0290158987045288E-2</v>
      </c>
      <c r="Q17" s="71">
        <v>0.10534752905368805</v>
      </c>
      <c r="R17"/>
      <c r="S17"/>
      <c r="T17"/>
      <c r="U17"/>
      <c r="V17" s="220">
        <v>0.15517455339431763</v>
      </c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2.75</v>
      </c>
      <c r="C18">
        <v>0.13749970495700836</v>
      </c>
      <c r="D18" s="104">
        <v>0.33977267146110535</v>
      </c>
      <c r="E18"/>
      <c r="F18"/>
      <c r="G18" s="13">
        <v>7.026216946542263E-3</v>
      </c>
      <c r="H18"/>
      <c r="I18" s="19">
        <v>0.11607002466917038</v>
      </c>
      <c r="J18" s="215">
        <v>0.20049110054969788</v>
      </c>
      <c r="K18" s="13">
        <v>4.12410544231534E-3</v>
      </c>
      <c r="L18"/>
      <c r="M18" s="223">
        <v>0.42800617218017578</v>
      </c>
      <c r="N18" s="220">
        <v>0.31751134991645813</v>
      </c>
      <c r="O18" s="18">
        <v>4.6093013137578964E-2</v>
      </c>
      <c r="P18"/>
      <c r="Q18"/>
      <c r="R18"/>
      <c r="S18"/>
      <c r="T18"/>
      <c r="U18" s="217">
        <v>0.2800000011920929</v>
      </c>
      <c r="V18" s="138">
        <v>0.35647928714752197</v>
      </c>
      <c r="W18" s="228">
        <v>0.516926109790802</v>
      </c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3.2000000476837158</v>
      </c>
      <c r="C19">
        <v>0.1600000411272049</v>
      </c>
      <c r="D19" s="19">
        <v>0.14104634523391724</v>
      </c>
      <c r="E19"/>
      <c r="F19"/>
      <c r="G19" s="214">
        <v>0.10520228743553162</v>
      </c>
      <c r="H19" s="221">
        <v>0.31139177083969116</v>
      </c>
      <c r="I19" s="62">
        <v>6.6773653030395508E-2</v>
      </c>
      <c r="J19" s="13">
        <v>3.6453150678426027E-3</v>
      </c>
      <c r="K19" s="11">
        <v>2.6994314976036549E-3</v>
      </c>
      <c r="L19"/>
      <c r="M19" s="216">
        <v>0.15758506953716278</v>
      </c>
      <c r="N19" s="225">
        <v>0.35070785880088806</v>
      </c>
      <c r="O19" s="24">
        <v>7.9196669161319733E-2</v>
      </c>
      <c r="P19" s="67">
        <v>0.22754956781864166</v>
      </c>
      <c r="Q19" s="235">
        <v>0.74339216947555542</v>
      </c>
      <c r="R19"/>
      <c r="S19"/>
      <c r="T19"/>
      <c r="U19"/>
      <c r="V19" s="227">
        <v>0.375</v>
      </c>
      <c r="W19" s="231">
        <v>0.47580990195274353</v>
      </c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>
        <v>2.2999999523162842</v>
      </c>
      <c r="C20">
        <v>2.5908767711371183E-3</v>
      </c>
      <c r="D20" s="15">
        <v>3.4261241555213928E-2</v>
      </c>
      <c r="E20"/>
      <c r="F20"/>
      <c r="G20"/>
      <c r="H20"/>
      <c r="I20"/>
      <c r="J20"/>
      <c r="K20"/>
      <c r="L20"/>
      <c r="M20" s="248">
        <v>1.0473990440368652</v>
      </c>
      <c r="N20"/>
      <c r="O20" s="139">
        <v>0.27344703674316406</v>
      </c>
      <c r="P20"/>
      <c r="Q20" s="71">
        <v>0.17967279255390167</v>
      </c>
      <c r="R20"/>
      <c r="S20"/>
      <c r="T20"/>
      <c r="U20" s="238">
        <v>0.13081172108650208</v>
      </c>
      <c r="V20" s="20">
        <v>4.5317467302083969E-2</v>
      </c>
      <c r="W20" s="143">
        <v>0.58649998903274536</v>
      </c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212</v>
      </c>
      <c r="B21">
        <v>1.5299999713897705</v>
      </c>
      <c r="C21">
        <v>0.1400335431098938</v>
      </c>
      <c r="D21"/>
      <c r="E21"/>
      <c r="F21"/>
      <c r="G21"/>
      <c r="H21"/>
      <c r="I21"/>
      <c r="J21"/>
      <c r="K21"/>
      <c r="L21"/>
      <c r="M21" s="234">
        <v>0.52406418323516846</v>
      </c>
      <c r="N21"/>
      <c r="O21" s="232">
        <v>0.47031441330909729</v>
      </c>
      <c r="P21"/>
      <c r="Q21"/>
      <c r="R21"/>
      <c r="S21"/>
      <c r="T21"/>
      <c r="U21"/>
      <c r="V21"/>
      <c r="W21" s="230">
        <v>0.39558780193328857</v>
      </c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213</v>
      </c>
      <c r="B22">
        <v>1.6000000238418579</v>
      </c>
      <c r="C22">
        <v>0.26508361101150513</v>
      </c>
      <c r="D22"/>
      <c r="E22"/>
      <c r="F22"/>
      <c r="G22"/>
      <c r="H22"/>
      <c r="I22"/>
      <c r="J22"/>
      <c r="K22"/>
      <c r="L22"/>
      <c r="M22" s="26">
        <v>5.6807279586791992E-2</v>
      </c>
      <c r="N22"/>
      <c r="O22" s="65">
        <v>8.1569492816925049E-2</v>
      </c>
      <c r="P22"/>
      <c r="Q22"/>
      <c r="R22"/>
      <c r="S22"/>
      <c r="T22"/>
      <c r="U22" s="15">
        <v>2.4465709924697876E-2</v>
      </c>
      <c r="V22"/>
      <c r="W22" s="250">
        <v>1.1720739603042603</v>
      </c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214</v>
      </c>
      <c r="B23">
        <v>2.7999999523162842</v>
      </c>
      <c r="C23">
        <v>0.30391415953636169</v>
      </c>
      <c r="D23"/>
      <c r="E23"/>
      <c r="F23"/>
      <c r="G23"/>
      <c r="H23"/>
      <c r="I23"/>
      <c r="J23"/>
      <c r="K23"/>
      <c r="L23"/>
      <c r="M23" s="242">
        <v>0.46665069460868835</v>
      </c>
      <c r="N23"/>
      <c r="O23" s="247">
        <v>0.38492986559867859</v>
      </c>
      <c r="P23"/>
      <c r="Q23"/>
      <c r="R23"/>
      <c r="S23"/>
      <c r="T23"/>
      <c r="U23" s="14">
        <v>2.5656601414084435E-2</v>
      </c>
      <c r="V23"/>
      <c r="W23" s="253">
        <v>1.6188485622406006</v>
      </c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215</v>
      </c>
      <c r="B24">
        <v>10</v>
      </c>
      <c r="C24">
        <v>0.79311132431030273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 s="251">
        <v>2.8195123672485352</v>
      </c>
      <c r="X24"/>
      <c r="Y24" s="256">
        <v>6.3873763084411621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216</v>
      </c>
      <c r="B25">
        <v>20</v>
      </c>
      <c r="C25">
        <v>1.2816369533538818</v>
      </c>
      <c r="D25"/>
      <c r="E25"/>
      <c r="F25"/>
      <c r="G25"/>
      <c r="H25"/>
      <c r="I25"/>
      <c r="J25"/>
      <c r="K25"/>
      <c r="L25"/>
      <c r="M25" s="22">
        <v>0.11701800674200058</v>
      </c>
      <c r="N25" s="255">
        <v>16.493600845336914</v>
      </c>
      <c r="O25"/>
      <c r="P25"/>
      <c r="Q25" s="16">
        <v>0.27601051330566406</v>
      </c>
      <c r="R25"/>
      <c r="S25"/>
      <c r="T25"/>
      <c r="U25" s="18">
        <v>0.34448730945587158</v>
      </c>
      <c r="V25" s="17">
        <v>0.25061753392219543</v>
      </c>
      <c r="W25" s="64">
        <v>1.2366282939910889</v>
      </c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217</v>
      </c>
      <c r="B26">
        <v>6.1342611312866211</v>
      </c>
      <c r="C26">
        <v>0.30671349167823792</v>
      </c>
      <c r="D26"/>
      <c r="E26"/>
      <c r="F26" s="11">
        <v>5.1067150197923183E-3</v>
      </c>
      <c r="G26"/>
      <c r="H26"/>
      <c r="I26"/>
      <c r="J26" s="11">
        <v>3.5716083366423845E-3</v>
      </c>
      <c r="K26"/>
      <c r="L26"/>
      <c r="M26"/>
      <c r="N26" s="252">
        <v>2.4053168296813965</v>
      </c>
      <c r="O26"/>
      <c r="P26" s="224">
        <v>1.1397132873535156</v>
      </c>
      <c r="Q26" s="249">
        <v>1.3110500574111938</v>
      </c>
      <c r="R26"/>
      <c r="S26"/>
      <c r="T26"/>
      <c r="U26" s="26">
        <v>0.2121148556470871</v>
      </c>
      <c r="V26" s="16">
        <v>7.936222106218338E-2</v>
      </c>
      <c r="W26" s="225">
        <v>0.67131245136260986</v>
      </c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218</v>
      </c>
      <c r="B27">
        <v>13.269037246704102</v>
      </c>
      <c r="C27">
        <v>0.66345202922821045</v>
      </c>
      <c r="D27"/>
      <c r="E27"/>
      <c r="F27"/>
      <c r="G27"/>
      <c r="H27"/>
      <c r="I27"/>
      <c r="J27"/>
      <c r="K27"/>
      <c r="L27"/>
      <c r="M27"/>
      <c r="N27" s="229">
        <v>1.0599336624145508</v>
      </c>
      <c r="O27"/>
      <c r="P27" s="216">
        <v>0.65920096635818481</v>
      </c>
      <c r="Q27" s="257">
        <v>1.1885756254196167</v>
      </c>
      <c r="R27" s="238">
        <v>0.75882917642593384</v>
      </c>
      <c r="S27" s="105">
        <v>2.0709993839263916</v>
      </c>
      <c r="T27" s="254">
        <v>0.90431064367294312</v>
      </c>
      <c r="U27"/>
      <c r="V27" s="11">
        <v>4.9756872467696667E-3</v>
      </c>
      <c r="W27" s="18">
        <v>0.23148706555366516</v>
      </c>
      <c r="X27"/>
      <c r="Y27"/>
      <c r="Z27"/>
      <c r="AA27"/>
      <c r="AB27" s="62">
        <v>0.29780563712120056</v>
      </c>
      <c r="AC27" s="258">
        <v>1.4294670820236206</v>
      </c>
      <c r="AD27" s="259">
        <v>4</v>
      </c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219</v>
      </c>
      <c r="B28">
        <v>44.912796020507812</v>
      </c>
      <c r="C28">
        <v>2.2456402778625488</v>
      </c>
      <c r="D28"/>
      <c r="E28"/>
      <c r="F28"/>
      <c r="G28"/>
      <c r="H28"/>
      <c r="I28"/>
      <c r="J28"/>
      <c r="K28"/>
      <c r="L28"/>
      <c r="M28"/>
      <c r="N28"/>
      <c r="O28"/>
      <c r="P28" s="11">
        <v>2.3701382800936699E-2</v>
      </c>
      <c r="Q28" s="13">
        <v>5.8659952133893967E-2</v>
      </c>
      <c r="R28"/>
      <c r="S28" s="12">
        <v>0.1662706732749939</v>
      </c>
      <c r="T28"/>
      <c r="U28"/>
      <c r="V28"/>
      <c r="W28"/>
      <c r="X28"/>
      <c r="Y28"/>
      <c r="Z28"/>
      <c r="AA28"/>
      <c r="AB28" s="12">
        <v>0.21252796053886414</v>
      </c>
      <c r="AC28" s="219">
        <v>1.0201342105865479</v>
      </c>
      <c r="AD28" s="260">
        <v>28.545862197875977</v>
      </c>
      <c r="AE28" s="251">
        <v>12.640000343322754</v>
      </c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220</v>
      </c>
      <c r="B29">
        <v>115</v>
      </c>
      <c r="C29">
        <v>21.788021087646484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 s="261">
        <v>93.21197509765625</v>
      </c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221</v>
      </c>
      <c r="B30">
        <v>119</v>
      </c>
      <c r="C30">
        <v>17.702817916870117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 s="13">
        <v>0.17368872463703156</v>
      </c>
      <c r="T30"/>
      <c r="U30"/>
      <c r="V30"/>
      <c r="W30"/>
      <c r="X30"/>
      <c r="Y30"/>
      <c r="Z30" s="15">
        <v>1.7982906103134155</v>
      </c>
      <c r="AA30" s="12">
        <v>0.47801145911216736</v>
      </c>
      <c r="AB30" s="23">
        <v>3.2695984840393066</v>
      </c>
      <c r="AC30" s="62">
        <v>2.6156787872314453</v>
      </c>
      <c r="AD30" s="104">
        <v>14.63862419128418</v>
      </c>
      <c r="AE30" s="263">
        <v>78.323287963867188</v>
      </c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222</v>
      </c>
      <c r="B31">
        <v>151</v>
      </c>
      <c r="C31">
        <v>37.493923187255859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 s="262">
        <v>113.50608062744141</v>
      </c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223</v>
      </c>
      <c r="B32"/>
      <c r="C32">
        <v>0.73148101568222046</v>
      </c>
      <c r="D32"/>
      <c r="E32" s="9">
        <v>1.2362303733825684</v>
      </c>
      <c r="F32" s="9">
        <v>1.4809473752975464</v>
      </c>
      <c r="G32"/>
      <c r="H32"/>
      <c r="I32"/>
      <c r="J32"/>
      <c r="K32"/>
      <c r="L32"/>
      <c r="M32" s="9">
        <v>8.8933687210083008</v>
      </c>
      <c r="N32"/>
      <c r="O32" s="9">
        <v>1.5962469577789307</v>
      </c>
      <c r="P32"/>
      <c r="Q32"/>
      <c r="R32"/>
      <c r="S32"/>
      <c r="T32"/>
      <c r="U32"/>
      <c r="V32"/>
      <c r="W32" s="9">
        <v>13.426249504089355</v>
      </c>
      <c r="X32" s="9">
        <v>5.1928195953369141</v>
      </c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224</v>
      </c>
      <c r="B33"/>
      <c r="C33">
        <v>0.97325867414474487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 s="9">
        <v>40.27874755859375</v>
      </c>
      <c r="X33" s="9">
        <v>254.44816589355469</v>
      </c>
      <c r="Y33" s="9">
        <v>1239.9024658203125</v>
      </c>
      <c r="Z33" s="9">
        <v>1254.0079345703125</v>
      </c>
      <c r="AA33" s="9">
        <v>4500</v>
      </c>
      <c r="AB33"/>
      <c r="AC33"/>
      <c r="AD33" s="9">
        <v>7656.00048828125</v>
      </c>
      <c r="AE33" s="9">
        <v>101701.4453125</v>
      </c>
      <c r="AF33" s="9">
        <v>129457.1484375</v>
      </c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225</v>
      </c>
      <c r="B34"/>
      <c r="C34">
        <v>0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9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37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37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166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167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93" t="s">
        <v>193</v>
      </c>
      <c r="E5">
        <v>4</v>
      </c>
      <c r="F5">
        <v>3.13</v>
      </c>
      <c r="G5">
        <v>4</v>
      </c>
      <c r="H5" s="194" t="s">
        <v>193</v>
      </c>
      <c r="J5" s="55"/>
      <c r="K5" s="56"/>
    </row>
    <row r="6" spans="1:12" ht="14" thickBot="1" x14ac:dyDescent="0.2">
      <c r="A6" s="39" t="s">
        <v>121</v>
      </c>
      <c r="D6" s="193" t="s">
        <v>194</v>
      </c>
      <c r="E6">
        <v>5</v>
      </c>
      <c r="F6">
        <v>3.13</v>
      </c>
      <c r="G6">
        <v>5</v>
      </c>
      <c r="H6" s="194" t="s">
        <v>194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93" t="s">
        <v>195</v>
      </c>
      <c r="E7">
        <v>6</v>
      </c>
      <c r="F7">
        <v>3.13</v>
      </c>
      <c r="G7">
        <v>6</v>
      </c>
      <c r="H7" s="194" t="s">
        <v>195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93" t="s">
        <v>196</v>
      </c>
      <c r="E8">
        <v>7</v>
      </c>
      <c r="F8">
        <v>3.13</v>
      </c>
      <c r="G8">
        <v>7</v>
      </c>
      <c r="H8" s="194" t="s">
        <v>196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93" t="s">
        <v>197</v>
      </c>
      <c r="E9">
        <v>8</v>
      </c>
      <c r="F9">
        <v>3.13</v>
      </c>
      <c r="G9">
        <v>8</v>
      </c>
      <c r="H9" s="194" t="s">
        <v>197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93" t="s">
        <v>198</v>
      </c>
      <c r="E10">
        <v>9</v>
      </c>
      <c r="F10">
        <v>3.13</v>
      </c>
      <c r="G10">
        <v>9</v>
      </c>
      <c r="H10" s="194" t="s">
        <v>198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93" t="s">
        <v>199</v>
      </c>
      <c r="E11">
        <v>10</v>
      </c>
      <c r="F11">
        <v>3.13</v>
      </c>
      <c r="G11">
        <v>10</v>
      </c>
      <c r="H11" s="194" t="s">
        <v>199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93" t="s">
        <v>200</v>
      </c>
      <c r="E12">
        <v>11</v>
      </c>
      <c r="F12">
        <v>3.22</v>
      </c>
      <c r="G12">
        <v>11</v>
      </c>
      <c r="H12" s="194" t="s">
        <v>200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93" t="s">
        <v>201</v>
      </c>
      <c r="E13">
        <v>12</v>
      </c>
      <c r="F13">
        <v>3.2</v>
      </c>
      <c r="G13">
        <v>12</v>
      </c>
      <c r="H13" s="194" t="s">
        <v>201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93" t="s">
        <v>202</v>
      </c>
      <c r="E14">
        <v>13</v>
      </c>
      <c r="F14">
        <v>3.22</v>
      </c>
      <c r="G14">
        <v>13</v>
      </c>
      <c r="H14" s="194" t="s">
        <v>202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93" t="s">
        <v>203</v>
      </c>
      <c r="E15">
        <v>14</v>
      </c>
      <c r="F15">
        <v>3.22</v>
      </c>
      <c r="G15">
        <v>14</v>
      </c>
      <c r="H15" s="194" t="s">
        <v>203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93" t="s">
        <v>204</v>
      </c>
      <c r="E16">
        <v>15</v>
      </c>
      <c r="F16">
        <v>3.12</v>
      </c>
      <c r="G16">
        <v>15</v>
      </c>
      <c r="H16" s="194" t="s">
        <v>204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93" t="s">
        <v>205</v>
      </c>
      <c r="E17">
        <v>16</v>
      </c>
      <c r="F17">
        <v>3.12</v>
      </c>
      <c r="G17">
        <v>16</v>
      </c>
      <c r="H17" s="194" t="s">
        <v>205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93" t="s">
        <v>206</v>
      </c>
      <c r="E18">
        <v>17</v>
      </c>
      <c r="F18">
        <v>3.12</v>
      </c>
      <c r="G18">
        <v>17</v>
      </c>
      <c r="H18" s="194" t="s">
        <v>206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93" t="s">
        <v>207</v>
      </c>
      <c r="E19">
        <v>18</v>
      </c>
      <c r="F19">
        <v>3.12</v>
      </c>
      <c r="G19">
        <v>18</v>
      </c>
      <c r="H19" s="194" t="s">
        <v>207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93" t="s">
        <v>208</v>
      </c>
      <c r="E20">
        <v>19</v>
      </c>
      <c r="F20">
        <v>3.12</v>
      </c>
      <c r="G20">
        <v>19</v>
      </c>
      <c r="H20" s="194" t="s">
        <v>208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93" t="s">
        <v>209</v>
      </c>
      <c r="E21">
        <v>20</v>
      </c>
      <c r="F21">
        <v>3.21</v>
      </c>
      <c r="G21">
        <v>20</v>
      </c>
      <c r="H21" s="194" t="s">
        <v>209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93" t="s">
        <v>210</v>
      </c>
      <c r="E22">
        <v>21</v>
      </c>
      <c r="F22">
        <v>3.12</v>
      </c>
      <c r="G22">
        <v>21</v>
      </c>
      <c r="H22" s="194" t="s">
        <v>210</v>
      </c>
    </row>
    <row r="23" spans="1:12" x14ac:dyDescent="0.15">
      <c r="A23" s="34" t="s">
        <v>129</v>
      </c>
      <c r="B23" s="42">
        <v>4</v>
      </c>
      <c r="C23" s="36"/>
      <c r="D23" s="193" t="s">
        <v>211</v>
      </c>
      <c r="E23">
        <v>22</v>
      </c>
      <c r="F23">
        <v>3.21</v>
      </c>
      <c r="G23">
        <v>22</v>
      </c>
      <c r="H23" s="194" t="s">
        <v>211</v>
      </c>
    </row>
    <row r="24" spans="1:12" x14ac:dyDescent="0.15">
      <c r="A24" s="34" t="s">
        <v>122</v>
      </c>
      <c r="B24" s="42">
        <v>4.0999999999999996</v>
      </c>
      <c r="C24" s="36"/>
      <c r="D24" s="193" t="s">
        <v>212</v>
      </c>
      <c r="E24">
        <v>23</v>
      </c>
      <c r="F24">
        <v>3.21</v>
      </c>
      <c r="G24">
        <v>23</v>
      </c>
      <c r="H24" s="194" t="s">
        <v>212</v>
      </c>
    </row>
    <row r="25" spans="1:12" x14ac:dyDescent="0.15">
      <c r="A25" s="34" t="s">
        <v>70</v>
      </c>
      <c r="B25" s="42">
        <v>4.2</v>
      </c>
      <c r="C25" s="36"/>
      <c r="D25" s="193" t="s">
        <v>213</v>
      </c>
      <c r="E25">
        <v>24</v>
      </c>
      <c r="F25">
        <v>3.21</v>
      </c>
      <c r="G25">
        <v>24</v>
      </c>
      <c r="H25" s="194" t="s">
        <v>213</v>
      </c>
    </row>
    <row r="26" spans="1:12" x14ac:dyDescent="0.15">
      <c r="A26" s="34" t="s">
        <v>123</v>
      </c>
      <c r="B26" s="42">
        <v>4.3</v>
      </c>
      <c r="C26" s="36"/>
      <c r="D26" s="193" t="s">
        <v>214</v>
      </c>
      <c r="E26">
        <v>25</v>
      </c>
      <c r="F26">
        <v>3.21</v>
      </c>
      <c r="G26">
        <v>25</v>
      </c>
      <c r="H26" s="194" t="s">
        <v>214</v>
      </c>
    </row>
    <row r="27" spans="1:12" x14ac:dyDescent="0.15">
      <c r="A27" s="34" t="s">
        <v>125</v>
      </c>
      <c r="B27" s="42">
        <v>6.1</v>
      </c>
      <c r="D27" s="193" t="s">
        <v>215</v>
      </c>
      <c r="E27">
        <v>26</v>
      </c>
      <c r="F27">
        <v>3.21</v>
      </c>
      <c r="G27">
        <v>26</v>
      </c>
      <c r="H27" s="194" t="s">
        <v>215</v>
      </c>
    </row>
    <row r="28" spans="1:12" x14ac:dyDescent="0.15">
      <c r="A28" s="34" t="s">
        <v>124</v>
      </c>
      <c r="B28" s="42">
        <v>6.2</v>
      </c>
      <c r="D28" s="193" t="s">
        <v>216</v>
      </c>
      <c r="E28">
        <v>27</v>
      </c>
      <c r="F28">
        <v>3.21</v>
      </c>
      <c r="G28">
        <v>27</v>
      </c>
      <c r="H28" s="194" t="s">
        <v>216</v>
      </c>
    </row>
    <row r="29" spans="1:12" x14ac:dyDescent="0.15">
      <c r="A29" s="34" t="s">
        <v>44</v>
      </c>
      <c r="B29" s="42">
        <v>5</v>
      </c>
      <c r="D29" s="193" t="s">
        <v>217</v>
      </c>
      <c r="E29">
        <v>28</v>
      </c>
      <c r="F29">
        <v>3.11</v>
      </c>
      <c r="G29">
        <v>28</v>
      </c>
      <c r="H29" s="194" t="s">
        <v>217</v>
      </c>
    </row>
    <row r="30" spans="1:12" x14ac:dyDescent="0.15">
      <c r="A30" s="34" t="s">
        <v>73</v>
      </c>
      <c r="B30" s="42">
        <v>7</v>
      </c>
      <c r="D30" s="193" t="s">
        <v>218</v>
      </c>
      <c r="E30">
        <v>29</v>
      </c>
      <c r="F30">
        <v>3.11</v>
      </c>
      <c r="G30">
        <v>29</v>
      </c>
      <c r="H30" s="194" t="s">
        <v>218</v>
      </c>
    </row>
    <row r="31" spans="1:12" x14ac:dyDescent="0.15">
      <c r="A31" s="34" t="s">
        <v>169</v>
      </c>
      <c r="B31" s="42">
        <v>3.14</v>
      </c>
      <c r="D31" s="193" t="s">
        <v>219</v>
      </c>
      <c r="E31">
        <v>30</v>
      </c>
      <c r="F31">
        <v>3.14</v>
      </c>
      <c r="G31">
        <v>30</v>
      </c>
      <c r="H31" s="194" t="s">
        <v>219</v>
      </c>
    </row>
    <row r="32" spans="1:12" ht="12" customHeight="1" thickBot="1" x14ac:dyDescent="0.2">
      <c r="A32" s="40" t="s">
        <v>170</v>
      </c>
      <c r="B32" s="43">
        <v>9</v>
      </c>
      <c r="D32" s="193" t="s">
        <v>220</v>
      </c>
      <c r="E32">
        <v>31</v>
      </c>
      <c r="F32">
        <v>9</v>
      </c>
      <c r="G32">
        <v>31</v>
      </c>
      <c r="H32" s="194" t="s">
        <v>220</v>
      </c>
    </row>
    <row r="33" spans="4:8" customFormat="1" ht="12" customHeight="1" x14ac:dyDescent="0.15">
      <c r="D33" s="193" t="s">
        <v>221</v>
      </c>
      <c r="E33">
        <v>32</v>
      </c>
      <c r="F33">
        <v>2.1</v>
      </c>
      <c r="G33">
        <v>32</v>
      </c>
      <c r="H33" s="194" t="s">
        <v>221</v>
      </c>
    </row>
    <row r="34" spans="4:8" customFormat="1" ht="12" customHeight="1" x14ac:dyDescent="0.15">
      <c r="D34" s="193" t="s">
        <v>222</v>
      </c>
      <c r="E34">
        <v>33</v>
      </c>
      <c r="F34">
        <v>2.2000000000000002</v>
      </c>
      <c r="G34">
        <v>33</v>
      </c>
      <c r="H34" s="194" t="s">
        <v>222</v>
      </c>
    </row>
    <row r="35" spans="4:8" customFormat="1" x14ac:dyDescent="0.15">
      <c r="D35" s="193" t="s">
        <v>223</v>
      </c>
      <c r="E35">
        <v>34</v>
      </c>
      <c r="F35">
        <v>4.2</v>
      </c>
      <c r="G35">
        <v>34</v>
      </c>
      <c r="H35" s="194" t="s">
        <v>223</v>
      </c>
    </row>
    <row r="36" spans="4:8" customFormat="1" x14ac:dyDescent="0.15">
      <c r="D36" s="193" t="s">
        <v>224</v>
      </c>
      <c r="E36">
        <v>35</v>
      </c>
      <c r="F36">
        <v>4.0999999999999996</v>
      </c>
      <c r="G36">
        <v>35</v>
      </c>
      <c r="H36" s="194" t="s">
        <v>224</v>
      </c>
    </row>
    <row r="37" spans="4:8" customFormat="1" ht="12" customHeight="1" x14ac:dyDescent="0.15">
      <c r="D37" s="193" t="s">
        <v>225</v>
      </c>
      <c r="E37">
        <v>36</v>
      </c>
      <c r="F37">
        <v>4.3</v>
      </c>
      <c r="G37">
        <v>36</v>
      </c>
      <c r="H37" s="194" t="s">
        <v>225</v>
      </c>
    </row>
    <row r="38" spans="4:8" customFormat="1" x14ac:dyDescent="0.15">
      <c r="D38" s="193" t="s">
        <v>226</v>
      </c>
      <c r="E38">
        <v>37</v>
      </c>
      <c r="F38">
        <v>5</v>
      </c>
      <c r="G38">
        <v>37</v>
      </c>
      <c r="H38" s="194" t="s">
        <v>226</v>
      </c>
    </row>
    <row r="39" spans="4:8" customFormat="1" x14ac:dyDescent="0.15">
      <c r="D39" s="193" t="s">
        <v>138</v>
      </c>
      <c r="E39">
        <v>38</v>
      </c>
      <c r="F39">
        <v>6.1</v>
      </c>
      <c r="G39">
        <v>38</v>
      </c>
      <c r="H39" s="194" t="s">
        <v>138</v>
      </c>
    </row>
    <row r="40" spans="4:8" customFormat="1" x14ac:dyDescent="0.15">
      <c r="D40" s="193" t="s">
        <v>45</v>
      </c>
      <c r="E40">
        <v>39</v>
      </c>
      <c r="F40">
        <v>6.2</v>
      </c>
      <c r="G40">
        <v>39</v>
      </c>
      <c r="H40" s="194" t="s">
        <v>45</v>
      </c>
    </row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8" style="81" bestFit="1" customWidth="1"/>
    <col min="2" max="2" width="11.83203125" style="80" customWidth="1"/>
    <col min="3" max="3" width="18" style="80" customWidth="1"/>
    <col min="4" max="4" width="7.33203125" style="80" customWidth="1"/>
    <col min="5" max="5" width="11.83203125" style="80" customWidth="1"/>
    <col min="6" max="6" width="37" style="80" bestFit="1" customWidth="1"/>
    <col min="7" max="9" width="2.33203125" style="80" customWidth="1"/>
    <col min="10" max="10" width="2.33203125" style="80" bestFit="1" customWidth="1"/>
    <col min="11" max="15" width="2.33203125" style="80" customWidth="1"/>
    <col min="16" max="16" width="2.33203125" style="68" customWidth="1"/>
    <col min="17" max="17" width="2.33203125" style="80" customWidth="1"/>
    <col min="18" max="18" width="2.33203125" style="69" customWidth="1"/>
    <col min="19" max="16384" width="11.5" style="80"/>
  </cols>
  <sheetData>
    <row r="1" spans="1:23" ht="15" customHeight="1" thickBot="1" x14ac:dyDescent="0.2">
      <c r="F1" s="1"/>
      <c r="G1" s="66" t="s">
        <v>46</v>
      </c>
      <c r="H1" s="66" t="s">
        <v>47</v>
      </c>
      <c r="I1" s="66" t="s">
        <v>120</v>
      </c>
      <c r="J1" s="66" t="s">
        <v>132</v>
      </c>
      <c r="K1" s="82" t="s">
        <v>48</v>
      </c>
      <c r="L1" s="69"/>
      <c r="M1" s="82" t="s">
        <v>119</v>
      </c>
      <c r="N1" s="69"/>
      <c r="O1" s="82" t="s">
        <v>49</v>
      </c>
      <c r="P1" s="72"/>
      <c r="Q1" s="82" t="s">
        <v>50</v>
      </c>
      <c r="R1" s="66" t="s">
        <v>154</v>
      </c>
    </row>
    <row r="2" spans="1:23" ht="15" customHeight="1" x14ac:dyDescent="0.15">
      <c r="A2" s="82" t="s">
        <v>51</v>
      </c>
      <c r="B2" s="83">
        <v>0.5</v>
      </c>
      <c r="C2" s="81" t="s">
        <v>52</v>
      </c>
      <c r="D2" s="84"/>
      <c r="F2" s="1"/>
      <c r="G2" s="85"/>
      <c r="H2" s="85"/>
      <c r="I2" s="85" t="s">
        <v>133</v>
      </c>
      <c r="J2" s="85" t="s">
        <v>133</v>
      </c>
      <c r="K2" s="85" t="s">
        <v>52</v>
      </c>
      <c r="L2" s="85" t="s">
        <v>53</v>
      </c>
      <c r="M2" s="85" t="s">
        <v>52</v>
      </c>
      <c r="N2" s="85" t="s">
        <v>53</v>
      </c>
      <c r="O2" s="85" t="s">
        <v>52</v>
      </c>
      <c r="P2" s="86" t="s">
        <v>53</v>
      </c>
      <c r="Q2" s="85"/>
      <c r="R2" s="87" t="s">
        <v>155</v>
      </c>
    </row>
    <row r="3" spans="1:23" ht="15" customHeight="1" thickBot="1" x14ac:dyDescent="0.2">
      <c r="A3" s="82" t="s">
        <v>54</v>
      </c>
      <c r="B3" s="88">
        <v>0.5</v>
      </c>
      <c r="C3" s="81" t="s">
        <v>53</v>
      </c>
      <c r="D3" s="84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7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7">
        <v>0</v>
      </c>
      <c r="R4" s="110">
        <v>0</v>
      </c>
    </row>
    <row r="5" spans="1:23" ht="15" customHeight="1" x14ac:dyDescent="0.15">
      <c r="A5" s="82" t="s">
        <v>55</v>
      </c>
      <c r="B5" s="89">
        <v>0.5</v>
      </c>
      <c r="C5" s="81" t="s">
        <v>52</v>
      </c>
      <c r="D5" s="84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7">
        <v>0</v>
      </c>
      <c r="R5" s="110">
        <v>0</v>
      </c>
    </row>
    <row r="6" spans="1:23" ht="15" customHeight="1" thickBot="1" x14ac:dyDescent="0.2">
      <c r="A6" s="82"/>
      <c r="B6" s="90">
        <v>0.5</v>
      </c>
      <c r="C6" s="81" t="s">
        <v>53</v>
      </c>
      <c r="D6" s="84"/>
      <c r="F6" s="195" t="s">
        <v>193</v>
      </c>
      <c r="G6" s="80">
        <v>0</v>
      </c>
      <c r="H6" s="80">
        <v>0</v>
      </c>
      <c r="I6" s="80">
        <v>0</v>
      </c>
      <c r="J6" s="80">
        <v>0</v>
      </c>
      <c r="K6" s="80">
        <v>1</v>
      </c>
      <c r="L6" s="80">
        <v>0</v>
      </c>
      <c r="M6" s="80">
        <v>1</v>
      </c>
      <c r="N6" s="80">
        <v>0</v>
      </c>
      <c r="O6" s="80">
        <v>1</v>
      </c>
      <c r="P6" s="68">
        <v>0</v>
      </c>
      <c r="Q6" s="80">
        <v>0</v>
      </c>
      <c r="R6" s="69">
        <v>1</v>
      </c>
      <c r="S6"/>
      <c r="T6"/>
    </row>
    <row r="7" spans="1:23" ht="15" customHeight="1" thickBot="1" x14ac:dyDescent="0.2">
      <c r="F7" s="195" t="s">
        <v>194</v>
      </c>
      <c r="G7" s="80">
        <v>0</v>
      </c>
      <c r="H7" s="80">
        <v>0</v>
      </c>
      <c r="I7" s="80">
        <v>0</v>
      </c>
      <c r="J7" s="80">
        <v>0</v>
      </c>
      <c r="K7" s="80">
        <v>1</v>
      </c>
      <c r="L7" s="80">
        <v>0</v>
      </c>
      <c r="M7" s="80">
        <v>1</v>
      </c>
      <c r="N7" s="80">
        <v>0</v>
      </c>
      <c r="O7" s="80">
        <v>1</v>
      </c>
      <c r="P7" s="68">
        <v>0</v>
      </c>
      <c r="Q7" s="80">
        <v>0</v>
      </c>
      <c r="R7" s="69">
        <v>1</v>
      </c>
      <c r="S7"/>
      <c r="T7"/>
    </row>
    <row r="8" spans="1:23" ht="15" customHeight="1" x14ac:dyDescent="0.15">
      <c r="A8" s="82" t="s">
        <v>56</v>
      </c>
      <c r="B8" s="89">
        <v>0.64789040297311085</v>
      </c>
      <c r="C8" s="196" t="s">
        <v>221</v>
      </c>
      <c r="D8" s="84" t="s">
        <v>160</v>
      </c>
      <c r="F8" s="195" t="s">
        <v>195</v>
      </c>
      <c r="G8" s="80">
        <v>0</v>
      </c>
      <c r="H8" s="80">
        <v>0</v>
      </c>
      <c r="I8" s="80">
        <v>0</v>
      </c>
      <c r="J8" s="80">
        <v>0</v>
      </c>
      <c r="K8" s="80">
        <v>1</v>
      </c>
      <c r="L8" s="80">
        <v>0</v>
      </c>
      <c r="M8" s="80">
        <v>1</v>
      </c>
      <c r="N8" s="80">
        <v>0</v>
      </c>
      <c r="O8" s="80">
        <v>1</v>
      </c>
      <c r="P8" s="68">
        <v>0</v>
      </c>
      <c r="Q8" s="80">
        <v>0</v>
      </c>
      <c r="R8" s="69">
        <v>1</v>
      </c>
      <c r="S8"/>
      <c r="T8"/>
      <c r="W8"/>
    </row>
    <row r="9" spans="1:23" ht="15" customHeight="1" x14ac:dyDescent="0.15">
      <c r="A9" s="124" t="s">
        <v>168</v>
      </c>
      <c r="B9" s="91">
        <v>0.35210959702688915</v>
      </c>
      <c r="C9" s="196" t="s">
        <v>222</v>
      </c>
      <c r="D9" s="84" t="s">
        <v>160</v>
      </c>
      <c r="F9" s="195" t="s">
        <v>196</v>
      </c>
      <c r="G9" s="80">
        <v>0</v>
      </c>
      <c r="H9" s="80">
        <v>0</v>
      </c>
      <c r="I9" s="80">
        <v>0</v>
      </c>
      <c r="J9" s="80">
        <v>0</v>
      </c>
      <c r="K9" s="80">
        <v>1</v>
      </c>
      <c r="L9" s="80">
        <v>0</v>
      </c>
      <c r="M9" s="80">
        <v>1</v>
      </c>
      <c r="N9" s="80">
        <v>0</v>
      </c>
      <c r="O9" s="80">
        <v>1</v>
      </c>
      <c r="P9" s="68">
        <v>0</v>
      </c>
      <c r="Q9" s="80">
        <v>0</v>
      </c>
      <c r="R9" s="69">
        <v>1</v>
      </c>
      <c r="S9"/>
      <c r="T9"/>
      <c r="W9"/>
    </row>
    <row r="10" spans="1:23" ht="15" customHeight="1" x14ac:dyDescent="0.15">
      <c r="B10" s="91"/>
      <c r="C10" s="79"/>
      <c r="D10" s="84" t="s">
        <v>160</v>
      </c>
      <c r="F10" s="195" t="s">
        <v>197</v>
      </c>
      <c r="G10" s="80">
        <v>0</v>
      </c>
      <c r="H10" s="80">
        <v>0</v>
      </c>
      <c r="I10" s="80">
        <v>0</v>
      </c>
      <c r="J10" s="80">
        <v>0</v>
      </c>
      <c r="K10" s="80">
        <v>1</v>
      </c>
      <c r="L10" s="80">
        <v>0</v>
      </c>
      <c r="M10" s="80">
        <v>1</v>
      </c>
      <c r="N10" s="80">
        <v>0</v>
      </c>
      <c r="O10" s="80">
        <v>1</v>
      </c>
      <c r="P10" s="68">
        <v>0</v>
      </c>
      <c r="Q10" s="80">
        <v>0</v>
      </c>
      <c r="R10" s="69">
        <v>1</v>
      </c>
      <c r="S10"/>
      <c r="T10"/>
      <c r="W10"/>
    </row>
    <row r="11" spans="1:23" ht="15" customHeight="1" x14ac:dyDescent="0.15">
      <c r="A11" s="82"/>
      <c r="B11" s="91"/>
      <c r="C11" s="94"/>
      <c r="D11" s="84" t="s">
        <v>160</v>
      </c>
      <c r="F11" s="195" t="s">
        <v>198</v>
      </c>
      <c r="G11" s="80">
        <v>0</v>
      </c>
      <c r="H11" s="80">
        <v>0</v>
      </c>
      <c r="I11" s="80">
        <v>0</v>
      </c>
      <c r="J11" s="80">
        <v>0</v>
      </c>
      <c r="K11" s="80">
        <v>1</v>
      </c>
      <c r="L11" s="80">
        <v>0</v>
      </c>
      <c r="M11" s="80">
        <v>1</v>
      </c>
      <c r="N11" s="80">
        <v>0</v>
      </c>
      <c r="O11" s="80">
        <v>1</v>
      </c>
      <c r="P11" s="68">
        <v>0</v>
      </c>
      <c r="Q11" s="80">
        <v>0</v>
      </c>
      <c r="R11" s="69">
        <v>1</v>
      </c>
      <c r="S11"/>
      <c r="T11"/>
      <c r="W11"/>
    </row>
    <row r="12" spans="1:23" ht="15" customHeight="1" x14ac:dyDescent="0.15">
      <c r="B12" s="91"/>
      <c r="C12" s="95"/>
      <c r="D12" s="84" t="s">
        <v>160</v>
      </c>
      <c r="F12" s="195" t="s">
        <v>199</v>
      </c>
      <c r="G12" s="80">
        <v>0</v>
      </c>
      <c r="H12" s="80">
        <v>0</v>
      </c>
      <c r="I12" s="80">
        <v>0</v>
      </c>
      <c r="J12" s="80">
        <v>0</v>
      </c>
      <c r="K12" s="80">
        <v>1</v>
      </c>
      <c r="L12" s="80">
        <v>0</v>
      </c>
      <c r="M12" s="80">
        <v>1</v>
      </c>
      <c r="N12" s="80">
        <v>0</v>
      </c>
      <c r="O12" s="80">
        <v>1</v>
      </c>
      <c r="P12" s="68">
        <v>0</v>
      </c>
      <c r="Q12" s="80">
        <v>0</v>
      </c>
      <c r="R12" s="69">
        <v>1</v>
      </c>
      <c r="S12"/>
      <c r="T12"/>
      <c r="W12"/>
    </row>
    <row r="13" spans="1:23" ht="15" customHeight="1" x14ac:dyDescent="0.15">
      <c r="B13" s="91"/>
      <c r="C13" s="95"/>
      <c r="D13" s="84" t="s">
        <v>160</v>
      </c>
      <c r="F13" s="195" t="s">
        <v>200</v>
      </c>
      <c r="G13" s="80">
        <v>0</v>
      </c>
      <c r="H13" s="80">
        <v>0</v>
      </c>
      <c r="I13" s="80">
        <v>0</v>
      </c>
      <c r="J13" s="80">
        <v>0</v>
      </c>
      <c r="K13" s="80">
        <v>1</v>
      </c>
      <c r="L13" s="80">
        <v>0</v>
      </c>
      <c r="M13" s="80">
        <v>1</v>
      </c>
      <c r="N13" s="80">
        <v>0</v>
      </c>
      <c r="O13" s="80">
        <v>1</v>
      </c>
      <c r="P13" s="68">
        <v>0</v>
      </c>
      <c r="Q13" s="80">
        <v>0</v>
      </c>
      <c r="R13" s="69">
        <v>1</v>
      </c>
      <c r="S13"/>
      <c r="T13"/>
      <c r="W13"/>
    </row>
    <row r="14" spans="1:23" ht="15" customHeight="1" x14ac:dyDescent="0.15">
      <c r="B14" s="91"/>
      <c r="C14" s="79"/>
      <c r="D14" s="84" t="s">
        <v>160</v>
      </c>
      <c r="F14" s="195" t="s">
        <v>201</v>
      </c>
      <c r="G14" s="80">
        <v>0</v>
      </c>
      <c r="H14" s="80">
        <v>0</v>
      </c>
      <c r="I14" s="80">
        <v>0</v>
      </c>
      <c r="J14" s="80">
        <v>0</v>
      </c>
      <c r="K14" s="80">
        <v>1</v>
      </c>
      <c r="L14" s="80">
        <v>0</v>
      </c>
      <c r="M14" s="80">
        <v>1</v>
      </c>
      <c r="N14" s="80">
        <v>0</v>
      </c>
      <c r="O14" s="80">
        <v>1</v>
      </c>
      <c r="P14" s="68">
        <v>0</v>
      </c>
      <c r="Q14" s="80">
        <v>0</v>
      </c>
      <c r="R14" s="69">
        <v>1</v>
      </c>
      <c r="S14"/>
      <c r="T14"/>
      <c r="W14"/>
    </row>
    <row r="15" spans="1:23" ht="15" customHeight="1" x14ac:dyDescent="0.15">
      <c r="B15" s="91"/>
      <c r="C15" s="79"/>
      <c r="D15" s="84" t="s">
        <v>160</v>
      </c>
      <c r="F15" s="195" t="s">
        <v>202</v>
      </c>
      <c r="G15" s="80">
        <v>0</v>
      </c>
      <c r="H15" s="80">
        <v>0</v>
      </c>
      <c r="I15" s="80">
        <v>0</v>
      </c>
      <c r="J15" s="80">
        <v>0</v>
      </c>
      <c r="K15" s="80">
        <v>1</v>
      </c>
      <c r="L15" s="80">
        <v>0</v>
      </c>
      <c r="M15" s="80">
        <v>1</v>
      </c>
      <c r="N15" s="80">
        <v>0</v>
      </c>
      <c r="O15" s="80">
        <v>1</v>
      </c>
      <c r="P15" s="68">
        <v>0</v>
      </c>
      <c r="Q15" s="80">
        <v>0</v>
      </c>
      <c r="R15" s="69">
        <v>1</v>
      </c>
      <c r="S15"/>
      <c r="T15"/>
      <c r="W15"/>
    </row>
    <row r="16" spans="1:23" ht="15" customHeight="1" x14ac:dyDescent="0.15">
      <c r="B16" s="91"/>
      <c r="C16" s="79"/>
      <c r="D16" s="84" t="s">
        <v>160</v>
      </c>
      <c r="F16" s="195" t="s">
        <v>203</v>
      </c>
      <c r="G16" s="80">
        <v>0</v>
      </c>
      <c r="H16" s="80">
        <v>0</v>
      </c>
      <c r="I16" s="80">
        <v>0</v>
      </c>
      <c r="J16" s="80">
        <v>0</v>
      </c>
      <c r="K16" s="80">
        <v>1</v>
      </c>
      <c r="L16" s="80">
        <v>0</v>
      </c>
      <c r="M16" s="80">
        <v>1</v>
      </c>
      <c r="N16" s="80">
        <v>0</v>
      </c>
      <c r="O16" s="80">
        <v>1</v>
      </c>
      <c r="P16" s="68">
        <v>0</v>
      </c>
      <c r="Q16" s="80">
        <v>0</v>
      </c>
      <c r="R16" s="69">
        <v>1</v>
      </c>
      <c r="S16"/>
      <c r="T16"/>
    </row>
    <row r="17" spans="1:20" ht="15" customHeight="1" thickBot="1" x14ac:dyDescent="0.2">
      <c r="B17" s="90"/>
      <c r="C17" s="79"/>
      <c r="D17" s="84" t="s">
        <v>160</v>
      </c>
      <c r="F17" s="195" t="s">
        <v>204</v>
      </c>
      <c r="G17" s="80">
        <v>0</v>
      </c>
      <c r="H17" s="80">
        <v>0</v>
      </c>
      <c r="I17" s="80">
        <v>0</v>
      </c>
      <c r="J17" s="80">
        <v>0</v>
      </c>
      <c r="K17" s="80">
        <v>1</v>
      </c>
      <c r="L17" s="80">
        <v>0</v>
      </c>
      <c r="M17" s="80">
        <v>1</v>
      </c>
      <c r="N17" s="80">
        <v>0</v>
      </c>
      <c r="O17" s="80">
        <v>1</v>
      </c>
      <c r="P17" s="68">
        <v>0</v>
      </c>
      <c r="Q17" s="80">
        <v>0</v>
      </c>
      <c r="R17" s="69">
        <v>1</v>
      </c>
      <c r="S17"/>
      <c r="T17"/>
    </row>
    <row r="18" spans="1:20" ht="15" customHeight="1" thickBot="1" x14ac:dyDescent="0.2">
      <c r="B18" s="92"/>
      <c r="F18" s="195" t="s">
        <v>205</v>
      </c>
      <c r="G18" s="80">
        <v>0</v>
      </c>
      <c r="H18" s="80">
        <v>0</v>
      </c>
      <c r="I18" s="80">
        <v>0</v>
      </c>
      <c r="J18" s="80">
        <v>0</v>
      </c>
      <c r="K18" s="80">
        <v>1</v>
      </c>
      <c r="L18" s="80">
        <v>0</v>
      </c>
      <c r="M18" s="80">
        <v>1</v>
      </c>
      <c r="N18" s="80">
        <v>0</v>
      </c>
      <c r="O18" s="80">
        <v>1</v>
      </c>
      <c r="P18" s="68">
        <v>0</v>
      </c>
      <c r="Q18" s="80">
        <v>0</v>
      </c>
      <c r="R18" s="69">
        <v>1</v>
      </c>
      <c r="S18"/>
      <c r="T18"/>
    </row>
    <row r="19" spans="1:20" ht="15" customHeight="1" x14ac:dyDescent="0.15">
      <c r="A19" s="82" t="s">
        <v>57</v>
      </c>
      <c r="B19" s="89">
        <v>0.64789040297311085</v>
      </c>
      <c r="C19" s="197" t="s">
        <v>221</v>
      </c>
      <c r="D19" s="84" t="s">
        <v>160</v>
      </c>
      <c r="F19" s="195" t="s">
        <v>206</v>
      </c>
      <c r="G19" s="80">
        <v>0</v>
      </c>
      <c r="H19" s="80">
        <v>0</v>
      </c>
      <c r="I19" s="80">
        <v>0</v>
      </c>
      <c r="J19" s="80">
        <v>0</v>
      </c>
      <c r="K19" s="80">
        <v>1</v>
      </c>
      <c r="L19" s="80">
        <v>0</v>
      </c>
      <c r="M19" s="80">
        <v>1</v>
      </c>
      <c r="N19" s="80">
        <v>0</v>
      </c>
      <c r="O19" s="80">
        <v>1</v>
      </c>
      <c r="P19" s="68">
        <v>0</v>
      </c>
      <c r="Q19" s="80">
        <v>0</v>
      </c>
      <c r="R19" s="69">
        <v>1</v>
      </c>
      <c r="S19"/>
      <c r="T19"/>
    </row>
    <row r="20" spans="1:20" ht="15" customHeight="1" x14ac:dyDescent="0.15">
      <c r="A20" s="124" t="s">
        <v>168</v>
      </c>
      <c r="B20" s="91">
        <v>0.35210959702688915</v>
      </c>
      <c r="C20" s="197" t="s">
        <v>222</v>
      </c>
      <c r="D20" s="84" t="s">
        <v>160</v>
      </c>
      <c r="F20" s="195" t="s">
        <v>207</v>
      </c>
      <c r="G20" s="80">
        <v>0</v>
      </c>
      <c r="H20" s="80">
        <v>0</v>
      </c>
      <c r="I20" s="80">
        <v>0</v>
      </c>
      <c r="J20" s="80">
        <v>0</v>
      </c>
      <c r="K20" s="80">
        <v>1</v>
      </c>
      <c r="L20" s="80">
        <v>0</v>
      </c>
      <c r="M20" s="80">
        <v>1</v>
      </c>
      <c r="N20" s="80">
        <v>0</v>
      </c>
      <c r="O20" s="80">
        <v>1</v>
      </c>
      <c r="P20" s="68">
        <v>0</v>
      </c>
      <c r="Q20" s="80">
        <v>0</v>
      </c>
      <c r="R20" s="69">
        <v>1</v>
      </c>
      <c r="S20"/>
      <c r="T20"/>
    </row>
    <row r="21" spans="1:20" ht="15" customHeight="1" x14ac:dyDescent="0.15">
      <c r="B21" s="91"/>
      <c r="C21" s="79"/>
      <c r="D21" s="84" t="s">
        <v>160</v>
      </c>
      <c r="F21" s="195" t="s">
        <v>208</v>
      </c>
      <c r="G21" s="80">
        <v>0</v>
      </c>
      <c r="H21" s="80">
        <v>0</v>
      </c>
      <c r="I21" s="80">
        <v>0</v>
      </c>
      <c r="J21" s="80">
        <v>0</v>
      </c>
      <c r="K21" s="80">
        <v>1</v>
      </c>
      <c r="L21" s="80">
        <v>0</v>
      </c>
      <c r="M21" s="80">
        <v>1</v>
      </c>
      <c r="N21" s="80">
        <v>0</v>
      </c>
      <c r="O21" s="80">
        <v>1</v>
      </c>
      <c r="P21" s="68">
        <v>0</v>
      </c>
      <c r="Q21" s="80">
        <v>0</v>
      </c>
      <c r="R21" s="69">
        <v>1</v>
      </c>
      <c r="S21"/>
      <c r="T21"/>
    </row>
    <row r="22" spans="1:20" ht="15" customHeight="1" x14ac:dyDescent="0.15">
      <c r="A22" s="80"/>
      <c r="B22" s="91"/>
      <c r="C22" s="94"/>
      <c r="D22" s="84" t="s">
        <v>160</v>
      </c>
      <c r="F22" s="195" t="s">
        <v>209</v>
      </c>
      <c r="G22" s="80">
        <v>0</v>
      </c>
      <c r="H22" s="80">
        <v>0</v>
      </c>
      <c r="I22" s="80">
        <v>0</v>
      </c>
      <c r="J22" s="80">
        <v>0</v>
      </c>
      <c r="K22" s="80">
        <v>1</v>
      </c>
      <c r="L22" s="80">
        <v>0</v>
      </c>
      <c r="M22" s="80">
        <v>1</v>
      </c>
      <c r="N22" s="80">
        <v>0</v>
      </c>
      <c r="O22" s="80">
        <v>1</v>
      </c>
      <c r="P22" s="68">
        <v>0</v>
      </c>
      <c r="Q22" s="80">
        <v>0</v>
      </c>
      <c r="R22" s="69">
        <v>1</v>
      </c>
      <c r="S22"/>
      <c r="T22"/>
    </row>
    <row r="23" spans="1:20" ht="15" customHeight="1" x14ac:dyDescent="0.15">
      <c r="A23" s="80"/>
      <c r="B23" s="91"/>
      <c r="C23" s="95"/>
      <c r="D23" s="84" t="s">
        <v>160</v>
      </c>
      <c r="F23" s="195" t="s">
        <v>210</v>
      </c>
      <c r="G23" s="80">
        <v>0</v>
      </c>
      <c r="H23" s="80">
        <v>0</v>
      </c>
      <c r="I23" s="80">
        <v>0</v>
      </c>
      <c r="J23" s="80">
        <v>0</v>
      </c>
      <c r="K23" s="80">
        <v>1</v>
      </c>
      <c r="L23" s="80">
        <v>0</v>
      </c>
      <c r="M23" s="80">
        <v>1</v>
      </c>
      <c r="N23" s="80">
        <v>0</v>
      </c>
      <c r="O23" s="80">
        <v>1</v>
      </c>
      <c r="P23" s="68">
        <v>0</v>
      </c>
      <c r="Q23" s="80">
        <v>0</v>
      </c>
      <c r="R23" s="69">
        <v>1</v>
      </c>
      <c r="S23"/>
      <c r="T23"/>
    </row>
    <row r="24" spans="1:20" ht="15" customHeight="1" x14ac:dyDescent="0.15">
      <c r="A24" s="80"/>
      <c r="B24" s="91"/>
      <c r="C24" s="95"/>
      <c r="D24" s="84" t="s">
        <v>160</v>
      </c>
      <c r="F24" s="195" t="s">
        <v>211</v>
      </c>
      <c r="G24" s="80">
        <v>0</v>
      </c>
      <c r="H24" s="80">
        <v>0</v>
      </c>
      <c r="I24" s="80">
        <v>0</v>
      </c>
      <c r="J24" s="80">
        <v>0</v>
      </c>
      <c r="K24" s="80">
        <v>1</v>
      </c>
      <c r="L24" s="80">
        <v>0</v>
      </c>
      <c r="M24" s="80">
        <v>1</v>
      </c>
      <c r="N24" s="80">
        <v>0</v>
      </c>
      <c r="O24" s="80">
        <v>1</v>
      </c>
      <c r="P24" s="68">
        <v>0</v>
      </c>
      <c r="Q24" s="80">
        <v>0</v>
      </c>
      <c r="R24" s="69">
        <v>1</v>
      </c>
      <c r="S24"/>
      <c r="T24"/>
    </row>
    <row r="25" spans="1:20" ht="15" customHeight="1" x14ac:dyDescent="0.15">
      <c r="A25" s="80"/>
      <c r="B25" s="91"/>
      <c r="C25" s="79"/>
      <c r="D25" s="84" t="s">
        <v>160</v>
      </c>
      <c r="F25" s="195" t="s">
        <v>212</v>
      </c>
      <c r="G25" s="80">
        <v>0</v>
      </c>
      <c r="H25" s="80">
        <v>0</v>
      </c>
      <c r="I25" s="80">
        <v>0</v>
      </c>
      <c r="J25" s="80">
        <v>0</v>
      </c>
      <c r="K25" s="80">
        <v>1</v>
      </c>
      <c r="L25" s="80">
        <v>0</v>
      </c>
      <c r="M25" s="80">
        <v>1</v>
      </c>
      <c r="N25" s="80">
        <v>0</v>
      </c>
      <c r="O25" s="80">
        <v>1</v>
      </c>
      <c r="P25" s="68">
        <v>0</v>
      </c>
      <c r="Q25" s="80">
        <v>0</v>
      </c>
      <c r="R25" s="69">
        <v>1</v>
      </c>
      <c r="S25"/>
      <c r="T25"/>
    </row>
    <row r="26" spans="1:20" ht="15" customHeight="1" x14ac:dyDescent="0.15">
      <c r="B26" s="91"/>
      <c r="C26" s="79"/>
      <c r="D26" s="84" t="s">
        <v>160</v>
      </c>
      <c r="F26" s="195" t="s">
        <v>213</v>
      </c>
      <c r="G26" s="80">
        <v>0</v>
      </c>
      <c r="H26" s="80">
        <v>0</v>
      </c>
      <c r="I26" s="80">
        <v>0</v>
      </c>
      <c r="J26" s="80">
        <v>0</v>
      </c>
      <c r="K26" s="80">
        <v>1</v>
      </c>
      <c r="L26" s="80">
        <v>0</v>
      </c>
      <c r="M26" s="80">
        <v>1</v>
      </c>
      <c r="N26" s="80">
        <v>0</v>
      </c>
      <c r="O26" s="80">
        <v>1</v>
      </c>
      <c r="P26" s="68">
        <v>0</v>
      </c>
      <c r="Q26" s="80">
        <v>0</v>
      </c>
      <c r="R26" s="69">
        <v>1</v>
      </c>
      <c r="S26"/>
      <c r="T26"/>
    </row>
    <row r="27" spans="1:20" ht="15" customHeight="1" x14ac:dyDescent="0.15">
      <c r="B27" s="91"/>
      <c r="C27" s="79"/>
      <c r="D27" s="84" t="s">
        <v>160</v>
      </c>
      <c r="F27" s="195" t="s">
        <v>214</v>
      </c>
      <c r="G27" s="80">
        <v>0</v>
      </c>
      <c r="H27" s="80">
        <v>0</v>
      </c>
      <c r="I27" s="80">
        <v>0</v>
      </c>
      <c r="J27" s="80">
        <v>0</v>
      </c>
      <c r="K27" s="80">
        <v>1</v>
      </c>
      <c r="L27" s="80">
        <v>0</v>
      </c>
      <c r="M27" s="80">
        <v>1</v>
      </c>
      <c r="N27" s="80">
        <v>0</v>
      </c>
      <c r="O27" s="80">
        <v>1</v>
      </c>
      <c r="P27" s="68">
        <v>0</v>
      </c>
      <c r="Q27" s="80">
        <v>0</v>
      </c>
      <c r="R27" s="69">
        <v>1</v>
      </c>
      <c r="S27"/>
      <c r="T27"/>
    </row>
    <row r="28" spans="1:20" ht="15" customHeight="1" thickBot="1" x14ac:dyDescent="0.2">
      <c r="B28" s="90"/>
      <c r="C28" s="79"/>
      <c r="D28" s="84" t="s">
        <v>160</v>
      </c>
      <c r="F28" s="195" t="s">
        <v>215</v>
      </c>
      <c r="G28" s="80">
        <v>0</v>
      </c>
      <c r="H28" s="80">
        <v>0</v>
      </c>
      <c r="I28" s="80">
        <v>0</v>
      </c>
      <c r="J28" s="80">
        <v>0</v>
      </c>
      <c r="K28" s="80">
        <v>1</v>
      </c>
      <c r="L28" s="80">
        <v>0</v>
      </c>
      <c r="M28" s="80">
        <v>1</v>
      </c>
      <c r="N28" s="80">
        <v>0</v>
      </c>
      <c r="O28" s="80">
        <v>1</v>
      </c>
      <c r="P28" s="68">
        <v>0</v>
      </c>
      <c r="Q28" s="80">
        <v>0</v>
      </c>
      <c r="R28" s="69">
        <v>1</v>
      </c>
      <c r="S28"/>
      <c r="T28"/>
    </row>
    <row r="29" spans="1:20" ht="15" customHeight="1" x14ac:dyDescent="0.15">
      <c r="F29" s="195" t="s">
        <v>216</v>
      </c>
      <c r="G29" s="80">
        <v>0</v>
      </c>
      <c r="H29" s="80">
        <v>0</v>
      </c>
      <c r="I29" s="80">
        <v>0</v>
      </c>
      <c r="J29" s="80">
        <v>0</v>
      </c>
      <c r="K29" s="80">
        <v>1</v>
      </c>
      <c r="L29" s="80">
        <v>0</v>
      </c>
      <c r="M29" s="80">
        <v>1</v>
      </c>
      <c r="N29" s="80">
        <v>0</v>
      </c>
      <c r="O29" s="80">
        <v>1</v>
      </c>
      <c r="P29" s="68">
        <v>0</v>
      </c>
      <c r="Q29" s="80">
        <v>0</v>
      </c>
      <c r="R29" s="69">
        <v>1</v>
      </c>
      <c r="S29"/>
      <c r="T29"/>
    </row>
    <row r="30" spans="1:20" ht="15" customHeight="1" x14ac:dyDescent="0.15">
      <c r="F30" s="195" t="s">
        <v>217</v>
      </c>
      <c r="G30" s="80">
        <v>0</v>
      </c>
      <c r="H30" s="80">
        <v>0</v>
      </c>
      <c r="I30" s="80">
        <v>0</v>
      </c>
      <c r="J30" s="80">
        <v>0</v>
      </c>
      <c r="K30" s="80">
        <v>1</v>
      </c>
      <c r="L30" s="80">
        <v>0</v>
      </c>
      <c r="M30" s="80">
        <v>1</v>
      </c>
      <c r="N30" s="80">
        <v>0</v>
      </c>
      <c r="O30" s="80">
        <v>1</v>
      </c>
      <c r="P30" s="68">
        <v>0</v>
      </c>
      <c r="Q30" s="80">
        <v>0</v>
      </c>
      <c r="R30" s="69">
        <v>1</v>
      </c>
      <c r="S30"/>
      <c r="T30"/>
    </row>
    <row r="31" spans="1:20" ht="15" customHeight="1" x14ac:dyDescent="0.15">
      <c r="A31" s="125"/>
      <c r="B31" s="135" t="s">
        <v>17</v>
      </c>
      <c r="C31" s="135" t="s">
        <v>1</v>
      </c>
      <c r="D31" s="135" t="s">
        <v>161</v>
      </c>
      <c r="E31" s="136" t="s">
        <v>163</v>
      </c>
      <c r="F31" s="195" t="s">
        <v>218</v>
      </c>
      <c r="G31" s="80">
        <v>0</v>
      </c>
      <c r="H31" s="80">
        <v>0</v>
      </c>
      <c r="I31" s="80">
        <v>0</v>
      </c>
      <c r="J31" s="80">
        <v>0</v>
      </c>
      <c r="K31" s="80">
        <v>1</v>
      </c>
      <c r="L31" s="80">
        <v>0</v>
      </c>
      <c r="M31" s="80">
        <v>1</v>
      </c>
      <c r="N31" s="80">
        <v>0</v>
      </c>
      <c r="O31" s="80">
        <v>1</v>
      </c>
      <c r="P31" s="68">
        <v>0</v>
      </c>
      <c r="Q31" s="80">
        <v>0</v>
      </c>
      <c r="R31" s="69">
        <v>1</v>
      </c>
      <c r="S31"/>
      <c r="T31"/>
    </row>
    <row r="32" spans="1:20" ht="15" customHeight="1" x14ac:dyDescent="0.15">
      <c r="A32" s="198" t="s">
        <v>221</v>
      </c>
      <c r="B32" s="92">
        <v>1046</v>
      </c>
      <c r="C32" s="92">
        <v>119</v>
      </c>
      <c r="D32" s="92">
        <v>124474</v>
      </c>
      <c r="E32" s="126">
        <v>0.64789040297311085</v>
      </c>
      <c r="F32" s="195" t="s">
        <v>219</v>
      </c>
      <c r="G32" s="80">
        <v>0</v>
      </c>
      <c r="H32" s="80">
        <v>0</v>
      </c>
      <c r="I32" s="80">
        <v>0</v>
      </c>
      <c r="J32" s="80">
        <v>0</v>
      </c>
      <c r="K32" s="80">
        <v>1</v>
      </c>
      <c r="L32" s="80">
        <v>0</v>
      </c>
      <c r="M32" s="80">
        <v>1</v>
      </c>
      <c r="N32" s="80">
        <v>0</v>
      </c>
      <c r="O32" s="80">
        <v>1</v>
      </c>
      <c r="P32" s="68">
        <v>0</v>
      </c>
      <c r="Q32" s="80">
        <v>0</v>
      </c>
      <c r="R32" s="69">
        <v>1</v>
      </c>
      <c r="S32"/>
      <c r="T32"/>
    </row>
    <row r="33" spans="1:20" ht="15" customHeight="1" x14ac:dyDescent="0.15">
      <c r="A33" s="198" t="s">
        <v>222</v>
      </c>
      <c r="B33" s="92">
        <v>448</v>
      </c>
      <c r="C33" s="92">
        <v>151</v>
      </c>
      <c r="D33" s="92">
        <v>67648</v>
      </c>
      <c r="E33" s="126">
        <v>0.35210959702688915</v>
      </c>
      <c r="F33" s="195" t="s">
        <v>220</v>
      </c>
      <c r="G33" s="80">
        <v>0</v>
      </c>
      <c r="H33" s="80">
        <v>0</v>
      </c>
      <c r="I33" s="80">
        <v>0</v>
      </c>
      <c r="J33" s="80">
        <v>0</v>
      </c>
      <c r="K33" s="80">
        <v>1</v>
      </c>
      <c r="L33" s="80">
        <v>0</v>
      </c>
      <c r="M33" s="80">
        <v>1</v>
      </c>
      <c r="N33" s="80">
        <v>0</v>
      </c>
      <c r="O33" s="80">
        <v>1</v>
      </c>
      <c r="P33" s="68">
        <v>0</v>
      </c>
      <c r="Q33" s="80">
        <v>0</v>
      </c>
      <c r="R33" s="69">
        <v>1</v>
      </c>
      <c r="S33"/>
      <c r="T33"/>
    </row>
    <row r="34" spans="1:20" ht="15" customHeight="1" x14ac:dyDescent="0.15">
      <c r="A34" s="127"/>
      <c r="B34" s="92"/>
      <c r="C34" s="92"/>
      <c r="D34" s="92"/>
      <c r="E34" s="126"/>
      <c r="F34" s="195" t="s">
        <v>221</v>
      </c>
      <c r="G34" s="80">
        <v>0</v>
      </c>
      <c r="H34" s="80">
        <v>0</v>
      </c>
      <c r="I34" s="80">
        <v>0</v>
      </c>
      <c r="J34" s="80">
        <v>0</v>
      </c>
      <c r="K34" s="80">
        <v>0</v>
      </c>
      <c r="L34" s="80">
        <v>0</v>
      </c>
      <c r="M34" s="80">
        <v>1</v>
      </c>
      <c r="N34" s="80">
        <v>0</v>
      </c>
      <c r="O34" s="80">
        <v>0</v>
      </c>
      <c r="P34" s="68">
        <v>0</v>
      </c>
      <c r="Q34" s="80">
        <v>0</v>
      </c>
      <c r="R34" s="69">
        <v>1</v>
      </c>
      <c r="S34"/>
      <c r="T34"/>
    </row>
    <row r="35" spans="1:20" ht="15" customHeight="1" x14ac:dyDescent="0.15">
      <c r="A35" s="128"/>
      <c r="B35" s="92"/>
      <c r="C35" s="92"/>
      <c r="D35" s="92"/>
      <c r="E35" s="126"/>
      <c r="F35" s="195" t="s">
        <v>222</v>
      </c>
      <c r="G35" s="80">
        <v>0</v>
      </c>
      <c r="H35" s="80">
        <v>0</v>
      </c>
      <c r="I35" s="80">
        <v>0</v>
      </c>
      <c r="J35" s="80">
        <v>0</v>
      </c>
      <c r="K35" s="80">
        <v>0</v>
      </c>
      <c r="L35" s="80">
        <v>0</v>
      </c>
      <c r="M35" s="80">
        <v>1</v>
      </c>
      <c r="N35" s="80">
        <v>0</v>
      </c>
      <c r="O35" s="80">
        <v>0</v>
      </c>
      <c r="P35" s="68">
        <v>0</v>
      </c>
      <c r="Q35" s="80">
        <v>0</v>
      </c>
      <c r="R35" s="69">
        <v>1</v>
      </c>
      <c r="S35"/>
      <c r="T35"/>
    </row>
    <row r="36" spans="1:20" ht="15" customHeight="1" x14ac:dyDescent="0.15">
      <c r="A36" s="129"/>
      <c r="B36" s="92"/>
      <c r="C36" s="92"/>
      <c r="D36" s="92"/>
      <c r="E36" s="126"/>
      <c r="F36" s="195" t="s">
        <v>223</v>
      </c>
      <c r="G36" s="80">
        <v>0</v>
      </c>
      <c r="H36" s="80">
        <v>0</v>
      </c>
      <c r="I36" s="80">
        <v>0</v>
      </c>
      <c r="J36" s="80">
        <v>0</v>
      </c>
      <c r="K36" s="80">
        <v>1</v>
      </c>
      <c r="L36" s="80">
        <v>0</v>
      </c>
      <c r="M36" s="80">
        <v>1</v>
      </c>
      <c r="N36" s="80">
        <v>0</v>
      </c>
      <c r="O36" s="80">
        <v>1</v>
      </c>
      <c r="P36" s="68">
        <v>0</v>
      </c>
      <c r="Q36" s="80">
        <v>0</v>
      </c>
      <c r="R36" s="69">
        <v>1</v>
      </c>
      <c r="S36"/>
      <c r="T36"/>
    </row>
    <row r="37" spans="1:20" ht="15" customHeight="1" x14ac:dyDescent="0.15">
      <c r="A37" s="129"/>
      <c r="B37" s="92"/>
      <c r="C37" s="92"/>
      <c r="D37" s="92"/>
      <c r="E37" s="126"/>
      <c r="F37" s="195" t="s">
        <v>224</v>
      </c>
      <c r="G37" s="80">
        <v>0</v>
      </c>
      <c r="H37" s="80">
        <v>0</v>
      </c>
      <c r="I37" s="80">
        <v>0</v>
      </c>
      <c r="J37" s="80">
        <v>0</v>
      </c>
      <c r="K37" s="80">
        <v>0</v>
      </c>
      <c r="L37" s="80">
        <v>1</v>
      </c>
      <c r="M37" s="80">
        <v>0</v>
      </c>
      <c r="N37" s="80">
        <v>1</v>
      </c>
      <c r="O37" s="80">
        <v>0</v>
      </c>
      <c r="P37" s="68">
        <v>1</v>
      </c>
      <c r="Q37" s="80">
        <v>0</v>
      </c>
      <c r="R37" s="69">
        <v>1</v>
      </c>
      <c r="S37"/>
      <c r="T37"/>
    </row>
    <row r="38" spans="1:20" ht="15" customHeight="1" x14ac:dyDescent="0.15">
      <c r="A38" s="130"/>
      <c r="B38" s="92"/>
      <c r="C38" s="92"/>
      <c r="D38" s="92"/>
      <c r="E38" s="126"/>
      <c r="F38" s="195" t="s">
        <v>225</v>
      </c>
      <c r="G38" s="80">
        <v>0</v>
      </c>
      <c r="H38" s="80">
        <v>0</v>
      </c>
      <c r="I38" s="80">
        <v>0</v>
      </c>
      <c r="J38" s="80">
        <v>0</v>
      </c>
      <c r="K38" s="80">
        <v>0</v>
      </c>
      <c r="L38" s="80">
        <v>1</v>
      </c>
      <c r="M38" s="80">
        <v>0</v>
      </c>
      <c r="N38" s="80">
        <v>1</v>
      </c>
      <c r="O38" s="80">
        <v>0</v>
      </c>
      <c r="P38" s="68">
        <v>1</v>
      </c>
      <c r="Q38" s="80">
        <v>0</v>
      </c>
      <c r="R38" s="69">
        <v>1</v>
      </c>
      <c r="S38"/>
      <c r="T38"/>
    </row>
    <row r="39" spans="1:20" ht="15" customHeight="1" x14ac:dyDescent="0.15">
      <c r="A39" s="130"/>
      <c r="B39" s="92"/>
      <c r="C39" s="92"/>
      <c r="D39" s="92"/>
      <c r="E39" s="126"/>
      <c r="F39" s="195" t="s">
        <v>226</v>
      </c>
      <c r="G39" s="80">
        <v>0</v>
      </c>
      <c r="H39" s="80">
        <v>0</v>
      </c>
      <c r="I39" s="80">
        <v>0</v>
      </c>
      <c r="J39" s="80">
        <v>0</v>
      </c>
      <c r="K39" s="80">
        <v>0</v>
      </c>
      <c r="L39" s="80">
        <v>1</v>
      </c>
      <c r="M39" s="80">
        <v>0</v>
      </c>
      <c r="N39" s="80">
        <v>0</v>
      </c>
      <c r="O39" s="80">
        <v>0</v>
      </c>
      <c r="P39" s="68">
        <v>0</v>
      </c>
      <c r="Q39" s="80">
        <v>0</v>
      </c>
      <c r="R39" s="69">
        <v>1</v>
      </c>
      <c r="S39"/>
      <c r="T39"/>
    </row>
    <row r="40" spans="1:20" ht="15" customHeight="1" x14ac:dyDescent="0.15">
      <c r="A40" s="130"/>
      <c r="B40" s="92"/>
      <c r="C40" s="92"/>
      <c r="D40" s="92"/>
      <c r="E40" s="126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30"/>
      <c r="B41" s="92"/>
      <c r="C41" s="92"/>
      <c r="D41" s="93"/>
      <c r="E41" s="13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32"/>
      <c r="B42" s="133"/>
      <c r="C42" s="133" t="s">
        <v>162</v>
      </c>
      <c r="D42" s="133">
        <f>SUM(D32:D41)</f>
        <v>192122</v>
      </c>
      <c r="E42" s="134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80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80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0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0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0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0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0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0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0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0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0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0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0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0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0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0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0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0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0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0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0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0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0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0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0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0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0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0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0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0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0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0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0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0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0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0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0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0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0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0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0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0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0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0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0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0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0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0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0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0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0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0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0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0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0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0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0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0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0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0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0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0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0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0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0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0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0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0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0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0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0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0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0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0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0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0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0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0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0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0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0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0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0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0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0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0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0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0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0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0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0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0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0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0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0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0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0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0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0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0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0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0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0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0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0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0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0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0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0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0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0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0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0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0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0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0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0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0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0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0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0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0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0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0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0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P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37" bestFit="1" customWidth="1"/>
    <col min="2" max="2" width="2.33203125" style="110" customWidth="1"/>
    <col min="3" max="5" width="7.83203125" style="110" customWidth="1"/>
    <col min="6" max="8" width="8.83203125" style="6"/>
    <col min="9" max="9" width="20" style="6" customWidth="1"/>
    <col min="10" max="10" width="21.6640625" style="6" customWidth="1"/>
    <col min="11" max="11" width="14.5" style="6" customWidth="1"/>
    <col min="12" max="12" width="17.5" style="6" customWidth="1"/>
    <col min="13" max="13" width="16.1640625" style="6" customWidth="1"/>
    <col min="14" max="14" width="21" style="6" customWidth="1"/>
    <col min="15" max="15" width="16.33203125" style="6" customWidth="1"/>
    <col min="16" max="16" width="22.33203125" style="6" customWidth="1"/>
    <col min="17" max="17" width="36.6640625" style="6" customWidth="1"/>
    <col min="18" max="18" width="28" style="6" customWidth="1"/>
    <col min="19" max="19" width="23.5" style="6" customWidth="1"/>
    <col min="20" max="20" width="8.83203125" style="6" customWidth="1"/>
    <col min="21" max="21" width="14.33203125" style="6" customWidth="1"/>
    <col min="22" max="22" width="8.33203125" style="6" customWidth="1"/>
    <col min="23" max="23" width="7.5" style="6" customWidth="1"/>
    <col min="24" max="24" width="5.6640625" style="6" customWidth="1"/>
    <col min="25" max="26" width="18.5" style="6" customWidth="1"/>
    <col min="27" max="27" width="28.5" style="6" customWidth="1"/>
    <col min="28" max="28" width="30.6640625" style="6" customWidth="1"/>
    <col min="29" max="29" width="35.33203125" style="6" customWidth="1"/>
    <col min="30" max="30" width="37" style="6" customWidth="1"/>
    <col min="31" max="31" width="16.5" style="6" customWidth="1"/>
    <col min="32" max="32" width="23.1640625" style="6" customWidth="1"/>
    <col min="33" max="33" width="16.5" style="6" customWidth="1"/>
    <col min="34" max="35" width="15.83203125" style="6" customWidth="1"/>
    <col min="36" max="36" width="8.1640625" style="6" customWidth="1"/>
    <col min="37" max="37" width="18" style="6" customWidth="1"/>
    <col min="38" max="38" width="18.1640625" style="6" customWidth="1"/>
    <col min="39" max="39" width="8.5" customWidth="1"/>
    <col min="40" max="40" width="7.6640625" customWidth="1"/>
    <col min="41" max="41" width="21.6640625" customWidth="1"/>
    <col min="42" max="42" width="6.5" customWidth="1"/>
    <col min="81" max="81" width="22.1640625" bestFit="1" customWidth="1"/>
  </cols>
  <sheetData>
    <row r="1" spans="1:42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200" t="s">
        <v>193</v>
      </c>
      <c r="J1" s="200" t="s">
        <v>194</v>
      </c>
      <c r="K1" s="200" t="s">
        <v>195</v>
      </c>
      <c r="L1" s="200" t="s">
        <v>196</v>
      </c>
      <c r="M1" s="200" t="s">
        <v>197</v>
      </c>
      <c r="N1" s="200" t="s">
        <v>198</v>
      </c>
      <c r="O1" s="200" t="s">
        <v>199</v>
      </c>
      <c r="P1" s="200" t="s">
        <v>200</v>
      </c>
      <c r="Q1" s="200" t="s">
        <v>201</v>
      </c>
      <c r="R1" s="200" t="s">
        <v>202</v>
      </c>
      <c r="S1" s="200" t="s">
        <v>203</v>
      </c>
      <c r="T1" s="200" t="s">
        <v>204</v>
      </c>
      <c r="U1" s="200" t="s">
        <v>205</v>
      </c>
      <c r="V1" s="200" t="s">
        <v>206</v>
      </c>
      <c r="W1" s="200" t="s">
        <v>207</v>
      </c>
      <c r="X1" s="200" t="s">
        <v>208</v>
      </c>
      <c r="Y1" s="200" t="s">
        <v>209</v>
      </c>
      <c r="Z1" s="200" t="s">
        <v>210</v>
      </c>
      <c r="AA1" s="200" t="s">
        <v>211</v>
      </c>
      <c r="AB1" s="200" t="s">
        <v>212</v>
      </c>
      <c r="AC1" s="200" t="s">
        <v>213</v>
      </c>
      <c r="AD1" s="200" t="s">
        <v>214</v>
      </c>
      <c r="AE1" s="200" t="s">
        <v>215</v>
      </c>
      <c r="AF1" s="200" t="s">
        <v>216</v>
      </c>
      <c r="AG1" s="200" t="s">
        <v>217</v>
      </c>
      <c r="AH1" s="200" t="s">
        <v>218</v>
      </c>
      <c r="AI1" s="200" t="s">
        <v>219</v>
      </c>
      <c r="AJ1" s="200" t="s">
        <v>220</v>
      </c>
      <c r="AK1" s="200" t="s">
        <v>221</v>
      </c>
      <c r="AL1" s="200" t="s">
        <v>222</v>
      </c>
      <c r="AM1" s="200" t="s">
        <v>223</v>
      </c>
      <c r="AN1" s="200" t="s">
        <v>224</v>
      </c>
      <c r="AO1" s="200" t="s">
        <v>225</v>
      </c>
      <c r="AP1" s="200" t="s">
        <v>226</v>
      </c>
    </row>
    <row r="2" spans="1:42" x14ac:dyDescent="0.15">
      <c r="A2" t="s">
        <v>38</v>
      </c>
      <c r="B2" s="110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2" x14ac:dyDescent="0.15">
      <c r="A3" t="s">
        <v>40</v>
      </c>
      <c r="B3" s="110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2" x14ac:dyDescent="0.15">
      <c r="A4" t="s">
        <v>41</v>
      </c>
      <c r="B4" s="110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2" x14ac:dyDescent="0.15">
      <c r="A5" s="199" t="s">
        <v>193</v>
      </c>
      <c r="B5" s="110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2" x14ac:dyDescent="0.15">
      <c r="A6" s="199" t="s">
        <v>194</v>
      </c>
      <c r="B6" s="110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2" x14ac:dyDescent="0.15">
      <c r="A7" s="199" t="s">
        <v>195</v>
      </c>
      <c r="B7" s="110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2" x14ac:dyDescent="0.15">
      <c r="A8" s="199" t="s">
        <v>196</v>
      </c>
      <c r="B8" s="110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2" x14ac:dyDescent="0.15">
      <c r="A9" s="199" t="s">
        <v>197</v>
      </c>
      <c r="B9" s="110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2" x14ac:dyDescent="0.15">
      <c r="A10" s="199" t="s">
        <v>198</v>
      </c>
      <c r="B10" s="110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2" x14ac:dyDescent="0.15">
      <c r="A11" s="199" t="s">
        <v>199</v>
      </c>
      <c r="B11" s="110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2" x14ac:dyDescent="0.15">
      <c r="A12" s="199" t="s">
        <v>200</v>
      </c>
      <c r="B12" s="110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2" x14ac:dyDescent="0.15">
      <c r="A13" s="199" t="s">
        <v>201</v>
      </c>
      <c r="B13" s="110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2" x14ac:dyDescent="0.15">
      <c r="A14" s="199" t="s">
        <v>202</v>
      </c>
      <c r="B14" s="110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2" x14ac:dyDescent="0.15">
      <c r="A15" s="199" t="s">
        <v>203</v>
      </c>
      <c r="B15" s="110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2" x14ac:dyDescent="0.15">
      <c r="A16" s="199" t="s">
        <v>204</v>
      </c>
      <c r="B16" s="110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9" t="s">
        <v>205</v>
      </c>
      <c r="B17" s="110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9" t="s">
        <v>206</v>
      </c>
      <c r="B18" s="110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9" t="s">
        <v>207</v>
      </c>
      <c r="B19" s="110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9" t="s">
        <v>208</v>
      </c>
      <c r="B20" s="110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9" t="s">
        <v>209</v>
      </c>
      <c r="B21" s="110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9" t="s">
        <v>210</v>
      </c>
      <c r="B22" s="110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9" t="s">
        <v>211</v>
      </c>
      <c r="B23" s="110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9" t="s">
        <v>212</v>
      </c>
      <c r="B24" s="110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9" t="s">
        <v>213</v>
      </c>
      <c r="B25" s="110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9" t="s">
        <v>214</v>
      </c>
      <c r="B26" s="110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9" t="s">
        <v>215</v>
      </c>
      <c r="B27" s="110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9" t="s">
        <v>216</v>
      </c>
      <c r="B28" s="110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9" t="s">
        <v>217</v>
      </c>
      <c r="B29" s="110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9" t="s">
        <v>218</v>
      </c>
      <c r="B30" s="110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9" t="s">
        <v>219</v>
      </c>
      <c r="B31" s="110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9" t="s">
        <v>220</v>
      </c>
      <c r="B32" s="110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9" t="s">
        <v>221</v>
      </c>
      <c r="B33" s="110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9" t="s">
        <v>222</v>
      </c>
      <c r="B34" s="110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9" t="s">
        <v>223</v>
      </c>
      <c r="B35" s="110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9" t="s">
        <v>224</v>
      </c>
      <c r="B36" s="110">
        <v>0</v>
      </c>
      <c r="C36"/>
      <c r="D36"/>
    </row>
    <row r="37" spans="1:38" ht="15" customHeight="1" x14ac:dyDescent="0.15">
      <c r="A37" s="199" t="s">
        <v>225</v>
      </c>
      <c r="B37" s="110">
        <v>0</v>
      </c>
      <c r="C37"/>
      <c r="D37"/>
    </row>
    <row r="38" spans="1:38" ht="15" customHeight="1" x14ac:dyDescent="0.15">
      <c r="A38" s="199" t="s">
        <v>226</v>
      </c>
      <c r="B38" s="110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2022-10-24T04:23:41Z</dcterms:modified>
</cp:coreProperties>
</file>