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44F2AE67-979C-C340-A65D-D247D18A4343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Main!$C$2:$N$32</definedName>
    <definedName name="matDetritus">Detritus!$C$2:$E$32</definedName>
    <definedName name="matDiet">Diets!$B$2:$AC$32</definedName>
    <definedName name="matDiscards">Discards!$C$2:$C$31</definedName>
    <definedName name="matFishery">Fishing!$C$2:$C$31</definedName>
    <definedName name="matFishing">Fishing!#REF!</definedName>
    <definedName name="matMort">Mortalities!$A$1:$AH$31</definedName>
    <definedName name="matOut">MainOutputs!$A$2:$I$32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<sst xmlns="http://schemas.openxmlformats.org/spreadsheetml/2006/main" count="938" uniqueCount="228">
  <si>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</si>
  <si>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</si>
  <si>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</si>
  <si>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</si>
  <si>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</si>
  <si>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</si>
  <si>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</si>
  <si>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</si>
  <si>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</si>
  <si>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</si>
  <si>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</si>
  <si>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</si>
  <si>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</si>
  <si>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</si>
  <si>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</si>
  <si>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</si>
  <si>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</si>
  <si>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</si>
  <si>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</si>
  <si>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</si>
  <si>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</si>
  <si>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</si>
  <si>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</si>
  <si>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</si>
  <si>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</si>
  <si>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</si>
  <si>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</si>
  <si>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</si>
  <si>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</si>
  <si>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</si>
  <si>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</si>
  <si>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</si>
  <si>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</si>
  <si>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</si>
  <si>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</si>
  <si>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</si>
  <si>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</si>
  <si>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</si>
  <si>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</si>
  <si>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</si>
  <si>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</si>
  <si>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</si>
  <si>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</si>
  <si>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</si>
  <si>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</si>
  <si>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</si>
  <si>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</si>
  <si>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</si>
  <si>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</si>
  <si>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</si>
  <si>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</si>
  <si>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</si>
  <si>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</si>
  <si>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</si>
  <si>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</si>
  <si>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</si>
  <si>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</si>
  <si>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</si>
  <si>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</si>
  <si>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</si>
  <si>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</si>
  <si>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</si>
  <si>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</si>
  <si>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</si>
  <si>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</si>
  <si>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</si>
  <si>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</si>
  <si>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</si>
  <si>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</si>
  <si>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</si>
  <si>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</si>
  <si>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</si>
  <si>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</si>
  <si>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</si>
  <si>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</si>
  <si>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</si>
  <si>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</si>
  <si>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</si>
  <si>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</si>
  <si>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</si>
  <si>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</si>
  <si>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</si>
  <si>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</si>
  <si>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</si>
  <si>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</si>
  <si>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</si>
  <si>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</si>
  <si>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</si>
  <si>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</si>
  <si>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</si>
  <si>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</si>
  <si>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</si>
  <si>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</si>
  <si>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</si>
  <si>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</si>
  <si>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</si>
  <si>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</si>
  <si>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</si>
  <si>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</si>
  <si>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</si>
  <si>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</si>
  <si>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</si>
  <si>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</si>
  <si>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</si>
  <si>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</si>
  <si>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</si>
  <si>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</si>
  <si>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</si>
  <si>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</si>
  <si>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</si>
  <si>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</si>
  <si>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</si>
  <si>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</si>
  <si>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</si>
  <si>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</si>
  <si>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</si>
  <si>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</si>
  <si>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</si>
  <si>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</si>
  <si>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</si>
  <si>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</si>
  <si>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</si>
  <si>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</si>
  <si>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</si>
  <si>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</si>
  <si>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</si>
  <si>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</si>
  <si>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</si>
  <si>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</si>
  <si>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</si>
  <si>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</si>
  <si>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</si>
  <si>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</si>
  <si>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</si>
  <si>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</si>
  <si>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</si>
  <si>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</si>
  <si>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</si>
  <si>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</si>
  <si>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</si>
  <si>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</si>
  <si>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</si>
  <si>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</si>
  <si>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</si>
  <si>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</si>
  <si>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</si>
  <si>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</si>
  <si>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</si>
  <si>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</si>
  <si>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</si>
  <si>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</si>
  <si>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</si>
  <si>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</si>
  <si>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</si>
  <si>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</si>
  <si>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</si>
  <si>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</si>
  <si>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</si>
  <si>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</si>
  <si>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</si>
  <si>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</si>
  <si>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</si>
  <si>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</si>
  <si>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</si>
  <si>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</si>
  <si>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</si>
  <si>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</si>
  <si>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</si>
  <si>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</si>
  <si>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</si>
  <si>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</si>
  <si>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</si>
  <si>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</si>
  <si>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</si>
  <si>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</si>
  <si>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</si>
  <si>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</si>
  <si>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</si>
  <si>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</si>
  <si>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</si>
  <si>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</si>
  <si>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</si>
  <si>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</si>
  <si>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</si>
  <si>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</si>
  <si>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Sea</t>
  </si>
  <si>
    <t>Not affiliated</t>
  </si>
  <si>
    <t>BOX(-4 53,11.71 58)</t>
  </si>
  <si>
    <t>continental shelf</t>
  </si>
  <si>
    <t>WetWeight</t>
  </si>
  <si>
    <t>North Sea model for submission to Dana, June 1994.; 16/12/2010 10:55:58 AM</t>
  </si>
  <si>
    <t>Christensen V.(1995). A Model of Throphic Interactions in the North Sea in 1981, the Year of the Stomach Dana. pp 1-28</t>
  </si>
  <si>
    <t>Cod</t>
  </si>
  <si>
    <t>Whiting</t>
  </si>
  <si>
    <t>Saithe</t>
  </si>
  <si>
    <t>Mackerel</t>
  </si>
  <si>
    <t>Haddock</t>
  </si>
  <si>
    <t>Herring</t>
  </si>
  <si>
    <t>Sprat</t>
  </si>
  <si>
    <t>Norway pout</t>
  </si>
  <si>
    <t>Sandeel</t>
  </si>
  <si>
    <t>Plaice</t>
  </si>
  <si>
    <t>Sole</t>
  </si>
  <si>
    <t>Ray</t>
  </si>
  <si>
    <t>O.pred.fish</t>
  </si>
  <si>
    <t>O.prey fish</t>
  </si>
  <si>
    <t>Juvenile fish</t>
  </si>
  <si>
    <t>Copepoda</t>
  </si>
  <si>
    <t>Euphausiacea</t>
  </si>
  <si>
    <t>O.crustaceans</t>
  </si>
  <si>
    <t>Echinodermata</t>
  </si>
  <si>
    <t>Polychaeta</t>
  </si>
  <si>
    <t>O.macrobenthos</t>
  </si>
  <si>
    <t>O.invertebrates</t>
  </si>
  <si>
    <t>PS micro</t>
  </si>
  <si>
    <t>PT micro</t>
  </si>
  <si>
    <t>PS nano</t>
  </si>
  <si>
    <t>PT nano</t>
  </si>
  <si>
    <t>PS pico</t>
  </si>
  <si>
    <t>PT pico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</si>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</sst>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1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1A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49" fontId="13" fillId="0" borderId="28" xfId="0" applyNumberFormat="1" applyFont="1" applyBorder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0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68" t="s">
        <v>171</v>
      </c>
      <c r="C53" s="104">
        <v>680</v>
      </c>
      <c r="D53" s="104"/>
    </row>
    <row r="54" spans="2:4" x14ac:dyDescent="0.15">
      <c r="B54" s="168" t="s">
        <v>172</v>
      </c>
      <c r="C54" s="168" t="s">
        <v>185</v>
      </c>
      <c r="D54" s="104"/>
    </row>
    <row r="55" spans="2:4" x14ac:dyDescent="0.15">
      <c r="B55" s="168" t="s">
        <v>173</v>
      </c>
      <c r="C55" s="168" t="s">
        <v>186</v>
      </c>
      <c r="D55" s="104"/>
    </row>
    <row r="56" spans="2:4" x14ac:dyDescent="0.15">
      <c r="B56" s="168" t="s">
        <v>174</v>
      </c>
      <c r="C56" s="104">
        <v>570000</v>
      </c>
      <c r="D56" s="104"/>
    </row>
    <row r="57" spans="2:4" x14ac:dyDescent="0.15">
      <c r="B57" s="168" t="s">
        <v>175</v>
      </c>
      <c r="C57" s="168" t="s">
        <v>187</v>
      </c>
      <c r="D57" s="104"/>
    </row>
    <row r="58" spans="2:4" x14ac:dyDescent="0.15">
      <c r="B58" s="168" t="s">
        <v>176</v>
      </c>
      <c r="C58" s="168" t="s">
        <v>188</v>
      </c>
      <c r="D58" s="104"/>
    </row>
    <row r="59" spans="2:4" x14ac:dyDescent="0.15">
      <c r="B59" s="168" t="s">
        <v>177</v>
      </c>
      <c r="C59" s="168" t="s">
        <v>189</v>
      </c>
      <c r="D59" s="104"/>
    </row>
    <row r="60" spans="2:4" x14ac:dyDescent="0.15">
      <c r="B60" s="168" t="s">
        <v>178</v>
      </c>
      <c r="C60" s="168" t="s">
        <v>190</v>
      </c>
      <c r="D60" s="104"/>
    </row>
    <row r="61" spans="2:4" x14ac:dyDescent="0.15">
      <c r="B61" s="168" t="s">
        <v>179</v>
      </c>
      <c r="C61" s="104">
        <v>29</v>
      </c>
      <c r="D61" s="104"/>
    </row>
    <row r="62" spans="2:4" x14ac:dyDescent="0.15">
      <c r="B62" s="168" t="s">
        <v>180</v>
      </c>
      <c r="C62" s="104">
        <v>1</v>
      </c>
      <c r="D62" s="104"/>
    </row>
    <row r="63" spans="2:4" x14ac:dyDescent="0.15">
      <c r="B63" s="168" t="s">
        <v>181</v>
      </c>
      <c r="C63" s="104">
        <v>1981</v>
      </c>
      <c r="D63" s="104"/>
    </row>
    <row r="64" spans="2:4" x14ac:dyDescent="0.15">
      <c r="B64" s="168" t="s">
        <v>182</v>
      </c>
      <c r="C64" s="104">
        <v>1</v>
      </c>
      <c r="D64" s="104"/>
    </row>
    <row r="65" spans="2:4" x14ac:dyDescent="0.15">
      <c r="B65" s="168" t="s">
        <v>183</v>
      </c>
      <c r="C65" s="168" t="s">
        <v>191</v>
      </c>
      <c r="D65" s="104"/>
    </row>
    <row r="66" spans="2:4" x14ac:dyDescent="0.15">
      <c r="B66" s="168" t="s">
        <v>184</v>
      </c>
      <c r="D66" s="104"/>
    </row>
    <row r="67" spans="2:4" x14ac:dyDescent="0.15">
      <c r="B67" s="104"/>
      <c r="C67" s="104"/>
      <c r="D67" s="104"/>
    </row>
    <row r="68" spans="2:4" x14ac:dyDescent="0.15">
      <c r="B68" s="104"/>
      <c r="C68" s="104"/>
      <c r="D68" s="10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5" activePane="bottomLeft" state="frozenSplit"/>
      <selection activeCell="E1" sqref="E1"/>
      <selection pane="bottomLeft" activeCell="D34" sqref="D34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1.6640625" style="79" bestFit="1" customWidth="1"/>
    <col min="6" max="6" width="2.33203125" style="79" bestFit="1" customWidth="1"/>
    <col min="7" max="7" width="11.83203125" style="79" bestFit="1" customWidth="1"/>
    <col min="8" max="8" width="11.83203125" style="79" customWidth="1"/>
    <col min="9" max="9" width="10.83203125" style="79" customWidth="1"/>
    <col min="10" max="11" width="11.83203125" style="79" customWidth="1"/>
    <col min="12" max="12" width="2.33203125" style="79" customWidth="1"/>
    <col min="13" max="13" width="3.83203125" style="79" customWidth="1"/>
    <col min="14" max="14" width="7.83203125" style="79" bestFit="1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69" t="s">
        <v>192</v>
      </c>
      <c r="F2" s="79">
        <v>0</v>
      </c>
      <c r="G2" s="79">
        <v>0.56899999999999995</v>
      </c>
      <c r="H2" s="79">
        <v>1.1100000000000001</v>
      </c>
      <c r="I2" s="6">
        <v>3.153</v>
      </c>
      <c r="J2" s="6">
        <v>0.96830799999999995</v>
      </c>
      <c r="K2" s="6">
        <v>0.35204565500000001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28</v>
      </c>
      <c r="C3" s="79">
        <v>2</v>
      </c>
      <c r="D3"/>
      <c r="E3" s="169" t="s">
        <v>193</v>
      </c>
      <c r="F3" s="79">
        <v>0</v>
      </c>
      <c r="G3" s="79">
        <v>0.65700000000000003</v>
      </c>
      <c r="H3" s="79">
        <v>0.84</v>
      </c>
      <c r="I3" s="79">
        <v>3.5579999999999998</v>
      </c>
      <c r="J3" s="79">
        <v>0.94914160000000003</v>
      </c>
      <c r="K3" s="79">
        <v>0.23608767999999999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69" t="s">
        <v>194</v>
      </c>
      <c r="F4" s="79">
        <v>0</v>
      </c>
      <c r="G4" s="79">
        <v>0.65300000000000002</v>
      </c>
      <c r="H4" s="79">
        <v>0.57999999999999996</v>
      </c>
      <c r="I4" s="79">
        <v>3.286</v>
      </c>
      <c r="J4" s="79">
        <v>0.54126839999999998</v>
      </c>
      <c r="K4" s="79">
        <v>0.17650638499999999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69" t="s">
        <v>195</v>
      </c>
      <c r="F5" s="79">
        <v>0</v>
      </c>
      <c r="G5" s="79">
        <v>0.46400000000000002</v>
      </c>
      <c r="H5" s="79">
        <v>0.28999999999999998</v>
      </c>
      <c r="I5" s="79">
        <v>5.79</v>
      </c>
      <c r="J5" s="79">
        <v>0.83234249999999999</v>
      </c>
      <c r="K5" s="79">
        <v>5.0086353E-2</v>
      </c>
      <c r="L5" s="79">
        <v>0</v>
      </c>
      <c r="M5" s="79">
        <v>0.2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69" t="s">
        <v>196</v>
      </c>
      <c r="F6" s="79">
        <v>0</v>
      </c>
      <c r="G6" s="79">
        <v>0.83199999999999996</v>
      </c>
      <c r="H6" s="79">
        <v>1.37</v>
      </c>
      <c r="I6" s="79">
        <v>3.786</v>
      </c>
      <c r="J6" s="79">
        <v>0.64552635000000003</v>
      </c>
      <c r="K6" s="79">
        <v>0.36185947099999999</v>
      </c>
      <c r="L6" s="79">
        <v>0</v>
      </c>
      <c r="M6" s="79">
        <v>0.2</v>
      </c>
      <c r="N6" s="79">
        <v>0</v>
      </c>
      <c r="P6" s="70"/>
      <c r="Q6" s="70"/>
      <c r="R6" s="70"/>
      <c r="W6" s="35" t="s">
        <v>31</v>
      </c>
      <c r="X6" s="51">
        <f>MAX(MainOutputs!G:G)</f>
        <v>0.99574047327041626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156</v>
      </c>
      <c r="C7" s="79">
        <v>6</v>
      </c>
      <c r="D7"/>
      <c r="E7" s="169" t="s">
        <v>197</v>
      </c>
      <c r="F7" s="79">
        <v>0</v>
      </c>
      <c r="G7" s="79">
        <v>0.83599999999999997</v>
      </c>
      <c r="H7" s="79">
        <v>1.04</v>
      </c>
      <c r="I7" s="79">
        <v>4.5999999999999996</v>
      </c>
      <c r="J7" s="79">
        <v>0.54429830000000001</v>
      </c>
      <c r="K7" s="79">
        <v>0.226086959</v>
      </c>
      <c r="L7" s="79">
        <v>0</v>
      </c>
      <c r="M7" s="79">
        <v>0.2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42</v>
      </c>
      <c r="C8" s="79">
        <v>7</v>
      </c>
      <c r="D8"/>
      <c r="E8" s="169" t="s">
        <v>198</v>
      </c>
      <c r="F8" s="79">
        <v>0</v>
      </c>
      <c r="G8" s="79">
        <v>0.54500000000000004</v>
      </c>
      <c r="H8" s="79">
        <v>1.21</v>
      </c>
      <c r="I8" s="79">
        <v>8.6</v>
      </c>
      <c r="J8" s="79">
        <v>0.96086519999999997</v>
      </c>
      <c r="K8" s="79">
        <v>0.140697673</v>
      </c>
      <c r="L8" s="79">
        <v>0</v>
      </c>
      <c r="M8" s="79">
        <v>0.2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69" t="s">
        <v>199</v>
      </c>
      <c r="F9" s="79">
        <v>0</v>
      </c>
      <c r="G9" s="79">
        <v>1.9410000000000001</v>
      </c>
      <c r="H9" s="79">
        <v>2.48</v>
      </c>
      <c r="I9" s="79">
        <v>16.5333328</v>
      </c>
      <c r="J9" s="79">
        <v>0.494850546</v>
      </c>
      <c r="K9" s="79">
        <v>0.15</v>
      </c>
      <c r="L9" s="79">
        <v>0</v>
      </c>
      <c r="M9" s="79">
        <v>0.2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69" t="s">
        <v>200</v>
      </c>
      <c r="F10" s="79">
        <v>0</v>
      </c>
      <c r="G10" s="79">
        <v>2.577</v>
      </c>
      <c r="H10" s="79">
        <v>2.02</v>
      </c>
      <c r="I10" s="79">
        <v>13.466666200000001</v>
      </c>
      <c r="J10" s="79">
        <v>0.58356344699999996</v>
      </c>
      <c r="K10" s="79">
        <v>0.15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69" t="s">
        <v>201</v>
      </c>
      <c r="F11" s="79">
        <v>0</v>
      </c>
      <c r="G11" s="79">
        <v>0.63800000000000001</v>
      </c>
      <c r="H11" s="79">
        <v>0.65</v>
      </c>
      <c r="I11" s="79">
        <v>2.8</v>
      </c>
      <c r="J11" s="79">
        <v>0.53291535400000001</v>
      </c>
      <c r="K11" s="79">
        <v>0.23214285100000001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69" t="s">
        <v>202</v>
      </c>
      <c r="F12" s="79">
        <v>0</v>
      </c>
      <c r="G12" s="79">
        <v>7.5999999999999998E-2</v>
      </c>
      <c r="H12" s="79">
        <v>0.66</v>
      </c>
      <c r="I12" s="79">
        <v>4.4000000000000004</v>
      </c>
      <c r="J12" s="79">
        <v>0.49840509999999999</v>
      </c>
      <c r="K12" s="79">
        <v>0.15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69" t="s">
        <v>203</v>
      </c>
      <c r="F13" s="79">
        <v>0</v>
      </c>
      <c r="G13" s="79">
        <v>0.52800000000000002</v>
      </c>
      <c r="H13" s="79">
        <v>0.43500003199999998</v>
      </c>
      <c r="I13" s="79">
        <v>2.9</v>
      </c>
      <c r="J13" s="79">
        <v>0</v>
      </c>
      <c r="K13" s="79">
        <v>0.15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69" t="s">
        <v>204</v>
      </c>
      <c r="F14" s="79">
        <v>0</v>
      </c>
      <c r="G14" s="79">
        <v>1.4750000000000001</v>
      </c>
      <c r="H14" s="79">
        <v>0.86850005399999997</v>
      </c>
      <c r="I14" s="79">
        <v>5.79</v>
      </c>
      <c r="J14" s="79">
        <v>0</v>
      </c>
      <c r="K14" s="79">
        <v>0.15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69" t="s">
        <v>205</v>
      </c>
      <c r="F15" s="79">
        <v>0</v>
      </c>
      <c r="G15" s="79">
        <v>4.3460000000000001</v>
      </c>
      <c r="H15" s="79">
        <v>0.474684626</v>
      </c>
      <c r="I15" s="79">
        <v>3.5</v>
      </c>
      <c r="J15" s="79">
        <v>0.95</v>
      </c>
      <c r="K15" s="79">
        <v>0.13562418500000001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69" t="s">
        <v>206</v>
      </c>
      <c r="F16" s="79">
        <v>0</v>
      </c>
      <c r="G16" s="79">
        <v>1.94976759</v>
      </c>
      <c r="H16" s="79">
        <v>5</v>
      </c>
      <c r="I16" s="79">
        <v>25</v>
      </c>
      <c r="J16" s="79">
        <v>0.95</v>
      </c>
      <c r="K16" s="79">
        <v>0.2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69" t="s">
        <v>207</v>
      </c>
      <c r="F17" s="79">
        <v>0</v>
      </c>
      <c r="G17" s="79">
        <v>10</v>
      </c>
      <c r="H17" s="79">
        <v>18</v>
      </c>
      <c r="I17" s="79">
        <v>60</v>
      </c>
      <c r="J17" s="79">
        <v>0.97692573100000002</v>
      </c>
      <c r="K17" s="79">
        <v>0.3</v>
      </c>
      <c r="L17" s="79">
        <v>0</v>
      </c>
      <c r="M17" s="79">
        <v>0.4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69" t="s">
        <v>208</v>
      </c>
      <c r="F18" s="79">
        <v>0</v>
      </c>
      <c r="G18" s="79">
        <v>9.1485339999999997</v>
      </c>
      <c r="H18" s="79">
        <v>2.4300000000000002</v>
      </c>
      <c r="I18" s="79">
        <v>16.199998900000001</v>
      </c>
      <c r="J18" s="79">
        <v>0.95</v>
      </c>
      <c r="K18" s="79">
        <v>0.15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69" t="s">
        <v>209</v>
      </c>
      <c r="F19" s="79">
        <v>0</v>
      </c>
      <c r="G19" s="79">
        <v>15.8109255</v>
      </c>
      <c r="H19" s="79">
        <v>3</v>
      </c>
      <c r="I19" s="79">
        <v>20</v>
      </c>
      <c r="J19" s="79">
        <v>0.95</v>
      </c>
      <c r="K19" s="79">
        <v>0.15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69" t="s">
        <v>210</v>
      </c>
      <c r="F20" s="79">
        <v>0</v>
      </c>
      <c r="G20" s="79">
        <v>24</v>
      </c>
      <c r="H20" s="79">
        <v>2</v>
      </c>
      <c r="I20" s="79">
        <v>13.333333</v>
      </c>
      <c r="J20" s="79">
        <v>0.77976279999999998</v>
      </c>
      <c r="K20" s="79">
        <v>0.15</v>
      </c>
      <c r="L20" s="79">
        <v>0</v>
      </c>
      <c r="M20" s="79">
        <v>0.2</v>
      </c>
      <c r="N20" s="79">
        <v>0</v>
      </c>
    </row>
    <row r="21" spans="1:22" ht="15" customHeight="1" thickBot="1" x14ac:dyDescent="0.2">
      <c r="A21" s="46" t="s">
        <v>137</v>
      </c>
      <c r="B21" s="97"/>
      <c r="C21" s="79">
        <v>20</v>
      </c>
      <c r="D21"/>
      <c r="E21" s="169" t="s">
        <v>211</v>
      </c>
      <c r="F21" s="79">
        <v>0</v>
      </c>
      <c r="G21" s="79">
        <v>32</v>
      </c>
      <c r="H21" s="79">
        <v>2</v>
      </c>
      <c r="I21" s="79">
        <v>13.333333</v>
      </c>
      <c r="J21" s="79">
        <v>0.72876393799999994</v>
      </c>
      <c r="K21" s="79">
        <v>0.15</v>
      </c>
      <c r="L21" s="79">
        <v>0</v>
      </c>
      <c r="M21" s="79">
        <v>0.2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69" t="s">
        <v>212</v>
      </c>
      <c r="F22" s="79">
        <v>0</v>
      </c>
      <c r="G22" s="79">
        <v>49</v>
      </c>
      <c r="H22" s="79">
        <v>2</v>
      </c>
      <c r="I22" s="79">
        <v>13.333333</v>
      </c>
      <c r="J22" s="79">
        <v>0.6951039</v>
      </c>
      <c r="K22" s="79">
        <v>0.15</v>
      </c>
      <c r="L22" s="79">
        <v>0</v>
      </c>
      <c r="M22" s="79">
        <v>0.2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69" t="s">
        <v>213</v>
      </c>
      <c r="F23" s="79">
        <v>0</v>
      </c>
      <c r="G23" s="79">
        <v>12.948830600000001</v>
      </c>
      <c r="H23" s="79">
        <v>3</v>
      </c>
      <c r="I23" s="79">
        <v>20</v>
      </c>
      <c r="J23" s="79">
        <v>0.95</v>
      </c>
      <c r="K23" s="79">
        <v>0.15</v>
      </c>
      <c r="L23" s="79">
        <v>0</v>
      </c>
      <c r="M23" s="79">
        <v>0.2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69" t="s">
        <v>214</v>
      </c>
      <c r="F24" s="79">
        <v>1</v>
      </c>
      <c r="G24" s="79">
        <v>43</v>
      </c>
      <c r="H24" s="79">
        <v>53.5</v>
      </c>
      <c r="I24" s="79">
        <v>0</v>
      </c>
      <c r="J24" s="79">
        <v>0.23209995</v>
      </c>
      <c r="K24" s="79">
        <v>0</v>
      </c>
      <c r="L24" s="79">
        <v>0</v>
      </c>
      <c r="M24" s="79">
        <v>0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238" t="s">
        <v>215</v>
      </c>
      <c r="F25" s="79">
        <v>0</v>
      </c>
      <c r="G25" s="79">
        <v>10.5055771</v>
      </c>
      <c r="H25" s="79">
        <v>53.5</v>
      </c>
      <c r="I25" s="79">
        <v>133.75</v>
      </c>
      <c r="J25" s="79">
        <v>0.95</v>
      </c>
      <c r="K25" s="79">
        <v>0.4</v>
      </c>
      <c r="L25" s="79">
        <v>0</v>
      </c>
      <c r="M25" s="79">
        <v>0.3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69" t="s">
        <v>216</v>
      </c>
      <c r="F26" s="79">
        <v>1</v>
      </c>
      <c r="G26" s="79">
        <v>2.9581494300000002</v>
      </c>
      <c r="H26" s="79">
        <v>200</v>
      </c>
      <c r="I26" s="79">
        <v>0</v>
      </c>
      <c r="J26" s="79">
        <v>0.95</v>
      </c>
      <c r="K26" s="79">
        <v>0</v>
      </c>
      <c r="L26" s="79">
        <v>0</v>
      </c>
      <c r="M26" s="79">
        <v>0</v>
      </c>
      <c r="N26" s="79">
        <v>0</v>
      </c>
    </row>
    <row r="27" spans="1:22" ht="15" customHeight="1" x14ac:dyDescent="0.15">
      <c r="C27" s="79">
        <v>26</v>
      </c>
      <c r="D27"/>
      <c r="E27" s="238" t="s">
        <v>217</v>
      </c>
      <c r="F27" s="79">
        <v>0</v>
      </c>
      <c r="G27" s="79">
        <v>4.4372243899999999</v>
      </c>
      <c r="H27" s="79">
        <v>200</v>
      </c>
      <c r="I27" s="79">
        <v>500</v>
      </c>
      <c r="J27" s="79">
        <v>0.95</v>
      </c>
      <c r="K27" s="79">
        <v>0.4</v>
      </c>
      <c r="L27" s="79">
        <v>0</v>
      </c>
      <c r="M27" s="79">
        <v>0.3</v>
      </c>
      <c r="N27" s="79">
        <v>0</v>
      </c>
    </row>
    <row r="28" spans="1:22" ht="15" customHeight="1" x14ac:dyDescent="0.15">
      <c r="C28" s="79">
        <v>27</v>
      </c>
      <c r="D28"/>
      <c r="E28" s="169" t="s">
        <v>218</v>
      </c>
      <c r="F28" s="79">
        <v>1</v>
      </c>
      <c r="G28" s="79">
        <v>0.93415254400000003</v>
      </c>
      <c r="H28" s="79">
        <v>1000</v>
      </c>
      <c r="I28" s="79">
        <v>0</v>
      </c>
      <c r="J28" s="79">
        <v>0.95</v>
      </c>
      <c r="K28" s="79">
        <v>0</v>
      </c>
      <c r="L28" s="79">
        <v>0</v>
      </c>
      <c r="M28" s="79">
        <v>0</v>
      </c>
      <c r="N28" s="79">
        <v>0</v>
      </c>
    </row>
    <row r="29" spans="1:22" customFormat="1" ht="15" customHeight="1" x14ac:dyDescent="0.15">
      <c r="C29" s="79">
        <v>28</v>
      </c>
      <c r="E29" s="169" t="s">
        <v>219</v>
      </c>
      <c r="F29" s="79">
        <v>0</v>
      </c>
      <c r="G29" s="79">
        <v>1.40122879</v>
      </c>
      <c r="H29" s="79">
        <v>1000</v>
      </c>
      <c r="I29" s="79">
        <v>2500</v>
      </c>
      <c r="J29" s="79">
        <v>0.95</v>
      </c>
      <c r="K29" s="79">
        <v>0.4</v>
      </c>
      <c r="L29" s="79">
        <v>0</v>
      </c>
      <c r="M29" s="79">
        <v>0.3</v>
      </c>
      <c r="N29" s="79">
        <v>0</v>
      </c>
    </row>
    <row r="30" spans="1:22" customFormat="1" ht="15" customHeight="1" x14ac:dyDescent="0.15">
      <c r="C30" s="79">
        <v>29</v>
      </c>
      <c r="E30" s="169" t="s">
        <v>220</v>
      </c>
      <c r="F30" s="79">
        <v>2</v>
      </c>
      <c r="G30" s="79">
        <v>50</v>
      </c>
      <c r="H30" s="79">
        <v>0</v>
      </c>
      <c r="I30" s="79">
        <v>0</v>
      </c>
      <c r="J30" s="79">
        <v>0.99574050000000003</v>
      </c>
      <c r="K30" s="79">
        <v>0</v>
      </c>
      <c r="L30" s="79">
        <v>0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69" t="s">
        <v>221</v>
      </c>
      <c r="F31" s="79">
        <v>2</v>
      </c>
      <c r="G31" s="79">
        <v>5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>
      <c r="C32" s="79">
        <v>31</v>
      </c>
      <c r="E32" s="169" t="s">
        <v>222</v>
      </c>
      <c r="F32" s="79">
        <v>3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</row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5" bestFit="1" customWidth="1"/>
    <col min="2" max="2" width="5.83203125" style="135" bestFit="1" customWidth="1"/>
    <col min="3" max="3" width="15.83203125" style="135" bestFit="1" customWidth="1"/>
    <col min="4" max="5" width="5.83203125" style="135" bestFit="1" customWidth="1"/>
    <col min="6" max="6" width="15.83203125" style="135" bestFit="1" customWidth="1"/>
    <col min="7" max="7" width="5.83203125" style="135" bestFit="1" customWidth="1"/>
    <col min="8" max="8" width="3.83203125" style="135" bestFit="1" customWidth="1"/>
    <col min="9" max="9" width="5.83203125" style="135" bestFit="1" customWidth="1"/>
    <col min="10" max="10" width="4.83203125" style="135" bestFit="1" customWidth="1"/>
    <col min="11" max="12" width="3.83203125" style="135" bestFit="1" customWidth="1"/>
    <col min="13" max="14" width="5.83203125" style="135" bestFit="1" customWidth="1"/>
    <col min="15" max="16" width="3.83203125" style="135" bestFit="1" customWidth="1"/>
    <col min="17" max="17" width="5.83203125" style="135" bestFit="1" customWidth="1"/>
    <col min="18" max="18" width="3.83203125" style="135" bestFit="1" customWidth="1"/>
    <col min="19" max="19" width="4.83203125" style="135" bestFit="1" customWidth="1"/>
    <col min="20" max="20" width="3.83203125" style="135" bestFit="1" customWidth="1"/>
    <col min="21" max="21" width="2.33203125" style="135" bestFit="1" customWidth="1"/>
    <col min="22" max="22" width="3.83203125" style="135" bestFit="1" customWidth="1"/>
    <col min="23" max="23" width="4.83203125" style="135" bestFit="1" customWidth="1"/>
    <col min="24" max="24" width="2.33203125" style="135" bestFit="1" customWidth="1"/>
    <col min="25" max="25" width="3.83203125" style="135" bestFit="1" customWidth="1"/>
    <col min="26" max="26" width="2.33203125" style="135" bestFit="1" customWidth="1"/>
    <col min="27" max="27" width="3.83203125" style="135" bestFit="1" customWidth="1"/>
    <col min="28" max="29" width="2.33203125" style="135" bestFit="1" customWidth="1"/>
    <col min="30" max="31" width="2.33203125" style="135" customWidth="1"/>
    <col min="32" max="16384" width="8.83203125" style="135"/>
  </cols>
  <sheetData>
    <row r="1" spans="1:34" x14ac:dyDescent="0.15">
      <c r="A1" s="134" t="s">
        <v>19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 s="171" t="s">
        <v>213</v>
      </c>
      <c r="X1" s="171" t="s">
        <v>214</v>
      </c>
      <c r="Y1" s="171" t="s">
        <v>215</v>
      </c>
      <c r="Z1" s="171" t="s">
        <v>216</v>
      </c>
      <c r="AA1" s="171" t="s">
        <v>217</v>
      </c>
      <c r="AB1" s="171" t="s">
        <v>218</v>
      </c>
      <c r="AC1" s="171" t="s">
        <v>219</v>
      </c>
      <c r="AD1" s="171" t="s">
        <v>220</v>
      </c>
      <c r="AE1" s="171" t="s">
        <v>221</v>
      </c>
      <c r="AF1"/>
      <c r="AG1"/>
      <c r="AH1"/>
    </row>
    <row r="2" spans="1:34" customFormat="1" x14ac:dyDescent="0.15">
      <c r="A2" s="170" t="s">
        <v>192</v>
      </c>
      <c r="B2" s="135">
        <v>1.6999999999999998E-2</v>
      </c>
      <c r="C2" s="135">
        <v>9.9900110209790241E-4</v>
      </c>
      <c r="D2" s="135">
        <v>1E-3</v>
      </c>
      <c r="E2" s="135">
        <v>0</v>
      </c>
      <c r="F2" s="135">
        <v>0</v>
      </c>
      <c r="G2" s="135">
        <v>0</v>
      </c>
      <c r="H2" s="135">
        <v>0</v>
      </c>
      <c r="I2" s="135">
        <v>0</v>
      </c>
      <c r="J2" s="135">
        <v>0</v>
      </c>
      <c r="K2" s="135">
        <v>0</v>
      </c>
      <c r="L2" s="135">
        <v>0</v>
      </c>
      <c r="M2" s="135">
        <v>3.0000000000000001E-3</v>
      </c>
      <c r="N2" s="135">
        <v>0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</v>
      </c>
      <c r="W2" s="135">
        <v>0</v>
      </c>
      <c r="X2" s="135">
        <v>0</v>
      </c>
      <c r="Y2" s="135">
        <v>0</v>
      </c>
      <c r="Z2" s="135">
        <v>0</v>
      </c>
      <c r="AA2" s="135">
        <v>0</v>
      </c>
      <c r="AB2" s="135">
        <v>0</v>
      </c>
      <c r="AC2" s="135">
        <v>0</v>
      </c>
      <c r="AD2" s="135">
        <v>0</v>
      </c>
      <c r="AE2" s="135">
        <v>0</v>
      </c>
    </row>
    <row r="3" spans="1:34" customFormat="1" x14ac:dyDescent="0.15">
      <c r="A3" s="170" t="s">
        <v>193</v>
      </c>
      <c r="B3" s="135">
        <v>5.0999999999999983E-2</v>
      </c>
      <c r="C3" s="135">
        <v>1.7982017237762233E-2</v>
      </c>
      <c r="D3" s="135">
        <v>3.0000000000000001E-3</v>
      </c>
      <c r="E3" s="135">
        <v>0</v>
      </c>
      <c r="F3" s="135">
        <v>0</v>
      </c>
      <c r="G3" s="135">
        <v>0</v>
      </c>
      <c r="H3" s="135">
        <v>0</v>
      </c>
      <c r="I3" s="135">
        <v>0</v>
      </c>
      <c r="J3" s="135">
        <v>0</v>
      </c>
      <c r="K3" s="135">
        <v>0</v>
      </c>
      <c r="L3" s="135">
        <v>0</v>
      </c>
      <c r="M3" s="135">
        <v>1.0999999999999999E-2</v>
      </c>
      <c r="N3" s="135">
        <v>0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  <c r="X3" s="135">
        <v>0</v>
      </c>
      <c r="Y3" s="135">
        <v>0</v>
      </c>
      <c r="Z3" s="135">
        <v>0</v>
      </c>
      <c r="AA3" s="135">
        <v>0</v>
      </c>
      <c r="AB3" s="135">
        <v>0</v>
      </c>
      <c r="AC3" s="135">
        <v>0</v>
      </c>
      <c r="AD3" s="135">
        <v>0</v>
      </c>
      <c r="AE3" s="135">
        <v>0</v>
      </c>
    </row>
    <row r="4" spans="1:34" customFormat="1" x14ac:dyDescent="0.15">
      <c r="A4" s="170" t="s">
        <v>194</v>
      </c>
      <c r="B4" s="135">
        <v>0</v>
      </c>
      <c r="C4" s="135">
        <v>0</v>
      </c>
      <c r="D4" s="135">
        <v>0</v>
      </c>
      <c r="E4" s="135">
        <v>0</v>
      </c>
      <c r="F4" s="135">
        <v>0</v>
      </c>
      <c r="G4" s="135">
        <v>0</v>
      </c>
      <c r="H4" s="135">
        <v>0</v>
      </c>
      <c r="I4" s="135">
        <v>0</v>
      </c>
      <c r="J4" s="135">
        <v>0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</row>
    <row r="5" spans="1:34" customFormat="1" x14ac:dyDescent="0.15">
      <c r="A5" s="170" t="s">
        <v>195</v>
      </c>
      <c r="B5" s="135">
        <v>0</v>
      </c>
      <c r="C5" s="135">
        <v>0</v>
      </c>
      <c r="D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</row>
    <row r="6" spans="1:34" customFormat="1" x14ac:dyDescent="0.15">
      <c r="A6" s="170" t="s">
        <v>196</v>
      </c>
      <c r="B6" s="135">
        <v>5.7999999999999989E-2</v>
      </c>
      <c r="C6" s="135">
        <v>3.0969031265034964E-2</v>
      </c>
      <c r="D6" s="135">
        <v>5.6000000000000001E-2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3.7999999999999999E-2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</row>
    <row r="7" spans="1:34" customFormat="1" x14ac:dyDescent="0.15">
      <c r="A7" s="170" t="s">
        <v>197</v>
      </c>
      <c r="B7" s="135">
        <v>2.2999999999999996E-2</v>
      </c>
      <c r="C7" s="135">
        <v>2.797203005874126E-2</v>
      </c>
      <c r="D7" s="135">
        <v>8.0000000000000002E-3</v>
      </c>
      <c r="E7" s="135">
        <v>2.1000000000000001E-2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</row>
    <row r="8" spans="1:34" customFormat="1" x14ac:dyDescent="0.15">
      <c r="A8" s="170" t="s">
        <v>198</v>
      </c>
      <c r="B8" s="135">
        <v>2.1999999999999995E-2</v>
      </c>
      <c r="C8" s="135">
        <v>7.6923080161538468E-2</v>
      </c>
      <c r="D8" s="135">
        <v>8.0000000000000002E-3</v>
      </c>
      <c r="E8" s="135">
        <v>1.9E-2</v>
      </c>
      <c r="F8" s="135">
        <v>9.9899901039357097E-4</v>
      </c>
      <c r="G8" s="135">
        <v>0</v>
      </c>
      <c r="H8" s="135">
        <v>0</v>
      </c>
      <c r="I8" s="135">
        <v>0</v>
      </c>
      <c r="J8" s="135">
        <v>0</v>
      </c>
      <c r="K8" s="135">
        <v>0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5"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</row>
    <row r="9" spans="1:34" customFormat="1" x14ac:dyDescent="0.15">
      <c r="A9" s="170" t="s">
        <v>199</v>
      </c>
      <c r="B9" s="135">
        <v>7.1999999999999981E-2</v>
      </c>
      <c r="C9" s="135">
        <v>0.11788211824755243</v>
      </c>
      <c r="D9" s="135">
        <v>0.46500000000000002</v>
      </c>
      <c r="E9" s="135">
        <v>3.1E-2</v>
      </c>
      <c r="F9" s="135">
        <v>2.8970969901416344E-2</v>
      </c>
      <c r="G9" s="135">
        <v>0</v>
      </c>
      <c r="H9" s="135">
        <v>0</v>
      </c>
      <c r="I9" s="135">
        <v>0</v>
      </c>
      <c r="J9" s="135">
        <v>0</v>
      </c>
      <c r="K9" s="135">
        <v>0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</row>
    <row r="10" spans="1:34" customFormat="1" x14ac:dyDescent="0.15">
      <c r="A10" s="170" t="s">
        <v>200</v>
      </c>
      <c r="B10" s="135">
        <v>7.8999999999999987E-2</v>
      </c>
      <c r="C10" s="135">
        <v>0.25274723853076919</v>
      </c>
      <c r="D10" s="135">
        <v>0.05</v>
      </c>
      <c r="E10" s="135">
        <v>0.188</v>
      </c>
      <c r="F10" s="135">
        <v>7.7921920810702525E-2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0</v>
      </c>
      <c r="M10" s="135">
        <v>0.189</v>
      </c>
      <c r="N10" s="135"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</row>
    <row r="11" spans="1:34" customFormat="1" x14ac:dyDescent="0.15">
      <c r="A11" s="170" t="s">
        <v>201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</v>
      </c>
      <c r="K11" s="135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</row>
    <row r="12" spans="1:34" customFormat="1" x14ac:dyDescent="0.15">
      <c r="A12" s="170" t="s">
        <v>202</v>
      </c>
      <c r="B12" s="135">
        <v>0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</row>
    <row r="13" spans="1:34" customFormat="1" x14ac:dyDescent="0.15">
      <c r="A13" s="170" t="s">
        <v>203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</row>
    <row r="14" spans="1:34" customFormat="1" x14ac:dyDescent="0.15">
      <c r="A14" s="170" t="s">
        <v>204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</row>
    <row r="15" spans="1:34" customFormat="1" x14ac:dyDescent="0.15">
      <c r="A15" s="170" t="s">
        <v>205</v>
      </c>
      <c r="B15" s="135">
        <v>0.18799999999999994</v>
      </c>
      <c r="C15" s="135">
        <v>0.18681319139230768</v>
      </c>
      <c r="D15" s="135">
        <v>2.9000000000000001E-2</v>
      </c>
      <c r="E15" s="135">
        <v>1.2E-2</v>
      </c>
      <c r="F15" s="135">
        <v>0.28571373097253339</v>
      </c>
      <c r="G15" s="135">
        <v>0</v>
      </c>
      <c r="H15" s="135">
        <v>0</v>
      </c>
      <c r="I15" s="135">
        <v>0</v>
      </c>
      <c r="J15" s="135">
        <v>0</v>
      </c>
      <c r="K15" s="135">
        <v>0</v>
      </c>
      <c r="L15" s="135">
        <v>0</v>
      </c>
      <c r="M15" s="135">
        <v>0.125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</row>
    <row r="16" spans="1:34" customFormat="1" x14ac:dyDescent="0.15">
      <c r="A16" s="170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0.111</v>
      </c>
      <c r="H16" s="135">
        <v>0</v>
      </c>
      <c r="I16" s="135">
        <v>7.4999999999999997E-2</v>
      </c>
      <c r="J16" s="135">
        <v>0.01</v>
      </c>
      <c r="K16" s="135">
        <v>0</v>
      </c>
      <c r="L16" s="135">
        <v>0</v>
      </c>
      <c r="M16" s="135">
        <v>0</v>
      </c>
      <c r="N16" s="135">
        <v>0.71199999999999997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</row>
    <row r="17" spans="1:31" customFormat="1" x14ac:dyDescent="0.15">
      <c r="A17" s="170" t="s">
        <v>207</v>
      </c>
      <c r="B17" s="135">
        <v>0</v>
      </c>
      <c r="C17" s="135">
        <v>0</v>
      </c>
      <c r="D17" s="135">
        <v>0</v>
      </c>
      <c r="E17" s="135">
        <v>0.214</v>
      </c>
      <c r="F17" s="135">
        <v>0</v>
      </c>
      <c r="G17" s="135">
        <v>0.20100000000000001</v>
      </c>
      <c r="H17" s="135">
        <v>0.7</v>
      </c>
      <c r="I17" s="135">
        <v>0.33500000000000002</v>
      </c>
      <c r="J17" s="135">
        <v>0.5</v>
      </c>
      <c r="K17" s="135">
        <v>0</v>
      </c>
      <c r="L17" s="135">
        <v>0</v>
      </c>
      <c r="M17" s="135">
        <v>0</v>
      </c>
      <c r="N17" s="135">
        <v>4.3999999999999997E-2</v>
      </c>
      <c r="O17" s="135">
        <v>0</v>
      </c>
      <c r="P17" s="135">
        <v>0.8</v>
      </c>
      <c r="Q17" s="135">
        <v>0</v>
      </c>
      <c r="R17" s="135">
        <v>0.7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</row>
    <row r="18" spans="1:31" customFormat="1" x14ac:dyDescent="0.15">
      <c r="A18" s="170" t="s">
        <v>208</v>
      </c>
      <c r="B18" s="135">
        <v>4.9999999999999989E-2</v>
      </c>
      <c r="C18" s="135">
        <v>9.8901100207692313E-2</v>
      </c>
      <c r="D18" s="135">
        <v>0.35799999999999998</v>
      </c>
      <c r="E18" s="135">
        <v>0.36499999999999999</v>
      </c>
      <c r="F18" s="135">
        <v>9.8900893028981432E-2</v>
      </c>
      <c r="G18" s="135">
        <v>0.57499999999999996</v>
      </c>
      <c r="H18" s="135">
        <v>0</v>
      </c>
      <c r="I18" s="135">
        <v>0.51500000000000001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</row>
    <row r="19" spans="1:31" customFormat="1" x14ac:dyDescent="0.15">
      <c r="A19" s="170" t="s">
        <v>209</v>
      </c>
      <c r="B19" s="135">
        <v>0.31999999999999995</v>
      </c>
      <c r="C19" s="135">
        <v>9.8901100207692313E-2</v>
      </c>
      <c r="D19" s="135">
        <v>0</v>
      </c>
      <c r="E19" s="135">
        <v>3.1E-2</v>
      </c>
      <c r="F19" s="135">
        <v>9.8900893028981432E-2</v>
      </c>
      <c r="G19" s="135">
        <v>0.113</v>
      </c>
      <c r="H19" s="135">
        <v>0.3</v>
      </c>
      <c r="I19" s="135">
        <v>7.4999999999999997E-2</v>
      </c>
      <c r="J19" s="135">
        <v>0.49</v>
      </c>
      <c r="K19" s="135">
        <v>0</v>
      </c>
      <c r="L19" s="135">
        <v>0</v>
      </c>
      <c r="M19" s="135">
        <v>0.54200000000000004</v>
      </c>
      <c r="N19" s="135">
        <v>0.24399999999999999</v>
      </c>
      <c r="O19" s="135">
        <v>0</v>
      </c>
      <c r="P19" s="135">
        <v>0.1</v>
      </c>
      <c r="Q19" s="135">
        <v>0</v>
      </c>
      <c r="R19" s="135">
        <v>0.1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</row>
    <row r="20" spans="1:31" customFormat="1" x14ac:dyDescent="0.15">
      <c r="A20" s="170" t="s">
        <v>210</v>
      </c>
      <c r="B20" s="135">
        <v>8.9999999999999976E-3</v>
      </c>
      <c r="C20" s="135">
        <v>2.9970030062937058E-3</v>
      </c>
      <c r="D20" s="135">
        <v>0</v>
      </c>
      <c r="E20" s="135">
        <v>0</v>
      </c>
      <c r="F20" s="135">
        <v>0.13886085844471432</v>
      </c>
      <c r="G20" s="135">
        <v>0</v>
      </c>
      <c r="H20" s="135">
        <v>0</v>
      </c>
      <c r="I20" s="135">
        <v>0</v>
      </c>
      <c r="J20" s="135">
        <v>0</v>
      </c>
      <c r="K20" s="135">
        <v>0.3</v>
      </c>
      <c r="L20" s="135">
        <v>0.2</v>
      </c>
      <c r="M20" s="135">
        <v>0</v>
      </c>
      <c r="N20" s="135">
        <v>0</v>
      </c>
      <c r="O20" s="135">
        <v>0.5</v>
      </c>
      <c r="P20" s="135">
        <v>0</v>
      </c>
      <c r="Q20" s="135">
        <v>0</v>
      </c>
      <c r="R20" s="135">
        <v>0</v>
      </c>
      <c r="S20" s="135">
        <v>0.05</v>
      </c>
      <c r="T20" s="135">
        <v>0</v>
      </c>
      <c r="U20" s="135">
        <v>0</v>
      </c>
      <c r="V20" s="135">
        <v>0</v>
      </c>
      <c r="W20" s="135">
        <v>0.05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</row>
    <row r="21" spans="1:31" customFormat="1" x14ac:dyDescent="0.15">
      <c r="A21" s="170" t="s">
        <v>211</v>
      </c>
      <c r="B21" s="135">
        <v>6.699999999999999E-2</v>
      </c>
      <c r="C21" s="135">
        <v>2.4975026052447554E-2</v>
      </c>
      <c r="D21" s="135">
        <v>0</v>
      </c>
      <c r="E21" s="135">
        <v>5.0000000000000001E-3</v>
      </c>
      <c r="F21" s="135">
        <v>0.12587388130957797</v>
      </c>
      <c r="G21" s="135">
        <v>0</v>
      </c>
      <c r="H21" s="135">
        <v>0</v>
      </c>
      <c r="I21" s="135">
        <v>0</v>
      </c>
      <c r="J21" s="135">
        <v>0</v>
      </c>
      <c r="K21" s="135">
        <v>0.5</v>
      </c>
      <c r="L21" s="135">
        <v>0.8</v>
      </c>
      <c r="M21" s="135">
        <v>9.1999999999999998E-2</v>
      </c>
      <c r="N21" s="135">
        <v>0</v>
      </c>
      <c r="O21" s="135">
        <v>0.2</v>
      </c>
      <c r="P21" s="135">
        <v>0</v>
      </c>
      <c r="Q21" s="135">
        <v>0</v>
      </c>
      <c r="R21" s="135">
        <v>0</v>
      </c>
      <c r="S21" s="135">
        <v>0.05</v>
      </c>
      <c r="T21" s="135">
        <v>0</v>
      </c>
      <c r="U21" s="135">
        <v>0</v>
      </c>
      <c r="V21" s="135">
        <v>0</v>
      </c>
      <c r="W21" s="135">
        <v>0.1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</row>
    <row r="22" spans="1:31" customFormat="1" x14ac:dyDescent="0.15">
      <c r="A22" s="170" t="s">
        <v>212</v>
      </c>
      <c r="B22" s="135">
        <v>2.1999999999999995E-2</v>
      </c>
      <c r="C22" s="135">
        <v>3.0969031265034964E-2</v>
      </c>
      <c r="D22" s="135">
        <v>0</v>
      </c>
      <c r="E22" s="135">
        <v>0</v>
      </c>
      <c r="F22" s="135">
        <v>7.0928928737945526E-2</v>
      </c>
      <c r="G22" s="135">
        <v>0</v>
      </c>
      <c r="H22" s="135">
        <v>0</v>
      </c>
      <c r="I22" s="135">
        <v>0</v>
      </c>
      <c r="J22" s="135">
        <v>0</v>
      </c>
      <c r="K22" s="135">
        <v>0.1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0.05</v>
      </c>
      <c r="T22" s="135">
        <v>0</v>
      </c>
      <c r="U22" s="135">
        <v>0</v>
      </c>
      <c r="V22" s="135">
        <v>0</v>
      </c>
      <c r="W22" s="135">
        <v>0.2</v>
      </c>
      <c r="X22" s="135">
        <v>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</row>
    <row r="23" spans="1:31" customFormat="1" x14ac:dyDescent="0.15">
      <c r="A23" s="170" t="s">
        <v>213</v>
      </c>
      <c r="B23" s="135">
        <v>2.1999999999999995E-2</v>
      </c>
      <c r="C23" s="135">
        <v>3.0969031265034964E-2</v>
      </c>
      <c r="D23" s="135">
        <v>2.1999999999999999E-2</v>
      </c>
      <c r="E23" s="135">
        <v>0.114</v>
      </c>
      <c r="F23" s="135">
        <v>7.0928928737945526E-2</v>
      </c>
      <c r="G23" s="135">
        <v>0</v>
      </c>
      <c r="H23" s="135">
        <v>0</v>
      </c>
      <c r="I23" s="135">
        <v>0</v>
      </c>
      <c r="J23" s="135">
        <v>0</v>
      </c>
      <c r="K23" s="135">
        <v>0.1</v>
      </c>
      <c r="L23" s="135">
        <v>0</v>
      </c>
      <c r="M23" s="135">
        <v>0</v>
      </c>
      <c r="N23" s="135">
        <v>0</v>
      </c>
      <c r="O23" s="135">
        <v>0.1</v>
      </c>
      <c r="P23" s="135">
        <v>0.1</v>
      </c>
      <c r="Q23" s="135">
        <v>0</v>
      </c>
      <c r="R23" s="135">
        <v>0.2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</row>
    <row r="24" spans="1:31" customFormat="1" x14ac:dyDescent="0.15">
      <c r="A24" s="170" t="s">
        <v>214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0.47499999999999998</v>
      </c>
      <c r="R24" s="135">
        <v>0</v>
      </c>
      <c r="S24" s="135">
        <v>0.15</v>
      </c>
      <c r="T24" s="135">
        <v>0.1</v>
      </c>
      <c r="U24" s="135">
        <v>0</v>
      </c>
      <c r="V24" s="135">
        <v>0.2</v>
      </c>
      <c r="W24" s="135">
        <v>0.15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</row>
    <row r="25" spans="1:31" customFormat="1" x14ac:dyDescent="0.15">
      <c r="A25" s="170" t="s">
        <v>215</v>
      </c>
      <c r="B25" s="135">
        <v>0</v>
      </c>
      <c r="C25" s="135">
        <v>0</v>
      </c>
      <c r="D25" s="135">
        <v>0</v>
      </c>
      <c r="E25" s="135">
        <v>0</v>
      </c>
      <c r="F25" s="135">
        <v>0</v>
      </c>
      <c r="G25" s="135">
        <v>0</v>
      </c>
      <c r="H25" s="135">
        <v>0</v>
      </c>
      <c r="I25" s="135">
        <v>0</v>
      </c>
      <c r="J25" s="135">
        <v>0</v>
      </c>
      <c r="K25" s="135">
        <v>0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0.47499999999999998</v>
      </c>
      <c r="R25" s="135">
        <v>0</v>
      </c>
      <c r="S25" s="135">
        <v>0.15</v>
      </c>
      <c r="T25" s="135">
        <v>0.1</v>
      </c>
      <c r="U25" s="135">
        <v>0</v>
      </c>
      <c r="V25" s="135">
        <v>0.2</v>
      </c>
      <c r="W25" s="135">
        <v>0.15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</row>
    <row r="26" spans="1:31" customFormat="1" x14ac:dyDescent="0.15">
      <c r="A26" s="170" t="s">
        <v>216</v>
      </c>
      <c r="B26" s="135">
        <v>0</v>
      </c>
      <c r="C26" s="135">
        <v>0</v>
      </c>
      <c r="D26" s="135">
        <v>0</v>
      </c>
      <c r="E26" s="135">
        <v>0</v>
      </c>
      <c r="F26" s="135">
        <v>0</v>
      </c>
      <c r="G26" s="135">
        <v>0</v>
      </c>
      <c r="H26" s="135">
        <v>0</v>
      </c>
      <c r="I26" s="135">
        <v>0</v>
      </c>
      <c r="J26" s="135">
        <v>0</v>
      </c>
      <c r="K26" s="135">
        <v>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5">
        <v>0.4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</row>
    <row r="27" spans="1:31" customFormat="1" x14ac:dyDescent="0.15">
      <c r="A27" s="170" t="s">
        <v>217</v>
      </c>
      <c r="B27" s="135">
        <v>0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5">
        <v>0.6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</row>
    <row r="28" spans="1:31" customFormat="1" x14ac:dyDescent="0.15">
      <c r="A28" s="170" t="s">
        <v>218</v>
      </c>
      <c r="B28" s="135">
        <v>0</v>
      </c>
      <c r="C28" s="135">
        <v>0</v>
      </c>
      <c r="D28" s="135">
        <v>0</v>
      </c>
      <c r="E28" s="135">
        <v>0</v>
      </c>
      <c r="F28" s="135">
        <v>0</v>
      </c>
      <c r="G28" s="135">
        <v>0</v>
      </c>
      <c r="H28" s="135">
        <v>0</v>
      </c>
      <c r="I28" s="135">
        <v>0</v>
      </c>
      <c r="J28" s="135">
        <v>0</v>
      </c>
      <c r="K28" s="135">
        <v>0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5">
        <v>0</v>
      </c>
      <c r="Z28" s="135">
        <v>0</v>
      </c>
      <c r="AA28" s="135">
        <v>0.4</v>
      </c>
      <c r="AB28" s="135">
        <v>0</v>
      </c>
      <c r="AC28" s="135">
        <v>0</v>
      </c>
      <c r="AD28" s="135">
        <v>0</v>
      </c>
      <c r="AE28" s="135">
        <v>0</v>
      </c>
    </row>
    <row r="29" spans="1:31" customFormat="1" x14ac:dyDescent="0.15">
      <c r="A29" s="170" t="s">
        <v>219</v>
      </c>
      <c r="B29" s="135">
        <v>0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5">
        <v>0</v>
      </c>
      <c r="Z29" s="135">
        <v>0</v>
      </c>
      <c r="AA29" s="135">
        <v>0.6</v>
      </c>
      <c r="AB29" s="135">
        <v>0</v>
      </c>
      <c r="AC29" s="135">
        <v>0</v>
      </c>
      <c r="AD29" s="135">
        <v>0</v>
      </c>
      <c r="AE29" s="135">
        <v>0</v>
      </c>
    </row>
    <row r="30" spans="1:31" customFormat="1" x14ac:dyDescent="0.15">
      <c r="A30" s="170" t="s">
        <v>220</v>
      </c>
      <c r="B30" s="135">
        <v>0</v>
      </c>
      <c r="C30" s="135">
        <v>0</v>
      </c>
      <c r="D30" s="135">
        <v>0</v>
      </c>
      <c r="E30" s="135">
        <v>0</v>
      </c>
      <c r="F30" s="135">
        <v>0</v>
      </c>
      <c r="G30" s="135">
        <v>0</v>
      </c>
      <c r="H30" s="135">
        <v>0</v>
      </c>
      <c r="I30" s="135">
        <v>0</v>
      </c>
      <c r="J30" s="135">
        <v>0</v>
      </c>
      <c r="K30" s="135">
        <v>0</v>
      </c>
      <c r="L30" s="135">
        <v>0</v>
      </c>
      <c r="M30" s="135">
        <v>0</v>
      </c>
      <c r="N30" s="135">
        <v>0</v>
      </c>
      <c r="O30" s="135">
        <v>0.2</v>
      </c>
      <c r="P30" s="135">
        <v>0</v>
      </c>
      <c r="Q30" s="135">
        <v>0.05</v>
      </c>
      <c r="R30" s="135">
        <v>0</v>
      </c>
      <c r="S30" s="135">
        <v>0.55000000000000004</v>
      </c>
      <c r="T30" s="135">
        <v>0.8</v>
      </c>
      <c r="U30" s="135">
        <v>1</v>
      </c>
      <c r="V30" s="135">
        <v>0.6</v>
      </c>
      <c r="W30" s="135">
        <v>0.35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1</v>
      </c>
      <c r="AD30" s="135">
        <v>0</v>
      </c>
      <c r="AE30" s="135">
        <v>0</v>
      </c>
    </row>
    <row r="31" spans="1:31" customFormat="1" x14ac:dyDescent="0.15">
      <c r="A31" s="170" t="s">
        <v>221</v>
      </c>
      <c r="B31" s="135">
        <v>0</v>
      </c>
      <c r="C31" s="135">
        <v>0</v>
      </c>
      <c r="D31" s="135">
        <v>0</v>
      </c>
      <c r="E31" s="135">
        <v>0</v>
      </c>
      <c r="F31" s="135">
        <v>0</v>
      </c>
      <c r="G31" s="135">
        <v>0</v>
      </c>
      <c r="H31" s="135">
        <v>0</v>
      </c>
      <c r="I31" s="135">
        <v>0</v>
      </c>
      <c r="J31" s="135">
        <v>0</v>
      </c>
      <c r="K31" s="135">
        <v>0</v>
      </c>
      <c r="L31" s="135">
        <v>0</v>
      </c>
      <c r="M31" s="135">
        <v>0</v>
      </c>
      <c r="N31" s="135"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</row>
    <row r="32" spans="1:31" customFormat="1" x14ac:dyDescent="0.15">
      <c r="A32" s="170" t="s">
        <v>223</v>
      </c>
      <c r="B32" s="135">
        <v>0</v>
      </c>
      <c r="C32" s="135">
        <v>0</v>
      </c>
      <c r="D32" s="135">
        <v>0</v>
      </c>
      <c r="E32" s="135">
        <v>0</v>
      </c>
      <c r="F32" s="135">
        <v>1.9999960168079331E-3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</row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D35" sqref="D3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8.5" style="106" customWidth="1"/>
    <col min="5" max="6" width="18.5" style="105" customWidth="1"/>
    <col min="7" max="8" width="8.83203125" style="106"/>
  </cols>
  <sheetData>
    <row r="1" spans="1:8" ht="70" x14ac:dyDescent="0.15">
      <c r="A1" s="5" t="s">
        <v>20</v>
      </c>
      <c r="B1" s="1" t="s">
        <v>0</v>
      </c>
      <c r="C1" s="173" t="s">
        <v>220</v>
      </c>
      <c r="D1" s="173" t="s">
        <v>221</v>
      </c>
      <c r="E1" s="173" t="s">
        <v>224</v>
      </c>
      <c r="F1" s="173" t="s">
        <v>225</v>
      </c>
      <c r="G1"/>
      <c r="H1"/>
    </row>
    <row r="2" spans="1:8" x14ac:dyDescent="0.15">
      <c r="A2">
        <v>1</v>
      </c>
      <c r="B2" s="172" t="s">
        <v>192</v>
      </c>
      <c r="C2" s="106">
        <v>1</v>
      </c>
      <c r="D2" s="106">
        <v>0</v>
      </c>
      <c r="E2" s="105">
        <v>0</v>
      </c>
      <c r="F2" s="105">
        <v>1</v>
      </c>
      <c r="G2"/>
      <c r="H2"/>
    </row>
    <row r="3" spans="1:8" x14ac:dyDescent="0.15">
      <c r="A3">
        <v>2</v>
      </c>
      <c r="B3" s="172" t="s">
        <v>193</v>
      </c>
      <c r="C3" s="106">
        <v>1</v>
      </c>
      <c r="D3" s="106">
        <v>0</v>
      </c>
      <c r="E3" s="105">
        <v>0</v>
      </c>
      <c r="F3" s="105">
        <v>1</v>
      </c>
      <c r="G3"/>
      <c r="H3"/>
    </row>
    <row r="4" spans="1:8" x14ac:dyDescent="0.15">
      <c r="A4">
        <v>3</v>
      </c>
      <c r="B4" s="172" t="s">
        <v>194</v>
      </c>
      <c r="C4" s="106">
        <v>1</v>
      </c>
      <c r="D4" s="106">
        <v>0</v>
      </c>
      <c r="E4" s="105">
        <v>0</v>
      </c>
      <c r="F4" s="105">
        <v>1</v>
      </c>
      <c r="G4"/>
      <c r="H4"/>
    </row>
    <row r="5" spans="1:8" x14ac:dyDescent="0.15">
      <c r="A5">
        <v>4</v>
      </c>
      <c r="B5" s="172" t="s">
        <v>195</v>
      </c>
      <c r="C5" s="106">
        <v>1</v>
      </c>
      <c r="D5" s="106">
        <v>0</v>
      </c>
      <c r="E5" s="105">
        <v>0</v>
      </c>
      <c r="F5" s="105">
        <v>1</v>
      </c>
      <c r="G5"/>
      <c r="H5"/>
    </row>
    <row r="6" spans="1:8" x14ac:dyDescent="0.15">
      <c r="A6">
        <v>5</v>
      </c>
      <c r="B6" s="172" t="s">
        <v>196</v>
      </c>
      <c r="C6" s="106">
        <v>1</v>
      </c>
      <c r="D6" s="106">
        <v>0</v>
      </c>
      <c r="E6" s="105">
        <v>0</v>
      </c>
      <c r="F6" s="105">
        <v>1</v>
      </c>
      <c r="G6"/>
      <c r="H6"/>
    </row>
    <row r="7" spans="1:8" x14ac:dyDescent="0.15">
      <c r="A7">
        <v>6</v>
      </c>
      <c r="B7" s="172" t="s">
        <v>197</v>
      </c>
      <c r="C7" s="106">
        <v>1</v>
      </c>
      <c r="D7" s="106">
        <v>0</v>
      </c>
      <c r="E7" s="105">
        <v>0</v>
      </c>
      <c r="F7" s="105">
        <v>1</v>
      </c>
      <c r="G7"/>
      <c r="H7"/>
    </row>
    <row r="8" spans="1:8" x14ac:dyDescent="0.15">
      <c r="A8">
        <v>7</v>
      </c>
      <c r="B8" s="172" t="s">
        <v>198</v>
      </c>
      <c r="C8" s="106">
        <v>1</v>
      </c>
      <c r="D8" s="106">
        <v>0</v>
      </c>
      <c r="E8" s="105">
        <v>0</v>
      </c>
      <c r="F8" s="105">
        <v>1</v>
      </c>
      <c r="G8"/>
      <c r="H8"/>
    </row>
    <row r="9" spans="1:8" x14ac:dyDescent="0.15">
      <c r="A9">
        <v>8</v>
      </c>
      <c r="B9" s="172" t="s">
        <v>199</v>
      </c>
      <c r="C9" s="106">
        <v>1</v>
      </c>
      <c r="D9" s="106">
        <v>0</v>
      </c>
      <c r="E9" s="105">
        <v>0</v>
      </c>
      <c r="F9" s="105">
        <v>1</v>
      </c>
      <c r="G9"/>
      <c r="H9"/>
    </row>
    <row r="10" spans="1:8" x14ac:dyDescent="0.15">
      <c r="A10">
        <v>9</v>
      </c>
      <c r="B10" s="172" t="s">
        <v>200</v>
      </c>
      <c r="C10" s="106">
        <v>1</v>
      </c>
      <c r="D10" s="106">
        <v>0</v>
      </c>
      <c r="E10" s="105">
        <v>0</v>
      </c>
      <c r="F10" s="105">
        <v>1</v>
      </c>
      <c r="G10"/>
      <c r="H10"/>
    </row>
    <row r="11" spans="1:8" x14ac:dyDescent="0.15">
      <c r="A11">
        <v>10</v>
      </c>
      <c r="B11" s="172" t="s">
        <v>201</v>
      </c>
      <c r="C11" s="106">
        <v>1</v>
      </c>
      <c r="D11" s="106">
        <v>0</v>
      </c>
      <c r="E11" s="105">
        <v>0</v>
      </c>
      <c r="F11" s="105">
        <v>1</v>
      </c>
      <c r="G11"/>
      <c r="H11"/>
    </row>
    <row r="12" spans="1:8" x14ac:dyDescent="0.15">
      <c r="A12">
        <v>11</v>
      </c>
      <c r="B12" s="172" t="s">
        <v>202</v>
      </c>
      <c r="C12" s="106">
        <v>1</v>
      </c>
      <c r="D12" s="106">
        <v>0</v>
      </c>
      <c r="E12" s="105">
        <v>0</v>
      </c>
      <c r="F12" s="105">
        <v>1</v>
      </c>
      <c r="G12"/>
      <c r="H12"/>
    </row>
    <row r="13" spans="1:8" x14ac:dyDescent="0.15">
      <c r="A13">
        <v>12</v>
      </c>
      <c r="B13" s="172" t="s">
        <v>203</v>
      </c>
      <c r="C13" s="106">
        <v>1</v>
      </c>
      <c r="D13" s="106">
        <v>0</v>
      </c>
      <c r="E13" s="105">
        <v>0</v>
      </c>
      <c r="F13" s="105">
        <v>1</v>
      </c>
      <c r="G13"/>
      <c r="H13"/>
    </row>
    <row r="14" spans="1:8" x14ac:dyDescent="0.15">
      <c r="A14">
        <v>13</v>
      </c>
      <c r="B14" s="172" t="s">
        <v>204</v>
      </c>
      <c r="C14" s="106">
        <v>1</v>
      </c>
      <c r="D14" s="106">
        <v>0</v>
      </c>
      <c r="E14" s="105">
        <v>0</v>
      </c>
      <c r="F14" s="105">
        <v>1</v>
      </c>
      <c r="G14"/>
      <c r="H14"/>
    </row>
    <row r="15" spans="1:8" x14ac:dyDescent="0.15">
      <c r="A15">
        <v>14</v>
      </c>
      <c r="B15" s="172" t="s">
        <v>205</v>
      </c>
      <c r="C15" s="106">
        <v>1</v>
      </c>
      <c r="D15" s="106">
        <v>0</v>
      </c>
      <c r="E15" s="105">
        <v>0</v>
      </c>
      <c r="F15" s="105">
        <v>1</v>
      </c>
      <c r="G15"/>
      <c r="H15"/>
    </row>
    <row r="16" spans="1:8" x14ac:dyDescent="0.15">
      <c r="A16">
        <v>15</v>
      </c>
      <c r="B16" s="172" t="s">
        <v>206</v>
      </c>
      <c r="C16" s="106">
        <v>1</v>
      </c>
      <c r="D16" s="106">
        <v>0</v>
      </c>
      <c r="E16" s="105">
        <v>0</v>
      </c>
      <c r="F16" s="105">
        <v>1</v>
      </c>
      <c r="G16"/>
      <c r="H16"/>
    </row>
    <row r="17" spans="1:8" ht="15" customHeight="1" x14ac:dyDescent="0.15">
      <c r="A17">
        <v>16</v>
      </c>
      <c r="B17" s="172" t="s">
        <v>207</v>
      </c>
      <c r="C17" s="106">
        <v>1</v>
      </c>
      <c r="D17" s="106">
        <v>0</v>
      </c>
      <c r="E17" s="105">
        <v>0</v>
      </c>
      <c r="F17" s="105">
        <v>1</v>
      </c>
      <c r="G17"/>
      <c r="H17"/>
    </row>
    <row r="18" spans="1:8" ht="15" customHeight="1" x14ac:dyDescent="0.15">
      <c r="A18">
        <v>17</v>
      </c>
      <c r="B18" s="172" t="s">
        <v>208</v>
      </c>
      <c r="C18" s="106">
        <v>1</v>
      </c>
      <c r="D18" s="106">
        <v>0</v>
      </c>
      <c r="E18" s="105">
        <v>0</v>
      </c>
      <c r="F18" s="105">
        <v>1</v>
      </c>
      <c r="G18"/>
      <c r="H18"/>
    </row>
    <row r="19" spans="1:8" ht="15" customHeight="1" x14ac:dyDescent="0.15">
      <c r="A19">
        <v>18</v>
      </c>
      <c r="B19" s="172" t="s">
        <v>209</v>
      </c>
      <c r="C19" s="106">
        <v>1</v>
      </c>
      <c r="D19" s="106">
        <v>0</v>
      </c>
      <c r="E19" s="105">
        <v>0</v>
      </c>
      <c r="F19" s="105">
        <v>1</v>
      </c>
      <c r="G19"/>
      <c r="H19"/>
    </row>
    <row r="20" spans="1:8" ht="15" customHeight="1" x14ac:dyDescent="0.15">
      <c r="A20">
        <v>19</v>
      </c>
      <c r="B20" s="172" t="s">
        <v>210</v>
      </c>
      <c r="C20" s="106">
        <v>1</v>
      </c>
      <c r="D20" s="106">
        <v>0</v>
      </c>
      <c r="E20" s="105">
        <v>0</v>
      </c>
      <c r="F20" s="105">
        <v>1</v>
      </c>
      <c r="G20"/>
      <c r="H20"/>
    </row>
    <row r="21" spans="1:8" ht="15" customHeight="1" x14ac:dyDescent="0.15">
      <c r="A21">
        <v>20</v>
      </c>
      <c r="B21" s="172" t="s">
        <v>211</v>
      </c>
      <c r="C21" s="106">
        <v>1</v>
      </c>
      <c r="D21" s="106">
        <v>0</v>
      </c>
      <c r="E21" s="105">
        <v>0</v>
      </c>
      <c r="F21" s="105">
        <v>1</v>
      </c>
      <c r="G21"/>
      <c r="H21"/>
    </row>
    <row r="22" spans="1:8" ht="15" customHeight="1" x14ac:dyDescent="0.15">
      <c r="A22">
        <v>21</v>
      </c>
      <c r="B22" s="172" t="s">
        <v>212</v>
      </c>
      <c r="C22" s="106">
        <v>1</v>
      </c>
      <c r="D22" s="106">
        <v>0</v>
      </c>
      <c r="E22" s="105">
        <v>0</v>
      </c>
      <c r="F22" s="105">
        <v>1</v>
      </c>
      <c r="G22"/>
      <c r="H22"/>
    </row>
    <row r="23" spans="1:8" ht="15" customHeight="1" x14ac:dyDescent="0.15">
      <c r="A23">
        <v>22</v>
      </c>
      <c r="B23" s="172" t="s">
        <v>213</v>
      </c>
      <c r="C23" s="106">
        <v>1</v>
      </c>
      <c r="D23" s="106">
        <v>0</v>
      </c>
      <c r="E23" s="105">
        <v>0</v>
      </c>
      <c r="F23" s="105">
        <v>1</v>
      </c>
      <c r="G23"/>
      <c r="H23"/>
    </row>
    <row r="24" spans="1:8" ht="15" customHeight="1" x14ac:dyDescent="0.15">
      <c r="A24">
        <v>23</v>
      </c>
      <c r="B24" s="172" t="s">
        <v>214</v>
      </c>
      <c r="C24" s="106">
        <v>1</v>
      </c>
      <c r="D24" s="106">
        <v>0</v>
      </c>
      <c r="E24" s="105">
        <v>0</v>
      </c>
      <c r="F24" s="105">
        <v>1</v>
      </c>
      <c r="G24"/>
      <c r="H24"/>
    </row>
    <row r="25" spans="1:8" ht="15" customHeight="1" x14ac:dyDescent="0.15">
      <c r="A25">
        <v>24</v>
      </c>
      <c r="B25" s="172" t="s">
        <v>215</v>
      </c>
      <c r="C25" s="106">
        <v>1</v>
      </c>
      <c r="D25" s="106">
        <v>0</v>
      </c>
      <c r="E25" s="105">
        <v>0</v>
      </c>
      <c r="F25" s="105">
        <v>1</v>
      </c>
      <c r="G25"/>
      <c r="H25"/>
    </row>
    <row r="26" spans="1:8" ht="15" customHeight="1" x14ac:dyDescent="0.15">
      <c r="A26">
        <v>25</v>
      </c>
      <c r="B26" s="172" t="s">
        <v>216</v>
      </c>
      <c r="C26" s="106">
        <v>1</v>
      </c>
      <c r="D26" s="106">
        <v>0</v>
      </c>
      <c r="E26" s="105">
        <v>0</v>
      </c>
      <c r="F26" s="105">
        <v>1</v>
      </c>
      <c r="G26"/>
      <c r="H26"/>
    </row>
    <row r="27" spans="1:8" ht="15" customHeight="1" x14ac:dyDescent="0.15">
      <c r="A27">
        <v>26</v>
      </c>
      <c r="B27" s="172" t="s">
        <v>217</v>
      </c>
      <c r="C27" s="106">
        <v>1</v>
      </c>
      <c r="D27" s="106">
        <v>0</v>
      </c>
      <c r="E27" s="105">
        <v>0</v>
      </c>
      <c r="F27" s="105">
        <v>1</v>
      </c>
      <c r="G27"/>
      <c r="H27"/>
    </row>
    <row r="28" spans="1:8" ht="15" customHeight="1" x14ac:dyDescent="0.15">
      <c r="A28">
        <v>27</v>
      </c>
      <c r="B28" s="172" t="s">
        <v>218</v>
      </c>
      <c r="C28" s="106">
        <v>1</v>
      </c>
      <c r="D28" s="106">
        <v>0</v>
      </c>
      <c r="E28" s="105">
        <v>0</v>
      </c>
      <c r="F28" s="105">
        <v>1</v>
      </c>
      <c r="G28"/>
      <c r="H28"/>
    </row>
    <row r="29" spans="1:8" ht="15" customHeight="1" x14ac:dyDescent="0.15">
      <c r="A29">
        <v>28</v>
      </c>
      <c r="B29" s="172" t="s">
        <v>219</v>
      </c>
      <c r="C29" s="106">
        <v>1</v>
      </c>
      <c r="D29" s="106">
        <v>0</v>
      </c>
      <c r="E29" s="105">
        <v>0</v>
      </c>
      <c r="F29" s="105">
        <v>1</v>
      </c>
      <c r="G29"/>
      <c r="H29"/>
    </row>
    <row r="30" spans="1:8" ht="15" customHeight="1" x14ac:dyDescent="0.15">
      <c r="A30">
        <v>29</v>
      </c>
      <c r="B30" s="172" t="s">
        <v>220</v>
      </c>
      <c r="C30" s="106">
        <v>0</v>
      </c>
      <c r="D30" s="106">
        <v>1</v>
      </c>
      <c r="E30" s="105">
        <v>0</v>
      </c>
      <c r="F30" s="105">
        <v>1</v>
      </c>
      <c r="G30"/>
      <c r="H30"/>
    </row>
    <row r="31" spans="1:8" ht="15" customHeight="1" x14ac:dyDescent="0.15">
      <c r="A31">
        <v>30</v>
      </c>
      <c r="B31" s="172" t="s">
        <v>221</v>
      </c>
      <c r="C31" s="106">
        <v>0</v>
      </c>
      <c r="D31" s="106">
        <v>0</v>
      </c>
      <c r="E31" s="105">
        <v>1</v>
      </c>
      <c r="F31" s="105">
        <v>1</v>
      </c>
      <c r="G31"/>
      <c r="H31"/>
    </row>
    <row r="32" spans="1:8" ht="15" customHeight="1" x14ac:dyDescent="0.15">
      <c r="A32">
        <v>31</v>
      </c>
      <c r="B32" s="172" t="s">
        <v>222</v>
      </c>
      <c r="C32" s="106">
        <v>1</v>
      </c>
      <c r="D32" s="106">
        <v>0</v>
      </c>
      <c r="E32" s="105">
        <v>0</v>
      </c>
      <c r="F32" s="105">
        <v>1</v>
      </c>
    </row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6"/>
      <c r="F36" s="106"/>
      <c r="G36"/>
      <c r="H36"/>
    </row>
    <row r="37" spans="3:8" ht="15" customHeight="1" x14ac:dyDescent="0.15">
      <c r="C37"/>
      <c r="D37"/>
      <c r="E37" s="106"/>
      <c r="F37" s="106"/>
      <c r="G37"/>
      <c r="H37"/>
    </row>
    <row r="38" spans="3:8" ht="15" customHeight="1" x14ac:dyDescent="0.15">
      <c r="C38"/>
      <c r="D38"/>
      <c r="E38" s="106"/>
      <c r="F38" s="106"/>
      <c r="G38"/>
      <c r="H38"/>
    </row>
    <row r="39" spans="3:8" ht="15" customHeight="1" x14ac:dyDescent="0.15">
      <c r="C39"/>
      <c r="D39"/>
      <c r="E39" s="106"/>
      <c r="F39" s="106"/>
      <c r="G39"/>
      <c r="H39"/>
    </row>
    <row r="40" spans="3:8" ht="15" customHeight="1" x14ac:dyDescent="0.15">
      <c r="C40"/>
      <c r="D40"/>
      <c r="E40" s="106"/>
      <c r="F40" s="106"/>
      <c r="G40"/>
      <c r="H40"/>
    </row>
    <row r="41" spans="3:8" ht="15" customHeight="1" x14ac:dyDescent="0.15">
      <c r="C41"/>
      <c r="D41"/>
      <c r="E41" s="106"/>
      <c r="F41" s="106"/>
      <c r="G41"/>
      <c r="H41"/>
    </row>
    <row r="42" spans="3:8" ht="15" customHeight="1" x14ac:dyDescent="0.15">
      <c r="C42"/>
      <c r="D42"/>
      <c r="E42" s="106"/>
      <c r="F42" s="106"/>
      <c r="G42"/>
      <c r="H42"/>
    </row>
    <row r="43" spans="3:8" ht="15" customHeight="1" x14ac:dyDescent="0.15">
      <c r="C43"/>
      <c r="D43"/>
      <c r="E43" s="106"/>
      <c r="F43" s="10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6"/>
      <c r="F46" s="10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5.83203125" bestFit="1" customWidth="1"/>
    <col min="5" max="5" width="12.1640625" bestFit="1" customWidth="1"/>
  </cols>
  <sheetData>
    <row r="1" spans="1:5" s="107" customFormat="1" ht="112" x14ac:dyDescent="0.15">
      <c r="A1" s="5" t="s">
        <v>21</v>
      </c>
      <c r="B1" s="3" t="s">
        <v>0</v>
      </c>
      <c r="C1" s="175" t="s">
        <v>222</v>
      </c>
      <c r="D1" s="175" t="s">
        <v>226</v>
      </c>
      <c r="E1"/>
    </row>
    <row r="2" spans="1:5" ht="15" customHeight="1" x14ac:dyDescent="0.15">
      <c r="A2">
        <v>1</v>
      </c>
      <c r="B2" s="174" t="s">
        <v>192</v>
      </c>
      <c r="C2">
        <v>0.57199999999999995</v>
      </c>
      <c r="D2">
        <v>0.57199999999999995</v>
      </c>
    </row>
    <row r="3" spans="1:5" ht="15" customHeight="1" x14ac:dyDescent="0.15">
      <c r="A3">
        <v>2</v>
      </c>
      <c r="B3" s="174" t="s">
        <v>193</v>
      </c>
      <c r="C3">
        <v>0.36699999999999999</v>
      </c>
      <c r="D3">
        <v>0.36699999999999999</v>
      </c>
    </row>
    <row r="4" spans="1:5" ht="15" customHeight="1" x14ac:dyDescent="0.15">
      <c r="A4">
        <v>3</v>
      </c>
      <c r="B4" s="174" t="s">
        <v>194</v>
      </c>
      <c r="C4">
        <v>0.20499999999999999</v>
      </c>
      <c r="D4">
        <v>0.20499999999999999</v>
      </c>
    </row>
    <row r="5" spans="1:5" ht="15" customHeight="1" x14ac:dyDescent="0.15">
      <c r="A5">
        <v>4</v>
      </c>
      <c r="B5" s="174" t="s">
        <v>195</v>
      </c>
      <c r="C5">
        <v>0.112</v>
      </c>
      <c r="D5">
        <v>0.112</v>
      </c>
    </row>
    <row r="6" spans="1:5" ht="15" customHeight="1" x14ac:dyDescent="0.15">
      <c r="A6">
        <v>5</v>
      </c>
      <c r="B6" s="174" t="s">
        <v>196</v>
      </c>
      <c r="C6">
        <v>0.38100000000000001</v>
      </c>
      <c r="D6">
        <v>0.38100000000000001</v>
      </c>
    </row>
    <row r="7" spans="1:5" ht="15" customHeight="1" x14ac:dyDescent="0.15">
      <c r="A7">
        <v>6</v>
      </c>
      <c r="B7" s="174" t="s">
        <v>197</v>
      </c>
      <c r="C7">
        <v>0.29299999999999998</v>
      </c>
      <c r="D7">
        <v>0.29299999999999998</v>
      </c>
    </row>
    <row r="8" spans="1:5" ht="15" customHeight="1" x14ac:dyDescent="0.15">
      <c r="A8">
        <v>7</v>
      </c>
      <c r="B8" s="174" t="s">
        <v>198</v>
      </c>
      <c r="C8">
        <v>0.34300000000000003</v>
      </c>
      <c r="D8">
        <v>0.34300000000000003</v>
      </c>
    </row>
    <row r="9" spans="1:5" ht="15" customHeight="1" x14ac:dyDescent="0.15">
      <c r="A9">
        <v>8</v>
      </c>
      <c r="B9" s="174" t="s">
        <v>199</v>
      </c>
      <c r="C9">
        <v>0.80500000000000005</v>
      </c>
      <c r="D9">
        <v>0.80500000000000005</v>
      </c>
    </row>
    <row r="10" spans="1:5" ht="15" customHeight="1" x14ac:dyDescent="0.15">
      <c r="A10">
        <v>9</v>
      </c>
      <c r="B10" s="174" t="s">
        <v>200</v>
      </c>
      <c r="C10">
        <v>1.1579999999999999</v>
      </c>
      <c r="D10">
        <v>1.1579999999999999</v>
      </c>
    </row>
    <row r="11" spans="1:5" ht="15" customHeight="1" x14ac:dyDescent="0.15">
      <c r="A11">
        <v>10</v>
      </c>
      <c r="B11" s="174" t="s">
        <v>201</v>
      </c>
      <c r="C11">
        <v>0.221</v>
      </c>
      <c r="D11">
        <v>0.221</v>
      </c>
    </row>
    <row r="12" spans="1:5" ht="15" customHeight="1" x14ac:dyDescent="0.15">
      <c r="A12">
        <v>11</v>
      </c>
      <c r="B12" s="174" t="s">
        <v>202</v>
      </c>
      <c r="C12">
        <v>2.5000000000000001E-2</v>
      </c>
      <c r="D12">
        <v>2.5000000000000001E-2</v>
      </c>
    </row>
    <row r="13" spans="1:5" ht="15" customHeight="1" x14ac:dyDescent="0.15">
      <c r="A13">
        <v>12</v>
      </c>
      <c r="B13" s="174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4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4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4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4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4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4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4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4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4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4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4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4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4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4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4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4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4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4" t="s">
        <v>221</v>
      </c>
      <c r="C31">
        <v>0</v>
      </c>
      <c r="D31">
        <v>0</v>
      </c>
    </row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107" customFormat="1" ht="112" x14ac:dyDescent="0.15">
      <c r="A1" s="5" t="s">
        <v>22</v>
      </c>
      <c r="B1" s="3" t="s">
        <v>0</v>
      </c>
      <c r="C1" s="177" t="s">
        <v>222</v>
      </c>
      <c r="D1" s="177" t="s">
        <v>226</v>
      </c>
    </row>
    <row r="2" spans="1:4" x14ac:dyDescent="0.15">
      <c r="A2">
        <v>1</v>
      </c>
      <c r="B2" s="176" t="s">
        <v>192</v>
      </c>
      <c r="C2">
        <v>0</v>
      </c>
      <c r="D2">
        <v>0</v>
      </c>
    </row>
    <row r="3" spans="1:4" x14ac:dyDescent="0.15">
      <c r="A3">
        <v>2</v>
      </c>
      <c r="B3" s="176" t="s">
        <v>193</v>
      </c>
      <c r="C3">
        <v>0</v>
      </c>
      <c r="D3">
        <v>0</v>
      </c>
    </row>
    <row r="4" spans="1:4" x14ac:dyDescent="0.15">
      <c r="A4">
        <v>3</v>
      </c>
      <c r="B4" s="176" t="s">
        <v>194</v>
      </c>
      <c r="C4">
        <v>0</v>
      </c>
      <c r="D4">
        <v>0</v>
      </c>
    </row>
    <row r="5" spans="1:4" x14ac:dyDescent="0.15">
      <c r="A5">
        <v>4</v>
      </c>
      <c r="B5" s="176" t="s">
        <v>195</v>
      </c>
      <c r="C5">
        <v>0</v>
      </c>
      <c r="D5">
        <v>0</v>
      </c>
    </row>
    <row r="6" spans="1:4" x14ac:dyDescent="0.15">
      <c r="A6">
        <v>5</v>
      </c>
      <c r="B6" s="176" t="s">
        <v>196</v>
      </c>
      <c r="C6">
        <v>0</v>
      </c>
      <c r="D6">
        <v>0</v>
      </c>
    </row>
    <row r="7" spans="1:4" x14ac:dyDescent="0.15">
      <c r="A7">
        <v>6</v>
      </c>
      <c r="B7" s="176" t="s">
        <v>197</v>
      </c>
      <c r="C7">
        <v>0</v>
      </c>
      <c r="D7">
        <v>0</v>
      </c>
    </row>
    <row r="8" spans="1:4" x14ac:dyDescent="0.15">
      <c r="A8">
        <v>7</v>
      </c>
      <c r="B8" s="176" t="s">
        <v>198</v>
      </c>
      <c r="C8">
        <v>0</v>
      </c>
      <c r="D8">
        <v>0</v>
      </c>
    </row>
    <row r="9" spans="1:4" x14ac:dyDescent="0.15">
      <c r="A9">
        <v>8</v>
      </c>
      <c r="B9" s="176" t="s">
        <v>199</v>
      </c>
      <c r="C9">
        <v>0</v>
      </c>
      <c r="D9">
        <v>0</v>
      </c>
    </row>
    <row r="10" spans="1:4" x14ac:dyDescent="0.15">
      <c r="A10">
        <v>9</v>
      </c>
      <c r="B10" s="176" t="s">
        <v>200</v>
      </c>
      <c r="C10">
        <v>0</v>
      </c>
      <c r="D10">
        <v>0</v>
      </c>
    </row>
    <row r="11" spans="1:4" x14ac:dyDescent="0.15">
      <c r="A11">
        <v>10</v>
      </c>
      <c r="B11" s="176" t="s">
        <v>201</v>
      </c>
      <c r="C11">
        <v>0</v>
      </c>
      <c r="D11">
        <v>0</v>
      </c>
    </row>
    <row r="12" spans="1:4" x14ac:dyDescent="0.15">
      <c r="A12">
        <v>11</v>
      </c>
      <c r="B12" s="176" t="s">
        <v>202</v>
      </c>
      <c r="C12">
        <v>0</v>
      </c>
      <c r="D12">
        <v>0</v>
      </c>
    </row>
    <row r="13" spans="1:4" x14ac:dyDescent="0.15">
      <c r="A13">
        <v>12</v>
      </c>
      <c r="B13" s="176" t="s">
        <v>203</v>
      </c>
      <c r="C13">
        <v>0</v>
      </c>
      <c r="D13">
        <v>0</v>
      </c>
    </row>
    <row r="14" spans="1:4" x14ac:dyDescent="0.15">
      <c r="A14">
        <v>13</v>
      </c>
      <c r="B14" s="176" t="s">
        <v>204</v>
      </c>
      <c r="C14">
        <v>0</v>
      </c>
      <c r="D14">
        <v>0</v>
      </c>
    </row>
    <row r="15" spans="1:4" x14ac:dyDescent="0.15">
      <c r="A15">
        <v>14</v>
      </c>
      <c r="B15" s="176" t="s">
        <v>205</v>
      </c>
      <c r="C15">
        <v>0</v>
      </c>
      <c r="D15">
        <v>0</v>
      </c>
    </row>
    <row r="16" spans="1:4" x14ac:dyDescent="0.15">
      <c r="A16">
        <v>15</v>
      </c>
      <c r="B16" s="176" t="s">
        <v>206</v>
      </c>
      <c r="C16">
        <v>0</v>
      </c>
      <c r="D16">
        <v>0</v>
      </c>
    </row>
    <row r="17" spans="1:4" x14ac:dyDescent="0.15">
      <c r="A17">
        <v>16</v>
      </c>
      <c r="B17" s="176" t="s">
        <v>207</v>
      </c>
      <c r="C17">
        <v>0</v>
      </c>
      <c r="D17">
        <v>0</v>
      </c>
    </row>
    <row r="18" spans="1:4" x14ac:dyDescent="0.15">
      <c r="A18">
        <v>17</v>
      </c>
      <c r="B18" s="176" t="s">
        <v>208</v>
      </c>
      <c r="C18">
        <v>0</v>
      </c>
      <c r="D18">
        <v>0</v>
      </c>
    </row>
    <row r="19" spans="1:4" x14ac:dyDescent="0.15">
      <c r="A19">
        <v>18</v>
      </c>
      <c r="B19" s="176" t="s">
        <v>209</v>
      </c>
      <c r="C19">
        <v>0</v>
      </c>
      <c r="D19">
        <v>0</v>
      </c>
    </row>
    <row r="20" spans="1:4" x14ac:dyDescent="0.15">
      <c r="A20">
        <v>19</v>
      </c>
      <c r="B20" s="176" t="s">
        <v>210</v>
      </c>
      <c r="C20">
        <v>0</v>
      </c>
      <c r="D20">
        <v>0</v>
      </c>
    </row>
    <row r="21" spans="1:4" x14ac:dyDescent="0.15">
      <c r="A21">
        <v>20</v>
      </c>
      <c r="B21" s="176" t="s">
        <v>211</v>
      </c>
      <c r="C21">
        <v>0</v>
      </c>
      <c r="D21">
        <v>0</v>
      </c>
    </row>
    <row r="22" spans="1:4" x14ac:dyDescent="0.15">
      <c r="A22">
        <v>21</v>
      </c>
      <c r="B22" s="176" t="s">
        <v>212</v>
      </c>
      <c r="C22">
        <v>0</v>
      </c>
      <c r="D22">
        <v>0</v>
      </c>
    </row>
    <row r="23" spans="1:4" x14ac:dyDescent="0.15">
      <c r="A23">
        <v>22</v>
      </c>
      <c r="B23" s="176" t="s">
        <v>213</v>
      </c>
      <c r="C23">
        <v>0</v>
      </c>
      <c r="D23">
        <v>0</v>
      </c>
    </row>
    <row r="24" spans="1:4" x14ac:dyDescent="0.15">
      <c r="A24">
        <v>23</v>
      </c>
      <c r="B24" s="176" t="s">
        <v>214</v>
      </c>
      <c r="C24">
        <v>0</v>
      </c>
      <c r="D24">
        <v>0</v>
      </c>
    </row>
    <row r="25" spans="1:4" x14ac:dyDescent="0.15">
      <c r="A25">
        <v>24</v>
      </c>
      <c r="B25" s="176" t="s">
        <v>215</v>
      </c>
      <c r="C25">
        <v>0</v>
      </c>
      <c r="D25">
        <v>0</v>
      </c>
    </row>
    <row r="26" spans="1:4" x14ac:dyDescent="0.15">
      <c r="A26">
        <v>25</v>
      </c>
      <c r="B26" s="176" t="s">
        <v>216</v>
      </c>
      <c r="C26">
        <v>0</v>
      </c>
      <c r="D26">
        <v>0</v>
      </c>
    </row>
    <row r="27" spans="1:4" x14ac:dyDescent="0.15">
      <c r="A27">
        <v>26</v>
      </c>
      <c r="B27" s="176" t="s">
        <v>217</v>
      </c>
      <c r="C27">
        <v>0</v>
      </c>
      <c r="D27">
        <v>0</v>
      </c>
    </row>
    <row r="28" spans="1:4" x14ac:dyDescent="0.15">
      <c r="A28">
        <v>27</v>
      </c>
      <c r="B28" s="176" t="s">
        <v>218</v>
      </c>
      <c r="C28">
        <v>0</v>
      </c>
      <c r="D28">
        <v>0</v>
      </c>
    </row>
    <row r="29" spans="1:4" x14ac:dyDescent="0.15">
      <c r="A29">
        <v>28</v>
      </c>
      <c r="B29" s="176" t="s">
        <v>219</v>
      </c>
      <c r="C29">
        <v>0</v>
      </c>
      <c r="D29">
        <v>0</v>
      </c>
    </row>
    <row r="30" spans="1:4" x14ac:dyDescent="0.15">
      <c r="A30">
        <v>29</v>
      </c>
      <c r="B30" s="176" t="s">
        <v>220</v>
      </c>
      <c r="C30">
        <v>0</v>
      </c>
      <c r="D30">
        <v>0</v>
      </c>
    </row>
    <row r="31" spans="1:4" x14ac:dyDescent="0.15">
      <c r="A31">
        <v>30</v>
      </c>
      <c r="B31" s="176" t="s">
        <v>221</v>
      </c>
      <c r="C31">
        <v>0</v>
      </c>
      <c r="D3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8" customFormat="1" ht="14" thickBot="1" x14ac:dyDescent="0.2">
      <c r="D1" s="109" t="s">
        <v>8</v>
      </c>
      <c r="E1" s="109" t="s">
        <v>0</v>
      </c>
      <c r="F1" s="110" t="s">
        <v>99</v>
      </c>
      <c r="G1" s="111" t="s">
        <v>84</v>
      </c>
      <c r="H1" s="111" t="s">
        <v>85</v>
      </c>
      <c r="I1" s="111" t="s">
        <v>86</v>
      </c>
      <c r="J1" s="111" t="s">
        <v>87</v>
      </c>
      <c r="K1" s="111" t="s">
        <v>88</v>
      </c>
      <c r="L1" s="112" t="s">
        <v>89</v>
      </c>
      <c r="M1" s="112" t="s">
        <v>93</v>
      </c>
      <c r="N1" s="112" t="s">
        <v>92</v>
      </c>
      <c r="O1" s="112" t="s">
        <v>90</v>
      </c>
      <c r="P1" s="112" t="s">
        <v>91</v>
      </c>
      <c r="Q1" s="113" t="s">
        <v>94</v>
      </c>
      <c r="R1" s="113" t="s">
        <v>95</v>
      </c>
      <c r="S1" s="113" t="s">
        <v>96</v>
      </c>
      <c r="T1" s="113" t="s">
        <v>97</v>
      </c>
      <c r="U1" s="113" t="s">
        <v>98</v>
      </c>
      <c r="V1" s="111" t="s">
        <v>100</v>
      </c>
      <c r="W1" s="111" t="s">
        <v>101</v>
      </c>
      <c r="X1" s="111" t="s">
        <v>102</v>
      </c>
      <c r="Y1" s="111" t="s">
        <v>134</v>
      </c>
      <c r="Z1" s="112" t="s">
        <v>103</v>
      </c>
      <c r="AA1" s="112" t="s">
        <v>104</v>
      </c>
      <c r="AB1" s="112" t="s">
        <v>105</v>
      </c>
      <c r="AC1" s="114" t="s">
        <v>135</v>
      </c>
      <c r="AD1" s="113" t="s">
        <v>106</v>
      </c>
      <c r="AE1" s="113" t="s">
        <v>107</v>
      </c>
      <c r="AF1" s="113" t="s">
        <v>108</v>
      </c>
      <c r="AG1" s="113" t="s">
        <v>136</v>
      </c>
      <c r="AH1" s="111" t="s">
        <v>109</v>
      </c>
      <c r="AI1" s="111" t="s">
        <v>111</v>
      </c>
      <c r="AJ1" s="111" t="s">
        <v>110</v>
      </c>
      <c r="AK1" s="112" t="s">
        <v>115</v>
      </c>
      <c r="AL1" s="112" t="s">
        <v>116</v>
      </c>
      <c r="AM1" s="112" t="s">
        <v>117</v>
      </c>
      <c r="AN1" s="113" t="s">
        <v>112</v>
      </c>
      <c r="AO1" s="113" t="s">
        <v>113</v>
      </c>
      <c r="AP1" s="113" t="s">
        <v>114</v>
      </c>
    </row>
    <row r="2" spans="1:42" x14ac:dyDescent="0.15">
      <c r="A2" s="115" t="s">
        <v>74</v>
      </c>
      <c r="B2" s="116">
        <v>1</v>
      </c>
      <c r="D2">
        <v>1</v>
      </c>
      <c r="E2" s="178" t="s">
        <v>192</v>
      </c>
      <c r="F2">
        <v>0.98</v>
      </c>
      <c r="G2">
        <v>0.8</v>
      </c>
      <c r="H2">
        <v>0.8</v>
      </c>
      <c r="I2">
        <v>0.8</v>
      </c>
      <c r="J2" s="106">
        <v>0.25</v>
      </c>
      <c r="K2" s="106">
        <v>0.05</v>
      </c>
    </row>
    <row r="3" spans="1:42" x14ac:dyDescent="0.15">
      <c r="A3" s="115" t="s">
        <v>75</v>
      </c>
      <c r="B3" s="117">
        <v>1</v>
      </c>
      <c r="D3">
        <v>2</v>
      </c>
      <c r="E3" s="178" t="s">
        <v>193</v>
      </c>
      <c r="F3">
        <v>0.98</v>
      </c>
      <c r="G3">
        <v>0.8</v>
      </c>
      <c r="H3">
        <v>0.8</v>
      </c>
      <c r="I3">
        <v>0.8</v>
      </c>
      <c r="J3" s="106">
        <v>0.25</v>
      </c>
      <c r="K3" s="106">
        <v>0.05</v>
      </c>
    </row>
    <row r="4" spans="1:42" x14ac:dyDescent="0.15">
      <c r="A4" s="115" t="s">
        <v>76</v>
      </c>
      <c r="B4" s="117">
        <v>1</v>
      </c>
      <c r="D4">
        <v>3</v>
      </c>
      <c r="E4" s="178" t="s">
        <v>194</v>
      </c>
      <c r="F4">
        <v>0.98</v>
      </c>
      <c r="G4">
        <v>0.8</v>
      </c>
      <c r="H4">
        <v>0.8</v>
      </c>
      <c r="I4">
        <v>0.8</v>
      </c>
      <c r="J4" s="106">
        <v>0.25</v>
      </c>
      <c r="K4" s="106">
        <v>0.05</v>
      </c>
    </row>
    <row r="5" spans="1:42" x14ac:dyDescent="0.15">
      <c r="A5" s="115" t="s">
        <v>77</v>
      </c>
      <c r="B5" s="117">
        <v>1</v>
      </c>
      <c r="D5">
        <v>4</v>
      </c>
      <c r="E5" s="178" t="s">
        <v>195</v>
      </c>
      <c r="F5">
        <v>0.98</v>
      </c>
      <c r="G5">
        <v>0.8</v>
      </c>
      <c r="H5">
        <v>0.8</v>
      </c>
      <c r="I5">
        <v>0.8</v>
      </c>
      <c r="J5" s="106">
        <v>0.25</v>
      </c>
      <c r="K5" s="106">
        <v>0.05</v>
      </c>
    </row>
    <row r="6" spans="1:42" x14ac:dyDescent="0.15">
      <c r="A6" s="115" t="s">
        <v>78</v>
      </c>
      <c r="B6" s="117">
        <v>1</v>
      </c>
      <c r="D6">
        <v>5</v>
      </c>
      <c r="E6" s="178" t="s">
        <v>196</v>
      </c>
      <c r="F6">
        <v>0.98</v>
      </c>
      <c r="G6">
        <v>0.8</v>
      </c>
      <c r="H6">
        <v>0.8</v>
      </c>
      <c r="I6">
        <v>0.8</v>
      </c>
      <c r="J6" s="106">
        <v>0.25</v>
      </c>
      <c r="K6" s="106">
        <v>0.05</v>
      </c>
    </row>
    <row r="7" spans="1:42" x14ac:dyDescent="0.15">
      <c r="A7" s="115" t="s">
        <v>79</v>
      </c>
      <c r="B7" s="117">
        <v>1</v>
      </c>
      <c r="D7">
        <v>6</v>
      </c>
      <c r="E7" s="178" t="s">
        <v>197</v>
      </c>
      <c r="F7">
        <v>0.98</v>
      </c>
      <c r="G7">
        <v>0.8</v>
      </c>
      <c r="H7">
        <v>0.8</v>
      </c>
      <c r="I7">
        <v>0.8</v>
      </c>
      <c r="J7" s="106">
        <v>0.25</v>
      </c>
      <c r="K7" s="106">
        <v>0.05</v>
      </c>
    </row>
    <row r="8" spans="1:42" x14ac:dyDescent="0.15">
      <c r="A8" s="115" t="s">
        <v>80</v>
      </c>
      <c r="B8" s="117">
        <v>1</v>
      </c>
      <c r="D8">
        <v>7</v>
      </c>
      <c r="E8" s="178" t="s">
        <v>198</v>
      </c>
      <c r="F8">
        <v>0.98</v>
      </c>
      <c r="G8">
        <v>0.8</v>
      </c>
      <c r="H8">
        <v>0.8</v>
      </c>
      <c r="I8">
        <v>0.8</v>
      </c>
      <c r="J8" s="106">
        <v>0.25</v>
      </c>
      <c r="K8" s="106">
        <v>0.05</v>
      </c>
    </row>
    <row r="9" spans="1:42" x14ac:dyDescent="0.15">
      <c r="A9" s="115" t="s">
        <v>81</v>
      </c>
      <c r="B9" s="117">
        <v>0.1</v>
      </c>
      <c r="C9" s="60" t="s">
        <v>150</v>
      </c>
      <c r="D9">
        <v>8</v>
      </c>
      <c r="E9" s="178" t="s">
        <v>199</v>
      </c>
      <c r="F9">
        <v>0.98</v>
      </c>
      <c r="G9">
        <v>0.8</v>
      </c>
      <c r="H9">
        <v>0.8</v>
      </c>
      <c r="I9">
        <v>0.8</v>
      </c>
      <c r="J9" s="106">
        <v>0.25</v>
      </c>
      <c r="K9" s="106">
        <v>0.05</v>
      </c>
    </row>
    <row r="10" spans="1:42" ht="14" thickBot="1" x14ac:dyDescent="0.2">
      <c r="A10" s="115" t="s">
        <v>149</v>
      </c>
      <c r="B10" s="118">
        <f>1/3</f>
        <v>0.33333333333333331</v>
      </c>
      <c r="C10" s="60" t="s">
        <v>150</v>
      </c>
      <c r="D10">
        <v>9</v>
      </c>
      <c r="E10" s="178" t="s">
        <v>200</v>
      </c>
      <c r="F10">
        <v>0.98</v>
      </c>
      <c r="G10">
        <v>0.8</v>
      </c>
      <c r="H10">
        <v>0.8</v>
      </c>
      <c r="I10">
        <v>0.8</v>
      </c>
      <c r="J10" s="106">
        <v>0.25</v>
      </c>
      <c r="K10" s="106">
        <v>0.05</v>
      </c>
    </row>
    <row r="11" spans="1:42" x14ac:dyDescent="0.15">
      <c r="D11">
        <v>10</v>
      </c>
      <c r="E11" s="178" t="s">
        <v>201</v>
      </c>
      <c r="F11">
        <v>0.98</v>
      </c>
      <c r="G11">
        <v>0.8</v>
      </c>
      <c r="H11">
        <v>0.8</v>
      </c>
      <c r="I11">
        <v>0.8</v>
      </c>
      <c r="J11" s="106">
        <v>0.25</v>
      </c>
      <c r="K11" s="106">
        <v>0.05</v>
      </c>
    </row>
    <row r="12" spans="1:42" x14ac:dyDescent="0.15">
      <c r="D12">
        <v>11</v>
      </c>
      <c r="E12" s="178" t="s">
        <v>202</v>
      </c>
      <c r="F12">
        <v>0.98</v>
      </c>
      <c r="G12">
        <v>0.8</v>
      </c>
      <c r="H12">
        <v>0.8</v>
      </c>
      <c r="I12">
        <v>0.8</v>
      </c>
      <c r="J12" s="106">
        <v>0.25</v>
      </c>
      <c r="K12" s="106">
        <v>0.05</v>
      </c>
    </row>
    <row r="13" spans="1:42" x14ac:dyDescent="0.15">
      <c r="D13">
        <v>12</v>
      </c>
      <c r="E13" s="178" t="s">
        <v>203</v>
      </c>
      <c r="F13">
        <v>0.98</v>
      </c>
      <c r="G13">
        <v>0.8</v>
      </c>
      <c r="H13">
        <v>0.8</v>
      </c>
      <c r="I13">
        <v>0.8</v>
      </c>
      <c r="J13" s="106">
        <v>0.25</v>
      </c>
      <c r="K13" s="106">
        <v>0.05</v>
      </c>
    </row>
    <row r="14" spans="1:42" x14ac:dyDescent="0.15">
      <c r="D14">
        <v>13</v>
      </c>
      <c r="E14" s="178" t="s">
        <v>204</v>
      </c>
      <c r="F14">
        <v>0.98</v>
      </c>
      <c r="G14">
        <v>0.8</v>
      </c>
      <c r="H14">
        <v>0.8</v>
      </c>
      <c r="I14">
        <v>0.8</v>
      </c>
      <c r="J14" s="106">
        <v>0.25</v>
      </c>
      <c r="K14" s="106">
        <v>0.05</v>
      </c>
    </row>
    <row r="15" spans="1:42" x14ac:dyDescent="0.15">
      <c r="D15">
        <v>14</v>
      </c>
      <c r="E15" s="178" t="s">
        <v>205</v>
      </c>
      <c r="F15">
        <v>0.98</v>
      </c>
      <c r="G15">
        <v>0.8</v>
      </c>
      <c r="H15">
        <v>0.8</v>
      </c>
      <c r="I15">
        <v>0.8</v>
      </c>
      <c r="J15" s="106">
        <v>0.25</v>
      </c>
      <c r="K15" s="106">
        <v>0.05</v>
      </c>
    </row>
    <row r="16" spans="1:42" x14ac:dyDescent="0.15">
      <c r="D16">
        <v>15</v>
      </c>
      <c r="E16" s="178" t="s">
        <v>206</v>
      </c>
      <c r="F16">
        <v>0.98</v>
      </c>
      <c r="G16">
        <v>0.8</v>
      </c>
      <c r="H16">
        <v>0.8</v>
      </c>
      <c r="I16">
        <v>0.8</v>
      </c>
      <c r="J16" s="106">
        <v>0.25</v>
      </c>
      <c r="K16" s="106">
        <v>0.05</v>
      </c>
    </row>
    <row r="17" spans="4:33" ht="15" customHeight="1" x14ac:dyDescent="0.15">
      <c r="D17">
        <v>16</v>
      </c>
      <c r="E17" s="178" t="s">
        <v>207</v>
      </c>
      <c r="F17">
        <v>0.98</v>
      </c>
      <c r="G17">
        <v>0.8</v>
      </c>
      <c r="H17">
        <v>0.8</v>
      </c>
      <c r="I17">
        <v>0.8</v>
      </c>
      <c r="J17" s="106">
        <v>0.25</v>
      </c>
      <c r="K17" s="106">
        <v>0.05</v>
      </c>
    </row>
    <row r="18" spans="4:33" ht="15" customHeight="1" x14ac:dyDescent="0.15">
      <c r="D18">
        <v>17</v>
      </c>
      <c r="E18" s="178" t="s">
        <v>208</v>
      </c>
      <c r="F18">
        <v>0.98</v>
      </c>
      <c r="G18">
        <v>0.8</v>
      </c>
      <c r="H18">
        <v>0.8</v>
      </c>
      <c r="I18">
        <v>0.8</v>
      </c>
      <c r="J18" s="106">
        <v>0.25</v>
      </c>
      <c r="K18" s="106">
        <v>0.05</v>
      </c>
    </row>
    <row r="19" spans="4:33" ht="15" customHeight="1" x14ac:dyDescent="0.15">
      <c r="D19">
        <v>18</v>
      </c>
      <c r="E19" s="178" t="s">
        <v>209</v>
      </c>
      <c r="F19">
        <v>0.98</v>
      </c>
      <c r="G19">
        <v>0.8</v>
      </c>
      <c r="H19">
        <v>0.8</v>
      </c>
      <c r="I19">
        <v>0.8</v>
      </c>
      <c r="J19" s="106">
        <v>0.25</v>
      </c>
      <c r="K19" s="106">
        <v>0.05</v>
      </c>
    </row>
    <row r="20" spans="4:33" ht="15" customHeight="1" x14ac:dyDescent="0.15">
      <c r="D20">
        <v>19</v>
      </c>
      <c r="E20" s="178" t="s">
        <v>210</v>
      </c>
      <c r="F20">
        <v>0.98</v>
      </c>
      <c r="G20">
        <v>0.8</v>
      </c>
      <c r="H20">
        <v>0.8</v>
      </c>
      <c r="I20">
        <v>0.8</v>
      </c>
      <c r="J20" s="106">
        <v>0.25</v>
      </c>
      <c r="K20" s="106">
        <v>0.05</v>
      </c>
    </row>
    <row r="21" spans="4:33" ht="15" customHeight="1" x14ac:dyDescent="0.15">
      <c r="D21">
        <v>20</v>
      </c>
      <c r="E21" s="178" t="s">
        <v>211</v>
      </c>
      <c r="F21">
        <v>0.98</v>
      </c>
      <c r="G21">
        <v>0.8</v>
      </c>
      <c r="H21">
        <v>0.8</v>
      </c>
      <c r="I21">
        <v>0.8</v>
      </c>
      <c r="J21" s="106">
        <v>0.25</v>
      </c>
      <c r="K21" s="106">
        <v>0.05</v>
      </c>
    </row>
    <row r="22" spans="4:33" ht="15" customHeight="1" x14ac:dyDescent="0.15">
      <c r="D22">
        <v>21</v>
      </c>
      <c r="E22" s="178" t="s">
        <v>212</v>
      </c>
      <c r="F22">
        <v>0.98</v>
      </c>
      <c r="G22">
        <v>0.8</v>
      </c>
      <c r="H22">
        <v>0.8</v>
      </c>
      <c r="I22">
        <v>0.8</v>
      </c>
      <c r="J22" s="106">
        <v>0.25</v>
      </c>
      <c r="K22" s="106">
        <v>0.05</v>
      </c>
    </row>
    <row r="23" spans="4:33" ht="15" customHeight="1" x14ac:dyDescent="0.15">
      <c r="D23">
        <v>22</v>
      </c>
      <c r="E23" s="178" t="s">
        <v>213</v>
      </c>
      <c r="F23">
        <v>0.98</v>
      </c>
      <c r="G23">
        <v>0.8</v>
      </c>
      <c r="H23">
        <v>0.8</v>
      </c>
      <c r="I23">
        <v>0.8</v>
      </c>
      <c r="J23" s="106">
        <v>0.25</v>
      </c>
      <c r="K23" s="106">
        <v>0.05</v>
      </c>
    </row>
    <row r="24" spans="4:33" ht="15" customHeight="1" x14ac:dyDescent="0.15">
      <c r="D24">
        <v>23</v>
      </c>
      <c r="E24" s="178" t="s">
        <v>214</v>
      </c>
      <c r="F24">
        <v>0.98</v>
      </c>
      <c r="G24">
        <v>0.8</v>
      </c>
      <c r="H24">
        <v>0.8</v>
      </c>
      <c r="I24">
        <v>0</v>
      </c>
      <c r="J24" s="106">
        <v>0</v>
      </c>
      <c r="K24" s="106">
        <v>0</v>
      </c>
    </row>
    <row r="25" spans="4:33" ht="15" customHeight="1" x14ac:dyDescent="0.15">
      <c r="D25">
        <v>24</v>
      </c>
      <c r="E25" s="178" t="s">
        <v>215</v>
      </c>
      <c r="F25">
        <v>0.98</v>
      </c>
      <c r="G25">
        <v>0.8</v>
      </c>
      <c r="H25">
        <v>0.8</v>
      </c>
      <c r="I25">
        <v>0.8</v>
      </c>
      <c r="J25" s="106">
        <v>0.25</v>
      </c>
      <c r="K25" s="106">
        <v>0.05</v>
      </c>
    </row>
    <row r="26" spans="4:33" ht="15" customHeight="1" x14ac:dyDescent="0.15">
      <c r="D26">
        <v>25</v>
      </c>
      <c r="E26" s="178" t="s">
        <v>216</v>
      </c>
      <c r="F26">
        <v>0.98</v>
      </c>
      <c r="G26">
        <v>0.8</v>
      </c>
      <c r="H26">
        <v>0.8</v>
      </c>
      <c r="I26">
        <v>0</v>
      </c>
      <c r="J26" s="106">
        <v>0</v>
      </c>
      <c r="K26" s="106">
        <v>0</v>
      </c>
    </row>
    <row r="27" spans="4:33" ht="15" customHeight="1" x14ac:dyDescent="0.15">
      <c r="D27">
        <v>26</v>
      </c>
      <c r="E27" s="178" t="s">
        <v>217</v>
      </c>
      <c r="F27">
        <v>0.98</v>
      </c>
      <c r="G27">
        <v>0.8</v>
      </c>
      <c r="H27">
        <v>0.8</v>
      </c>
      <c r="I27">
        <v>0.8</v>
      </c>
      <c r="J27" s="106">
        <v>0.25</v>
      </c>
      <c r="K27" s="106">
        <v>0.05</v>
      </c>
    </row>
    <row r="28" spans="4:33" ht="15" customHeight="1" x14ac:dyDescent="0.15">
      <c r="D28">
        <v>27</v>
      </c>
      <c r="E28" s="178" t="s">
        <v>218</v>
      </c>
      <c r="F28">
        <v>0.98</v>
      </c>
      <c r="G28">
        <v>0.8</v>
      </c>
      <c r="H28">
        <v>0.8</v>
      </c>
      <c r="I28">
        <v>0</v>
      </c>
      <c r="J28" s="106">
        <v>0</v>
      </c>
      <c r="K28" s="106">
        <v>0</v>
      </c>
    </row>
    <row r="29" spans="4:33" ht="15" customHeight="1" x14ac:dyDescent="0.15">
      <c r="D29">
        <v>28</v>
      </c>
      <c r="E29" s="178" t="s">
        <v>219</v>
      </c>
      <c r="F29">
        <v>0.98</v>
      </c>
      <c r="G29">
        <v>0.8</v>
      </c>
      <c r="H29">
        <v>0.8</v>
      </c>
      <c r="I29">
        <v>0.8</v>
      </c>
      <c r="J29" s="106">
        <v>0.25</v>
      </c>
      <c r="K29" s="106">
        <v>0.05</v>
      </c>
      <c r="Y29"/>
      <c r="AC29"/>
      <c r="AG29"/>
    </row>
    <row r="30" spans="4:33" ht="15" customHeight="1" x14ac:dyDescent="0.15">
      <c r="D30">
        <v>29</v>
      </c>
      <c r="E30" s="178" t="s">
        <v>220</v>
      </c>
      <c r="F30">
        <v>0.98</v>
      </c>
      <c r="G30">
        <v>0.8</v>
      </c>
      <c r="H30">
        <v>0</v>
      </c>
      <c r="I30">
        <v>0</v>
      </c>
      <c r="J30" s="106">
        <v>0</v>
      </c>
      <c r="K30" s="106">
        <v>0</v>
      </c>
      <c r="Y30"/>
      <c r="AC30"/>
      <c r="AG30"/>
    </row>
    <row r="31" spans="4:33" ht="15" customHeight="1" x14ac:dyDescent="0.15">
      <c r="D31">
        <v>30</v>
      </c>
      <c r="E31" s="178" t="s">
        <v>221</v>
      </c>
      <c r="F31">
        <v>0.98</v>
      </c>
      <c r="G31">
        <v>0.8</v>
      </c>
      <c r="H31">
        <v>0</v>
      </c>
      <c r="I31">
        <v>0</v>
      </c>
      <c r="J31" s="106">
        <v>0</v>
      </c>
      <c r="K31" s="106">
        <v>0</v>
      </c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23" width="3.83203125" style="104" customWidth="1"/>
    <col min="24" max="24" width="2.33203125" style="104" customWidth="1"/>
    <col min="25" max="25" width="3.83203125" style="104" customWidth="1"/>
    <col min="26" max="26" width="2.33203125" style="104" customWidth="1"/>
    <col min="27" max="27" width="3.83203125" style="104" customWidth="1"/>
    <col min="28" max="28" width="2.33203125" style="104" customWidth="1"/>
    <col min="29" max="29" width="3.83203125" style="104" customWidth="1"/>
    <col min="30" max="31" width="2.33203125" style="104" customWidth="1"/>
    <col min="32" max="16384" width="10.83203125" style="104"/>
  </cols>
  <sheetData>
    <row r="1" spans="1:31" x14ac:dyDescent="0.15">
      <c r="A1" s="62" t="s">
        <v>118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</row>
    <row r="2" spans="1:31" customFormat="1" x14ac:dyDescent="0.15">
      <c r="A2" s="179" t="s">
        <v>192</v>
      </c>
      <c r="B2" s="104">
        <v>0.8</v>
      </c>
      <c r="C2" s="104">
        <v>0.8</v>
      </c>
      <c r="D2" s="104">
        <v>0.8</v>
      </c>
      <c r="E2" s="104">
        <v>0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0.8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0</v>
      </c>
      <c r="W2" s="104">
        <v>0</v>
      </c>
      <c r="X2" s="104">
        <v>0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</row>
    <row r="3" spans="1:31" customFormat="1" x14ac:dyDescent="0.15">
      <c r="A3" s="179" t="s">
        <v>193</v>
      </c>
      <c r="B3" s="104">
        <v>0.8</v>
      </c>
      <c r="C3" s="104">
        <v>0.8</v>
      </c>
      <c r="D3" s="104">
        <v>0.8</v>
      </c>
      <c r="E3" s="104">
        <v>0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0.8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</row>
    <row r="4" spans="1:31" customFormat="1" x14ac:dyDescent="0.15">
      <c r="A4" s="179" t="s">
        <v>194</v>
      </c>
      <c r="B4" s="104">
        <v>0</v>
      </c>
      <c r="C4" s="104">
        <v>0</v>
      </c>
      <c r="D4" s="104">
        <v>0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</row>
    <row r="5" spans="1:31" customFormat="1" x14ac:dyDescent="0.15">
      <c r="A5" s="179" t="s">
        <v>195</v>
      </c>
      <c r="B5" s="104">
        <v>0</v>
      </c>
      <c r="C5" s="104">
        <v>0</v>
      </c>
      <c r="D5" s="104">
        <v>0</v>
      </c>
      <c r="E5" s="104">
        <v>0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0</v>
      </c>
      <c r="W5" s="104">
        <v>0</v>
      </c>
      <c r="X5" s="104">
        <v>0</v>
      </c>
      <c r="Y5" s="104">
        <v>0</v>
      </c>
      <c r="Z5" s="104">
        <v>0</v>
      </c>
      <c r="AA5" s="104">
        <v>0</v>
      </c>
      <c r="AB5" s="104">
        <v>0</v>
      </c>
      <c r="AC5" s="104">
        <v>0</v>
      </c>
      <c r="AD5" s="104">
        <v>0</v>
      </c>
      <c r="AE5" s="104">
        <v>0</v>
      </c>
    </row>
    <row r="6" spans="1:31" customFormat="1" x14ac:dyDescent="0.15">
      <c r="A6" s="179" t="s">
        <v>196</v>
      </c>
      <c r="B6" s="104">
        <v>0.8</v>
      </c>
      <c r="C6" s="104">
        <v>0.8</v>
      </c>
      <c r="D6" s="104">
        <v>0.8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0.8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  <c r="V6" s="104">
        <v>0</v>
      </c>
      <c r="W6" s="104">
        <v>0</v>
      </c>
      <c r="X6" s="104">
        <v>0</v>
      </c>
      <c r="Y6" s="104">
        <v>0</v>
      </c>
      <c r="Z6" s="104">
        <v>0</v>
      </c>
      <c r="AA6" s="104">
        <v>0</v>
      </c>
      <c r="AB6" s="104">
        <v>0</v>
      </c>
      <c r="AC6" s="104">
        <v>0</v>
      </c>
      <c r="AD6" s="104">
        <v>0</v>
      </c>
      <c r="AE6" s="104">
        <v>0</v>
      </c>
    </row>
    <row r="7" spans="1:31" customFormat="1" x14ac:dyDescent="0.15">
      <c r="A7" s="179" t="s">
        <v>197</v>
      </c>
      <c r="B7" s="104">
        <v>0.8</v>
      </c>
      <c r="C7" s="104">
        <v>0.8</v>
      </c>
      <c r="D7" s="104">
        <v>0.8</v>
      </c>
      <c r="E7" s="104">
        <v>0.8</v>
      </c>
      <c r="F7" s="104">
        <v>0</v>
      </c>
      <c r="G7" s="104">
        <v>0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0</v>
      </c>
      <c r="Z7" s="104">
        <v>0</v>
      </c>
      <c r="AA7" s="104">
        <v>0</v>
      </c>
      <c r="AB7" s="104">
        <v>0</v>
      </c>
      <c r="AC7" s="104">
        <v>0</v>
      </c>
      <c r="AD7" s="104">
        <v>0</v>
      </c>
      <c r="AE7" s="104">
        <v>0</v>
      </c>
    </row>
    <row r="8" spans="1:31" customFormat="1" x14ac:dyDescent="0.15">
      <c r="A8" s="179" t="s">
        <v>198</v>
      </c>
      <c r="B8" s="104">
        <v>0.8</v>
      </c>
      <c r="C8" s="104">
        <v>0.8</v>
      </c>
      <c r="D8" s="104">
        <v>0.8</v>
      </c>
      <c r="E8" s="104">
        <v>0.8</v>
      </c>
      <c r="F8" s="104">
        <v>0.8</v>
      </c>
      <c r="G8" s="104">
        <v>0</v>
      </c>
      <c r="H8" s="104">
        <v>0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  <c r="V8" s="104">
        <v>0</v>
      </c>
      <c r="W8" s="104">
        <v>0</v>
      </c>
      <c r="X8" s="104">
        <v>0</v>
      </c>
      <c r="Y8" s="104">
        <v>0</v>
      </c>
      <c r="Z8" s="104">
        <v>0</v>
      </c>
      <c r="AA8" s="104">
        <v>0</v>
      </c>
      <c r="AB8" s="104">
        <v>0</v>
      </c>
      <c r="AC8" s="104">
        <v>0</v>
      </c>
      <c r="AD8" s="104">
        <v>0</v>
      </c>
      <c r="AE8" s="104">
        <v>0</v>
      </c>
    </row>
    <row r="9" spans="1:31" customFormat="1" x14ac:dyDescent="0.15">
      <c r="A9" s="179" t="s">
        <v>199</v>
      </c>
      <c r="B9" s="104">
        <v>0.8</v>
      </c>
      <c r="C9" s="104">
        <v>0.8</v>
      </c>
      <c r="D9" s="104">
        <v>0.8</v>
      </c>
      <c r="E9" s="104">
        <v>0.8</v>
      </c>
      <c r="F9" s="104">
        <v>0.8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  <c r="X9" s="104">
        <v>0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</row>
    <row r="10" spans="1:31" customFormat="1" x14ac:dyDescent="0.15">
      <c r="A10" s="179" t="s">
        <v>200</v>
      </c>
      <c r="B10" s="104">
        <v>0.8</v>
      </c>
      <c r="C10" s="104">
        <v>0.8</v>
      </c>
      <c r="D10" s="104">
        <v>0.8</v>
      </c>
      <c r="E10" s="104">
        <v>0.8</v>
      </c>
      <c r="F10" s="104">
        <v>0.8</v>
      </c>
      <c r="G10" s="104">
        <v>0</v>
      </c>
      <c r="H10" s="104">
        <v>0</v>
      </c>
      <c r="I10" s="104">
        <v>0</v>
      </c>
      <c r="J10" s="104">
        <v>0</v>
      </c>
      <c r="K10" s="104">
        <v>0</v>
      </c>
      <c r="L10" s="104">
        <v>0</v>
      </c>
      <c r="M10" s="104">
        <v>0.8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  <c r="V10" s="104">
        <v>0</v>
      </c>
      <c r="W10" s="104">
        <v>0</v>
      </c>
      <c r="X10" s="104">
        <v>0</v>
      </c>
      <c r="Y10" s="104">
        <v>0</v>
      </c>
      <c r="Z10" s="104">
        <v>0</v>
      </c>
      <c r="AA10" s="104">
        <v>0</v>
      </c>
      <c r="AB10" s="104">
        <v>0</v>
      </c>
      <c r="AC10" s="104">
        <v>0</v>
      </c>
      <c r="AD10" s="104">
        <v>0</v>
      </c>
      <c r="AE10" s="104">
        <v>0</v>
      </c>
    </row>
    <row r="11" spans="1:31" customFormat="1" x14ac:dyDescent="0.15">
      <c r="A11" s="179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104">
        <v>0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  <c r="V11" s="104">
        <v>0</v>
      </c>
      <c r="W11" s="104">
        <v>0</v>
      </c>
      <c r="X11" s="104">
        <v>0</v>
      </c>
      <c r="Y11" s="104">
        <v>0</v>
      </c>
      <c r="Z11" s="104">
        <v>0</v>
      </c>
      <c r="AA11" s="104">
        <v>0</v>
      </c>
      <c r="AB11" s="104">
        <v>0</v>
      </c>
      <c r="AC11" s="104">
        <v>0</v>
      </c>
      <c r="AD11" s="104">
        <v>0</v>
      </c>
      <c r="AE11" s="104">
        <v>0</v>
      </c>
    </row>
    <row r="12" spans="1:31" customFormat="1" x14ac:dyDescent="0.15">
      <c r="A12" s="179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0</v>
      </c>
      <c r="L12" s="104">
        <v>0</v>
      </c>
      <c r="M12" s="104">
        <v>0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  <c r="V12" s="104">
        <v>0</v>
      </c>
      <c r="W12" s="104">
        <v>0</v>
      </c>
      <c r="X12" s="104">
        <v>0</v>
      </c>
      <c r="Y12" s="104">
        <v>0</v>
      </c>
      <c r="Z12" s="104">
        <v>0</v>
      </c>
      <c r="AA12" s="104">
        <v>0</v>
      </c>
      <c r="AB12" s="104">
        <v>0</v>
      </c>
      <c r="AC12" s="104">
        <v>0</v>
      </c>
      <c r="AD12" s="104">
        <v>0</v>
      </c>
      <c r="AE12" s="104">
        <v>0</v>
      </c>
    </row>
    <row r="13" spans="1:31" customFormat="1" x14ac:dyDescent="0.15">
      <c r="A13" s="179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0</v>
      </c>
      <c r="L13" s="104">
        <v>0</v>
      </c>
      <c r="M13" s="104">
        <v>0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04">
        <v>0</v>
      </c>
      <c r="AE13" s="104">
        <v>0</v>
      </c>
    </row>
    <row r="14" spans="1:31" customFormat="1" x14ac:dyDescent="0.15">
      <c r="A14" s="179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104">
        <v>0</v>
      </c>
      <c r="O14" s="104">
        <v>0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0</v>
      </c>
      <c r="AD14" s="104">
        <v>0</v>
      </c>
      <c r="AE14" s="104">
        <v>0</v>
      </c>
    </row>
    <row r="15" spans="1:31" customFormat="1" x14ac:dyDescent="0.15">
      <c r="A15" s="179" t="s">
        <v>205</v>
      </c>
      <c r="B15" s="104">
        <v>0.8</v>
      </c>
      <c r="C15" s="104">
        <v>0.8</v>
      </c>
      <c r="D15" s="104">
        <v>0.8</v>
      </c>
      <c r="E15" s="104">
        <v>0.8</v>
      </c>
      <c r="F15" s="104">
        <v>0.8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0.8</v>
      </c>
      <c r="N15" s="104">
        <v>0</v>
      </c>
      <c r="O15" s="104">
        <v>0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0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</v>
      </c>
      <c r="AE15" s="104">
        <v>0</v>
      </c>
    </row>
    <row r="16" spans="1:31" customFormat="1" x14ac:dyDescent="0.15">
      <c r="A16" s="179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0.8</v>
      </c>
      <c r="H16" s="104">
        <v>0</v>
      </c>
      <c r="I16" s="104">
        <v>0.8</v>
      </c>
      <c r="J16" s="104">
        <v>0.8</v>
      </c>
      <c r="K16" s="104">
        <v>0</v>
      </c>
      <c r="L16" s="104">
        <v>0</v>
      </c>
      <c r="M16" s="104">
        <v>0</v>
      </c>
      <c r="N16" s="104">
        <v>0.8</v>
      </c>
      <c r="O16" s="104">
        <v>0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  <c r="X16" s="104">
        <v>0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</row>
    <row r="17" spans="1:31" customFormat="1" x14ac:dyDescent="0.15">
      <c r="A17" s="179" t="s">
        <v>207</v>
      </c>
      <c r="B17" s="104">
        <v>0</v>
      </c>
      <c r="C17" s="104">
        <v>0</v>
      </c>
      <c r="D17" s="104">
        <v>0</v>
      </c>
      <c r="E17" s="104">
        <v>0.8</v>
      </c>
      <c r="F17" s="104">
        <v>0</v>
      </c>
      <c r="G17" s="104">
        <v>0.8</v>
      </c>
      <c r="H17" s="104">
        <v>0.8</v>
      </c>
      <c r="I17" s="104">
        <v>0.8</v>
      </c>
      <c r="J17" s="104">
        <v>0.8</v>
      </c>
      <c r="K17" s="104">
        <v>0</v>
      </c>
      <c r="L17" s="104">
        <v>0</v>
      </c>
      <c r="M17" s="104">
        <v>0</v>
      </c>
      <c r="N17" s="104">
        <v>0.8</v>
      </c>
      <c r="O17" s="104">
        <v>0</v>
      </c>
      <c r="P17" s="104">
        <v>0.8</v>
      </c>
      <c r="Q17" s="104">
        <v>0</v>
      </c>
      <c r="R17" s="104">
        <v>0.8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  <c r="X17" s="104">
        <v>0</v>
      </c>
      <c r="Y17" s="104">
        <v>0</v>
      </c>
      <c r="Z17" s="104">
        <v>0</v>
      </c>
      <c r="AA17" s="104">
        <v>0</v>
      </c>
      <c r="AB17" s="104">
        <v>0</v>
      </c>
      <c r="AC17" s="104">
        <v>0</v>
      </c>
      <c r="AD17" s="104">
        <v>0</v>
      </c>
      <c r="AE17" s="104">
        <v>0</v>
      </c>
    </row>
    <row r="18" spans="1:31" customFormat="1" x14ac:dyDescent="0.15">
      <c r="A18" s="179" t="s">
        <v>208</v>
      </c>
      <c r="B18" s="104">
        <v>0.8</v>
      </c>
      <c r="C18" s="104">
        <v>0.8</v>
      </c>
      <c r="D18" s="104">
        <v>0.8</v>
      </c>
      <c r="E18" s="104">
        <v>0.8</v>
      </c>
      <c r="F18" s="104">
        <v>0.8</v>
      </c>
      <c r="G18" s="104">
        <v>0.8</v>
      </c>
      <c r="H18" s="104">
        <v>0</v>
      </c>
      <c r="I18" s="104">
        <v>0.8</v>
      </c>
      <c r="J18" s="104">
        <v>0</v>
      </c>
      <c r="K18" s="104">
        <v>0</v>
      </c>
      <c r="L18" s="104">
        <v>0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0</v>
      </c>
      <c r="T18" s="104">
        <v>0</v>
      </c>
      <c r="U18" s="104">
        <v>0</v>
      </c>
      <c r="V18" s="104">
        <v>0</v>
      </c>
      <c r="W18" s="104">
        <v>0</v>
      </c>
      <c r="X18" s="104">
        <v>0</v>
      </c>
      <c r="Y18" s="104">
        <v>0</v>
      </c>
      <c r="Z18" s="104">
        <v>0</v>
      </c>
      <c r="AA18" s="104">
        <v>0</v>
      </c>
      <c r="AB18" s="104">
        <v>0</v>
      </c>
      <c r="AC18" s="104">
        <v>0</v>
      </c>
      <c r="AD18" s="104">
        <v>0</v>
      </c>
      <c r="AE18" s="104">
        <v>0</v>
      </c>
    </row>
    <row r="19" spans="1:31" customFormat="1" x14ac:dyDescent="0.15">
      <c r="A19" s="179" t="s">
        <v>209</v>
      </c>
      <c r="B19" s="104">
        <v>0.8</v>
      </c>
      <c r="C19" s="104">
        <v>0.8</v>
      </c>
      <c r="D19" s="104">
        <v>0</v>
      </c>
      <c r="E19" s="104">
        <v>0.8</v>
      </c>
      <c r="F19" s="104">
        <v>0.8</v>
      </c>
      <c r="G19" s="104">
        <v>0.8</v>
      </c>
      <c r="H19" s="104">
        <v>0.8</v>
      </c>
      <c r="I19" s="104">
        <v>0.8</v>
      </c>
      <c r="J19" s="104">
        <v>0.8</v>
      </c>
      <c r="K19" s="104">
        <v>0</v>
      </c>
      <c r="L19" s="104">
        <v>0</v>
      </c>
      <c r="M19" s="104">
        <v>0.8</v>
      </c>
      <c r="N19" s="104">
        <v>0.8</v>
      </c>
      <c r="O19" s="104">
        <v>0</v>
      </c>
      <c r="P19" s="104">
        <v>0.8</v>
      </c>
      <c r="Q19" s="104">
        <v>0</v>
      </c>
      <c r="R19" s="104">
        <v>0.8</v>
      </c>
      <c r="S19" s="104">
        <v>0</v>
      </c>
      <c r="T19" s="104">
        <v>0</v>
      </c>
      <c r="U19" s="104">
        <v>0</v>
      </c>
      <c r="V19" s="104">
        <v>0</v>
      </c>
      <c r="W19" s="104">
        <v>0</v>
      </c>
      <c r="X19" s="104">
        <v>0</v>
      </c>
      <c r="Y19" s="104">
        <v>0</v>
      </c>
      <c r="Z19" s="104">
        <v>0</v>
      </c>
      <c r="AA19" s="104">
        <v>0</v>
      </c>
      <c r="AB19" s="104">
        <v>0</v>
      </c>
      <c r="AC19" s="104">
        <v>0</v>
      </c>
      <c r="AD19" s="104">
        <v>0</v>
      </c>
      <c r="AE19" s="104">
        <v>0</v>
      </c>
    </row>
    <row r="20" spans="1:31" customFormat="1" x14ac:dyDescent="0.15">
      <c r="A20" s="179" t="s">
        <v>210</v>
      </c>
      <c r="B20" s="104">
        <v>0.8</v>
      </c>
      <c r="C20" s="104">
        <v>0.8</v>
      </c>
      <c r="D20" s="104">
        <v>0</v>
      </c>
      <c r="E20" s="104">
        <v>0</v>
      </c>
      <c r="F20" s="104">
        <v>0.8</v>
      </c>
      <c r="G20" s="104">
        <v>0</v>
      </c>
      <c r="H20" s="104">
        <v>0</v>
      </c>
      <c r="I20" s="104">
        <v>0</v>
      </c>
      <c r="J20" s="104">
        <v>0</v>
      </c>
      <c r="K20" s="104">
        <v>0.8</v>
      </c>
      <c r="L20" s="104">
        <v>0.8</v>
      </c>
      <c r="M20" s="104">
        <v>0</v>
      </c>
      <c r="N20" s="104">
        <v>0</v>
      </c>
      <c r="O20" s="104">
        <v>0.8</v>
      </c>
      <c r="P20" s="104">
        <v>0</v>
      </c>
      <c r="Q20" s="104">
        <v>0</v>
      </c>
      <c r="R20" s="104">
        <v>0</v>
      </c>
      <c r="S20" s="104">
        <v>0.8</v>
      </c>
      <c r="T20" s="104">
        <v>0</v>
      </c>
      <c r="U20" s="104">
        <v>0</v>
      </c>
      <c r="V20" s="104">
        <v>0</v>
      </c>
      <c r="W20" s="104">
        <v>0.8</v>
      </c>
      <c r="X20" s="104">
        <v>0</v>
      </c>
      <c r="Y20" s="104">
        <v>0</v>
      </c>
      <c r="Z20" s="104">
        <v>0</v>
      </c>
      <c r="AA20" s="104">
        <v>0</v>
      </c>
      <c r="AB20" s="104">
        <v>0</v>
      </c>
      <c r="AC20" s="104">
        <v>0</v>
      </c>
      <c r="AD20" s="104">
        <v>0</v>
      </c>
      <c r="AE20" s="104">
        <v>0</v>
      </c>
    </row>
    <row r="21" spans="1:31" customFormat="1" x14ac:dyDescent="0.15">
      <c r="A21" s="179" t="s">
        <v>211</v>
      </c>
      <c r="B21" s="104">
        <v>0.8</v>
      </c>
      <c r="C21" s="104">
        <v>0.8</v>
      </c>
      <c r="D21" s="104">
        <v>0</v>
      </c>
      <c r="E21" s="104">
        <v>0.8</v>
      </c>
      <c r="F21" s="104">
        <v>0.8</v>
      </c>
      <c r="G21" s="104">
        <v>0</v>
      </c>
      <c r="H21" s="104">
        <v>0</v>
      </c>
      <c r="I21" s="104">
        <v>0</v>
      </c>
      <c r="J21" s="104">
        <v>0</v>
      </c>
      <c r="K21" s="104">
        <v>0.8</v>
      </c>
      <c r="L21" s="104">
        <v>0.8</v>
      </c>
      <c r="M21" s="104">
        <v>0.8</v>
      </c>
      <c r="N21" s="104">
        <v>0</v>
      </c>
      <c r="O21" s="104">
        <v>0.8</v>
      </c>
      <c r="P21" s="104">
        <v>0</v>
      </c>
      <c r="Q21" s="104">
        <v>0</v>
      </c>
      <c r="R21" s="104">
        <v>0</v>
      </c>
      <c r="S21" s="104">
        <v>0.8</v>
      </c>
      <c r="T21" s="104">
        <v>0</v>
      </c>
      <c r="U21" s="104">
        <v>0</v>
      </c>
      <c r="V21" s="104">
        <v>0</v>
      </c>
      <c r="W21" s="104">
        <v>0.8</v>
      </c>
      <c r="X21" s="104">
        <v>0</v>
      </c>
      <c r="Y21" s="104">
        <v>0</v>
      </c>
      <c r="Z21" s="104">
        <v>0</v>
      </c>
      <c r="AA21" s="104">
        <v>0</v>
      </c>
      <c r="AB21" s="104">
        <v>0</v>
      </c>
      <c r="AC21" s="104">
        <v>0</v>
      </c>
      <c r="AD21" s="104">
        <v>0</v>
      </c>
      <c r="AE21" s="104">
        <v>0</v>
      </c>
    </row>
    <row r="22" spans="1:31" customFormat="1" x14ac:dyDescent="0.15">
      <c r="A22" s="179" t="s">
        <v>212</v>
      </c>
      <c r="B22" s="104">
        <v>0.8</v>
      </c>
      <c r="C22" s="104">
        <v>0.8</v>
      </c>
      <c r="D22" s="104">
        <v>0</v>
      </c>
      <c r="E22" s="104">
        <v>0</v>
      </c>
      <c r="F22" s="104">
        <v>0.8</v>
      </c>
      <c r="G22" s="104">
        <v>0</v>
      </c>
      <c r="H22" s="104">
        <v>0</v>
      </c>
      <c r="I22" s="104">
        <v>0</v>
      </c>
      <c r="J22" s="104">
        <v>0</v>
      </c>
      <c r="K22" s="104">
        <v>0.8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0.8</v>
      </c>
      <c r="T22" s="104">
        <v>0</v>
      </c>
      <c r="U22" s="104">
        <v>0</v>
      </c>
      <c r="V22" s="104">
        <v>0</v>
      </c>
      <c r="W22" s="104">
        <v>0.8</v>
      </c>
      <c r="X22" s="104">
        <v>0</v>
      </c>
      <c r="Y22" s="104">
        <v>0</v>
      </c>
      <c r="Z22" s="104">
        <v>0</v>
      </c>
      <c r="AA22" s="104">
        <v>0</v>
      </c>
      <c r="AB22" s="104">
        <v>0</v>
      </c>
      <c r="AC22" s="104">
        <v>0</v>
      </c>
      <c r="AD22" s="104">
        <v>0</v>
      </c>
      <c r="AE22" s="104">
        <v>0</v>
      </c>
    </row>
    <row r="23" spans="1:31" customFormat="1" x14ac:dyDescent="0.15">
      <c r="A23" s="179" t="s">
        <v>213</v>
      </c>
      <c r="B23" s="104">
        <v>0.8</v>
      </c>
      <c r="C23" s="104">
        <v>0.8</v>
      </c>
      <c r="D23" s="104">
        <v>0.8</v>
      </c>
      <c r="E23" s="104">
        <v>0.8</v>
      </c>
      <c r="F23" s="104">
        <v>0.8</v>
      </c>
      <c r="G23" s="104">
        <v>0</v>
      </c>
      <c r="H23" s="104">
        <v>0</v>
      </c>
      <c r="I23" s="104">
        <v>0</v>
      </c>
      <c r="J23" s="104">
        <v>0</v>
      </c>
      <c r="K23" s="104">
        <v>0.8</v>
      </c>
      <c r="L23" s="104">
        <v>0</v>
      </c>
      <c r="M23" s="104">
        <v>0</v>
      </c>
      <c r="N23" s="104">
        <v>0</v>
      </c>
      <c r="O23" s="104">
        <v>0.8</v>
      </c>
      <c r="P23" s="104">
        <v>0.8</v>
      </c>
      <c r="Q23" s="104">
        <v>0</v>
      </c>
      <c r="R23" s="104">
        <v>0.8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  <c r="X23" s="104">
        <v>0</v>
      </c>
      <c r="Y23" s="104">
        <v>0</v>
      </c>
      <c r="Z23" s="104">
        <v>0</v>
      </c>
      <c r="AA23" s="104">
        <v>0</v>
      </c>
      <c r="AB23" s="104">
        <v>0</v>
      </c>
      <c r="AC23" s="104">
        <v>0</v>
      </c>
      <c r="AD23" s="104">
        <v>0</v>
      </c>
      <c r="AE23" s="104">
        <v>0</v>
      </c>
    </row>
    <row r="24" spans="1:31" customFormat="1" x14ac:dyDescent="0.15">
      <c r="A24" s="179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0.8</v>
      </c>
      <c r="R24" s="104">
        <v>0</v>
      </c>
      <c r="S24" s="104">
        <v>0.8</v>
      </c>
      <c r="T24" s="104">
        <v>0.8</v>
      </c>
      <c r="U24" s="104">
        <v>0</v>
      </c>
      <c r="V24" s="104">
        <v>0.8</v>
      </c>
      <c r="W24" s="104">
        <v>0.8</v>
      </c>
      <c r="X24" s="104">
        <v>0</v>
      </c>
      <c r="Y24" s="104">
        <v>0</v>
      </c>
      <c r="Z24" s="104">
        <v>0</v>
      </c>
      <c r="AA24" s="104">
        <v>0</v>
      </c>
      <c r="AB24" s="104">
        <v>0</v>
      </c>
      <c r="AC24" s="104">
        <v>0</v>
      </c>
      <c r="AD24" s="104">
        <v>0</v>
      </c>
      <c r="AE24" s="104">
        <v>0</v>
      </c>
    </row>
    <row r="25" spans="1:31" customFormat="1" x14ac:dyDescent="0.15">
      <c r="A25" s="179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0.8</v>
      </c>
      <c r="R25" s="104">
        <v>0</v>
      </c>
      <c r="S25" s="104">
        <v>0.8</v>
      </c>
      <c r="T25" s="104">
        <v>0.8</v>
      </c>
      <c r="U25" s="104">
        <v>0</v>
      </c>
      <c r="V25" s="104">
        <v>0.8</v>
      </c>
      <c r="W25" s="104">
        <v>0.8</v>
      </c>
      <c r="X25" s="104">
        <v>0</v>
      </c>
      <c r="Y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</row>
    <row r="26" spans="1:31" customFormat="1" x14ac:dyDescent="0.15">
      <c r="A26" s="179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0</v>
      </c>
      <c r="V26" s="104">
        <v>0</v>
      </c>
      <c r="W26" s="104">
        <v>0</v>
      </c>
      <c r="X26" s="104">
        <v>0</v>
      </c>
      <c r="Y26" s="104">
        <v>0.8</v>
      </c>
      <c r="Z26" s="104">
        <v>0</v>
      </c>
      <c r="AA26" s="104">
        <v>0</v>
      </c>
      <c r="AB26" s="104">
        <v>0</v>
      </c>
      <c r="AC26" s="104">
        <v>0</v>
      </c>
      <c r="AD26" s="104">
        <v>0</v>
      </c>
      <c r="AE26" s="104">
        <v>0</v>
      </c>
    </row>
    <row r="27" spans="1:31" customFormat="1" x14ac:dyDescent="0.15">
      <c r="A27" s="179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0.8</v>
      </c>
      <c r="Z27" s="104">
        <v>0</v>
      </c>
      <c r="AA27" s="104">
        <v>0</v>
      </c>
      <c r="AB27" s="104">
        <v>0</v>
      </c>
      <c r="AC27" s="104">
        <v>0</v>
      </c>
      <c r="AD27" s="104">
        <v>0</v>
      </c>
      <c r="AE27" s="104">
        <v>0</v>
      </c>
    </row>
    <row r="28" spans="1:31" customFormat="1" x14ac:dyDescent="0.15">
      <c r="A28" s="179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0</v>
      </c>
      <c r="S28" s="104">
        <v>0</v>
      </c>
      <c r="T28" s="104">
        <v>0</v>
      </c>
      <c r="U28" s="104">
        <v>0</v>
      </c>
      <c r="V28" s="104">
        <v>0</v>
      </c>
      <c r="W28" s="104">
        <v>0</v>
      </c>
      <c r="X28" s="104">
        <v>0</v>
      </c>
      <c r="Y28" s="104">
        <v>0</v>
      </c>
      <c r="Z28" s="104">
        <v>0</v>
      </c>
      <c r="AA28" s="104">
        <v>0.8</v>
      </c>
      <c r="AB28" s="104">
        <v>0</v>
      </c>
      <c r="AC28" s="104">
        <v>0</v>
      </c>
      <c r="AD28" s="104">
        <v>0</v>
      </c>
      <c r="AE28" s="104">
        <v>0</v>
      </c>
    </row>
    <row r="29" spans="1:31" customFormat="1" x14ac:dyDescent="0.15">
      <c r="A29" s="179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</v>
      </c>
      <c r="X29" s="104">
        <v>0</v>
      </c>
      <c r="Y29" s="104">
        <v>0</v>
      </c>
      <c r="Z29" s="104">
        <v>0</v>
      </c>
      <c r="AA29" s="104">
        <v>0.8</v>
      </c>
      <c r="AB29" s="104">
        <v>0</v>
      </c>
      <c r="AC29" s="104">
        <v>0</v>
      </c>
      <c r="AD29" s="104">
        <v>0</v>
      </c>
      <c r="AE29" s="104">
        <v>0</v>
      </c>
    </row>
    <row r="30" spans="1:31" customFormat="1" x14ac:dyDescent="0.15">
      <c r="A30" s="179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0.8</v>
      </c>
      <c r="P30" s="104">
        <v>0</v>
      </c>
      <c r="Q30" s="104">
        <v>0.8</v>
      </c>
      <c r="R30" s="104">
        <v>0</v>
      </c>
      <c r="S30" s="104">
        <v>0.8</v>
      </c>
      <c r="T30" s="104">
        <v>0.8</v>
      </c>
      <c r="U30" s="104">
        <v>0.8</v>
      </c>
      <c r="V30" s="104">
        <v>0.8</v>
      </c>
      <c r="W30" s="104">
        <v>0.8</v>
      </c>
      <c r="X30" s="104">
        <v>0</v>
      </c>
      <c r="Y30" s="104">
        <v>0</v>
      </c>
      <c r="Z30" s="104">
        <v>0</v>
      </c>
      <c r="AA30" s="104">
        <v>0</v>
      </c>
      <c r="AB30" s="104">
        <v>0</v>
      </c>
      <c r="AC30" s="104">
        <v>0.8</v>
      </c>
      <c r="AD30" s="104">
        <v>0</v>
      </c>
      <c r="AE30" s="104">
        <v>0</v>
      </c>
    </row>
    <row r="31" spans="1:31" customFormat="1" x14ac:dyDescent="0.15">
      <c r="A31" s="179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0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0</v>
      </c>
      <c r="W31" s="104">
        <v>0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0</v>
      </c>
      <c r="AE31" s="104">
        <v>0</v>
      </c>
    </row>
    <row r="32" spans="1:31" customFormat="1" x14ac:dyDescent="0.15">
      <c r="A32" s="179" t="s">
        <v>223</v>
      </c>
      <c r="B32" s="104">
        <v>0</v>
      </c>
      <c r="C32" s="104">
        <v>0</v>
      </c>
      <c r="D32" s="104">
        <v>0</v>
      </c>
      <c r="E32" s="104">
        <v>0</v>
      </c>
      <c r="F32" s="104">
        <v>0.8</v>
      </c>
      <c r="G32" s="104">
        <v>0</v>
      </c>
      <c r="H32" s="104">
        <v>0</v>
      </c>
      <c r="I32" s="104">
        <v>0</v>
      </c>
      <c r="J32" s="104">
        <v>0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0</v>
      </c>
      <c r="W32" s="104">
        <v>0</v>
      </c>
      <c r="X32" s="104">
        <v>0</v>
      </c>
      <c r="Y32" s="104">
        <v>0</v>
      </c>
      <c r="Z32" s="104">
        <v>0</v>
      </c>
      <c r="AA32" s="104">
        <v>0</v>
      </c>
      <c r="AB32" s="104">
        <v>0</v>
      </c>
      <c r="AC32" s="104">
        <v>0</v>
      </c>
      <c r="AD32" s="104">
        <v>0</v>
      </c>
      <c r="AE32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31" width="2.33203125" style="104" customWidth="1"/>
    <col min="32" max="16384" width="10.83203125" style="104"/>
  </cols>
  <sheetData>
    <row r="1" spans="1:31" x14ac:dyDescent="0.15">
      <c r="A1" s="62" t="s">
        <v>139</v>
      </c>
      <c r="B1" s="182" t="s">
        <v>192</v>
      </c>
      <c r="C1" s="182" t="s">
        <v>193</v>
      </c>
      <c r="D1" s="182" t="s">
        <v>194</v>
      </c>
      <c r="E1" s="182" t="s">
        <v>195</v>
      </c>
      <c r="F1" s="182" t="s">
        <v>196</v>
      </c>
      <c r="G1" s="182" t="s">
        <v>197</v>
      </c>
      <c r="H1" s="182" t="s">
        <v>198</v>
      </c>
      <c r="I1" s="182" t="s">
        <v>199</v>
      </c>
      <c r="J1" s="182" t="s">
        <v>200</v>
      </c>
      <c r="K1" s="182" t="s">
        <v>201</v>
      </c>
      <c r="L1" s="182" t="s">
        <v>202</v>
      </c>
      <c r="M1" s="182" t="s">
        <v>203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 s="182" t="s">
        <v>219</v>
      </c>
      <c r="AD1" s="182" t="s">
        <v>220</v>
      </c>
      <c r="AE1" s="182" t="s">
        <v>221</v>
      </c>
    </row>
    <row r="2" spans="1:31" customFormat="1" x14ac:dyDescent="0.15">
      <c r="A2" s="181" t="s">
        <v>192</v>
      </c>
      <c r="B2" s="104">
        <v>1</v>
      </c>
      <c r="C2" s="104">
        <v>1</v>
      </c>
      <c r="D2" s="104">
        <v>1</v>
      </c>
      <c r="E2" s="104">
        <v>0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1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0</v>
      </c>
      <c r="W2" s="104">
        <v>0</v>
      </c>
      <c r="X2" s="104">
        <v>0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</row>
    <row r="3" spans="1:31" customFormat="1" x14ac:dyDescent="0.15">
      <c r="A3" s="181" t="s">
        <v>193</v>
      </c>
      <c r="B3" s="104">
        <v>1</v>
      </c>
      <c r="C3" s="104">
        <v>1</v>
      </c>
      <c r="D3" s="104">
        <v>1</v>
      </c>
      <c r="E3" s="104">
        <v>0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1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</row>
    <row r="4" spans="1:31" customFormat="1" x14ac:dyDescent="0.15">
      <c r="A4" s="181" t="s">
        <v>194</v>
      </c>
      <c r="B4" s="104">
        <v>0</v>
      </c>
      <c r="C4" s="104">
        <v>0</v>
      </c>
      <c r="D4" s="104">
        <v>0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</row>
    <row r="5" spans="1:31" customFormat="1" x14ac:dyDescent="0.15">
      <c r="A5" s="181" t="s">
        <v>195</v>
      </c>
      <c r="B5" s="104">
        <v>0</v>
      </c>
      <c r="C5" s="104">
        <v>0</v>
      </c>
      <c r="D5" s="104">
        <v>0</v>
      </c>
      <c r="E5" s="104">
        <v>0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0</v>
      </c>
      <c r="W5" s="104">
        <v>0</v>
      </c>
      <c r="X5" s="104">
        <v>0</v>
      </c>
      <c r="Y5" s="104">
        <v>0</v>
      </c>
      <c r="Z5" s="104">
        <v>0</v>
      </c>
      <c r="AA5" s="104">
        <v>0</v>
      </c>
      <c r="AB5" s="104">
        <v>0</v>
      </c>
      <c r="AC5" s="104">
        <v>0</v>
      </c>
      <c r="AD5" s="104">
        <v>0</v>
      </c>
      <c r="AE5" s="104">
        <v>0</v>
      </c>
    </row>
    <row r="6" spans="1:31" customFormat="1" x14ac:dyDescent="0.15">
      <c r="A6" s="181" t="s">
        <v>196</v>
      </c>
      <c r="B6" s="104">
        <v>1</v>
      </c>
      <c r="C6" s="104">
        <v>1</v>
      </c>
      <c r="D6" s="104">
        <v>1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1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  <c r="V6" s="104">
        <v>0</v>
      </c>
      <c r="W6" s="104">
        <v>0</v>
      </c>
      <c r="X6" s="104">
        <v>0</v>
      </c>
      <c r="Y6" s="104">
        <v>0</v>
      </c>
      <c r="Z6" s="104">
        <v>0</v>
      </c>
      <c r="AA6" s="104">
        <v>0</v>
      </c>
      <c r="AB6" s="104">
        <v>0</v>
      </c>
      <c r="AC6" s="104">
        <v>0</v>
      </c>
      <c r="AD6" s="104">
        <v>0</v>
      </c>
      <c r="AE6" s="104">
        <v>0</v>
      </c>
    </row>
    <row r="7" spans="1:31" customFormat="1" x14ac:dyDescent="0.15">
      <c r="A7" s="181" t="s">
        <v>197</v>
      </c>
      <c r="B7" s="104">
        <v>1</v>
      </c>
      <c r="C7" s="104">
        <v>1</v>
      </c>
      <c r="D7" s="104">
        <v>1</v>
      </c>
      <c r="E7" s="104">
        <v>1</v>
      </c>
      <c r="F7" s="104">
        <v>0</v>
      </c>
      <c r="G7" s="104">
        <v>0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0</v>
      </c>
      <c r="Z7" s="104">
        <v>0</v>
      </c>
      <c r="AA7" s="104">
        <v>0</v>
      </c>
      <c r="AB7" s="104">
        <v>0</v>
      </c>
      <c r="AC7" s="104">
        <v>0</v>
      </c>
      <c r="AD7" s="104">
        <v>0</v>
      </c>
      <c r="AE7" s="104">
        <v>0</v>
      </c>
    </row>
    <row r="8" spans="1:31" customFormat="1" x14ac:dyDescent="0.15">
      <c r="A8" s="181" t="s">
        <v>198</v>
      </c>
      <c r="B8" s="104">
        <v>1</v>
      </c>
      <c r="C8" s="104">
        <v>1</v>
      </c>
      <c r="D8" s="104">
        <v>1</v>
      </c>
      <c r="E8" s="104">
        <v>1</v>
      </c>
      <c r="F8" s="104">
        <v>1</v>
      </c>
      <c r="G8" s="104">
        <v>0</v>
      </c>
      <c r="H8" s="104">
        <v>0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  <c r="V8" s="104">
        <v>0</v>
      </c>
      <c r="W8" s="104">
        <v>0</v>
      </c>
      <c r="X8" s="104">
        <v>0</v>
      </c>
      <c r="Y8" s="104">
        <v>0</v>
      </c>
      <c r="Z8" s="104">
        <v>0</v>
      </c>
      <c r="AA8" s="104">
        <v>0</v>
      </c>
      <c r="AB8" s="104">
        <v>0</v>
      </c>
      <c r="AC8" s="104">
        <v>0</v>
      </c>
      <c r="AD8" s="104">
        <v>0</v>
      </c>
      <c r="AE8" s="104">
        <v>0</v>
      </c>
    </row>
    <row r="9" spans="1:31" customFormat="1" x14ac:dyDescent="0.15">
      <c r="A9" s="181" t="s">
        <v>199</v>
      </c>
      <c r="B9" s="104">
        <v>1</v>
      </c>
      <c r="C9" s="104">
        <v>1</v>
      </c>
      <c r="D9" s="104">
        <v>1</v>
      </c>
      <c r="E9" s="104">
        <v>1</v>
      </c>
      <c r="F9" s="104">
        <v>1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  <c r="X9" s="104">
        <v>0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</row>
    <row r="10" spans="1:31" customFormat="1" x14ac:dyDescent="0.15">
      <c r="A10" s="181" t="s">
        <v>200</v>
      </c>
      <c r="B10" s="104">
        <v>1</v>
      </c>
      <c r="C10" s="104">
        <v>1</v>
      </c>
      <c r="D10" s="104">
        <v>1</v>
      </c>
      <c r="E10" s="104">
        <v>1</v>
      </c>
      <c r="F10" s="104">
        <v>1</v>
      </c>
      <c r="G10" s="104">
        <v>0</v>
      </c>
      <c r="H10" s="104">
        <v>0</v>
      </c>
      <c r="I10" s="104">
        <v>0</v>
      </c>
      <c r="J10" s="104">
        <v>0</v>
      </c>
      <c r="K10" s="104">
        <v>0</v>
      </c>
      <c r="L10" s="104">
        <v>0</v>
      </c>
      <c r="M10" s="104">
        <v>1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  <c r="V10" s="104">
        <v>0</v>
      </c>
      <c r="W10" s="104">
        <v>0</v>
      </c>
      <c r="X10" s="104">
        <v>0</v>
      </c>
      <c r="Y10" s="104">
        <v>0</v>
      </c>
      <c r="Z10" s="104">
        <v>0</v>
      </c>
      <c r="AA10" s="104">
        <v>0</v>
      </c>
      <c r="AB10" s="104">
        <v>0</v>
      </c>
      <c r="AC10" s="104">
        <v>0</v>
      </c>
      <c r="AD10" s="104">
        <v>0</v>
      </c>
      <c r="AE10" s="104">
        <v>0</v>
      </c>
    </row>
    <row r="11" spans="1:31" customFormat="1" x14ac:dyDescent="0.15">
      <c r="A11" s="181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104">
        <v>0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  <c r="V11" s="104">
        <v>0</v>
      </c>
      <c r="W11" s="104">
        <v>0</v>
      </c>
      <c r="X11" s="104">
        <v>0</v>
      </c>
      <c r="Y11" s="104">
        <v>0</v>
      </c>
      <c r="Z11" s="104">
        <v>0</v>
      </c>
      <c r="AA11" s="104">
        <v>0</v>
      </c>
      <c r="AB11" s="104">
        <v>0</v>
      </c>
      <c r="AC11" s="104">
        <v>0</v>
      </c>
      <c r="AD11" s="104">
        <v>0</v>
      </c>
      <c r="AE11" s="104">
        <v>0</v>
      </c>
    </row>
    <row r="12" spans="1:31" customFormat="1" x14ac:dyDescent="0.15">
      <c r="A12" s="181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0</v>
      </c>
      <c r="L12" s="104">
        <v>0</v>
      </c>
      <c r="M12" s="104">
        <v>0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  <c r="V12" s="104">
        <v>0</v>
      </c>
      <c r="W12" s="104">
        <v>0</v>
      </c>
      <c r="X12" s="104">
        <v>0</v>
      </c>
      <c r="Y12" s="104">
        <v>0</v>
      </c>
      <c r="Z12" s="104">
        <v>0</v>
      </c>
      <c r="AA12" s="104">
        <v>0</v>
      </c>
      <c r="AB12" s="104">
        <v>0</v>
      </c>
      <c r="AC12" s="104">
        <v>0</v>
      </c>
      <c r="AD12" s="104">
        <v>0</v>
      </c>
      <c r="AE12" s="104">
        <v>0</v>
      </c>
    </row>
    <row r="13" spans="1:31" customFormat="1" x14ac:dyDescent="0.15">
      <c r="A13" s="181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0</v>
      </c>
      <c r="L13" s="104">
        <v>0</v>
      </c>
      <c r="M13" s="104">
        <v>0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04">
        <v>0</v>
      </c>
      <c r="AE13" s="104">
        <v>0</v>
      </c>
    </row>
    <row r="14" spans="1:31" customFormat="1" x14ac:dyDescent="0.15">
      <c r="A14" s="181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104">
        <v>0</v>
      </c>
      <c r="O14" s="104">
        <v>0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0</v>
      </c>
      <c r="AD14" s="104">
        <v>0</v>
      </c>
      <c r="AE14" s="104">
        <v>0</v>
      </c>
    </row>
    <row r="15" spans="1:31" customFormat="1" x14ac:dyDescent="0.15">
      <c r="A15" s="181" t="s">
        <v>205</v>
      </c>
      <c r="B15" s="104">
        <v>1</v>
      </c>
      <c r="C15" s="104">
        <v>1</v>
      </c>
      <c r="D15" s="104">
        <v>1</v>
      </c>
      <c r="E15" s="104">
        <v>1</v>
      </c>
      <c r="F15" s="104">
        <v>1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1</v>
      </c>
      <c r="N15" s="104">
        <v>0</v>
      </c>
      <c r="O15" s="104">
        <v>0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0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</v>
      </c>
      <c r="AE15" s="104">
        <v>0</v>
      </c>
    </row>
    <row r="16" spans="1:31" customFormat="1" x14ac:dyDescent="0.15">
      <c r="A16" s="181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1</v>
      </c>
      <c r="H16" s="104">
        <v>0</v>
      </c>
      <c r="I16" s="104">
        <v>1</v>
      </c>
      <c r="J16" s="104">
        <v>1</v>
      </c>
      <c r="K16" s="104">
        <v>0</v>
      </c>
      <c r="L16" s="104">
        <v>0</v>
      </c>
      <c r="M16" s="104">
        <v>0</v>
      </c>
      <c r="N16" s="104">
        <v>1</v>
      </c>
      <c r="O16" s="104">
        <v>0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  <c r="X16" s="104">
        <v>0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</row>
    <row r="17" spans="1:31" customFormat="1" x14ac:dyDescent="0.15">
      <c r="A17" s="181" t="s">
        <v>207</v>
      </c>
      <c r="B17" s="104">
        <v>0</v>
      </c>
      <c r="C17" s="104">
        <v>0</v>
      </c>
      <c r="D17" s="104">
        <v>0</v>
      </c>
      <c r="E17" s="104">
        <v>1</v>
      </c>
      <c r="F17" s="104">
        <v>0</v>
      </c>
      <c r="G17" s="104">
        <v>1</v>
      </c>
      <c r="H17" s="104">
        <v>1</v>
      </c>
      <c r="I17" s="104">
        <v>1</v>
      </c>
      <c r="J17" s="104">
        <v>1</v>
      </c>
      <c r="K17" s="104">
        <v>0</v>
      </c>
      <c r="L17" s="104">
        <v>0</v>
      </c>
      <c r="M17" s="104">
        <v>0</v>
      </c>
      <c r="N17" s="104">
        <v>1</v>
      </c>
      <c r="O17" s="104">
        <v>0</v>
      </c>
      <c r="P17" s="104">
        <v>1</v>
      </c>
      <c r="Q17" s="104">
        <v>0</v>
      </c>
      <c r="R17" s="104">
        <v>1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  <c r="X17" s="104">
        <v>0</v>
      </c>
      <c r="Y17" s="104">
        <v>0</v>
      </c>
      <c r="Z17" s="104">
        <v>0</v>
      </c>
      <c r="AA17" s="104">
        <v>0</v>
      </c>
      <c r="AB17" s="104">
        <v>0</v>
      </c>
      <c r="AC17" s="104">
        <v>0</v>
      </c>
      <c r="AD17" s="104">
        <v>0</v>
      </c>
      <c r="AE17" s="104">
        <v>0</v>
      </c>
    </row>
    <row r="18" spans="1:31" customFormat="1" x14ac:dyDescent="0.15">
      <c r="A18" s="181" t="s">
        <v>208</v>
      </c>
      <c r="B18" s="104">
        <v>1</v>
      </c>
      <c r="C18" s="104">
        <v>1</v>
      </c>
      <c r="D18" s="104">
        <v>1</v>
      </c>
      <c r="E18" s="104">
        <v>1</v>
      </c>
      <c r="F18" s="104">
        <v>1</v>
      </c>
      <c r="G18" s="104">
        <v>1</v>
      </c>
      <c r="H18" s="104">
        <v>0</v>
      </c>
      <c r="I18" s="104">
        <v>1</v>
      </c>
      <c r="J18" s="104">
        <v>0</v>
      </c>
      <c r="K18" s="104">
        <v>0</v>
      </c>
      <c r="L18" s="104">
        <v>0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0</v>
      </c>
      <c r="T18" s="104">
        <v>0</v>
      </c>
      <c r="U18" s="104">
        <v>0</v>
      </c>
      <c r="V18" s="104">
        <v>0</v>
      </c>
      <c r="W18" s="104">
        <v>0</v>
      </c>
      <c r="X18" s="104">
        <v>0</v>
      </c>
      <c r="Y18" s="104">
        <v>0</v>
      </c>
      <c r="Z18" s="104">
        <v>0</v>
      </c>
      <c r="AA18" s="104">
        <v>0</v>
      </c>
      <c r="AB18" s="104">
        <v>0</v>
      </c>
      <c r="AC18" s="104">
        <v>0</v>
      </c>
      <c r="AD18" s="104">
        <v>0</v>
      </c>
      <c r="AE18" s="104">
        <v>0</v>
      </c>
    </row>
    <row r="19" spans="1:31" customFormat="1" x14ac:dyDescent="0.15">
      <c r="A19" s="181" t="s">
        <v>209</v>
      </c>
      <c r="B19" s="104">
        <v>1</v>
      </c>
      <c r="C19" s="104">
        <v>1</v>
      </c>
      <c r="D19" s="104">
        <v>0</v>
      </c>
      <c r="E19" s="104">
        <v>1</v>
      </c>
      <c r="F19" s="104">
        <v>1</v>
      </c>
      <c r="G19" s="104">
        <v>1</v>
      </c>
      <c r="H19" s="104">
        <v>1</v>
      </c>
      <c r="I19" s="104">
        <v>1</v>
      </c>
      <c r="J19" s="104">
        <v>1</v>
      </c>
      <c r="K19" s="104">
        <v>0</v>
      </c>
      <c r="L19" s="104">
        <v>0</v>
      </c>
      <c r="M19" s="104">
        <v>1</v>
      </c>
      <c r="N19" s="104">
        <v>1</v>
      </c>
      <c r="O19" s="104">
        <v>0</v>
      </c>
      <c r="P19" s="104">
        <v>1</v>
      </c>
      <c r="Q19" s="104">
        <v>0</v>
      </c>
      <c r="R19" s="104">
        <v>1</v>
      </c>
      <c r="S19" s="104">
        <v>0</v>
      </c>
      <c r="T19" s="104">
        <v>0</v>
      </c>
      <c r="U19" s="104">
        <v>0</v>
      </c>
      <c r="V19" s="104">
        <v>0</v>
      </c>
      <c r="W19" s="104">
        <v>0</v>
      </c>
      <c r="X19" s="104">
        <v>0</v>
      </c>
      <c r="Y19" s="104">
        <v>0</v>
      </c>
      <c r="Z19" s="104">
        <v>0</v>
      </c>
      <c r="AA19" s="104">
        <v>0</v>
      </c>
      <c r="AB19" s="104">
        <v>0</v>
      </c>
      <c r="AC19" s="104">
        <v>0</v>
      </c>
      <c r="AD19" s="104">
        <v>0</v>
      </c>
      <c r="AE19" s="104">
        <v>0</v>
      </c>
    </row>
    <row r="20" spans="1:31" customFormat="1" x14ac:dyDescent="0.15">
      <c r="A20" s="181" t="s">
        <v>210</v>
      </c>
      <c r="B20" s="104">
        <v>1</v>
      </c>
      <c r="C20" s="104">
        <v>1</v>
      </c>
      <c r="D20" s="104">
        <v>0</v>
      </c>
      <c r="E20" s="104">
        <v>0</v>
      </c>
      <c r="F20" s="104">
        <v>1</v>
      </c>
      <c r="G20" s="104">
        <v>0</v>
      </c>
      <c r="H20" s="104">
        <v>0</v>
      </c>
      <c r="I20" s="104">
        <v>0</v>
      </c>
      <c r="J20" s="104">
        <v>0</v>
      </c>
      <c r="K20" s="104">
        <v>1</v>
      </c>
      <c r="L20" s="104">
        <v>1</v>
      </c>
      <c r="M20" s="104">
        <v>0</v>
      </c>
      <c r="N20" s="104">
        <v>0</v>
      </c>
      <c r="O20" s="104">
        <v>1</v>
      </c>
      <c r="P20" s="104">
        <v>0</v>
      </c>
      <c r="Q20" s="104">
        <v>0</v>
      </c>
      <c r="R20" s="104">
        <v>0</v>
      </c>
      <c r="S20" s="104">
        <v>1</v>
      </c>
      <c r="T20" s="104">
        <v>0</v>
      </c>
      <c r="U20" s="104">
        <v>0</v>
      </c>
      <c r="V20" s="104">
        <v>0</v>
      </c>
      <c r="W20" s="104">
        <v>1</v>
      </c>
      <c r="X20" s="104">
        <v>0</v>
      </c>
      <c r="Y20" s="104">
        <v>0</v>
      </c>
      <c r="Z20" s="104">
        <v>0</v>
      </c>
      <c r="AA20" s="104">
        <v>0</v>
      </c>
      <c r="AB20" s="104">
        <v>0</v>
      </c>
      <c r="AC20" s="104">
        <v>0</v>
      </c>
      <c r="AD20" s="104">
        <v>0</v>
      </c>
      <c r="AE20" s="104">
        <v>0</v>
      </c>
    </row>
    <row r="21" spans="1:31" customFormat="1" x14ac:dyDescent="0.15">
      <c r="A21" s="181" t="s">
        <v>211</v>
      </c>
      <c r="B21" s="104">
        <v>1</v>
      </c>
      <c r="C21" s="104">
        <v>1</v>
      </c>
      <c r="D21" s="104">
        <v>0</v>
      </c>
      <c r="E21" s="104">
        <v>1</v>
      </c>
      <c r="F21" s="104">
        <v>1</v>
      </c>
      <c r="G21" s="104">
        <v>0</v>
      </c>
      <c r="H21" s="104">
        <v>0</v>
      </c>
      <c r="I21" s="104">
        <v>0</v>
      </c>
      <c r="J21" s="104">
        <v>0</v>
      </c>
      <c r="K21" s="104">
        <v>1</v>
      </c>
      <c r="L21" s="104">
        <v>1</v>
      </c>
      <c r="M21" s="104">
        <v>1</v>
      </c>
      <c r="N21" s="104">
        <v>0</v>
      </c>
      <c r="O21" s="104">
        <v>1</v>
      </c>
      <c r="P21" s="104">
        <v>0</v>
      </c>
      <c r="Q21" s="104">
        <v>0</v>
      </c>
      <c r="R21" s="104">
        <v>0</v>
      </c>
      <c r="S21" s="104">
        <v>1</v>
      </c>
      <c r="T21" s="104">
        <v>0</v>
      </c>
      <c r="U21" s="104">
        <v>0</v>
      </c>
      <c r="V21" s="104">
        <v>0</v>
      </c>
      <c r="W21" s="104">
        <v>1</v>
      </c>
      <c r="X21" s="104">
        <v>0</v>
      </c>
      <c r="Y21" s="104">
        <v>0</v>
      </c>
      <c r="Z21" s="104">
        <v>0</v>
      </c>
      <c r="AA21" s="104">
        <v>0</v>
      </c>
      <c r="AB21" s="104">
        <v>0</v>
      </c>
      <c r="AC21" s="104">
        <v>0</v>
      </c>
      <c r="AD21" s="104">
        <v>0</v>
      </c>
      <c r="AE21" s="104">
        <v>0</v>
      </c>
    </row>
    <row r="22" spans="1:31" customFormat="1" x14ac:dyDescent="0.15">
      <c r="A22" s="181" t="s">
        <v>212</v>
      </c>
      <c r="B22" s="104">
        <v>1</v>
      </c>
      <c r="C22" s="104">
        <v>1</v>
      </c>
      <c r="D22" s="104">
        <v>0</v>
      </c>
      <c r="E22" s="104">
        <v>0</v>
      </c>
      <c r="F22" s="104">
        <v>1</v>
      </c>
      <c r="G22" s="104">
        <v>0</v>
      </c>
      <c r="H22" s="104">
        <v>0</v>
      </c>
      <c r="I22" s="104">
        <v>0</v>
      </c>
      <c r="J22" s="104">
        <v>0</v>
      </c>
      <c r="K22" s="104">
        <v>1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1</v>
      </c>
      <c r="T22" s="104">
        <v>0</v>
      </c>
      <c r="U22" s="104">
        <v>0</v>
      </c>
      <c r="V22" s="104">
        <v>0</v>
      </c>
      <c r="W22" s="104">
        <v>1</v>
      </c>
      <c r="X22" s="104">
        <v>0</v>
      </c>
      <c r="Y22" s="104">
        <v>0</v>
      </c>
      <c r="Z22" s="104">
        <v>0</v>
      </c>
      <c r="AA22" s="104">
        <v>0</v>
      </c>
      <c r="AB22" s="104">
        <v>0</v>
      </c>
      <c r="AC22" s="104">
        <v>0</v>
      </c>
      <c r="AD22" s="104">
        <v>0</v>
      </c>
      <c r="AE22" s="104">
        <v>0</v>
      </c>
    </row>
    <row r="23" spans="1:31" customFormat="1" x14ac:dyDescent="0.15">
      <c r="A23" s="181" t="s">
        <v>213</v>
      </c>
      <c r="B23" s="104">
        <v>1</v>
      </c>
      <c r="C23" s="104">
        <v>1</v>
      </c>
      <c r="D23" s="104">
        <v>1</v>
      </c>
      <c r="E23" s="104">
        <v>1</v>
      </c>
      <c r="F23" s="104">
        <v>1</v>
      </c>
      <c r="G23" s="104">
        <v>0</v>
      </c>
      <c r="H23" s="104">
        <v>0</v>
      </c>
      <c r="I23" s="104">
        <v>0</v>
      </c>
      <c r="J23" s="104">
        <v>0</v>
      </c>
      <c r="K23" s="104">
        <v>1</v>
      </c>
      <c r="L23" s="104">
        <v>0</v>
      </c>
      <c r="M23" s="104">
        <v>0</v>
      </c>
      <c r="N23" s="104">
        <v>0</v>
      </c>
      <c r="O23" s="104">
        <v>1</v>
      </c>
      <c r="P23" s="104">
        <v>1</v>
      </c>
      <c r="Q23" s="104">
        <v>0</v>
      </c>
      <c r="R23" s="104">
        <v>1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  <c r="X23" s="104">
        <v>0</v>
      </c>
      <c r="Y23" s="104">
        <v>0</v>
      </c>
      <c r="Z23" s="104">
        <v>0</v>
      </c>
      <c r="AA23" s="104">
        <v>0</v>
      </c>
      <c r="AB23" s="104">
        <v>0</v>
      </c>
      <c r="AC23" s="104">
        <v>0</v>
      </c>
      <c r="AD23" s="104">
        <v>0</v>
      </c>
      <c r="AE23" s="104">
        <v>0</v>
      </c>
    </row>
    <row r="24" spans="1:31" customFormat="1" x14ac:dyDescent="0.15">
      <c r="A24" s="181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1</v>
      </c>
      <c r="R24" s="104">
        <v>0</v>
      </c>
      <c r="S24" s="104">
        <v>1</v>
      </c>
      <c r="T24" s="104">
        <v>1</v>
      </c>
      <c r="U24" s="104">
        <v>0</v>
      </c>
      <c r="V24" s="104">
        <v>1</v>
      </c>
      <c r="W24" s="104">
        <v>1</v>
      </c>
      <c r="X24" s="104">
        <v>0</v>
      </c>
      <c r="Y24" s="104">
        <v>0</v>
      </c>
      <c r="Z24" s="104">
        <v>0</v>
      </c>
      <c r="AA24" s="104">
        <v>0</v>
      </c>
      <c r="AB24" s="104">
        <v>0</v>
      </c>
      <c r="AC24" s="104">
        <v>0</v>
      </c>
      <c r="AD24" s="104">
        <v>0</v>
      </c>
      <c r="AE24" s="104">
        <v>0</v>
      </c>
    </row>
    <row r="25" spans="1:31" customFormat="1" x14ac:dyDescent="0.15">
      <c r="A25" s="181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1</v>
      </c>
      <c r="R25" s="104">
        <v>0</v>
      </c>
      <c r="S25" s="104">
        <v>1</v>
      </c>
      <c r="T25" s="104">
        <v>1</v>
      </c>
      <c r="U25" s="104">
        <v>0</v>
      </c>
      <c r="V25" s="104">
        <v>1</v>
      </c>
      <c r="W25" s="104">
        <v>1</v>
      </c>
      <c r="X25" s="104">
        <v>0</v>
      </c>
      <c r="Y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</row>
    <row r="26" spans="1:31" customFormat="1" x14ac:dyDescent="0.15">
      <c r="A26" s="181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0</v>
      </c>
      <c r="V26" s="104">
        <v>0</v>
      </c>
      <c r="W26" s="104">
        <v>0</v>
      </c>
      <c r="X26" s="104">
        <v>0</v>
      </c>
      <c r="Y26" s="104">
        <v>1</v>
      </c>
      <c r="Z26" s="104">
        <v>0</v>
      </c>
      <c r="AA26" s="104">
        <v>0</v>
      </c>
      <c r="AB26" s="104">
        <v>0</v>
      </c>
      <c r="AC26" s="104">
        <v>0</v>
      </c>
      <c r="AD26" s="104">
        <v>0</v>
      </c>
      <c r="AE26" s="104">
        <v>0</v>
      </c>
    </row>
    <row r="27" spans="1:31" customFormat="1" x14ac:dyDescent="0.15">
      <c r="A27" s="181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1</v>
      </c>
      <c r="Z27" s="104">
        <v>0</v>
      </c>
      <c r="AA27" s="104">
        <v>0</v>
      </c>
      <c r="AB27" s="104">
        <v>0</v>
      </c>
      <c r="AC27" s="104">
        <v>0</v>
      </c>
      <c r="AD27" s="104">
        <v>0</v>
      </c>
      <c r="AE27" s="104">
        <v>0</v>
      </c>
    </row>
    <row r="28" spans="1:31" customFormat="1" x14ac:dyDescent="0.15">
      <c r="A28" s="181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0</v>
      </c>
      <c r="S28" s="104">
        <v>0</v>
      </c>
      <c r="T28" s="104">
        <v>0</v>
      </c>
      <c r="U28" s="104">
        <v>0</v>
      </c>
      <c r="V28" s="104">
        <v>0</v>
      </c>
      <c r="W28" s="104">
        <v>0</v>
      </c>
      <c r="X28" s="104">
        <v>0</v>
      </c>
      <c r="Y28" s="104">
        <v>0</v>
      </c>
      <c r="Z28" s="104">
        <v>0</v>
      </c>
      <c r="AA28" s="104">
        <v>1</v>
      </c>
      <c r="AB28" s="104">
        <v>0</v>
      </c>
      <c r="AC28" s="104">
        <v>0</v>
      </c>
      <c r="AD28" s="104">
        <v>0</v>
      </c>
      <c r="AE28" s="104">
        <v>0</v>
      </c>
    </row>
    <row r="29" spans="1:31" customFormat="1" x14ac:dyDescent="0.15">
      <c r="A29" s="181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</v>
      </c>
      <c r="X29" s="104">
        <v>0</v>
      </c>
      <c r="Y29" s="104">
        <v>0</v>
      </c>
      <c r="Z29" s="104">
        <v>0</v>
      </c>
      <c r="AA29" s="104">
        <v>1</v>
      </c>
      <c r="AB29" s="104">
        <v>0</v>
      </c>
      <c r="AC29" s="104">
        <v>0</v>
      </c>
      <c r="AD29" s="104">
        <v>0</v>
      </c>
      <c r="AE29" s="104">
        <v>0</v>
      </c>
    </row>
    <row r="30" spans="1:31" customFormat="1" x14ac:dyDescent="0.15">
      <c r="A30" s="181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1</v>
      </c>
      <c r="P30" s="104">
        <v>0</v>
      </c>
      <c r="Q30" s="104">
        <v>1</v>
      </c>
      <c r="R30" s="104">
        <v>0</v>
      </c>
      <c r="S30" s="104">
        <v>1</v>
      </c>
      <c r="T30" s="104">
        <v>1</v>
      </c>
      <c r="U30" s="104">
        <v>1</v>
      </c>
      <c r="V30" s="104">
        <v>1</v>
      </c>
      <c r="W30" s="104">
        <v>1</v>
      </c>
      <c r="X30" s="104">
        <v>0</v>
      </c>
      <c r="Y30" s="104">
        <v>0</v>
      </c>
      <c r="Z30" s="104">
        <v>0</v>
      </c>
      <c r="AA30" s="104">
        <v>0</v>
      </c>
      <c r="AB30" s="104">
        <v>0</v>
      </c>
      <c r="AC30" s="104">
        <v>1</v>
      </c>
      <c r="AD30" s="104">
        <v>0</v>
      </c>
      <c r="AE30" s="104">
        <v>0</v>
      </c>
    </row>
    <row r="31" spans="1:31" customFormat="1" x14ac:dyDescent="0.15">
      <c r="A31" s="181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0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0</v>
      </c>
      <c r="W31" s="104">
        <v>0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0</v>
      </c>
      <c r="AE31" s="104">
        <v>0</v>
      </c>
    </row>
    <row r="32" spans="1:31" x14ac:dyDescent="0.15">
      <c r="A32" s="181" t="s">
        <v>223</v>
      </c>
      <c r="B32" s="104">
        <v>0</v>
      </c>
      <c r="C32" s="104">
        <v>0</v>
      </c>
      <c r="D32" s="104">
        <v>0</v>
      </c>
      <c r="E32" s="104">
        <v>0</v>
      </c>
      <c r="F32" s="104">
        <v>1</v>
      </c>
      <c r="G32" s="104">
        <v>0</v>
      </c>
      <c r="H32" s="104">
        <v>0</v>
      </c>
      <c r="I32" s="104">
        <v>0</v>
      </c>
      <c r="J32" s="104">
        <v>0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0</v>
      </c>
      <c r="W32" s="104">
        <v>0</v>
      </c>
      <c r="X32" s="104">
        <v>0</v>
      </c>
      <c r="Y32" s="104">
        <v>0</v>
      </c>
      <c r="Z32" s="104">
        <v>0</v>
      </c>
      <c r="AA32" s="104">
        <v>0</v>
      </c>
      <c r="AB32" s="104">
        <v>0</v>
      </c>
      <c r="AC32" s="104">
        <v>0</v>
      </c>
      <c r="AD32" s="104">
        <v>0</v>
      </c>
      <c r="AE32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4" t="s">
        <v>222</v>
      </c>
    </row>
    <row r="2" spans="1:3" x14ac:dyDescent="0.15">
      <c r="A2">
        <v>1</v>
      </c>
      <c r="B2" s="183" t="s">
        <v>192</v>
      </c>
      <c r="C2">
        <v>0.8</v>
      </c>
    </row>
    <row r="3" spans="1:3" x14ac:dyDescent="0.15">
      <c r="A3">
        <v>2</v>
      </c>
      <c r="B3" s="183" t="s">
        <v>193</v>
      </c>
      <c r="C3">
        <v>0.8</v>
      </c>
    </row>
    <row r="4" spans="1:3" x14ac:dyDescent="0.15">
      <c r="A4">
        <v>3</v>
      </c>
      <c r="B4" s="183" t="s">
        <v>194</v>
      </c>
      <c r="C4">
        <v>0.8</v>
      </c>
    </row>
    <row r="5" spans="1:3" x14ac:dyDescent="0.15">
      <c r="A5">
        <v>4</v>
      </c>
      <c r="B5" s="183" t="s">
        <v>195</v>
      </c>
      <c r="C5">
        <v>0.8</v>
      </c>
    </row>
    <row r="6" spans="1:3" x14ac:dyDescent="0.15">
      <c r="A6">
        <v>5</v>
      </c>
      <c r="B6" s="183" t="s">
        <v>196</v>
      </c>
      <c r="C6">
        <v>0.8</v>
      </c>
    </row>
    <row r="7" spans="1:3" x14ac:dyDescent="0.15">
      <c r="A7">
        <v>6</v>
      </c>
      <c r="B7" s="183" t="s">
        <v>197</v>
      </c>
      <c r="C7">
        <v>0.8</v>
      </c>
    </row>
    <row r="8" spans="1:3" x14ac:dyDescent="0.15">
      <c r="A8">
        <v>7</v>
      </c>
      <c r="B8" s="183" t="s">
        <v>198</v>
      </c>
      <c r="C8">
        <v>0.8</v>
      </c>
    </row>
    <row r="9" spans="1:3" x14ac:dyDescent="0.15">
      <c r="A9">
        <v>8</v>
      </c>
      <c r="B9" s="183" t="s">
        <v>199</v>
      </c>
      <c r="C9">
        <v>0.8</v>
      </c>
    </row>
    <row r="10" spans="1:3" x14ac:dyDescent="0.15">
      <c r="A10">
        <v>9</v>
      </c>
      <c r="B10" s="183" t="s">
        <v>200</v>
      </c>
      <c r="C10">
        <v>0.8</v>
      </c>
    </row>
    <row r="11" spans="1:3" x14ac:dyDescent="0.15">
      <c r="A11">
        <v>10</v>
      </c>
      <c r="B11" s="183" t="s">
        <v>201</v>
      </c>
      <c r="C11">
        <v>0.8</v>
      </c>
    </row>
    <row r="12" spans="1:3" x14ac:dyDescent="0.15">
      <c r="A12">
        <v>11</v>
      </c>
      <c r="B12" s="183" t="s">
        <v>202</v>
      </c>
      <c r="C12">
        <v>0.8</v>
      </c>
    </row>
    <row r="13" spans="1:3" x14ac:dyDescent="0.15">
      <c r="A13">
        <v>12</v>
      </c>
      <c r="B13" s="183" t="s">
        <v>203</v>
      </c>
      <c r="C13">
        <v>0</v>
      </c>
    </row>
    <row r="14" spans="1:3" x14ac:dyDescent="0.15">
      <c r="A14">
        <v>13</v>
      </c>
      <c r="B14" s="183" t="s">
        <v>204</v>
      </c>
      <c r="C14">
        <v>0</v>
      </c>
    </row>
    <row r="15" spans="1:3" x14ac:dyDescent="0.15">
      <c r="A15">
        <v>14</v>
      </c>
      <c r="B15" s="183" t="s">
        <v>205</v>
      </c>
      <c r="C15">
        <v>0</v>
      </c>
    </row>
    <row r="16" spans="1:3" x14ac:dyDescent="0.15">
      <c r="A16">
        <v>15</v>
      </c>
      <c r="B16" s="183" t="s">
        <v>206</v>
      </c>
      <c r="C16">
        <v>0</v>
      </c>
    </row>
    <row r="17" spans="1:3" x14ac:dyDescent="0.15">
      <c r="A17">
        <v>16</v>
      </c>
      <c r="B17" s="183" t="s">
        <v>207</v>
      </c>
      <c r="C17">
        <v>0</v>
      </c>
    </row>
    <row r="18" spans="1:3" x14ac:dyDescent="0.15">
      <c r="A18">
        <v>17</v>
      </c>
      <c r="B18" s="183" t="s">
        <v>208</v>
      </c>
      <c r="C18">
        <v>0</v>
      </c>
    </row>
    <row r="19" spans="1:3" x14ac:dyDescent="0.15">
      <c r="A19">
        <v>18</v>
      </c>
      <c r="B19" s="183" t="s">
        <v>209</v>
      </c>
      <c r="C19">
        <v>0</v>
      </c>
    </row>
    <row r="20" spans="1:3" x14ac:dyDescent="0.15">
      <c r="A20">
        <v>19</v>
      </c>
      <c r="B20" s="183" t="s">
        <v>210</v>
      </c>
      <c r="C20">
        <v>0</v>
      </c>
    </row>
    <row r="21" spans="1:3" x14ac:dyDescent="0.15">
      <c r="A21">
        <v>20</v>
      </c>
      <c r="B21" s="183" t="s">
        <v>211</v>
      </c>
      <c r="C21">
        <v>0</v>
      </c>
    </row>
    <row r="22" spans="1:3" x14ac:dyDescent="0.15">
      <c r="A22">
        <v>21</v>
      </c>
      <c r="B22" s="183" t="s">
        <v>212</v>
      </c>
      <c r="C22">
        <v>0</v>
      </c>
    </row>
    <row r="23" spans="1:3" x14ac:dyDescent="0.15">
      <c r="A23">
        <v>22</v>
      </c>
      <c r="B23" s="183" t="s">
        <v>213</v>
      </c>
      <c r="C23">
        <v>0</v>
      </c>
    </row>
    <row r="24" spans="1:3" x14ac:dyDescent="0.15">
      <c r="A24">
        <v>23</v>
      </c>
      <c r="B24" s="183" t="s">
        <v>214</v>
      </c>
      <c r="C24">
        <v>0</v>
      </c>
    </row>
    <row r="25" spans="1:3" x14ac:dyDescent="0.15">
      <c r="A25">
        <v>24</v>
      </c>
      <c r="B25" s="183" t="s">
        <v>215</v>
      </c>
      <c r="C25">
        <v>0</v>
      </c>
    </row>
    <row r="26" spans="1:3" x14ac:dyDescent="0.15">
      <c r="A26">
        <v>25</v>
      </c>
      <c r="B26" s="183" t="s">
        <v>216</v>
      </c>
      <c r="C26">
        <v>0</v>
      </c>
    </row>
    <row r="27" spans="1:3" x14ac:dyDescent="0.15">
      <c r="A27">
        <v>26</v>
      </c>
      <c r="B27" s="183" t="s">
        <v>217</v>
      </c>
      <c r="C27">
        <v>0</v>
      </c>
    </row>
    <row r="28" spans="1:3" x14ac:dyDescent="0.15">
      <c r="A28">
        <v>27</v>
      </c>
      <c r="B28" s="183" t="s">
        <v>218</v>
      </c>
      <c r="C28">
        <v>0</v>
      </c>
    </row>
    <row r="29" spans="1:3" x14ac:dyDescent="0.15">
      <c r="A29">
        <v>28</v>
      </c>
      <c r="B29" s="183" t="s">
        <v>219</v>
      </c>
      <c r="C29">
        <v>0</v>
      </c>
    </row>
    <row r="30" spans="1:3" x14ac:dyDescent="0.15">
      <c r="A30">
        <v>29</v>
      </c>
      <c r="B30" s="183" t="s">
        <v>220</v>
      </c>
      <c r="C30">
        <v>0</v>
      </c>
    </row>
    <row r="31" spans="1:3" x14ac:dyDescent="0.15">
      <c r="A31">
        <v>30</v>
      </c>
      <c r="B31" s="183" t="s">
        <v>221</v>
      </c>
      <c r="C3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6" t="s">
        <v>222</v>
      </c>
    </row>
    <row r="2" spans="1:3" x14ac:dyDescent="0.15">
      <c r="A2">
        <v>1</v>
      </c>
      <c r="B2" s="185" t="s">
        <v>192</v>
      </c>
      <c r="C2">
        <v>0.8</v>
      </c>
    </row>
    <row r="3" spans="1:3" x14ac:dyDescent="0.15">
      <c r="A3">
        <v>2</v>
      </c>
      <c r="B3" s="185" t="s">
        <v>193</v>
      </c>
      <c r="C3">
        <v>0.8</v>
      </c>
    </row>
    <row r="4" spans="1:3" x14ac:dyDescent="0.15">
      <c r="A4">
        <v>3</v>
      </c>
      <c r="B4" s="185" t="s">
        <v>194</v>
      </c>
      <c r="C4">
        <v>0.8</v>
      </c>
    </row>
    <row r="5" spans="1:3" x14ac:dyDescent="0.15">
      <c r="A5">
        <v>4</v>
      </c>
      <c r="B5" s="185" t="s">
        <v>195</v>
      </c>
      <c r="C5">
        <v>0.8</v>
      </c>
    </row>
    <row r="6" spans="1:3" x14ac:dyDescent="0.15">
      <c r="A6">
        <v>5</v>
      </c>
      <c r="B6" s="185" t="s">
        <v>196</v>
      </c>
      <c r="C6">
        <v>0.8</v>
      </c>
    </row>
    <row r="7" spans="1:3" x14ac:dyDescent="0.15">
      <c r="A7">
        <v>6</v>
      </c>
      <c r="B7" s="185" t="s">
        <v>197</v>
      </c>
      <c r="C7">
        <v>0.8</v>
      </c>
    </row>
    <row r="8" spans="1:3" x14ac:dyDescent="0.15">
      <c r="A8">
        <v>7</v>
      </c>
      <c r="B8" s="185" t="s">
        <v>198</v>
      </c>
      <c r="C8">
        <v>0.8</v>
      </c>
    </row>
    <row r="9" spans="1:3" x14ac:dyDescent="0.15">
      <c r="A9">
        <v>8</v>
      </c>
      <c r="B9" s="185" t="s">
        <v>199</v>
      </c>
      <c r="C9">
        <v>0.8</v>
      </c>
    </row>
    <row r="10" spans="1:3" x14ac:dyDescent="0.15">
      <c r="A10">
        <v>9</v>
      </c>
      <c r="B10" s="185" t="s">
        <v>200</v>
      </c>
      <c r="C10">
        <v>0.8</v>
      </c>
    </row>
    <row r="11" spans="1:3" x14ac:dyDescent="0.15">
      <c r="A11">
        <v>10</v>
      </c>
      <c r="B11" s="185" t="s">
        <v>201</v>
      </c>
      <c r="C11">
        <v>0.8</v>
      </c>
    </row>
    <row r="12" spans="1:3" x14ac:dyDescent="0.15">
      <c r="A12">
        <v>11</v>
      </c>
      <c r="B12" s="185" t="s">
        <v>202</v>
      </c>
      <c r="C12">
        <v>0.8</v>
      </c>
    </row>
    <row r="13" spans="1:3" x14ac:dyDescent="0.15">
      <c r="A13">
        <v>12</v>
      </c>
      <c r="B13" s="185" t="s">
        <v>203</v>
      </c>
      <c r="C13">
        <v>0</v>
      </c>
    </row>
    <row r="14" spans="1:3" x14ac:dyDescent="0.15">
      <c r="A14">
        <v>13</v>
      </c>
      <c r="B14" s="185" t="s">
        <v>204</v>
      </c>
      <c r="C14">
        <v>0</v>
      </c>
    </row>
    <row r="15" spans="1:3" x14ac:dyDescent="0.15">
      <c r="A15">
        <v>14</v>
      </c>
      <c r="B15" s="185" t="s">
        <v>205</v>
      </c>
      <c r="C15">
        <v>0</v>
      </c>
    </row>
    <row r="16" spans="1:3" x14ac:dyDescent="0.15">
      <c r="A16">
        <v>15</v>
      </c>
      <c r="B16" s="185" t="s">
        <v>206</v>
      </c>
      <c r="C16">
        <v>0</v>
      </c>
    </row>
    <row r="17" spans="1:3" x14ac:dyDescent="0.15">
      <c r="A17">
        <v>16</v>
      </c>
      <c r="B17" s="185" t="s">
        <v>207</v>
      </c>
      <c r="C17">
        <v>0</v>
      </c>
    </row>
    <row r="18" spans="1:3" x14ac:dyDescent="0.15">
      <c r="A18">
        <v>17</v>
      </c>
      <c r="B18" s="185" t="s">
        <v>208</v>
      </c>
      <c r="C18">
        <v>0</v>
      </c>
    </row>
    <row r="19" spans="1:3" x14ac:dyDescent="0.15">
      <c r="A19">
        <v>18</v>
      </c>
      <c r="B19" s="185" t="s">
        <v>209</v>
      </c>
      <c r="C19">
        <v>0</v>
      </c>
    </row>
    <row r="20" spans="1:3" x14ac:dyDescent="0.15">
      <c r="A20">
        <v>19</v>
      </c>
      <c r="B20" s="185" t="s">
        <v>210</v>
      </c>
      <c r="C20">
        <v>0</v>
      </c>
    </row>
    <row r="21" spans="1:3" x14ac:dyDescent="0.15">
      <c r="A21">
        <v>20</v>
      </c>
      <c r="B21" s="185" t="s">
        <v>211</v>
      </c>
      <c r="C21">
        <v>0</v>
      </c>
    </row>
    <row r="22" spans="1:3" x14ac:dyDescent="0.15">
      <c r="A22">
        <v>21</v>
      </c>
      <c r="B22" s="185" t="s">
        <v>212</v>
      </c>
      <c r="C22">
        <v>0</v>
      </c>
    </row>
    <row r="23" spans="1:3" x14ac:dyDescent="0.15">
      <c r="A23">
        <v>22</v>
      </c>
      <c r="B23" s="185" t="s">
        <v>213</v>
      </c>
      <c r="C23">
        <v>0</v>
      </c>
    </row>
    <row r="24" spans="1:3" x14ac:dyDescent="0.15">
      <c r="A24">
        <v>23</v>
      </c>
      <c r="B24" s="185" t="s">
        <v>214</v>
      </c>
      <c r="C24">
        <v>0</v>
      </c>
    </row>
    <row r="25" spans="1:3" x14ac:dyDescent="0.15">
      <c r="A25">
        <v>24</v>
      </c>
      <c r="B25" s="185" t="s">
        <v>215</v>
      </c>
      <c r="C25">
        <v>0</v>
      </c>
    </row>
    <row r="26" spans="1:3" x14ac:dyDescent="0.15">
      <c r="A26">
        <v>25</v>
      </c>
      <c r="B26" s="185" t="s">
        <v>216</v>
      </c>
      <c r="C26">
        <v>0</v>
      </c>
    </row>
    <row r="27" spans="1:3" x14ac:dyDescent="0.15">
      <c r="A27">
        <v>26</v>
      </c>
      <c r="B27" s="185" t="s">
        <v>217</v>
      </c>
      <c r="C27">
        <v>0</v>
      </c>
    </row>
    <row r="28" spans="1:3" x14ac:dyDescent="0.15">
      <c r="A28">
        <v>27</v>
      </c>
      <c r="B28" s="185" t="s">
        <v>218</v>
      </c>
      <c r="C28">
        <v>0</v>
      </c>
    </row>
    <row r="29" spans="1:3" x14ac:dyDescent="0.15">
      <c r="A29">
        <v>28</v>
      </c>
      <c r="B29" s="185" t="s">
        <v>219</v>
      </c>
      <c r="C29">
        <v>0</v>
      </c>
    </row>
    <row r="30" spans="1:3" x14ac:dyDescent="0.15">
      <c r="A30">
        <v>29</v>
      </c>
      <c r="B30" s="185" t="s">
        <v>220</v>
      </c>
      <c r="C30">
        <v>0</v>
      </c>
    </row>
    <row r="31" spans="1:3" x14ac:dyDescent="0.15">
      <c r="A31">
        <v>30</v>
      </c>
      <c r="B31" s="185" t="s">
        <v>221</v>
      </c>
      <c r="C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38">
        <v>1</v>
      </c>
      <c r="B2" s="138" t="s">
        <v>192</v>
      </c>
      <c r="C2" s="8">
        <v>4.1293578147888184</v>
      </c>
      <c r="D2" s="9">
        <v>0.5690000057220459</v>
      </c>
      <c r="E2" s="9">
        <v>1.1100000143051147</v>
      </c>
      <c r="F2" s="9">
        <v>3.1530001163482666</v>
      </c>
      <c r="G2" s="9">
        <v>0.9683079719543457</v>
      </c>
      <c r="H2" s="9">
        <v>0.35204565525054932</v>
      </c>
      <c r="I2">
        <v>0.57200002670288086</v>
      </c>
      <c r="J2"/>
    </row>
    <row r="3" spans="1:10" ht="15" customHeight="1" x14ac:dyDescent="0.15">
      <c r="A3" s="139">
        <v>2</v>
      </c>
      <c r="B3" s="139" t="s">
        <v>193</v>
      </c>
      <c r="C3" s="8">
        <v>4.4785518646240234</v>
      </c>
      <c r="D3" s="9">
        <v>0.65700000524520874</v>
      </c>
      <c r="E3" s="9">
        <v>0.8399999737739563</v>
      </c>
      <c r="F3" s="9">
        <v>3.5580000877380371</v>
      </c>
      <c r="G3" s="9">
        <v>0.94914162158966064</v>
      </c>
      <c r="H3" s="9">
        <v>0.23608767986297607</v>
      </c>
      <c r="I3">
        <v>0.36700001358985901</v>
      </c>
      <c r="J3"/>
    </row>
    <row r="4" spans="1:10" ht="15" customHeight="1" x14ac:dyDescent="0.15">
      <c r="A4" s="140">
        <v>3</v>
      </c>
      <c r="B4" s="140" t="s">
        <v>194</v>
      </c>
      <c r="C4" s="8">
        <v>5.0702915191650391</v>
      </c>
      <c r="D4" s="9">
        <v>0.65299999713897705</v>
      </c>
      <c r="E4" s="9">
        <v>0.57999998331069946</v>
      </c>
      <c r="F4" s="9">
        <v>3.2860000133514404</v>
      </c>
      <c r="G4" s="9">
        <v>0.54126840829849243</v>
      </c>
      <c r="H4" s="9">
        <v>0.17650638520717621</v>
      </c>
      <c r="I4">
        <v>0.20499999821186066</v>
      </c>
      <c r="J4"/>
    </row>
    <row r="5" spans="1:10" ht="15" customHeight="1" x14ac:dyDescent="0.15">
      <c r="A5" s="141">
        <v>4</v>
      </c>
      <c r="B5" s="141" t="s">
        <v>195</v>
      </c>
      <c r="C5" s="8">
        <v>4.4676008224487305</v>
      </c>
      <c r="D5" s="9">
        <v>0.46399998664855957</v>
      </c>
      <c r="E5" s="9">
        <v>0.28999999165534973</v>
      </c>
      <c r="F5" s="9">
        <v>5.7899999618530273</v>
      </c>
      <c r="G5" s="9">
        <v>0.83234250545501709</v>
      </c>
      <c r="H5" s="9">
        <v>5.0086352974176407E-2</v>
      </c>
      <c r="I5">
        <v>0.1120000034570694</v>
      </c>
      <c r="J5"/>
    </row>
    <row r="6" spans="1:10" ht="15" customHeight="1" x14ac:dyDescent="0.15">
      <c r="A6" s="142">
        <v>5</v>
      </c>
      <c r="B6" s="142" t="s">
        <v>196</v>
      </c>
      <c r="C6" s="8">
        <v>3.8215665817260742</v>
      </c>
      <c r="D6" s="9">
        <v>0.8320000171661377</v>
      </c>
      <c r="E6" s="9">
        <v>1.3700000047683716</v>
      </c>
      <c r="F6" s="9">
        <v>3.7860000133514404</v>
      </c>
      <c r="G6" s="9">
        <v>0.64552634954452515</v>
      </c>
      <c r="H6" s="9">
        <v>0.36185947060585022</v>
      </c>
      <c r="I6">
        <v>0.38100001215934753</v>
      </c>
      <c r="J6"/>
    </row>
    <row r="7" spans="1:10" ht="15" customHeight="1" x14ac:dyDescent="0.15">
      <c r="A7" s="143">
        <v>6</v>
      </c>
      <c r="B7" s="143" t="s">
        <v>197</v>
      </c>
      <c r="C7" s="8">
        <v>4.5088319778442383</v>
      </c>
      <c r="D7" s="9">
        <v>0.83600002527236938</v>
      </c>
      <c r="E7" s="9">
        <v>1.0399999618530273</v>
      </c>
      <c r="F7" s="9">
        <v>4.5999999046325684</v>
      </c>
      <c r="G7" s="9">
        <v>0.54429835081100464</v>
      </c>
      <c r="H7" s="9">
        <v>0.22608695924282074</v>
      </c>
      <c r="I7">
        <v>0.29300001263618469</v>
      </c>
      <c r="J7"/>
    </row>
    <row r="8" spans="1:10" ht="15" customHeight="1" x14ac:dyDescent="0.15">
      <c r="A8" s="144">
        <v>7</v>
      </c>
      <c r="B8" s="144" t="s">
        <v>198</v>
      </c>
      <c r="C8" s="8">
        <v>3.7937197685241699</v>
      </c>
      <c r="D8" s="9">
        <v>0.54500001668930054</v>
      </c>
      <c r="E8" s="9">
        <v>1.2100000381469727</v>
      </c>
      <c r="F8" s="9">
        <v>8.6000003814697266</v>
      </c>
      <c r="G8" s="9">
        <v>0.96086519956588745</v>
      </c>
      <c r="H8" s="9">
        <v>0.1406976729631424</v>
      </c>
      <c r="I8">
        <v>0.34299999475479126</v>
      </c>
      <c r="J8"/>
    </row>
    <row r="9" spans="1:10" ht="15" customHeight="1" x14ac:dyDescent="0.15">
      <c r="A9" s="145">
        <v>8</v>
      </c>
      <c r="B9" s="145" t="s">
        <v>199</v>
      </c>
      <c r="C9" s="8">
        <v>4.4377140998840332</v>
      </c>
      <c r="D9" s="9">
        <v>1.9409999847412109</v>
      </c>
      <c r="E9" s="9">
        <v>2.4800000190734863</v>
      </c>
      <c r="F9" s="9">
        <v>16.533332824707031</v>
      </c>
      <c r="G9" s="9">
        <v>0.49485054612159729</v>
      </c>
      <c r="H9" s="9">
        <v>0.15000000596046448</v>
      </c>
      <c r="I9">
        <v>0.80500000715255737</v>
      </c>
      <c r="J9"/>
    </row>
    <row r="10" spans="1:10" ht="15" customHeight="1" x14ac:dyDescent="0.15">
      <c r="A10" s="146">
        <v>9</v>
      </c>
      <c r="B10" s="146" t="s">
        <v>200</v>
      </c>
      <c r="C10" s="8">
        <v>3.7161197662353516</v>
      </c>
      <c r="D10" s="9">
        <v>2.5769999027252197</v>
      </c>
      <c r="E10" s="9">
        <v>2.0199999809265137</v>
      </c>
      <c r="F10" s="9">
        <v>13.466666221618652</v>
      </c>
      <c r="G10" s="9">
        <v>0.58356332778930664</v>
      </c>
      <c r="H10" s="9">
        <v>0.15000000596046448</v>
      </c>
      <c r="I10">
        <v>1.1579999923706055</v>
      </c>
      <c r="J10"/>
    </row>
    <row r="11" spans="1:10" ht="15" customHeight="1" x14ac:dyDescent="0.15">
      <c r="A11" s="147">
        <v>10</v>
      </c>
      <c r="B11" s="147" t="s">
        <v>201</v>
      </c>
      <c r="C11" s="8">
        <v>3.1712203025817871</v>
      </c>
      <c r="D11" s="9">
        <v>0.6380000114440918</v>
      </c>
      <c r="E11" s="9">
        <v>0.64999997615814209</v>
      </c>
      <c r="F11" s="9">
        <v>2.7999999523162842</v>
      </c>
      <c r="G11" s="9">
        <v>0.53291535377502441</v>
      </c>
      <c r="H11" s="9">
        <v>0.2321428507566452</v>
      </c>
      <c r="I11">
        <v>0.22100000083446503</v>
      </c>
      <c r="J11"/>
    </row>
    <row r="12" spans="1:10" ht="15" customHeight="1" x14ac:dyDescent="0.15">
      <c r="A12" s="148">
        <v>11</v>
      </c>
      <c r="B12" s="148" t="s">
        <v>202</v>
      </c>
      <c r="C12" s="8">
        <v>3.0392000675201416</v>
      </c>
      <c r="D12" s="9">
        <v>7.5999997556209564E-2</v>
      </c>
      <c r="E12" s="9">
        <v>0.6600000262260437</v>
      </c>
      <c r="F12" s="9">
        <v>4.4000000953674316</v>
      </c>
      <c r="G12" s="9">
        <v>0.4984050989151001</v>
      </c>
      <c r="H12" s="9">
        <v>0.15000000596046448</v>
      </c>
      <c r="I12">
        <v>2.500000037252903E-2</v>
      </c>
      <c r="J12"/>
    </row>
    <row r="13" spans="1:10" ht="15" customHeight="1" x14ac:dyDescent="0.15">
      <c r="A13" s="149">
        <v>12</v>
      </c>
      <c r="B13" s="149" t="s">
        <v>203</v>
      </c>
      <c r="C13" s="8">
        <v>3.8052034378051758</v>
      </c>
      <c r="D13" s="9">
        <v>0.52799999713897705</v>
      </c>
      <c r="E13" s="9">
        <v>0.43500003218650818</v>
      </c>
      <c r="F13" s="9">
        <v>2.9000000953674316</v>
      </c>
      <c r="G13" s="7">
        <v>0</v>
      </c>
      <c r="H13" s="9">
        <v>0.15000000596046448</v>
      </c>
      <c r="I13">
        <v>0</v>
      </c>
      <c r="J13"/>
    </row>
    <row r="14" spans="1:10" ht="15" customHeight="1" x14ac:dyDescent="0.15">
      <c r="A14" s="150">
        <v>13</v>
      </c>
      <c r="B14" s="150" t="s">
        <v>204</v>
      </c>
      <c r="C14" s="8">
        <v>4.4846100807189941</v>
      </c>
      <c r="D14" s="9">
        <v>1.4750000238418579</v>
      </c>
      <c r="E14" s="9">
        <v>0.86850005388259888</v>
      </c>
      <c r="F14" s="9">
        <v>5.7899999618530273</v>
      </c>
      <c r="G14" s="7">
        <v>0</v>
      </c>
      <c r="H14" s="9">
        <v>0.15000000596046448</v>
      </c>
      <c r="I14">
        <v>0</v>
      </c>
      <c r="J14"/>
    </row>
    <row r="15" spans="1:10" ht="15" customHeight="1" x14ac:dyDescent="0.15">
      <c r="A15" s="151">
        <v>14</v>
      </c>
      <c r="B15" s="151" t="s">
        <v>205</v>
      </c>
      <c r="C15" s="8">
        <v>2.9712202548980713</v>
      </c>
      <c r="D15" s="9">
        <v>4.3460001945495605</v>
      </c>
      <c r="E15" s="9">
        <v>0.47468462586402893</v>
      </c>
      <c r="F15" s="9">
        <v>3.5</v>
      </c>
      <c r="G15" s="9">
        <v>0.94999915361404419</v>
      </c>
      <c r="H15" s="9">
        <v>0.13562418520450592</v>
      </c>
      <c r="I15">
        <v>0</v>
      </c>
      <c r="J15"/>
    </row>
    <row r="16" spans="1:10" ht="15" customHeight="1" x14ac:dyDescent="0.15">
      <c r="A16" s="152">
        <v>15</v>
      </c>
      <c r="B16" s="152" t="s">
        <v>206</v>
      </c>
      <c r="C16" s="8">
        <v>3.8653600215911865</v>
      </c>
      <c r="D16" s="9">
        <v>1.9497675895690918</v>
      </c>
      <c r="E16" s="9">
        <v>5</v>
      </c>
      <c r="F16" s="9">
        <v>25</v>
      </c>
      <c r="G16" s="9">
        <v>0.94999992847442627</v>
      </c>
      <c r="H16" s="9">
        <v>0.20000000298023224</v>
      </c>
      <c r="I16">
        <v>0</v>
      </c>
      <c r="J16"/>
    </row>
    <row r="17" spans="1:10" ht="15" customHeight="1" x14ac:dyDescent="0.15">
      <c r="A17" s="153">
        <v>16</v>
      </c>
      <c r="B17" s="153" t="s">
        <v>207</v>
      </c>
      <c r="C17" s="8">
        <v>2.9309999942779541</v>
      </c>
      <c r="D17" s="9">
        <v>10</v>
      </c>
      <c r="E17" s="9">
        <v>18</v>
      </c>
      <c r="F17" s="9">
        <v>60</v>
      </c>
      <c r="G17" s="9">
        <v>0.97692573070526123</v>
      </c>
      <c r="H17" s="9">
        <v>0.30000001192092896</v>
      </c>
      <c r="I17">
        <v>0</v>
      </c>
      <c r="J17"/>
    </row>
    <row r="18" spans="1:10" ht="15" customHeight="1" x14ac:dyDescent="0.15">
      <c r="A18" s="154">
        <v>17</v>
      </c>
      <c r="B18" s="154" t="s">
        <v>208</v>
      </c>
      <c r="C18" s="8">
        <v>3.8454799652099609</v>
      </c>
      <c r="D18" s="9">
        <v>9.148533821105957</v>
      </c>
      <c r="E18" s="9">
        <v>2.4300000667572021</v>
      </c>
      <c r="F18" s="9">
        <v>16.19999885559082</v>
      </c>
      <c r="G18" s="9">
        <v>0.94999998807907104</v>
      </c>
      <c r="H18" s="9">
        <v>0.15000002086162567</v>
      </c>
      <c r="I18">
        <v>0</v>
      </c>
      <c r="J18"/>
    </row>
    <row r="19" spans="1:10" ht="15" customHeight="1" x14ac:dyDescent="0.15">
      <c r="A19" s="155">
        <v>18</v>
      </c>
      <c r="B19" s="155" t="s">
        <v>209</v>
      </c>
      <c r="C19" s="8">
        <v>2.4734001159667969</v>
      </c>
      <c r="D19" s="9">
        <v>15.810925483703613</v>
      </c>
      <c r="E19" s="9">
        <v>3</v>
      </c>
      <c r="F19" s="9">
        <v>20</v>
      </c>
      <c r="G19" s="9">
        <v>0.94999992847442627</v>
      </c>
      <c r="H19" s="9">
        <v>0.15000000596046448</v>
      </c>
      <c r="I19">
        <v>0</v>
      </c>
      <c r="J19"/>
    </row>
    <row r="20" spans="1:10" ht="15" customHeight="1" x14ac:dyDescent="0.15">
      <c r="A20" s="156">
        <v>19</v>
      </c>
      <c r="B20" s="156" t="s">
        <v>210</v>
      </c>
      <c r="C20" s="8">
        <v>2.1960000991821289</v>
      </c>
      <c r="D20" s="9">
        <v>24</v>
      </c>
      <c r="E20" s="9">
        <v>2</v>
      </c>
      <c r="F20" s="9">
        <v>13.333333015441895</v>
      </c>
      <c r="G20" s="9">
        <v>0.77976280450820923</v>
      </c>
      <c r="H20" s="9">
        <v>0.15000000596046448</v>
      </c>
      <c r="I20">
        <v>0</v>
      </c>
      <c r="J20"/>
    </row>
    <row r="21" spans="1:10" ht="15" customHeight="1" x14ac:dyDescent="0.15">
      <c r="A21" s="157">
        <v>20</v>
      </c>
      <c r="B21" s="157" t="s">
        <v>211</v>
      </c>
      <c r="C21" s="8">
        <v>2</v>
      </c>
      <c r="D21" s="9">
        <v>32</v>
      </c>
      <c r="E21" s="9">
        <v>2</v>
      </c>
      <c r="F21" s="9">
        <v>13.333333015441895</v>
      </c>
      <c r="G21" s="9">
        <v>0.72876393795013428</v>
      </c>
      <c r="H21" s="9">
        <v>0.15000000596046448</v>
      </c>
      <c r="I21">
        <v>0</v>
      </c>
      <c r="J21"/>
    </row>
    <row r="22" spans="1:10" ht="15" customHeight="1" x14ac:dyDescent="0.15">
      <c r="A22" s="158">
        <v>21</v>
      </c>
      <c r="B22" s="158" t="s">
        <v>212</v>
      </c>
      <c r="C22" s="8">
        <v>2.3920001983642578</v>
      </c>
      <c r="D22" s="9">
        <v>49</v>
      </c>
      <c r="E22" s="9">
        <v>2</v>
      </c>
      <c r="F22" s="9">
        <v>13.333333015441895</v>
      </c>
      <c r="G22" s="9">
        <v>0.69510388374328613</v>
      </c>
      <c r="H22" s="9">
        <v>0.15000000596046448</v>
      </c>
      <c r="I22">
        <v>0</v>
      </c>
      <c r="J22"/>
    </row>
    <row r="23" spans="1:10" ht="15" customHeight="1" x14ac:dyDescent="0.15">
      <c r="A23" s="159">
        <v>22</v>
      </c>
      <c r="B23" s="159" t="s">
        <v>213</v>
      </c>
      <c r="C23" s="8">
        <v>2.7322001457214355</v>
      </c>
      <c r="D23" s="9">
        <v>12.948830604553223</v>
      </c>
      <c r="E23" s="9">
        <v>3</v>
      </c>
      <c r="F23" s="9">
        <v>20</v>
      </c>
      <c r="G23" s="9">
        <v>0.94999998807907104</v>
      </c>
      <c r="H23" s="9">
        <v>0.15000000596046448</v>
      </c>
      <c r="I23">
        <v>0</v>
      </c>
      <c r="J23"/>
    </row>
    <row r="24" spans="1:10" ht="15" customHeight="1" x14ac:dyDescent="0.15">
      <c r="A24" s="160">
        <v>23</v>
      </c>
      <c r="B24" s="160" t="s">
        <v>214</v>
      </c>
      <c r="C24" s="8">
        <v>1</v>
      </c>
      <c r="D24" s="9">
        <v>43</v>
      </c>
      <c r="E24" s="9">
        <v>53.5</v>
      </c>
      <c r="F24" s="10"/>
      <c r="G24" s="9">
        <v>0.23209995031356812</v>
      </c>
      <c r="H24" s="10"/>
      <c r="I24">
        <v>0</v>
      </c>
      <c r="J24"/>
    </row>
    <row r="25" spans="1:10" ht="15" customHeight="1" x14ac:dyDescent="0.15">
      <c r="A25" s="161">
        <v>24</v>
      </c>
      <c r="B25" s="161" t="s">
        <v>215</v>
      </c>
      <c r="C25" s="8">
        <v>2.9600000381469727</v>
      </c>
      <c r="D25" s="9">
        <v>10.505577087402344</v>
      </c>
      <c r="E25" s="9">
        <v>53.5</v>
      </c>
      <c r="F25" s="9">
        <v>133.75</v>
      </c>
      <c r="G25" s="9">
        <v>0.94999992847442627</v>
      </c>
      <c r="H25" s="9">
        <v>0.40000000596046448</v>
      </c>
      <c r="I25">
        <v>0</v>
      </c>
      <c r="J25"/>
    </row>
    <row r="26" spans="1:10" ht="15" customHeight="1" x14ac:dyDescent="0.15">
      <c r="A26" s="162">
        <v>25</v>
      </c>
      <c r="B26" s="162" t="s">
        <v>216</v>
      </c>
      <c r="C26" s="8">
        <v>1</v>
      </c>
      <c r="D26" s="9">
        <v>2.9581494331359863</v>
      </c>
      <c r="E26" s="9">
        <v>200</v>
      </c>
      <c r="F26" s="10"/>
      <c r="G26" s="9">
        <v>0.94999998807907104</v>
      </c>
      <c r="H26" s="10"/>
      <c r="I26">
        <v>0</v>
      </c>
      <c r="J26"/>
    </row>
    <row r="27" spans="1:10" ht="15" customHeight="1" x14ac:dyDescent="0.15">
      <c r="A27" s="163">
        <v>26</v>
      </c>
      <c r="B27" s="163" t="s">
        <v>217</v>
      </c>
      <c r="C27" s="8">
        <v>2.5999999046325684</v>
      </c>
      <c r="D27" s="9">
        <v>4.4372243881225586</v>
      </c>
      <c r="E27" s="9">
        <v>200</v>
      </c>
      <c r="F27" s="9">
        <v>500</v>
      </c>
      <c r="G27" s="9">
        <v>0.94999992847442627</v>
      </c>
      <c r="H27" s="9">
        <v>0.40000000596046448</v>
      </c>
      <c r="I27">
        <v>0</v>
      </c>
      <c r="J27"/>
    </row>
    <row r="28" spans="1:10" ht="15" customHeight="1" x14ac:dyDescent="0.15">
      <c r="A28" s="164">
        <v>27</v>
      </c>
      <c r="B28" s="164" t="s">
        <v>218</v>
      </c>
      <c r="C28" s="8">
        <v>1</v>
      </c>
      <c r="D28" s="9">
        <v>0.93415254354476929</v>
      </c>
      <c r="E28" s="9">
        <v>1000</v>
      </c>
      <c r="F28" s="10"/>
      <c r="G28" s="9">
        <v>0.94999998807907104</v>
      </c>
      <c r="H28" s="10"/>
      <c r="I28">
        <v>0</v>
      </c>
      <c r="J28"/>
    </row>
    <row r="29" spans="1:10" ht="15" customHeight="1" x14ac:dyDescent="0.15">
      <c r="A29" s="165">
        <v>28</v>
      </c>
      <c r="B29" s="165" t="s">
        <v>219</v>
      </c>
      <c r="C29" s="8">
        <v>2</v>
      </c>
      <c r="D29" s="9">
        <v>1.4012287855148315</v>
      </c>
      <c r="E29" s="9">
        <v>1000</v>
      </c>
      <c r="F29" s="9">
        <v>2500</v>
      </c>
      <c r="G29" s="9">
        <v>0.94999998807907104</v>
      </c>
      <c r="H29" s="9">
        <v>0.40000000596046448</v>
      </c>
      <c r="I29">
        <v>0</v>
      </c>
      <c r="J29"/>
    </row>
    <row r="30" spans="1:10" ht="15" customHeight="1" x14ac:dyDescent="0.15">
      <c r="A30" s="166">
        <v>29</v>
      </c>
      <c r="B30" s="166" t="s">
        <v>220</v>
      </c>
      <c r="C30" s="8">
        <v>1</v>
      </c>
      <c r="D30" s="9">
        <v>50</v>
      </c>
      <c r="E30" s="10"/>
      <c r="F30" s="10"/>
      <c r="G30" s="9">
        <v>0.99574047327041626</v>
      </c>
      <c r="H30" s="10"/>
      <c r="I30">
        <v>0</v>
      </c>
      <c r="J30"/>
    </row>
    <row r="31" spans="1:10" ht="15" customHeight="1" x14ac:dyDescent="0.15">
      <c r="A31" s="167">
        <v>30</v>
      </c>
      <c r="B31" s="167" t="s">
        <v>221</v>
      </c>
      <c r="C31" s="8">
        <v>1</v>
      </c>
      <c r="D31" s="9">
        <v>5</v>
      </c>
      <c r="E31" s="10"/>
      <c r="F31" s="10"/>
      <c r="G31" s="7">
        <v>0</v>
      </c>
      <c r="H31" s="10"/>
      <c r="I31">
        <v>0</v>
      </c>
      <c r="J31"/>
    </row>
    <row r="32" spans="1:10" ht="15" customHeight="1" x14ac:dyDescent="0.15">
      <c r="A32" s="195">
        <v>31</v>
      </c>
      <c r="B32" s="195" t="s">
        <v>222</v>
      </c>
      <c r="C32" s="8">
        <v>5.0776882171630859</v>
      </c>
      <c r="D32" s="10"/>
      <c r="E32" s="10"/>
      <c r="F32" s="10"/>
      <c r="G32" s="10"/>
      <c r="H32" s="10"/>
      <c r="I32">
        <v>4.4820003509521484</v>
      </c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1.1100000143051147</v>
      </c>
      <c r="C2">
        <v>3.5178150981664658E-2</v>
      </c>
      <c r="D2" s="196">
        <v>1.005272388458252</v>
      </c>
      <c r="E2" s="206">
        <v>5.3601004183292389E-2</v>
      </c>
      <c r="F2" s="12">
        <v>4.1041676886379719E-3</v>
      </c>
      <c r="G2" s="12">
        <v>3.7711039185523987E-3</v>
      </c>
      <c r="H2"/>
      <c r="I2"/>
      <c r="J2"/>
      <c r="K2"/>
      <c r="L2"/>
      <c r="M2"/>
      <c r="N2"/>
      <c r="O2"/>
      <c r="P2" s="21">
        <v>8.0731110647320747E-3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0.8399999737739563</v>
      </c>
      <c r="C3">
        <v>4.2721036821603775E-2</v>
      </c>
      <c r="D3" s="197">
        <v>0.55859971046447754</v>
      </c>
      <c r="E3" s="203">
        <v>0.13926470279693604</v>
      </c>
      <c r="F3" s="26">
        <v>6.3980020582675934E-2</v>
      </c>
      <c r="G3" s="17">
        <v>9.7979819402098656E-3</v>
      </c>
      <c r="H3"/>
      <c r="I3"/>
      <c r="J3"/>
      <c r="K3"/>
      <c r="L3"/>
      <c r="M3"/>
      <c r="N3"/>
      <c r="O3"/>
      <c r="P3" s="24">
        <v>2.5636529549956322E-2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0.57999998331069946</v>
      </c>
      <c r="C4">
        <v>0.26606431603431702</v>
      </c>
      <c r="D4" s="198">
        <v>0.31393566727638245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0.28999999165534973</v>
      </c>
      <c r="C5">
        <v>4.8620671033859253E-2</v>
      </c>
      <c r="D5" s="199">
        <v>0.24137932062149048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1.3700000047683716</v>
      </c>
      <c r="C6">
        <v>0.48562890291213989</v>
      </c>
      <c r="D6" s="200">
        <v>0.45793271064758301</v>
      </c>
      <c r="E6" s="67">
        <v>0.12506647408008575</v>
      </c>
      <c r="F6" s="66">
        <v>8.7011300027370453E-2</v>
      </c>
      <c r="G6" s="208">
        <v>0.14442601799964905</v>
      </c>
      <c r="H6"/>
      <c r="I6"/>
      <c r="J6"/>
      <c r="K6"/>
      <c r="L6"/>
      <c r="M6"/>
      <c r="N6"/>
      <c r="O6"/>
      <c r="P6" s="68">
        <v>6.993461400270462E-2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1.0399999618530273</v>
      </c>
      <c r="C7">
        <v>0.47392970323562622</v>
      </c>
      <c r="D7" s="201">
        <v>0.35047847032546997</v>
      </c>
      <c r="E7" s="28">
        <v>4.9358028918504715E-2</v>
      </c>
      <c r="F7" s="207">
        <v>7.8214816749095917E-2</v>
      </c>
      <c r="G7" s="20">
        <v>2.0533569157123566E-2</v>
      </c>
      <c r="H7" s="73">
        <v>6.7485354840755463E-2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1.2100000381469727</v>
      </c>
      <c r="C8">
        <v>4.7353111207485199E-2</v>
      </c>
      <c r="D8" s="202">
        <v>0.62935775518417358</v>
      </c>
      <c r="E8" s="137">
        <v>7.2420649230480194E-2</v>
      </c>
      <c r="F8" s="209">
        <v>0.32993736863136292</v>
      </c>
      <c r="G8" s="25">
        <v>3.1497366726398468E-2</v>
      </c>
      <c r="H8" s="26">
        <v>9.3659877777099609E-2</v>
      </c>
      <c r="I8" s="12">
        <v>5.7739429175853729E-3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2.4800000190734863</v>
      </c>
      <c r="C9">
        <v>1.2527706623077393</v>
      </c>
      <c r="D9" s="203">
        <v>0.41473469138145447</v>
      </c>
      <c r="E9" s="23">
        <v>6.6549256443977356E-2</v>
      </c>
      <c r="F9" s="210">
        <v>0.14196908473968506</v>
      </c>
      <c r="G9" s="216">
        <v>0.51405328512191772</v>
      </c>
      <c r="H9" s="18">
        <v>4.2907450348138809E-2</v>
      </c>
      <c r="I9" s="20">
        <v>4.7015540301799774E-2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2.0199999809265137</v>
      </c>
      <c r="C10">
        <v>0.84120208024978638</v>
      </c>
      <c r="D10" s="74">
        <v>0.44935974478721619</v>
      </c>
      <c r="E10" s="23">
        <v>5.4998263716697693E-2</v>
      </c>
      <c r="F10" s="214">
        <v>0.22926796972751617</v>
      </c>
      <c r="G10" s="64">
        <v>4.1632868349552155E-2</v>
      </c>
      <c r="H10" s="213">
        <v>0.19599273800849915</v>
      </c>
      <c r="I10" s="28">
        <v>9.5246538519859314E-2</v>
      </c>
      <c r="J10"/>
      <c r="K10"/>
      <c r="L10"/>
      <c r="M10"/>
      <c r="N10"/>
      <c r="O10"/>
      <c r="P10" s="63">
        <v>0.11229988187551498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0.64999997615814209</v>
      </c>
      <c r="C11">
        <v>0.30360502004623413</v>
      </c>
      <c r="D11" s="204">
        <v>0.34639498591423035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0.6600000262260437</v>
      </c>
      <c r="C12">
        <v>0.33105266094207764</v>
      </c>
      <c r="D12" s="205">
        <v>0.32894739508628845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0.43500003218650818</v>
      </c>
      <c r="C13">
        <v>0.43500003218650818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0.86850005388259888</v>
      </c>
      <c r="C14">
        <v>0.86850005388259888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0.47468462586402893</v>
      </c>
      <c r="C15">
        <v>2.3734632879495621E-2</v>
      </c>
      <c r="D15"/>
      <c r="E15" s="211">
        <v>7.7607616782188416E-2</v>
      </c>
      <c r="F15" s="212">
        <v>0.10048221051692963</v>
      </c>
      <c r="G15" s="136">
        <v>1.431821845471859E-2</v>
      </c>
      <c r="H15" s="15">
        <v>7.4180206283926964E-3</v>
      </c>
      <c r="I15" s="215">
        <v>0.20708340406417847</v>
      </c>
      <c r="J15"/>
      <c r="K15"/>
      <c r="L15"/>
      <c r="M15"/>
      <c r="N15"/>
      <c r="O15"/>
      <c r="P15" s="67">
        <v>4.4040497392416E-2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5</v>
      </c>
      <c r="C16">
        <v>0.25000035762786865</v>
      </c>
      <c r="D16"/>
      <c r="E16"/>
      <c r="F16"/>
      <c r="G16"/>
      <c r="H16"/>
      <c r="I16"/>
      <c r="J16" s="19">
        <v>0.2189294695854187</v>
      </c>
      <c r="K16"/>
      <c r="L16" s="218">
        <v>1.2344241142272949</v>
      </c>
      <c r="M16" s="27">
        <v>0.17798838019371033</v>
      </c>
      <c r="N16"/>
      <c r="O16"/>
      <c r="P16"/>
      <c r="Q16" s="221">
        <v>3.1186578273773193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18</v>
      </c>
      <c r="C17">
        <v>0.41533684730529785</v>
      </c>
      <c r="D17"/>
      <c r="E17"/>
      <c r="F17"/>
      <c r="G17"/>
      <c r="H17" s="12">
        <v>5.7492382824420929E-2</v>
      </c>
      <c r="I17"/>
      <c r="J17" s="12">
        <v>7.7296555042266846E-2</v>
      </c>
      <c r="K17" s="18">
        <v>0.32809001207351685</v>
      </c>
      <c r="L17" s="65">
        <v>1.0750552415847778</v>
      </c>
      <c r="M17" s="213">
        <v>1.7351799011230469</v>
      </c>
      <c r="N17"/>
      <c r="O17"/>
      <c r="P17"/>
      <c r="Q17" s="13">
        <v>3.7577100098133087E-2</v>
      </c>
      <c r="R17"/>
      <c r="S17" s="132">
        <v>3.8995354175567627</v>
      </c>
      <c r="T17"/>
      <c r="U17" s="234">
        <v>10.374436378479004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2.4300000667572021</v>
      </c>
      <c r="C18">
        <v>0.12150003015995026</v>
      </c>
      <c r="D18"/>
      <c r="E18" s="12">
        <v>9.8051615059375763E-3</v>
      </c>
      <c r="F18" s="14">
        <v>2.5270918384194374E-2</v>
      </c>
      <c r="G18" s="27">
        <v>8.3967708051204681E-2</v>
      </c>
      <c r="H18" s="19">
        <v>0.107185959815979</v>
      </c>
      <c r="I18" s="16">
        <v>3.4052781760692596E-2</v>
      </c>
      <c r="J18" s="133">
        <v>0.2417021244764328</v>
      </c>
      <c r="K18"/>
      <c r="L18" s="227">
        <v>1.8065152168273926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</v>
      </c>
      <c r="C19">
        <v>0.15000021457672119</v>
      </c>
      <c r="D19"/>
      <c r="E19" s="17">
        <v>3.6310221999883652E-2</v>
      </c>
      <c r="F19" s="12">
        <v>1.4622284099459648E-2</v>
      </c>
      <c r="G19"/>
      <c r="H19" s="13">
        <v>5.2674561738967896E-3</v>
      </c>
      <c r="I19" s="22">
        <v>1.9703656435012817E-2</v>
      </c>
      <c r="J19" s="14">
        <v>2.7484335005283356E-2</v>
      </c>
      <c r="K19" s="136">
        <v>8.8932186365127563E-2</v>
      </c>
      <c r="L19" s="68">
        <v>0.15222638845443726</v>
      </c>
      <c r="M19" s="228">
        <v>1.0755070447921753</v>
      </c>
      <c r="N19"/>
      <c r="O19"/>
      <c r="P19" s="18">
        <v>5.2489679306745529E-2</v>
      </c>
      <c r="Q19" s="19">
        <v>0.13179627060890198</v>
      </c>
      <c r="R19"/>
      <c r="S19" s="220">
        <v>0.30829435586929321</v>
      </c>
      <c r="T19"/>
      <c r="U19" s="224">
        <v>0.93736600875854492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</v>
      </c>
      <c r="C20">
        <v>0.44047439098358154</v>
      </c>
      <c r="D20"/>
      <c r="E20" s="11">
        <v>6.7277136258780956E-4</v>
      </c>
      <c r="F20" s="11">
        <v>2.9190888744778931E-4</v>
      </c>
      <c r="G20"/>
      <c r="H20"/>
      <c r="I20" s="14">
        <v>1.8225209787487984E-2</v>
      </c>
      <c r="J20"/>
      <c r="K20"/>
      <c r="L20"/>
      <c r="M20"/>
      <c r="N20" s="17">
        <v>2.2330000996589661E-2</v>
      </c>
      <c r="O20" s="13">
        <v>2.7866668533533812E-3</v>
      </c>
      <c r="P20"/>
      <c r="Q20"/>
      <c r="R20" s="222">
        <v>0.31689584255218506</v>
      </c>
      <c r="S20"/>
      <c r="T20"/>
      <c r="U20"/>
      <c r="V20" s="225">
        <v>0.65878856182098389</v>
      </c>
      <c r="W20"/>
      <c r="X20"/>
      <c r="Y20"/>
      <c r="Z20" s="223">
        <v>0.53953462839126587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</v>
      </c>
      <c r="C21">
        <v>0.54247212409973145</v>
      </c>
      <c r="D21"/>
      <c r="E21" s="13">
        <v>3.756307065486908E-3</v>
      </c>
      <c r="F21" s="11">
        <v>1.8244306556880474E-3</v>
      </c>
      <c r="G21"/>
      <c r="H21" s="11">
        <v>4.1977496584877372E-4</v>
      </c>
      <c r="I21" s="22">
        <v>1.2390521354973316E-2</v>
      </c>
      <c r="J21"/>
      <c r="K21"/>
      <c r="L21"/>
      <c r="M21"/>
      <c r="N21" s="16">
        <v>2.7912499383091927E-2</v>
      </c>
      <c r="O21" s="12">
        <v>8.3600003272294998E-3</v>
      </c>
      <c r="P21" s="13">
        <v>4.4022002257406712E-3</v>
      </c>
      <c r="Q21"/>
      <c r="R21" s="28">
        <v>9.5068752765655518E-2</v>
      </c>
      <c r="S21"/>
      <c r="T21"/>
      <c r="U21"/>
      <c r="V21" s="218">
        <v>0.49409142136573792</v>
      </c>
      <c r="W21"/>
      <c r="X21"/>
      <c r="Y21"/>
      <c r="Z21" s="229">
        <v>0.80930191278457642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</v>
      </c>
      <c r="C22">
        <v>0.60979223251342773</v>
      </c>
      <c r="D22"/>
      <c r="E22" s="11">
        <v>8.0549501581117511E-4</v>
      </c>
      <c r="F22" s="11">
        <v>1.4774163719266653E-3</v>
      </c>
      <c r="G22"/>
      <c r="H22"/>
      <c r="I22" s="13">
        <v>4.5596477575600147E-3</v>
      </c>
      <c r="J22"/>
      <c r="K22"/>
      <c r="L22"/>
      <c r="M22"/>
      <c r="N22" s="13">
        <v>3.6457143723964691E-3</v>
      </c>
      <c r="O22"/>
      <c r="P22"/>
      <c r="Q22"/>
      <c r="R22"/>
      <c r="S22"/>
      <c r="T22"/>
      <c r="U22"/>
      <c r="V22" s="226">
        <v>0.32267194986343384</v>
      </c>
      <c r="W22"/>
      <c r="X22"/>
      <c r="Y22"/>
      <c r="Z22" s="233">
        <v>1.0570473670959473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3</v>
      </c>
      <c r="C23">
        <v>0.15000003576278687</v>
      </c>
      <c r="D23"/>
      <c r="E23" s="13">
        <v>3.0480942223221064E-3</v>
      </c>
      <c r="F23" s="13">
        <v>5.5907289497554302E-3</v>
      </c>
      <c r="G23" s="13">
        <v>3.645632416009903E-3</v>
      </c>
      <c r="H23" s="21">
        <v>2.3652160540223122E-2</v>
      </c>
      <c r="I23" s="22">
        <v>1.7254279926419258E-2</v>
      </c>
      <c r="J23"/>
      <c r="K23"/>
      <c r="L23"/>
      <c r="M23"/>
      <c r="N23" s="12">
        <v>1.3795840553939342E-2</v>
      </c>
      <c r="O23"/>
      <c r="P23"/>
      <c r="Q23"/>
      <c r="R23" s="217">
        <v>0.11747007071971893</v>
      </c>
      <c r="S23" s="219">
        <v>0.37643700838088989</v>
      </c>
      <c r="T23"/>
      <c r="U23" s="230">
        <v>2.2891061305999756</v>
      </c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53.5</v>
      </c>
      <c r="C24">
        <v>41.082653045654297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03">
        <v>6.6279067993164062</v>
      </c>
      <c r="U24"/>
      <c r="V24" s="64">
        <v>1.1030879020690918</v>
      </c>
      <c r="W24" s="16">
        <v>0.74418604373931885</v>
      </c>
      <c r="X24"/>
      <c r="Y24" s="210">
        <v>3.038759708404541</v>
      </c>
      <c r="Z24" s="18">
        <v>0.90340679883956909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53.5</v>
      </c>
      <c r="C25">
        <v>2.6750037670135498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236">
        <v>27.128448486328125</v>
      </c>
      <c r="U25"/>
      <c r="V25" s="232">
        <v>4.5150094032287598</v>
      </c>
      <c r="W25" s="210">
        <v>3.0460011959075928</v>
      </c>
      <c r="X25"/>
      <c r="Y25" s="235">
        <v>12.437838554382324</v>
      </c>
      <c r="Z25" s="231">
        <v>3.6977019309997559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200</v>
      </c>
      <c r="C26">
        <v>10.000001907348633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237">
        <v>190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200</v>
      </c>
      <c r="C27">
        <v>10.000014305114746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 s="237">
        <v>189.99998474121094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1000</v>
      </c>
      <c r="C28">
        <v>50.000011444091797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 s="237">
        <v>949.99993896484375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1000</v>
      </c>
      <c r="C29">
        <v>50.000011444091797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 s="237">
        <v>950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0.99574047327041626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 s="9">
        <v>3.0422000885009766</v>
      </c>
      <c r="S30"/>
      <c r="T30" s="9">
        <v>30</v>
      </c>
      <c r="U30"/>
      <c r="V30" s="9">
        <v>173.92018127441406</v>
      </c>
      <c r="W30" s="9">
        <v>256</v>
      </c>
      <c r="X30" s="9">
        <v>426.66665649414062</v>
      </c>
      <c r="Y30" s="9">
        <v>392</v>
      </c>
      <c r="Z30" s="9">
        <v>90.641815185546875</v>
      </c>
      <c r="AA30"/>
      <c r="AB30"/>
      <c r="AC30"/>
      <c r="AD30"/>
      <c r="AE30"/>
      <c r="AF30" s="9">
        <v>3503.072021484375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F31" sqref="F3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87" t="s">
        <v>192</v>
      </c>
      <c r="E5">
        <v>4</v>
      </c>
      <c r="F5">
        <v>3.22</v>
      </c>
      <c r="G5">
        <v>4</v>
      </c>
      <c r="H5" s="188" t="s">
        <v>192</v>
      </c>
      <c r="J5" s="56"/>
      <c r="K5" s="57"/>
    </row>
    <row r="6" spans="1:12" ht="14" thickBot="1" x14ac:dyDescent="0.2">
      <c r="A6" s="40" t="s">
        <v>121</v>
      </c>
      <c r="D6" s="187" t="s">
        <v>193</v>
      </c>
      <c r="E6">
        <v>5</v>
      </c>
      <c r="F6">
        <v>3.12</v>
      </c>
      <c r="G6">
        <v>5</v>
      </c>
      <c r="H6" s="188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87" t="s">
        <v>194</v>
      </c>
      <c r="E7">
        <v>6</v>
      </c>
      <c r="F7">
        <v>3.22</v>
      </c>
      <c r="G7">
        <v>6</v>
      </c>
      <c r="H7" s="188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87" t="s">
        <v>195</v>
      </c>
      <c r="E8">
        <v>7</v>
      </c>
      <c r="F8">
        <v>3.12</v>
      </c>
      <c r="G8">
        <v>7</v>
      </c>
      <c r="H8" s="188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87" t="s">
        <v>196</v>
      </c>
      <c r="E9">
        <v>8</v>
      </c>
      <c r="F9">
        <v>3.22</v>
      </c>
      <c r="G9">
        <v>8</v>
      </c>
      <c r="H9" s="188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87" t="s">
        <v>197</v>
      </c>
      <c r="E10">
        <v>9</v>
      </c>
      <c r="F10">
        <v>3.12</v>
      </c>
      <c r="G10">
        <v>9</v>
      </c>
      <c r="H10" s="188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87" t="s">
        <v>198</v>
      </c>
      <c r="E11">
        <v>10</v>
      </c>
      <c r="F11">
        <v>3.12</v>
      </c>
      <c r="G11">
        <v>10</v>
      </c>
      <c r="H11" s="188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87" t="s">
        <v>199</v>
      </c>
      <c r="E12">
        <v>11</v>
      </c>
      <c r="F12">
        <v>3.22</v>
      </c>
      <c r="G12">
        <v>11</v>
      </c>
      <c r="H12" s="188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87" t="s">
        <v>200</v>
      </c>
      <c r="E13">
        <v>12</v>
      </c>
      <c r="F13">
        <v>3.12</v>
      </c>
      <c r="G13">
        <v>12</v>
      </c>
      <c r="H13" s="188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87" t="s">
        <v>201</v>
      </c>
      <c r="E14">
        <v>13</v>
      </c>
      <c r="F14">
        <v>3.22</v>
      </c>
      <c r="G14">
        <v>13</v>
      </c>
      <c r="H14" s="188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87" t="s">
        <v>202</v>
      </c>
      <c r="E15">
        <v>14</v>
      </c>
      <c r="F15">
        <v>3.22</v>
      </c>
      <c r="G15">
        <v>14</v>
      </c>
      <c r="H15" s="188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87" t="s">
        <v>203</v>
      </c>
      <c r="E16">
        <v>15</v>
      </c>
      <c r="F16">
        <v>3.22</v>
      </c>
      <c r="G16">
        <v>15</v>
      </c>
      <c r="H16" s="188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87" t="s">
        <v>204</v>
      </c>
      <c r="E17">
        <v>16</v>
      </c>
      <c r="F17">
        <v>3</v>
      </c>
      <c r="G17">
        <v>16</v>
      </c>
      <c r="H17" s="188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87" t="s">
        <v>205</v>
      </c>
      <c r="E18">
        <v>17</v>
      </c>
      <c r="F18">
        <v>3</v>
      </c>
      <c r="G18">
        <v>17</v>
      </c>
      <c r="H18" s="188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87" t="s">
        <v>206</v>
      </c>
      <c r="E19">
        <v>18</v>
      </c>
      <c r="F19">
        <v>3</v>
      </c>
      <c r="G19">
        <v>18</v>
      </c>
      <c r="H19" s="188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87" t="s">
        <v>207</v>
      </c>
      <c r="E20">
        <v>19</v>
      </c>
      <c r="F20">
        <v>3.11</v>
      </c>
      <c r="G20">
        <v>19</v>
      </c>
      <c r="H20" s="188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87" t="s">
        <v>208</v>
      </c>
      <c r="E21">
        <v>20</v>
      </c>
      <c r="F21">
        <v>3.12</v>
      </c>
      <c r="G21">
        <v>20</v>
      </c>
      <c r="H21" s="188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87" t="s">
        <v>209</v>
      </c>
      <c r="E22">
        <v>21</v>
      </c>
      <c r="F22">
        <v>3</v>
      </c>
      <c r="G22">
        <v>21</v>
      </c>
      <c r="H22" s="188" t="s">
        <v>209</v>
      </c>
    </row>
    <row r="23" spans="1:12" x14ac:dyDescent="0.15">
      <c r="A23" s="35" t="s">
        <v>129</v>
      </c>
      <c r="B23" s="43">
        <v>4</v>
      </c>
      <c r="C23" s="37"/>
      <c r="D23" s="187" t="s">
        <v>210</v>
      </c>
      <c r="E23">
        <v>22</v>
      </c>
      <c r="F23">
        <v>3.21</v>
      </c>
      <c r="G23">
        <v>22</v>
      </c>
      <c r="H23" s="188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87" t="s">
        <v>211</v>
      </c>
      <c r="E24">
        <v>23</v>
      </c>
      <c r="F24">
        <v>3.21</v>
      </c>
      <c r="G24">
        <v>23</v>
      </c>
      <c r="H24" s="188" t="s">
        <v>211</v>
      </c>
    </row>
    <row r="25" spans="1:12" x14ac:dyDescent="0.15">
      <c r="A25" s="35" t="s">
        <v>70</v>
      </c>
      <c r="B25" s="43">
        <v>4.2</v>
      </c>
      <c r="C25" s="37"/>
      <c r="D25" s="187" t="s">
        <v>212</v>
      </c>
      <c r="E25">
        <v>24</v>
      </c>
      <c r="F25">
        <v>3</v>
      </c>
      <c r="G25">
        <v>24</v>
      </c>
      <c r="H25" s="188" t="s">
        <v>212</v>
      </c>
    </row>
    <row r="26" spans="1:12" x14ac:dyDescent="0.15">
      <c r="A26" s="35" t="s">
        <v>123</v>
      </c>
      <c r="B26" s="43">
        <v>4.3</v>
      </c>
      <c r="C26" s="37"/>
      <c r="D26" s="187" t="s">
        <v>213</v>
      </c>
      <c r="E26">
        <v>25</v>
      </c>
      <c r="F26">
        <v>3</v>
      </c>
      <c r="G26">
        <v>25</v>
      </c>
      <c r="H26" s="188" t="s">
        <v>213</v>
      </c>
    </row>
    <row r="27" spans="1:12" x14ac:dyDescent="0.15">
      <c r="A27" s="35" t="s">
        <v>125</v>
      </c>
      <c r="B27" s="43">
        <v>6.1</v>
      </c>
      <c r="D27" s="187" t="s">
        <v>214</v>
      </c>
      <c r="E27">
        <v>26</v>
      </c>
      <c r="F27">
        <v>2</v>
      </c>
      <c r="G27">
        <v>26</v>
      </c>
      <c r="H27" s="188" t="s">
        <v>214</v>
      </c>
    </row>
    <row r="28" spans="1:12" x14ac:dyDescent="0.15">
      <c r="A28" s="35" t="s">
        <v>124</v>
      </c>
      <c r="B28" s="43">
        <v>6.2</v>
      </c>
      <c r="D28" s="187" t="s">
        <v>215</v>
      </c>
      <c r="E28">
        <v>27</v>
      </c>
      <c r="F28">
        <v>3</v>
      </c>
      <c r="G28">
        <v>27</v>
      </c>
      <c r="H28" s="188" t="s">
        <v>215</v>
      </c>
    </row>
    <row r="29" spans="1:12" x14ac:dyDescent="0.15">
      <c r="A29" s="35" t="s">
        <v>44</v>
      </c>
      <c r="B29" s="43">
        <v>5</v>
      </c>
      <c r="D29" s="187" t="s">
        <v>216</v>
      </c>
      <c r="E29">
        <v>28</v>
      </c>
      <c r="F29">
        <v>2</v>
      </c>
      <c r="G29">
        <v>28</v>
      </c>
      <c r="H29" s="188" t="s">
        <v>216</v>
      </c>
    </row>
    <row r="30" spans="1:12" x14ac:dyDescent="0.15">
      <c r="A30" s="35" t="s">
        <v>73</v>
      </c>
      <c r="B30" s="43">
        <v>7</v>
      </c>
      <c r="D30" s="187" t="s">
        <v>217</v>
      </c>
      <c r="E30">
        <v>29</v>
      </c>
      <c r="F30">
        <v>3</v>
      </c>
      <c r="G30">
        <v>29</v>
      </c>
      <c r="H30" s="188" t="s">
        <v>217</v>
      </c>
    </row>
    <row r="31" spans="1:12" x14ac:dyDescent="0.15">
      <c r="A31" s="35" t="s">
        <v>169</v>
      </c>
      <c r="B31" s="43">
        <v>3.14</v>
      </c>
      <c r="D31" s="187" t="s">
        <v>218</v>
      </c>
      <c r="E31">
        <v>30</v>
      </c>
      <c r="F31">
        <v>2</v>
      </c>
      <c r="G31">
        <v>30</v>
      </c>
      <c r="H31" s="188" t="s">
        <v>218</v>
      </c>
    </row>
    <row r="32" spans="1:12" ht="12" customHeight="1" thickBot="1" x14ac:dyDescent="0.2">
      <c r="A32" s="41" t="s">
        <v>170</v>
      </c>
      <c r="B32" s="44">
        <v>9</v>
      </c>
      <c r="D32" s="187" t="s">
        <v>219</v>
      </c>
      <c r="E32">
        <v>31</v>
      </c>
      <c r="F32">
        <v>3</v>
      </c>
      <c r="G32">
        <v>31</v>
      </c>
      <c r="H32" s="188" t="s">
        <v>219</v>
      </c>
    </row>
    <row r="33" spans="4:8" customFormat="1" ht="12" customHeight="1" x14ac:dyDescent="0.15">
      <c r="D33" s="187" t="s">
        <v>220</v>
      </c>
      <c r="E33">
        <v>32</v>
      </c>
      <c r="F33">
        <v>4.0999999999999996</v>
      </c>
      <c r="G33">
        <v>32</v>
      </c>
      <c r="H33" s="188" t="s">
        <v>220</v>
      </c>
    </row>
    <row r="34" spans="4:8" customFormat="1" ht="12" customHeight="1" x14ac:dyDescent="0.15">
      <c r="D34" s="187" t="s">
        <v>221</v>
      </c>
      <c r="E34">
        <v>33</v>
      </c>
      <c r="F34">
        <v>4.3</v>
      </c>
      <c r="G34">
        <v>33</v>
      </c>
      <c r="H34" s="188" t="s">
        <v>221</v>
      </c>
    </row>
    <row r="35" spans="4:8" customFormat="1" x14ac:dyDescent="0.15">
      <c r="D35" s="187" t="s">
        <v>222</v>
      </c>
      <c r="E35">
        <v>34</v>
      </c>
      <c r="F35">
        <v>5</v>
      </c>
      <c r="G35">
        <v>34</v>
      </c>
      <c r="H35" s="188" t="s">
        <v>222</v>
      </c>
    </row>
    <row r="36" spans="4:8" customFormat="1" x14ac:dyDescent="0.15">
      <c r="D36" s="187" t="s">
        <v>138</v>
      </c>
      <c r="E36">
        <v>35</v>
      </c>
      <c r="F36">
        <v>6.1</v>
      </c>
      <c r="G36">
        <v>35</v>
      </c>
      <c r="H36" s="188" t="s">
        <v>138</v>
      </c>
    </row>
    <row r="37" spans="4:8" customFormat="1" ht="12" customHeight="1" x14ac:dyDescent="0.15">
      <c r="D37" s="187" t="s">
        <v>45</v>
      </c>
      <c r="E37">
        <v>36</v>
      </c>
      <c r="F37">
        <v>6.2</v>
      </c>
      <c r="G37">
        <v>36</v>
      </c>
      <c r="H37" s="188" t="s">
        <v>45</v>
      </c>
    </row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16" activePane="bottomLeft" state="frozen"/>
      <selection pane="bottomLeft" activeCell="D45" sqref="D45"/>
    </sheetView>
  </sheetViews>
  <sheetFormatPr baseColWidth="10" defaultColWidth="11.5" defaultRowHeight="15" customHeight="1" x14ac:dyDescent="0.15"/>
  <cols>
    <col min="1" max="1" width="9" style="80" bestFit="1" customWidth="1"/>
    <col min="2" max="2" width="12.83203125" style="79" customWidth="1"/>
    <col min="3" max="3" width="9" style="79" customWidth="1"/>
    <col min="4" max="4" width="10.83203125" style="79" customWidth="1"/>
    <col min="5" max="5" width="12.83203125" style="79" customWidth="1"/>
    <col min="6" max="6" width="21.66406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2"/>
      <c r="Q1" s="81" t="s">
        <v>50</v>
      </c>
      <c r="R1" s="69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5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5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89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89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0.60123632849548947</v>
      </c>
      <c r="C8" s="190" t="s">
        <v>214</v>
      </c>
      <c r="D8" s="83" t="s">
        <v>160</v>
      </c>
      <c r="F8" s="189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19" t="s">
        <v>168</v>
      </c>
      <c r="B9" s="90">
        <v>0.15462263876846122</v>
      </c>
      <c r="C9" s="190" t="s">
        <v>216</v>
      </c>
      <c r="D9" s="83" t="s">
        <v>160</v>
      </c>
      <c r="F9" s="189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>
        <v>0.24414103273604923</v>
      </c>
      <c r="C10" s="190" t="s">
        <v>218</v>
      </c>
      <c r="D10" s="83" t="s">
        <v>160</v>
      </c>
      <c r="F10" s="189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89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89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89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89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89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89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89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89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0.60123632849548947</v>
      </c>
      <c r="C19" s="191" t="s">
        <v>214</v>
      </c>
      <c r="D19" s="83" t="s">
        <v>160</v>
      </c>
      <c r="F19" s="189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19" t="s">
        <v>168</v>
      </c>
      <c r="B20" s="90">
        <v>0.15462263876846122</v>
      </c>
      <c r="C20" s="191" t="s">
        <v>216</v>
      </c>
      <c r="D20" s="83" t="s">
        <v>160</v>
      </c>
      <c r="F20" s="189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>
        <v>0.24414103273604923</v>
      </c>
      <c r="C21" s="191" t="s">
        <v>218</v>
      </c>
      <c r="D21" s="83" t="s">
        <v>160</v>
      </c>
      <c r="F21" s="189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89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89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89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89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89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89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89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0</v>
      </c>
      <c r="M28" s="79">
        <v>1</v>
      </c>
      <c r="N28" s="79">
        <v>0</v>
      </c>
      <c r="O28" s="79">
        <v>0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89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89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0</v>
      </c>
      <c r="L30" s="79">
        <v>0</v>
      </c>
      <c r="M30" s="79">
        <v>1</v>
      </c>
      <c r="N30" s="79">
        <v>0</v>
      </c>
      <c r="O30" s="79">
        <v>0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20"/>
      <c r="B31" s="129" t="s">
        <v>17</v>
      </c>
      <c r="C31" s="129" t="s">
        <v>1</v>
      </c>
      <c r="D31" s="129" t="s">
        <v>161</v>
      </c>
      <c r="E31" s="130" t="s">
        <v>163</v>
      </c>
      <c r="F31" s="189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192" t="s">
        <v>214</v>
      </c>
      <c r="B32" s="91">
        <v>43</v>
      </c>
      <c r="C32" s="91">
        <v>53.5</v>
      </c>
      <c r="D32" s="91">
        <v>2300.5</v>
      </c>
      <c r="E32" s="121">
        <v>0.60123632849548947</v>
      </c>
      <c r="F32" s="189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1</v>
      </c>
      <c r="N32" s="79">
        <v>0</v>
      </c>
      <c r="O32" s="79">
        <v>0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192" t="s">
        <v>216</v>
      </c>
      <c r="B33" s="91">
        <v>2.9581494300000002</v>
      </c>
      <c r="C33" s="91">
        <v>200</v>
      </c>
      <c r="D33" s="91">
        <v>591.62988600000006</v>
      </c>
      <c r="E33" s="121">
        <v>0.15462263876846122</v>
      </c>
      <c r="F33" s="189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1</v>
      </c>
      <c r="L33" s="79">
        <v>0</v>
      </c>
      <c r="M33" s="79">
        <v>1</v>
      </c>
      <c r="N33" s="79">
        <v>0</v>
      </c>
      <c r="O33" s="79">
        <v>1</v>
      </c>
      <c r="P33" s="70">
        <v>0</v>
      </c>
      <c r="Q33" s="79">
        <v>0</v>
      </c>
      <c r="R33" s="71">
        <v>1</v>
      </c>
      <c r="S33"/>
      <c r="T33"/>
    </row>
    <row r="34" spans="1:20" ht="15" customHeight="1" x14ac:dyDescent="0.15">
      <c r="A34" s="192" t="s">
        <v>218</v>
      </c>
      <c r="B34" s="91">
        <v>0.93415254400000003</v>
      </c>
      <c r="C34" s="91">
        <v>1000</v>
      </c>
      <c r="D34" s="91">
        <v>934.15254400000003</v>
      </c>
      <c r="E34" s="121">
        <v>0.24414103273604923</v>
      </c>
      <c r="F34" s="189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1</v>
      </c>
      <c r="M34" s="79">
        <v>0</v>
      </c>
      <c r="N34" s="79">
        <v>1</v>
      </c>
      <c r="O34" s="79">
        <v>0</v>
      </c>
      <c r="P34" s="70">
        <v>1</v>
      </c>
      <c r="Q34" s="79">
        <v>0</v>
      </c>
      <c r="R34" s="71">
        <v>1</v>
      </c>
      <c r="S34"/>
      <c r="T34"/>
    </row>
    <row r="35" spans="1:20" ht="15" customHeight="1" x14ac:dyDescent="0.15">
      <c r="A35" s="122"/>
      <c r="B35" s="91"/>
      <c r="C35" s="91"/>
      <c r="D35" s="91"/>
      <c r="E35" s="121"/>
      <c r="F35" s="189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1</v>
      </c>
      <c r="M35" s="79">
        <v>0</v>
      </c>
      <c r="N35" s="79">
        <v>1</v>
      </c>
      <c r="O35" s="79">
        <v>0</v>
      </c>
      <c r="P35" s="70">
        <v>1</v>
      </c>
      <c r="Q35" s="79">
        <v>0</v>
      </c>
      <c r="R35" s="71">
        <v>1</v>
      </c>
      <c r="S35"/>
      <c r="T35"/>
    </row>
    <row r="36" spans="1:20" ht="15" customHeight="1" x14ac:dyDescent="0.15">
      <c r="A36" s="123"/>
      <c r="B36" s="91"/>
      <c r="C36" s="91"/>
      <c r="D36" s="91"/>
      <c r="E36" s="121"/>
      <c r="F36" s="189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0</v>
      </c>
      <c r="O36" s="79">
        <v>0</v>
      </c>
      <c r="P36" s="70">
        <v>0</v>
      </c>
      <c r="Q36" s="79">
        <v>0</v>
      </c>
      <c r="R36" s="71">
        <v>1</v>
      </c>
      <c r="S36"/>
      <c r="T36"/>
    </row>
    <row r="37" spans="1:20" ht="15" customHeight="1" x14ac:dyDescent="0.15">
      <c r="A37" s="123"/>
      <c r="B37" s="91"/>
      <c r="C37" s="91"/>
      <c r="D37" s="91"/>
      <c r="E37" s="12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91"/>
      <c r="C38" s="91"/>
      <c r="D38" s="91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91"/>
      <c r="C39" s="91"/>
      <c r="D39" s="91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91"/>
      <c r="C40" s="91"/>
      <c r="D40" s="91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91"/>
      <c r="C41" s="91"/>
      <c r="D41" s="92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3826.2824300000002</v>
      </c>
      <c r="E42" s="128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5" customWidth="1"/>
    <col min="3" max="5" width="7.83203125" style="105" customWidth="1"/>
    <col min="6" max="8" width="8.83203125" style="6"/>
    <col min="9" max="9" width="4.5" style="6" customWidth="1"/>
    <col min="10" max="10" width="7.5" style="6" customWidth="1"/>
    <col min="11" max="11" width="6.5" style="6" customWidth="1"/>
    <col min="12" max="12" width="8.83203125" style="6" customWidth="1"/>
    <col min="13" max="13" width="8.5" style="6" customWidth="1"/>
    <col min="14" max="14" width="7.1640625" style="6" customWidth="1"/>
    <col min="15" max="15" width="5.6640625" style="6" customWidth="1"/>
    <col min="16" max="16" width="11.5" style="6" customWidth="1"/>
    <col min="17" max="17" width="8" style="6" customWidth="1"/>
    <col min="18" max="18" width="6.5" style="6" customWidth="1"/>
    <col min="19" max="19" width="5" style="6" customWidth="1"/>
    <col min="20" max="20" width="4.5" style="6" customWidth="1"/>
    <col min="21" max="22" width="10.33203125" style="6" customWidth="1"/>
    <col min="23" max="23" width="11.1640625" style="6" customWidth="1"/>
    <col min="24" max="24" width="9.5" style="6" customWidth="1"/>
    <col min="25" max="25" width="13" style="6" customWidth="1"/>
    <col min="26" max="26" width="13.5" style="6" customWidth="1"/>
    <col min="27" max="27" width="13.6640625" style="6" customWidth="1"/>
    <col min="28" max="28" width="10.5" style="6" customWidth="1"/>
    <col min="29" max="29" width="15" style="6" customWidth="1"/>
    <col min="30" max="30" width="13.6640625" style="6" customWidth="1"/>
    <col min="31" max="31" width="9" style="6" customWidth="1"/>
    <col min="32" max="32" width="8.6640625" style="6" customWidth="1"/>
    <col min="33" max="33" width="8.5" style="6" customWidth="1"/>
    <col min="34" max="34" width="8.1640625" style="6" customWidth="1"/>
    <col min="35" max="35" width="7.83203125" style="6" customWidth="1"/>
    <col min="36" max="36" width="7.5" style="6" customWidth="1"/>
    <col min="37" max="37" width="7.6640625" style="6" customWidth="1"/>
    <col min="38" max="38" width="21.6640625" style="6" customWidth="1"/>
    <col min="39" max="39" width="6.5" customWidth="1"/>
    <col min="81" max="81" width="22.1640625" bestFit="1" customWidth="1"/>
  </cols>
  <sheetData>
    <row r="1" spans="1:39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4" t="s">
        <v>192</v>
      </c>
      <c r="J1" s="194" t="s">
        <v>193</v>
      </c>
      <c r="K1" s="194" t="s">
        <v>194</v>
      </c>
      <c r="L1" s="194" t="s">
        <v>195</v>
      </c>
      <c r="M1" s="194" t="s">
        <v>196</v>
      </c>
      <c r="N1" s="194" t="s">
        <v>197</v>
      </c>
      <c r="O1" s="194" t="s">
        <v>198</v>
      </c>
      <c r="P1" s="194" t="s">
        <v>199</v>
      </c>
      <c r="Q1" s="194" t="s">
        <v>200</v>
      </c>
      <c r="R1" s="194" t="s">
        <v>201</v>
      </c>
      <c r="S1" s="194" t="s">
        <v>202</v>
      </c>
      <c r="T1" s="194" t="s">
        <v>203</v>
      </c>
      <c r="U1" s="194" t="s">
        <v>204</v>
      </c>
      <c r="V1" s="194" t="s">
        <v>205</v>
      </c>
      <c r="W1" s="194" t="s">
        <v>206</v>
      </c>
      <c r="X1" s="194" t="s">
        <v>207</v>
      </c>
      <c r="Y1" s="194" t="s">
        <v>208</v>
      </c>
      <c r="Z1" s="194" t="s">
        <v>209</v>
      </c>
      <c r="AA1" s="194" t="s">
        <v>210</v>
      </c>
      <c r="AB1" s="194" t="s">
        <v>211</v>
      </c>
      <c r="AC1" s="194" t="s">
        <v>212</v>
      </c>
      <c r="AD1" s="194" t="s">
        <v>213</v>
      </c>
      <c r="AE1" s="194" t="s">
        <v>214</v>
      </c>
      <c r="AF1" s="194" t="s">
        <v>215</v>
      </c>
      <c r="AG1" s="194" t="s">
        <v>216</v>
      </c>
      <c r="AH1" s="194" t="s">
        <v>217</v>
      </c>
      <c r="AI1" s="194" t="s">
        <v>218</v>
      </c>
      <c r="AJ1" s="194" t="s">
        <v>219</v>
      </c>
      <c r="AK1" s="194" t="s">
        <v>220</v>
      </c>
      <c r="AL1" s="194" t="s">
        <v>221</v>
      </c>
      <c r="AM1" s="194" t="s">
        <v>222</v>
      </c>
    </row>
    <row r="2" spans="1:39" x14ac:dyDescent="0.15">
      <c r="A2" t="s">
        <v>38</v>
      </c>
      <c r="B2" s="10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" x14ac:dyDescent="0.15">
      <c r="A3" t="s">
        <v>40</v>
      </c>
      <c r="B3" s="10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" x14ac:dyDescent="0.15">
      <c r="A4" t="s">
        <v>41</v>
      </c>
      <c r="B4" s="10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" x14ac:dyDescent="0.15">
      <c r="A5" s="193" t="s">
        <v>192</v>
      </c>
      <c r="B5" s="10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" x14ac:dyDescent="0.15">
      <c r="A6" s="193" t="s">
        <v>193</v>
      </c>
      <c r="B6" s="10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" x14ac:dyDescent="0.15">
      <c r="A7" s="193" t="s">
        <v>194</v>
      </c>
      <c r="B7" s="10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9" x14ac:dyDescent="0.15">
      <c r="A8" s="193" t="s">
        <v>195</v>
      </c>
      <c r="B8" s="10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9" x14ac:dyDescent="0.15">
      <c r="A9" s="193" t="s">
        <v>196</v>
      </c>
      <c r="B9" s="10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9" x14ac:dyDescent="0.15">
      <c r="A10" s="193" t="s">
        <v>197</v>
      </c>
      <c r="B10" s="10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9" x14ac:dyDescent="0.15">
      <c r="A11" s="193" t="s">
        <v>198</v>
      </c>
      <c r="B11" s="10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9" x14ac:dyDescent="0.15">
      <c r="A12" s="193" t="s">
        <v>199</v>
      </c>
      <c r="B12" s="10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9" x14ac:dyDescent="0.15">
      <c r="A13" s="193" t="s">
        <v>200</v>
      </c>
      <c r="B13" s="10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9" x14ac:dyDescent="0.15">
      <c r="A14" s="193" t="s">
        <v>201</v>
      </c>
      <c r="B14" s="10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9" x14ac:dyDescent="0.15">
      <c r="A15" s="193" t="s">
        <v>202</v>
      </c>
      <c r="B15" s="10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9" x14ac:dyDescent="0.15">
      <c r="A16" s="193" t="s">
        <v>203</v>
      </c>
      <c r="B16" s="10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3" t="s">
        <v>204</v>
      </c>
      <c r="B17" s="10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3" t="s">
        <v>205</v>
      </c>
      <c r="B18" s="10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3" t="s">
        <v>206</v>
      </c>
      <c r="B19" s="10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3" t="s">
        <v>207</v>
      </c>
      <c r="B20" s="10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3" t="s">
        <v>208</v>
      </c>
      <c r="B21" s="10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3" t="s">
        <v>209</v>
      </c>
      <c r="B22" s="10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3" t="s">
        <v>210</v>
      </c>
      <c r="B23" s="10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3" t="s">
        <v>211</v>
      </c>
      <c r="B24" s="10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3" t="s">
        <v>212</v>
      </c>
      <c r="B25" s="10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3" t="s">
        <v>213</v>
      </c>
      <c r="B26" s="10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3" t="s">
        <v>214</v>
      </c>
      <c r="B27" s="10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3" t="s">
        <v>215</v>
      </c>
      <c r="B28" s="10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3" t="s">
        <v>216</v>
      </c>
      <c r="B29" s="10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3" t="s">
        <v>217</v>
      </c>
      <c r="B30" s="10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3" t="s">
        <v>218</v>
      </c>
      <c r="B31" s="10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3" t="s">
        <v>219</v>
      </c>
      <c r="B32" s="10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3" t="s">
        <v>220</v>
      </c>
      <c r="B33" s="10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3" t="s">
        <v>221</v>
      </c>
      <c r="B34" s="10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3" t="s">
        <v>222</v>
      </c>
      <c r="B35" s="10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2023-08-14T21:53:44Z</dcterms:modified>
</cp:coreProperties>
</file>