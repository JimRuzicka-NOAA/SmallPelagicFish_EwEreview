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Atlantic/Atlantic_ECOTRAN_K-path_versions/"/>
    </mc:Choice>
  </mc:AlternateContent>
  <xr:revisionPtr revIDLastSave="0" documentId="13_ncr:1_{186914C0-56F3-3647-B090-14DC9061B11B}" xr6:coauthVersionLast="45" xr6:coauthVersionMax="45" xr10:uidLastSave="{00000000-0000-0000-0000-000000000000}"/>
  <bookViews>
    <workbookView xWindow="0" yWindow="460" windowWidth="25600" windowHeight="14240" tabRatio="728" firstSheet="1" activeTab="3"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Main!$C$2:$N$56</definedName>
    <definedName name="matDetritus">Detritus!$C$2:$F$56</definedName>
    <definedName name="matDiet">Diets!$B$2:$AP$46</definedName>
    <definedName name="matDiscards">Discards!$C$2:$M$45</definedName>
    <definedName name="matFishery">Fishing!$C$2:$M$45</definedName>
    <definedName name="matFishing">Fishing!#REF!</definedName>
    <definedName name="matMort">Mortalities!$A$1:$BF$45</definedName>
    <definedName name="matOut">MainOutputs!$A$2:$I$56</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<sst xmlns="http://schemas.openxmlformats.org/spreadsheetml/2006/main" count="1363" uniqueCount="254">
  <si>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</si>
  <si>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</si>
  <si>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</si>
  <si>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</si>
  <si>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</si>
  <si>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</si>
  <si>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</si>
  <si>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</si>
  <si>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</si>
  <si>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</si>
  <si>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</si>
  <si>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</si>
  <si>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</si>
  <si>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</si>
  <si>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</si>
  <si>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</si>
  <si>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</si>
  <si>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</si>
  <si>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</si>
  <si>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</si>
  <si>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</si>
  <si>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</si>
  <si>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</si>
  <si>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</si>
  <si>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</si>
  <si>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</si>
  <si>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</si>
  <si>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</si>
  <si>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</si>
  <si>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</si>
  <si>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</si>
  <si>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</si>
  <si>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</si>
  <si>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</si>
  <si>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</si>
  <si>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</si>
  <si>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</si>
  <si>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</si>
  <si>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</si>
  <si>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</si>
  <si>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</si>
  <si>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</si>
  <si>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</si>
  <si>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</si>
  <si>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</si>
  <si>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</si>
  <si>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</si>
  <si>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</si>
  <si>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</si>
  <si>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</si>
  <si>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</si>
  <si>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</si>
  <si>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</si>
  <si>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</si>
  <si>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</si>
  <si>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</si>
  <si>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</si>
  <si>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</si>
  <si>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</si>
  <si>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</si>
  <si>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</si>
  <si>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</si>
  <si>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</si>
  <si>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</si>
  <si>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</si>
  <si>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</si>
  <si>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</si>
  <si>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</si>
  <si>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</si>
  <si>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</si>
  <si>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</si>
  <si>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</si>
  <si>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</si>
  <si>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</si>
  <si>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</si>
  <si>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</si>
  <si>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</si>
  <si>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</si>
  <si>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</si>
  <si>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</si>
  <si>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</si>
  <si>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</si>
  <si>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</si>
  <si>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</si>
  <si>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</si>
  <si>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</si>
  <si>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</si>
  <si>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</si>
  <si>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</si>
  <si>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</si>
  <si>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</si>
  <si>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</si>
  <si>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</si>
  <si>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</si>
  <si>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</si>
  <si>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</si>
  <si>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</si>
  <si>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</si>
  <si>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</si>
  <si>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</si>
  <si>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</si>
  <si>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</si>
  <si>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</si>
  <si>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</si>
  <si>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</si>
  <si>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</si>
  <si>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</si>
  <si>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</si>
  <si>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</si>
  <si>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</si>
  <si>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</si>
  <si>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</si>
  <si>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</si>
  <si>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</si>
  <si>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</si>
  <si>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</si>
  <si>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</si>
  <si>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</si>
  <si>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</si>
  <si>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</si>
  <si>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</si>
  <si>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</si>
  <si>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</si>
  <si>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</si>
  <si>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</si>
  <si>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</si>
  <si>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</si>
  <si>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</si>
  <si>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</si>
  <si>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</si>
  <si>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</si>
  <si>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</si>
  <si>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</si>
  <si>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</si>
  <si>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</si>
  <si>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</si>
  <si>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</si>
  <si>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</si>
  <si>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</si>
  <si>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</si>
  <si>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</si>
  <si>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</si>
  <si>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</si>
  <si>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</si>
  <si>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</si>
  <si>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</si>
  <si>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</si>
  <si>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</si>
  <si>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</si>
  <si>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</si>
  <si>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</si>
  <si>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</si>
  <si>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</si>
  <si>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</si>
  <si>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</si>
  <si>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</si>
  <si>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</si>
  <si>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</si>
  <si>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</si>
  <si>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</si>
  <si>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</si>
  <si>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</si>
  <si>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</si>
  <si>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</si>
  <si>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</si>
  <si>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</si>
  <si>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</si>
  <si>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</si>
  <si>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</si>
  <si>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</si>
  <si>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</si>
  <si>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</si>
  <si>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</si>
  <si>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</si>
  <si>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</si>
  <si>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</si>
  <si>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</si>
  <si>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</si>
  <si>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</si>
  <si>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</si>
  <si>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</si>
  <si>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</si>
  <si>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</si>
  <si>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</si>
  <si>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</si>
  <si>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Bay of Biscay</t>
  </si>
  <si>
    <t>France</t>
  </si>
  <si>
    <t>BOX(-7.82110734948644 43.2268812876394,-0.415762433859602 48.1458255467467)</t>
  </si>
  <si>
    <t>continental shelf</t>
  </si>
  <si>
    <t>WetWeight</t>
  </si>
  <si>
    <t>Model built updating and improving the Celtic_Biscay 1980 and 2012 models, innitially developped by Guénette and Gascuel (2009) and by Bentorcha et al. (2017). From the present model, anotherone was developped for 1980 (nammed "Bay of Biscay 1980 by Moullec et al"), and Ecosim was fitted on 1980-2013 time series
Final version, September 2015</t>
  </si>
  <si>
    <t>Moullec F., Gascuel D., Bentorcha K., et al., 2017, Journal of Marine systems, 172: 104–117.</t>
  </si>
  <si>
    <t>https://doi.org/10.1016/j.jmarsys.2017.03.008</t>
  </si>
  <si>
    <t>Plunge and pursuit divers seabirds</t>
  </si>
  <si>
    <t>Surface feeders seabirds</t>
  </si>
  <si>
    <t>Baleen whales</t>
  </si>
  <si>
    <t>Toothed whales</t>
  </si>
  <si>
    <t>Sharks L</t>
  </si>
  <si>
    <t>Sharks/rays</t>
  </si>
  <si>
    <t>Anglerfish</t>
  </si>
  <si>
    <t>Sea bass</t>
  </si>
  <si>
    <t>Blue whitting</t>
  </si>
  <si>
    <t>Hake adulte</t>
  </si>
  <si>
    <t>Hake juv</t>
  </si>
  <si>
    <t>Whitting</t>
  </si>
  <si>
    <t>Megrim</t>
  </si>
  <si>
    <t>Sole</t>
  </si>
  <si>
    <t>Plaice</t>
  </si>
  <si>
    <t>Demersal L</t>
  </si>
  <si>
    <t>Demersal M</t>
  </si>
  <si>
    <t>Demersal S</t>
  </si>
  <si>
    <t>Horse mackerel</t>
  </si>
  <si>
    <t>Mackerel</t>
  </si>
  <si>
    <t>Anchovy</t>
  </si>
  <si>
    <t>Sardine</t>
  </si>
  <si>
    <t>Pouts</t>
  </si>
  <si>
    <t>Pelagic L</t>
  </si>
  <si>
    <t>Pelagic M</t>
  </si>
  <si>
    <t>Cephalopods</t>
  </si>
  <si>
    <t>Norway lobster</t>
  </si>
  <si>
    <t>Lobsters/Crabs</t>
  </si>
  <si>
    <t>Shrimps</t>
  </si>
  <si>
    <t>Carnivorous and necrophagous benthic invertebrates</t>
  </si>
  <si>
    <t>Subsurface deposit feeders invertebrates</t>
  </si>
  <si>
    <t>Surface suspension and deposit feeders</t>
  </si>
  <si>
    <t>Benthic meiofauna</t>
  </si>
  <si>
    <t>Suprabenthic invertebrates</t>
  </si>
  <si>
    <t>Macrozooplankton</t>
  </si>
  <si>
    <t>Mesozooplankton</t>
  </si>
  <si>
    <t>Microzooplankton</t>
  </si>
  <si>
    <t>Bacteria</t>
  </si>
  <si>
    <t>Phytoplankton L</t>
  </si>
  <si>
    <t>Phytoplankton S</t>
  </si>
  <si>
    <t xml:space="preserve">Benthic producers </t>
  </si>
  <si>
    <t>Discards</t>
  </si>
  <si>
    <t>Detritus</t>
  </si>
  <si>
    <t>detritus_TerminalBenthic</t>
  </si>
  <si>
    <t>Hake</t>
  </si>
  <si>
    <t>Mixte</t>
  </si>
  <si>
    <t>Import</t>
  </si>
  <si>
    <t>export</t>
  </si>
  <si>
    <t>sum</t>
  </si>
  <si>
    <t>TOTAL</t>
  </si>
  <si>
    <t>F Blue whitting</t>
  </si>
  <si>
    <t>F Hake</t>
  </si>
  <si>
    <t>F Hake juv</t>
  </si>
  <si>
    <t>F Horse mackerel</t>
  </si>
  <si>
    <t>F Mackerel</t>
  </si>
  <si>
    <t>F Anchovy</t>
  </si>
  <si>
    <t>F Sardine</t>
  </si>
  <si>
    <t>F Sole</t>
  </si>
  <si>
    <t>F Megrim</t>
  </si>
  <si>
    <t>F Norway lobster</t>
  </si>
  <si>
    <t>F Mixte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</si>
</sst>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86">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2F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28FF00"/>
        <bgColor indexed="64"/>
      </patternFill>
    </fill>
    <fill>
      <patternFill patternType="solid">
        <fgColor rgb="FF21FF00"/>
        <bgColor indexed="64"/>
      </patternFill>
    </fill>
    <fill>
      <patternFill patternType="solid">
        <fgColor rgb="FF48FF00"/>
        <bgColor indexed="64"/>
      </patternFill>
    </fill>
    <fill>
      <patternFill patternType="solid">
        <fgColor rgb="FF71FF00"/>
        <bgColor indexed="64"/>
      </patternFill>
    </fill>
    <fill>
      <patternFill patternType="solid">
        <fgColor rgb="FF3FFF00"/>
        <bgColor indexed="64"/>
      </patternFill>
    </fill>
    <fill>
      <patternFill patternType="solid">
        <fgColor rgb="FF94FF00"/>
        <bgColor indexed="64"/>
      </patternFill>
    </fill>
    <fill>
      <patternFill patternType="solid">
        <fgColor rgb="FF50FF00"/>
        <bgColor indexed="64"/>
      </patternFill>
    </fill>
    <fill>
      <patternFill patternType="solid">
        <fgColor rgb="FF22FF00"/>
        <bgColor indexed="64"/>
      </patternFill>
    </fill>
    <fill>
      <patternFill patternType="solid">
        <fgColor rgb="FF58FF00"/>
        <bgColor indexed="64"/>
      </patternFill>
    </fill>
    <fill>
      <patternFill patternType="solid">
        <fgColor rgb="FF3DFF00"/>
        <bgColor indexed="64"/>
      </patternFill>
    </fill>
    <fill>
      <patternFill patternType="solid">
        <fgColor rgb="FF6EFF00"/>
        <bgColor indexed="64"/>
      </patternFill>
    </fill>
    <fill>
      <patternFill patternType="solid">
        <fgColor rgb="FFFFB600"/>
        <bgColor indexed="64"/>
      </patternFill>
    </fill>
    <fill>
      <patternFill patternType="solid">
        <fgColor rgb="FFC1FF00"/>
        <bgColor indexed="64"/>
      </patternFill>
    </fill>
    <fill>
      <patternFill patternType="solid">
        <fgColor rgb="FF33FF00"/>
        <bgColor indexed="64"/>
      </patternFill>
    </fill>
    <fill>
      <patternFill patternType="solid">
        <fgColor rgb="FF0FFF00"/>
        <bgColor indexed="64"/>
      </patternFill>
    </fill>
    <fill>
      <patternFill patternType="solid">
        <fgColor rgb="FF1FFF00"/>
        <bgColor indexed="64"/>
      </patternFill>
    </fill>
    <fill>
      <patternFill patternType="solid">
        <fgColor rgb="FF82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1531AD"/>
        <bgColor indexed="64"/>
      </patternFill>
    </fill>
    <fill>
      <patternFill patternType="solid">
        <fgColor rgb="FF745B26"/>
        <bgColor indexed="64"/>
      </patternFill>
    </fill>
    <fill>
      <patternFill patternType="solid">
        <fgColor rgb="FFB4ED87"/>
        <bgColor indexed="64"/>
      </patternFill>
    </fill>
    <fill>
      <patternFill patternType="solid">
        <fgColor rgb="FF17C166"/>
        <bgColor indexed="64"/>
      </patternFill>
    </fill>
    <fill>
      <patternFill patternType="solid">
        <fgColor rgb="FF767E35"/>
        <bgColor indexed="64"/>
      </patternFill>
    </fill>
    <fill>
      <patternFill patternType="solid">
        <fgColor rgb="FF541896"/>
        <bgColor indexed="64"/>
      </patternFill>
    </fill>
    <fill>
      <patternFill patternType="solid">
        <fgColor rgb="FF2BED19"/>
        <bgColor indexed="64"/>
      </patternFill>
    </fill>
    <fill>
      <patternFill patternType="solid">
        <fgColor rgb="FF7146DE"/>
        <bgColor indexed="64"/>
      </patternFill>
    </fill>
    <fill>
      <patternFill patternType="solid">
        <fgColor rgb="FFBF46AC"/>
        <bgColor indexed="64"/>
      </patternFill>
    </fill>
    <fill>
      <patternFill patternType="solid">
        <fgColor rgb="FF411708"/>
        <bgColor indexed="64"/>
      </patternFill>
    </fill>
    <fill>
      <patternFill patternType="solid">
        <fgColor rgb="FF52C94C"/>
        <bgColor indexed="64"/>
      </patternFill>
    </fill>
    <fill>
      <patternFill patternType="solid">
        <fgColor rgb="FF3C7B41"/>
        <bgColor indexed="64"/>
      </patternFill>
    </fill>
    <fill>
      <patternFill patternType="solid">
        <fgColor rgb="FF51FF00"/>
        <bgColor indexed="64"/>
      </patternFill>
    </fill>
    <fill>
      <patternFill patternType="solid">
        <fgColor rgb="FFEFFF00"/>
        <bgColor indexed="64"/>
      </patternFill>
    </fill>
    <fill>
      <patternFill patternType="solid">
        <fgColor rgb="FF4CFF00"/>
        <bgColor indexed="64"/>
      </patternFill>
    </fill>
    <fill>
      <patternFill patternType="solid">
        <fgColor rgb="FFB2FF00"/>
        <bgColor indexed="64"/>
      </patternFill>
    </fill>
    <fill>
      <patternFill patternType="solid">
        <fgColor rgb="FF4AFF00"/>
        <bgColor indexed="64"/>
      </patternFill>
    </fill>
    <fill>
      <patternFill patternType="solid">
        <fgColor rgb="FF32FF00"/>
        <bgColor indexed="64"/>
      </patternFill>
    </fill>
    <fill>
      <patternFill patternType="solid">
        <fgColor rgb="FFDBFF00"/>
        <bgColor indexed="64"/>
      </patternFill>
    </fill>
    <fill>
      <patternFill patternType="solid">
        <fgColor rgb="FFFFB100"/>
        <bgColor indexed="64"/>
      </patternFill>
    </fill>
    <fill>
      <patternFill patternType="solid">
        <fgColor rgb="FFC7FF00"/>
        <bgColor indexed="64"/>
      </patternFill>
    </fill>
    <fill>
      <patternFill patternType="solid">
        <fgColor rgb="FFFFFF00"/>
        <bgColor indexed="64"/>
      </patternFill>
    </fill>
    <fill>
      <patternFill patternType="solid">
        <fgColor rgb="FFFFF500"/>
        <bgColor indexed="64"/>
      </patternFill>
    </fill>
    <fill>
      <patternFill patternType="solid">
        <fgColor rgb="FFFFB800"/>
        <bgColor indexed="64"/>
      </patternFill>
    </fill>
    <fill>
      <patternFill patternType="solid">
        <fgColor rgb="FFFF3300"/>
        <bgColor indexed="64"/>
      </patternFill>
    </fill>
    <fill>
      <patternFill patternType="solid">
        <fgColor rgb="FFCCFF00"/>
        <bgColor indexed="64"/>
      </patternFill>
    </fill>
    <fill>
      <patternFill patternType="solid">
        <fgColor rgb="FFFFEC00"/>
        <bgColor indexed="64"/>
      </patternFill>
    </fill>
    <fill>
      <patternFill patternType="solid">
        <fgColor rgb="FF38FF00"/>
        <bgColor indexed="64"/>
      </patternFill>
    </fill>
    <fill>
      <patternFill patternType="solid">
        <fgColor rgb="FF14FF00"/>
        <bgColor indexed="64"/>
      </patternFill>
    </fill>
    <fill>
      <patternFill patternType="solid">
        <fgColor rgb="FF90FF00"/>
        <bgColor indexed="64"/>
      </patternFill>
    </fill>
    <fill>
      <patternFill patternType="solid">
        <fgColor rgb="FF3CFF00"/>
        <bgColor indexed="64"/>
      </patternFill>
    </fill>
    <fill>
      <patternFill patternType="solid">
        <fgColor rgb="FF0CFF00"/>
        <bgColor indexed="64"/>
      </patternFill>
    </fill>
    <fill>
      <patternFill patternType="solid">
        <fgColor rgb="FF37FF00"/>
        <bgColor indexed="64"/>
      </patternFill>
    </fill>
    <fill>
      <patternFill patternType="solid">
        <fgColor rgb="FF19FF00"/>
        <bgColor indexed="64"/>
      </patternFill>
    </fill>
    <fill>
      <patternFill patternType="solid">
        <fgColor rgb="FF62FF00"/>
        <bgColor indexed="64"/>
      </patternFill>
    </fill>
    <fill>
      <patternFill patternType="solid">
        <fgColor rgb="FF2AFF00"/>
        <bgColor indexed="64"/>
      </patternFill>
    </fill>
    <fill>
      <patternFill patternType="solid">
        <fgColor rgb="FF49FF00"/>
        <bgColor indexed="64"/>
      </patternFill>
    </fill>
    <fill>
      <patternFill patternType="solid">
        <fgColor rgb="FF36FF00"/>
        <bgColor indexed="64"/>
      </patternFill>
    </fill>
    <fill>
      <patternFill patternType="solid">
        <fgColor rgb="FF35FF00"/>
        <bgColor indexed="64"/>
      </patternFill>
    </fill>
    <fill>
      <patternFill patternType="solid">
        <fgColor rgb="FF4DFF00"/>
        <bgColor indexed="64"/>
      </patternFill>
    </fill>
    <fill>
      <patternFill patternType="solid">
        <fgColor rgb="FF64FF00"/>
        <bgColor indexed="64"/>
      </patternFill>
    </fill>
    <fill>
      <patternFill patternType="solid">
        <fgColor rgb="FF8DFF00"/>
        <bgColor indexed="64"/>
      </patternFill>
    </fill>
    <fill>
      <patternFill patternType="solid">
        <fgColor rgb="FF26FF00"/>
        <bgColor indexed="64"/>
      </patternFill>
    </fill>
    <fill>
      <patternFill patternType="solid">
        <fgColor rgb="FF11FF00"/>
        <bgColor indexed="64"/>
      </patternFill>
    </fill>
    <fill>
      <patternFill patternType="solid">
        <fgColor rgb="FFFF7400"/>
        <bgColor indexed="64"/>
      </patternFill>
    </fill>
    <fill>
      <patternFill patternType="solid">
        <fgColor rgb="FFFDFF00"/>
        <bgColor indexed="64"/>
      </patternFill>
    </fill>
    <fill>
      <patternFill patternType="solid">
        <fgColor rgb="FF3AFF00"/>
        <bgColor indexed="64"/>
      </patternFill>
    </fill>
    <fill>
      <patternFill patternType="solid">
        <fgColor rgb="FF6BFF00"/>
        <bgColor indexed="64"/>
      </patternFill>
    </fill>
    <fill>
      <patternFill patternType="solid">
        <fgColor rgb="FF3BFF00"/>
        <bgColor indexed="64"/>
      </patternFill>
    </fill>
    <fill>
      <patternFill patternType="solid">
        <fgColor rgb="FF23FF00"/>
        <bgColor indexed="64"/>
      </patternFill>
    </fill>
    <fill>
      <patternFill patternType="solid">
        <fgColor rgb="FF17FF00"/>
        <bgColor indexed="64"/>
      </patternFill>
    </fill>
    <fill>
      <patternFill patternType="solid">
        <fgColor rgb="FFA8FF00"/>
        <bgColor indexed="64"/>
      </patternFill>
    </fill>
    <fill>
      <patternFill patternType="solid">
        <fgColor rgb="FF4BFF00"/>
        <bgColor indexed="64"/>
      </patternFill>
    </fill>
    <fill>
      <patternFill patternType="solid">
        <fgColor rgb="FF39FF00"/>
        <bgColor indexed="64"/>
      </patternFill>
    </fill>
    <fill>
      <patternFill patternType="solid">
        <fgColor rgb="FF25FF00"/>
        <bgColor indexed="64"/>
      </patternFill>
    </fill>
    <fill>
      <patternFill patternType="solid">
        <fgColor rgb="FF7EFF00"/>
        <bgColor indexed="64"/>
      </patternFill>
    </fill>
    <fill>
      <patternFill patternType="solid">
        <fgColor rgb="FF2BFF00"/>
        <bgColor indexed="64"/>
      </patternFill>
    </fill>
    <fill>
      <patternFill patternType="solid">
        <fgColor rgb="FF41FF00"/>
        <bgColor indexed="64"/>
      </patternFill>
    </fill>
    <fill>
      <patternFill patternType="solid">
        <fgColor rgb="FF43FF00"/>
        <bgColor indexed="64"/>
      </patternFill>
    </fill>
    <fill>
      <patternFill patternType="solid">
        <fgColor rgb="FF47FF00"/>
        <bgColor indexed="64"/>
      </patternFill>
    </fill>
    <fill>
      <patternFill patternType="solid">
        <fgColor rgb="FFC2FF00"/>
        <bgColor indexed="64"/>
      </patternFill>
    </fill>
    <fill>
      <patternFill patternType="solid">
        <fgColor rgb="FF4EFF00"/>
        <bgColor indexed="64"/>
      </patternFill>
    </fill>
    <fill>
      <patternFill patternType="solid">
        <fgColor rgb="FF59FF00"/>
        <bgColor indexed="64"/>
      </patternFill>
    </fill>
    <fill>
      <patternFill patternType="solid">
        <fgColor rgb="FF5FFF00"/>
        <bgColor indexed="64"/>
      </patternFill>
    </fill>
    <fill>
      <patternFill patternType="solid">
        <fgColor rgb="FF9EFF00"/>
        <bgColor indexed="64"/>
      </patternFill>
    </fill>
    <fill>
      <patternFill patternType="solid">
        <fgColor rgb="FF7FFF00"/>
        <bgColor indexed="64"/>
      </patternFill>
    </fill>
    <fill>
      <patternFill patternType="solid">
        <fgColor rgb="FF66FF00"/>
        <bgColor indexed="64"/>
      </patternFill>
    </fill>
    <fill>
      <patternFill patternType="solid">
        <fgColor rgb="FF78FF00"/>
        <bgColor indexed="64"/>
      </patternFill>
    </fill>
    <fill>
      <patternFill patternType="solid">
        <fgColor rgb="FF9DFF00"/>
        <bgColor indexed="64"/>
      </patternFill>
    </fill>
    <fill>
      <patternFill patternType="solid">
        <fgColor rgb="FF29FF00"/>
        <bgColor indexed="64"/>
      </patternFill>
    </fill>
    <fill>
      <patternFill patternType="solid">
        <fgColor rgb="FF2EFF00"/>
        <bgColor indexed="64"/>
      </patternFill>
    </fill>
    <fill>
      <patternFill patternType="solid">
        <fgColor rgb="FF3EFF00"/>
        <bgColor indexed="64"/>
      </patternFill>
    </fill>
    <fill>
      <patternFill patternType="solid">
        <fgColor rgb="FF67FF00"/>
        <bgColor indexed="64"/>
      </patternFill>
    </fill>
    <fill>
      <patternFill patternType="solid">
        <fgColor rgb="FF61FF00"/>
        <bgColor indexed="64"/>
      </patternFill>
    </fill>
    <fill>
      <patternFill patternType="solid">
        <fgColor rgb="FFFF9400"/>
        <bgColor indexed="64"/>
      </patternFill>
    </fill>
    <fill>
      <patternFill patternType="solid">
        <fgColor rgb="FF89FF00"/>
        <bgColor indexed="64"/>
      </patternFill>
    </fill>
    <fill>
      <patternFill patternType="solid">
        <fgColor rgb="FF88FF00"/>
        <bgColor indexed="64"/>
      </patternFill>
    </fill>
    <fill>
      <patternFill patternType="solid">
        <fgColor rgb="FF91FF00"/>
        <bgColor indexed="64"/>
      </patternFill>
    </fill>
    <fill>
      <patternFill patternType="solid">
        <fgColor rgb="FF70FF00"/>
        <bgColor indexed="64"/>
      </patternFill>
    </fill>
    <fill>
      <patternFill patternType="solid">
        <fgColor rgb="FF6FFF00"/>
        <bgColor indexed="64"/>
      </patternFill>
    </fill>
    <fill>
      <patternFill patternType="solid">
        <fgColor rgb="FF1DFF00"/>
        <bgColor indexed="64"/>
      </patternFill>
    </fill>
    <fill>
      <patternFill patternType="solid">
        <fgColor rgb="FF73FF00"/>
        <bgColor indexed="64"/>
      </patternFill>
    </fill>
    <fill>
      <patternFill patternType="solid">
        <fgColor rgb="FFEAFF00"/>
        <bgColor indexed="64"/>
      </patternFill>
    </fill>
    <fill>
      <patternFill patternType="solid">
        <fgColor rgb="FF44FF00"/>
        <bgColor indexed="64"/>
      </patternFill>
    </fill>
    <fill>
      <patternFill patternType="solid">
        <fgColor rgb="FFFFC000"/>
        <bgColor indexed="64"/>
      </patternFill>
    </fill>
    <fill>
      <patternFill patternType="solid">
        <fgColor rgb="FFFFD900"/>
        <bgColor indexed="64"/>
      </patternFill>
    </fill>
    <fill>
      <patternFill patternType="solid">
        <fgColor rgb="FFF8FF0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307">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1" fillId="0" borderId="0" xfId="0" applyFont="1" applyAlignment="1">
      <alignment horizontal="center"/>
    </xf>
    <xf numFmtId="0" fontId="0" fillId="37" borderId="0" xfId="0" applyFill="1"/>
    <xf numFmtId="0" fontId="0" fillId="0" borderId="0" xfId="0" applyFont="1" applyFill="1"/>
    <xf numFmtId="0" fontId="0" fillId="0" borderId="0" xfId="0" applyFont="1" applyAlignment="1">
      <alignment horizontal="center"/>
    </xf>
    <xf numFmtId="0" fontId="0" fillId="39" borderId="0" xfId="0" applyFill="1"/>
    <xf numFmtId="0" fontId="0" fillId="0" borderId="0" xfId="0" applyFont="1" applyFill="1" applyAlignment="1">
      <alignment horizontal="center"/>
    </xf>
    <xf numFmtId="0" fontId="0" fillId="40" borderId="0" xfId="0" applyFill="1"/>
    <xf numFmtId="0" fontId="0" fillId="41" borderId="0" xfId="0" applyFill="1"/>
    <xf numFmtId="0" fontId="0" fillId="42"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8"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8" borderId="3" xfId="0" applyNumberFormat="1" applyFont="1" applyFill="1" applyBorder="1"/>
    <xf numFmtId="0" fontId="0" fillId="38" borderId="2" xfId="0" applyFont="1" applyFill="1" applyBorder="1"/>
    <xf numFmtId="0" fontId="0" fillId="38" borderId="3" xfId="0" applyFont="1" applyFill="1" applyBorder="1"/>
    <xf numFmtId="0" fontId="0" fillId="38"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30" borderId="0" xfId="0" applyFont="1" applyFill="1" applyAlignment="1">
      <alignment horizontal="center"/>
    </xf>
    <xf numFmtId="0" fontId="12" fillId="28" borderId="0" xfId="0" applyFont="1" applyFill="1" applyAlignment="1">
      <alignment horizontal="center"/>
    </xf>
    <xf numFmtId="0" fontId="12" fillId="29"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7" xfId="0" applyFont="1" applyBorder="1"/>
    <xf numFmtId="0" fontId="0" fillId="0" borderId="19" xfId="0" applyFont="1"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1" fillId="2" borderId="0" xfId="0" applyNumberFormat="1" applyFont="1" applyFill="1"/>
    <xf numFmtId="0" fontId="0" fillId="0" borderId="0" xfId="0" applyNumberFormat="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268.1640625" customWidth="1"/>
  </cols>
  <sheetData>
    <row r="2" spans="2:4" x14ac:dyDescent="0.15">
      <c r="B2" t="s">
        <v>145</v>
      </c>
    </row>
    <row r="3" spans="2:4" x14ac:dyDescent="0.15">
      <c r="B3" t="s">
        <v>146</v>
      </c>
    </row>
    <row r="4" spans="2:4" x14ac:dyDescent="0.15">
      <c r="B4" s="62" t="s">
        <v>164</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165</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4" x14ac:dyDescent="0.15">
      <c r="B49" s="49" t="s">
        <v>44</v>
      </c>
      <c r="C49" s="33">
        <v>5</v>
      </c>
    </row>
    <row r="50" spans="2:4" x14ac:dyDescent="0.15">
      <c r="B50" s="49"/>
      <c r="C50" s="33"/>
    </row>
    <row r="51" spans="2:4" ht="14" thickBot="1" x14ac:dyDescent="0.2">
      <c r="B51" s="50" t="s">
        <v>73</v>
      </c>
      <c r="C51" s="34">
        <v>7</v>
      </c>
    </row>
    <row r="53" spans="2:4" x14ac:dyDescent="0.15">
      <c r="B53" s="180" t="s">
        <v>171</v>
      </c>
      <c r="C53" s="112">
        <v>737</v>
      </c>
      <c r="D53" s="112"/>
    </row>
    <row r="54" spans="2:4" x14ac:dyDescent="0.15">
      <c r="B54" s="180" t="s">
        <v>172</v>
      </c>
      <c r="C54" s="180" t="s">
        <v>185</v>
      </c>
      <c r="D54" s="112"/>
    </row>
    <row r="55" spans="2:4" x14ac:dyDescent="0.15">
      <c r="B55" s="180" t="s">
        <v>173</v>
      </c>
      <c r="C55" s="180" t="s">
        <v>186</v>
      </c>
      <c r="D55" s="112"/>
    </row>
    <row r="56" spans="2:4" x14ac:dyDescent="0.15">
      <c r="B56" s="180" t="s">
        <v>174</v>
      </c>
      <c r="C56" s="112">
        <v>83466</v>
      </c>
      <c r="D56" s="112"/>
    </row>
    <row r="57" spans="2:4" x14ac:dyDescent="0.15">
      <c r="B57" s="180" t="s">
        <v>175</v>
      </c>
      <c r="C57" s="180" t="s">
        <v>187</v>
      </c>
      <c r="D57" s="112"/>
    </row>
    <row r="58" spans="2:4" x14ac:dyDescent="0.15">
      <c r="B58" s="180" t="s">
        <v>176</v>
      </c>
      <c r="C58" s="180" t="s">
        <v>188</v>
      </c>
      <c r="D58" s="112"/>
    </row>
    <row r="59" spans="2:4" x14ac:dyDescent="0.15">
      <c r="B59" s="180" t="s">
        <v>177</v>
      </c>
      <c r="C59" s="180" t="s">
        <v>189</v>
      </c>
      <c r="D59" s="112"/>
    </row>
    <row r="60" spans="2:4" x14ac:dyDescent="0.15">
      <c r="B60" s="180" t="s">
        <v>178</v>
      </c>
      <c r="C60" s="180" t="s">
        <v>190</v>
      </c>
      <c r="D60" s="112"/>
    </row>
    <row r="61" spans="2:4" x14ac:dyDescent="0.15">
      <c r="B61" s="180" t="s">
        <v>179</v>
      </c>
      <c r="C61" s="112">
        <v>43</v>
      </c>
      <c r="D61" s="112"/>
    </row>
    <row r="62" spans="2:4" x14ac:dyDescent="0.15">
      <c r="B62" s="180" t="s">
        <v>180</v>
      </c>
      <c r="C62" s="112">
        <v>11</v>
      </c>
      <c r="D62" s="112"/>
    </row>
    <row r="63" spans="2:4" x14ac:dyDescent="0.15">
      <c r="B63" s="180" t="s">
        <v>181</v>
      </c>
      <c r="C63" s="112">
        <v>2013</v>
      </c>
      <c r="D63" s="112"/>
    </row>
    <row r="64" spans="2:4" x14ac:dyDescent="0.15">
      <c r="B64" s="180" t="s">
        <v>182</v>
      </c>
      <c r="C64" s="112">
        <v>0</v>
      </c>
      <c r="D64" s="112"/>
    </row>
    <row r="65" spans="2:4" x14ac:dyDescent="0.15">
      <c r="B65" s="180" t="s">
        <v>183</v>
      </c>
      <c r="C65" s="180" t="s">
        <v>191</v>
      </c>
      <c r="D65" s="112"/>
    </row>
    <row r="66" spans="2:4" x14ac:dyDescent="0.15">
      <c r="B66" s="180" t="s">
        <v>184</v>
      </c>
      <c r="C66" s="180" t="s">
        <v>192</v>
      </c>
      <c r="D66" s="112"/>
    </row>
    <row r="67" spans="2:4" x14ac:dyDescent="0.15">
      <c r="B67" s="112"/>
      <c r="C67" s="112"/>
      <c r="D67" s="112"/>
    </row>
    <row r="68" spans="2:4" x14ac:dyDescent="0.15">
      <c r="B68" s="112"/>
      <c r="C68" s="112"/>
      <c r="D68" s="112"/>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3" sqref="Q3"/>
    </sheetView>
  </sheetViews>
  <sheetFormatPr baseColWidth="10" defaultColWidth="8.83203125" defaultRowHeight="15" customHeight="1" x14ac:dyDescent="0.15"/>
  <cols>
    <col min="1" max="1" width="22.5" style="83" customWidth="1"/>
    <col min="2" max="3" width="3.33203125" style="83" customWidth="1"/>
    <col min="4" max="4" width="14.33203125" style="83" customWidth="1"/>
    <col min="5" max="5" width="44.1640625" style="83" bestFit="1" customWidth="1"/>
    <col min="6" max="6" width="2.33203125" style="83" bestFit="1" customWidth="1"/>
    <col min="7" max="7" width="12.83203125" style="83" bestFit="1" customWidth="1"/>
    <col min="8" max="8" width="9.83203125" style="83" customWidth="1"/>
    <col min="9" max="9" width="10.83203125" style="83" customWidth="1"/>
    <col min="10" max="10" width="11.83203125" style="83" customWidth="1"/>
    <col min="11" max="11" width="13.83203125" style="83" customWidth="1"/>
    <col min="12" max="12" width="2.33203125" style="83" customWidth="1"/>
    <col min="13" max="13" width="3.83203125" style="83" customWidth="1"/>
    <col min="14" max="14" width="2.33203125" style="83" customWidth="1"/>
    <col min="16" max="25" width="8.83203125" style="83"/>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3"/>
  </cols>
  <sheetData>
    <row r="1" spans="1:46" s="100" customFormat="1" ht="15" customHeight="1" x14ac:dyDescent="0.15">
      <c r="A1" s="79" t="s">
        <v>18</v>
      </c>
      <c r="C1" s="80" t="s">
        <v>8</v>
      </c>
      <c r="D1" s="79" t="s">
        <v>23</v>
      </c>
      <c r="E1" s="79" t="s">
        <v>0</v>
      </c>
      <c r="F1" s="79" t="s">
        <v>7</v>
      </c>
      <c r="G1" s="81" t="s">
        <v>13</v>
      </c>
      <c r="H1" s="79" t="s">
        <v>1</v>
      </c>
      <c r="I1" s="79" t="s">
        <v>2</v>
      </c>
      <c r="J1" s="79" t="s">
        <v>14</v>
      </c>
      <c r="K1" s="79" t="s">
        <v>3</v>
      </c>
      <c r="L1" s="79" t="s">
        <v>4</v>
      </c>
      <c r="M1" s="79" t="s">
        <v>5</v>
      </c>
      <c r="N1" s="79" t="s">
        <v>6</v>
      </c>
      <c r="O1"/>
      <c r="Z1"/>
      <c r="AA1"/>
      <c r="AB1"/>
      <c r="AC1"/>
      <c r="AD1"/>
      <c r="AE1"/>
      <c r="AF1"/>
      <c r="AG1"/>
      <c r="AH1"/>
      <c r="AI1"/>
      <c r="AJ1"/>
      <c r="AK1"/>
      <c r="AL1"/>
      <c r="AM1"/>
      <c r="AN1"/>
      <c r="AO1"/>
      <c r="AP1"/>
      <c r="AQ1"/>
      <c r="AR1"/>
      <c r="AS1"/>
      <c r="AT1"/>
    </row>
    <row r="2" spans="1:46" ht="15" customHeight="1" x14ac:dyDescent="0.15">
      <c r="C2" s="100">
        <v>1</v>
      </c>
      <c r="D2"/>
      <c r="E2" s="181" t="s">
        <v>193</v>
      </c>
      <c r="F2" s="83">
        <v>0</v>
      </c>
      <c r="G2" s="83">
        <v>2.2499999999999998E-3</v>
      </c>
      <c r="H2" s="83">
        <v>0.09</v>
      </c>
      <c r="I2" s="6">
        <v>57.66</v>
      </c>
      <c r="J2" s="6">
        <v>0</v>
      </c>
      <c r="K2" s="6">
        <v>1.56087417E-3</v>
      </c>
      <c r="L2" s="6">
        <v>0</v>
      </c>
      <c r="M2" s="83">
        <v>0.2</v>
      </c>
      <c r="N2" s="83">
        <v>0</v>
      </c>
    </row>
    <row r="3" spans="1:46" ht="15" customHeight="1" x14ac:dyDescent="0.15">
      <c r="A3" s="1" t="s">
        <v>9</v>
      </c>
      <c r="B3" s="4">
        <v>41</v>
      </c>
      <c r="C3" s="83">
        <v>2</v>
      </c>
      <c r="D3"/>
      <c r="E3" s="181" t="s">
        <v>194</v>
      </c>
      <c r="F3" s="83">
        <v>0</v>
      </c>
      <c r="G3" s="83">
        <v>5.8299999999999997E-4</v>
      </c>
      <c r="H3" s="83">
        <v>0.09</v>
      </c>
      <c r="I3" s="83">
        <v>69.959999999999994</v>
      </c>
      <c r="J3" s="83">
        <v>0</v>
      </c>
      <c r="K3" s="83">
        <v>1.28644949E-3</v>
      </c>
      <c r="L3" s="83">
        <v>0</v>
      </c>
      <c r="M3" s="83">
        <v>0.2</v>
      </c>
      <c r="N3" s="83">
        <v>0</v>
      </c>
    </row>
    <row r="4" spans="1:46" ht="15" customHeight="1" x14ac:dyDescent="0.15">
      <c r="A4" s="1" t="s">
        <v>10</v>
      </c>
      <c r="B4" s="4">
        <v>3</v>
      </c>
      <c r="C4" s="83">
        <v>3</v>
      </c>
      <c r="D4"/>
      <c r="E4" s="181" t="s">
        <v>195</v>
      </c>
      <c r="F4" s="83">
        <v>0</v>
      </c>
      <c r="G4" s="83">
        <v>6.5135380000000007E-2</v>
      </c>
      <c r="H4" s="83">
        <v>3.5000000000000003E-2</v>
      </c>
      <c r="I4" s="83">
        <v>4.7746110000000002</v>
      </c>
      <c r="J4" s="83">
        <v>0</v>
      </c>
      <c r="K4" s="83">
        <v>7.3304399999999997E-3</v>
      </c>
      <c r="L4" s="83">
        <v>0</v>
      </c>
      <c r="M4" s="83">
        <v>0.2</v>
      </c>
      <c r="N4" s="83">
        <v>0</v>
      </c>
      <c r="V4" s="1" t="s">
        <v>29</v>
      </c>
    </row>
    <row r="5" spans="1:46" ht="15" customHeight="1" thickBot="1" x14ac:dyDescent="0.2">
      <c r="A5" s="1" t="s">
        <v>11</v>
      </c>
      <c r="B5" s="4">
        <v>11</v>
      </c>
      <c r="C5" s="83">
        <v>4</v>
      </c>
      <c r="D5"/>
      <c r="E5" s="181" t="s">
        <v>196</v>
      </c>
      <c r="F5" s="83">
        <v>0</v>
      </c>
      <c r="G5" s="83">
        <v>3.4000000000000002E-2</v>
      </c>
      <c r="H5" s="83">
        <v>0.13500000000000001</v>
      </c>
      <c r="I5" s="83">
        <v>11.9984</v>
      </c>
      <c r="J5" s="83">
        <v>0</v>
      </c>
      <c r="K5" s="83">
        <v>1.12515008E-2</v>
      </c>
      <c r="L5" s="83">
        <v>0</v>
      </c>
      <c r="M5" s="83">
        <v>0.2</v>
      </c>
      <c r="N5" s="83">
        <v>0</v>
      </c>
      <c r="P5" s="72"/>
      <c r="Q5" s="72"/>
      <c r="R5" s="72"/>
    </row>
    <row r="6" spans="1:46" ht="15" customHeight="1" thickBot="1" x14ac:dyDescent="0.2">
      <c r="B6" s="1"/>
      <c r="C6" s="83">
        <v>5</v>
      </c>
      <c r="D6"/>
      <c r="E6" s="181" t="s">
        <v>197</v>
      </c>
      <c r="F6" s="83">
        <v>0</v>
      </c>
      <c r="G6" s="83">
        <v>9.4326209999999994E-2</v>
      </c>
      <c r="H6" s="83">
        <v>0.19</v>
      </c>
      <c r="I6" s="83">
        <v>1.9</v>
      </c>
      <c r="J6" s="83">
        <v>0.6</v>
      </c>
      <c r="K6" s="83">
        <v>0.1</v>
      </c>
      <c r="L6" s="83">
        <v>0</v>
      </c>
      <c r="M6" s="83">
        <v>0.2</v>
      </c>
      <c r="N6" s="83">
        <v>0</v>
      </c>
      <c r="P6" s="72"/>
      <c r="Q6" s="72"/>
      <c r="R6" s="72"/>
      <c r="W6" s="36" t="s">
        <v>31</v>
      </c>
      <c r="X6" s="52">
        <f>MAX(MainOutputs!G:G)</f>
        <v>0.95297300815582275</v>
      </c>
    </row>
    <row r="7" spans="1:46" ht="15" customHeight="1" x14ac:dyDescent="0.15">
      <c r="A7" s="2" t="s">
        <v>27</v>
      </c>
      <c r="B7" s="83">
        <f ca="1">COUNTIF(OFFSET(cornerDiets,1,1,NumLiving+NumDead+1,NumLiving+NumDead),"&gt;0")+NumLiving+NumDead+1</f>
        <v>389</v>
      </c>
      <c r="C7" s="83">
        <v>6</v>
      </c>
      <c r="D7"/>
      <c r="E7" s="181" t="s">
        <v>198</v>
      </c>
      <c r="F7" s="83">
        <v>0</v>
      </c>
      <c r="G7" s="83">
        <v>0.27085405600000001</v>
      </c>
      <c r="H7" s="83">
        <v>0.35</v>
      </c>
      <c r="I7" s="83">
        <v>3.5</v>
      </c>
      <c r="J7" s="83">
        <v>0.8</v>
      </c>
      <c r="K7" s="83">
        <v>0.1</v>
      </c>
      <c r="L7" s="83">
        <v>0</v>
      </c>
      <c r="M7" s="83">
        <v>0.2</v>
      </c>
      <c r="N7" s="83">
        <v>0</v>
      </c>
      <c r="P7" s="72"/>
      <c r="Q7" s="72"/>
      <c r="R7" s="72"/>
    </row>
    <row r="8" spans="1:46" ht="15" customHeight="1" x14ac:dyDescent="0.15">
      <c r="A8" s="2" t="s">
        <v>28</v>
      </c>
      <c r="B8" s="83">
        <f ca="1">COUNTIF(OFFSET(cornerFishing,1,2,NumLiving+NumDead,NumGears),"&gt;0")+NumDead*COUNTIF(OFFSET(cornerDiscards,1,2,NumLiving+NumDead,NumGears),"&gt;0")+NumLiving+NumDead+1</f>
        <v>148</v>
      </c>
      <c r="C8" s="83">
        <v>7</v>
      </c>
      <c r="D8"/>
      <c r="E8" s="181" t="s">
        <v>199</v>
      </c>
      <c r="F8" s="83">
        <v>0</v>
      </c>
      <c r="G8" s="83">
        <v>0.34811374499999997</v>
      </c>
      <c r="H8" s="83">
        <v>0.4</v>
      </c>
      <c r="I8" s="83">
        <v>2.4</v>
      </c>
      <c r="J8" s="83">
        <v>0.8</v>
      </c>
      <c r="K8" s="83">
        <v>0.166666657</v>
      </c>
      <c r="L8" s="83">
        <v>0</v>
      </c>
      <c r="M8" s="83">
        <v>0.2</v>
      </c>
      <c r="N8" s="83">
        <v>0</v>
      </c>
      <c r="P8" s="72"/>
      <c r="Q8" s="72"/>
      <c r="R8" s="72"/>
    </row>
    <row r="9" spans="1:46" ht="15" customHeight="1" x14ac:dyDescent="0.15">
      <c r="B9" s="1"/>
      <c r="C9" s="83">
        <v>8</v>
      </c>
      <c r="D9"/>
      <c r="E9" s="181" t="s">
        <v>200</v>
      </c>
      <c r="F9" s="83">
        <v>0</v>
      </c>
      <c r="G9" s="83">
        <v>0.106195629</v>
      </c>
      <c r="H9" s="83">
        <v>0.5</v>
      </c>
      <c r="I9" s="83">
        <v>3.754</v>
      </c>
      <c r="J9" s="83">
        <v>0.9</v>
      </c>
      <c r="K9" s="83">
        <v>0.13319125800000001</v>
      </c>
      <c r="L9" s="83">
        <v>0</v>
      </c>
      <c r="M9" s="83">
        <v>0.2</v>
      </c>
      <c r="N9" s="83">
        <v>0</v>
      </c>
      <c r="P9" s="72"/>
      <c r="Q9" s="72"/>
      <c r="R9" s="72"/>
    </row>
    <row r="10" spans="1:46" ht="15" customHeight="1" x14ac:dyDescent="0.15">
      <c r="B10" s="1"/>
      <c r="C10" s="83">
        <v>9</v>
      </c>
      <c r="D10"/>
      <c r="E10" s="181" t="s">
        <v>201</v>
      </c>
      <c r="F10" s="83">
        <v>0</v>
      </c>
      <c r="G10" s="83">
        <v>0.30860749999999998</v>
      </c>
      <c r="H10" s="83">
        <v>0.36670000000000003</v>
      </c>
      <c r="I10" s="83">
        <v>1.83349991</v>
      </c>
      <c r="J10" s="83">
        <v>0.95</v>
      </c>
      <c r="K10" s="83">
        <v>0.2</v>
      </c>
      <c r="L10" s="83">
        <v>0</v>
      </c>
      <c r="M10" s="83">
        <v>0.2</v>
      </c>
      <c r="N10" s="83">
        <v>0</v>
      </c>
    </row>
    <row r="11" spans="1:46" ht="15" customHeight="1" x14ac:dyDescent="0.15">
      <c r="C11" s="83">
        <v>10</v>
      </c>
      <c r="D11"/>
      <c r="E11" s="181" t="s">
        <v>202</v>
      </c>
      <c r="F11" s="83">
        <v>0</v>
      </c>
      <c r="G11" s="83">
        <v>0.69088196800000001</v>
      </c>
      <c r="H11" s="83">
        <v>0.84799999999999998</v>
      </c>
      <c r="I11" s="83">
        <v>2.60000038</v>
      </c>
      <c r="J11" s="83">
        <v>0.64095159999999995</v>
      </c>
      <c r="K11" s="83">
        <v>0.25</v>
      </c>
      <c r="L11" s="83">
        <v>0</v>
      </c>
      <c r="M11" s="83">
        <v>0.2</v>
      </c>
      <c r="N11" s="83">
        <v>0</v>
      </c>
    </row>
    <row r="12" spans="1:46" ht="15" customHeight="1" x14ac:dyDescent="0.15">
      <c r="C12" s="83">
        <v>11</v>
      </c>
      <c r="D12"/>
      <c r="E12" s="181" t="s">
        <v>203</v>
      </c>
      <c r="F12" s="83">
        <v>0</v>
      </c>
      <c r="G12" s="83">
        <v>0.19707781099999999</v>
      </c>
      <c r="H12" s="83">
        <v>1.2</v>
      </c>
      <c r="I12" s="83">
        <v>6.2023820000000001</v>
      </c>
      <c r="J12" s="83">
        <v>0.83803749999999999</v>
      </c>
      <c r="K12" s="83">
        <v>0.2</v>
      </c>
      <c r="L12" s="83">
        <v>0</v>
      </c>
      <c r="M12" s="83">
        <v>0.2</v>
      </c>
      <c r="N12" s="83">
        <v>0</v>
      </c>
    </row>
    <row r="13" spans="1:46" ht="15" customHeight="1" x14ac:dyDescent="0.15">
      <c r="C13" s="83">
        <v>12</v>
      </c>
      <c r="D13"/>
      <c r="E13" s="181" t="s">
        <v>204</v>
      </c>
      <c r="F13" s="83">
        <v>0</v>
      </c>
      <c r="G13" s="83">
        <v>0.17227400800000001</v>
      </c>
      <c r="H13" s="83">
        <v>0.4</v>
      </c>
      <c r="I13" s="83">
        <v>4.7080000000000002</v>
      </c>
      <c r="J13" s="83">
        <v>0.95</v>
      </c>
      <c r="K13" s="83">
        <v>8.4961764499999995E-2</v>
      </c>
      <c r="L13" s="83">
        <v>0</v>
      </c>
      <c r="M13" s="83">
        <v>0.2</v>
      </c>
      <c r="N13" s="83">
        <v>0</v>
      </c>
    </row>
    <row r="14" spans="1:46" ht="15" customHeight="1" x14ac:dyDescent="0.15">
      <c r="C14" s="83">
        <v>13</v>
      </c>
      <c r="D14"/>
      <c r="E14" s="181" t="s">
        <v>205</v>
      </c>
      <c r="F14" s="83">
        <v>0</v>
      </c>
      <c r="G14" s="83">
        <v>9.1711609999999999E-2</v>
      </c>
      <c r="H14" s="83">
        <v>0.4</v>
      </c>
      <c r="I14" s="83">
        <v>2</v>
      </c>
      <c r="J14" s="83">
        <v>0.9</v>
      </c>
      <c r="K14" s="83">
        <v>0.2</v>
      </c>
      <c r="L14" s="83">
        <v>0</v>
      </c>
      <c r="M14" s="83">
        <v>0.2</v>
      </c>
      <c r="N14" s="83">
        <v>0</v>
      </c>
    </row>
    <row r="15" spans="1:46" ht="15" customHeight="1" x14ac:dyDescent="0.15">
      <c r="C15" s="83">
        <v>14</v>
      </c>
      <c r="D15"/>
      <c r="E15" s="181" t="s">
        <v>206</v>
      </c>
      <c r="F15" s="83">
        <v>0</v>
      </c>
      <c r="G15" s="83">
        <v>0.18909999999999999</v>
      </c>
      <c r="H15" s="83">
        <v>0.72380429999999996</v>
      </c>
      <c r="I15" s="83">
        <v>3.7</v>
      </c>
      <c r="J15" s="83">
        <v>0.73766109999999996</v>
      </c>
      <c r="K15" s="83">
        <v>0.19562278699999999</v>
      </c>
      <c r="L15" s="83">
        <v>0</v>
      </c>
      <c r="M15" s="83">
        <v>0.2</v>
      </c>
      <c r="N15" s="83">
        <v>0</v>
      </c>
    </row>
    <row r="16" spans="1:46" ht="15" customHeight="1" x14ac:dyDescent="0.15">
      <c r="C16" s="83">
        <v>15</v>
      </c>
      <c r="D16"/>
      <c r="E16" s="181" t="s">
        <v>207</v>
      </c>
      <c r="F16" s="83">
        <v>0</v>
      </c>
      <c r="G16" s="83">
        <v>5.9022396800000002E-2</v>
      </c>
      <c r="H16" s="83">
        <v>0.442</v>
      </c>
      <c r="I16" s="83">
        <v>3.42</v>
      </c>
      <c r="J16" s="83">
        <v>0.9</v>
      </c>
      <c r="K16" s="83">
        <v>0.129239768</v>
      </c>
      <c r="L16" s="83">
        <v>0</v>
      </c>
      <c r="M16" s="83">
        <v>0.2</v>
      </c>
      <c r="N16" s="83">
        <v>0</v>
      </c>
    </row>
    <row r="17" spans="1:22" ht="15" customHeight="1" x14ac:dyDescent="0.15">
      <c r="C17" s="83">
        <v>16</v>
      </c>
      <c r="D17"/>
      <c r="E17" s="181" t="s">
        <v>208</v>
      </c>
      <c r="F17" s="83">
        <v>0</v>
      </c>
      <c r="G17" s="83">
        <v>0.58630579999999999</v>
      </c>
      <c r="H17" s="83">
        <v>0.34399999999999997</v>
      </c>
      <c r="I17" s="83">
        <v>1.72</v>
      </c>
      <c r="J17" s="83">
        <v>0.9</v>
      </c>
      <c r="K17" s="83">
        <v>0.2</v>
      </c>
      <c r="L17" s="83">
        <v>0</v>
      </c>
      <c r="M17" s="83">
        <v>0.2</v>
      </c>
      <c r="N17" s="83">
        <v>0</v>
      </c>
      <c r="V17" s="1" t="s">
        <v>30</v>
      </c>
    </row>
    <row r="18" spans="1:22" ht="15" customHeight="1" x14ac:dyDescent="0.15">
      <c r="C18" s="83">
        <v>17</v>
      </c>
      <c r="D18"/>
      <c r="E18" s="181" t="s">
        <v>209</v>
      </c>
      <c r="F18" s="83">
        <v>0</v>
      </c>
      <c r="G18" s="83">
        <v>1.62881052</v>
      </c>
      <c r="H18" s="83">
        <v>0.43</v>
      </c>
      <c r="I18" s="83">
        <v>2.15</v>
      </c>
      <c r="J18" s="83">
        <v>0.95</v>
      </c>
      <c r="K18" s="83">
        <v>0.2</v>
      </c>
      <c r="L18" s="83">
        <v>0</v>
      </c>
      <c r="M18" s="83">
        <v>0.2</v>
      </c>
      <c r="N18" s="83">
        <v>0</v>
      </c>
      <c r="V18" s="1"/>
    </row>
    <row r="19" spans="1:22" ht="15" customHeight="1" x14ac:dyDescent="0.15">
      <c r="C19" s="83">
        <v>18</v>
      </c>
      <c r="D19"/>
      <c r="E19" s="181" t="s">
        <v>210</v>
      </c>
      <c r="F19" s="83">
        <v>0</v>
      </c>
      <c r="G19" s="83">
        <v>0.69855420000000001</v>
      </c>
      <c r="H19" s="83">
        <v>1.0900000000000001</v>
      </c>
      <c r="I19" s="83">
        <v>4.3600000000000003</v>
      </c>
      <c r="J19" s="83">
        <v>0.95</v>
      </c>
      <c r="K19" s="83">
        <v>0.25</v>
      </c>
      <c r="L19" s="83">
        <v>0</v>
      </c>
      <c r="M19" s="83">
        <v>0.2</v>
      </c>
      <c r="N19" s="83">
        <v>0</v>
      </c>
    </row>
    <row r="20" spans="1:22" ht="15" customHeight="1" thickBot="1" x14ac:dyDescent="0.2">
      <c r="C20" s="83">
        <v>19</v>
      </c>
      <c r="D20"/>
      <c r="E20" s="181" t="s">
        <v>211</v>
      </c>
      <c r="F20" s="83">
        <v>0</v>
      </c>
      <c r="G20" s="83">
        <v>1.046</v>
      </c>
      <c r="H20" s="83">
        <v>0.55000000000000004</v>
      </c>
      <c r="I20" s="83">
        <v>2.2000000000000002</v>
      </c>
      <c r="J20" s="83">
        <v>0.91870147000000002</v>
      </c>
      <c r="K20" s="83">
        <v>0.25</v>
      </c>
      <c r="L20" s="83">
        <v>0</v>
      </c>
      <c r="M20" s="83">
        <v>0.2</v>
      </c>
      <c r="N20" s="83">
        <v>0</v>
      </c>
    </row>
    <row r="21" spans="1:22" ht="15" customHeight="1" thickBot="1" x14ac:dyDescent="0.2">
      <c r="A21" s="47" t="s">
        <v>137</v>
      </c>
      <c r="B21" s="101"/>
      <c r="C21" s="83">
        <v>20</v>
      </c>
      <c r="D21"/>
      <c r="E21" s="181" t="s">
        <v>212</v>
      </c>
      <c r="F21" s="83">
        <v>0</v>
      </c>
      <c r="G21" s="83">
        <v>0.67218259999999996</v>
      </c>
      <c r="H21" s="83">
        <v>0.65</v>
      </c>
      <c r="I21" s="83">
        <v>2.6</v>
      </c>
      <c r="J21" s="83">
        <v>0.73850329999999997</v>
      </c>
      <c r="K21" s="83">
        <v>0.25</v>
      </c>
      <c r="L21" s="83">
        <v>0</v>
      </c>
      <c r="M21" s="83">
        <v>0.2</v>
      </c>
      <c r="N21" s="83">
        <v>0</v>
      </c>
    </row>
    <row r="22" spans="1:22" ht="15" customHeight="1" x14ac:dyDescent="0.15">
      <c r="A22" s="102" t="s">
        <v>58</v>
      </c>
      <c r="B22" s="103">
        <v>0</v>
      </c>
      <c r="C22" s="83">
        <v>21</v>
      </c>
      <c r="D22"/>
      <c r="E22" s="181" t="s">
        <v>213</v>
      </c>
      <c r="F22" s="83">
        <v>0</v>
      </c>
      <c r="G22" s="83">
        <v>0.51700000000000002</v>
      </c>
      <c r="H22" s="83">
        <v>1.55</v>
      </c>
      <c r="I22" s="83">
        <v>9.1300000000000008</v>
      </c>
      <c r="J22" s="83">
        <v>0.87941056500000003</v>
      </c>
      <c r="K22" s="83">
        <v>0.16976998700000001</v>
      </c>
      <c r="L22" s="83">
        <v>0</v>
      </c>
      <c r="M22" s="83">
        <v>0.2</v>
      </c>
      <c r="N22" s="83">
        <v>0</v>
      </c>
    </row>
    <row r="23" spans="1:22" ht="15" customHeight="1" x14ac:dyDescent="0.15">
      <c r="A23" s="102" t="s">
        <v>59</v>
      </c>
      <c r="B23" s="103">
        <v>1</v>
      </c>
      <c r="C23" s="83">
        <v>22</v>
      </c>
      <c r="D23"/>
      <c r="E23" s="181" t="s">
        <v>214</v>
      </c>
      <c r="F23" s="83">
        <v>0</v>
      </c>
      <c r="G23" s="83">
        <v>4.6479999999999997</v>
      </c>
      <c r="H23" s="83">
        <v>0.80968070000000003</v>
      </c>
      <c r="I23" s="83">
        <v>6.8</v>
      </c>
      <c r="J23" s="83">
        <v>0.66521394300000003</v>
      </c>
      <c r="K23" s="83">
        <v>0.119070686</v>
      </c>
      <c r="L23" s="83">
        <v>0</v>
      </c>
      <c r="M23" s="83">
        <v>0.2</v>
      </c>
      <c r="N23" s="83">
        <v>0</v>
      </c>
    </row>
    <row r="24" spans="1:22" ht="15" customHeight="1" x14ac:dyDescent="0.15">
      <c r="A24" s="102" t="s">
        <v>60</v>
      </c>
      <c r="B24" s="103">
        <v>2</v>
      </c>
      <c r="C24" s="83">
        <v>23</v>
      </c>
      <c r="D24"/>
      <c r="E24" s="181" t="s">
        <v>215</v>
      </c>
      <c r="F24" s="83">
        <v>0</v>
      </c>
      <c r="G24" s="83">
        <v>0.33111813699999998</v>
      </c>
      <c r="H24" s="83">
        <v>1.4</v>
      </c>
      <c r="I24" s="83">
        <v>7</v>
      </c>
      <c r="J24" s="83">
        <v>0.95</v>
      </c>
      <c r="K24" s="83">
        <v>0.2</v>
      </c>
      <c r="L24" s="83">
        <v>0</v>
      </c>
      <c r="M24" s="83">
        <v>0.2</v>
      </c>
      <c r="N24" s="83">
        <v>0</v>
      </c>
    </row>
    <row r="25" spans="1:22" ht="15" customHeight="1" thickBot="1" x14ac:dyDescent="0.2">
      <c r="A25" s="104" t="s">
        <v>44</v>
      </c>
      <c r="B25" s="105">
        <v>3</v>
      </c>
      <c r="C25" s="83">
        <v>24</v>
      </c>
      <c r="D25"/>
      <c r="E25" s="181" t="s">
        <v>216</v>
      </c>
      <c r="F25" s="83">
        <v>0</v>
      </c>
      <c r="G25" s="83">
        <v>0.112838589</v>
      </c>
      <c r="H25" s="83">
        <v>0.4</v>
      </c>
      <c r="I25" s="83">
        <v>4.13</v>
      </c>
      <c r="J25" s="83">
        <v>0.9</v>
      </c>
      <c r="K25" s="83">
        <v>9.6852300000000002E-2</v>
      </c>
      <c r="L25" s="83">
        <v>0</v>
      </c>
      <c r="M25" s="83">
        <v>0.2</v>
      </c>
      <c r="N25" s="83">
        <v>0</v>
      </c>
    </row>
    <row r="26" spans="1:22" ht="15" customHeight="1" x14ac:dyDescent="0.15">
      <c r="A26" s="106" t="s">
        <v>140</v>
      </c>
      <c r="C26" s="83">
        <v>25</v>
      </c>
      <c r="D26"/>
      <c r="E26" s="181" t="s">
        <v>217</v>
      </c>
      <c r="F26" s="83">
        <v>0</v>
      </c>
      <c r="G26" s="83">
        <v>0.35707336699999997</v>
      </c>
      <c r="H26" s="83">
        <v>0.73</v>
      </c>
      <c r="I26" s="83">
        <v>4.92</v>
      </c>
      <c r="J26" s="83">
        <v>0.95</v>
      </c>
      <c r="K26" s="83">
        <v>0.14837399100000001</v>
      </c>
      <c r="L26" s="83">
        <v>0</v>
      </c>
      <c r="M26" s="83">
        <v>0.2</v>
      </c>
      <c r="N26" s="83">
        <v>0</v>
      </c>
    </row>
    <row r="27" spans="1:22" ht="15" customHeight="1" x14ac:dyDescent="0.15">
      <c r="C27" s="83">
        <v>26</v>
      </c>
      <c r="D27"/>
      <c r="E27" s="181" t="s">
        <v>218</v>
      </c>
      <c r="F27" s="83">
        <v>0</v>
      </c>
      <c r="G27" s="83">
        <v>0.24001625200000001</v>
      </c>
      <c r="H27" s="83">
        <v>3.12</v>
      </c>
      <c r="I27" s="83">
        <v>10.4</v>
      </c>
      <c r="J27" s="83">
        <v>0.95</v>
      </c>
      <c r="K27" s="83">
        <v>0.3</v>
      </c>
      <c r="L27" s="83">
        <v>0</v>
      </c>
      <c r="M27" s="83">
        <v>0.2</v>
      </c>
      <c r="N27" s="83">
        <v>0</v>
      </c>
    </row>
    <row r="28" spans="1:22" ht="15" customHeight="1" x14ac:dyDescent="0.15">
      <c r="C28" s="83">
        <v>27</v>
      </c>
      <c r="D28"/>
      <c r="E28" s="181" t="s">
        <v>219</v>
      </c>
      <c r="F28" s="83">
        <v>0</v>
      </c>
      <c r="G28" s="83">
        <v>0.170242116</v>
      </c>
      <c r="H28" s="83">
        <v>0.70299999999999996</v>
      </c>
      <c r="I28" s="83">
        <v>3.4</v>
      </c>
      <c r="J28" s="83">
        <v>0.8</v>
      </c>
      <c r="K28" s="83">
        <v>0.2067647</v>
      </c>
      <c r="L28" s="83">
        <v>0</v>
      </c>
      <c r="M28" s="83">
        <v>0.2</v>
      </c>
      <c r="N28" s="83">
        <v>0</v>
      </c>
    </row>
    <row r="29" spans="1:22" customFormat="1" ht="15" customHeight="1" x14ac:dyDescent="0.15">
      <c r="C29" s="83">
        <v>28</v>
      </c>
      <c r="E29" s="181" t="s">
        <v>220</v>
      </c>
      <c r="F29" s="83">
        <v>0</v>
      </c>
      <c r="G29" s="83">
        <v>0.4394595</v>
      </c>
      <c r="H29" s="83">
        <v>1.2</v>
      </c>
      <c r="I29" s="83">
        <v>8</v>
      </c>
      <c r="J29" s="83">
        <v>0.8</v>
      </c>
      <c r="K29" s="83">
        <v>0.15</v>
      </c>
      <c r="L29" s="83">
        <v>0</v>
      </c>
      <c r="M29" s="83">
        <v>0.2</v>
      </c>
      <c r="N29" s="83">
        <v>0</v>
      </c>
    </row>
    <row r="30" spans="1:22" customFormat="1" ht="15" customHeight="1" x14ac:dyDescent="0.15">
      <c r="C30" s="83">
        <v>29</v>
      </c>
      <c r="E30" s="181" t="s">
        <v>221</v>
      </c>
      <c r="F30" s="83">
        <v>0</v>
      </c>
      <c r="G30" s="83">
        <v>1.3869357099999999</v>
      </c>
      <c r="H30" s="83">
        <v>3</v>
      </c>
      <c r="I30" s="83">
        <v>20</v>
      </c>
      <c r="J30" s="83">
        <v>0.95</v>
      </c>
      <c r="K30" s="83">
        <v>0.15</v>
      </c>
      <c r="L30" s="83">
        <v>0</v>
      </c>
      <c r="M30" s="83">
        <v>0.2</v>
      </c>
      <c r="N30" s="83">
        <v>0</v>
      </c>
    </row>
    <row r="31" spans="1:22" customFormat="1" ht="15" customHeight="1" x14ac:dyDescent="0.15">
      <c r="C31" s="83">
        <v>30</v>
      </c>
      <c r="E31" s="181" t="s">
        <v>222</v>
      </c>
      <c r="F31" s="83">
        <v>0</v>
      </c>
      <c r="G31" s="83">
        <v>8.1517199999999992</v>
      </c>
      <c r="H31" s="83">
        <v>1.885</v>
      </c>
      <c r="I31" s="83">
        <v>12.5666656</v>
      </c>
      <c r="J31" s="83">
        <v>0.6</v>
      </c>
      <c r="K31" s="83">
        <v>0.15</v>
      </c>
      <c r="L31" s="83">
        <v>0</v>
      </c>
      <c r="M31" s="83">
        <v>0.2</v>
      </c>
      <c r="N31" s="83">
        <v>0</v>
      </c>
    </row>
    <row r="32" spans="1:22" customFormat="1" ht="15" customHeight="1" x14ac:dyDescent="0.15">
      <c r="C32" s="83">
        <v>31</v>
      </c>
      <c r="E32" s="181" t="s">
        <v>223</v>
      </c>
      <c r="F32" s="83">
        <v>0</v>
      </c>
      <c r="G32" s="83">
        <v>24.089651100000001</v>
      </c>
      <c r="H32" s="83">
        <v>1.6</v>
      </c>
      <c r="I32" s="83">
        <v>8</v>
      </c>
      <c r="J32" s="83">
        <v>0.6</v>
      </c>
      <c r="K32" s="83">
        <v>0.2</v>
      </c>
      <c r="L32" s="83">
        <v>0</v>
      </c>
      <c r="M32" s="83">
        <v>0.3</v>
      </c>
      <c r="N32" s="83">
        <v>0</v>
      </c>
    </row>
    <row r="33" spans="3:14" customFormat="1" ht="15" customHeight="1" x14ac:dyDescent="0.15">
      <c r="C33" s="83">
        <v>32</v>
      </c>
      <c r="E33" s="181" t="s">
        <v>224</v>
      </c>
      <c r="F33" s="83">
        <v>0</v>
      </c>
      <c r="G33" s="83">
        <v>18.614502000000002</v>
      </c>
      <c r="H33" s="83">
        <v>2.8</v>
      </c>
      <c r="I33" s="83">
        <v>14</v>
      </c>
      <c r="J33" s="83">
        <v>0.8</v>
      </c>
      <c r="K33" s="83">
        <v>0.2</v>
      </c>
      <c r="L33" s="83">
        <v>0</v>
      </c>
      <c r="M33" s="83">
        <v>0.2</v>
      </c>
      <c r="N33" s="83">
        <v>0</v>
      </c>
    </row>
    <row r="34" spans="3:14" customFormat="1" ht="15" customHeight="1" x14ac:dyDescent="0.15">
      <c r="C34" s="83">
        <v>33</v>
      </c>
      <c r="E34" s="181" t="s">
        <v>225</v>
      </c>
      <c r="F34" s="83">
        <v>0</v>
      </c>
      <c r="G34" s="83">
        <v>9.5914470000000005</v>
      </c>
      <c r="H34" s="83">
        <v>10</v>
      </c>
      <c r="I34" s="83">
        <v>50</v>
      </c>
      <c r="J34" s="83">
        <v>0.9</v>
      </c>
      <c r="K34" s="83">
        <v>0.2</v>
      </c>
      <c r="L34" s="83">
        <v>0</v>
      </c>
      <c r="M34" s="83">
        <v>0.4</v>
      </c>
      <c r="N34" s="83">
        <v>0</v>
      </c>
    </row>
    <row r="35" spans="3:14" customFormat="1" ht="15" customHeight="1" x14ac:dyDescent="0.15">
      <c r="C35" s="83">
        <v>34</v>
      </c>
      <c r="E35" s="181" t="s">
        <v>226</v>
      </c>
      <c r="F35" s="83">
        <v>0</v>
      </c>
      <c r="G35" s="83">
        <v>0.21829689999999999</v>
      </c>
      <c r="H35" s="83">
        <v>20</v>
      </c>
      <c r="I35" s="83">
        <v>100</v>
      </c>
      <c r="J35" s="83">
        <v>0.9</v>
      </c>
      <c r="K35" s="83">
        <v>0.2</v>
      </c>
      <c r="L35" s="83">
        <v>0</v>
      </c>
      <c r="M35" s="83">
        <v>0.2</v>
      </c>
      <c r="N35" s="83">
        <v>0</v>
      </c>
    </row>
    <row r="36" spans="3:14" customFormat="1" ht="15" customHeight="1" x14ac:dyDescent="0.15">
      <c r="C36" s="83">
        <v>35</v>
      </c>
      <c r="E36" s="181" t="s">
        <v>227</v>
      </c>
      <c r="F36" s="83">
        <v>0</v>
      </c>
      <c r="G36" s="83">
        <v>2.2181487099999999</v>
      </c>
      <c r="H36" s="83">
        <v>10.5</v>
      </c>
      <c r="I36" s="83">
        <v>38</v>
      </c>
      <c r="J36" s="83">
        <v>0.95</v>
      </c>
      <c r="K36" s="83">
        <v>0.27631577800000001</v>
      </c>
      <c r="L36" s="83">
        <v>0</v>
      </c>
      <c r="M36" s="83">
        <v>0.4</v>
      </c>
      <c r="N36" s="83">
        <v>0</v>
      </c>
    </row>
    <row r="37" spans="3:14" customFormat="1" ht="15" customHeight="1" x14ac:dyDescent="0.15">
      <c r="C37" s="83">
        <v>36</v>
      </c>
      <c r="E37" s="181" t="s">
        <v>228</v>
      </c>
      <c r="F37" s="83">
        <v>0</v>
      </c>
      <c r="G37" s="83">
        <v>4.4112825400000002</v>
      </c>
      <c r="H37" s="83">
        <v>16.45</v>
      </c>
      <c r="I37" s="83">
        <v>80</v>
      </c>
      <c r="J37" s="83">
        <v>0.9</v>
      </c>
      <c r="K37" s="83">
        <v>0.205625013</v>
      </c>
      <c r="L37" s="83">
        <v>0</v>
      </c>
      <c r="M37" s="83">
        <v>0.4</v>
      </c>
      <c r="N37" s="83">
        <v>0</v>
      </c>
    </row>
    <row r="38" spans="3:14" customFormat="1" ht="15" customHeight="1" x14ac:dyDescent="0.15">
      <c r="C38" s="83">
        <v>37</v>
      </c>
      <c r="E38" s="181" t="s">
        <v>229</v>
      </c>
      <c r="F38" s="83">
        <v>0</v>
      </c>
      <c r="G38" s="83">
        <v>4.771255</v>
      </c>
      <c r="H38" s="83">
        <v>45.05</v>
      </c>
      <c r="I38" s="83">
        <v>316</v>
      </c>
      <c r="J38" s="83">
        <v>0.9</v>
      </c>
      <c r="K38" s="83">
        <v>0.14256328300000001</v>
      </c>
      <c r="L38" s="83">
        <v>0</v>
      </c>
      <c r="M38" s="83">
        <v>0.4</v>
      </c>
      <c r="N38" s="83">
        <v>0</v>
      </c>
    </row>
    <row r="39" spans="3:14" customFormat="1" ht="15" customHeight="1" x14ac:dyDescent="0.15">
      <c r="C39" s="83">
        <v>38</v>
      </c>
      <c r="E39" s="181" t="s">
        <v>230</v>
      </c>
      <c r="F39" s="83">
        <v>0</v>
      </c>
      <c r="G39" s="83">
        <v>0.68212899999999999</v>
      </c>
      <c r="H39" s="83">
        <v>500</v>
      </c>
      <c r="I39" s="83">
        <v>1428.57141</v>
      </c>
      <c r="J39" s="83">
        <v>0.81</v>
      </c>
      <c r="K39" s="83">
        <v>0.35</v>
      </c>
      <c r="L39" s="83">
        <v>0</v>
      </c>
      <c r="M39" s="83">
        <v>0.5</v>
      </c>
      <c r="N39" s="83">
        <v>0</v>
      </c>
    </row>
    <row r="40" spans="3:14" customFormat="1" ht="15" customHeight="1" x14ac:dyDescent="0.15">
      <c r="C40" s="83">
        <v>39</v>
      </c>
      <c r="E40" s="181" t="s">
        <v>231</v>
      </c>
      <c r="F40" s="83">
        <v>1</v>
      </c>
      <c r="G40" s="83">
        <v>7.5597130000000003</v>
      </c>
      <c r="H40" s="83">
        <v>119</v>
      </c>
      <c r="I40" s="83">
        <v>0</v>
      </c>
      <c r="J40" s="83">
        <v>0.8</v>
      </c>
      <c r="K40" s="83">
        <v>0</v>
      </c>
      <c r="L40" s="83">
        <v>0</v>
      </c>
      <c r="M40" s="83">
        <v>0</v>
      </c>
      <c r="N40" s="83">
        <v>0</v>
      </c>
    </row>
    <row r="41" spans="3:14" customFormat="1" ht="15" customHeight="1" x14ac:dyDescent="0.15">
      <c r="C41" s="83">
        <v>40</v>
      </c>
      <c r="E41" s="181" t="s">
        <v>232</v>
      </c>
      <c r="F41" s="83">
        <v>1</v>
      </c>
      <c r="G41" s="83">
        <v>5.2642645799999999</v>
      </c>
      <c r="H41" s="83">
        <v>151</v>
      </c>
      <c r="I41" s="83">
        <v>0</v>
      </c>
      <c r="J41" s="83">
        <v>0.6</v>
      </c>
      <c r="K41" s="83">
        <v>0</v>
      </c>
      <c r="L41" s="83">
        <v>0</v>
      </c>
      <c r="M41" s="83">
        <v>0</v>
      </c>
      <c r="N41" s="83">
        <v>0</v>
      </c>
    </row>
    <row r="42" spans="3:14" customFormat="1" ht="15" customHeight="1" x14ac:dyDescent="0.15">
      <c r="C42" s="83">
        <v>41</v>
      </c>
      <c r="E42" s="181" t="s">
        <v>233</v>
      </c>
      <c r="F42" s="83">
        <v>1</v>
      </c>
      <c r="G42" s="83">
        <v>0.16276617299999999</v>
      </c>
      <c r="H42" s="83">
        <v>4.5</v>
      </c>
      <c r="I42" s="83">
        <v>0</v>
      </c>
      <c r="J42" s="83">
        <v>0.2</v>
      </c>
      <c r="K42" s="83">
        <v>0</v>
      </c>
      <c r="L42" s="83">
        <v>0</v>
      </c>
      <c r="M42" s="83">
        <v>0</v>
      </c>
      <c r="N42" s="83">
        <v>0</v>
      </c>
    </row>
    <row r="43" spans="3:14" customFormat="1" ht="15" customHeight="1" x14ac:dyDescent="0.15">
      <c r="C43" s="83">
        <v>42</v>
      </c>
      <c r="E43" s="181" t="s">
        <v>234</v>
      </c>
      <c r="F43" s="83">
        <v>2</v>
      </c>
      <c r="G43" s="83">
        <v>1</v>
      </c>
      <c r="H43" s="83">
        <v>0</v>
      </c>
      <c r="I43" s="83">
        <v>0</v>
      </c>
      <c r="J43" s="83">
        <v>0.73270034799999995</v>
      </c>
      <c r="K43" s="83">
        <v>0</v>
      </c>
      <c r="L43" s="83">
        <v>0</v>
      </c>
      <c r="M43" s="83">
        <v>0</v>
      </c>
      <c r="N43" s="83">
        <v>0</v>
      </c>
    </row>
    <row r="44" spans="3:14" customFormat="1" ht="15" customHeight="1" x14ac:dyDescent="0.15">
      <c r="C44" s="83">
        <v>43</v>
      </c>
      <c r="E44" s="181" t="s">
        <v>235</v>
      </c>
      <c r="F44" s="83">
        <v>2</v>
      </c>
      <c r="G44" s="83">
        <v>130</v>
      </c>
      <c r="H44" s="83">
        <v>0</v>
      </c>
      <c r="I44" s="83">
        <v>0</v>
      </c>
      <c r="J44" s="83">
        <v>0</v>
      </c>
      <c r="K44" s="83">
        <v>0</v>
      </c>
      <c r="L44" s="83">
        <v>0</v>
      </c>
      <c r="M44" s="83">
        <v>0</v>
      </c>
      <c r="N44" s="83">
        <v>0</v>
      </c>
    </row>
    <row r="45" spans="3:14" customFormat="1" ht="15" customHeight="1" x14ac:dyDescent="0.15">
      <c r="C45" s="83">
        <v>44</v>
      </c>
      <c r="E45" s="181" t="s">
        <v>236</v>
      </c>
      <c r="F45" s="83">
        <v>2</v>
      </c>
      <c r="G45" s="83">
        <v>5</v>
      </c>
      <c r="H45" s="83">
        <v>0</v>
      </c>
      <c r="I45" s="83">
        <v>0</v>
      </c>
      <c r="J45" s="83">
        <v>0</v>
      </c>
      <c r="K45" s="83">
        <v>0</v>
      </c>
      <c r="L45" s="83">
        <v>0</v>
      </c>
      <c r="M45" s="83">
        <v>0</v>
      </c>
      <c r="N45" s="83">
        <v>0</v>
      </c>
    </row>
    <row r="46" spans="3:14" customFormat="1" ht="15" customHeight="1" x14ac:dyDescent="0.15">
      <c r="C46" s="83">
        <v>45</v>
      </c>
      <c r="E46" s="181" t="s">
        <v>201</v>
      </c>
      <c r="F46" s="83">
        <v>3</v>
      </c>
      <c r="G46" s="83">
        <v>0</v>
      </c>
      <c r="H46" s="83">
        <v>0</v>
      </c>
      <c r="I46" s="83">
        <v>0</v>
      </c>
      <c r="J46" s="83">
        <v>0</v>
      </c>
      <c r="K46" s="83">
        <v>0</v>
      </c>
      <c r="L46" s="83">
        <v>0</v>
      </c>
      <c r="M46" s="83">
        <v>0</v>
      </c>
      <c r="N46" s="83">
        <v>0</v>
      </c>
    </row>
    <row r="47" spans="3:14" customFormat="1" ht="15" customHeight="1" x14ac:dyDescent="0.15">
      <c r="C47" s="83">
        <v>46</v>
      </c>
      <c r="E47" s="181" t="s">
        <v>237</v>
      </c>
      <c r="F47" s="83">
        <v>3</v>
      </c>
      <c r="G47" s="83">
        <v>0</v>
      </c>
      <c r="H47" s="83">
        <v>0</v>
      </c>
      <c r="I47" s="83">
        <v>0</v>
      </c>
      <c r="J47" s="83">
        <v>0</v>
      </c>
      <c r="K47" s="83">
        <v>0</v>
      </c>
      <c r="L47" s="83">
        <v>0</v>
      </c>
      <c r="M47" s="83">
        <v>0</v>
      </c>
      <c r="N47" s="83">
        <v>0</v>
      </c>
    </row>
    <row r="48" spans="3:14" customFormat="1" ht="15" customHeight="1" x14ac:dyDescent="0.15">
      <c r="C48" s="83">
        <v>47</v>
      </c>
      <c r="E48" s="181" t="s">
        <v>203</v>
      </c>
      <c r="F48" s="83">
        <v>3</v>
      </c>
      <c r="G48" s="83">
        <v>0</v>
      </c>
      <c r="H48" s="83">
        <v>0</v>
      </c>
      <c r="I48" s="83">
        <v>0</v>
      </c>
      <c r="J48" s="83">
        <v>0</v>
      </c>
      <c r="K48" s="83">
        <v>0</v>
      </c>
      <c r="L48" s="83">
        <v>0</v>
      </c>
      <c r="M48" s="83">
        <v>0</v>
      </c>
      <c r="N48" s="83">
        <v>0</v>
      </c>
    </row>
    <row r="49" spans="3:14" customFormat="1" ht="15" customHeight="1" x14ac:dyDescent="0.15">
      <c r="C49" s="83">
        <v>48</v>
      </c>
      <c r="E49" s="181" t="s">
        <v>211</v>
      </c>
      <c r="F49" s="83">
        <v>3</v>
      </c>
      <c r="G49" s="83">
        <v>0</v>
      </c>
      <c r="H49" s="83">
        <v>0</v>
      </c>
      <c r="I49" s="83">
        <v>0</v>
      </c>
      <c r="J49" s="83">
        <v>0</v>
      </c>
      <c r="K49" s="83">
        <v>0</v>
      </c>
      <c r="L49" s="83">
        <v>0</v>
      </c>
      <c r="M49" s="83">
        <v>0</v>
      </c>
      <c r="N49" s="83">
        <v>0</v>
      </c>
    </row>
    <row r="50" spans="3:14" customFormat="1" ht="15" customHeight="1" x14ac:dyDescent="0.15">
      <c r="C50" s="83">
        <v>49</v>
      </c>
      <c r="E50" s="181" t="s">
        <v>212</v>
      </c>
      <c r="F50" s="83">
        <v>3</v>
      </c>
      <c r="G50" s="83">
        <v>0</v>
      </c>
      <c r="H50" s="83">
        <v>0</v>
      </c>
      <c r="I50" s="83">
        <v>0</v>
      </c>
      <c r="J50" s="83">
        <v>0</v>
      </c>
      <c r="K50" s="83">
        <v>0</v>
      </c>
      <c r="L50" s="83">
        <v>0</v>
      </c>
      <c r="M50" s="83">
        <v>0</v>
      </c>
      <c r="N50" s="83">
        <v>0</v>
      </c>
    </row>
    <row r="51" spans="3:14" customFormat="1" ht="15" customHeight="1" x14ac:dyDescent="0.15">
      <c r="C51" s="83">
        <v>50</v>
      </c>
      <c r="E51" s="181" t="s">
        <v>213</v>
      </c>
      <c r="F51" s="83">
        <v>3</v>
      </c>
      <c r="G51" s="83">
        <v>0</v>
      </c>
      <c r="H51" s="83">
        <v>0</v>
      </c>
      <c r="I51" s="83">
        <v>0</v>
      </c>
      <c r="J51" s="83">
        <v>0</v>
      </c>
      <c r="K51" s="83">
        <v>0</v>
      </c>
      <c r="L51" s="83">
        <v>0</v>
      </c>
      <c r="M51" s="83">
        <v>0</v>
      </c>
      <c r="N51" s="83">
        <v>0</v>
      </c>
    </row>
    <row r="52" spans="3:14" customFormat="1" ht="15" customHeight="1" x14ac:dyDescent="0.15">
      <c r="C52" s="83">
        <v>51</v>
      </c>
      <c r="E52" s="181" t="s">
        <v>214</v>
      </c>
      <c r="F52" s="83">
        <v>3</v>
      </c>
      <c r="G52" s="83">
        <v>0</v>
      </c>
      <c r="H52" s="83">
        <v>0</v>
      </c>
      <c r="I52" s="83">
        <v>0</v>
      </c>
      <c r="J52" s="83">
        <v>0</v>
      </c>
      <c r="K52" s="83">
        <v>0</v>
      </c>
      <c r="L52" s="83">
        <v>0</v>
      </c>
      <c r="M52" s="83">
        <v>0</v>
      </c>
      <c r="N52" s="83">
        <v>0</v>
      </c>
    </row>
    <row r="53" spans="3:14" customFormat="1" ht="15" customHeight="1" x14ac:dyDescent="0.15">
      <c r="C53" s="83">
        <v>52</v>
      </c>
      <c r="E53" s="181" t="s">
        <v>206</v>
      </c>
      <c r="F53" s="83">
        <v>3</v>
      </c>
      <c r="G53" s="83">
        <v>0</v>
      </c>
      <c r="H53" s="83">
        <v>0</v>
      </c>
      <c r="I53" s="83">
        <v>0</v>
      </c>
      <c r="J53" s="83">
        <v>0</v>
      </c>
      <c r="K53" s="83">
        <v>0</v>
      </c>
      <c r="L53" s="83">
        <v>0</v>
      </c>
      <c r="M53" s="83">
        <v>0</v>
      </c>
      <c r="N53" s="83">
        <v>0</v>
      </c>
    </row>
    <row r="54" spans="3:14" customFormat="1" ht="15" customHeight="1" x14ac:dyDescent="0.15">
      <c r="C54" s="83">
        <v>53</v>
      </c>
      <c r="E54" s="181" t="s">
        <v>205</v>
      </c>
      <c r="F54" s="83">
        <v>3</v>
      </c>
      <c r="G54" s="83">
        <v>0</v>
      </c>
      <c r="H54" s="83">
        <v>0</v>
      </c>
      <c r="I54" s="83">
        <v>0</v>
      </c>
      <c r="J54" s="83">
        <v>0</v>
      </c>
      <c r="K54" s="83">
        <v>0</v>
      </c>
      <c r="L54" s="83">
        <v>0</v>
      </c>
      <c r="M54" s="83">
        <v>0</v>
      </c>
      <c r="N54" s="83">
        <v>0</v>
      </c>
    </row>
    <row r="55" spans="3:14" customFormat="1" ht="15" customHeight="1" x14ac:dyDescent="0.15">
      <c r="C55" s="83">
        <v>54</v>
      </c>
      <c r="E55" s="181" t="s">
        <v>219</v>
      </c>
      <c r="F55" s="83">
        <v>3</v>
      </c>
      <c r="G55" s="83">
        <v>0</v>
      </c>
      <c r="H55" s="83">
        <v>0</v>
      </c>
      <c r="I55" s="83">
        <v>0</v>
      </c>
      <c r="J55" s="83">
        <v>0</v>
      </c>
      <c r="K55" s="83">
        <v>0</v>
      </c>
      <c r="L55" s="83">
        <v>0</v>
      </c>
      <c r="M55" s="83">
        <v>0</v>
      </c>
      <c r="N55" s="83">
        <v>0</v>
      </c>
    </row>
    <row r="56" spans="3:14" customFormat="1" ht="15" customHeight="1" x14ac:dyDescent="0.15">
      <c r="C56" s="83">
        <v>55</v>
      </c>
      <c r="E56" s="181" t="s">
        <v>238</v>
      </c>
      <c r="F56" s="83">
        <v>3</v>
      </c>
      <c r="G56" s="83">
        <v>0</v>
      </c>
      <c r="H56" s="83">
        <v>0</v>
      </c>
      <c r="I56" s="83">
        <v>0</v>
      </c>
      <c r="J56" s="83">
        <v>0</v>
      </c>
      <c r="K56" s="83">
        <v>0</v>
      </c>
      <c r="L56" s="83">
        <v>0</v>
      </c>
      <c r="M56" s="83">
        <v>0</v>
      </c>
      <c r="N56" s="83">
        <v>0</v>
      </c>
    </row>
    <row r="57" spans="3:14" customFormat="1" ht="15" customHeight="1" x14ac:dyDescent="0.15"/>
    <row r="58" spans="3:14" customFormat="1" ht="15" customHeight="1" x14ac:dyDescent="0.15"/>
    <row r="59" spans="3:14" customFormat="1" ht="15" customHeight="1" x14ac:dyDescent="0.15"/>
    <row r="60" spans="3:14" customFormat="1" ht="15" customHeight="1" x14ac:dyDescent="0.15"/>
    <row r="61" spans="3:14" customFormat="1" ht="15" customHeight="1" x14ac:dyDescent="0.15"/>
    <row r="62" spans="3:14" customFormat="1" ht="15" customHeight="1" x14ac:dyDescent="0.15"/>
    <row r="63" spans="3:14" customFormat="1" ht="15" customHeight="1" x14ac:dyDescent="0.15"/>
    <row r="64" spans="3:1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S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44.1640625" style="146" bestFit="1" customWidth="1"/>
    <col min="2" max="3" width="4.83203125" style="146" bestFit="1" customWidth="1"/>
    <col min="4" max="4" width="13.83203125" style="146" bestFit="1" customWidth="1"/>
    <col min="5" max="8" width="14.83203125" style="146" bestFit="1" customWidth="1"/>
    <col min="9" max="9" width="13.83203125" style="146" bestFit="1" customWidth="1"/>
    <col min="10" max="13" width="14.83203125" style="146" bestFit="1" customWidth="1"/>
    <col min="14" max="14" width="15.83203125" style="146" bestFit="1" customWidth="1"/>
    <col min="15" max="15" width="12.83203125" style="146" bestFit="1" customWidth="1"/>
    <col min="16" max="16" width="4.83203125" style="146" bestFit="1" customWidth="1"/>
    <col min="17" max="17" width="15.83203125" style="146" bestFit="1" customWidth="1"/>
    <col min="18" max="18" width="14.83203125" style="146" bestFit="1" customWidth="1"/>
    <col min="19" max="21" width="13.83203125" style="146" bestFit="1" customWidth="1"/>
    <col min="22" max="23" width="4.83203125" style="146" bestFit="1" customWidth="1"/>
    <col min="24" max="24" width="15.83203125" style="146" bestFit="1" customWidth="1"/>
    <col min="25" max="25" width="14.83203125" style="146" bestFit="1" customWidth="1"/>
    <col min="26" max="27" width="13.83203125" style="146" bestFit="1" customWidth="1"/>
    <col min="28" max="29" width="14.83203125" style="146" bestFit="1" customWidth="1"/>
    <col min="30" max="30" width="13.83203125" style="146" customWidth="1"/>
    <col min="31" max="31" width="15.83203125" style="146" customWidth="1"/>
    <col min="32" max="39" width="4.83203125" style="146" customWidth="1"/>
    <col min="40" max="45" width="2.33203125" style="146" customWidth="1"/>
    <col min="46" max="16384" width="8.83203125" style="146"/>
  </cols>
  <sheetData>
    <row r="1" spans="1:45" x14ac:dyDescent="0.15">
      <c r="A1" s="145" t="s">
        <v>19</v>
      </c>
      <c r="B1" s="183" t="s">
        <v>193</v>
      </c>
      <c r="C1" s="183" t="s">
        <v>194</v>
      </c>
      <c r="D1" s="183" t="s">
        <v>195</v>
      </c>
      <c r="E1" s="183" t="s">
        <v>196</v>
      </c>
      <c r="F1" s="183" t="s">
        <v>197</v>
      </c>
      <c r="G1" s="183" t="s">
        <v>198</v>
      </c>
      <c r="H1" s="183" t="s">
        <v>199</v>
      </c>
      <c r="I1" s="183" t="s">
        <v>200</v>
      </c>
      <c r="J1" s="183" t="s">
        <v>201</v>
      </c>
      <c r="K1" s="183" t="s">
        <v>202</v>
      </c>
      <c r="L1" s="183" t="s">
        <v>203</v>
      </c>
      <c r="M1" s="183" t="s">
        <v>204</v>
      </c>
      <c r="N1" s="183" t="s">
        <v>205</v>
      </c>
      <c r="O1" s="183" t="s">
        <v>206</v>
      </c>
      <c r="P1" s="183" t="s">
        <v>207</v>
      </c>
      <c r="Q1" s="183" t="s">
        <v>208</v>
      </c>
      <c r="R1" s="183" t="s">
        <v>209</v>
      </c>
      <c r="S1" s="183" t="s">
        <v>210</v>
      </c>
      <c r="T1" s="183" t="s">
        <v>211</v>
      </c>
      <c r="U1" s="183" t="s">
        <v>212</v>
      </c>
      <c r="V1" s="183" t="s">
        <v>213</v>
      </c>
      <c r="W1" s="183" t="s">
        <v>214</v>
      </c>
      <c r="X1" s="183" t="s">
        <v>215</v>
      </c>
      <c r="Y1" s="183" t="s">
        <v>216</v>
      </c>
      <c r="Z1" s="183" t="s">
        <v>217</v>
      </c>
      <c r="AA1" s="183" t="s">
        <v>218</v>
      </c>
      <c r="AB1" s="183" t="s">
        <v>219</v>
      </c>
      <c r="AC1" s="183" t="s">
        <v>220</v>
      </c>
      <c r="AD1" s="183" t="s">
        <v>221</v>
      </c>
      <c r="AE1" s="183" t="s">
        <v>222</v>
      </c>
      <c r="AF1" s="183" t="s">
        <v>223</v>
      </c>
      <c r="AG1" s="183" t="s">
        <v>224</v>
      </c>
      <c r="AH1" s="183" t="s">
        <v>225</v>
      </c>
      <c r="AI1" s="183" t="s">
        <v>226</v>
      </c>
      <c r="AJ1" s="183" t="s">
        <v>227</v>
      </c>
      <c r="AK1" s="183" t="s">
        <v>228</v>
      </c>
      <c r="AL1" s="183" t="s">
        <v>229</v>
      </c>
      <c r="AM1" s="183" t="s">
        <v>230</v>
      </c>
      <c r="AN1" s="183" t="s">
        <v>231</v>
      </c>
      <c r="AO1" s="183" t="s">
        <v>232</v>
      </c>
      <c r="AP1" s="183" t="s">
        <v>233</v>
      </c>
      <c r="AQ1" s="183" t="s">
        <v>234</v>
      </c>
      <c r="AR1" s="183" t="s">
        <v>235</v>
      </c>
      <c r="AS1" s="183" t="s">
        <v>236</v>
      </c>
    </row>
    <row r="2" spans="1:45" customFormat="1" x14ac:dyDescent="0.15">
      <c r="A2" s="182" t="s">
        <v>193</v>
      </c>
      <c r="B2" s="146">
        <v>0</v>
      </c>
      <c r="C2" s="146">
        <v>0</v>
      </c>
      <c r="D2" s="146">
        <v>0</v>
      </c>
      <c r="E2" s="146">
        <v>0</v>
      </c>
      <c r="F2" s="146">
        <v>0</v>
      </c>
      <c r="G2" s="146">
        <v>0</v>
      </c>
      <c r="H2" s="146">
        <v>0</v>
      </c>
      <c r="I2" s="146">
        <v>0</v>
      </c>
      <c r="J2" s="146">
        <v>0</v>
      </c>
      <c r="K2" s="146">
        <v>0</v>
      </c>
      <c r="L2" s="146">
        <v>0</v>
      </c>
      <c r="M2" s="146">
        <v>0</v>
      </c>
      <c r="N2" s="146">
        <v>0</v>
      </c>
      <c r="O2" s="146">
        <v>0</v>
      </c>
      <c r="P2" s="146">
        <v>0</v>
      </c>
      <c r="Q2" s="146">
        <v>0</v>
      </c>
      <c r="R2" s="146">
        <v>0</v>
      </c>
      <c r="S2" s="146">
        <v>0</v>
      </c>
      <c r="T2" s="146">
        <v>0</v>
      </c>
      <c r="U2" s="146">
        <v>0</v>
      </c>
      <c r="V2" s="146">
        <v>0</v>
      </c>
      <c r="W2" s="146">
        <v>0</v>
      </c>
      <c r="X2" s="146">
        <v>0</v>
      </c>
      <c r="Y2" s="146">
        <v>0</v>
      </c>
      <c r="Z2" s="146">
        <v>0</v>
      </c>
      <c r="AA2" s="146">
        <v>0</v>
      </c>
      <c r="AB2" s="146">
        <v>0</v>
      </c>
      <c r="AC2" s="146">
        <v>0</v>
      </c>
      <c r="AD2" s="146">
        <v>0</v>
      </c>
      <c r="AE2" s="146">
        <v>0</v>
      </c>
      <c r="AF2" s="146">
        <v>0</v>
      </c>
      <c r="AG2" s="146">
        <v>0</v>
      </c>
      <c r="AH2" s="146">
        <v>0</v>
      </c>
      <c r="AI2" s="146">
        <v>0</v>
      </c>
      <c r="AJ2" s="146">
        <v>0</v>
      </c>
      <c r="AK2" s="146">
        <v>0</v>
      </c>
      <c r="AL2" s="146">
        <v>0</v>
      </c>
      <c r="AM2" s="146">
        <v>0</v>
      </c>
      <c r="AN2" s="146">
        <v>0</v>
      </c>
      <c r="AO2" s="146">
        <v>0</v>
      </c>
      <c r="AP2" s="146">
        <v>0</v>
      </c>
      <c r="AQ2" s="146">
        <v>0</v>
      </c>
      <c r="AR2" s="146">
        <v>0</v>
      </c>
      <c r="AS2" s="146">
        <v>0</v>
      </c>
    </row>
    <row r="3" spans="1:45" customFormat="1" x14ac:dyDescent="0.15">
      <c r="A3" s="182" t="s">
        <v>194</v>
      </c>
      <c r="B3" s="146">
        <v>0</v>
      </c>
      <c r="C3" s="146">
        <v>0</v>
      </c>
      <c r="D3" s="146">
        <v>0</v>
      </c>
      <c r="E3" s="146">
        <v>0</v>
      </c>
      <c r="F3" s="146">
        <v>0</v>
      </c>
      <c r="G3" s="146">
        <v>0</v>
      </c>
      <c r="H3" s="146">
        <v>0</v>
      </c>
      <c r="I3" s="146">
        <v>0</v>
      </c>
      <c r="J3" s="146">
        <v>0</v>
      </c>
      <c r="K3" s="146">
        <v>0</v>
      </c>
      <c r="L3" s="146">
        <v>0</v>
      </c>
      <c r="M3" s="146">
        <v>0</v>
      </c>
      <c r="N3" s="146">
        <v>0</v>
      </c>
      <c r="O3" s="146">
        <v>0</v>
      </c>
      <c r="P3" s="146">
        <v>0</v>
      </c>
      <c r="Q3" s="146">
        <v>0</v>
      </c>
      <c r="R3" s="146">
        <v>0</v>
      </c>
      <c r="S3" s="146">
        <v>0</v>
      </c>
      <c r="T3" s="146">
        <v>0</v>
      </c>
      <c r="U3" s="146">
        <v>0</v>
      </c>
      <c r="V3" s="146">
        <v>0</v>
      </c>
      <c r="W3" s="146">
        <v>0</v>
      </c>
      <c r="X3" s="146">
        <v>0</v>
      </c>
      <c r="Y3" s="146">
        <v>0</v>
      </c>
      <c r="Z3" s="146">
        <v>0</v>
      </c>
      <c r="AA3" s="146">
        <v>0</v>
      </c>
      <c r="AB3" s="146">
        <v>0</v>
      </c>
      <c r="AC3" s="146">
        <v>0</v>
      </c>
      <c r="AD3" s="146">
        <v>0</v>
      </c>
      <c r="AE3" s="146">
        <v>0</v>
      </c>
      <c r="AF3" s="146">
        <v>0</v>
      </c>
      <c r="AG3" s="146">
        <v>0</v>
      </c>
      <c r="AH3" s="146">
        <v>0</v>
      </c>
      <c r="AI3" s="146">
        <v>0</v>
      </c>
      <c r="AJ3" s="146">
        <v>0</v>
      </c>
      <c r="AK3" s="146">
        <v>0</v>
      </c>
      <c r="AL3" s="146">
        <v>0</v>
      </c>
      <c r="AM3" s="146">
        <v>0</v>
      </c>
      <c r="AN3" s="146">
        <v>0</v>
      </c>
      <c r="AO3" s="146">
        <v>0</v>
      </c>
      <c r="AP3" s="146">
        <v>0</v>
      </c>
      <c r="AQ3" s="146">
        <v>0</v>
      </c>
      <c r="AR3" s="146">
        <v>0</v>
      </c>
      <c r="AS3" s="146">
        <v>0</v>
      </c>
    </row>
    <row r="4" spans="1:45" customFormat="1" x14ac:dyDescent="0.15">
      <c r="A4" s="182" t="s">
        <v>195</v>
      </c>
      <c r="B4" s="146">
        <v>0</v>
      </c>
      <c r="C4" s="146">
        <v>0</v>
      </c>
      <c r="D4" s="146">
        <v>0</v>
      </c>
      <c r="E4" s="146">
        <v>0</v>
      </c>
      <c r="F4" s="146">
        <v>0</v>
      </c>
      <c r="G4" s="146">
        <v>0</v>
      </c>
      <c r="H4" s="146">
        <v>0</v>
      </c>
      <c r="I4" s="146">
        <v>0</v>
      </c>
      <c r="J4" s="146">
        <v>0</v>
      </c>
      <c r="K4" s="146">
        <v>0</v>
      </c>
      <c r="L4" s="146">
        <v>0</v>
      </c>
      <c r="M4" s="146">
        <v>0</v>
      </c>
      <c r="N4" s="146">
        <v>0</v>
      </c>
      <c r="O4" s="146">
        <v>0</v>
      </c>
      <c r="P4" s="146">
        <v>0</v>
      </c>
      <c r="Q4" s="146">
        <v>0</v>
      </c>
      <c r="R4" s="146">
        <v>0</v>
      </c>
      <c r="S4" s="146">
        <v>0</v>
      </c>
      <c r="T4" s="146">
        <v>0</v>
      </c>
      <c r="U4" s="146">
        <v>0</v>
      </c>
      <c r="V4" s="146">
        <v>0</v>
      </c>
      <c r="W4" s="146">
        <v>0</v>
      </c>
      <c r="X4" s="146">
        <v>0</v>
      </c>
      <c r="Y4" s="146">
        <v>0</v>
      </c>
      <c r="Z4" s="146">
        <v>0</v>
      </c>
      <c r="AA4" s="146">
        <v>0</v>
      </c>
      <c r="AB4" s="146">
        <v>0</v>
      </c>
      <c r="AC4" s="146">
        <v>0</v>
      </c>
      <c r="AD4" s="146">
        <v>0</v>
      </c>
      <c r="AE4" s="146">
        <v>0</v>
      </c>
      <c r="AF4" s="146">
        <v>0</v>
      </c>
      <c r="AG4" s="146">
        <v>0</v>
      </c>
      <c r="AH4" s="146">
        <v>0</v>
      </c>
      <c r="AI4" s="146">
        <v>0</v>
      </c>
      <c r="AJ4" s="146">
        <v>0</v>
      </c>
      <c r="AK4" s="146">
        <v>0</v>
      </c>
      <c r="AL4" s="146">
        <v>0</v>
      </c>
      <c r="AM4" s="146">
        <v>0</v>
      </c>
      <c r="AN4" s="146">
        <v>0</v>
      </c>
      <c r="AO4" s="146">
        <v>0</v>
      </c>
      <c r="AP4" s="146">
        <v>0</v>
      </c>
      <c r="AQ4" s="146">
        <v>0</v>
      </c>
      <c r="AR4" s="146">
        <v>0</v>
      </c>
      <c r="AS4" s="146">
        <v>0</v>
      </c>
    </row>
    <row r="5" spans="1:45" customFormat="1" x14ac:dyDescent="0.15">
      <c r="A5" s="182" t="s">
        <v>196</v>
      </c>
      <c r="B5" s="146">
        <v>0</v>
      </c>
      <c r="C5" s="146">
        <v>0</v>
      </c>
      <c r="D5" s="146">
        <v>0</v>
      </c>
      <c r="E5" s="146">
        <v>0</v>
      </c>
      <c r="F5" s="146">
        <v>0</v>
      </c>
      <c r="G5" s="146">
        <v>0</v>
      </c>
      <c r="H5" s="146">
        <v>0</v>
      </c>
      <c r="I5" s="146">
        <v>0</v>
      </c>
      <c r="J5" s="146">
        <v>0</v>
      </c>
      <c r="K5" s="146">
        <v>0</v>
      </c>
      <c r="L5" s="146">
        <v>0</v>
      </c>
      <c r="M5" s="146">
        <v>0</v>
      </c>
      <c r="N5" s="146">
        <v>0</v>
      </c>
      <c r="O5" s="146">
        <v>0</v>
      </c>
      <c r="P5" s="146">
        <v>0</v>
      </c>
      <c r="Q5" s="146">
        <v>0</v>
      </c>
      <c r="R5" s="146">
        <v>0</v>
      </c>
      <c r="S5" s="146">
        <v>0</v>
      </c>
      <c r="T5" s="146">
        <v>0</v>
      </c>
      <c r="U5" s="146">
        <v>0</v>
      </c>
      <c r="V5" s="146">
        <v>0</v>
      </c>
      <c r="W5" s="146">
        <v>0</v>
      </c>
      <c r="X5" s="146">
        <v>0</v>
      </c>
      <c r="Y5" s="146">
        <v>0</v>
      </c>
      <c r="Z5" s="146">
        <v>0</v>
      </c>
      <c r="AA5" s="146">
        <v>0</v>
      </c>
      <c r="AB5" s="146">
        <v>0</v>
      </c>
      <c r="AC5" s="146">
        <v>0</v>
      </c>
      <c r="AD5" s="146">
        <v>0</v>
      </c>
      <c r="AE5" s="146">
        <v>0</v>
      </c>
      <c r="AF5" s="146">
        <v>0</v>
      </c>
      <c r="AG5" s="146">
        <v>0</v>
      </c>
      <c r="AH5" s="146">
        <v>0</v>
      </c>
      <c r="AI5" s="146">
        <v>0</v>
      </c>
      <c r="AJ5" s="146">
        <v>0</v>
      </c>
      <c r="AK5" s="146">
        <v>0</v>
      </c>
      <c r="AL5" s="146">
        <v>0</v>
      </c>
      <c r="AM5" s="146">
        <v>0</v>
      </c>
      <c r="AN5" s="146">
        <v>0</v>
      </c>
      <c r="AO5" s="146">
        <v>0</v>
      </c>
      <c r="AP5" s="146">
        <v>0</v>
      </c>
      <c r="AQ5" s="146">
        <v>0</v>
      </c>
      <c r="AR5" s="146">
        <v>0</v>
      </c>
      <c r="AS5" s="146">
        <v>0</v>
      </c>
    </row>
    <row r="6" spans="1:45" customFormat="1" x14ac:dyDescent="0.15">
      <c r="A6" s="182" t="s">
        <v>197</v>
      </c>
      <c r="B6" s="146">
        <v>0</v>
      </c>
      <c r="C6" s="146">
        <v>0</v>
      </c>
      <c r="D6" s="146">
        <v>0</v>
      </c>
      <c r="E6" s="146">
        <v>0</v>
      </c>
      <c r="F6" s="146">
        <v>9.9955447686525586E-3</v>
      </c>
      <c r="G6" s="146">
        <v>0</v>
      </c>
      <c r="H6" s="146">
        <v>0</v>
      </c>
      <c r="I6" s="146">
        <v>0</v>
      </c>
      <c r="J6" s="146">
        <v>0</v>
      </c>
      <c r="K6" s="146">
        <v>0</v>
      </c>
      <c r="L6" s="146">
        <v>0</v>
      </c>
      <c r="M6" s="146">
        <v>0</v>
      </c>
      <c r="N6" s="146">
        <v>0</v>
      </c>
      <c r="O6" s="146">
        <v>0</v>
      </c>
      <c r="P6" s="146">
        <v>0</v>
      </c>
      <c r="Q6" s="146">
        <v>0</v>
      </c>
      <c r="R6" s="146">
        <v>0</v>
      </c>
      <c r="S6" s="146">
        <v>0</v>
      </c>
      <c r="T6" s="146">
        <v>0</v>
      </c>
      <c r="U6" s="146">
        <v>0</v>
      </c>
      <c r="V6" s="146">
        <v>0</v>
      </c>
      <c r="W6" s="146">
        <v>0</v>
      </c>
      <c r="X6" s="146">
        <v>0</v>
      </c>
      <c r="Y6" s="146">
        <v>0</v>
      </c>
      <c r="Z6" s="146">
        <v>0</v>
      </c>
      <c r="AA6" s="146">
        <v>0</v>
      </c>
      <c r="AB6" s="146">
        <v>0</v>
      </c>
      <c r="AC6" s="146">
        <v>0</v>
      </c>
      <c r="AD6" s="146">
        <v>0</v>
      </c>
      <c r="AE6" s="146">
        <v>0</v>
      </c>
      <c r="AF6" s="146">
        <v>0</v>
      </c>
      <c r="AG6" s="146">
        <v>0</v>
      </c>
      <c r="AH6" s="146">
        <v>0</v>
      </c>
      <c r="AI6" s="146">
        <v>0</v>
      </c>
      <c r="AJ6" s="146">
        <v>0</v>
      </c>
      <c r="AK6" s="146">
        <v>0</v>
      </c>
      <c r="AL6" s="146">
        <v>0</v>
      </c>
      <c r="AM6" s="146">
        <v>0</v>
      </c>
      <c r="AN6" s="146">
        <v>0</v>
      </c>
      <c r="AO6" s="146">
        <v>0</v>
      </c>
      <c r="AP6" s="146">
        <v>0</v>
      </c>
      <c r="AQ6" s="146">
        <v>0</v>
      </c>
      <c r="AR6" s="146">
        <v>0</v>
      </c>
      <c r="AS6" s="146">
        <v>0</v>
      </c>
    </row>
    <row r="7" spans="1:45" customFormat="1" x14ac:dyDescent="0.15">
      <c r="A7" s="182" t="s">
        <v>198</v>
      </c>
      <c r="B7" s="146">
        <v>0</v>
      </c>
      <c r="C7" s="146">
        <v>0</v>
      </c>
      <c r="D7" s="146">
        <v>0</v>
      </c>
      <c r="E7" s="146">
        <v>0</v>
      </c>
      <c r="F7" s="146">
        <v>4.3980391782132248E-2</v>
      </c>
      <c r="G7" s="146">
        <v>0</v>
      </c>
      <c r="H7" s="146">
        <v>2.2349941845213678E-2</v>
      </c>
      <c r="I7" s="146">
        <v>0</v>
      </c>
      <c r="J7" s="146">
        <v>0</v>
      </c>
      <c r="K7" s="146">
        <v>0</v>
      </c>
      <c r="L7" s="146">
        <v>0</v>
      </c>
      <c r="M7" s="146">
        <v>0</v>
      </c>
      <c r="N7" s="146">
        <v>0</v>
      </c>
      <c r="O7" s="146">
        <v>0</v>
      </c>
      <c r="P7" s="146">
        <v>0</v>
      </c>
      <c r="Q7" s="146">
        <v>0</v>
      </c>
      <c r="R7" s="146">
        <v>0</v>
      </c>
      <c r="S7" s="146">
        <v>0</v>
      </c>
      <c r="T7" s="146">
        <v>0</v>
      </c>
      <c r="U7" s="146">
        <v>0</v>
      </c>
      <c r="V7" s="146">
        <v>0</v>
      </c>
      <c r="W7" s="146">
        <v>0</v>
      </c>
      <c r="X7" s="146">
        <v>0</v>
      </c>
      <c r="Y7" s="146">
        <v>0</v>
      </c>
      <c r="Z7" s="146">
        <v>0</v>
      </c>
      <c r="AA7" s="146">
        <v>0</v>
      </c>
      <c r="AB7" s="146">
        <v>0</v>
      </c>
      <c r="AC7" s="146">
        <v>0</v>
      </c>
      <c r="AD7" s="146">
        <v>0</v>
      </c>
      <c r="AE7" s="146">
        <v>0</v>
      </c>
      <c r="AF7" s="146">
        <v>0</v>
      </c>
      <c r="AG7" s="146">
        <v>0</v>
      </c>
      <c r="AH7" s="146">
        <v>0</v>
      </c>
      <c r="AI7" s="146">
        <v>0</v>
      </c>
      <c r="AJ7" s="146">
        <v>0</v>
      </c>
      <c r="AK7" s="146">
        <v>0</v>
      </c>
      <c r="AL7" s="146">
        <v>0</v>
      </c>
      <c r="AM7" s="146">
        <v>0</v>
      </c>
      <c r="AN7" s="146">
        <v>0</v>
      </c>
      <c r="AO7" s="146">
        <v>0</v>
      </c>
      <c r="AP7" s="146">
        <v>0</v>
      </c>
      <c r="AQ7" s="146">
        <v>0</v>
      </c>
      <c r="AR7" s="146">
        <v>0</v>
      </c>
      <c r="AS7" s="146">
        <v>0</v>
      </c>
    </row>
    <row r="8" spans="1:45" customFormat="1" x14ac:dyDescent="0.15">
      <c r="A8" s="182" t="s">
        <v>199</v>
      </c>
      <c r="B8" s="146">
        <v>0</v>
      </c>
      <c r="C8" s="146">
        <v>0</v>
      </c>
      <c r="D8" s="146">
        <v>0</v>
      </c>
      <c r="E8" s="146">
        <v>3.5724208488135296E-2</v>
      </c>
      <c r="F8" s="146">
        <v>3.79830689208938E-2</v>
      </c>
      <c r="G8" s="146">
        <v>1.0001732800607429E-3</v>
      </c>
      <c r="H8" s="146">
        <v>0</v>
      </c>
      <c r="I8" s="146">
        <v>0</v>
      </c>
      <c r="J8" s="146">
        <v>0</v>
      </c>
      <c r="K8" s="146">
        <v>0</v>
      </c>
      <c r="L8" s="146">
        <v>0</v>
      </c>
      <c r="M8" s="146">
        <v>0</v>
      </c>
      <c r="N8" s="146">
        <v>0</v>
      </c>
      <c r="O8" s="146">
        <v>0</v>
      </c>
      <c r="P8" s="146">
        <v>0</v>
      </c>
      <c r="Q8" s="146">
        <v>0</v>
      </c>
      <c r="R8" s="146">
        <v>0</v>
      </c>
      <c r="S8" s="146">
        <v>0</v>
      </c>
      <c r="T8" s="146">
        <v>0</v>
      </c>
      <c r="U8" s="146">
        <v>0</v>
      </c>
      <c r="V8" s="146">
        <v>0</v>
      </c>
      <c r="W8" s="146">
        <v>0</v>
      </c>
      <c r="X8" s="146">
        <v>0</v>
      </c>
      <c r="Y8" s="146">
        <v>0</v>
      </c>
      <c r="Z8" s="146">
        <v>0</v>
      </c>
      <c r="AA8" s="146">
        <v>0</v>
      </c>
      <c r="AB8" s="146">
        <v>0</v>
      </c>
      <c r="AC8" s="146">
        <v>0</v>
      </c>
      <c r="AD8" s="146">
        <v>0</v>
      </c>
      <c r="AE8" s="146">
        <v>0</v>
      </c>
      <c r="AF8" s="146">
        <v>0</v>
      </c>
      <c r="AG8" s="146">
        <v>0</v>
      </c>
      <c r="AH8" s="146">
        <v>0</v>
      </c>
      <c r="AI8" s="146">
        <v>0</v>
      </c>
      <c r="AJ8" s="146">
        <v>0</v>
      </c>
      <c r="AK8" s="146">
        <v>0</v>
      </c>
      <c r="AL8" s="146">
        <v>0</v>
      </c>
      <c r="AM8" s="146">
        <v>0</v>
      </c>
      <c r="AN8" s="146">
        <v>0</v>
      </c>
      <c r="AO8" s="146">
        <v>0</v>
      </c>
      <c r="AP8" s="146">
        <v>0</v>
      </c>
      <c r="AQ8" s="146">
        <v>0</v>
      </c>
      <c r="AR8" s="146">
        <v>0</v>
      </c>
      <c r="AS8" s="146">
        <v>0</v>
      </c>
    </row>
    <row r="9" spans="1:45" customFormat="1" x14ac:dyDescent="0.15">
      <c r="A9" s="182" t="s">
        <v>200</v>
      </c>
      <c r="B9" s="146">
        <v>0</v>
      </c>
      <c r="C9" s="146">
        <v>0</v>
      </c>
      <c r="D9" s="146">
        <v>0</v>
      </c>
      <c r="E9" s="146">
        <v>0</v>
      </c>
      <c r="F9" s="146">
        <v>0</v>
      </c>
      <c r="G9" s="146">
        <v>0</v>
      </c>
      <c r="H9" s="146">
        <v>0</v>
      </c>
      <c r="I9" s="146">
        <v>0</v>
      </c>
      <c r="J9" s="146">
        <v>0</v>
      </c>
      <c r="K9" s="146">
        <v>0</v>
      </c>
      <c r="L9" s="146">
        <v>0</v>
      </c>
      <c r="M9" s="146">
        <v>0</v>
      </c>
      <c r="N9" s="146">
        <v>0</v>
      </c>
      <c r="O9" s="146">
        <v>0</v>
      </c>
      <c r="P9" s="146">
        <v>0</v>
      </c>
      <c r="Q9" s="146">
        <v>0</v>
      </c>
      <c r="R9" s="146">
        <v>0</v>
      </c>
      <c r="S9" s="146">
        <v>0</v>
      </c>
      <c r="T9" s="146">
        <v>0</v>
      </c>
      <c r="U9" s="146">
        <v>0</v>
      </c>
      <c r="V9" s="146">
        <v>0</v>
      </c>
      <c r="W9" s="146">
        <v>0</v>
      </c>
      <c r="X9" s="146">
        <v>0</v>
      </c>
      <c r="Y9" s="146">
        <v>0</v>
      </c>
      <c r="Z9" s="146">
        <v>0</v>
      </c>
      <c r="AA9" s="146">
        <v>0</v>
      </c>
      <c r="AB9" s="146">
        <v>0</v>
      </c>
      <c r="AC9" s="146">
        <v>0</v>
      </c>
      <c r="AD9" s="146">
        <v>0</v>
      </c>
      <c r="AE9" s="146">
        <v>0</v>
      </c>
      <c r="AF9" s="146">
        <v>0</v>
      </c>
      <c r="AG9" s="146">
        <v>0</v>
      </c>
      <c r="AH9" s="146">
        <v>0</v>
      </c>
      <c r="AI9" s="146">
        <v>0</v>
      </c>
      <c r="AJ9" s="146">
        <v>0</v>
      </c>
      <c r="AK9" s="146">
        <v>0</v>
      </c>
      <c r="AL9" s="146">
        <v>0</v>
      </c>
      <c r="AM9" s="146">
        <v>0</v>
      </c>
      <c r="AN9" s="146">
        <v>0</v>
      </c>
      <c r="AO9" s="146">
        <v>0</v>
      </c>
      <c r="AP9" s="146">
        <v>0</v>
      </c>
      <c r="AQ9" s="146">
        <v>0</v>
      </c>
      <c r="AR9" s="146">
        <v>0</v>
      </c>
      <c r="AS9" s="146">
        <v>0</v>
      </c>
    </row>
    <row r="10" spans="1:45" customFormat="1" x14ac:dyDescent="0.15">
      <c r="A10" s="182" t="s">
        <v>201</v>
      </c>
      <c r="B10" s="146">
        <v>0</v>
      </c>
      <c r="C10" s="146">
        <v>0</v>
      </c>
      <c r="D10" s="146">
        <v>0</v>
      </c>
      <c r="E10" s="146">
        <v>9.9997040234570071E-3</v>
      </c>
      <c r="F10" s="146">
        <v>4.9999413588877649E-3</v>
      </c>
      <c r="G10" s="146">
        <v>0</v>
      </c>
      <c r="H10" s="146">
        <v>8.1550095416452872E-3</v>
      </c>
      <c r="I10" s="146">
        <v>0</v>
      </c>
      <c r="J10" s="146">
        <v>1.4549412944089238E-3</v>
      </c>
      <c r="K10" s="146">
        <v>2.0806775455939144E-2</v>
      </c>
      <c r="L10" s="146">
        <v>2.0011483954435486E-2</v>
      </c>
      <c r="M10" s="146">
        <v>1.4801708865754597E-2</v>
      </c>
      <c r="N10" s="146">
        <v>0</v>
      </c>
      <c r="O10" s="146">
        <v>0</v>
      </c>
      <c r="P10" s="146">
        <v>0</v>
      </c>
      <c r="Q10" s="146">
        <v>2.999619438281865E-3</v>
      </c>
      <c r="R10" s="146">
        <v>0</v>
      </c>
      <c r="S10" s="146">
        <v>0</v>
      </c>
      <c r="T10" s="146">
        <v>0</v>
      </c>
      <c r="U10" s="146">
        <v>0</v>
      </c>
      <c r="V10" s="146">
        <v>0</v>
      </c>
      <c r="W10" s="146">
        <v>0</v>
      </c>
      <c r="X10" s="146">
        <v>0</v>
      </c>
      <c r="Y10" s="146">
        <v>0</v>
      </c>
      <c r="Z10" s="146">
        <v>0</v>
      </c>
      <c r="AA10" s="146">
        <v>0</v>
      </c>
      <c r="AB10" s="146">
        <v>0</v>
      </c>
      <c r="AC10" s="146">
        <v>0</v>
      </c>
      <c r="AD10" s="146">
        <v>0</v>
      </c>
      <c r="AE10" s="146">
        <v>0</v>
      </c>
      <c r="AF10" s="146">
        <v>0</v>
      </c>
      <c r="AG10" s="146">
        <v>0</v>
      </c>
      <c r="AH10" s="146">
        <v>0</v>
      </c>
      <c r="AI10" s="146">
        <v>0</v>
      </c>
      <c r="AJ10" s="146">
        <v>0</v>
      </c>
      <c r="AK10" s="146">
        <v>0</v>
      </c>
      <c r="AL10" s="146">
        <v>0</v>
      </c>
      <c r="AM10" s="146">
        <v>0</v>
      </c>
      <c r="AN10" s="146">
        <v>0</v>
      </c>
      <c r="AO10" s="146">
        <v>0</v>
      </c>
      <c r="AP10" s="146">
        <v>0</v>
      </c>
      <c r="AQ10" s="146">
        <v>0</v>
      </c>
      <c r="AR10" s="146">
        <v>0</v>
      </c>
      <c r="AS10" s="146">
        <v>0</v>
      </c>
    </row>
    <row r="11" spans="1:45" customFormat="1" x14ac:dyDescent="0.15">
      <c r="A11" s="182" t="s">
        <v>202</v>
      </c>
      <c r="B11" s="146">
        <v>0</v>
      </c>
      <c r="C11" s="146">
        <v>0</v>
      </c>
      <c r="D11" s="146">
        <v>0</v>
      </c>
      <c r="E11" s="146">
        <v>0</v>
      </c>
      <c r="F11" s="146">
        <v>5.6871202994057658E-2</v>
      </c>
      <c r="G11" s="146">
        <v>0</v>
      </c>
      <c r="H11" s="146">
        <v>2.3326748489187275E-2</v>
      </c>
      <c r="I11" s="146">
        <v>0</v>
      </c>
      <c r="J11" s="146">
        <v>0</v>
      </c>
      <c r="K11" s="146">
        <v>4.0013029722959899E-2</v>
      </c>
      <c r="L11" s="146">
        <v>0</v>
      </c>
      <c r="M11" s="146">
        <v>0</v>
      </c>
      <c r="N11" s="146">
        <v>0</v>
      </c>
      <c r="O11" s="146">
        <v>0</v>
      </c>
      <c r="P11" s="146">
        <v>0</v>
      </c>
      <c r="Q11" s="146">
        <v>0</v>
      </c>
      <c r="R11" s="146">
        <v>0</v>
      </c>
      <c r="S11" s="146">
        <v>0</v>
      </c>
      <c r="T11" s="146">
        <v>0</v>
      </c>
      <c r="U11" s="146">
        <v>0</v>
      </c>
      <c r="V11" s="146">
        <v>0</v>
      </c>
      <c r="W11" s="146">
        <v>0</v>
      </c>
      <c r="X11" s="146">
        <v>0</v>
      </c>
      <c r="Y11" s="146">
        <v>0</v>
      </c>
      <c r="Z11" s="146">
        <v>0</v>
      </c>
      <c r="AA11" s="146">
        <v>0</v>
      </c>
      <c r="AB11" s="146">
        <v>0</v>
      </c>
      <c r="AC11" s="146">
        <v>0</v>
      </c>
      <c r="AD11" s="146">
        <v>0</v>
      </c>
      <c r="AE11" s="146">
        <v>0</v>
      </c>
      <c r="AF11" s="146">
        <v>0</v>
      </c>
      <c r="AG11" s="146">
        <v>0</v>
      </c>
      <c r="AH11" s="146">
        <v>0</v>
      </c>
      <c r="AI11" s="146">
        <v>0</v>
      </c>
      <c r="AJ11" s="146">
        <v>0</v>
      </c>
      <c r="AK11" s="146">
        <v>0</v>
      </c>
      <c r="AL11" s="146">
        <v>0</v>
      </c>
      <c r="AM11" s="146">
        <v>0</v>
      </c>
      <c r="AN11" s="146">
        <v>0</v>
      </c>
      <c r="AO11" s="146">
        <v>0</v>
      </c>
      <c r="AP11" s="146">
        <v>0</v>
      </c>
      <c r="AQ11" s="146">
        <v>0</v>
      </c>
      <c r="AR11" s="146">
        <v>0</v>
      </c>
      <c r="AS11" s="146">
        <v>0</v>
      </c>
    </row>
    <row r="12" spans="1:45" customFormat="1" x14ac:dyDescent="0.15">
      <c r="A12" s="182" t="s">
        <v>203</v>
      </c>
      <c r="B12" s="146">
        <v>0</v>
      </c>
      <c r="C12" s="146">
        <v>0</v>
      </c>
      <c r="D12" s="146">
        <v>0</v>
      </c>
      <c r="E12" s="146">
        <v>1.1908069496045101E-2</v>
      </c>
      <c r="F12" s="146">
        <v>0</v>
      </c>
      <c r="G12" s="146">
        <v>0</v>
      </c>
      <c r="H12" s="146">
        <v>1.1663374244593638E-2</v>
      </c>
      <c r="I12" s="146">
        <v>0</v>
      </c>
      <c r="J12" s="146">
        <v>0</v>
      </c>
      <c r="K12" s="146">
        <v>5.0016287153699872E-2</v>
      </c>
      <c r="L12" s="146">
        <v>4.7921973437147936E-2</v>
      </c>
      <c r="M12" s="146">
        <v>0</v>
      </c>
      <c r="N12" s="146">
        <v>0</v>
      </c>
      <c r="O12" s="146">
        <v>0</v>
      </c>
      <c r="P12" s="146">
        <v>0</v>
      </c>
      <c r="Q12" s="146">
        <v>0</v>
      </c>
      <c r="R12" s="146">
        <v>0</v>
      </c>
      <c r="S12" s="146">
        <v>0</v>
      </c>
      <c r="T12" s="146">
        <v>0</v>
      </c>
      <c r="U12" s="146">
        <v>0</v>
      </c>
      <c r="V12" s="146">
        <v>0</v>
      </c>
      <c r="W12" s="146">
        <v>0</v>
      </c>
      <c r="X12" s="146">
        <v>0</v>
      </c>
      <c r="Y12" s="146">
        <v>0</v>
      </c>
      <c r="Z12" s="146">
        <v>0</v>
      </c>
      <c r="AA12" s="146">
        <v>0</v>
      </c>
      <c r="AB12" s="146">
        <v>0</v>
      </c>
      <c r="AC12" s="146">
        <v>0</v>
      </c>
      <c r="AD12" s="146">
        <v>0</v>
      </c>
      <c r="AE12" s="146">
        <v>0</v>
      </c>
      <c r="AF12" s="146">
        <v>0</v>
      </c>
      <c r="AG12" s="146">
        <v>0</v>
      </c>
      <c r="AH12" s="146">
        <v>0</v>
      </c>
      <c r="AI12" s="146">
        <v>0</v>
      </c>
      <c r="AJ12" s="146">
        <v>0</v>
      </c>
      <c r="AK12" s="146">
        <v>0</v>
      </c>
      <c r="AL12" s="146">
        <v>0</v>
      </c>
      <c r="AM12" s="146">
        <v>0</v>
      </c>
      <c r="AN12" s="146">
        <v>0</v>
      </c>
      <c r="AO12" s="146">
        <v>0</v>
      </c>
      <c r="AP12" s="146">
        <v>0</v>
      </c>
      <c r="AQ12" s="146">
        <v>0</v>
      </c>
      <c r="AR12" s="146">
        <v>0</v>
      </c>
      <c r="AS12" s="146">
        <v>0</v>
      </c>
    </row>
    <row r="13" spans="1:45" customFormat="1" x14ac:dyDescent="0.15">
      <c r="A13" s="182" t="s">
        <v>204</v>
      </c>
      <c r="B13" s="146">
        <v>0</v>
      </c>
      <c r="C13" s="146">
        <v>0</v>
      </c>
      <c r="D13" s="146">
        <v>0</v>
      </c>
      <c r="E13" s="146">
        <v>0</v>
      </c>
      <c r="F13" s="146">
        <v>4.9999413588877649E-3</v>
      </c>
      <c r="G13" s="146">
        <v>0</v>
      </c>
      <c r="H13" s="146">
        <v>0</v>
      </c>
      <c r="I13" s="146">
        <v>0</v>
      </c>
      <c r="J13" s="146">
        <v>0</v>
      </c>
      <c r="K13" s="146">
        <v>1.0603452876584372E-2</v>
      </c>
      <c r="L13" s="146">
        <v>0</v>
      </c>
      <c r="M13" s="146">
        <v>0</v>
      </c>
      <c r="N13" s="146">
        <v>0</v>
      </c>
      <c r="O13" s="146">
        <v>0</v>
      </c>
      <c r="P13" s="146">
        <v>0</v>
      </c>
      <c r="Q13" s="146">
        <v>7.9989851687516395E-3</v>
      </c>
      <c r="R13" s="146">
        <v>0</v>
      </c>
      <c r="S13" s="146">
        <v>0</v>
      </c>
      <c r="T13" s="146">
        <v>0</v>
      </c>
      <c r="U13" s="146">
        <v>0</v>
      </c>
      <c r="V13" s="146">
        <v>0</v>
      </c>
      <c r="W13" s="146">
        <v>0</v>
      </c>
      <c r="X13" s="146">
        <v>0</v>
      </c>
      <c r="Y13" s="146">
        <v>2.1285892685343383E-2</v>
      </c>
      <c r="Z13" s="146">
        <v>0</v>
      </c>
      <c r="AA13" s="146">
        <v>0</v>
      </c>
      <c r="AB13" s="146">
        <v>0</v>
      </c>
      <c r="AC13" s="146">
        <v>0</v>
      </c>
      <c r="AD13" s="146">
        <v>0</v>
      </c>
      <c r="AE13" s="146">
        <v>0</v>
      </c>
      <c r="AF13" s="146">
        <v>0</v>
      </c>
      <c r="AG13" s="146">
        <v>0</v>
      </c>
      <c r="AH13" s="146">
        <v>0</v>
      </c>
      <c r="AI13" s="146">
        <v>0</v>
      </c>
      <c r="AJ13" s="146">
        <v>0</v>
      </c>
      <c r="AK13" s="146">
        <v>0</v>
      </c>
      <c r="AL13" s="146">
        <v>0</v>
      </c>
      <c r="AM13" s="146">
        <v>0</v>
      </c>
      <c r="AN13" s="146">
        <v>0</v>
      </c>
      <c r="AO13" s="146">
        <v>0</v>
      </c>
      <c r="AP13" s="146">
        <v>0</v>
      </c>
      <c r="AQ13" s="146">
        <v>0</v>
      </c>
      <c r="AR13" s="146">
        <v>0</v>
      </c>
      <c r="AS13" s="146">
        <v>0</v>
      </c>
    </row>
    <row r="14" spans="1:45" customFormat="1" x14ac:dyDescent="0.15">
      <c r="A14" s="182" t="s">
        <v>205</v>
      </c>
      <c r="B14" s="146">
        <v>0</v>
      </c>
      <c r="C14" s="146">
        <v>0</v>
      </c>
      <c r="D14" s="146">
        <v>0</v>
      </c>
      <c r="E14" s="146">
        <v>0</v>
      </c>
      <c r="F14" s="146">
        <v>1.1374239598823261E-2</v>
      </c>
      <c r="G14" s="146">
        <v>0</v>
      </c>
      <c r="H14" s="146">
        <v>0</v>
      </c>
      <c r="I14" s="146">
        <v>0</v>
      </c>
      <c r="J14" s="146">
        <v>0</v>
      </c>
      <c r="K14" s="146">
        <v>0</v>
      </c>
      <c r="L14" s="146">
        <v>0</v>
      </c>
      <c r="M14" s="146">
        <v>0</v>
      </c>
      <c r="N14" s="146">
        <v>0</v>
      </c>
      <c r="O14" s="146">
        <v>0</v>
      </c>
      <c r="P14" s="146">
        <v>0</v>
      </c>
      <c r="Q14" s="146">
        <v>6.9991120226576848E-3</v>
      </c>
      <c r="R14" s="146">
        <v>0</v>
      </c>
      <c r="S14" s="146">
        <v>0</v>
      </c>
      <c r="T14" s="146">
        <v>0</v>
      </c>
      <c r="U14" s="146">
        <v>0</v>
      </c>
      <c r="V14" s="146">
        <v>0</v>
      </c>
      <c r="W14" s="146">
        <v>0</v>
      </c>
      <c r="X14" s="146">
        <v>0</v>
      </c>
      <c r="Y14" s="146">
        <v>0</v>
      </c>
      <c r="Z14" s="146">
        <v>0</v>
      </c>
      <c r="AA14" s="146">
        <v>0</v>
      </c>
      <c r="AB14" s="146">
        <v>0</v>
      </c>
      <c r="AC14" s="146">
        <v>0</v>
      </c>
      <c r="AD14" s="146">
        <v>0</v>
      </c>
      <c r="AE14" s="146">
        <v>0</v>
      </c>
      <c r="AF14" s="146">
        <v>0</v>
      </c>
      <c r="AG14" s="146">
        <v>0</v>
      </c>
      <c r="AH14" s="146">
        <v>0</v>
      </c>
      <c r="AI14" s="146">
        <v>0</v>
      </c>
      <c r="AJ14" s="146">
        <v>0</v>
      </c>
      <c r="AK14" s="146">
        <v>0</v>
      </c>
      <c r="AL14" s="146">
        <v>0</v>
      </c>
      <c r="AM14" s="146">
        <v>0</v>
      </c>
      <c r="AN14" s="146">
        <v>0</v>
      </c>
      <c r="AO14" s="146">
        <v>0</v>
      </c>
      <c r="AP14" s="146">
        <v>0</v>
      </c>
      <c r="AQ14" s="146">
        <v>0</v>
      </c>
      <c r="AR14" s="146">
        <v>0</v>
      </c>
      <c r="AS14" s="146">
        <v>0</v>
      </c>
    </row>
    <row r="15" spans="1:45" customFormat="1" x14ac:dyDescent="0.15">
      <c r="A15" s="182" t="s">
        <v>206</v>
      </c>
      <c r="B15" s="146">
        <v>0</v>
      </c>
      <c r="C15" s="146">
        <v>0</v>
      </c>
      <c r="D15" s="146">
        <v>0</v>
      </c>
      <c r="E15" s="146">
        <v>1.9999405546896757E-3</v>
      </c>
      <c r="F15" s="146">
        <v>0</v>
      </c>
      <c r="G15" s="146">
        <v>6.9982647703955448E-3</v>
      </c>
      <c r="H15" s="146">
        <v>1.0000637164464829E-3</v>
      </c>
      <c r="I15" s="146">
        <v>0</v>
      </c>
      <c r="J15" s="146">
        <v>0</v>
      </c>
      <c r="K15" s="146">
        <v>0</v>
      </c>
      <c r="L15" s="146">
        <v>0</v>
      </c>
      <c r="M15" s="146">
        <v>3.0002120606207315E-3</v>
      </c>
      <c r="N15" s="146">
        <v>9.9991842749775663E-4</v>
      </c>
      <c r="O15" s="146">
        <v>0</v>
      </c>
      <c r="P15" s="146">
        <v>0</v>
      </c>
      <c r="Q15" s="146">
        <v>2.9996194382818649E-2</v>
      </c>
      <c r="R15" s="146">
        <v>0</v>
      </c>
      <c r="S15" s="146">
        <v>0</v>
      </c>
      <c r="T15" s="146">
        <v>0</v>
      </c>
      <c r="U15" s="146">
        <v>0</v>
      </c>
      <c r="V15" s="146">
        <v>0</v>
      </c>
      <c r="W15" s="146">
        <v>0</v>
      </c>
      <c r="X15" s="146">
        <v>5.0024090530255362E-4</v>
      </c>
      <c r="Y15" s="146">
        <v>0</v>
      </c>
      <c r="Z15" s="146">
        <v>0</v>
      </c>
      <c r="AA15" s="146">
        <v>0</v>
      </c>
      <c r="AB15" s="146">
        <v>0</v>
      </c>
      <c r="AC15" s="146">
        <v>0</v>
      </c>
      <c r="AD15" s="146">
        <v>0</v>
      </c>
      <c r="AE15" s="146">
        <v>0</v>
      </c>
      <c r="AF15" s="146">
        <v>0</v>
      </c>
      <c r="AG15" s="146">
        <v>0</v>
      </c>
      <c r="AH15" s="146">
        <v>0</v>
      </c>
      <c r="AI15" s="146">
        <v>0</v>
      </c>
      <c r="AJ15" s="146">
        <v>0</v>
      </c>
      <c r="AK15" s="146">
        <v>0</v>
      </c>
      <c r="AL15" s="146">
        <v>0</v>
      </c>
      <c r="AM15" s="146">
        <v>0</v>
      </c>
      <c r="AN15" s="146">
        <v>0</v>
      </c>
      <c r="AO15" s="146">
        <v>0</v>
      </c>
      <c r="AP15" s="146">
        <v>0</v>
      </c>
      <c r="AQ15" s="146">
        <v>0</v>
      </c>
      <c r="AR15" s="146">
        <v>0</v>
      </c>
      <c r="AS15" s="146">
        <v>0</v>
      </c>
    </row>
    <row r="16" spans="1:45" customFormat="1" x14ac:dyDescent="0.15">
      <c r="A16" s="182" t="s">
        <v>207</v>
      </c>
      <c r="B16" s="146">
        <v>0</v>
      </c>
      <c r="C16" s="146">
        <v>0</v>
      </c>
      <c r="D16" s="146">
        <v>0</v>
      </c>
      <c r="E16" s="146">
        <v>0</v>
      </c>
      <c r="F16" s="146">
        <v>0</v>
      </c>
      <c r="G16" s="146">
        <v>4.9987604602825305E-4</v>
      </c>
      <c r="H16" s="146">
        <v>0</v>
      </c>
      <c r="I16" s="146">
        <v>0</v>
      </c>
      <c r="J16" s="146">
        <v>0</v>
      </c>
      <c r="K16" s="146">
        <v>0</v>
      </c>
      <c r="L16" s="146">
        <v>0</v>
      </c>
      <c r="M16" s="146">
        <v>1.0000706802053136E-3</v>
      </c>
      <c r="N16" s="146">
        <v>0</v>
      </c>
      <c r="O16" s="146">
        <v>0</v>
      </c>
      <c r="P16" s="146">
        <v>0</v>
      </c>
      <c r="Q16" s="146">
        <v>1.9997462921879098E-2</v>
      </c>
      <c r="R16" s="146">
        <v>0</v>
      </c>
      <c r="S16" s="146">
        <v>0</v>
      </c>
      <c r="T16" s="146">
        <v>0</v>
      </c>
      <c r="U16" s="146">
        <v>0</v>
      </c>
      <c r="V16" s="146">
        <v>0</v>
      </c>
      <c r="W16" s="146">
        <v>0</v>
      </c>
      <c r="X16" s="146">
        <v>0</v>
      </c>
      <c r="Y16" s="146">
        <v>0</v>
      </c>
      <c r="Z16" s="146">
        <v>0</v>
      </c>
      <c r="AA16" s="146">
        <v>0</v>
      </c>
      <c r="AB16" s="146">
        <v>0</v>
      </c>
      <c r="AC16" s="146">
        <v>0</v>
      </c>
      <c r="AD16" s="146">
        <v>0</v>
      </c>
      <c r="AE16" s="146">
        <v>0</v>
      </c>
      <c r="AF16" s="146">
        <v>0</v>
      </c>
      <c r="AG16" s="146">
        <v>0</v>
      </c>
      <c r="AH16" s="146">
        <v>0</v>
      </c>
      <c r="AI16" s="146">
        <v>0</v>
      </c>
      <c r="AJ16" s="146">
        <v>0</v>
      </c>
      <c r="AK16" s="146">
        <v>0</v>
      </c>
      <c r="AL16" s="146">
        <v>0</v>
      </c>
      <c r="AM16" s="146">
        <v>0</v>
      </c>
      <c r="AN16" s="146">
        <v>0</v>
      </c>
      <c r="AO16" s="146">
        <v>0</v>
      </c>
      <c r="AP16" s="146">
        <v>0</v>
      </c>
      <c r="AQ16" s="146">
        <v>0</v>
      </c>
      <c r="AR16" s="146">
        <v>0</v>
      </c>
      <c r="AS16" s="146">
        <v>0</v>
      </c>
    </row>
    <row r="17" spans="1:45" customFormat="1" x14ac:dyDescent="0.15">
      <c r="A17" s="182" t="s">
        <v>208</v>
      </c>
      <c r="B17" s="146">
        <v>0</v>
      </c>
      <c r="C17" s="146">
        <v>0</v>
      </c>
      <c r="D17" s="146">
        <v>0</v>
      </c>
      <c r="E17" s="146">
        <v>1.1908069496045101E-2</v>
      </c>
      <c r="F17" s="146">
        <v>1.3993761276130001E-2</v>
      </c>
      <c r="G17" s="146">
        <v>0</v>
      </c>
      <c r="H17" s="146">
        <v>3.4990119933748114E-2</v>
      </c>
      <c r="I17" s="146">
        <v>0</v>
      </c>
      <c r="J17" s="146">
        <v>0</v>
      </c>
      <c r="K17" s="146">
        <v>0</v>
      </c>
      <c r="L17" s="146">
        <v>1.9801530109038474E-3</v>
      </c>
      <c r="M17" s="146">
        <v>1.1779770122391153E-2</v>
      </c>
      <c r="N17" s="146">
        <v>1.0203249080589349E-2</v>
      </c>
      <c r="O17" s="146">
        <v>0</v>
      </c>
      <c r="P17" s="146">
        <v>0</v>
      </c>
      <c r="Q17" s="146">
        <v>2.2683692119980736E-2</v>
      </c>
      <c r="R17" s="146">
        <v>0</v>
      </c>
      <c r="S17" s="146">
        <v>0</v>
      </c>
      <c r="T17" s="146">
        <v>0</v>
      </c>
      <c r="U17" s="146">
        <v>0</v>
      </c>
      <c r="V17" s="146">
        <v>0</v>
      </c>
      <c r="W17" s="146">
        <v>0</v>
      </c>
      <c r="X17" s="146">
        <v>0</v>
      </c>
      <c r="Y17" s="146">
        <v>0</v>
      </c>
      <c r="Z17" s="146">
        <v>0</v>
      </c>
      <c r="AA17" s="146">
        <v>0</v>
      </c>
      <c r="AB17" s="146">
        <v>0</v>
      </c>
      <c r="AC17" s="146">
        <v>0</v>
      </c>
      <c r="AD17" s="146">
        <v>0</v>
      </c>
      <c r="AE17" s="146">
        <v>0</v>
      </c>
      <c r="AF17" s="146">
        <v>0</v>
      </c>
      <c r="AG17" s="146">
        <v>0</v>
      </c>
      <c r="AH17" s="146">
        <v>0</v>
      </c>
      <c r="AI17" s="146">
        <v>0</v>
      </c>
      <c r="AJ17" s="146">
        <v>0</v>
      </c>
      <c r="AK17" s="146">
        <v>0</v>
      </c>
      <c r="AL17" s="146">
        <v>0</v>
      </c>
      <c r="AM17" s="146">
        <v>0</v>
      </c>
      <c r="AN17" s="146">
        <v>0</v>
      </c>
      <c r="AO17" s="146">
        <v>0</v>
      </c>
      <c r="AP17" s="146">
        <v>0</v>
      </c>
      <c r="AQ17" s="146">
        <v>0</v>
      </c>
      <c r="AR17" s="146">
        <v>0</v>
      </c>
      <c r="AS17" s="146">
        <v>0</v>
      </c>
    </row>
    <row r="18" spans="1:45" customFormat="1" x14ac:dyDescent="0.15">
      <c r="A18" s="182" t="s">
        <v>209</v>
      </c>
      <c r="B18" s="146">
        <v>0.1</v>
      </c>
      <c r="C18" s="146">
        <v>0</v>
      </c>
      <c r="D18" s="146">
        <v>0</v>
      </c>
      <c r="E18" s="146">
        <v>3.5724208488135296E-2</v>
      </c>
      <c r="F18" s="146">
        <v>9.0993916690587262E-2</v>
      </c>
      <c r="G18" s="146">
        <v>7.8632176690961064E-2</v>
      </c>
      <c r="H18" s="146">
        <v>0.2582575256676935</v>
      </c>
      <c r="I18" s="146">
        <v>0</v>
      </c>
      <c r="J18" s="146">
        <v>1.039565246086018E-2</v>
      </c>
      <c r="K18" s="146">
        <v>3.3010749521441916E-2</v>
      </c>
      <c r="L18" s="146">
        <v>5.8408787836790026E-3</v>
      </c>
      <c r="M18" s="146">
        <v>1.8889278988703465E-2</v>
      </c>
      <c r="N18" s="146">
        <v>0.31630072869826997</v>
      </c>
      <c r="O18" s="146">
        <v>0</v>
      </c>
      <c r="P18" s="146">
        <v>0</v>
      </c>
      <c r="Q18" s="146">
        <v>0.10207664953547342</v>
      </c>
      <c r="R18" s="146">
        <v>0</v>
      </c>
      <c r="S18" s="146">
        <v>0</v>
      </c>
      <c r="T18" s="146">
        <v>0</v>
      </c>
      <c r="U18" s="146">
        <v>0</v>
      </c>
      <c r="V18" s="146">
        <v>0</v>
      </c>
      <c r="W18" s="146">
        <v>0</v>
      </c>
      <c r="X18" s="146">
        <v>0</v>
      </c>
      <c r="Y18" s="146">
        <v>1.1283438493185249E-2</v>
      </c>
      <c r="Z18" s="146">
        <v>0</v>
      </c>
      <c r="AA18" s="146">
        <v>0</v>
      </c>
      <c r="AB18" s="146">
        <v>0</v>
      </c>
      <c r="AC18" s="146">
        <v>0</v>
      </c>
      <c r="AD18" s="146">
        <v>0</v>
      </c>
      <c r="AE18" s="146">
        <v>0</v>
      </c>
      <c r="AF18" s="146">
        <v>0</v>
      </c>
      <c r="AG18" s="146">
        <v>0</v>
      </c>
      <c r="AH18" s="146">
        <v>0</v>
      </c>
      <c r="AI18" s="146">
        <v>0</v>
      </c>
      <c r="AJ18" s="146">
        <v>0</v>
      </c>
      <c r="AK18" s="146">
        <v>0</v>
      </c>
      <c r="AL18" s="146">
        <v>0</v>
      </c>
      <c r="AM18" s="146">
        <v>0</v>
      </c>
      <c r="AN18" s="146">
        <v>0</v>
      </c>
      <c r="AO18" s="146">
        <v>0</v>
      </c>
      <c r="AP18" s="146">
        <v>0</v>
      </c>
      <c r="AQ18" s="146">
        <v>0</v>
      </c>
      <c r="AR18" s="146">
        <v>0</v>
      </c>
      <c r="AS18" s="146">
        <v>0</v>
      </c>
    </row>
    <row r="19" spans="1:45" customFormat="1" x14ac:dyDescent="0.15">
      <c r="A19" s="182" t="s">
        <v>210</v>
      </c>
      <c r="B19" s="146">
        <v>0</v>
      </c>
      <c r="C19" s="146">
        <v>0</v>
      </c>
      <c r="D19" s="146">
        <v>9.0909090218181818E-2</v>
      </c>
      <c r="E19" s="146">
        <v>0.14052877000686143</v>
      </c>
      <c r="F19" s="146">
        <v>9.0993916690587262E-2</v>
      </c>
      <c r="G19" s="146">
        <v>8.6018360865258686E-2</v>
      </c>
      <c r="H19" s="146">
        <v>8.3306875998367141E-2</v>
      </c>
      <c r="I19" s="146">
        <v>0</v>
      </c>
      <c r="J19" s="146">
        <v>0.12474784072843391</v>
      </c>
      <c r="K19" s="146">
        <v>1.100445795867629E-2</v>
      </c>
      <c r="L19" s="146">
        <v>2.78217268618382E-2</v>
      </c>
      <c r="M19" s="146">
        <v>1.1779770122391153E-2</v>
      </c>
      <c r="N19" s="146">
        <v>0.25508120701473314</v>
      </c>
      <c r="O19" s="146">
        <v>0</v>
      </c>
      <c r="P19" s="146">
        <v>0</v>
      </c>
      <c r="Q19" s="146">
        <v>9.3420947684367275E-2</v>
      </c>
      <c r="R19" s="146">
        <v>0</v>
      </c>
      <c r="S19" s="146">
        <v>0</v>
      </c>
      <c r="T19" s="146">
        <v>1.0001285885328849E-2</v>
      </c>
      <c r="U19" s="146">
        <v>1.0003158897548258E-2</v>
      </c>
      <c r="V19" s="146">
        <v>0</v>
      </c>
      <c r="W19" s="146">
        <v>0</v>
      </c>
      <c r="X19" s="146">
        <v>1.1293731719713557E-2</v>
      </c>
      <c r="Y19" s="146">
        <v>2.5769342740165384E-2</v>
      </c>
      <c r="Z19" s="146">
        <v>3.1546390501587612E-2</v>
      </c>
      <c r="AA19" s="146">
        <v>2.2105260121578936E-2</v>
      </c>
      <c r="AB19" s="146">
        <v>0</v>
      </c>
      <c r="AC19" s="146">
        <v>0</v>
      </c>
      <c r="AD19" s="146">
        <v>0</v>
      </c>
      <c r="AE19" s="146">
        <v>0</v>
      </c>
      <c r="AF19" s="146">
        <v>0</v>
      </c>
      <c r="AG19" s="146">
        <v>0</v>
      </c>
      <c r="AH19" s="146">
        <v>0</v>
      </c>
      <c r="AI19" s="146">
        <v>0</v>
      </c>
      <c r="AJ19" s="146">
        <v>0</v>
      </c>
      <c r="AK19" s="146">
        <v>0</v>
      </c>
      <c r="AL19" s="146">
        <v>0</v>
      </c>
      <c r="AM19" s="146">
        <v>0</v>
      </c>
      <c r="AN19" s="146">
        <v>0</v>
      </c>
      <c r="AO19" s="146">
        <v>0</v>
      </c>
      <c r="AP19" s="146">
        <v>0</v>
      </c>
      <c r="AQ19" s="146">
        <v>0</v>
      </c>
      <c r="AR19" s="146">
        <v>0</v>
      </c>
      <c r="AS19" s="146">
        <v>0</v>
      </c>
    </row>
    <row r="20" spans="1:45" customFormat="1" x14ac:dyDescent="0.15">
      <c r="A20" s="182" t="s">
        <v>211</v>
      </c>
      <c r="B20" s="146">
        <v>0.14000000000000001</v>
      </c>
      <c r="C20" s="146">
        <v>7.0000000000000007E-2</v>
      </c>
      <c r="D20" s="146">
        <v>0</v>
      </c>
      <c r="E20" s="146">
        <v>2.3816138992090202E-2</v>
      </c>
      <c r="F20" s="146">
        <v>3.3003498223091586E-2</v>
      </c>
      <c r="G20" s="146">
        <v>0</v>
      </c>
      <c r="H20" s="146">
        <v>2.3326748489187275E-2</v>
      </c>
      <c r="I20" s="146">
        <v>0</v>
      </c>
      <c r="J20" s="146">
        <v>0</v>
      </c>
      <c r="K20" s="146">
        <v>8.0026059445919798E-2</v>
      </c>
      <c r="L20" s="146">
        <v>6.00020420602978E-2</v>
      </c>
      <c r="M20" s="146">
        <v>5.0011976031819859E-2</v>
      </c>
      <c r="N20" s="146">
        <v>0</v>
      </c>
      <c r="O20" s="146">
        <v>0</v>
      </c>
      <c r="P20" s="146">
        <v>0</v>
      </c>
      <c r="Q20" s="146">
        <v>4.9993657304697745E-3</v>
      </c>
      <c r="R20" s="146">
        <v>0</v>
      </c>
      <c r="S20" s="146">
        <v>0</v>
      </c>
      <c r="T20" s="146">
        <v>0</v>
      </c>
      <c r="U20" s="146">
        <v>0</v>
      </c>
      <c r="V20" s="146">
        <v>0</v>
      </c>
      <c r="W20" s="146">
        <v>0</v>
      </c>
      <c r="X20" s="146">
        <v>0</v>
      </c>
      <c r="Y20" s="146">
        <v>2.0004908384316268E-2</v>
      </c>
      <c r="Z20" s="146">
        <v>0</v>
      </c>
      <c r="AA20" s="146">
        <v>0</v>
      </c>
      <c r="AB20" s="146">
        <v>0</v>
      </c>
      <c r="AC20" s="146">
        <v>0</v>
      </c>
      <c r="AD20" s="146">
        <v>0</v>
      </c>
      <c r="AE20" s="146">
        <v>0</v>
      </c>
      <c r="AF20" s="146">
        <v>0</v>
      </c>
      <c r="AG20" s="146">
        <v>0</v>
      </c>
      <c r="AH20" s="146">
        <v>0</v>
      </c>
      <c r="AI20" s="146">
        <v>0</v>
      </c>
      <c r="AJ20" s="146">
        <v>0</v>
      </c>
      <c r="AK20" s="146">
        <v>0</v>
      </c>
      <c r="AL20" s="146">
        <v>0</v>
      </c>
      <c r="AM20" s="146">
        <v>0</v>
      </c>
      <c r="AN20" s="146">
        <v>0</v>
      </c>
      <c r="AO20" s="146">
        <v>0</v>
      </c>
      <c r="AP20" s="146">
        <v>0</v>
      </c>
      <c r="AQ20" s="146">
        <v>0</v>
      </c>
      <c r="AR20" s="146">
        <v>0</v>
      </c>
      <c r="AS20" s="146">
        <v>0</v>
      </c>
    </row>
    <row r="21" spans="1:45" customFormat="1" x14ac:dyDescent="0.15">
      <c r="A21" s="182" t="s">
        <v>212</v>
      </c>
      <c r="B21" s="146">
        <v>0.09</v>
      </c>
      <c r="C21" s="146">
        <v>7.0000000000000007E-2</v>
      </c>
      <c r="D21" s="146">
        <v>2.0202020048484849E-2</v>
      </c>
      <c r="E21" s="146">
        <v>2.3816138992090202E-2</v>
      </c>
      <c r="F21" s="146">
        <v>3.9998880878725468E-2</v>
      </c>
      <c r="G21" s="146">
        <v>0</v>
      </c>
      <c r="H21" s="146">
        <v>0</v>
      </c>
      <c r="I21" s="146">
        <v>0.12993466550475749</v>
      </c>
      <c r="J21" s="146">
        <v>0</v>
      </c>
      <c r="K21" s="146">
        <v>6.0019544584439838E-2</v>
      </c>
      <c r="L21" s="146">
        <v>0</v>
      </c>
      <c r="M21" s="146">
        <v>1.5003592809545957E-3</v>
      </c>
      <c r="N21" s="146">
        <v>4.0812996422357396E-2</v>
      </c>
      <c r="O21" s="146">
        <v>0</v>
      </c>
      <c r="P21" s="146">
        <v>0</v>
      </c>
      <c r="Q21" s="146">
        <v>4.9993657304697745E-3</v>
      </c>
      <c r="R21" s="146">
        <v>0</v>
      </c>
      <c r="S21" s="146">
        <v>0</v>
      </c>
      <c r="T21" s="146">
        <v>0</v>
      </c>
      <c r="U21" s="146">
        <v>0</v>
      </c>
      <c r="V21" s="146">
        <v>0</v>
      </c>
      <c r="W21" s="146">
        <v>0</v>
      </c>
      <c r="X21" s="146">
        <v>0</v>
      </c>
      <c r="Y21" s="146">
        <v>0</v>
      </c>
      <c r="Z21" s="146">
        <v>0</v>
      </c>
      <c r="AA21" s="146">
        <v>0</v>
      </c>
      <c r="AB21" s="146">
        <v>0</v>
      </c>
      <c r="AC21" s="146">
        <v>0</v>
      </c>
      <c r="AD21" s="146">
        <v>0</v>
      </c>
      <c r="AE21" s="146">
        <v>0</v>
      </c>
      <c r="AF21" s="146">
        <v>0</v>
      </c>
      <c r="AG21" s="146">
        <v>0</v>
      </c>
      <c r="AH21" s="146">
        <v>0</v>
      </c>
      <c r="AI21" s="146">
        <v>0</v>
      </c>
      <c r="AJ21" s="146">
        <v>0</v>
      </c>
      <c r="AK21" s="146">
        <v>0</v>
      </c>
      <c r="AL21" s="146">
        <v>0</v>
      </c>
      <c r="AM21" s="146">
        <v>0</v>
      </c>
      <c r="AN21" s="146">
        <v>0</v>
      </c>
      <c r="AO21" s="146">
        <v>0</v>
      </c>
      <c r="AP21" s="146">
        <v>0</v>
      </c>
      <c r="AQ21" s="146">
        <v>0</v>
      </c>
      <c r="AR21" s="146">
        <v>0</v>
      </c>
      <c r="AS21" s="146">
        <v>0</v>
      </c>
    </row>
    <row r="22" spans="1:45" customFormat="1" x14ac:dyDescent="0.15">
      <c r="A22" s="182" t="s">
        <v>213</v>
      </c>
      <c r="B22" s="146">
        <v>7.0000000000000007E-2</v>
      </c>
      <c r="C22" s="146">
        <v>0.13</v>
      </c>
      <c r="D22" s="146">
        <v>0.17171718241212122</v>
      </c>
      <c r="E22" s="146">
        <v>7.1448416976270593E-2</v>
      </c>
      <c r="F22" s="146">
        <v>1.1374239598823261E-2</v>
      </c>
      <c r="G22" s="146">
        <v>0</v>
      </c>
      <c r="H22" s="146">
        <v>0</v>
      </c>
      <c r="I22" s="146">
        <v>9.9949747311351797E-2</v>
      </c>
      <c r="J22" s="146">
        <v>0</v>
      </c>
      <c r="K22" s="146">
        <v>0.10503420302276972</v>
      </c>
      <c r="L22" s="146">
        <v>2.3960986768575672E-2</v>
      </c>
      <c r="M22" s="146">
        <v>0</v>
      </c>
      <c r="N22" s="146">
        <v>0</v>
      </c>
      <c r="O22" s="146">
        <v>0</v>
      </c>
      <c r="P22" s="146">
        <v>0</v>
      </c>
      <c r="Q22" s="146">
        <v>4.9993657304697745E-3</v>
      </c>
      <c r="R22" s="146">
        <v>0</v>
      </c>
      <c r="S22" s="146">
        <v>0</v>
      </c>
      <c r="T22" s="146">
        <v>0</v>
      </c>
      <c r="U22" s="146">
        <v>7.0022112282837806E-2</v>
      </c>
      <c r="V22" s="146">
        <v>0</v>
      </c>
      <c r="W22" s="146">
        <v>0</v>
      </c>
      <c r="X22" s="146">
        <v>0</v>
      </c>
      <c r="Y22" s="146">
        <v>0.22542336265083665</v>
      </c>
      <c r="Z22" s="146">
        <v>0</v>
      </c>
      <c r="AA22" s="146">
        <v>0</v>
      </c>
      <c r="AB22" s="146">
        <v>0</v>
      </c>
      <c r="AC22" s="146">
        <v>0</v>
      </c>
      <c r="AD22" s="146">
        <v>0</v>
      </c>
      <c r="AE22" s="146">
        <v>0</v>
      </c>
      <c r="AF22" s="146">
        <v>0</v>
      </c>
      <c r="AG22" s="146">
        <v>0</v>
      </c>
      <c r="AH22" s="146">
        <v>0</v>
      </c>
      <c r="AI22" s="146">
        <v>0</v>
      </c>
      <c r="AJ22" s="146">
        <v>0</v>
      </c>
      <c r="AK22" s="146">
        <v>0</v>
      </c>
      <c r="AL22" s="146">
        <v>0</v>
      </c>
      <c r="AM22" s="146">
        <v>0</v>
      </c>
      <c r="AN22" s="146">
        <v>0</v>
      </c>
      <c r="AO22" s="146">
        <v>0</v>
      </c>
      <c r="AP22" s="146">
        <v>0</v>
      </c>
      <c r="AQ22" s="146">
        <v>0</v>
      </c>
      <c r="AR22" s="146">
        <v>0</v>
      </c>
      <c r="AS22" s="146">
        <v>0</v>
      </c>
    </row>
    <row r="23" spans="1:45" customFormat="1" x14ac:dyDescent="0.15">
      <c r="A23" s="182" t="s">
        <v>214</v>
      </c>
      <c r="B23" s="146">
        <v>0.38</v>
      </c>
      <c r="C23" s="146">
        <v>0.21</v>
      </c>
      <c r="D23" s="146">
        <v>0</v>
      </c>
      <c r="E23" s="146">
        <v>0.18304948150819861</v>
      </c>
      <c r="F23" s="146">
        <v>3.2999080074909218E-2</v>
      </c>
      <c r="G23" s="146">
        <v>4.246634042716891E-2</v>
      </c>
      <c r="H23" s="146">
        <v>1.0003597199143709E-3</v>
      </c>
      <c r="I23" s="146">
        <v>0.24189849349293052</v>
      </c>
      <c r="J23" s="146">
        <v>0</v>
      </c>
      <c r="K23" s="146">
        <v>0.36611922196508301</v>
      </c>
      <c r="L23" s="146">
        <v>0.28000952961472309</v>
      </c>
      <c r="M23" s="146">
        <v>0.3260780837274655</v>
      </c>
      <c r="N23" s="146">
        <v>0</v>
      </c>
      <c r="O23" s="146">
        <v>0</v>
      </c>
      <c r="P23" s="146">
        <v>0</v>
      </c>
      <c r="Q23" s="146">
        <v>9.99873146093955E-2</v>
      </c>
      <c r="R23" s="146">
        <v>0</v>
      </c>
      <c r="S23" s="146">
        <v>0</v>
      </c>
      <c r="T23" s="146">
        <v>6.0007715311973089E-2</v>
      </c>
      <c r="U23" s="146">
        <v>7.3707486087031426E-2</v>
      </c>
      <c r="V23" s="146">
        <v>0</v>
      </c>
      <c r="W23" s="146">
        <v>0</v>
      </c>
      <c r="X23" s="146">
        <v>1.0400322410243417E-2</v>
      </c>
      <c r="Y23" s="146">
        <v>0.300073625764744</v>
      </c>
      <c r="Z23" s="146">
        <v>2.0000000318000005E-2</v>
      </c>
      <c r="AA23" s="146">
        <v>1.0526315357894736E-2</v>
      </c>
      <c r="AB23" s="146">
        <v>0</v>
      </c>
      <c r="AC23" s="146">
        <v>0</v>
      </c>
      <c r="AD23" s="146">
        <v>0</v>
      </c>
      <c r="AE23" s="146">
        <v>0</v>
      </c>
      <c r="AF23" s="146">
        <v>0</v>
      </c>
      <c r="AG23" s="146">
        <v>0</v>
      </c>
      <c r="AH23" s="146">
        <v>0</v>
      </c>
      <c r="AI23" s="146">
        <v>0</v>
      </c>
      <c r="AJ23" s="146">
        <v>0</v>
      </c>
      <c r="AK23" s="146">
        <v>0</v>
      </c>
      <c r="AL23" s="146">
        <v>0</v>
      </c>
      <c r="AM23" s="146">
        <v>0</v>
      </c>
      <c r="AN23" s="146">
        <v>0</v>
      </c>
      <c r="AO23" s="146">
        <v>0</v>
      </c>
      <c r="AP23" s="146">
        <v>0</v>
      </c>
      <c r="AQ23" s="146">
        <v>0</v>
      </c>
      <c r="AR23" s="146">
        <v>0</v>
      </c>
      <c r="AS23" s="146">
        <v>0</v>
      </c>
    </row>
    <row r="24" spans="1:45" customFormat="1" x14ac:dyDescent="0.15">
      <c r="A24" s="182" t="s">
        <v>215</v>
      </c>
      <c r="B24" s="146">
        <v>0</v>
      </c>
      <c r="C24" s="146">
        <v>0</v>
      </c>
      <c r="D24" s="146">
        <v>0</v>
      </c>
      <c r="E24" s="146">
        <v>5.0018475255026375E-2</v>
      </c>
      <c r="F24" s="146">
        <v>9.9998827177755299E-3</v>
      </c>
      <c r="G24" s="146">
        <v>7.0012133304252037E-3</v>
      </c>
      <c r="H24" s="146">
        <v>6.1643402195607107E-2</v>
      </c>
      <c r="I24" s="146">
        <v>1.051659671710355E-2</v>
      </c>
      <c r="J24" s="146">
        <v>0</v>
      </c>
      <c r="K24" s="146">
        <v>8.0026059445919798E-2</v>
      </c>
      <c r="L24" s="146">
        <v>2.5941135359329088E-2</v>
      </c>
      <c r="M24" s="146">
        <v>0.19998878997160982</v>
      </c>
      <c r="N24" s="146">
        <v>0</v>
      </c>
      <c r="O24" s="146">
        <v>0</v>
      </c>
      <c r="P24" s="146">
        <v>0</v>
      </c>
      <c r="Q24" s="146">
        <v>0</v>
      </c>
      <c r="R24" s="146">
        <v>0</v>
      </c>
      <c r="S24" s="146">
        <v>0</v>
      </c>
      <c r="T24" s="146">
        <v>0</v>
      </c>
      <c r="U24" s="146">
        <v>0</v>
      </c>
      <c r="V24" s="146">
        <v>0</v>
      </c>
      <c r="W24" s="146">
        <v>0</v>
      </c>
      <c r="X24" s="146">
        <v>0</v>
      </c>
      <c r="Y24" s="146">
        <v>0</v>
      </c>
      <c r="Z24" s="146">
        <v>0</v>
      </c>
      <c r="AA24" s="146">
        <v>0</v>
      </c>
      <c r="AB24" s="146">
        <v>0</v>
      </c>
      <c r="AC24" s="146">
        <v>0</v>
      </c>
      <c r="AD24" s="146">
        <v>0</v>
      </c>
      <c r="AE24" s="146">
        <v>0</v>
      </c>
      <c r="AF24" s="146">
        <v>0</v>
      </c>
      <c r="AG24" s="146">
        <v>0</v>
      </c>
      <c r="AH24" s="146">
        <v>0</v>
      </c>
      <c r="AI24" s="146">
        <v>0</v>
      </c>
      <c r="AJ24" s="146">
        <v>0</v>
      </c>
      <c r="AK24" s="146">
        <v>0</v>
      </c>
      <c r="AL24" s="146">
        <v>0</v>
      </c>
      <c r="AM24" s="146">
        <v>0</v>
      </c>
      <c r="AN24" s="146">
        <v>0</v>
      </c>
      <c r="AO24" s="146">
        <v>0</v>
      </c>
      <c r="AP24" s="146">
        <v>0</v>
      </c>
      <c r="AQ24" s="146">
        <v>0</v>
      </c>
      <c r="AR24" s="146">
        <v>0</v>
      </c>
      <c r="AS24" s="146">
        <v>0</v>
      </c>
    </row>
    <row r="25" spans="1:45" customFormat="1" x14ac:dyDescent="0.15">
      <c r="A25" s="182" t="s">
        <v>216</v>
      </c>
      <c r="B25" s="146">
        <v>0</v>
      </c>
      <c r="C25" s="146">
        <v>0</v>
      </c>
      <c r="D25" s="146">
        <v>0</v>
      </c>
      <c r="E25" s="146">
        <v>1.1908069496045101E-2</v>
      </c>
      <c r="F25" s="146">
        <v>0.12511662458718487</v>
      </c>
      <c r="G25" s="146">
        <v>0</v>
      </c>
      <c r="H25" s="146">
        <v>0</v>
      </c>
      <c r="I25" s="146">
        <v>0</v>
      </c>
      <c r="J25" s="146">
        <v>0</v>
      </c>
      <c r="K25" s="146">
        <v>0</v>
      </c>
      <c r="L25" s="146">
        <v>0</v>
      </c>
      <c r="M25" s="146">
        <v>0</v>
      </c>
      <c r="N25" s="146">
        <v>0</v>
      </c>
      <c r="O25" s="146">
        <v>0</v>
      </c>
      <c r="P25" s="146">
        <v>0</v>
      </c>
      <c r="Q25" s="146">
        <v>0</v>
      </c>
      <c r="R25" s="146">
        <v>0</v>
      </c>
      <c r="S25" s="146">
        <v>0</v>
      </c>
      <c r="T25" s="146">
        <v>0</v>
      </c>
      <c r="U25" s="146">
        <v>0</v>
      </c>
      <c r="V25" s="146">
        <v>0</v>
      </c>
      <c r="W25" s="146">
        <v>0</v>
      </c>
      <c r="X25" s="146">
        <v>0</v>
      </c>
      <c r="Y25" s="146">
        <v>1.2809843010271158E-3</v>
      </c>
      <c r="Z25" s="146">
        <v>0</v>
      </c>
      <c r="AA25" s="146">
        <v>0</v>
      </c>
      <c r="AB25" s="146">
        <v>0</v>
      </c>
      <c r="AC25" s="146">
        <v>0</v>
      </c>
      <c r="AD25" s="146">
        <v>0</v>
      </c>
      <c r="AE25" s="146">
        <v>0</v>
      </c>
      <c r="AF25" s="146">
        <v>0</v>
      </c>
      <c r="AG25" s="146">
        <v>0</v>
      </c>
      <c r="AH25" s="146">
        <v>0</v>
      </c>
      <c r="AI25" s="146">
        <v>0</v>
      </c>
      <c r="AJ25" s="146">
        <v>0</v>
      </c>
      <c r="AK25" s="146">
        <v>0</v>
      </c>
      <c r="AL25" s="146">
        <v>0</v>
      </c>
      <c r="AM25" s="146">
        <v>0</v>
      </c>
      <c r="AN25" s="146">
        <v>0</v>
      </c>
      <c r="AO25" s="146">
        <v>0</v>
      </c>
      <c r="AP25" s="146">
        <v>0</v>
      </c>
      <c r="AQ25" s="146">
        <v>0</v>
      </c>
      <c r="AR25" s="146">
        <v>0</v>
      </c>
      <c r="AS25" s="146">
        <v>0</v>
      </c>
    </row>
    <row r="26" spans="1:45" customFormat="1" x14ac:dyDescent="0.15">
      <c r="A26" s="182" t="s">
        <v>217</v>
      </c>
      <c r="B26" s="146">
        <v>0.14000000000000001</v>
      </c>
      <c r="C26" s="146">
        <v>0.11</v>
      </c>
      <c r="D26" s="146">
        <v>5.0505053421212122E-2</v>
      </c>
      <c r="E26" s="146">
        <v>4.7632278784185925E-2</v>
      </c>
      <c r="F26" s="146">
        <v>1.1374239598823261E-2</v>
      </c>
      <c r="G26" s="146">
        <v>2.2466337525988887E-2</v>
      </c>
      <c r="H26" s="146">
        <v>0</v>
      </c>
      <c r="I26" s="146">
        <v>6.5165978247035183E-2</v>
      </c>
      <c r="J26" s="146">
        <v>0</v>
      </c>
      <c r="K26" s="146">
        <v>1.5004886146109959E-2</v>
      </c>
      <c r="L26" s="146">
        <v>0</v>
      </c>
      <c r="M26" s="146">
        <v>4.7119080389540657E-2</v>
      </c>
      <c r="N26" s="146">
        <v>0</v>
      </c>
      <c r="O26" s="146">
        <v>0</v>
      </c>
      <c r="P26" s="146">
        <v>0</v>
      </c>
      <c r="Q26" s="146">
        <v>0</v>
      </c>
      <c r="R26" s="146">
        <v>0</v>
      </c>
      <c r="S26" s="146">
        <v>0</v>
      </c>
      <c r="T26" s="146">
        <v>0</v>
      </c>
      <c r="U26" s="146">
        <v>0</v>
      </c>
      <c r="V26" s="146">
        <v>0</v>
      </c>
      <c r="W26" s="146">
        <v>0</v>
      </c>
      <c r="X26" s="146">
        <v>0</v>
      </c>
      <c r="Y26" s="146">
        <v>6.5138662357057273E-2</v>
      </c>
      <c r="Z26" s="146">
        <v>0</v>
      </c>
      <c r="AA26" s="146">
        <v>0</v>
      </c>
      <c r="AB26" s="146">
        <v>0</v>
      </c>
      <c r="AC26" s="146">
        <v>0</v>
      </c>
      <c r="AD26" s="146">
        <v>0</v>
      </c>
      <c r="AE26" s="146">
        <v>0</v>
      </c>
      <c r="AF26" s="146">
        <v>0</v>
      </c>
      <c r="AG26" s="146">
        <v>0</v>
      </c>
      <c r="AH26" s="146">
        <v>0</v>
      </c>
      <c r="AI26" s="146">
        <v>0</v>
      </c>
      <c r="AJ26" s="146">
        <v>0</v>
      </c>
      <c r="AK26" s="146">
        <v>0</v>
      </c>
      <c r="AL26" s="146">
        <v>0</v>
      </c>
      <c r="AM26" s="146">
        <v>0</v>
      </c>
      <c r="AN26" s="146">
        <v>0</v>
      </c>
      <c r="AO26" s="146">
        <v>0</v>
      </c>
      <c r="AP26" s="146">
        <v>0</v>
      </c>
      <c r="AQ26" s="146">
        <v>0</v>
      </c>
      <c r="AR26" s="146">
        <v>0</v>
      </c>
      <c r="AS26" s="146">
        <v>0</v>
      </c>
    </row>
    <row r="27" spans="1:45" customFormat="1" x14ac:dyDescent="0.15">
      <c r="A27" s="182" t="s">
        <v>218</v>
      </c>
      <c r="B27" s="146">
        <v>0</v>
      </c>
      <c r="C27" s="146">
        <v>0</v>
      </c>
      <c r="D27" s="146">
        <v>5.0505053421212122E-2</v>
      </c>
      <c r="E27" s="146">
        <v>0.32151789829336885</v>
      </c>
      <c r="F27" s="146">
        <v>0.27298175037175826</v>
      </c>
      <c r="G27" s="146">
        <v>0.15726435358192212</v>
      </c>
      <c r="H27" s="146">
        <v>3.4990119933748114E-2</v>
      </c>
      <c r="I27" s="146">
        <v>2.1033193334207098E-2</v>
      </c>
      <c r="J27" s="146">
        <v>0</v>
      </c>
      <c r="K27" s="146">
        <v>6.2876114789391681E-3</v>
      </c>
      <c r="L27" s="146">
        <v>0</v>
      </c>
      <c r="M27" s="146">
        <v>3.0007185619091912E-2</v>
      </c>
      <c r="N27" s="146">
        <v>8.1625992244714771E-2</v>
      </c>
      <c r="O27" s="146">
        <v>0</v>
      </c>
      <c r="P27" s="146">
        <v>0</v>
      </c>
      <c r="Q27" s="146">
        <v>3.4995560113288424E-3</v>
      </c>
      <c r="R27" s="146">
        <v>0</v>
      </c>
      <c r="S27" s="146">
        <v>0</v>
      </c>
      <c r="T27" s="146">
        <v>2.0002571770657698E-2</v>
      </c>
      <c r="U27" s="146">
        <v>1.0003158897548258E-2</v>
      </c>
      <c r="V27" s="146">
        <v>0</v>
      </c>
      <c r="W27" s="146">
        <v>0</v>
      </c>
      <c r="X27" s="146">
        <v>1.0008054906085381E-2</v>
      </c>
      <c r="Y27" s="146">
        <v>0.1596442111440021</v>
      </c>
      <c r="Z27" s="146">
        <v>0</v>
      </c>
      <c r="AA27" s="146">
        <v>1.0526315357894736E-2</v>
      </c>
      <c r="AB27" s="146">
        <v>0</v>
      </c>
      <c r="AC27" s="146">
        <v>0</v>
      </c>
      <c r="AD27" s="146">
        <v>0</v>
      </c>
      <c r="AE27" s="146">
        <v>0</v>
      </c>
      <c r="AF27" s="146">
        <v>0</v>
      </c>
      <c r="AG27" s="146">
        <v>0</v>
      </c>
      <c r="AH27" s="146">
        <v>0</v>
      </c>
      <c r="AI27" s="146">
        <v>0</v>
      </c>
      <c r="AJ27" s="146">
        <v>0</v>
      </c>
      <c r="AK27" s="146">
        <v>0</v>
      </c>
      <c r="AL27" s="146">
        <v>0</v>
      </c>
      <c r="AM27" s="146">
        <v>0</v>
      </c>
      <c r="AN27" s="146">
        <v>0</v>
      </c>
      <c r="AO27" s="146">
        <v>0</v>
      </c>
      <c r="AP27" s="146">
        <v>0</v>
      </c>
      <c r="AQ27" s="146">
        <v>0</v>
      </c>
      <c r="AR27" s="146">
        <v>0</v>
      </c>
      <c r="AS27" s="146">
        <v>0</v>
      </c>
    </row>
    <row r="28" spans="1:45" customFormat="1" x14ac:dyDescent="0.15">
      <c r="A28" s="182" t="s">
        <v>219</v>
      </c>
      <c r="B28" s="146">
        <v>0</v>
      </c>
      <c r="C28" s="146">
        <v>0</v>
      </c>
      <c r="D28" s="146">
        <v>0</v>
      </c>
      <c r="E28" s="146">
        <v>0</v>
      </c>
      <c r="F28" s="146">
        <v>0</v>
      </c>
      <c r="G28" s="146">
        <v>1.0001732800607429E-3</v>
      </c>
      <c r="H28" s="146">
        <v>3.0001388287264761E-2</v>
      </c>
      <c r="I28" s="146">
        <v>0</v>
      </c>
      <c r="J28" s="146">
        <v>0</v>
      </c>
      <c r="K28" s="146">
        <v>1.0003257430739975E-2</v>
      </c>
      <c r="L28" s="146">
        <v>0</v>
      </c>
      <c r="M28" s="146">
        <v>0</v>
      </c>
      <c r="N28" s="146">
        <v>0</v>
      </c>
      <c r="O28" s="146">
        <v>0</v>
      </c>
      <c r="P28" s="146">
        <v>0</v>
      </c>
      <c r="Q28" s="146">
        <v>4.9993657304697745E-3</v>
      </c>
      <c r="R28" s="146">
        <v>0</v>
      </c>
      <c r="S28" s="146">
        <v>0</v>
      </c>
      <c r="T28" s="146">
        <v>0</v>
      </c>
      <c r="U28" s="146">
        <v>0</v>
      </c>
      <c r="V28" s="146">
        <v>0</v>
      </c>
      <c r="W28" s="146">
        <v>0</v>
      </c>
      <c r="X28" s="146">
        <v>0</v>
      </c>
      <c r="Y28" s="146">
        <v>0</v>
      </c>
      <c r="Z28" s="146">
        <v>0</v>
      </c>
      <c r="AA28" s="146">
        <v>0</v>
      </c>
      <c r="AB28" s="146">
        <v>0</v>
      </c>
      <c r="AC28" s="146">
        <v>0</v>
      </c>
      <c r="AD28" s="146">
        <v>0</v>
      </c>
      <c r="AE28" s="146">
        <v>0</v>
      </c>
      <c r="AF28" s="146">
        <v>0</v>
      </c>
      <c r="AG28" s="146">
        <v>0</v>
      </c>
      <c r="AH28" s="146">
        <v>0</v>
      </c>
      <c r="AI28" s="146">
        <v>0</v>
      </c>
      <c r="AJ28" s="146">
        <v>0</v>
      </c>
      <c r="AK28" s="146">
        <v>0</v>
      </c>
      <c r="AL28" s="146">
        <v>0</v>
      </c>
      <c r="AM28" s="146">
        <v>0</v>
      </c>
      <c r="AN28" s="146">
        <v>0</v>
      </c>
      <c r="AO28" s="146">
        <v>0</v>
      </c>
      <c r="AP28" s="146">
        <v>0</v>
      </c>
      <c r="AQ28" s="146">
        <v>0</v>
      </c>
      <c r="AR28" s="146">
        <v>0</v>
      </c>
      <c r="AS28" s="146">
        <v>0</v>
      </c>
    </row>
    <row r="29" spans="1:45" customFormat="1" x14ac:dyDescent="0.15">
      <c r="A29" s="182" t="s">
        <v>220</v>
      </c>
      <c r="B29" s="146">
        <v>0</v>
      </c>
      <c r="C29" s="146">
        <v>0</v>
      </c>
      <c r="D29" s="146">
        <v>0</v>
      </c>
      <c r="E29" s="146">
        <v>0</v>
      </c>
      <c r="F29" s="146">
        <v>0</v>
      </c>
      <c r="G29" s="146">
        <v>1.1233168812994444E-2</v>
      </c>
      <c r="H29" s="146">
        <v>8.0003527297324767E-2</v>
      </c>
      <c r="I29" s="146">
        <v>9.9967917310863019E-2</v>
      </c>
      <c r="J29" s="146">
        <v>3.1982007119441443E-2</v>
      </c>
      <c r="K29" s="146">
        <v>0</v>
      </c>
      <c r="L29" s="146">
        <v>0</v>
      </c>
      <c r="M29" s="146">
        <v>0</v>
      </c>
      <c r="N29" s="146">
        <v>0</v>
      </c>
      <c r="O29" s="146">
        <v>0</v>
      </c>
      <c r="P29" s="146">
        <v>0</v>
      </c>
      <c r="Q29" s="146">
        <v>4.9993657304697745E-3</v>
      </c>
      <c r="R29" s="146">
        <v>0</v>
      </c>
      <c r="S29" s="146">
        <v>2.0833331572916714E-2</v>
      </c>
      <c r="T29" s="146">
        <v>1.0001285885328849E-2</v>
      </c>
      <c r="U29" s="146">
        <v>0</v>
      </c>
      <c r="V29" s="146">
        <v>0</v>
      </c>
      <c r="W29" s="146">
        <v>0</v>
      </c>
      <c r="X29" s="146">
        <v>3.001445191815319E-2</v>
      </c>
      <c r="Y29" s="146">
        <v>0</v>
      </c>
      <c r="Z29" s="146">
        <v>0</v>
      </c>
      <c r="AA29" s="146">
        <v>0</v>
      </c>
      <c r="AB29" s="146">
        <v>0</v>
      </c>
      <c r="AC29" s="146">
        <v>2.0993808209726628E-2</v>
      </c>
      <c r="AD29" s="146">
        <v>0</v>
      </c>
      <c r="AE29" s="146">
        <v>0</v>
      </c>
      <c r="AF29" s="146">
        <v>0</v>
      </c>
      <c r="AG29" s="146">
        <v>0</v>
      </c>
      <c r="AH29" s="146">
        <v>0</v>
      </c>
      <c r="AI29" s="146">
        <v>0</v>
      </c>
      <c r="AJ29" s="146">
        <v>0</v>
      </c>
      <c r="AK29" s="146">
        <v>0</v>
      </c>
      <c r="AL29" s="146">
        <v>0</v>
      </c>
      <c r="AM29" s="146">
        <v>0</v>
      </c>
      <c r="AN29" s="146">
        <v>0</v>
      </c>
      <c r="AO29" s="146">
        <v>0</v>
      </c>
      <c r="AP29" s="146">
        <v>0</v>
      </c>
      <c r="AQ29" s="146">
        <v>0</v>
      </c>
      <c r="AR29" s="146">
        <v>0</v>
      </c>
      <c r="AS29" s="146">
        <v>0</v>
      </c>
    </row>
    <row r="30" spans="1:45" customFormat="1" x14ac:dyDescent="0.15">
      <c r="A30" s="182" t="s">
        <v>221</v>
      </c>
      <c r="B30" s="146">
        <v>0</v>
      </c>
      <c r="C30" s="146">
        <v>0</v>
      </c>
      <c r="D30" s="146">
        <v>0</v>
      </c>
      <c r="E30" s="146">
        <v>0</v>
      </c>
      <c r="F30" s="146">
        <v>7.8964793872470157E-2</v>
      </c>
      <c r="G30" s="146">
        <v>0.32305598624962012</v>
      </c>
      <c r="H30" s="146">
        <v>6.9980239867496227E-2</v>
      </c>
      <c r="I30" s="146">
        <v>7.3616178019724809E-2</v>
      </c>
      <c r="J30" s="146">
        <v>9.3560883545819665E-2</v>
      </c>
      <c r="K30" s="146">
        <v>2.0006514861479949E-2</v>
      </c>
      <c r="L30" s="146">
        <v>0.14376590181081417</v>
      </c>
      <c r="M30" s="146">
        <v>0</v>
      </c>
      <c r="N30" s="146">
        <v>0.29497590811183744</v>
      </c>
      <c r="O30" s="146">
        <v>0.11109876977735816</v>
      </c>
      <c r="P30" s="146">
        <v>0</v>
      </c>
      <c r="Q30" s="146">
        <v>0.21415193054457179</v>
      </c>
      <c r="R30" s="146">
        <v>0.17996994804066113</v>
      </c>
      <c r="S30" s="146">
        <v>0.1666666527833337</v>
      </c>
      <c r="T30" s="146">
        <v>3.2876887047121425E-2</v>
      </c>
      <c r="U30" s="146">
        <v>0</v>
      </c>
      <c r="V30" s="146">
        <v>0</v>
      </c>
      <c r="W30" s="146">
        <v>0</v>
      </c>
      <c r="X30" s="146">
        <v>0.36117393182844365</v>
      </c>
      <c r="Y30" s="146">
        <v>1.0642946642745317E-2</v>
      </c>
      <c r="Z30" s="146">
        <v>3.0927835491752584E-2</v>
      </c>
      <c r="AA30" s="146">
        <v>0.12631578769473686</v>
      </c>
      <c r="AB30" s="146">
        <v>1.9999991834603329E-2</v>
      </c>
      <c r="AC30" s="146">
        <v>4.345221981315546E-2</v>
      </c>
      <c r="AD30" s="146">
        <v>1.2120780327261068E-2</v>
      </c>
      <c r="AE30" s="146">
        <v>0</v>
      </c>
      <c r="AF30" s="146">
        <v>0</v>
      </c>
      <c r="AG30" s="146">
        <v>0</v>
      </c>
      <c r="AH30" s="146">
        <v>0</v>
      </c>
      <c r="AI30" s="146">
        <v>0</v>
      </c>
      <c r="AJ30" s="146">
        <v>0</v>
      </c>
      <c r="AK30" s="146">
        <v>0</v>
      </c>
      <c r="AL30" s="146">
        <v>0</v>
      </c>
      <c r="AM30" s="146">
        <v>0</v>
      </c>
      <c r="AN30" s="146">
        <v>0</v>
      </c>
      <c r="AO30" s="146">
        <v>0</v>
      </c>
      <c r="AP30" s="146">
        <v>0</v>
      </c>
      <c r="AQ30" s="146">
        <v>0</v>
      </c>
      <c r="AR30" s="146">
        <v>0</v>
      </c>
      <c r="AS30" s="146">
        <v>0</v>
      </c>
    </row>
    <row r="31" spans="1:45" customFormat="1" x14ac:dyDescent="0.15">
      <c r="A31" s="182" t="s">
        <v>222</v>
      </c>
      <c r="B31" s="146">
        <v>0</v>
      </c>
      <c r="C31" s="146">
        <v>0</v>
      </c>
      <c r="D31" s="146">
        <v>0</v>
      </c>
      <c r="E31" s="146">
        <v>0</v>
      </c>
      <c r="F31" s="146">
        <v>6.9999179024428709E-3</v>
      </c>
      <c r="G31" s="146">
        <v>5.6165844764972224E-2</v>
      </c>
      <c r="H31" s="146">
        <v>2.000127132889451E-2</v>
      </c>
      <c r="I31" s="146">
        <v>0.20793327140659501</v>
      </c>
      <c r="J31" s="146">
        <v>9.9943757250783426E-3</v>
      </c>
      <c r="K31" s="146">
        <v>2.0006514861479949E-2</v>
      </c>
      <c r="L31" s="146">
        <v>1.0000340343382968E-2</v>
      </c>
      <c r="M31" s="146">
        <v>0</v>
      </c>
      <c r="N31" s="146">
        <v>0</v>
      </c>
      <c r="O31" s="146">
        <v>0</v>
      </c>
      <c r="P31" s="146">
        <v>0</v>
      </c>
      <c r="Q31" s="146">
        <v>9.998731460939549E-3</v>
      </c>
      <c r="R31" s="146">
        <v>6.3812738596119759E-2</v>
      </c>
      <c r="S31" s="146">
        <v>3.1249999209375025E-2</v>
      </c>
      <c r="T31" s="146">
        <v>1.0000053726907777E-2</v>
      </c>
      <c r="U31" s="146">
        <v>0</v>
      </c>
      <c r="V31" s="146">
        <v>0</v>
      </c>
      <c r="W31" s="146">
        <v>0</v>
      </c>
      <c r="X31" s="146">
        <v>9.104384096506471E-2</v>
      </c>
      <c r="Y31" s="146">
        <v>2.1285892685343383E-2</v>
      </c>
      <c r="Z31" s="146">
        <v>0</v>
      </c>
      <c r="AA31" s="146">
        <v>0.31526315373394737</v>
      </c>
      <c r="AB31" s="146">
        <v>0.23999990201523994</v>
      </c>
      <c r="AC31" s="146">
        <v>0.12796227544976224</v>
      </c>
      <c r="AD31" s="146">
        <v>0.10530195684315284</v>
      </c>
      <c r="AE31" s="146">
        <v>4.0377132422340617E-2</v>
      </c>
      <c r="AF31" s="146">
        <v>0</v>
      </c>
      <c r="AG31" s="146">
        <v>0</v>
      </c>
      <c r="AH31" s="146">
        <v>0</v>
      </c>
      <c r="AI31" s="146">
        <v>0</v>
      </c>
      <c r="AJ31" s="146">
        <v>0</v>
      </c>
      <c r="AK31" s="146">
        <v>0</v>
      </c>
      <c r="AL31" s="146">
        <v>0</v>
      </c>
      <c r="AM31" s="146">
        <v>0</v>
      </c>
      <c r="AN31" s="146">
        <v>0</v>
      </c>
      <c r="AO31" s="146">
        <v>0</v>
      </c>
      <c r="AP31" s="146">
        <v>0</v>
      </c>
      <c r="AQ31" s="146">
        <v>0</v>
      </c>
      <c r="AR31" s="146">
        <v>0</v>
      </c>
      <c r="AS31" s="146">
        <v>0</v>
      </c>
    </row>
    <row r="32" spans="1:45" customFormat="1" x14ac:dyDescent="0.15">
      <c r="A32" s="182" t="s">
        <v>223</v>
      </c>
      <c r="B32" s="146">
        <v>0</v>
      </c>
      <c r="C32" s="146">
        <v>0</v>
      </c>
      <c r="D32" s="146">
        <v>0</v>
      </c>
      <c r="E32" s="146">
        <v>0</v>
      </c>
      <c r="F32" s="146">
        <v>1.0001060603960856E-2</v>
      </c>
      <c r="G32" s="146">
        <v>0</v>
      </c>
      <c r="H32" s="146">
        <v>1.0000635664447255E-2</v>
      </c>
      <c r="I32" s="146">
        <v>4.998395865543151E-2</v>
      </c>
      <c r="J32" s="146">
        <v>0</v>
      </c>
      <c r="K32" s="146">
        <v>0</v>
      </c>
      <c r="L32" s="146">
        <v>7.0002382403680771E-2</v>
      </c>
      <c r="M32" s="146">
        <v>4.3003042249547055E-2</v>
      </c>
      <c r="N32" s="146">
        <v>0</v>
      </c>
      <c r="O32" s="146">
        <v>0.1889790064252862</v>
      </c>
      <c r="P32" s="146">
        <v>0.25</v>
      </c>
      <c r="Q32" s="146">
        <v>9.998731460939549E-3</v>
      </c>
      <c r="R32" s="146">
        <v>0</v>
      </c>
      <c r="S32" s="146">
        <v>4.1666663145833428E-2</v>
      </c>
      <c r="T32" s="146">
        <v>1.0001285885328849E-2</v>
      </c>
      <c r="U32" s="146">
        <v>0</v>
      </c>
      <c r="V32" s="146">
        <v>0</v>
      </c>
      <c r="W32" s="146">
        <v>0.04</v>
      </c>
      <c r="X32" s="146">
        <v>5.2025054251465572E-2</v>
      </c>
      <c r="Y32" s="146">
        <v>0</v>
      </c>
      <c r="Z32" s="146">
        <v>2.0618556427835048E-2</v>
      </c>
      <c r="AA32" s="146">
        <v>0.10526315957894739</v>
      </c>
      <c r="AB32" s="146">
        <v>0.21899991058890644</v>
      </c>
      <c r="AC32" s="146">
        <v>3.9988204628050729E-2</v>
      </c>
      <c r="AD32" s="146">
        <v>0</v>
      </c>
      <c r="AE32" s="146">
        <v>0.20188566911170305</v>
      </c>
      <c r="AF32" s="146">
        <v>0</v>
      </c>
      <c r="AG32" s="146">
        <v>0</v>
      </c>
      <c r="AH32" s="146">
        <v>0</v>
      </c>
      <c r="AI32" s="146">
        <v>0</v>
      </c>
      <c r="AJ32" s="146">
        <v>0</v>
      </c>
      <c r="AK32" s="146">
        <v>0</v>
      </c>
      <c r="AL32" s="146">
        <v>0</v>
      </c>
      <c r="AM32" s="146">
        <v>0</v>
      </c>
      <c r="AN32" s="146">
        <v>0</v>
      </c>
      <c r="AO32" s="146">
        <v>0</v>
      </c>
      <c r="AP32" s="146">
        <v>0</v>
      </c>
      <c r="AQ32" s="146">
        <v>0</v>
      </c>
      <c r="AR32" s="146">
        <v>0</v>
      </c>
      <c r="AS32" s="146">
        <v>0</v>
      </c>
    </row>
    <row r="33" spans="1:45" customFormat="1" x14ac:dyDescent="0.15">
      <c r="A33" s="182" t="s">
        <v>224</v>
      </c>
      <c r="B33" s="146">
        <v>0</v>
      </c>
      <c r="C33" s="146">
        <v>0</v>
      </c>
      <c r="D33" s="146">
        <v>0</v>
      </c>
      <c r="E33" s="146">
        <v>0</v>
      </c>
      <c r="F33" s="146">
        <v>0</v>
      </c>
      <c r="G33" s="146">
        <v>0.11233168912994444</v>
      </c>
      <c r="H33" s="146">
        <v>0</v>
      </c>
      <c r="I33" s="146">
        <v>0</v>
      </c>
      <c r="J33" s="146">
        <v>5.1978268603238759E-2</v>
      </c>
      <c r="K33" s="146">
        <v>0</v>
      </c>
      <c r="L33" s="146">
        <v>0</v>
      </c>
      <c r="M33" s="146">
        <v>2.5001768505492124E-2</v>
      </c>
      <c r="N33" s="146">
        <v>0</v>
      </c>
      <c r="O33" s="146">
        <v>0.69992222379735558</v>
      </c>
      <c r="P33" s="146">
        <v>0.75</v>
      </c>
      <c r="Q33" s="146">
        <v>0.28220299690578254</v>
      </c>
      <c r="R33" s="146">
        <v>0.31906374598059756</v>
      </c>
      <c r="S33" s="146">
        <v>0.38541669024895781</v>
      </c>
      <c r="T33" s="146">
        <v>3.0003857655986545E-2</v>
      </c>
      <c r="U33" s="146">
        <v>0</v>
      </c>
      <c r="V33" s="146">
        <v>0</v>
      </c>
      <c r="W33" s="146">
        <v>0.05</v>
      </c>
      <c r="X33" s="146">
        <v>6.2049937157729336E-2</v>
      </c>
      <c r="Y33" s="146">
        <v>3.9017043182698267E-2</v>
      </c>
      <c r="Z33" s="146">
        <v>0.12371134196701034</v>
      </c>
      <c r="AA33" s="146">
        <v>0.10526315957894739</v>
      </c>
      <c r="AB33" s="146">
        <v>0.19999991834603328</v>
      </c>
      <c r="AC33" s="146">
        <v>0.1412196993927553</v>
      </c>
      <c r="AD33" s="146">
        <v>0.41215185412810007</v>
      </c>
      <c r="AE33" s="146">
        <v>0.23391266097078431</v>
      </c>
      <c r="AF33" s="146">
        <v>0</v>
      </c>
      <c r="AG33" s="146">
        <v>0</v>
      </c>
      <c r="AH33" s="146">
        <v>0</v>
      </c>
      <c r="AI33" s="146">
        <v>0</v>
      </c>
      <c r="AJ33" s="146">
        <v>0</v>
      </c>
      <c r="AK33" s="146">
        <v>0</v>
      </c>
      <c r="AL33" s="146">
        <v>0</v>
      </c>
      <c r="AM33" s="146">
        <v>0</v>
      </c>
      <c r="AN33" s="146">
        <v>0</v>
      </c>
      <c r="AO33" s="146">
        <v>0</v>
      </c>
      <c r="AP33" s="146">
        <v>0</v>
      </c>
      <c r="AQ33" s="146">
        <v>0</v>
      </c>
      <c r="AR33" s="146">
        <v>0</v>
      </c>
      <c r="AS33" s="146">
        <v>0</v>
      </c>
    </row>
    <row r="34" spans="1:45" customFormat="1" x14ac:dyDescent="0.15">
      <c r="A34" s="182" t="s">
        <v>225</v>
      </c>
      <c r="B34" s="146">
        <v>0</v>
      </c>
      <c r="C34" s="146">
        <v>0</v>
      </c>
      <c r="D34" s="146">
        <v>0</v>
      </c>
      <c r="E34" s="146">
        <v>0</v>
      </c>
      <c r="F34" s="146">
        <v>0</v>
      </c>
      <c r="G34" s="146">
        <v>0</v>
      </c>
      <c r="H34" s="146">
        <v>0</v>
      </c>
      <c r="I34" s="146">
        <v>0</v>
      </c>
      <c r="J34" s="146">
        <v>0</v>
      </c>
      <c r="K34" s="146">
        <v>0</v>
      </c>
      <c r="L34" s="146">
        <v>0</v>
      </c>
      <c r="M34" s="146">
        <v>0</v>
      </c>
      <c r="N34" s="146">
        <v>0</v>
      </c>
      <c r="O34" s="146">
        <v>0</v>
      </c>
      <c r="P34" s="146">
        <v>0</v>
      </c>
      <c r="Q34" s="146">
        <v>0</v>
      </c>
      <c r="R34" s="146">
        <v>0</v>
      </c>
      <c r="S34" s="146">
        <v>0</v>
      </c>
      <c r="T34" s="146">
        <v>0</v>
      </c>
      <c r="U34" s="146">
        <v>0</v>
      </c>
      <c r="V34" s="146">
        <v>0</v>
      </c>
      <c r="W34" s="146">
        <v>0</v>
      </c>
      <c r="X34" s="146">
        <v>0</v>
      </c>
      <c r="Y34" s="146">
        <v>0</v>
      </c>
      <c r="Z34" s="146">
        <v>0</v>
      </c>
      <c r="AA34" s="146">
        <v>0</v>
      </c>
      <c r="AB34" s="146">
        <v>2.9999987751904992E-2</v>
      </c>
      <c r="AC34" s="146">
        <v>0</v>
      </c>
      <c r="AD34" s="146">
        <v>0.10530195684315284</v>
      </c>
      <c r="AE34" s="146">
        <v>0.21197994006728829</v>
      </c>
      <c r="AF34" s="146">
        <v>0.32</v>
      </c>
      <c r="AG34" s="146">
        <v>0</v>
      </c>
      <c r="AH34" s="146">
        <v>0</v>
      </c>
      <c r="AI34" s="146">
        <v>0</v>
      </c>
      <c r="AJ34" s="146">
        <v>0</v>
      </c>
      <c r="AK34" s="146">
        <v>0</v>
      </c>
      <c r="AL34" s="146">
        <v>0</v>
      </c>
      <c r="AM34" s="146">
        <v>0</v>
      </c>
      <c r="AN34" s="146">
        <v>0</v>
      </c>
      <c r="AO34" s="146">
        <v>0</v>
      </c>
      <c r="AP34" s="146">
        <v>0</v>
      </c>
      <c r="AQ34" s="146">
        <v>0</v>
      </c>
      <c r="AR34" s="146">
        <v>0</v>
      </c>
      <c r="AS34" s="146">
        <v>0</v>
      </c>
    </row>
    <row r="35" spans="1:45" customFormat="1" x14ac:dyDescent="0.15">
      <c r="A35" s="182" t="s">
        <v>226</v>
      </c>
      <c r="B35" s="146">
        <v>0</v>
      </c>
      <c r="C35" s="146">
        <v>0</v>
      </c>
      <c r="D35" s="146">
        <v>0</v>
      </c>
      <c r="E35" s="146">
        <v>0</v>
      </c>
      <c r="F35" s="146">
        <v>0</v>
      </c>
      <c r="G35" s="146">
        <v>0</v>
      </c>
      <c r="H35" s="146">
        <v>0</v>
      </c>
      <c r="I35" s="146">
        <v>0</v>
      </c>
      <c r="J35" s="146">
        <v>0</v>
      </c>
      <c r="K35" s="146">
        <v>3.3998995831005421E-2</v>
      </c>
      <c r="L35" s="146">
        <v>5.0001701716914836E-2</v>
      </c>
      <c r="M35" s="146">
        <v>0</v>
      </c>
      <c r="N35" s="146">
        <v>0</v>
      </c>
      <c r="O35" s="146">
        <v>0</v>
      </c>
      <c r="P35" s="146">
        <v>0</v>
      </c>
      <c r="Q35" s="146">
        <v>0</v>
      </c>
      <c r="R35" s="146">
        <v>0</v>
      </c>
      <c r="S35" s="146">
        <v>0</v>
      </c>
      <c r="T35" s="146">
        <v>0</v>
      </c>
      <c r="U35" s="146">
        <v>0</v>
      </c>
      <c r="V35" s="146">
        <v>0</v>
      </c>
      <c r="W35" s="146">
        <v>0</v>
      </c>
      <c r="X35" s="146">
        <v>0</v>
      </c>
      <c r="Y35" s="146">
        <v>0</v>
      </c>
      <c r="Z35" s="146">
        <v>0</v>
      </c>
      <c r="AA35" s="146">
        <v>0.27315790150236852</v>
      </c>
      <c r="AB35" s="146">
        <v>3.9999983669206658E-2</v>
      </c>
      <c r="AC35" s="146">
        <v>0</v>
      </c>
      <c r="AD35" s="146">
        <v>0</v>
      </c>
      <c r="AE35" s="146">
        <v>3.0282849866755463E-2</v>
      </c>
      <c r="AF35" s="146">
        <v>0</v>
      </c>
      <c r="AG35" s="146">
        <v>0</v>
      </c>
      <c r="AH35" s="146">
        <v>0</v>
      </c>
      <c r="AI35" s="146">
        <v>0</v>
      </c>
      <c r="AJ35" s="146">
        <v>0</v>
      </c>
      <c r="AK35" s="146">
        <v>0</v>
      </c>
      <c r="AL35" s="146">
        <v>0</v>
      </c>
      <c r="AM35" s="146">
        <v>0</v>
      </c>
      <c r="AN35" s="146">
        <v>0</v>
      </c>
      <c r="AO35" s="146">
        <v>0</v>
      </c>
      <c r="AP35" s="146">
        <v>0</v>
      </c>
      <c r="AQ35" s="146">
        <v>0</v>
      </c>
      <c r="AR35" s="146">
        <v>0</v>
      </c>
      <c r="AS35" s="146">
        <v>0</v>
      </c>
    </row>
    <row r="36" spans="1:45" customFormat="1" x14ac:dyDescent="0.15">
      <c r="A36" s="182" t="s">
        <v>227</v>
      </c>
      <c r="B36" s="146">
        <v>0</v>
      </c>
      <c r="C36" s="146">
        <v>0.12</v>
      </c>
      <c r="D36" s="146">
        <v>0.45454543909090905</v>
      </c>
      <c r="E36" s="146">
        <v>0</v>
      </c>
      <c r="F36" s="146">
        <v>0</v>
      </c>
      <c r="G36" s="146">
        <v>6.7399010677966636E-2</v>
      </c>
      <c r="H36" s="146">
        <v>3.000035147511778E-2</v>
      </c>
      <c r="I36" s="146">
        <v>0</v>
      </c>
      <c r="J36" s="146">
        <v>7.5987186863500936E-2</v>
      </c>
      <c r="K36" s="146">
        <v>2.300749209070194E-2</v>
      </c>
      <c r="L36" s="146">
        <v>0.19772794231065169</v>
      </c>
      <c r="M36" s="146">
        <v>0.10002395206363972</v>
      </c>
      <c r="N36" s="146">
        <v>0</v>
      </c>
      <c r="O36" s="146">
        <v>0</v>
      </c>
      <c r="P36" s="146">
        <v>0</v>
      </c>
      <c r="Q36" s="146">
        <v>4.999365730469775E-2</v>
      </c>
      <c r="R36" s="146">
        <v>0.34033461651263841</v>
      </c>
      <c r="S36" s="146">
        <v>3.1249999209375025E-2</v>
      </c>
      <c r="T36" s="146">
        <v>0.22902944677403064</v>
      </c>
      <c r="U36" s="146">
        <v>0.27208592201331261</v>
      </c>
      <c r="V36" s="146">
        <v>0.08</v>
      </c>
      <c r="W36" s="146">
        <v>0.21</v>
      </c>
      <c r="X36" s="146">
        <v>0.31825610337351468</v>
      </c>
      <c r="Y36" s="146">
        <v>0</v>
      </c>
      <c r="Z36" s="146">
        <v>0.41237113555670107</v>
      </c>
      <c r="AA36" s="146">
        <v>3.1578947073684215E-2</v>
      </c>
      <c r="AB36" s="146">
        <v>4.9999979586508321E-2</v>
      </c>
      <c r="AC36" s="146">
        <v>0.48883744889799902</v>
      </c>
      <c r="AD36" s="146">
        <v>9.5035012565945348E-2</v>
      </c>
      <c r="AE36" s="146">
        <v>6.0565699733510926E-2</v>
      </c>
      <c r="AF36" s="146">
        <v>0</v>
      </c>
      <c r="AG36" s="146">
        <v>0</v>
      </c>
      <c r="AH36" s="146">
        <v>0</v>
      </c>
      <c r="AI36" s="146">
        <v>0</v>
      </c>
      <c r="AJ36" s="146">
        <v>0</v>
      </c>
      <c r="AK36" s="146">
        <v>0</v>
      </c>
      <c r="AL36" s="146">
        <v>0</v>
      </c>
      <c r="AM36" s="146">
        <v>0</v>
      </c>
      <c r="AN36" s="146">
        <v>0</v>
      </c>
      <c r="AO36" s="146">
        <v>0</v>
      </c>
      <c r="AP36" s="146">
        <v>0</v>
      </c>
      <c r="AQ36" s="146">
        <v>0</v>
      </c>
      <c r="AR36" s="146">
        <v>0</v>
      </c>
      <c r="AS36" s="146">
        <v>0</v>
      </c>
    </row>
    <row r="37" spans="1:45" customFormat="1" x14ac:dyDescent="0.15">
      <c r="A37" s="182" t="s">
        <v>228</v>
      </c>
      <c r="B37" s="146">
        <v>0</v>
      </c>
      <c r="C37" s="146">
        <v>0</v>
      </c>
      <c r="D37" s="146">
        <v>0.16161616138787879</v>
      </c>
      <c r="E37" s="146">
        <v>0</v>
      </c>
      <c r="F37" s="146">
        <v>0</v>
      </c>
      <c r="G37" s="146">
        <v>2.2466337525988887E-2</v>
      </c>
      <c r="H37" s="146">
        <v>0</v>
      </c>
      <c r="I37" s="146">
        <v>0</v>
      </c>
      <c r="J37" s="146">
        <v>0.59989884365921786</v>
      </c>
      <c r="K37" s="146">
        <v>1.5004886146109959E-2</v>
      </c>
      <c r="L37" s="146">
        <v>3.5011821563625402E-2</v>
      </c>
      <c r="M37" s="146">
        <v>4.0009580825455887E-2</v>
      </c>
      <c r="N37" s="146">
        <v>0</v>
      </c>
      <c r="O37" s="146">
        <v>0</v>
      </c>
      <c r="P37" s="146">
        <v>0</v>
      </c>
      <c r="Q37" s="146">
        <v>1.7997716629691188E-2</v>
      </c>
      <c r="R37" s="146">
        <v>9.5719117894179404E-2</v>
      </c>
      <c r="S37" s="146">
        <v>0.19791666699270835</v>
      </c>
      <c r="T37" s="146">
        <v>0.58807561005733633</v>
      </c>
      <c r="U37" s="146">
        <v>0.56417816182172165</v>
      </c>
      <c r="V37" s="146">
        <v>0.77</v>
      </c>
      <c r="W37" s="146">
        <v>0.5</v>
      </c>
      <c r="X37" s="146">
        <v>5.3234330564283908E-2</v>
      </c>
      <c r="Y37" s="146">
        <v>8.5143570741373534E-2</v>
      </c>
      <c r="Z37" s="146">
        <v>0.36082473973711332</v>
      </c>
      <c r="AA37" s="146">
        <v>0</v>
      </c>
      <c r="AB37" s="146">
        <v>0</v>
      </c>
      <c r="AC37" s="146">
        <v>3.2589163459866601E-2</v>
      </c>
      <c r="AD37" s="146">
        <v>2.0007370540199004E-2</v>
      </c>
      <c r="AE37" s="146">
        <v>0.11103710451143675</v>
      </c>
      <c r="AF37" s="146">
        <v>0</v>
      </c>
      <c r="AG37" s="146">
        <v>0</v>
      </c>
      <c r="AH37" s="146">
        <v>0</v>
      </c>
      <c r="AI37" s="146">
        <v>0.05</v>
      </c>
      <c r="AJ37" s="146">
        <v>0.25</v>
      </c>
      <c r="AK37" s="146">
        <v>0.02</v>
      </c>
      <c r="AL37" s="146">
        <v>0</v>
      </c>
      <c r="AM37" s="146">
        <v>0</v>
      </c>
      <c r="AN37" s="146">
        <v>0</v>
      </c>
      <c r="AO37" s="146">
        <v>0</v>
      </c>
      <c r="AP37" s="146">
        <v>0</v>
      </c>
      <c r="AQ37" s="146">
        <v>0</v>
      </c>
      <c r="AR37" s="146">
        <v>0</v>
      </c>
      <c r="AS37" s="146">
        <v>0</v>
      </c>
    </row>
    <row r="38" spans="1:45" customFormat="1" x14ac:dyDescent="0.15">
      <c r="A38" s="182" t="s">
        <v>229</v>
      </c>
      <c r="B38" s="146">
        <v>0</v>
      </c>
      <c r="C38" s="146">
        <v>0</v>
      </c>
      <c r="D38" s="146">
        <v>0</v>
      </c>
      <c r="E38" s="146">
        <v>0</v>
      </c>
      <c r="F38" s="146">
        <v>0</v>
      </c>
      <c r="G38" s="146">
        <v>0</v>
      </c>
      <c r="H38" s="146">
        <v>0</v>
      </c>
      <c r="I38" s="146">
        <v>0</v>
      </c>
      <c r="J38" s="146">
        <v>0</v>
      </c>
      <c r="K38" s="146">
        <v>0</v>
      </c>
      <c r="L38" s="146">
        <v>0</v>
      </c>
      <c r="M38" s="146">
        <v>0</v>
      </c>
      <c r="N38" s="146">
        <v>0</v>
      </c>
      <c r="O38" s="146">
        <v>0</v>
      </c>
      <c r="P38" s="146">
        <v>0</v>
      </c>
      <c r="Q38" s="146">
        <v>0</v>
      </c>
      <c r="R38" s="146">
        <v>0</v>
      </c>
      <c r="S38" s="146">
        <v>0</v>
      </c>
      <c r="T38" s="146">
        <v>0</v>
      </c>
      <c r="U38" s="146">
        <v>0</v>
      </c>
      <c r="V38" s="146">
        <v>0.15</v>
      </c>
      <c r="W38" s="146">
        <v>0.2</v>
      </c>
      <c r="X38" s="146">
        <v>0</v>
      </c>
      <c r="Y38" s="146">
        <v>0</v>
      </c>
      <c r="Z38" s="146">
        <v>0</v>
      </c>
      <c r="AA38" s="146">
        <v>0</v>
      </c>
      <c r="AB38" s="146">
        <v>0</v>
      </c>
      <c r="AC38" s="146">
        <v>0</v>
      </c>
      <c r="AD38" s="146">
        <v>0</v>
      </c>
      <c r="AE38" s="146">
        <v>0</v>
      </c>
      <c r="AF38" s="146">
        <v>0</v>
      </c>
      <c r="AG38" s="146">
        <v>0</v>
      </c>
      <c r="AH38" s="146">
        <v>0</v>
      </c>
      <c r="AI38" s="146">
        <v>0.05</v>
      </c>
      <c r="AJ38" s="146">
        <v>0.25</v>
      </c>
      <c r="AK38" s="146">
        <v>0.38</v>
      </c>
      <c r="AL38" s="146">
        <v>2.0000000000000004E-2</v>
      </c>
      <c r="AM38" s="146">
        <v>0</v>
      </c>
      <c r="AN38" s="146">
        <v>0</v>
      </c>
      <c r="AO38" s="146">
        <v>0</v>
      </c>
      <c r="AP38" s="146">
        <v>0</v>
      </c>
      <c r="AQ38" s="146">
        <v>0</v>
      </c>
      <c r="AR38" s="146">
        <v>0</v>
      </c>
      <c r="AS38" s="146">
        <v>0</v>
      </c>
    </row>
    <row r="39" spans="1:45" x14ac:dyDescent="0.15">
      <c r="A39" s="182" t="s">
        <v>230</v>
      </c>
      <c r="B39" s="146">
        <v>0</v>
      </c>
      <c r="C39" s="146">
        <v>0</v>
      </c>
      <c r="D39" s="146">
        <v>0</v>
      </c>
      <c r="E39" s="146">
        <v>0</v>
      </c>
      <c r="F39" s="146">
        <v>0</v>
      </c>
      <c r="G39" s="146">
        <v>0</v>
      </c>
      <c r="H39" s="146">
        <v>0</v>
      </c>
      <c r="I39" s="146">
        <v>0</v>
      </c>
      <c r="J39" s="146">
        <v>0</v>
      </c>
      <c r="K39" s="146">
        <v>0</v>
      </c>
      <c r="L39" s="146">
        <v>0</v>
      </c>
      <c r="M39" s="146">
        <v>0</v>
      </c>
      <c r="N39" s="146">
        <v>0</v>
      </c>
      <c r="O39" s="146">
        <v>0</v>
      </c>
      <c r="P39" s="146">
        <v>0</v>
      </c>
      <c r="Q39" s="146">
        <v>0</v>
      </c>
      <c r="R39" s="146">
        <v>0</v>
      </c>
      <c r="S39" s="146">
        <v>0</v>
      </c>
      <c r="T39" s="146">
        <v>0</v>
      </c>
      <c r="U39" s="146">
        <v>0</v>
      </c>
      <c r="V39" s="146">
        <v>0</v>
      </c>
      <c r="W39" s="146">
        <v>0</v>
      </c>
      <c r="X39" s="146">
        <v>0</v>
      </c>
      <c r="Y39" s="146">
        <v>0</v>
      </c>
      <c r="Z39" s="146">
        <v>0</v>
      </c>
      <c r="AA39" s="146">
        <v>0</v>
      </c>
      <c r="AB39" s="146">
        <v>0</v>
      </c>
      <c r="AC39" s="146">
        <v>0</v>
      </c>
      <c r="AD39" s="146">
        <v>0</v>
      </c>
      <c r="AE39" s="146">
        <v>0</v>
      </c>
      <c r="AF39" s="146">
        <v>0.1</v>
      </c>
      <c r="AG39" s="146">
        <v>0.05</v>
      </c>
      <c r="AH39" s="146">
        <v>0.1</v>
      </c>
      <c r="AI39" s="146">
        <v>0</v>
      </c>
      <c r="AJ39" s="146">
        <v>0</v>
      </c>
      <c r="AK39" s="146">
        <v>0</v>
      </c>
      <c r="AL39" s="146">
        <v>0.13000000000000003</v>
      </c>
      <c r="AM39" s="146">
        <v>0</v>
      </c>
      <c r="AN39" s="146">
        <v>0</v>
      </c>
      <c r="AO39" s="146">
        <v>0</v>
      </c>
      <c r="AP39" s="146">
        <v>0</v>
      </c>
      <c r="AQ39" s="146">
        <v>0</v>
      </c>
      <c r="AR39" s="146">
        <v>0</v>
      </c>
      <c r="AS39" s="146">
        <v>0</v>
      </c>
    </row>
    <row r="40" spans="1:45" x14ac:dyDescent="0.15">
      <c r="A40" s="182" t="s">
        <v>231</v>
      </c>
      <c r="B40" s="146">
        <v>0</v>
      </c>
      <c r="C40" s="146">
        <v>0</v>
      </c>
      <c r="D40" s="146">
        <v>0</v>
      </c>
      <c r="E40" s="146">
        <v>0</v>
      </c>
      <c r="F40" s="146">
        <v>0</v>
      </c>
      <c r="G40" s="146">
        <v>0</v>
      </c>
      <c r="H40" s="146">
        <v>0</v>
      </c>
      <c r="I40" s="146">
        <v>0</v>
      </c>
      <c r="J40" s="146">
        <v>0</v>
      </c>
      <c r="K40" s="146">
        <v>0</v>
      </c>
      <c r="L40" s="146">
        <v>0</v>
      </c>
      <c r="M40" s="146">
        <v>0</v>
      </c>
      <c r="N40" s="146">
        <v>0</v>
      </c>
      <c r="O40" s="146">
        <v>0</v>
      </c>
      <c r="P40" s="146">
        <v>0</v>
      </c>
      <c r="Q40" s="146">
        <v>0</v>
      </c>
      <c r="R40" s="146">
        <v>0</v>
      </c>
      <c r="S40" s="146">
        <v>0.1249999968375001</v>
      </c>
      <c r="T40" s="146">
        <v>0</v>
      </c>
      <c r="U40" s="146">
        <v>0</v>
      </c>
      <c r="V40" s="146">
        <v>0</v>
      </c>
      <c r="W40" s="146">
        <v>0</v>
      </c>
      <c r="X40" s="146">
        <v>0</v>
      </c>
      <c r="Y40" s="146">
        <v>0</v>
      </c>
      <c r="Z40" s="146">
        <v>0</v>
      </c>
      <c r="AA40" s="146">
        <v>0</v>
      </c>
      <c r="AB40" s="146">
        <v>4.9999979586508321E-2</v>
      </c>
      <c r="AC40" s="146">
        <v>0</v>
      </c>
      <c r="AD40" s="146">
        <v>0</v>
      </c>
      <c r="AE40" s="146">
        <v>0</v>
      </c>
      <c r="AF40" s="146">
        <v>0</v>
      </c>
      <c r="AG40" s="146">
        <v>0.55000000000000004</v>
      </c>
      <c r="AH40" s="146">
        <v>0.05</v>
      </c>
      <c r="AI40" s="146">
        <v>0.9</v>
      </c>
      <c r="AJ40" s="146">
        <v>0.5</v>
      </c>
      <c r="AK40" s="146">
        <v>0.15</v>
      </c>
      <c r="AL40" s="146">
        <v>0.29000000000000004</v>
      </c>
      <c r="AM40" s="146">
        <v>0</v>
      </c>
      <c r="AN40" s="146">
        <v>0</v>
      </c>
      <c r="AO40" s="146">
        <v>0</v>
      </c>
      <c r="AP40" s="146">
        <v>0</v>
      </c>
      <c r="AQ40" s="146">
        <v>0</v>
      </c>
      <c r="AR40" s="146">
        <v>0</v>
      </c>
      <c r="AS40" s="146">
        <v>0</v>
      </c>
    </row>
    <row r="41" spans="1:45" x14ac:dyDescent="0.15">
      <c r="A41" s="182" t="s">
        <v>232</v>
      </c>
      <c r="B41" s="146">
        <v>0</v>
      </c>
      <c r="C41" s="146">
        <v>0</v>
      </c>
      <c r="D41" s="146">
        <v>0</v>
      </c>
      <c r="E41" s="146">
        <v>0</v>
      </c>
      <c r="F41" s="146">
        <v>0</v>
      </c>
      <c r="G41" s="146">
        <v>0</v>
      </c>
      <c r="H41" s="146">
        <v>0</v>
      </c>
      <c r="I41" s="146">
        <v>0</v>
      </c>
      <c r="J41" s="146">
        <v>0</v>
      </c>
      <c r="K41" s="146">
        <v>0</v>
      </c>
      <c r="L41" s="146">
        <v>0</v>
      </c>
      <c r="M41" s="146">
        <v>0</v>
      </c>
      <c r="N41" s="146">
        <v>0</v>
      </c>
      <c r="O41" s="146">
        <v>0</v>
      </c>
      <c r="P41" s="146">
        <v>0</v>
      </c>
      <c r="Q41" s="146">
        <v>0</v>
      </c>
      <c r="R41" s="146">
        <v>0</v>
      </c>
      <c r="S41" s="146">
        <v>0</v>
      </c>
      <c r="T41" s="146">
        <v>0</v>
      </c>
      <c r="U41" s="146">
        <v>0</v>
      </c>
      <c r="V41" s="146">
        <v>0</v>
      </c>
      <c r="W41" s="146">
        <v>0</v>
      </c>
      <c r="X41" s="146">
        <v>0</v>
      </c>
      <c r="Y41" s="146">
        <v>0</v>
      </c>
      <c r="Z41" s="146">
        <v>0</v>
      </c>
      <c r="AA41" s="146">
        <v>0</v>
      </c>
      <c r="AB41" s="146">
        <v>0</v>
      </c>
      <c r="AC41" s="146">
        <v>0</v>
      </c>
      <c r="AD41" s="146">
        <v>0</v>
      </c>
      <c r="AE41" s="146">
        <v>0</v>
      </c>
      <c r="AF41" s="146">
        <v>0</v>
      </c>
      <c r="AG41" s="146">
        <v>0.1</v>
      </c>
      <c r="AH41" s="146">
        <v>0.05</v>
      </c>
      <c r="AI41" s="146">
        <v>0</v>
      </c>
      <c r="AJ41" s="146">
        <v>0</v>
      </c>
      <c r="AK41" s="146">
        <v>0.3</v>
      </c>
      <c r="AL41" s="146">
        <v>0.20000000000000004</v>
      </c>
      <c r="AM41" s="146">
        <v>0.02</v>
      </c>
      <c r="AN41" s="146">
        <v>0</v>
      </c>
      <c r="AO41" s="146">
        <v>0</v>
      </c>
      <c r="AP41" s="146">
        <v>0</v>
      </c>
      <c r="AQ41" s="146">
        <v>0</v>
      </c>
      <c r="AR41" s="146">
        <v>0</v>
      </c>
      <c r="AS41" s="146">
        <v>0</v>
      </c>
    </row>
    <row r="42" spans="1:45" x14ac:dyDescent="0.15">
      <c r="A42" s="182" t="s">
        <v>233</v>
      </c>
      <c r="B42" s="146">
        <v>0</v>
      </c>
      <c r="C42" s="146">
        <v>0</v>
      </c>
      <c r="D42" s="146">
        <v>0</v>
      </c>
      <c r="E42" s="146">
        <v>0</v>
      </c>
      <c r="F42" s="146">
        <v>0</v>
      </c>
      <c r="G42" s="146">
        <v>0</v>
      </c>
      <c r="H42" s="146">
        <v>0</v>
      </c>
      <c r="I42" s="146">
        <v>0</v>
      </c>
      <c r="J42" s="146">
        <v>0</v>
      </c>
      <c r="K42" s="146">
        <v>0</v>
      </c>
      <c r="L42" s="146">
        <v>0</v>
      </c>
      <c r="M42" s="146">
        <v>0</v>
      </c>
      <c r="N42" s="146">
        <v>0</v>
      </c>
      <c r="O42" s="146">
        <v>0</v>
      </c>
      <c r="P42" s="146">
        <v>0</v>
      </c>
      <c r="Q42" s="146">
        <v>0</v>
      </c>
      <c r="R42" s="146">
        <v>0</v>
      </c>
      <c r="S42" s="146">
        <v>0</v>
      </c>
      <c r="T42" s="146">
        <v>0</v>
      </c>
      <c r="U42" s="146">
        <v>0</v>
      </c>
      <c r="V42" s="146">
        <v>0</v>
      </c>
      <c r="W42" s="146">
        <v>0</v>
      </c>
      <c r="X42" s="146">
        <v>0</v>
      </c>
      <c r="Y42" s="146">
        <v>1.4006118227162098E-2</v>
      </c>
      <c r="Z42" s="146">
        <v>0</v>
      </c>
      <c r="AA42" s="146">
        <v>0</v>
      </c>
      <c r="AB42" s="146">
        <v>0</v>
      </c>
      <c r="AC42" s="146">
        <v>3.8976639832400455E-2</v>
      </c>
      <c r="AD42" s="146">
        <v>0</v>
      </c>
      <c r="AE42" s="146">
        <v>0</v>
      </c>
      <c r="AF42" s="146">
        <v>0</v>
      </c>
      <c r="AG42" s="146">
        <v>0</v>
      </c>
      <c r="AH42" s="146">
        <v>0</v>
      </c>
      <c r="AI42" s="146">
        <v>0</v>
      </c>
      <c r="AJ42" s="146">
        <v>0</v>
      </c>
      <c r="AK42" s="146">
        <v>0</v>
      </c>
      <c r="AL42" s="146">
        <v>0</v>
      </c>
      <c r="AM42" s="146">
        <v>0</v>
      </c>
      <c r="AN42" s="146">
        <v>0</v>
      </c>
      <c r="AO42" s="146">
        <v>0</v>
      </c>
      <c r="AP42" s="146">
        <v>0</v>
      </c>
      <c r="AQ42" s="146">
        <v>0</v>
      </c>
      <c r="AR42" s="146">
        <v>0</v>
      </c>
      <c r="AS42" s="146">
        <v>0</v>
      </c>
    </row>
    <row r="43" spans="1:45" x14ac:dyDescent="0.15">
      <c r="A43" s="182" t="s">
        <v>234</v>
      </c>
      <c r="B43" s="146">
        <v>0.08</v>
      </c>
      <c r="C43" s="146">
        <v>0.28999999999999998</v>
      </c>
      <c r="D43" s="146">
        <v>0</v>
      </c>
      <c r="E43" s="146">
        <v>0</v>
      </c>
      <c r="F43" s="146">
        <v>0</v>
      </c>
      <c r="G43" s="146">
        <v>0</v>
      </c>
      <c r="H43" s="146">
        <v>0</v>
      </c>
      <c r="I43" s="146">
        <v>0</v>
      </c>
      <c r="J43" s="146">
        <v>0</v>
      </c>
      <c r="K43" s="146">
        <v>0</v>
      </c>
      <c r="L43" s="146">
        <v>0</v>
      </c>
      <c r="M43" s="146">
        <v>0</v>
      </c>
      <c r="N43" s="146">
        <v>0</v>
      </c>
      <c r="O43" s="146">
        <v>0</v>
      </c>
      <c r="P43" s="146">
        <v>0</v>
      </c>
      <c r="Q43" s="146">
        <v>0</v>
      </c>
      <c r="R43" s="146">
        <v>9.9999997800000043E-5</v>
      </c>
      <c r="S43" s="146">
        <v>0</v>
      </c>
      <c r="T43" s="146">
        <v>0</v>
      </c>
      <c r="U43" s="146">
        <v>0</v>
      </c>
      <c r="V43" s="146">
        <v>0</v>
      </c>
      <c r="W43" s="146">
        <v>0</v>
      </c>
      <c r="X43" s="146">
        <v>0</v>
      </c>
      <c r="Y43" s="146">
        <v>0</v>
      </c>
      <c r="Z43" s="146">
        <v>0</v>
      </c>
      <c r="AA43" s="146">
        <v>0</v>
      </c>
      <c r="AB43" s="146">
        <v>5.000406228484148E-3</v>
      </c>
      <c r="AC43" s="146">
        <v>4.9985255785063411E-3</v>
      </c>
      <c r="AD43" s="146">
        <v>0</v>
      </c>
      <c r="AE43" s="146">
        <v>9.9962679560164228E-4</v>
      </c>
      <c r="AF43" s="146">
        <v>0</v>
      </c>
      <c r="AG43" s="146">
        <v>0</v>
      </c>
      <c r="AH43" s="146">
        <v>0</v>
      </c>
      <c r="AI43" s="146">
        <v>0</v>
      </c>
      <c r="AJ43" s="146">
        <v>0</v>
      </c>
      <c r="AK43" s="146">
        <v>0</v>
      </c>
      <c r="AL43" s="146">
        <v>0</v>
      </c>
      <c r="AM43" s="146">
        <v>0</v>
      </c>
      <c r="AN43" s="146">
        <v>0</v>
      </c>
      <c r="AO43" s="146">
        <v>0</v>
      </c>
      <c r="AP43" s="146">
        <v>0</v>
      </c>
      <c r="AQ43" s="146">
        <v>0</v>
      </c>
      <c r="AR43" s="146">
        <v>0</v>
      </c>
      <c r="AS43" s="146">
        <v>0</v>
      </c>
    </row>
    <row r="44" spans="1:45" x14ac:dyDescent="0.15">
      <c r="A44" s="182" t="s">
        <v>235</v>
      </c>
      <c r="B44" s="146">
        <v>0</v>
      </c>
      <c r="C44" s="146">
        <v>0</v>
      </c>
      <c r="D44" s="146">
        <v>0</v>
      </c>
      <c r="E44" s="146">
        <v>0</v>
      </c>
      <c r="F44" s="146">
        <v>1.0001061303952646E-3</v>
      </c>
      <c r="G44" s="146">
        <v>4.00069304024297E-3</v>
      </c>
      <c r="H44" s="146">
        <v>0</v>
      </c>
      <c r="I44" s="146">
        <v>0</v>
      </c>
      <c r="J44" s="146">
        <v>0</v>
      </c>
      <c r="K44" s="146">
        <v>0</v>
      </c>
      <c r="L44" s="146">
        <v>0</v>
      </c>
      <c r="M44" s="146">
        <v>7.6005370495316429E-2</v>
      </c>
      <c r="N44" s="146">
        <v>0</v>
      </c>
      <c r="O44" s="146">
        <v>0</v>
      </c>
      <c r="P44" s="146">
        <v>0</v>
      </c>
      <c r="Q44" s="146">
        <v>9.9987314609395494E-4</v>
      </c>
      <c r="R44" s="146">
        <v>9.9983297800367455E-4</v>
      </c>
      <c r="S44" s="146">
        <v>0</v>
      </c>
      <c r="T44" s="146">
        <v>0</v>
      </c>
      <c r="U44" s="146">
        <v>0</v>
      </c>
      <c r="V44" s="146">
        <v>0</v>
      </c>
      <c r="W44" s="146">
        <v>0</v>
      </c>
      <c r="X44" s="146">
        <v>0</v>
      </c>
      <c r="Y44" s="146">
        <v>0</v>
      </c>
      <c r="Z44" s="146">
        <v>0</v>
      </c>
      <c r="AA44" s="146">
        <v>0</v>
      </c>
      <c r="AB44" s="146">
        <v>0.14599994039260428</v>
      </c>
      <c r="AC44" s="146">
        <v>6.098201473777734E-2</v>
      </c>
      <c r="AD44" s="146">
        <v>0.25008106875218888</v>
      </c>
      <c r="AE44" s="146">
        <v>0.10895931652057901</v>
      </c>
      <c r="AF44" s="146">
        <v>0.57999999999999996</v>
      </c>
      <c r="AG44" s="146">
        <v>0.3</v>
      </c>
      <c r="AH44" s="146">
        <v>0.8</v>
      </c>
      <c r="AI44" s="146">
        <v>0</v>
      </c>
      <c r="AJ44" s="146">
        <v>0</v>
      </c>
      <c r="AK44" s="146">
        <v>0.15</v>
      </c>
      <c r="AL44" s="146">
        <v>0.36000000000000004</v>
      </c>
      <c r="AM44" s="146">
        <v>0.98</v>
      </c>
      <c r="AN44" s="146">
        <v>0</v>
      </c>
      <c r="AO44" s="146">
        <v>0</v>
      </c>
      <c r="AP44" s="146">
        <v>0</v>
      </c>
      <c r="AQ44" s="146">
        <v>0</v>
      </c>
      <c r="AR44" s="146">
        <v>0</v>
      </c>
      <c r="AS44" s="146">
        <v>0</v>
      </c>
    </row>
    <row r="45" spans="1:45" x14ac:dyDescent="0.15">
      <c r="A45" s="182" t="s">
        <v>236</v>
      </c>
      <c r="B45" s="146">
        <v>0</v>
      </c>
      <c r="C45" s="146">
        <v>0</v>
      </c>
      <c r="D45" s="146">
        <v>0</v>
      </c>
      <c r="E45" s="146">
        <v>0</v>
      </c>
      <c r="F45" s="146">
        <v>0</v>
      </c>
      <c r="G45" s="146">
        <v>0</v>
      </c>
      <c r="H45" s="146">
        <v>0</v>
      </c>
      <c r="I45" s="146">
        <v>0</v>
      </c>
      <c r="J45" s="146">
        <v>0</v>
      </c>
      <c r="K45" s="146">
        <v>0</v>
      </c>
      <c r="L45" s="146">
        <v>0</v>
      </c>
      <c r="M45" s="146">
        <v>0</v>
      </c>
      <c r="N45" s="146">
        <v>0</v>
      </c>
      <c r="O45" s="146">
        <v>0</v>
      </c>
      <c r="P45" s="146">
        <v>0</v>
      </c>
      <c r="Q45" s="146">
        <v>0</v>
      </c>
      <c r="R45" s="146">
        <v>0</v>
      </c>
      <c r="S45" s="146">
        <v>0</v>
      </c>
      <c r="T45" s="146">
        <v>0</v>
      </c>
      <c r="U45" s="146">
        <v>0</v>
      </c>
      <c r="V45" s="146">
        <v>0</v>
      </c>
      <c r="W45" s="146">
        <v>0</v>
      </c>
      <c r="X45" s="146">
        <v>0</v>
      </c>
      <c r="Y45" s="146">
        <v>0</v>
      </c>
      <c r="Z45" s="146">
        <v>0</v>
      </c>
      <c r="AA45" s="146">
        <v>0</v>
      </c>
      <c r="AB45" s="146">
        <v>0</v>
      </c>
      <c r="AC45" s="146">
        <v>0</v>
      </c>
      <c r="AD45" s="146">
        <v>0</v>
      </c>
      <c r="AE45" s="146">
        <v>0</v>
      </c>
      <c r="AF45" s="146">
        <v>0</v>
      </c>
      <c r="AG45" s="146">
        <v>0</v>
      </c>
      <c r="AH45" s="146">
        <v>0</v>
      </c>
      <c r="AI45" s="146">
        <v>0</v>
      </c>
      <c r="AJ45" s="146">
        <v>0</v>
      </c>
      <c r="AK45" s="146">
        <v>0</v>
      </c>
      <c r="AL45" s="146">
        <v>0</v>
      </c>
      <c r="AM45" s="146">
        <v>0</v>
      </c>
      <c r="AN45" s="146">
        <v>0</v>
      </c>
      <c r="AO45" s="146">
        <v>0</v>
      </c>
      <c r="AP45" s="146">
        <v>0</v>
      </c>
      <c r="AQ45" s="146">
        <v>0</v>
      </c>
      <c r="AR45" s="146">
        <v>0</v>
      </c>
      <c r="AS45" s="146">
        <v>0</v>
      </c>
    </row>
    <row r="46" spans="1:45" x14ac:dyDescent="0.15">
      <c r="A46" s="182" t="s">
        <v>239</v>
      </c>
      <c r="B46" s="146">
        <v>0</v>
      </c>
      <c r="C46" s="146">
        <v>0</v>
      </c>
      <c r="D46" s="146">
        <v>0</v>
      </c>
      <c r="E46" s="146">
        <v>1.9000131149355264E-2</v>
      </c>
      <c r="F46" s="146">
        <v>0</v>
      </c>
      <c r="G46" s="146">
        <v>0</v>
      </c>
      <c r="H46" s="146">
        <v>0.19600229630410285</v>
      </c>
      <c r="I46" s="146">
        <v>0</v>
      </c>
      <c r="J46" s="146">
        <v>0</v>
      </c>
      <c r="K46" s="146">
        <v>0</v>
      </c>
      <c r="L46" s="146">
        <v>0</v>
      </c>
      <c r="M46" s="146">
        <v>0</v>
      </c>
      <c r="N46" s="146">
        <v>0</v>
      </c>
      <c r="O46" s="146">
        <v>0</v>
      </c>
      <c r="P46" s="146">
        <v>0</v>
      </c>
      <c r="Q46" s="146">
        <v>0</v>
      </c>
      <c r="R46" s="146">
        <v>0</v>
      </c>
      <c r="S46" s="146">
        <v>0</v>
      </c>
      <c r="T46" s="146">
        <v>0</v>
      </c>
      <c r="U46" s="146">
        <v>0</v>
      </c>
      <c r="V46" s="146">
        <v>0</v>
      </c>
      <c r="W46" s="146">
        <v>0</v>
      </c>
      <c r="X46" s="146">
        <v>0</v>
      </c>
      <c r="Y46" s="146">
        <v>0</v>
      </c>
      <c r="Z46" s="146">
        <v>0</v>
      </c>
      <c r="AA46" s="146">
        <v>0</v>
      </c>
      <c r="AB46" s="146">
        <v>0</v>
      </c>
      <c r="AC46" s="146">
        <v>0</v>
      </c>
      <c r="AD46" s="146">
        <v>0</v>
      </c>
      <c r="AE46" s="146">
        <v>0</v>
      </c>
      <c r="AF46" s="146">
        <v>0</v>
      </c>
      <c r="AG46" s="146">
        <v>0</v>
      </c>
      <c r="AH46" s="146">
        <v>0</v>
      </c>
      <c r="AI46" s="146">
        <v>0</v>
      </c>
      <c r="AJ46" s="146">
        <v>0</v>
      </c>
      <c r="AK46" s="146">
        <v>0</v>
      </c>
      <c r="AL46" s="146">
        <v>0</v>
      </c>
      <c r="AM46" s="146">
        <v>0</v>
      </c>
      <c r="AN46" s="146">
        <v>0</v>
      </c>
      <c r="AO46" s="146">
        <v>0</v>
      </c>
      <c r="AP46" s="146">
        <v>0</v>
      </c>
      <c r="AQ46" s="146">
        <v>0</v>
      </c>
      <c r="AR46" s="146">
        <v>0</v>
      </c>
      <c r="AS46" s="146">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tabSelected="1" workbookViewId="0">
      <pane xSplit="2" ySplit="1" topLeftCell="C37" activePane="bottomRight" state="frozen"/>
      <selection pane="topRight" activeCell="C1" sqref="C1"/>
      <selection pane="bottomLeft" activeCell="A2" sqref="A2"/>
      <selection pane="bottomRight" activeCell="I60" sqref="I60"/>
    </sheetView>
  </sheetViews>
  <sheetFormatPr baseColWidth="10" defaultColWidth="8.83203125" defaultRowHeight="13" x14ac:dyDescent="0.15"/>
  <cols>
    <col min="1" max="1" width="3.33203125" customWidth="1"/>
    <col min="2" max="2" width="44.1640625" customWidth="1"/>
    <col min="3" max="4" width="13" style="114" customWidth="1"/>
    <col min="5" max="6" width="13" style="113" customWidth="1"/>
    <col min="7" max="7" width="13" style="114" customWidth="1"/>
    <col min="8" max="8" width="8.83203125" style="114"/>
  </cols>
  <sheetData>
    <row r="1" spans="1:8" ht="70" x14ac:dyDescent="0.15">
      <c r="A1" s="5" t="s">
        <v>20</v>
      </c>
      <c r="B1" s="1" t="s">
        <v>0</v>
      </c>
      <c r="C1" s="185" t="s">
        <v>234</v>
      </c>
      <c r="D1" s="185" t="s">
        <v>235</v>
      </c>
      <c r="E1" s="185" t="s">
        <v>236</v>
      </c>
      <c r="F1" s="185" t="s">
        <v>240</v>
      </c>
      <c r="G1" s="185" t="s">
        <v>241</v>
      </c>
      <c r="H1"/>
    </row>
    <row r="2" spans="1:8" x14ac:dyDescent="0.15">
      <c r="A2">
        <v>1</v>
      </c>
      <c r="B2" s="184" t="s">
        <v>193</v>
      </c>
      <c r="C2" s="114">
        <v>0</v>
      </c>
      <c r="D2" s="114">
        <v>1</v>
      </c>
      <c r="E2" s="113">
        <v>0</v>
      </c>
      <c r="F2" s="113">
        <v>0</v>
      </c>
      <c r="G2" s="114">
        <v>1</v>
      </c>
      <c r="H2"/>
    </row>
    <row r="3" spans="1:8" x14ac:dyDescent="0.15">
      <c r="A3">
        <v>2</v>
      </c>
      <c r="B3" s="184" t="s">
        <v>194</v>
      </c>
      <c r="C3" s="114">
        <v>0</v>
      </c>
      <c r="D3" s="114">
        <v>1</v>
      </c>
      <c r="E3" s="113">
        <v>0</v>
      </c>
      <c r="F3" s="113">
        <v>0</v>
      </c>
      <c r="G3" s="114">
        <v>1</v>
      </c>
      <c r="H3"/>
    </row>
    <row r="4" spans="1:8" x14ac:dyDescent="0.15">
      <c r="A4">
        <v>3</v>
      </c>
      <c r="B4" s="184" t="s">
        <v>195</v>
      </c>
      <c r="C4" s="114">
        <v>0</v>
      </c>
      <c r="D4" s="114">
        <v>1</v>
      </c>
      <c r="E4" s="113">
        <v>0</v>
      </c>
      <c r="F4" s="113">
        <v>0</v>
      </c>
      <c r="G4" s="114">
        <v>1</v>
      </c>
      <c r="H4"/>
    </row>
    <row r="5" spans="1:8" x14ac:dyDescent="0.15">
      <c r="A5">
        <v>4</v>
      </c>
      <c r="B5" s="184" t="s">
        <v>196</v>
      </c>
      <c r="C5" s="114">
        <v>0</v>
      </c>
      <c r="D5" s="114">
        <v>1</v>
      </c>
      <c r="E5" s="113">
        <v>0</v>
      </c>
      <c r="F5" s="113">
        <v>0</v>
      </c>
      <c r="G5" s="114">
        <v>1</v>
      </c>
      <c r="H5"/>
    </row>
    <row r="6" spans="1:8" x14ac:dyDescent="0.15">
      <c r="A6">
        <v>5</v>
      </c>
      <c r="B6" s="184" t="s">
        <v>197</v>
      </c>
      <c r="C6" s="114">
        <v>0</v>
      </c>
      <c r="D6" s="114">
        <v>1</v>
      </c>
      <c r="E6" s="113">
        <v>0</v>
      </c>
      <c r="F6" s="113">
        <v>0</v>
      </c>
      <c r="G6" s="114">
        <v>1</v>
      </c>
      <c r="H6"/>
    </row>
    <row r="7" spans="1:8" x14ac:dyDescent="0.15">
      <c r="A7">
        <v>6</v>
      </c>
      <c r="B7" s="184" t="s">
        <v>198</v>
      </c>
      <c r="C7" s="114">
        <v>0</v>
      </c>
      <c r="D7" s="114">
        <v>1</v>
      </c>
      <c r="E7" s="113">
        <v>0</v>
      </c>
      <c r="F7" s="113">
        <v>0</v>
      </c>
      <c r="G7" s="114">
        <v>1</v>
      </c>
      <c r="H7"/>
    </row>
    <row r="8" spans="1:8" x14ac:dyDescent="0.15">
      <c r="A8">
        <v>7</v>
      </c>
      <c r="B8" s="184" t="s">
        <v>199</v>
      </c>
      <c r="C8" s="114">
        <v>0</v>
      </c>
      <c r="D8" s="114">
        <v>1</v>
      </c>
      <c r="E8" s="113">
        <v>0</v>
      </c>
      <c r="F8" s="113">
        <v>0</v>
      </c>
      <c r="G8" s="114">
        <v>1</v>
      </c>
      <c r="H8"/>
    </row>
    <row r="9" spans="1:8" x14ac:dyDescent="0.15">
      <c r="A9">
        <v>8</v>
      </c>
      <c r="B9" s="184" t="s">
        <v>200</v>
      </c>
      <c r="C9" s="114">
        <v>0</v>
      </c>
      <c r="D9" s="114">
        <v>1</v>
      </c>
      <c r="E9" s="113">
        <v>0</v>
      </c>
      <c r="F9" s="113">
        <v>0</v>
      </c>
      <c r="G9" s="114">
        <v>1</v>
      </c>
      <c r="H9"/>
    </row>
    <row r="10" spans="1:8" x14ac:dyDescent="0.15">
      <c r="A10">
        <v>9</v>
      </c>
      <c r="B10" s="184" t="s">
        <v>201</v>
      </c>
      <c r="C10" s="114">
        <v>0</v>
      </c>
      <c r="D10" s="114">
        <v>1</v>
      </c>
      <c r="E10" s="113">
        <v>0</v>
      </c>
      <c r="F10" s="113">
        <v>0</v>
      </c>
      <c r="G10" s="114">
        <v>1</v>
      </c>
      <c r="H10"/>
    </row>
    <row r="11" spans="1:8" x14ac:dyDescent="0.15">
      <c r="A11">
        <v>10</v>
      </c>
      <c r="B11" s="184" t="s">
        <v>202</v>
      </c>
      <c r="C11" s="114">
        <v>0</v>
      </c>
      <c r="D11" s="114">
        <v>1</v>
      </c>
      <c r="E11" s="113">
        <v>0</v>
      </c>
      <c r="F11" s="113">
        <v>0</v>
      </c>
      <c r="G11" s="114">
        <v>1</v>
      </c>
      <c r="H11"/>
    </row>
    <row r="12" spans="1:8" x14ac:dyDescent="0.15">
      <c r="A12">
        <v>11</v>
      </c>
      <c r="B12" s="184" t="s">
        <v>203</v>
      </c>
      <c r="C12" s="114">
        <v>0</v>
      </c>
      <c r="D12" s="114">
        <v>1</v>
      </c>
      <c r="E12" s="113">
        <v>0</v>
      </c>
      <c r="F12" s="113">
        <v>0</v>
      </c>
      <c r="G12" s="114">
        <v>1</v>
      </c>
      <c r="H12"/>
    </row>
    <row r="13" spans="1:8" x14ac:dyDescent="0.15">
      <c r="A13">
        <v>12</v>
      </c>
      <c r="B13" s="184" t="s">
        <v>204</v>
      </c>
      <c r="C13" s="114">
        <v>0</v>
      </c>
      <c r="D13" s="114">
        <v>1</v>
      </c>
      <c r="E13" s="113">
        <v>0</v>
      </c>
      <c r="F13" s="113">
        <v>0</v>
      </c>
      <c r="G13" s="114">
        <v>1</v>
      </c>
      <c r="H13"/>
    </row>
    <row r="14" spans="1:8" x14ac:dyDescent="0.15">
      <c r="A14">
        <v>13</v>
      </c>
      <c r="B14" s="184" t="s">
        <v>205</v>
      </c>
      <c r="C14" s="114">
        <v>0</v>
      </c>
      <c r="D14" s="114">
        <v>1</v>
      </c>
      <c r="E14" s="113">
        <v>0</v>
      </c>
      <c r="F14" s="113">
        <v>0</v>
      </c>
      <c r="G14" s="114">
        <v>1</v>
      </c>
      <c r="H14"/>
    </row>
    <row r="15" spans="1:8" x14ac:dyDescent="0.15">
      <c r="A15">
        <v>14</v>
      </c>
      <c r="B15" s="184" t="s">
        <v>206</v>
      </c>
      <c r="C15" s="114">
        <v>0</v>
      </c>
      <c r="D15" s="114">
        <v>1</v>
      </c>
      <c r="E15" s="113">
        <v>0</v>
      </c>
      <c r="F15" s="113">
        <v>0</v>
      </c>
      <c r="G15" s="114">
        <v>1</v>
      </c>
      <c r="H15"/>
    </row>
    <row r="16" spans="1:8" x14ac:dyDescent="0.15">
      <c r="A16">
        <v>15</v>
      </c>
      <c r="B16" s="184" t="s">
        <v>207</v>
      </c>
      <c r="C16" s="114">
        <v>0</v>
      </c>
      <c r="D16" s="114">
        <v>1</v>
      </c>
      <c r="E16" s="113">
        <v>0</v>
      </c>
      <c r="F16" s="113">
        <v>0</v>
      </c>
      <c r="G16" s="114">
        <v>1</v>
      </c>
      <c r="H16"/>
    </row>
    <row r="17" spans="1:8" ht="15" customHeight="1" x14ac:dyDescent="0.15">
      <c r="A17">
        <v>16</v>
      </c>
      <c r="B17" s="184" t="s">
        <v>208</v>
      </c>
      <c r="C17" s="114">
        <v>0</v>
      </c>
      <c r="D17" s="114">
        <v>1</v>
      </c>
      <c r="E17" s="113">
        <v>0</v>
      </c>
      <c r="F17" s="113">
        <v>0</v>
      </c>
      <c r="G17" s="114">
        <v>1</v>
      </c>
      <c r="H17"/>
    </row>
    <row r="18" spans="1:8" ht="15" customHeight="1" x14ac:dyDescent="0.15">
      <c r="A18">
        <v>17</v>
      </c>
      <c r="B18" s="184" t="s">
        <v>209</v>
      </c>
      <c r="C18" s="114">
        <v>0</v>
      </c>
      <c r="D18" s="114">
        <v>1</v>
      </c>
      <c r="E18" s="113">
        <v>0</v>
      </c>
      <c r="F18" s="113">
        <v>0</v>
      </c>
      <c r="G18" s="114">
        <v>1</v>
      </c>
      <c r="H18"/>
    </row>
    <row r="19" spans="1:8" ht="15" customHeight="1" x14ac:dyDescent="0.15">
      <c r="A19">
        <v>18</v>
      </c>
      <c r="B19" s="184" t="s">
        <v>210</v>
      </c>
      <c r="C19" s="114">
        <v>0</v>
      </c>
      <c r="D19" s="114">
        <v>1</v>
      </c>
      <c r="E19" s="113">
        <v>0</v>
      </c>
      <c r="F19" s="113">
        <v>0</v>
      </c>
      <c r="G19" s="114">
        <v>1</v>
      </c>
      <c r="H19"/>
    </row>
    <row r="20" spans="1:8" ht="15" customHeight="1" x14ac:dyDescent="0.15">
      <c r="A20">
        <v>19</v>
      </c>
      <c r="B20" s="184" t="s">
        <v>211</v>
      </c>
      <c r="C20" s="114">
        <v>0</v>
      </c>
      <c r="D20" s="114">
        <v>1</v>
      </c>
      <c r="E20" s="113">
        <v>0</v>
      </c>
      <c r="F20" s="113">
        <v>0</v>
      </c>
      <c r="G20" s="114">
        <v>1</v>
      </c>
      <c r="H20"/>
    </row>
    <row r="21" spans="1:8" ht="15" customHeight="1" x14ac:dyDescent="0.15">
      <c r="A21">
        <v>20</v>
      </c>
      <c r="B21" s="184" t="s">
        <v>212</v>
      </c>
      <c r="C21" s="114">
        <v>0</v>
      </c>
      <c r="D21" s="114">
        <v>1</v>
      </c>
      <c r="E21" s="113">
        <v>0</v>
      </c>
      <c r="F21" s="113">
        <v>0</v>
      </c>
      <c r="G21" s="114">
        <v>1</v>
      </c>
      <c r="H21"/>
    </row>
    <row r="22" spans="1:8" ht="15" customHeight="1" x14ac:dyDescent="0.15">
      <c r="A22">
        <v>21</v>
      </c>
      <c r="B22" s="184" t="s">
        <v>213</v>
      </c>
      <c r="C22" s="114">
        <v>0</v>
      </c>
      <c r="D22" s="114">
        <v>1</v>
      </c>
      <c r="E22" s="113">
        <v>0</v>
      </c>
      <c r="F22" s="113">
        <v>0</v>
      </c>
      <c r="G22" s="114">
        <v>1</v>
      </c>
      <c r="H22"/>
    </row>
    <row r="23" spans="1:8" ht="15" customHeight="1" x14ac:dyDescent="0.15">
      <c r="A23">
        <v>22</v>
      </c>
      <c r="B23" s="184" t="s">
        <v>214</v>
      </c>
      <c r="C23" s="114">
        <v>0</v>
      </c>
      <c r="D23" s="114">
        <v>1</v>
      </c>
      <c r="E23" s="113">
        <v>0</v>
      </c>
      <c r="F23" s="113">
        <v>0</v>
      </c>
      <c r="G23" s="114">
        <v>1</v>
      </c>
      <c r="H23"/>
    </row>
    <row r="24" spans="1:8" ht="15" customHeight="1" x14ac:dyDescent="0.15">
      <c r="A24">
        <v>23</v>
      </c>
      <c r="B24" s="184" t="s">
        <v>215</v>
      </c>
      <c r="C24" s="114">
        <v>0</v>
      </c>
      <c r="D24" s="114">
        <v>1</v>
      </c>
      <c r="E24" s="113">
        <v>0</v>
      </c>
      <c r="F24" s="113">
        <v>0</v>
      </c>
      <c r="G24" s="114">
        <v>1</v>
      </c>
      <c r="H24"/>
    </row>
    <row r="25" spans="1:8" ht="15" customHeight="1" x14ac:dyDescent="0.15">
      <c r="A25">
        <v>24</v>
      </c>
      <c r="B25" s="184" t="s">
        <v>216</v>
      </c>
      <c r="C25" s="114">
        <v>0</v>
      </c>
      <c r="D25" s="114">
        <v>1</v>
      </c>
      <c r="E25" s="113">
        <v>0</v>
      </c>
      <c r="F25" s="113">
        <v>0</v>
      </c>
      <c r="G25" s="114">
        <v>1</v>
      </c>
      <c r="H25"/>
    </row>
    <row r="26" spans="1:8" ht="15" customHeight="1" x14ac:dyDescent="0.15">
      <c r="A26">
        <v>25</v>
      </c>
      <c r="B26" s="184" t="s">
        <v>217</v>
      </c>
      <c r="C26" s="114">
        <v>0</v>
      </c>
      <c r="D26" s="114">
        <v>1</v>
      </c>
      <c r="E26" s="113">
        <v>0</v>
      </c>
      <c r="F26" s="113">
        <v>0</v>
      </c>
      <c r="G26" s="114">
        <v>1</v>
      </c>
      <c r="H26"/>
    </row>
    <row r="27" spans="1:8" ht="15" customHeight="1" x14ac:dyDescent="0.15">
      <c r="A27">
        <v>26</v>
      </c>
      <c r="B27" s="184" t="s">
        <v>218</v>
      </c>
      <c r="C27" s="114">
        <v>0</v>
      </c>
      <c r="D27" s="114">
        <v>1</v>
      </c>
      <c r="E27" s="113">
        <v>0</v>
      </c>
      <c r="F27" s="113">
        <v>0</v>
      </c>
      <c r="G27" s="114">
        <v>1</v>
      </c>
      <c r="H27"/>
    </row>
    <row r="28" spans="1:8" ht="15" customHeight="1" x14ac:dyDescent="0.15">
      <c r="A28">
        <v>27</v>
      </c>
      <c r="B28" s="184" t="s">
        <v>219</v>
      </c>
      <c r="C28" s="114">
        <v>0</v>
      </c>
      <c r="D28" s="114">
        <v>1</v>
      </c>
      <c r="E28" s="113">
        <v>0</v>
      </c>
      <c r="F28" s="113">
        <v>0</v>
      </c>
      <c r="G28" s="114">
        <v>1</v>
      </c>
      <c r="H28"/>
    </row>
    <row r="29" spans="1:8" ht="15" customHeight="1" x14ac:dyDescent="0.15">
      <c r="A29">
        <v>28</v>
      </c>
      <c r="B29" s="184" t="s">
        <v>220</v>
      </c>
      <c r="C29" s="114">
        <v>0</v>
      </c>
      <c r="D29" s="114">
        <v>1</v>
      </c>
      <c r="E29" s="113">
        <v>0</v>
      </c>
      <c r="F29" s="113">
        <v>0</v>
      </c>
      <c r="G29" s="114">
        <v>1</v>
      </c>
      <c r="H29"/>
    </row>
    <row r="30" spans="1:8" ht="15" customHeight="1" x14ac:dyDescent="0.15">
      <c r="A30">
        <v>29</v>
      </c>
      <c r="B30" s="184" t="s">
        <v>221</v>
      </c>
      <c r="C30" s="114">
        <v>0</v>
      </c>
      <c r="D30" s="114">
        <v>1</v>
      </c>
      <c r="E30" s="113">
        <v>0</v>
      </c>
      <c r="F30" s="113">
        <v>0</v>
      </c>
      <c r="G30" s="114">
        <v>1</v>
      </c>
      <c r="H30"/>
    </row>
    <row r="31" spans="1:8" ht="15" customHeight="1" x14ac:dyDescent="0.15">
      <c r="A31">
        <v>30</v>
      </c>
      <c r="B31" s="184" t="s">
        <v>222</v>
      </c>
      <c r="C31" s="114">
        <v>0</v>
      </c>
      <c r="D31" s="114">
        <v>1</v>
      </c>
      <c r="E31" s="113">
        <v>0</v>
      </c>
      <c r="F31" s="113">
        <v>0</v>
      </c>
      <c r="G31" s="114">
        <v>1</v>
      </c>
      <c r="H31"/>
    </row>
    <row r="32" spans="1:8" ht="15" customHeight="1" x14ac:dyDescent="0.15">
      <c r="A32">
        <v>31</v>
      </c>
      <c r="B32" s="184" t="s">
        <v>223</v>
      </c>
      <c r="C32" s="114">
        <v>0</v>
      </c>
      <c r="D32" s="114">
        <v>1</v>
      </c>
      <c r="E32" s="113">
        <v>0</v>
      </c>
      <c r="F32" s="113">
        <v>0</v>
      </c>
      <c r="G32" s="114">
        <v>1</v>
      </c>
    </row>
    <row r="33" spans="1:8" ht="15" customHeight="1" x14ac:dyDescent="0.15">
      <c r="A33">
        <v>32</v>
      </c>
      <c r="B33" s="184" t="s">
        <v>224</v>
      </c>
      <c r="C33" s="114">
        <v>0</v>
      </c>
      <c r="D33" s="114">
        <v>1</v>
      </c>
      <c r="E33" s="113">
        <v>0</v>
      </c>
      <c r="F33" s="113">
        <v>0</v>
      </c>
      <c r="G33" s="114">
        <v>1</v>
      </c>
    </row>
    <row r="34" spans="1:8" ht="15" customHeight="1" x14ac:dyDescent="0.15">
      <c r="A34">
        <v>33</v>
      </c>
      <c r="B34" s="184" t="s">
        <v>225</v>
      </c>
      <c r="C34" s="114">
        <v>0</v>
      </c>
      <c r="D34" s="114">
        <v>1</v>
      </c>
      <c r="E34" s="113">
        <v>0</v>
      </c>
      <c r="F34" s="113">
        <v>0</v>
      </c>
      <c r="G34" s="114">
        <v>1</v>
      </c>
    </row>
    <row r="35" spans="1:8" ht="15" customHeight="1" x14ac:dyDescent="0.15">
      <c r="A35">
        <v>34</v>
      </c>
      <c r="B35" s="184" t="s">
        <v>226</v>
      </c>
      <c r="C35" s="114">
        <v>0</v>
      </c>
      <c r="D35" s="114">
        <v>1</v>
      </c>
      <c r="E35" s="113">
        <v>0</v>
      </c>
      <c r="F35" s="113">
        <v>0</v>
      </c>
      <c r="G35" s="114">
        <v>1</v>
      </c>
    </row>
    <row r="36" spans="1:8" ht="15" customHeight="1" x14ac:dyDescent="0.15">
      <c r="A36">
        <v>35</v>
      </c>
      <c r="B36" s="184" t="s">
        <v>227</v>
      </c>
      <c r="C36" s="114">
        <v>0</v>
      </c>
      <c r="D36" s="114">
        <v>1</v>
      </c>
      <c r="E36" s="114">
        <v>0</v>
      </c>
      <c r="F36" s="114">
        <v>0</v>
      </c>
      <c r="G36" s="114">
        <v>1</v>
      </c>
      <c r="H36"/>
    </row>
    <row r="37" spans="1:8" ht="15" customHeight="1" x14ac:dyDescent="0.15">
      <c r="A37">
        <v>36</v>
      </c>
      <c r="B37" s="184" t="s">
        <v>228</v>
      </c>
      <c r="C37" s="114">
        <v>0</v>
      </c>
      <c r="D37" s="114">
        <v>1</v>
      </c>
      <c r="E37" s="114">
        <v>0</v>
      </c>
      <c r="F37" s="114">
        <v>0</v>
      </c>
      <c r="G37" s="114">
        <v>1</v>
      </c>
      <c r="H37"/>
    </row>
    <row r="38" spans="1:8" ht="15" customHeight="1" x14ac:dyDescent="0.15">
      <c r="A38">
        <v>37</v>
      </c>
      <c r="B38" s="184" t="s">
        <v>229</v>
      </c>
      <c r="C38" s="114">
        <v>0</v>
      </c>
      <c r="D38" s="114">
        <v>1</v>
      </c>
      <c r="E38" s="114">
        <v>0</v>
      </c>
      <c r="F38" s="114">
        <v>0</v>
      </c>
      <c r="G38" s="114">
        <v>1</v>
      </c>
      <c r="H38"/>
    </row>
    <row r="39" spans="1:8" ht="15" customHeight="1" x14ac:dyDescent="0.15">
      <c r="A39">
        <v>38</v>
      </c>
      <c r="B39" s="184" t="s">
        <v>230</v>
      </c>
      <c r="C39" s="114">
        <v>0</v>
      </c>
      <c r="D39" s="114">
        <v>1</v>
      </c>
      <c r="E39" s="114">
        <v>0</v>
      </c>
      <c r="F39" s="114">
        <v>0</v>
      </c>
      <c r="G39" s="114">
        <v>1</v>
      </c>
      <c r="H39"/>
    </row>
    <row r="40" spans="1:8" ht="15" customHeight="1" x14ac:dyDescent="0.15">
      <c r="A40">
        <v>39</v>
      </c>
      <c r="B40" s="184" t="s">
        <v>231</v>
      </c>
      <c r="C40" s="114">
        <v>0</v>
      </c>
      <c r="D40" s="114">
        <v>1</v>
      </c>
      <c r="E40" s="114">
        <v>0</v>
      </c>
      <c r="F40" s="114">
        <v>0</v>
      </c>
      <c r="G40" s="114">
        <v>1</v>
      </c>
      <c r="H40"/>
    </row>
    <row r="41" spans="1:8" ht="15" customHeight="1" x14ac:dyDescent="0.15">
      <c r="A41">
        <v>40</v>
      </c>
      <c r="B41" s="184" t="s">
        <v>232</v>
      </c>
      <c r="C41" s="114">
        <v>0</v>
      </c>
      <c r="D41" s="114">
        <v>1</v>
      </c>
      <c r="E41" s="114">
        <v>0</v>
      </c>
      <c r="F41" s="114">
        <v>0</v>
      </c>
      <c r="G41" s="114">
        <v>1</v>
      </c>
      <c r="H41"/>
    </row>
    <row r="42" spans="1:8" ht="15" customHeight="1" x14ac:dyDescent="0.15">
      <c r="A42">
        <v>41</v>
      </c>
      <c r="B42" s="184" t="s">
        <v>233</v>
      </c>
      <c r="C42" s="114">
        <v>0</v>
      </c>
      <c r="D42" s="114">
        <v>1</v>
      </c>
      <c r="E42" s="114">
        <v>0</v>
      </c>
      <c r="F42" s="114">
        <v>0</v>
      </c>
      <c r="G42" s="114">
        <v>1</v>
      </c>
      <c r="H42"/>
    </row>
    <row r="43" spans="1:8" ht="15" customHeight="1" x14ac:dyDescent="0.15">
      <c r="A43">
        <v>42</v>
      </c>
      <c r="B43" s="184" t="s">
        <v>234</v>
      </c>
      <c r="C43" s="114">
        <v>0</v>
      </c>
      <c r="D43" s="114">
        <v>0</v>
      </c>
      <c r="E43" s="114">
        <v>0</v>
      </c>
      <c r="F43" s="114">
        <v>1</v>
      </c>
      <c r="G43" s="114">
        <v>1</v>
      </c>
      <c r="H43"/>
    </row>
    <row r="44" spans="1:8" ht="15" customHeight="1" x14ac:dyDescent="0.15">
      <c r="A44">
        <v>43</v>
      </c>
      <c r="B44" s="184" t="s">
        <v>235</v>
      </c>
      <c r="C44" s="114">
        <v>0</v>
      </c>
      <c r="D44" s="114">
        <v>0</v>
      </c>
      <c r="E44" s="113">
        <v>1</v>
      </c>
      <c r="F44" s="113">
        <v>0</v>
      </c>
      <c r="G44" s="114">
        <v>1</v>
      </c>
      <c r="H44"/>
    </row>
    <row r="45" spans="1:8" ht="15" customHeight="1" x14ac:dyDescent="0.15">
      <c r="A45">
        <v>44</v>
      </c>
      <c r="B45" s="184" t="s">
        <v>236</v>
      </c>
      <c r="C45" s="114">
        <v>0</v>
      </c>
      <c r="D45" s="114">
        <v>0</v>
      </c>
      <c r="E45" s="113">
        <v>0</v>
      </c>
      <c r="F45" s="113">
        <v>1</v>
      </c>
      <c r="G45" s="114">
        <v>1</v>
      </c>
      <c r="H45"/>
    </row>
    <row r="46" spans="1:8" ht="15" customHeight="1" x14ac:dyDescent="0.15">
      <c r="A46">
        <v>45</v>
      </c>
      <c r="B46" s="184" t="s">
        <v>201</v>
      </c>
      <c r="C46" s="114">
        <v>1</v>
      </c>
      <c r="D46" s="114">
        <v>0</v>
      </c>
      <c r="E46" s="114">
        <v>0</v>
      </c>
      <c r="F46" s="114">
        <v>0</v>
      </c>
      <c r="G46" s="114">
        <v>1</v>
      </c>
      <c r="H46"/>
    </row>
    <row r="47" spans="1:8" ht="15" customHeight="1" x14ac:dyDescent="0.15">
      <c r="A47">
        <v>46</v>
      </c>
      <c r="B47" s="184" t="s">
        <v>237</v>
      </c>
      <c r="C47" s="114">
        <v>1</v>
      </c>
      <c r="D47" s="114">
        <v>0</v>
      </c>
      <c r="E47" s="113">
        <v>0</v>
      </c>
      <c r="F47" s="113">
        <v>0</v>
      </c>
      <c r="G47" s="114">
        <v>1</v>
      </c>
      <c r="H47"/>
    </row>
    <row r="48" spans="1:8" ht="15" customHeight="1" x14ac:dyDescent="0.15">
      <c r="A48">
        <v>47</v>
      </c>
      <c r="B48" s="184" t="s">
        <v>203</v>
      </c>
      <c r="C48" s="114">
        <v>1</v>
      </c>
      <c r="D48" s="114">
        <v>0</v>
      </c>
      <c r="E48" s="113">
        <v>0</v>
      </c>
      <c r="F48" s="113">
        <v>0</v>
      </c>
      <c r="G48" s="114">
        <v>1</v>
      </c>
      <c r="H48"/>
    </row>
    <row r="49" spans="1:8" ht="15" customHeight="1" x14ac:dyDescent="0.15">
      <c r="A49">
        <v>48</v>
      </c>
      <c r="B49" s="184" t="s">
        <v>211</v>
      </c>
      <c r="C49" s="114">
        <v>1</v>
      </c>
      <c r="D49" s="114">
        <v>0</v>
      </c>
      <c r="E49" s="113">
        <v>0</v>
      </c>
      <c r="F49" s="113">
        <v>0</v>
      </c>
      <c r="G49" s="114">
        <v>1</v>
      </c>
      <c r="H49"/>
    </row>
    <row r="50" spans="1:8" ht="15" customHeight="1" x14ac:dyDescent="0.15">
      <c r="A50">
        <v>49</v>
      </c>
      <c r="B50" s="184" t="s">
        <v>212</v>
      </c>
      <c r="C50" s="114">
        <v>1</v>
      </c>
      <c r="D50" s="114">
        <v>0</v>
      </c>
      <c r="E50" s="113">
        <v>0</v>
      </c>
      <c r="F50" s="113">
        <v>0</v>
      </c>
      <c r="G50" s="114">
        <v>1</v>
      </c>
      <c r="H50"/>
    </row>
    <row r="51" spans="1:8" ht="15" customHeight="1" x14ac:dyDescent="0.15">
      <c r="A51">
        <v>50</v>
      </c>
      <c r="B51" s="184" t="s">
        <v>213</v>
      </c>
      <c r="C51" s="114">
        <v>1</v>
      </c>
      <c r="D51" s="114">
        <v>0</v>
      </c>
      <c r="E51" s="113">
        <v>0</v>
      </c>
      <c r="F51" s="113">
        <v>0</v>
      </c>
      <c r="G51" s="114">
        <v>1</v>
      </c>
      <c r="H51"/>
    </row>
    <row r="52" spans="1:8" ht="15" customHeight="1" x14ac:dyDescent="0.15">
      <c r="A52">
        <v>51</v>
      </c>
      <c r="B52" s="184" t="s">
        <v>214</v>
      </c>
      <c r="C52" s="114">
        <v>1</v>
      </c>
      <c r="D52" s="114">
        <v>0</v>
      </c>
      <c r="E52" s="113">
        <v>0</v>
      </c>
      <c r="F52" s="113">
        <v>0</v>
      </c>
      <c r="G52" s="114">
        <v>1</v>
      </c>
      <c r="H52"/>
    </row>
    <row r="53" spans="1:8" ht="15" customHeight="1" x14ac:dyDescent="0.15">
      <c r="A53">
        <v>52</v>
      </c>
      <c r="B53" s="184" t="s">
        <v>206</v>
      </c>
      <c r="C53" s="114">
        <v>1</v>
      </c>
      <c r="D53" s="114">
        <v>0</v>
      </c>
      <c r="E53" s="113">
        <v>0</v>
      </c>
      <c r="F53" s="113">
        <v>0</v>
      </c>
      <c r="G53" s="114">
        <v>1</v>
      </c>
      <c r="H53"/>
    </row>
    <row r="54" spans="1:8" ht="15" customHeight="1" x14ac:dyDescent="0.15">
      <c r="A54">
        <v>53</v>
      </c>
      <c r="B54" s="184" t="s">
        <v>205</v>
      </c>
      <c r="C54" s="114">
        <v>1</v>
      </c>
      <c r="D54" s="114">
        <v>0</v>
      </c>
      <c r="E54" s="113">
        <v>0</v>
      </c>
      <c r="F54" s="113">
        <v>0</v>
      </c>
      <c r="G54" s="114">
        <v>1</v>
      </c>
      <c r="H54"/>
    </row>
    <row r="55" spans="1:8" ht="15" customHeight="1" x14ac:dyDescent="0.15">
      <c r="A55">
        <v>54</v>
      </c>
      <c r="B55" s="184" t="s">
        <v>219</v>
      </c>
      <c r="C55" s="114">
        <v>1</v>
      </c>
      <c r="D55" s="114">
        <v>0</v>
      </c>
      <c r="E55" s="113">
        <v>0</v>
      </c>
      <c r="F55" s="113">
        <v>0</v>
      </c>
      <c r="G55" s="114">
        <v>1</v>
      </c>
      <c r="H55"/>
    </row>
    <row r="56" spans="1:8" ht="15" customHeight="1" x14ac:dyDescent="0.15">
      <c r="A56">
        <v>55</v>
      </c>
      <c r="B56" s="184" t="s">
        <v>238</v>
      </c>
      <c r="C56" s="114">
        <v>1</v>
      </c>
      <c r="D56" s="114">
        <v>0</v>
      </c>
      <c r="E56" s="113">
        <v>0</v>
      </c>
      <c r="F56" s="113">
        <v>0</v>
      </c>
      <c r="G56" s="114">
        <v>1</v>
      </c>
      <c r="H56"/>
    </row>
    <row r="57" spans="1:8" ht="15" customHeight="1" x14ac:dyDescent="0.15">
      <c r="C57"/>
      <c r="D57"/>
      <c r="E57"/>
      <c r="F57"/>
      <c r="G57"/>
      <c r="H57"/>
    </row>
    <row r="58" spans="1:8" ht="15" customHeight="1" x14ac:dyDescent="0.15">
      <c r="C58"/>
      <c r="D58"/>
      <c r="E58"/>
      <c r="F58"/>
      <c r="G58"/>
      <c r="H58"/>
    </row>
    <row r="59" spans="1:8" ht="15" customHeight="1" x14ac:dyDescent="0.15">
      <c r="C59"/>
      <c r="D59"/>
      <c r="E59"/>
      <c r="F59"/>
      <c r="G59"/>
      <c r="H59"/>
    </row>
    <row r="60" spans="1:8" ht="15" customHeight="1" x14ac:dyDescent="0.15">
      <c r="C60"/>
      <c r="D60"/>
      <c r="E60"/>
      <c r="F60"/>
      <c r="G60"/>
      <c r="H60"/>
    </row>
    <row r="61" spans="1:8" ht="15" customHeight="1" x14ac:dyDescent="0.15">
      <c r="C61"/>
      <c r="D61"/>
      <c r="E61"/>
      <c r="F61"/>
      <c r="G61"/>
      <c r="H61"/>
    </row>
    <row r="62" spans="1:8" ht="15" customHeight="1" x14ac:dyDescent="0.15">
      <c r="C62"/>
      <c r="D62"/>
      <c r="E62"/>
      <c r="F62"/>
      <c r="G62"/>
      <c r="H62"/>
    </row>
    <row r="63" spans="1:8" ht="15" customHeight="1" x14ac:dyDescent="0.15">
      <c r="C63"/>
      <c r="D63"/>
      <c r="E63"/>
      <c r="F63"/>
      <c r="G63"/>
      <c r="H63"/>
    </row>
    <row r="64" spans="1: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N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44.1640625" bestFit="1" customWidth="1"/>
    <col min="3" max="3" width="12.83203125" bestFit="1" customWidth="1"/>
    <col min="4" max="4" width="11.83203125" bestFit="1" customWidth="1"/>
    <col min="5" max="5" width="2.33203125" bestFit="1" customWidth="1"/>
    <col min="6" max="6" width="10.83203125" customWidth="1"/>
    <col min="7" max="9" width="11.83203125" customWidth="1"/>
    <col min="10" max="10" width="5.83203125" customWidth="1"/>
    <col min="11" max="14" width="12.83203125" customWidth="1"/>
  </cols>
  <sheetData>
    <row r="1" spans="1:14" s="115" customFormat="1" ht="112" x14ac:dyDescent="0.15">
      <c r="A1" s="5" t="s">
        <v>21</v>
      </c>
      <c r="B1" s="3" t="s">
        <v>0</v>
      </c>
      <c r="C1" s="187" t="s">
        <v>201</v>
      </c>
      <c r="D1" s="187" t="s">
        <v>237</v>
      </c>
      <c r="E1" s="187" t="s">
        <v>203</v>
      </c>
      <c r="F1" s="187" t="s">
        <v>211</v>
      </c>
      <c r="G1" s="187" t="s">
        <v>212</v>
      </c>
      <c r="H1" s="187" t="s">
        <v>213</v>
      </c>
      <c r="I1" s="187" t="s">
        <v>214</v>
      </c>
      <c r="J1" s="187" t="s">
        <v>206</v>
      </c>
      <c r="K1" s="187" t="s">
        <v>205</v>
      </c>
      <c r="L1" s="187" t="s">
        <v>219</v>
      </c>
      <c r="M1" s="187" t="s">
        <v>238</v>
      </c>
      <c r="N1" s="187" t="s">
        <v>242</v>
      </c>
    </row>
    <row r="2" spans="1:14" ht="15" customHeight="1" x14ac:dyDescent="0.15">
      <c r="A2">
        <v>1</v>
      </c>
      <c r="B2" s="186" t="s">
        <v>193</v>
      </c>
      <c r="C2">
        <v>0</v>
      </c>
      <c r="D2">
        <v>0</v>
      </c>
      <c r="E2">
        <v>0</v>
      </c>
      <c r="F2">
        <v>0</v>
      </c>
      <c r="G2">
        <v>0</v>
      </c>
      <c r="H2">
        <v>0</v>
      </c>
      <c r="I2">
        <v>0</v>
      </c>
      <c r="J2">
        <v>0</v>
      </c>
      <c r="K2">
        <v>0</v>
      </c>
      <c r="L2">
        <v>0</v>
      </c>
      <c r="M2">
        <v>0</v>
      </c>
      <c r="N2">
        <v>0</v>
      </c>
    </row>
    <row r="3" spans="1:14" ht="15" customHeight="1" x14ac:dyDescent="0.15">
      <c r="A3">
        <v>2</v>
      </c>
      <c r="B3" s="186" t="s">
        <v>194</v>
      </c>
      <c r="C3">
        <v>0</v>
      </c>
      <c r="D3">
        <v>0</v>
      </c>
      <c r="E3">
        <v>0</v>
      </c>
      <c r="F3">
        <v>0</v>
      </c>
      <c r="G3">
        <v>0</v>
      </c>
      <c r="H3">
        <v>0</v>
      </c>
      <c r="I3">
        <v>0</v>
      </c>
      <c r="J3">
        <v>0</v>
      </c>
      <c r="K3">
        <v>0</v>
      </c>
      <c r="L3">
        <v>0</v>
      </c>
      <c r="M3">
        <v>0</v>
      </c>
      <c r="N3">
        <v>0</v>
      </c>
    </row>
    <row r="4" spans="1:14" ht="15" customHeight="1" x14ac:dyDescent="0.15">
      <c r="A4">
        <v>3</v>
      </c>
      <c r="B4" s="186" t="s">
        <v>195</v>
      </c>
      <c r="C4">
        <v>0</v>
      </c>
      <c r="D4">
        <v>0</v>
      </c>
      <c r="E4">
        <v>0</v>
      </c>
      <c r="F4">
        <v>0</v>
      </c>
      <c r="G4">
        <v>0</v>
      </c>
      <c r="H4">
        <v>0</v>
      </c>
      <c r="I4">
        <v>0</v>
      </c>
      <c r="J4">
        <v>0</v>
      </c>
      <c r="K4">
        <v>0</v>
      </c>
      <c r="L4">
        <v>0</v>
      </c>
      <c r="M4">
        <v>0</v>
      </c>
      <c r="N4">
        <v>0</v>
      </c>
    </row>
    <row r="5" spans="1:14" ht="15" customHeight="1" x14ac:dyDescent="0.15">
      <c r="A5">
        <v>4</v>
      </c>
      <c r="B5" s="186" t="s">
        <v>196</v>
      </c>
      <c r="C5">
        <v>0</v>
      </c>
      <c r="D5">
        <v>0</v>
      </c>
      <c r="E5">
        <v>0</v>
      </c>
      <c r="F5">
        <v>0</v>
      </c>
      <c r="G5">
        <v>0</v>
      </c>
      <c r="H5">
        <v>0</v>
      </c>
      <c r="I5">
        <v>0</v>
      </c>
      <c r="J5">
        <v>0</v>
      </c>
      <c r="K5">
        <v>0</v>
      </c>
      <c r="L5">
        <v>0</v>
      </c>
      <c r="M5">
        <v>0</v>
      </c>
      <c r="N5">
        <v>0</v>
      </c>
    </row>
    <row r="6" spans="1:14" ht="15" customHeight="1" x14ac:dyDescent="0.15">
      <c r="A6">
        <v>5</v>
      </c>
      <c r="B6" s="186" t="s">
        <v>197</v>
      </c>
      <c r="C6">
        <v>0</v>
      </c>
      <c r="D6">
        <v>0</v>
      </c>
      <c r="E6">
        <v>0</v>
      </c>
      <c r="F6">
        <v>0</v>
      </c>
      <c r="G6">
        <v>0</v>
      </c>
      <c r="H6">
        <v>0</v>
      </c>
      <c r="I6">
        <v>0</v>
      </c>
      <c r="J6">
        <v>0</v>
      </c>
      <c r="K6">
        <v>0</v>
      </c>
      <c r="L6">
        <v>0</v>
      </c>
      <c r="M6">
        <v>8.9617680000000002E-3</v>
      </c>
      <c r="N6">
        <v>8.9617680000000002E-3</v>
      </c>
    </row>
    <row r="7" spans="1:14" ht="15" customHeight="1" x14ac:dyDescent="0.15">
      <c r="A7">
        <v>6</v>
      </c>
      <c r="B7" s="186" t="s">
        <v>198</v>
      </c>
      <c r="C7">
        <v>0</v>
      </c>
      <c r="D7">
        <v>0</v>
      </c>
      <c r="E7">
        <v>0</v>
      </c>
      <c r="F7">
        <v>0</v>
      </c>
      <c r="G7">
        <v>0</v>
      </c>
      <c r="H7">
        <v>0</v>
      </c>
      <c r="I7">
        <v>0</v>
      </c>
      <c r="J7">
        <v>0</v>
      </c>
      <c r="K7">
        <v>0</v>
      </c>
      <c r="L7">
        <v>0</v>
      </c>
      <c r="M7">
        <v>4.28559445E-2</v>
      </c>
      <c r="N7">
        <v>4.28559445E-2</v>
      </c>
    </row>
    <row r="8" spans="1:14" ht="15" customHeight="1" x14ac:dyDescent="0.15">
      <c r="A8">
        <v>7</v>
      </c>
      <c r="B8" s="186" t="s">
        <v>199</v>
      </c>
      <c r="C8">
        <v>0</v>
      </c>
      <c r="D8">
        <v>0</v>
      </c>
      <c r="E8">
        <v>0</v>
      </c>
      <c r="F8">
        <v>0</v>
      </c>
      <c r="G8">
        <v>0</v>
      </c>
      <c r="H8">
        <v>0</v>
      </c>
      <c r="I8">
        <v>0</v>
      </c>
      <c r="J8">
        <v>0</v>
      </c>
      <c r="K8">
        <v>0</v>
      </c>
      <c r="L8">
        <v>0</v>
      </c>
      <c r="M8">
        <v>7.744993E-2</v>
      </c>
      <c r="N8">
        <v>7.744993E-2</v>
      </c>
    </row>
    <row r="9" spans="1:14" ht="15" customHeight="1" x14ac:dyDescent="0.15">
      <c r="A9">
        <v>8</v>
      </c>
      <c r="B9" s="186" t="s">
        <v>200</v>
      </c>
      <c r="C9">
        <v>0</v>
      </c>
      <c r="D9">
        <v>0</v>
      </c>
      <c r="E9">
        <v>0</v>
      </c>
      <c r="F9">
        <v>0</v>
      </c>
      <c r="G9">
        <v>0</v>
      </c>
      <c r="H9">
        <v>0</v>
      </c>
      <c r="I9">
        <v>0</v>
      </c>
      <c r="J9">
        <v>0</v>
      </c>
      <c r="K9">
        <v>0</v>
      </c>
      <c r="L9">
        <v>0</v>
      </c>
      <c r="M9">
        <v>4.1554809999999998E-2</v>
      </c>
      <c r="N9">
        <v>4.1554809999999998E-2</v>
      </c>
    </row>
    <row r="10" spans="1:14" ht="15" customHeight="1" x14ac:dyDescent="0.15">
      <c r="A10">
        <v>9</v>
      </c>
      <c r="B10" s="186" t="s">
        <v>201</v>
      </c>
      <c r="C10">
        <v>1.78574435E-2</v>
      </c>
      <c r="D10">
        <v>0</v>
      </c>
      <c r="E10">
        <v>0</v>
      </c>
      <c r="F10">
        <v>0</v>
      </c>
      <c r="G10">
        <v>0</v>
      </c>
      <c r="H10">
        <v>0</v>
      </c>
      <c r="I10">
        <v>0</v>
      </c>
      <c r="J10">
        <v>0</v>
      </c>
      <c r="K10">
        <v>0</v>
      </c>
      <c r="L10">
        <v>0</v>
      </c>
      <c r="M10">
        <v>0</v>
      </c>
      <c r="N10">
        <v>1.78574435E-2</v>
      </c>
    </row>
    <row r="11" spans="1:14" ht="15" customHeight="1" x14ac:dyDescent="0.15">
      <c r="A11">
        <v>10</v>
      </c>
      <c r="B11" s="186" t="s">
        <v>202</v>
      </c>
      <c r="C11">
        <v>0</v>
      </c>
      <c r="D11">
        <v>0.25638082600000001</v>
      </c>
      <c r="E11">
        <v>0</v>
      </c>
      <c r="F11">
        <v>0</v>
      </c>
      <c r="G11">
        <v>0</v>
      </c>
      <c r="H11">
        <v>0</v>
      </c>
      <c r="I11">
        <v>0</v>
      </c>
      <c r="J11">
        <v>0</v>
      </c>
      <c r="K11">
        <v>0</v>
      </c>
      <c r="L11">
        <v>0</v>
      </c>
      <c r="M11">
        <v>0</v>
      </c>
      <c r="N11">
        <v>0.25638082600000001</v>
      </c>
    </row>
    <row r="12" spans="1:14" ht="15" customHeight="1" x14ac:dyDescent="0.15">
      <c r="A12">
        <v>11</v>
      </c>
      <c r="B12" s="186" t="s">
        <v>203</v>
      </c>
      <c r="C12">
        <v>0</v>
      </c>
      <c r="D12">
        <v>0</v>
      </c>
      <c r="E12">
        <v>0</v>
      </c>
      <c r="F12">
        <v>0</v>
      </c>
      <c r="G12">
        <v>0</v>
      </c>
      <c r="H12">
        <v>0</v>
      </c>
      <c r="I12">
        <v>0</v>
      </c>
      <c r="J12">
        <v>0</v>
      </c>
      <c r="K12">
        <v>0</v>
      </c>
      <c r="L12">
        <v>0</v>
      </c>
      <c r="M12">
        <v>0</v>
      </c>
      <c r="N12">
        <v>0</v>
      </c>
    </row>
    <row r="13" spans="1:14" ht="15" customHeight="1" x14ac:dyDescent="0.15">
      <c r="A13">
        <v>12</v>
      </c>
      <c r="B13" s="186" t="s">
        <v>204</v>
      </c>
      <c r="C13">
        <v>0</v>
      </c>
      <c r="D13">
        <v>0</v>
      </c>
      <c r="E13">
        <v>0</v>
      </c>
      <c r="F13">
        <v>0</v>
      </c>
      <c r="G13">
        <v>0</v>
      </c>
      <c r="H13">
        <v>0</v>
      </c>
      <c r="I13">
        <v>0</v>
      </c>
      <c r="J13">
        <v>0</v>
      </c>
      <c r="K13">
        <v>0</v>
      </c>
      <c r="L13">
        <v>0</v>
      </c>
      <c r="M13">
        <v>2.3949967700000001E-2</v>
      </c>
      <c r="N13">
        <v>2.3949967700000001E-2</v>
      </c>
    </row>
    <row r="14" spans="1:14" ht="15" customHeight="1" x14ac:dyDescent="0.15">
      <c r="A14">
        <v>13</v>
      </c>
      <c r="B14" s="186" t="s">
        <v>205</v>
      </c>
      <c r="C14">
        <v>0</v>
      </c>
      <c r="D14">
        <v>0</v>
      </c>
      <c r="E14">
        <v>0</v>
      </c>
      <c r="F14">
        <v>0</v>
      </c>
      <c r="G14">
        <v>0</v>
      </c>
      <c r="H14">
        <v>0</v>
      </c>
      <c r="I14">
        <v>0</v>
      </c>
      <c r="J14">
        <v>0</v>
      </c>
      <c r="K14">
        <v>1.8957601899999999E-2</v>
      </c>
      <c r="L14">
        <v>0</v>
      </c>
      <c r="M14">
        <v>0</v>
      </c>
      <c r="N14">
        <v>1.8957601899999999E-2</v>
      </c>
    </row>
    <row r="15" spans="1:14" ht="15" customHeight="1" x14ac:dyDescent="0.15">
      <c r="A15">
        <v>14</v>
      </c>
      <c r="B15" s="186" t="s">
        <v>206</v>
      </c>
      <c r="C15">
        <v>0</v>
      </c>
      <c r="D15">
        <v>0</v>
      </c>
      <c r="E15">
        <v>0</v>
      </c>
      <c r="F15">
        <v>0</v>
      </c>
      <c r="G15">
        <v>0</v>
      </c>
      <c r="H15">
        <v>0</v>
      </c>
      <c r="I15">
        <v>0</v>
      </c>
      <c r="J15">
        <v>5.0999999999999997E-2</v>
      </c>
      <c r="K15">
        <v>0</v>
      </c>
      <c r="L15">
        <v>0</v>
      </c>
      <c r="M15">
        <v>0</v>
      </c>
      <c r="N15">
        <v>5.0999999999999997E-2</v>
      </c>
    </row>
    <row r="16" spans="1:14" ht="15" customHeight="1" x14ac:dyDescent="0.15">
      <c r="A16">
        <v>15</v>
      </c>
      <c r="B16" s="186" t="s">
        <v>207</v>
      </c>
      <c r="C16">
        <v>0</v>
      </c>
      <c r="D16">
        <v>0</v>
      </c>
      <c r="E16">
        <v>0</v>
      </c>
      <c r="F16">
        <v>0</v>
      </c>
      <c r="G16">
        <v>0</v>
      </c>
      <c r="H16">
        <v>0</v>
      </c>
      <c r="I16">
        <v>0</v>
      </c>
      <c r="J16">
        <v>0</v>
      </c>
      <c r="K16">
        <v>0</v>
      </c>
      <c r="L16">
        <v>0</v>
      </c>
      <c r="M16">
        <v>1.761203E-3</v>
      </c>
      <c r="N16">
        <v>1.761203E-3</v>
      </c>
    </row>
    <row r="17" spans="1:14" ht="15" customHeight="1" x14ac:dyDescent="0.15">
      <c r="A17">
        <v>16</v>
      </c>
      <c r="B17" s="186" t="s">
        <v>208</v>
      </c>
      <c r="C17">
        <v>0</v>
      </c>
      <c r="D17">
        <v>0</v>
      </c>
      <c r="E17">
        <v>0</v>
      </c>
      <c r="F17">
        <v>0</v>
      </c>
      <c r="G17">
        <v>0</v>
      </c>
      <c r="H17">
        <v>0</v>
      </c>
      <c r="I17">
        <v>0</v>
      </c>
      <c r="J17">
        <v>0</v>
      </c>
      <c r="K17">
        <v>0</v>
      </c>
      <c r="L17">
        <v>0</v>
      </c>
      <c r="M17">
        <v>9.4086589999999998E-2</v>
      </c>
      <c r="N17">
        <v>9.4086589999999998E-2</v>
      </c>
    </row>
    <row r="18" spans="1:14" ht="15" customHeight="1" x14ac:dyDescent="0.15">
      <c r="A18">
        <v>17</v>
      </c>
      <c r="B18" s="186" t="s">
        <v>209</v>
      </c>
      <c r="C18">
        <v>0</v>
      </c>
      <c r="D18">
        <v>0</v>
      </c>
      <c r="E18">
        <v>0</v>
      </c>
      <c r="F18">
        <v>0</v>
      </c>
      <c r="G18">
        <v>0</v>
      </c>
      <c r="H18">
        <v>0</v>
      </c>
      <c r="I18">
        <v>0</v>
      </c>
      <c r="J18">
        <v>0</v>
      </c>
      <c r="K18">
        <v>0</v>
      </c>
      <c r="L18">
        <v>0</v>
      </c>
      <c r="M18">
        <v>6.7273169999999993E-2</v>
      </c>
      <c r="N18">
        <v>6.7273169999999993E-2</v>
      </c>
    </row>
    <row r="19" spans="1:14" ht="15" customHeight="1" x14ac:dyDescent="0.15">
      <c r="A19">
        <v>18</v>
      </c>
      <c r="B19" s="186" t="s">
        <v>210</v>
      </c>
      <c r="C19">
        <v>0</v>
      </c>
      <c r="D19">
        <v>0</v>
      </c>
      <c r="E19">
        <v>0</v>
      </c>
      <c r="F19">
        <v>0</v>
      </c>
      <c r="G19">
        <v>0</v>
      </c>
      <c r="H19">
        <v>0</v>
      </c>
      <c r="I19">
        <v>0</v>
      </c>
      <c r="J19">
        <v>0</v>
      </c>
      <c r="K19">
        <v>0</v>
      </c>
      <c r="L19">
        <v>0</v>
      </c>
      <c r="M19">
        <v>5.3060950000000003E-3</v>
      </c>
      <c r="N19">
        <v>5.3060950000000003E-3</v>
      </c>
    </row>
    <row r="20" spans="1:14" ht="15" customHeight="1" x14ac:dyDescent="0.15">
      <c r="A20">
        <v>19</v>
      </c>
      <c r="B20" s="186" t="s">
        <v>211</v>
      </c>
      <c r="C20">
        <v>0</v>
      </c>
      <c r="D20">
        <v>0</v>
      </c>
      <c r="E20">
        <v>0</v>
      </c>
      <c r="F20">
        <v>0.17428799</v>
      </c>
      <c r="G20">
        <v>0</v>
      </c>
      <c r="H20">
        <v>0</v>
      </c>
      <c r="I20">
        <v>0</v>
      </c>
      <c r="J20">
        <v>0</v>
      </c>
      <c r="K20">
        <v>0</v>
      </c>
      <c r="L20">
        <v>0</v>
      </c>
      <c r="M20">
        <v>0</v>
      </c>
      <c r="N20">
        <v>0.17428799</v>
      </c>
    </row>
    <row r="21" spans="1:14" ht="15" customHeight="1" x14ac:dyDescent="0.15">
      <c r="A21">
        <v>20</v>
      </c>
      <c r="B21" s="186" t="s">
        <v>212</v>
      </c>
      <c r="C21">
        <v>0</v>
      </c>
      <c r="D21">
        <v>0</v>
      </c>
      <c r="E21">
        <v>0</v>
      </c>
      <c r="F21">
        <v>0</v>
      </c>
      <c r="G21">
        <v>0.111086726</v>
      </c>
      <c r="H21">
        <v>0</v>
      </c>
      <c r="I21">
        <v>0</v>
      </c>
      <c r="J21">
        <v>0</v>
      </c>
      <c r="K21">
        <v>0</v>
      </c>
      <c r="L21">
        <v>0</v>
      </c>
      <c r="M21">
        <v>0</v>
      </c>
      <c r="N21">
        <v>0.111086726</v>
      </c>
    </row>
    <row r="22" spans="1:14" ht="15" customHeight="1" x14ac:dyDescent="0.15">
      <c r="A22">
        <v>21</v>
      </c>
      <c r="B22" s="186" t="s">
        <v>213</v>
      </c>
      <c r="C22">
        <v>0</v>
      </c>
      <c r="D22">
        <v>0</v>
      </c>
      <c r="E22">
        <v>0</v>
      </c>
      <c r="F22">
        <v>0</v>
      </c>
      <c r="G22">
        <v>0</v>
      </c>
      <c r="H22">
        <v>0.11559259099999999</v>
      </c>
      <c r="I22">
        <v>0</v>
      </c>
      <c r="J22">
        <v>0</v>
      </c>
      <c r="K22">
        <v>0</v>
      </c>
      <c r="L22">
        <v>0</v>
      </c>
      <c r="M22">
        <v>0</v>
      </c>
      <c r="N22">
        <v>0.11559259099999999</v>
      </c>
    </row>
    <row r="23" spans="1:14" ht="15" customHeight="1" x14ac:dyDescent="0.15">
      <c r="A23">
        <v>22</v>
      </c>
      <c r="B23" s="186" t="s">
        <v>214</v>
      </c>
      <c r="C23">
        <v>0</v>
      </c>
      <c r="D23">
        <v>0</v>
      </c>
      <c r="E23">
        <v>0</v>
      </c>
      <c r="F23">
        <v>0</v>
      </c>
      <c r="G23">
        <v>0</v>
      </c>
      <c r="H23">
        <v>0</v>
      </c>
      <c r="I23">
        <v>0.37035587399999997</v>
      </c>
      <c r="J23">
        <v>0</v>
      </c>
      <c r="K23">
        <v>0</v>
      </c>
      <c r="L23">
        <v>0</v>
      </c>
      <c r="M23">
        <v>0</v>
      </c>
      <c r="N23">
        <v>0.37035587399999997</v>
      </c>
    </row>
    <row r="24" spans="1:14" ht="15" customHeight="1" x14ac:dyDescent="0.15">
      <c r="A24">
        <v>23</v>
      </c>
      <c r="B24" s="186" t="s">
        <v>215</v>
      </c>
      <c r="C24">
        <v>0</v>
      </c>
      <c r="D24">
        <v>0</v>
      </c>
      <c r="E24">
        <v>0</v>
      </c>
      <c r="F24">
        <v>0</v>
      </c>
      <c r="G24">
        <v>0</v>
      </c>
      <c r="H24">
        <v>0</v>
      </c>
      <c r="I24">
        <v>0</v>
      </c>
      <c r="J24">
        <v>0</v>
      </c>
      <c r="K24">
        <v>0</v>
      </c>
      <c r="L24">
        <v>0</v>
      </c>
      <c r="M24">
        <v>1.30592622E-2</v>
      </c>
      <c r="N24">
        <v>1.30592622E-2</v>
      </c>
    </row>
    <row r="25" spans="1:14" ht="15" customHeight="1" x14ac:dyDescent="0.15">
      <c r="A25">
        <v>24</v>
      </c>
      <c r="B25" s="186" t="s">
        <v>216</v>
      </c>
      <c r="C25">
        <v>0</v>
      </c>
      <c r="D25">
        <v>0</v>
      </c>
      <c r="E25">
        <v>0</v>
      </c>
      <c r="F25">
        <v>0</v>
      </c>
      <c r="G25">
        <v>0</v>
      </c>
      <c r="H25">
        <v>0</v>
      </c>
      <c r="I25">
        <v>0</v>
      </c>
      <c r="J25">
        <v>0</v>
      </c>
      <c r="K25">
        <v>0</v>
      </c>
      <c r="L25">
        <v>0</v>
      </c>
      <c r="M25">
        <v>1.27436193E-2</v>
      </c>
      <c r="N25">
        <v>1.27436193E-2</v>
      </c>
    </row>
    <row r="26" spans="1:14" ht="15" customHeight="1" x14ac:dyDescent="0.15">
      <c r="A26">
        <v>25</v>
      </c>
      <c r="B26" s="186" t="s">
        <v>217</v>
      </c>
      <c r="C26">
        <v>0</v>
      </c>
      <c r="D26">
        <v>0</v>
      </c>
      <c r="E26">
        <v>0</v>
      </c>
      <c r="F26">
        <v>0</v>
      </c>
      <c r="G26">
        <v>0</v>
      </c>
      <c r="H26">
        <v>0</v>
      </c>
      <c r="I26">
        <v>0</v>
      </c>
      <c r="J26">
        <v>0</v>
      </c>
      <c r="K26">
        <v>0</v>
      </c>
      <c r="L26">
        <v>0</v>
      </c>
      <c r="M26">
        <v>3.9153800000000002E-2</v>
      </c>
      <c r="N26">
        <v>3.9153800000000002E-2</v>
      </c>
    </row>
    <row r="27" spans="1:14" ht="15" customHeight="1" x14ac:dyDescent="0.15">
      <c r="A27">
        <v>26</v>
      </c>
      <c r="B27" s="186" t="s">
        <v>218</v>
      </c>
      <c r="C27">
        <v>0</v>
      </c>
      <c r="D27">
        <v>0</v>
      </c>
      <c r="E27">
        <v>0</v>
      </c>
      <c r="F27">
        <v>0</v>
      </c>
      <c r="G27">
        <v>0</v>
      </c>
      <c r="H27">
        <v>0</v>
      </c>
      <c r="I27">
        <v>0</v>
      </c>
      <c r="J27">
        <v>0</v>
      </c>
      <c r="K27">
        <v>0</v>
      </c>
      <c r="L27">
        <v>0</v>
      </c>
      <c r="M27">
        <v>7.6031260000000003E-2</v>
      </c>
      <c r="N27">
        <v>7.6031260000000003E-2</v>
      </c>
    </row>
    <row r="28" spans="1:14" ht="15" customHeight="1" x14ac:dyDescent="0.15">
      <c r="A28">
        <v>27</v>
      </c>
      <c r="B28" s="186" t="s">
        <v>219</v>
      </c>
      <c r="C28">
        <v>0</v>
      </c>
      <c r="D28">
        <v>0</v>
      </c>
      <c r="E28">
        <v>0</v>
      </c>
      <c r="F28">
        <v>0</v>
      </c>
      <c r="G28">
        <v>0</v>
      </c>
      <c r="H28">
        <v>0</v>
      </c>
      <c r="I28">
        <v>0</v>
      </c>
      <c r="J28">
        <v>0</v>
      </c>
      <c r="K28">
        <v>0</v>
      </c>
      <c r="L28">
        <v>2.8514718599999999E-2</v>
      </c>
      <c r="M28">
        <v>0</v>
      </c>
      <c r="N28">
        <v>2.8514718599999999E-2</v>
      </c>
    </row>
    <row r="29" spans="1:14" ht="15" customHeight="1" x14ac:dyDescent="0.15">
      <c r="A29">
        <v>28</v>
      </c>
      <c r="B29" s="186" t="s">
        <v>220</v>
      </c>
      <c r="C29">
        <v>0</v>
      </c>
      <c r="D29">
        <v>0</v>
      </c>
      <c r="E29">
        <v>0</v>
      </c>
      <c r="F29">
        <v>0</v>
      </c>
      <c r="G29">
        <v>0</v>
      </c>
      <c r="H29">
        <v>0</v>
      </c>
      <c r="I29">
        <v>0</v>
      </c>
      <c r="J29">
        <v>0</v>
      </c>
      <c r="K29">
        <v>0</v>
      </c>
      <c r="L29">
        <v>0</v>
      </c>
      <c r="M29">
        <v>4.4832803300000001E-2</v>
      </c>
      <c r="N29">
        <v>4.4832803300000001E-2</v>
      </c>
    </row>
    <row r="30" spans="1:14" ht="15" customHeight="1" x14ac:dyDescent="0.15">
      <c r="A30">
        <v>29</v>
      </c>
      <c r="B30" s="186" t="s">
        <v>221</v>
      </c>
      <c r="C30">
        <v>0</v>
      </c>
      <c r="D30">
        <v>0</v>
      </c>
      <c r="E30">
        <v>0</v>
      </c>
      <c r="F30">
        <v>0</v>
      </c>
      <c r="G30">
        <v>0</v>
      </c>
      <c r="H30">
        <v>0</v>
      </c>
      <c r="I30">
        <v>0</v>
      </c>
      <c r="J30">
        <v>0</v>
      </c>
      <c r="K30">
        <v>0</v>
      </c>
      <c r="L30">
        <v>0</v>
      </c>
      <c r="M30">
        <v>5.4872860000000001E-3</v>
      </c>
      <c r="N30">
        <v>5.4872860000000001E-3</v>
      </c>
    </row>
    <row r="31" spans="1:14" ht="15" customHeight="1" x14ac:dyDescent="0.15">
      <c r="A31">
        <v>30</v>
      </c>
      <c r="B31" s="186" t="s">
        <v>222</v>
      </c>
      <c r="C31">
        <v>0</v>
      </c>
      <c r="D31">
        <v>0</v>
      </c>
      <c r="E31">
        <v>0</v>
      </c>
      <c r="F31">
        <v>0</v>
      </c>
      <c r="G31">
        <v>0</v>
      </c>
      <c r="H31">
        <v>0</v>
      </c>
      <c r="I31">
        <v>0</v>
      </c>
      <c r="J31">
        <v>0</v>
      </c>
      <c r="K31">
        <v>0</v>
      </c>
      <c r="L31">
        <v>0</v>
      </c>
      <c r="M31">
        <v>5.2897489999999998E-3</v>
      </c>
      <c r="N31">
        <v>5.2897489999999998E-3</v>
      </c>
    </row>
    <row r="32" spans="1:14" ht="15" customHeight="1" x14ac:dyDescent="0.15">
      <c r="A32">
        <v>31</v>
      </c>
      <c r="B32" s="186" t="s">
        <v>223</v>
      </c>
      <c r="C32">
        <v>0</v>
      </c>
      <c r="D32">
        <v>0</v>
      </c>
      <c r="E32">
        <v>0</v>
      </c>
      <c r="F32">
        <v>0</v>
      </c>
      <c r="G32">
        <v>0</v>
      </c>
      <c r="H32">
        <v>0</v>
      </c>
      <c r="I32">
        <v>0</v>
      </c>
      <c r="J32">
        <v>0</v>
      </c>
      <c r="K32">
        <v>0</v>
      </c>
      <c r="L32">
        <v>0</v>
      </c>
      <c r="M32">
        <v>4.7638299999999998E-4</v>
      </c>
      <c r="N32">
        <v>4.7638299999999998E-4</v>
      </c>
    </row>
    <row r="33" spans="1:14" ht="15" customHeight="1" x14ac:dyDescent="0.15">
      <c r="A33">
        <v>32</v>
      </c>
      <c r="B33" s="186" t="s">
        <v>224</v>
      </c>
      <c r="C33">
        <v>0</v>
      </c>
      <c r="D33">
        <v>0</v>
      </c>
      <c r="E33">
        <v>0</v>
      </c>
      <c r="F33">
        <v>0</v>
      </c>
      <c r="G33">
        <v>0</v>
      </c>
      <c r="H33">
        <v>0</v>
      </c>
      <c r="I33">
        <v>0</v>
      </c>
      <c r="J33">
        <v>0</v>
      </c>
      <c r="K33">
        <v>0</v>
      </c>
      <c r="L33">
        <v>0</v>
      </c>
      <c r="M33">
        <v>2.1598415400000001E-2</v>
      </c>
      <c r="N33">
        <v>2.1598415400000001E-2</v>
      </c>
    </row>
    <row r="34" spans="1:14" ht="15" customHeight="1" x14ac:dyDescent="0.15">
      <c r="A34">
        <v>33</v>
      </c>
      <c r="B34" s="186" t="s">
        <v>225</v>
      </c>
      <c r="C34">
        <v>0</v>
      </c>
      <c r="D34">
        <v>0</v>
      </c>
      <c r="E34">
        <v>0</v>
      </c>
      <c r="F34">
        <v>0</v>
      </c>
      <c r="G34">
        <v>0</v>
      </c>
      <c r="H34">
        <v>0</v>
      </c>
      <c r="I34">
        <v>0</v>
      </c>
      <c r="J34">
        <v>0</v>
      </c>
      <c r="K34">
        <v>0</v>
      </c>
      <c r="L34">
        <v>0</v>
      </c>
      <c r="M34">
        <v>0</v>
      </c>
      <c r="N34">
        <v>0</v>
      </c>
    </row>
    <row r="35" spans="1:14" ht="15" customHeight="1" x14ac:dyDescent="0.15">
      <c r="A35">
        <v>34</v>
      </c>
      <c r="B35" s="186" t="s">
        <v>226</v>
      </c>
      <c r="C35">
        <v>0</v>
      </c>
      <c r="D35">
        <v>0</v>
      </c>
      <c r="E35">
        <v>0</v>
      </c>
      <c r="F35">
        <v>0</v>
      </c>
      <c r="G35">
        <v>0</v>
      </c>
      <c r="H35">
        <v>0</v>
      </c>
      <c r="I35">
        <v>0</v>
      </c>
      <c r="J35">
        <v>0</v>
      </c>
      <c r="K35">
        <v>0</v>
      </c>
      <c r="L35">
        <v>0</v>
      </c>
      <c r="M35">
        <v>0</v>
      </c>
      <c r="N35">
        <v>0</v>
      </c>
    </row>
    <row r="36" spans="1:14" ht="15" customHeight="1" x14ac:dyDescent="0.15">
      <c r="A36">
        <v>35</v>
      </c>
      <c r="B36" s="186" t="s">
        <v>227</v>
      </c>
      <c r="C36">
        <v>0</v>
      </c>
      <c r="D36">
        <v>0</v>
      </c>
      <c r="E36">
        <v>0</v>
      </c>
      <c r="F36">
        <v>0</v>
      </c>
      <c r="G36">
        <v>0</v>
      </c>
      <c r="H36">
        <v>0</v>
      </c>
      <c r="I36">
        <v>0</v>
      </c>
      <c r="J36">
        <v>0</v>
      </c>
      <c r="K36">
        <v>0</v>
      </c>
      <c r="L36">
        <v>0</v>
      </c>
      <c r="M36">
        <v>0</v>
      </c>
      <c r="N36">
        <v>0</v>
      </c>
    </row>
    <row r="37" spans="1:14" ht="15" customHeight="1" x14ac:dyDescent="0.15">
      <c r="A37">
        <v>36</v>
      </c>
      <c r="B37" s="186" t="s">
        <v>228</v>
      </c>
      <c r="C37">
        <v>0</v>
      </c>
      <c r="D37">
        <v>0</v>
      </c>
      <c r="E37">
        <v>0</v>
      </c>
      <c r="F37">
        <v>0</v>
      </c>
      <c r="G37">
        <v>0</v>
      </c>
      <c r="H37">
        <v>0</v>
      </c>
      <c r="I37">
        <v>0</v>
      </c>
      <c r="J37">
        <v>0</v>
      </c>
      <c r="K37">
        <v>0</v>
      </c>
      <c r="L37">
        <v>0</v>
      </c>
      <c r="M37">
        <v>0</v>
      </c>
      <c r="N37">
        <v>0</v>
      </c>
    </row>
    <row r="38" spans="1:14" ht="15" customHeight="1" x14ac:dyDescent="0.15">
      <c r="A38">
        <v>37</v>
      </c>
      <c r="B38" s="186" t="s">
        <v>229</v>
      </c>
      <c r="C38">
        <v>0</v>
      </c>
      <c r="D38">
        <v>0</v>
      </c>
      <c r="E38">
        <v>0</v>
      </c>
      <c r="F38">
        <v>0</v>
      </c>
      <c r="G38">
        <v>0</v>
      </c>
      <c r="H38">
        <v>0</v>
      </c>
      <c r="I38">
        <v>0</v>
      </c>
      <c r="J38">
        <v>0</v>
      </c>
      <c r="K38">
        <v>0</v>
      </c>
      <c r="L38">
        <v>0</v>
      </c>
      <c r="M38">
        <v>0</v>
      </c>
      <c r="N38">
        <v>0</v>
      </c>
    </row>
    <row r="39" spans="1:14" ht="15" customHeight="1" x14ac:dyDescent="0.15">
      <c r="A39">
        <v>38</v>
      </c>
      <c r="B39" s="186" t="s">
        <v>230</v>
      </c>
      <c r="C39">
        <v>0</v>
      </c>
      <c r="D39">
        <v>0</v>
      </c>
      <c r="E39">
        <v>0</v>
      </c>
      <c r="F39">
        <v>0</v>
      </c>
      <c r="G39">
        <v>0</v>
      </c>
      <c r="H39">
        <v>0</v>
      </c>
      <c r="I39">
        <v>0</v>
      </c>
      <c r="J39">
        <v>0</v>
      </c>
      <c r="K39">
        <v>0</v>
      </c>
      <c r="L39">
        <v>0</v>
      </c>
      <c r="M39">
        <v>0</v>
      </c>
      <c r="N39">
        <v>0</v>
      </c>
    </row>
    <row r="40" spans="1:14" ht="15" customHeight="1" x14ac:dyDescent="0.15">
      <c r="A40">
        <v>39</v>
      </c>
      <c r="B40" s="186" t="s">
        <v>231</v>
      </c>
      <c r="C40">
        <v>0</v>
      </c>
      <c r="D40">
        <v>0</v>
      </c>
      <c r="E40">
        <v>0</v>
      </c>
      <c r="F40">
        <v>0</v>
      </c>
      <c r="G40">
        <v>0</v>
      </c>
      <c r="H40">
        <v>0</v>
      </c>
      <c r="I40">
        <v>0</v>
      </c>
      <c r="J40">
        <v>0</v>
      </c>
      <c r="K40">
        <v>0</v>
      </c>
      <c r="L40">
        <v>0</v>
      </c>
      <c r="M40">
        <v>0</v>
      </c>
      <c r="N40">
        <v>0</v>
      </c>
    </row>
    <row r="41" spans="1:14" ht="15" customHeight="1" x14ac:dyDescent="0.15">
      <c r="A41">
        <v>40</v>
      </c>
      <c r="B41" s="186" t="s">
        <v>232</v>
      </c>
      <c r="C41">
        <v>0</v>
      </c>
      <c r="D41">
        <v>0</v>
      </c>
      <c r="E41">
        <v>0</v>
      </c>
      <c r="F41">
        <v>0</v>
      </c>
      <c r="G41">
        <v>0</v>
      </c>
      <c r="H41">
        <v>0</v>
      </c>
      <c r="I41">
        <v>0</v>
      </c>
      <c r="J41">
        <v>0</v>
      </c>
      <c r="K41">
        <v>0</v>
      </c>
      <c r="L41">
        <v>0</v>
      </c>
      <c r="M41">
        <v>0</v>
      </c>
      <c r="N41">
        <v>0</v>
      </c>
    </row>
    <row r="42" spans="1:14" ht="15" customHeight="1" x14ac:dyDescent="0.15">
      <c r="A42">
        <v>41</v>
      </c>
      <c r="B42" s="186" t="s">
        <v>233</v>
      </c>
      <c r="C42">
        <v>0</v>
      </c>
      <c r="D42">
        <v>0</v>
      </c>
      <c r="E42">
        <v>0</v>
      </c>
      <c r="F42">
        <v>0</v>
      </c>
      <c r="G42">
        <v>0</v>
      </c>
      <c r="H42">
        <v>0</v>
      </c>
      <c r="I42">
        <v>0</v>
      </c>
      <c r="J42">
        <v>0</v>
      </c>
      <c r="K42">
        <v>0</v>
      </c>
      <c r="L42">
        <v>0</v>
      </c>
      <c r="M42">
        <v>2.5519470000000002E-3</v>
      </c>
      <c r="N42">
        <v>2.5519470000000002E-3</v>
      </c>
    </row>
    <row r="43" spans="1:14" ht="15" customHeight="1" x14ac:dyDescent="0.15">
      <c r="A43">
        <v>42</v>
      </c>
      <c r="B43" s="186" t="s">
        <v>234</v>
      </c>
      <c r="C43">
        <v>0</v>
      </c>
      <c r="D43">
        <v>0</v>
      </c>
      <c r="E43">
        <v>0</v>
      </c>
      <c r="F43">
        <v>0</v>
      </c>
      <c r="G43">
        <v>0</v>
      </c>
      <c r="H43">
        <v>0</v>
      </c>
      <c r="I43">
        <v>0</v>
      </c>
      <c r="J43">
        <v>0</v>
      </c>
      <c r="K43">
        <v>0</v>
      </c>
      <c r="L43">
        <v>0</v>
      </c>
      <c r="M43">
        <v>0</v>
      </c>
      <c r="N43">
        <v>0</v>
      </c>
    </row>
    <row r="44" spans="1:14" ht="15" customHeight="1" x14ac:dyDescent="0.15">
      <c r="A44">
        <v>43</v>
      </c>
      <c r="B44" s="186" t="s">
        <v>235</v>
      </c>
      <c r="C44">
        <v>0</v>
      </c>
      <c r="D44">
        <v>0</v>
      </c>
      <c r="E44">
        <v>0</v>
      </c>
      <c r="F44">
        <v>0</v>
      </c>
      <c r="G44">
        <v>0</v>
      </c>
      <c r="H44">
        <v>0</v>
      </c>
      <c r="I44">
        <v>0</v>
      </c>
      <c r="J44">
        <v>0</v>
      </c>
      <c r="K44">
        <v>0</v>
      </c>
      <c r="L44">
        <v>0</v>
      </c>
      <c r="M44">
        <v>0</v>
      </c>
      <c r="N44">
        <v>0</v>
      </c>
    </row>
    <row r="45" spans="1:14" ht="15" customHeight="1" x14ac:dyDescent="0.15">
      <c r="A45">
        <v>44</v>
      </c>
      <c r="B45" s="186" t="s">
        <v>236</v>
      </c>
      <c r="C45">
        <v>0</v>
      </c>
      <c r="D45">
        <v>0</v>
      </c>
      <c r="E45">
        <v>0</v>
      </c>
      <c r="F45">
        <v>0</v>
      </c>
      <c r="G45">
        <v>0</v>
      </c>
      <c r="H45">
        <v>0</v>
      </c>
      <c r="I45">
        <v>0</v>
      </c>
      <c r="J45">
        <v>0</v>
      </c>
      <c r="K45">
        <v>0</v>
      </c>
      <c r="L45">
        <v>0</v>
      </c>
      <c r="M45">
        <v>0</v>
      </c>
      <c r="N45">
        <v>0</v>
      </c>
    </row>
    <row r="46" spans="1:14" ht="15" customHeight="1" x14ac:dyDescent="0.15"/>
    <row r="47" spans="1:14" ht="15" customHeight="1" x14ac:dyDescent="0.15"/>
    <row r="48" spans="1:14"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N45"/>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44.1640625" bestFit="1" customWidth="1"/>
    <col min="3" max="3" width="11.83203125" bestFit="1" customWidth="1"/>
    <col min="4" max="4" width="10.83203125" bestFit="1" customWidth="1"/>
    <col min="5" max="5" width="2.33203125" bestFit="1" customWidth="1"/>
    <col min="6" max="6" width="9.83203125" customWidth="1"/>
    <col min="7" max="7" width="11.83203125" customWidth="1"/>
    <col min="8" max="9" width="2.33203125" customWidth="1"/>
    <col min="10" max="10" width="7.83203125" customWidth="1"/>
    <col min="11" max="11" width="11.83203125" customWidth="1"/>
    <col min="12" max="12" width="10.83203125" customWidth="1"/>
    <col min="13" max="14" width="12.83203125" customWidth="1"/>
  </cols>
  <sheetData>
    <row r="1" spans="1:14" s="115" customFormat="1" ht="112" x14ac:dyDescent="0.15">
      <c r="A1" s="5" t="s">
        <v>22</v>
      </c>
      <c r="B1" s="3" t="s">
        <v>0</v>
      </c>
      <c r="C1" s="189" t="s">
        <v>201</v>
      </c>
      <c r="D1" s="189" t="s">
        <v>237</v>
      </c>
      <c r="E1" s="189" t="s">
        <v>203</v>
      </c>
      <c r="F1" s="189" t="s">
        <v>211</v>
      </c>
      <c r="G1" s="189" t="s">
        <v>212</v>
      </c>
      <c r="H1" s="189" t="s">
        <v>213</v>
      </c>
      <c r="I1" s="189" t="s">
        <v>214</v>
      </c>
      <c r="J1" s="189" t="s">
        <v>206</v>
      </c>
      <c r="K1" s="189" t="s">
        <v>205</v>
      </c>
      <c r="L1" s="189" t="s">
        <v>219</v>
      </c>
      <c r="M1" s="189" t="s">
        <v>238</v>
      </c>
      <c r="N1" s="189" t="s">
        <v>242</v>
      </c>
    </row>
    <row r="2" spans="1:14" x14ac:dyDescent="0.15">
      <c r="A2">
        <v>1</v>
      </c>
      <c r="B2" s="188" t="s">
        <v>193</v>
      </c>
      <c r="C2">
        <v>0</v>
      </c>
      <c r="D2">
        <v>0</v>
      </c>
      <c r="E2">
        <v>0</v>
      </c>
      <c r="F2">
        <v>0</v>
      </c>
      <c r="G2">
        <v>0</v>
      </c>
      <c r="H2">
        <v>0</v>
      </c>
      <c r="I2">
        <v>0</v>
      </c>
      <c r="J2">
        <v>0</v>
      </c>
      <c r="K2">
        <v>0</v>
      </c>
      <c r="L2">
        <v>0</v>
      </c>
      <c r="M2">
        <v>0</v>
      </c>
      <c r="N2">
        <v>0</v>
      </c>
    </row>
    <row r="3" spans="1:14" x14ac:dyDescent="0.15">
      <c r="A3">
        <v>2</v>
      </c>
      <c r="B3" s="188" t="s">
        <v>194</v>
      </c>
      <c r="C3">
        <v>0</v>
      </c>
      <c r="D3">
        <v>0</v>
      </c>
      <c r="E3">
        <v>0</v>
      </c>
      <c r="F3">
        <v>0</v>
      </c>
      <c r="G3">
        <v>0</v>
      </c>
      <c r="H3">
        <v>0</v>
      </c>
      <c r="I3">
        <v>0</v>
      </c>
      <c r="J3">
        <v>0</v>
      </c>
      <c r="K3">
        <v>0</v>
      </c>
      <c r="L3">
        <v>0</v>
      </c>
      <c r="M3">
        <v>0</v>
      </c>
      <c r="N3">
        <v>0</v>
      </c>
    </row>
    <row r="4" spans="1:14" x14ac:dyDescent="0.15">
      <c r="A4">
        <v>3</v>
      </c>
      <c r="B4" s="188" t="s">
        <v>195</v>
      </c>
      <c r="C4">
        <v>0</v>
      </c>
      <c r="D4">
        <v>0</v>
      </c>
      <c r="E4">
        <v>0</v>
      </c>
      <c r="F4">
        <v>0</v>
      </c>
      <c r="G4">
        <v>0</v>
      </c>
      <c r="H4">
        <v>0</v>
      </c>
      <c r="I4">
        <v>0</v>
      </c>
      <c r="J4">
        <v>0</v>
      </c>
      <c r="K4">
        <v>0</v>
      </c>
      <c r="L4">
        <v>0</v>
      </c>
      <c r="M4">
        <v>0</v>
      </c>
      <c r="N4">
        <v>0</v>
      </c>
    </row>
    <row r="5" spans="1:14" x14ac:dyDescent="0.15">
      <c r="A5">
        <v>4</v>
      </c>
      <c r="B5" s="188" t="s">
        <v>196</v>
      </c>
      <c r="C5">
        <v>0</v>
      </c>
      <c r="D5">
        <v>0</v>
      </c>
      <c r="E5">
        <v>0</v>
      </c>
      <c r="F5">
        <v>0</v>
      </c>
      <c r="G5">
        <v>0</v>
      </c>
      <c r="H5">
        <v>0</v>
      </c>
      <c r="I5">
        <v>0</v>
      </c>
      <c r="J5">
        <v>0</v>
      </c>
      <c r="K5">
        <v>0</v>
      </c>
      <c r="L5">
        <v>0</v>
      </c>
      <c r="M5">
        <v>0</v>
      </c>
      <c r="N5">
        <v>0</v>
      </c>
    </row>
    <row r="6" spans="1:14" x14ac:dyDescent="0.15">
      <c r="A6">
        <v>5</v>
      </c>
      <c r="B6" s="188" t="s">
        <v>197</v>
      </c>
      <c r="C6">
        <v>0</v>
      </c>
      <c r="D6">
        <v>0</v>
      </c>
      <c r="E6">
        <v>0</v>
      </c>
      <c r="F6">
        <v>0</v>
      </c>
      <c r="G6">
        <v>0</v>
      </c>
      <c r="H6">
        <v>0</v>
      </c>
      <c r="I6">
        <v>0</v>
      </c>
      <c r="J6">
        <v>0</v>
      </c>
      <c r="K6">
        <v>0</v>
      </c>
      <c r="L6">
        <v>0</v>
      </c>
      <c r="M6">
        <v>0</v>
      </c>
      <c r="N6">
        <v>0</v>
      </c>
    </row>
    <row r="7" spans="1:14" x14ac:dyDescent="0.15">
      <c r="A7">
        <v>6</v>
      </c>
      <c r="B7" s="188" t="s">
        <v>198</v>
      </c>
      <c r="C7">
        <v>0</v>
      </c>
      <c r="D7">
        <v>0</v>
      </c>
      <c r="E7">
        <v>0</v>
      </c>
      <c r="F7">
        <v>0</v>
      </c>
      <c r="G7">
        <v>0</v>
      </c>
      <c r="H7">
        <v>0</v>
      </c>
      <c r="I7">
        <v>0</v>
      </c>
      <c r="J7">
        <v>0</v>
      </c>
      <c r="K7">
        <v>0</v>
      </c>
      <c r="L7">
        <v>0</v>
      </c>
      <c r="M7">
        <v>6.4283910000000003E-3</v>
      </c>
      <c r="N7">
        <v>6.4283910000000003E-3</v>
      </c>
    </row>
    <row r="8" spans="1:14" x14ac:dyDescent="0.15">
      <c r="A8">
        <v>7</v>
      </c>
      <c r="B8" s="188" t="s">
        <v>199</v>
      </c>
      <c r="C8">
        <v>0</v>
      </c>
      <c r="D8">
        <v>0</v>
      </c>
      <c r="E8">
        <v>0</v>
      </c>
      <c r="F8">
        <v>0</v>
      </c>
      <c r="G8">
        <v>0</v>
      </c>
      <c r="H8">
        <v>0</v>
      </c>
      <c r="I8">
        <v>0</v>
      </c>
      <c r="J8">
        <v>0</v>
      </c>
      <c r="K8">
        <v>0</v>
      </c>
      <c r="L8">
        <v>0</v>
      </c>
      <c r="M8">
        <v>1.1617489999999999E-2</v>
      </c>
      <c r="N8">
        <v>1.1617489999999999E-2</v>
      </c>
    </row>
    <row r="9" spans="1:14" x14ac:dyDescent="0.15">
      <c r="A9">
        <v>8</v>
      </c>
      <c r="B9" s="188" t="s">
        <v>200</v>
      </c>
      <c r="C9">
        <v>0</v>
      </c>
      <c r="D9">
        <v>0</v>
      </c>
      <c r="E9">
        <v>0</v>
      </c>
      <c r="F9">
        <v>0</v>
      </c>
      <c r="G9">
        <v>0</v>
      </c>
      <c r="H9">
        <v>0</v>
      </c>
      <c r="I9">
        <v>0</v>
      </c>
      <c r="J9">
        <v>0</v>
      </c>
      <c r="K9">
        <v>0</v>
      </c>
      <c r="L9">
        <v>0</v>
      </c>
      <c r="M9">
        <v>6.2332209999999997E-3</v>
      </c>
      <c r="N9">
        <v>6.2332209999999997E-3</v>
      </c>
    </row>
    <row r="10" spans="1:14" x14ac:dyDescent="0.15">
      <c r="A10">
        <v>9</v>
      </c>
      <c r="B10" s="188" t="s">
        <v>201</v>
      </c>
      <c r="C10">
        <v>1.8782299999999999E-4</v>
      </c>
      <c r="D10">
        <v>0</v>
      </c>
      <c r="E10">
        <v>0</v>
      </c>
      <c r="F10">
        <v>0</v>
      </c>
      <c r="G10">
        <v>0</v>
      </c>
      <c r="H10">
        <v>0</v>
      </c>
      <c r="I10">
        <v>0</v>
      </c>
      <c r="J10">
        <v>0</v>
      </c>
      <c r="K10">
        <v>0</v>
      </c>
      <c r="L10">
        <v>0</v>
      </c>
      <c r="M10">
        <v>0</v>
      </c>
      <c r="N10">
        <v>1.8782299999999999E-4</v>
      </c>
    </row>
    <row r="11" spans="1:14" x14ac:dyDescent="0.15">
      <c r="A11">
        <v>10</v>
      </c>
      <c r="B11" s="188" t="s">
        <v>202</v>
      </c>
      <c r="C11">
        <v>0</v>
      </c>
      <c r="D11">
        <v>1.7599179999999999E-2</v>
      </c>
      <c r="E11">
        <v>0</v>
      </c>
      <c r="F11">
        <v>0</v>
      </c>
      <c r="G11">
        <v>0</v>
      </c>
      <c r="H11">
        <v>0</v>
      </c>
      <c r="I11">
        <v>0</v>
      </c>
      <c r="J11">
        <v>0</v>
      </c>
      <c r="K11">
        <v>0</v>
      </c>
      <c r="L11">
        <v>0</v>
      </c>
      <c r="M11">
        <v>0</v>
      </c>
      <c r="N11">
        <v>1.7599179999999999E-2</v>
      </c>
    </row>
    <row r="12" spans="1:14" x14ac:dyDescent="0.15">
      <c r="A12">
        <v>11</v>
      </c>
      <c r="B12" s="188" t="s">
        <v>203</v>
      </c>
      <c r="C12">
        <v>0</v>
      </c>
      <c r="D12">
        <v>3.5198E-2</v>
      </c>
      <c r="E12">
        <v>0</v>
      </c>
      <c r="F12">
        <v>0</v>
      </c>
      <c r="G12">
        <v>0</v>
      </c>
      <c r="H12">
        <v>0</v>
      </c>
      <c r="I12">
        <v>0</v>
      </c>
      <c r="J12">
        <v>0</v>
      </c>
      <c r="K12">
        <v>0</v>
      </c>
      <c r="L12">
        <v>0</v>
      </c>
      <c r="M12">
        <v>0</v>
      </c>
      <c r="N12">
        <v>3.5198E-2</v>
      </c>
    </row>
    <row r="13" spans="1:14" x14ac:dyDescent="0.15">
      <c r="A13">
        <v>12</v>
      </c>
      <c r="B13" s="188" t="s">
        <v>204</v>
      </c>
      <c r="C13">
        <v>0</v>
      </c>
      <c r="D13">
        <v>0</v>
      </c>
      <c r="E13">
        <v>0</v>
      </c>
      <c r="F13">
        <v>0</v>
      </c>
      <c r="G13">
        <v>0</v>
      </c>
      <c r="H13">
        <v>0</v>
      </c>
      <c r="I13">
        <v>0</v>
      </c>
      <c r="J13">
        <v>0</v>
      </c>
      <c r="K13">
        <v>0</v>
      </c>
      <c r="L13">
        <v>0</v>
      </c>
      <c r="M13">
        <v>3.5924960000000001E-3</v>
      </c>
      <c r="N13">
        <v>3.5924960000000001E-3</v>
      </c>
    </row>
    <row r="14" spans="1:14" x14ac:dyDescent="0.15">
      <c r="A14">
        <v>13</v>
      </c>
      <c r="B14" s="188" t="s">
        <v>205</v>
      </c>
      <c r="C14">
        <v>0</v>
      </c>
      <c r="D14">
        <v>0</v>
      </c>
      <c r="E14">
        <v>0</v>
      </c>
      <c r="F14">
        <v>0</v>
      </c>
      <c r="G14">
        <v>0</v>
      </c>
      <c r="H14">
        <v>0</v>
      </c>
      <c r="I14">
        <v>0</v>
      </c>
      <c r="J14">
        <v>0</v>
      </c>
      <c r="K14">
        <v>4.9609459999999999E-3</v>
      </c>
      <c r="L14">
        <v>0</v>
      </c>
      <c r="M14">
        <v>0</v>
      </c>
      <c r="N14">
        <v>4.9609459999999999E-3</v>
      </c>
    </row>
    <row r="15" spans="1:14" x14ac:dyDescent="0.15">
      <c r="A15">
        <v>14</v>
      </c>
      <c r="B15" s="188" t="s">
        <v>206</v>
      </c>
      <c r="C15">
        <v>0</v>
      </c>
      <c r="D15">
        <v>0</v>
      </c>
      <c r="E15">
        <v>0</v>
      </c>
      <c r="F15">
        <v>0</v>
      </c>
      <c r="G15">
        <v>0</v>
      </c>
      <c r="H15">
        <v>0</v>
      </c>
      <c r="I15">
        <v>0</v>
      </c>
      <c r="J15">
        <v>7.6499999999999997E-3</v>
      </c>
      <c r="K15">
        <v>0</v>
      </c>
      <c r="L15">
        <v>0</v>
      </c>
      <c r="M15">
        <v>0</v>
      </c>
      <c r="N15">
        <v>7.6499999999999997E-3</v>
      </c>
    </row>
    <row r="16" spans="1:14" x14ac:dyDescent="0.15">
      <c r="A16">
        <v>15</v>
      </c>
      <c r="B16" s="188" t="s">
        <v>207</v>
      </c>
      <c r="C16">
        <v>0</v>
      </c>
      <c r="D16">
        <v>0</v>
      </c>
      <c r="E16">
        <v>0</v>
      </c>
      <c r="F16">
        <v>0</v>
      </c>
      <c r="G16">
        <v>0</v>
      </c>
      <c r="H16">
        <v>0</v>
      </c>
      <c r="I16">
        <v>0</v>
      </c>
      <c r="J16">
        <v>0</v>
      </c>
      <c r="K16">
        <v>0</v>
      </c>
      <c r="L16">
        <v>0</v>
      </c>
      <c r="M16">
        <v>2.6417999999999998E-4</v>
      </c>
      <c r="N16">
        <v>2.6417999999999998E-4</v>
      </c>
    </row>
    <row r="17" spans="1:14" x14ac:dyDescent="0.15">
      <c r="A17">
        <v>16</v>
      </c>
      <c r="B17" s="188" t="s">
        <v>208</v>
      </c>
      <c r="C17">
        <v>0</v>
      </c>
      <c r="D17">
        <v>0</v>
      </c>
      <c r="E17">
        <v>0</v>
      </c>
      <c r="F17">
        <v>0</v>
      </c>
      <c r="G17">
        <v>0</v>
      </c>
      <c r="H17">
        <v>0</v>
      </c>
      <c r="I17">
        <v>0</v>
      </c>
      <c r="J17">
        <v>0</v>
      </c>
      <c r="K17">
        <v>0</v>
      </c>
      <c r="L17">
        <v>0</v>
      </c>
      <c r="M17">
        <v>1.41129894E-2</v>
      </c>
      <c r="N17">
        <v>1.41129894E-2</v>
      </c>
    </row>
    <row r="18" spans="1:14" x14ac:dyDescent="0.15">
      <c r="A18">
        <v>17</v>
      </c>
      <c r="B18" s="188" t="s">
        <v>209</v>
      </c>
      <c r="C18">
        <v>0</v>
      </c>
      <c r="D18">
        <v>0</v>
      </c>
      <c r="E18">
        <v>0</v>
      </c>
      <c r="F18">
        <v>0</v>
      </c>
      <c r="G18">
        <v>0</v>
      </c>
      <c r="H18">
        <v>0</v>
      </c>
      <c r="I18">
        <v>0</v>
      </c>
      <c r="J18">
        <v>0</v>
      </c>
      <c r="K18">
        <v>0</v>
      </c>
      <c r="L18">
        <v>0</v>
      </c>
      <c r="M18">
        <v>1.0090976E-2</v>
      </c>
      <c r="N18">
        <v>1.0090976E-2</v>
      </c>
    </row>
    <row r="19" spans="1:14" x14ac:dyDescent="0.15">
      <c r="A19">
        <v>18</v>
      </c>
      <c r="B19" s="188" t="s">
        <v>210</v>
      </c>
      <c r="C19">
        <v>0</v>
      </c>
      <c r="D19">
        <v>0</v>
      </c>
      <c r="E19">
        <v>0</v>
      </c>
      <c r="F19">
        <v>0</v>
      </c>
      <c r="G19">
        <v>0</v>
      </c>
      <c r="H19">
        <v>0</v>
      </c>
      <c r="I19">
        <v>0</v>
      </c>
      <c r="J19">
        <v>0</v>
      </c>
      <c r="K19">
        <v>0</v>
      </c>
      <c r="L19">
        <v>0</v>
      </c>
      <c r="M19">
        <v>7.95914E-4</v>
      </c>
      <c r="N19">
        <v>7.95914E-4</v>
      </c>
    </row>
    <row r="20" spans="1:14" x14ac:dyDescent="0.15">
      <c r="A20">
        <v>19</v>
      </c>
      <c r="B20" s="188" t="s">
        <v>211</v>
      </c>
      <c r="C20">
        <v>0</v>
      </c>
      <c r="D20">
        <v>0</v>
      </c>
      <c r="E20">
        <v>0</v>
      </c>
      <c r="F20">
        <v>2.6143199999999998E-2</v>
      </c>
      <c r="G20">
        <v>0</v>
      </c>
      <c r="H20">
        <v>0</v>
      </c>
      <c r="I20">
        <v>0</v>
      </c>
      <c r="J20">
        <v>0</v>
      </c>
      <c r="K20">
        <v>0</v>
      </c>
      <c r="L20">
        <v>0</v>
      </c>
      <c r="M20">
        <v>0</v>
      </c>
      <c r="N20">
        <v>2.6143199999999998E-2</v>
      </c>
    </row>
    <row r="21" spans="1:14" x14ac:dyDescent="0.15">
      <c r="A21">
        <v>20</v>
      </c>
      <c r="B21" s="188" t="s">
        <v>212</v>
      </c>
      <c r="C21">
        <v>0</v>
      </c>
      <c r="D21">
        <v>0</v>
      </c>
      <c r="E21">
        <v>0</v>
      </c>
      <c r="F21">
        <v>0</v>
      </c>
      <c r="G21">
        <v>5.5886800000000002E-4</v>
      </c>
      <c r="H21">
        <v>0</v>
      </c>
      <c r="I21">
        <v>0</v>
      </c>
      <c r="J21">
        <v>0</v>
      </c>
      <c r="K21">
        <v>0</v>
      </c>
      <c r="L21">
        <v>0</v>
      </c>
      <c r="M21">
        <v>0</v>
      </c>
      <c r="N21">
        <v>5.5886800000000002E-4</v>
      </c>
    </row>
    <row r="22" spans="1:14" x14ac:dyDescent="0.15">
      <c r="A22">
        <v>21</v>
      </c>
      <c r="B22" s="188" t="s">
        <v>213</v>
      </c>
      <c r="C22">
        <v>0</v>
      </c>
      <c r="D22">
        <v>0</v>
      </c>
      <c r="E22">
        <v>0</v>
      </c>
      <c r="F22">
        <v>0</v>
      </c>
      <c r="G22">
        <v>0</v>
      </c>
      <c r="H22">
        <v>0</v>
      </c>
      <c r="I22">
        <v>0</v>
      </c>
      <c r="J22">
        <v>0</v>
      </c>
      <c r="K22">
        <v>0</v>
      </c>
      <c r="L22">
        <v>0</v>
      </c>
      <c r="M22">
        <v>0</v>
      </c>
      <c r="N22">
        <v>0</v>
      </c>
    </row>
    <row r="23" spans="1:14" x14ac:dyDescent="0.15">
      <c r="A23">
        <v>22</v>
      </c>
      <c r="B23" s="188" t="s">
        <v>214</v>
      </c>
      <c r="C23">
        <v>0</v>
      </c>
      <c r="D23">
        <v>0</v>
      </c>
      <c r="E23">
        <v>0</v>
      </c>
      <c r="F23">
        <v>0</v>
      </c>
      <c r="G23">
        <v>0</v>
      </c>
      <c r="H23">
        <v>0</v>
      </c>
      <c r="I23">
        <v>0</v>
      </c>
      <c r="J23">
        <v>0</v>
      </c>
      <c r="K23">
        <v>0</v>
      </c>
      <c r="L23">
        <v>0</v>
      </c>
      <c r="M23">
        <v>0</v>
      </c>
      <c r="N23">
        <v>0</v>
      </c>
    </row>
    <row r="24" spans="1:14" x14ac:dyDescent="0.15">
      <c r="A24">
        <v>23</v>
      </c>
      <c r="B24" s="188" t="s">
        <v>215</v>
      </c>
      <c r="C24">
        <v>0</v>
      </c>
      <c r="D24">
        <v>0</v>
      </c>
      <c r="E24">
        <v>0</v>
      </c>
      <c r="F24">
        <v>0</v>
      </c>
      <c r="G24">
        <v>0</v>
      </c>
      <c r="H24">
        <v>0</v>
      </c>
      <c r="I24">
        <v>0</v>
      </c>
      <c r="J24">
        <v>0</v>
      </c>
      <c r="K24">
        <v>0</v>
      </c>
      <c r="L24">
        <v>0</v>
      </c>
      <c r="M24">
        <v>5.223704E-3</v>
      </c>
      <c r="N24">
        <v>5.223704E-3</v>
      </c>
    </row>
    <row r="25" spans="1:14" x14ac:dyDescent="0.15">
      <c r="A25">
        <v>24</v>
      </c>
      <c r="B25" s="188" t="s">
        <v>216</v>
      </c>
      <c r="C25">
        <v>0</v>
      </c>
      <c r="D25">
        <v>0</v>
      </c>
      <c r="E25">
        <v>0</v>
      </c>
      <c r="F25">
        <v>0</v>
      </c>
      <c r="G25">
        <v>0</v>
      </c>
      <c r="H25">
        <v>0</v>
      </c>
      <c r="I25">
        <v>0</v>
      </c>
      <c r="J25">
        <v>0</v>
      </c>
      <c r="K25">
        <v>0</v>
      </c>
      <c r="L25">
        <v>0</v>
      </c>
      <c r="M25">
        <v>0</v>
      </c>
      <c r="N25">
        <v>0</v>
      </c>
    </row>
    <row r="26" spans="1:14" x14ac:dyDescent="0.15">
      <c r="A26">
        <v>25</v>
      </c>
      <c r="B26" s="188" t="s">
        <v>217</v>
      </c>
      <c r="C26">
        <v>0</v>
      </c>
      <c r="D26">
        <v>0</v>
      </c>
      <c r="E26">
        <v>0</v>
      </c>
      <c r="F26">
        <v>0</v>
      </c>
      <c r="G26">
        <v>0</v>
      </c>
      <c r="H26">
        <v>0</v>
      </c>
      <c r="I26">
        <v>0</v>
      </c>
      <c r="J26">
        <v>0</v>
      </c>
      <c r="K26">
        <v>0</v>
      </c>
      <c r="L26">
        <v>0</v>
      </c>
      <c r="M26">
        <v>5.8730700000000002E-3</v>
      </c>
      <c r="N26">
        <v>5.8730700000000002E-3</v>
      </c>
    </row>
    <row r="27" spans="1:14" x14ac:dyDescent="0.15">
      <c r="A27">
        <v>26</v>
      </c>
      <c r="B27" s="188" t="s">
        <v>218</v>
      </c>
      <c r="C27">
        <v>0</v>
      </c>
      <c r="D27">
        <v>0</v>
      </c>
      <c r="E27">
        <v>0</v>
      </c>
      <c r="F27">
        <v>0</v>
      </c>
      <c r="G27">
        <v>0</v>
      </c>
      <c r="H27">
        <v>0</v>
      </c>
      <c r="I27">
        <v>0</v>
      </c>
      <c r="J27">
        <v>0</v>
      </c>
      <c r="K27">
        <v>0</v>
      </c>
      <c r="L27">
        <v>0</v>
      </c>
      <c r="M27">
        <v>1.1404689399999999E-2</v>
      </c>
      <c r="N27">
        <v>1.1404689399999999E-2</v>
      </c>
    </row>
    <row r="28" spans="1:14" x14ac:dyDescent="0.15">
      <c r="A28">
        <v>27</v>
      </c>
      <c r="B28" s="188" t="s">
        <v>219</v>
      </c>
      <c r="C28">
        <v>0</v>
      </c>
      <c r="D28">
        <v>0</v>
      </c>
      <c r="E28">
        <v>0</v>
      </c>
      <c r="F28">
        <v>0</v>
      </c>
      <c r="G28">
        <v>0</v>
      </c>
      <c r="H28">
        <v>0</v>
      </c>
      <c r="I28">
        <v>0</v>
      </c>
      <c r="J28">
        <v>0</v>
      </c>
      <c r="K28">
        <v>0</v>
      </c>
      <c r="L28">
        <v>1.8211080000000001E-2</v>
      </c>
      <c r="M28">
        <v>0</v>
      </c>
      <c r="N28">
        <v>1.8211080000000001E-2</v>
      </c>
    </row>
    <row r="29" spans="1:14" x14ac:dyDescent="0.15">
      <c r="A29">
        <v>28</v>
      </c>
      <c r="B29" s="188" t="s">
        <v>220</v>
      </c>
      <c r="C29">
        <v>0</v>
      </c>
      <c r="D29">
        <v>0</v>
      </c>
      <c r="E29">
        <v>0</v>
      </c>
      <c r="F29">
        <v>0</v>
      </c>
      <c r="G29">
        <v>0</v>
      </c>
      <c r="H29">
        <v>0</v>
      </c>
      <c r="I29">
        <v>0</v>
      </c>
      <c r="J29">
        <v>0</v>
      </c>
      <c r="K29">
        <v>0</v>
      </c>
      <c r="L29">
        <v>0</v>
      </c>
      <c r="M29">
        <v>6.7249199999999997E-3</v>
      </c>
      <c r="N29">
        <v>6.7249199999999997E-3</v>
      </c>
    </row>
    <row r="30" spans="1:14" x14ac:dyDescent="0.15">
      <c r="A30">
        <v>29</v>
      </c>
      <c r="B30" s="188" t="s">
        <v>221</v>
      </c>
      <c r="C30">
        <v>0</v>
      </c>
      <c r="D30">
        <v>0</v>
      </c>
      <c r="E30">
        <v>0</v>
      </c>
      <c r="F30">
        <v>0</v>
      </c>
      <c r="G30">
        <v>0</v>
      </c>
      <c r="H30">
        <v>0</v>
      </c>
      <c r="I30">
        <v>0</v>
      </c>
      <c r="J30">
        <v>0</v>
      </c>
      <c r="K30">
        <v>0</v>
      </c>
      <c r="L30">
        <v>0</v>
      </c>
      <c r="M30">
        <v>8.33876E-4</v>
      </c>
      <c r="N30">
        <v>8.33876E-4</v>
      </c>
    </row>
    <row r="31" spans="1:14" x14ac:dyDescent="0.15">
      <c r="A31">
        <v>30</v>
      </c>
      <c r="B31" s="188" t="s">
        <v>222</v>
      </c>
      <c r="C31">
        <v>0</v>
      </c>
      <c r="D31">
        <v>0</v>
      </c>
      <c r="E31">
        <v>0</v>
      </c>
      <c r="F31">
        <v>0</v>
      </c>
      <c r="G31">
        <v>0</v>
      </c>
      <c r="H31">
        <v>0</v>
      </c>
      <c r="I31">
        <v>0</v>
      </c>
      <c r="J31">
        <v>0</v>
      </c>
      <c r="K31">
        <v>0</v>
      </c>
      <c r="L31">
        <v>0</v>
      </c>
      <c r="M31">
        <v>8.0152700000000001E-4</v>
      </c>
      <c r="N31">
        <v>8.0152700000000001E-4</v>
      </c>
    </row>
    <row r="32" spans="1:14" x14ac:dyDescent="0.15">
      <c r="A32">
        <v>31</v>
      </c>
      <c r="B32" s="188" t="s">
        <v>223</v>
      </c>
      <c r="C32">
        <v>0</v>
      </c>
      <c r="D32">
        <v>0</v>
      </c>
      <c r="E32">
        <v>0</v>
      </c>
      <c r="F32">
        <v>0</v>
      </c>
      <c r="G32">
        <v>0</v>
      </c>
      <c r="H32">
        <v>0</v>
      </c>
      <c r="I32">
        <v>0</v>
      </c>
      <c r="J32">
        <v>0</v>
      </c>
      <c r="K32">
        <v>0</v>
      </c>
      <c r="L32">
        <v>0</v>
      </c>
      <c r="M32">
        <v>7.1885900000000002E-5</v>
      </c>
      <c r="N32">
        <v>7.1885900000000002E-5</v>
      </c>
    </row>
    <row r="33" spans="1:14" x14ac:dyDescent="0.15">
      <c r="A33">
        <v>32</v>
      </c>
      <c r="B33" s="188" t="s">
        <v>224</v>
      </c>
      <c r="C33">
        <v>0</v>
      </c>
      <c r="D33">
        <v>0</v>
      </c>
      <c r="E33">
        <v>0</v>
      </c>
      <c r="F33">
        <v>0</v>
      </c>
      <c r="G33">
        <v>0</v>
      </c>
      <c r="H33">
        <v>0</v>
      </c>
      <c r="I33">
        <v>0</v>
      </c>
      <c r="J33">
        <v>0</v>
      </c>
      <c r="K33">
        <v>0</v>
      </c>
      <c r="L33">
        <v>0</v>
      </c>
      <c r="M33">
        <v>3.518813E-3</v>
      </c>
      <c r="N33">
        <v>3.518813E-3</v>
      </c>
    </row>
    <row r="34" spans="1:14" x14ac:dyDescent="0.15">
      <c r="A34">
        <v>33</v>
      </c>
      <c r="B34" s="188" t="s">
        <v>225</v>
      </c>
      <c r="C34">
        <v>0</v>
      </c>
      <c r="D34">
        <v>0</v>
      </c>
      <c r="E34">
        <v>0</v>
      </c>
      <c r="F34">
        <v>0</v>
      </c>
      <c r="G34">
        <v>0</v>
      </c>
      <c r="H34">
        <v>0</v>
      </c>
      <c r="I34">
        <v>0</v>
      </c>
      <c r="J34">
        <v>0</v>
      </c>
      <c r="K34">
        <v>0</v>
      </c>
      <c r="L34">
        <v>0</v>
      </c>
      <c r="M34">
        <v>0</v>
      </c>
      <c r="N34">
        <v>0</v>
      </c>
    </row>
    <row r="35" spans="1:14" x14ac:dyDescent="0.15">
      <c r="A35">
        <v>34</v>
      </c>
      <c r="B35" s="188" t="s">
        <v>226</v>
      </c>
      <c r="C35">
        <v>0</v>
      </c>
      <c r="D35">
        <v>0</v>
      </c>
      <c r="E35">
        <v>0</v>
      </c>
      <c r="F35">
        <v>0</v>
      </c>
      <c r="G35">
        <v>0</v>
      </c>
      <c r="H35">
        <v>0</v>
      </c>
      <c r="I35">
        <v>0</v>
      </c>
      <c r="J35">
        <v>0</v>
      </c>
      <c r="K35">
        <v>0</v>
      </c>
      <c r="L35">
        <v>0</v>
      </c>
      <c r="M35">
        <v>0</v>
      </c>
      <c r="N35">
        <v>0</v>
      </c>
    </row>
    <row r="36" spans="1:14" x14ac:dyDescent="0.15">
      <c r="A36">
        <v>35</v>
      </c>
      <c r="B36" s="188" t="s">
        <v>227</v>
      </c>
      <c r="C36">
        <v>0</v>
      </c>
      <c r="D36">
        <v>0</v>
      </c>
      <c r="E36">
        <v>0</v>
      </c>
      <c r="F36">
        <v>0</v>
      </c>
      <c r="G36">
        <v>0</v>
      </c>
      <c r="H36">
        <v>0</v>
      </c>
      <c r="I36">
        <v>0</v>
      </c>
      <c r="J36">
        <v>0</v>
      </c>
      <c r="K36">
        <v>0</v>
      </c>
      <c r="L36">
        <v>0</v>
      </c>
      <c r="M36">
        <v>0</v>
      </c>
      <c r="N36">
        <v>0</v>
      </c>
    </row>
    <row r="37" spans="1:14" x14ac:dyDescent="0.15">
      <c r="A37">
        <v>36</v>
      </c>
      <c r="B37" s="188" t="s">
        <v>228</v>
      </c>
      <c r="C37">
        <v>0</v>
      </c>
      <c r="D37">
        <v>0</v>
      </c>
      <c r="E37">
        <v>0</v>
      </c>
      <c r="F37">
        <v>0</v>
      </c>
      <c r="G37">
        <v>0</v>
      </c>
      <c r="H37">
        <v>0</v>
      </c>
      <c r="I37">
        <v>0</v>
      </c>
      <c r="J37">
        <v>0</v>
      </c>
      <c r="K37">
        <v>0</v>
      </c>
      <c r="L37">
        <v>0</v>
      </c>
      <c r="M37">
        <v>0</v>
      </c>
      <c r="N37">
        <v>0</v>
      </c>
    </row>
    <row r="38" spans="1:14" x14ac:dyDescent="0.15">
      <c r="A38">
        <v>37</v>
      </c>
      <c r="B38" s="188" t="s">
        <v>229</v>
      </c>
      <c r="C38">
        <v>0</v>
      </c>
      <c r="D38">
        <v>0</v>
      </c>
      <c r="E38">
        <v>0</v>
      </c>
      <c r="F38">
        <v>0</v>
      </c>
      <c r="G38">
        <v>0</v>
      </c>
      <c r="H38">
        <v>0</v>
      </c>
      <c r="I38">
        <v>0</v>
      </c>
      <c r="J38">
        <v>0</v>
      </c>
      <c r="K38">
        <v>0</v>
      </c>
      <c r="L38">
        <v>0</v>
      </c>
      <c r="M38">
        <v>0</v>
      </c>
      <c r="N38">
        <v>0</v>
      </c>
    </row>
    <row r="39" spans="1:14" x14ac:dyDescent="0.15">
      <c r="A39">
        <v>38</v>
      </c>
      <c r="B39" s="188" t="s">
        <v>230</v>
      </c>
      <c r="C39">
        <v>0</v>
      </c>
      <c r="D39">
        <v>0</v>
      </c>
      <c r="E39">
        <v>0</v>
      </c>
      <c r="F39">
        <v>0</v>
      </c>
      <c r="G39">
        <v>0</v>
      </c>
      <c r="H39">
        <v>0</v>
      </c>
      <c r="I39">
        <v>0</v>
      </c>
      <c r="J39">
        <v>0</v>
      </c>
      <c r="K39">
        <v>0</v>
      </c>
      <c r="L39">
        <v>0</v>
      </c>
      <c r="M39">
        <v>0</v>
      </c>
      <c r="N39">
        <v>0</v>
      </c>
    </row>
    <row r="40" spans="1:14" x14ac:dyDescent="0.15">
      <c r="A40">
        <v>39</v>
      </c>
      <c r="B40" s="188" t="s">
        <v>231</v>
      </c>
      <c r="C40">
        <v>0</v>
      </c>
      <c r="D40">
        <v>0</v>
      </c>
      <c r="E40">
        <v>0</v>
      </c>
      <c r="F40">
        <v>0</v>
      </c>
      <c r="G40">
        <v>0</v>
      </c>
      <c r="H40">
        <v>0</v>
      </c>
      <c r="I40">
        <v>0</v>
      </c>
      <c r="J40">
        <v>0</v>
      </c>
      <c r="K40">
        <v>0</v>
      </c>
      <c r="L40">
        <v>0</v>
      </c>
      <c r="M40">
        <v>0</v>
      </c>
      <c r="N40">
        <v>0</v>
      </c>
    </row>
    <row r="41" spans="1:14" x14ac:dyDescent="0.15">
      <c r="A41">
        <v>40</v>
      </c>
      <c r="B41" s="188" t="s">
        <v>232</v>
      </c>
      <c r="C41">
        <v>0</v>
      </c>
      <c r="D41">
        <v>0</v>
      </c>
      <c r="E41">
        <v>0</v>
      </c>
      <c r="F41">
        <v>0</v>
      </c>
      <c r="G41">
        <v>0</v>
      </c>
      <c r="H41">
        <v>0</v>
      </c>
      <c r="I41">
        <v>0</v>
      </c>
      <c r="J41">
        <v>0</v>
      </c>
      <c r="K41">
        <v>0</v>
      </c>
      <c r="L41">
        <v>0</v>
      </c>
      <c r="M41">
        <v>0</v>
      </c>
      <c r="N41">
        <v>0</v>
      </c>
    </row>
    <row r="42" spans="1:14" x14ac:dyDescent="0.15">
      <c r="A42">
        <v>41</v>
      </c>
      <c r="B42" s="188" t="s">
        <v>233</v>
      </c>
      <c r="C42">
        <v>0</v>
      </c>
      <c r="D42">
        <v>0</v>
      </c>
      <c r="E42">
        <v>0</v>
      </c>
      <c r="F42">
        <v>0</v>
      </c>
      <c r="G42">
        <v>0</v>
      </c>
      <c r="H42">
        <v>0</v>
      </c>
      <c r="I42">
        <v>0</v>
      </c>
      <c r="J42">
        <v>0</v>
      </c>
      <c r="K42">
        <v>0</v>
      </c>
      <c r="L42">
        <v>0</v>
      </c>
      <c r="M42">
        <v>3.8279200000000002E-4</v>
      </c>
      <c r="N42">
        <v>3.8279200000000002E-4</v>
      </c>
    </row>
    <row r="43" spans="1:14" x14ac:dyDescent="0.15">
      <c r="A43">
        <v>42</v>
      </c>
      <c r="B43" s="188" t="s">
        <v>234</v>
      </c>
      <c r="C43">
        <v>0</v>
      </c>
      <c r="D43">
        <v>0</v>
      </c>
      <c r="E43">
        <v>0</v>
      </c>
      <c r="F43">
        <v>0</v>
      </c>
      <c r="G43">
        <v>0</v>
      </c>
      <c r="H43">
        <v>0</v>
      </c>
      <c r="I43">
        <v>0</v>
      </c>
      <c r="J43">
        <v>0</v>
      </c>
      <c r="K43">
        <v>0</v>
      </c>
      <c r="L43">
        <v>0</v>
      </c>
      <c r="M43">
        <v>0</v>
      </c>
      <c r="N43">
        <v>0</v>
      </c>
    </row>
    <row r="44" spans="1:14" x14ac:dyDescent="0.15">
      <c r="A44">
        <v>43</v>
      </c>
      <c r="B44" s="188" t="s">
        <v>235</v>
      </c>
      <c r="C44">
        <v>0</v>
      </c>
      <c r="D44">
        <v>0</v>
      </c>
      <c r="E44">
        <v>0</v>
      </c>
      <c r="F44">
        <v>0</v>
      </c>
      <c r="G44">
        <v>0</v>
      </c>
      <c r="H44">
        <v>0</v>
      </c>
      <c r="I44">
        <v>0</v>
      </c>
      <c r="J44">
        <v>0</v>
      </c>
      <c r="K44">
        <v>0</v>
      </c>
      <c r="L44">
        <v>0</v>
      </c>
      <c r="M44">
        <v>0</v>
      </c>
      <c r="N44">
        <v>0</v>
      </c>
    </row>
    <row r="45" spans="1:14" x14ac:dyDescent="0.15">
      <c r="A45">
        <v>44</v>
      </c>
      <c r="B45" s="188" t="s">
        <v>236</v>
      </c>
      <c r="C45">
        <v>0</v>
      </c>
      <c r="D45">
        <v>0</v>
      </c>
      <c r="E45">
        <v>0</v>
      </c>
      <c r="F45">
        <v>0</v>
      </c>
      <c r="G45">
        <v>0</v>
      </c>
      <c r="H45">
        <v>0</v>
      </c>
      <c r="I45">
        <v>0</v>
      </c>
      <c r="J45">
        <v>0</v>
      </c>
      <c r="K45">
        <v>0</v>
      </c>
      <c r="L45">
        <v>0</v>
      </c>
      <c r="M45">
        <v>0</v>
      </c>
      <c r="N45">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44.1640625" bestFit="1" customWidth="1"/>
    <col min="6" max="6" width="4.83203125" bestFit="1" customWidth="1"/>
    <col min="7" max="9" width="3.83203125" bestFit="1" customWidth="1"/>
    <col min="10" max="11" width="4.83203125" style="114"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6" customFormat="1" ht="14" thickBot="1" x14ac:dyDescent="0.2">
      <c r="D1" s="117" t="s">
        <v>8</v>
      </c>
      <c r="E1" s="117" t="s">
        <v>0</v>
      </c>
      <c r="F1" s="118" t="s">
        <v>99</v>
      </c>
      <c r="G1" s="119" t="s">
        <v>84</v>
      </c>
      <c r="H1" s="119" t="s">
        <v>85</v>
      </c>
      <c r="I1" s="119" t="s">
        <v>86</v>
      </c>
      <c r="J1" s="119" t="s">
        <v>87</v>
      </c>
      <c r="K1" s="119" t="s">
        <v>88</v>
      </c>
      <c r="L1" s="120" t="s">
        <v>89</v>
      </c>
      <c r="M1" s="120" t="s">
        <v>93</v>
      </c>
      <c r="N1" s="120" t="s">
        <v>92</v>
      </c>
      <c r="O1" s="120" t="s">
        <v>90</v>
      </c>
      <c r="P1" s="120" t="s">
        <v>91</v>
      </c>
      <c r="Q1" s="121" t="s">
        <v>94</v>
      </c>
      <c r="R1" s="121" t="s">
        <v>95</v>
      </c>
      <c r="S1" s="121" t="s">
        <v>96</v>
      </c>
      <c r="T1" s="121" t="s">
        <v>97</v>
      </c>
      <c r="U1" s="121" t="s">
        <v>98</v>
      </c>
      <c r="V1" s="119" t="s">
        <v>100</v>
      </c>
      <c r="W1" s="119" t="s">
        <v>101</v>
      </c>
      <c r="X1" s="119" t="s">
        <v>102</v>
      </c>
      <c r="Y1" s="119" t="s">
        <v>134</v>
      </c>
      <c r="Z1" s="120" t="s">
        <v>103</v>
      </c>
      <c r="AA1" s="120" t="s">
        <v>104</v>
      </c>
      <c r="AB1" s="120" t="s">
        <v>105</v>
      </c>
      <c r="AC1" s="122" t="s">
        <v>135</v>
      </c>
      <c r="AD1" s="121" t="s">
        <v>106</v>
      </c>
      <c r="AE1" s="121" t="s">
        <v>107</v>
      </c>
      <c r="AF1" s="121" t="s">
        <v>108</v>
      </c>
      <c r="AG1" s="121" t="s">
        <v>136</v>
      </c>
      <c r="AH1" s="119" t="s">
        <v>109</v>
      </c>
      <c r="AI1" s="119" t="s">
        <v>111</v>
      </c>
      <c r="AJ1" s="119" t="s">
        <v>110</v>
      </c>
      <c r="AK1" s="120" t="s">
        <v>115</v>
      </c>
      <c r="AL1" s="120" t="s">
        <v>116</v>
      </c>
      <c r="AM1" s="120" t="s">
        <v>117</v>
      </c>
      <c r="AN1" s="121" t="s">
        <v>112</v>
      </c>
      <c r="AO1" s="121" t="s">
        <v>113</v>
      </c>
      <c r="AP1" s="121" t="s">
        <v>114</v>
      </c>
    </row>
    <row r="2" spans="1:42" x14ac:dyDescent="0.15">
      <c r="A2" s="123" t="s">
        <v>74</v>
      </c>
      <c r="B2" s="124">
        <v>1</v>
      </c>
      <c r="D2">
        <v>1</v>
      </c>
      <c r="E2" s="190" t="s">
        <v>193</v>
      </c>
      <c r="F2">
        <v>0.98</v>
      </c>
      <c r="G2">
        <v>0.8</v>
      </c>
      <c r="H2">
        <v>0.8</v>
      </c>
      <c r="I2">
        <v>0.8</v>
      </c>
      <c r="J2" s="114">
        <v>0.25</v>
      </c>
      <c r="K2" s="114">
        <v>0.05</v>
      </c>
    </row>
    <row r="3" spans="1:42" x14ac:dyDescent="0.15">
      <c r="A3" s="123" t="s">
        <v>75</v>
      </c>
      <c r="B3" s="125">
        <v>1</v>
      </c>
      <c r="D3">
        <v>2</v>
      </c>
      <c r="E3" s="190" t="s">
        <v>194</v>
      </c>
      <c r="F3">
        <v>0.98</v>
      </c>
      <c r="G3">
        <v>0.8</v>
      </c>
      <c r="H3">
        <v>0.8</v>
      </c>
      <c r="I3">
        <v>0.8</v>
      </c>
      <c r="J3" s="114">
        <v>0.25</v>
      </c>
      <c r="K3" s="114">
        <v>0.05</v>
      </c>
    </row>
    <row r="4" spans="1:42" x14ac:dyDescent="0.15">
      <c r="A4" s="123" t="s">
        <v>76</v>
      </c>
      <c r="B4" s="125">
        <v>1</v>
      </c>
      <c r="D4">
        <v>3</v>
      </c>
      <c r="E4" s="190" t="s">
        <v>195</v>
      </c>
      <c r="F4">
        <v>0.98</v>
      </c>
      <c r="G4">
        <v>0.8</v>
      </c>
      <c r="H4">
        <v>0.8</v>
      </c>
      <c r="I4">
        <v>0.8</v>
      </c>
      <c r="J4" s="114">
        <v>0.25</v>
      </c>
      <c r="K4" s="114">
        <v>0.05</v>
      </c>
    </row>
    <row r="5" spans="1:42" x14ac:dyDescent="0.15">
      <c r="A5" s="123" t="s">
        <v>77</v>
      </c>
      <c r="B5" s="125">
        <v>1</v>
      </c>
      <c r="D5">
        <v>4</v>
      </c>
      <c r="E5" s="190" t="s">
        <v>196</v>
      </c>
      <c r="F5">
        <v>0.98</v>
      </c>
      <c r="G5">
        <v>0.8</v>
      </c>
      <c r="H5">
        <v>0.8</v>
      </c>
      <c r="I5">
        <v>0.8</v>
      </c>
      <c r="J5" s="114">
        <v>0.25</v>
      </c>
      <c r="K5" s="114">
        <v>0.05</v>
      </c>
    </row>
    <row r="6" spans="1:42" x14ac:dyDescent="0.15">
      <c r="A6" s="123" t="s">
        <v>78</v>
      </c>
      <c r="B6" s="125">
        <v>1</v>
      </c>
      <c r="D6">
        <v>5</v>
      </c>
      <c r="E6" s="190" t="s">
        <v>197</v>
      </c>
      <c r="F6">
        <v>0.98</v>
      </c>
      <c r="G6">
        <v>0.8</v>
      </c>
      <c r="H6">
        <v>0.8</v>
      </c>
      <c r="I6">
        <v>0.8</v>
      </c>
      <c r="J6" s="114">
        <v>0.25</v>
      </c>
      <c r="K6" s="114">
        <v>0.05</v>
      </c>
    </row>
    <row r="7" spans="1:42" x14ac:dyDescent="0.15">
      <c r="A7" s="123" t="s">
        <v>79</v>
      </c>
      <c r="B7" s="125">
        <v>1</v>
      </c>
      <c r="D7">
        <v>6</v>
      </c>
      <c r="E7" s="190" t="s">
        <v>198</v>
      </c>
      <c r="F7">
        <v>0.98</v>
      </c>
      <c r="G7">
        <v>0.8</v>
      </c>
      <c r="H7">
        <v>0.8</v>
      </c>
      <c r="I7">
        <v>0.8</v>
      </c>
      <c r="J7" s="114">
        <v>0.25</v>
      </c>
      <c r="K7" s="114">
        <v>0.05</v>
      </c>
    </row>
    <row r="8" spans="1:42" x14ac:dyDescent="0.15">
      <c r="A8" s="123" t="s">
        <v>80</v>
      </c>
      <c r="B8" s="125">
        <v>1</v>
      </c>
      <c r="D8">
        <v>7</v>
      </c>
      <c r="E8" s="190" t="s">
        <v>199</v>
      </c>
      <c r="F8">
        <v>0.98</v>
      </c>
      <c r="G8">
        <v>0.8</v>
      </c>
      <c r="H8">
        <v>0.8</v>
      </c>
      <c r="I8">
        <v>0.8</v>
      </c>
      <c r="J8" s="114">
        <v>0.25</v>
      </c>
      <c r="K8" s="114">
        <v>0.05</v>
      </c>
    </row>
    <row r="9" spans="1:42" x14ac:dyDescent="0.15">
      <c r="A9" s="123" t="s">
        <v>81</v>
      </c>
      <c r="B9" s="125">
        <v>0.1</v>
      </c>
      <c r="C9" s="61" t="s">
        <v>150</v>
      </c>
      <c r="D9">
        <v>8</v>
      </c>
      <c r="E9" s="190" t="s">
        <v>200</v>
      </c>
      <c r="F9">
        <v>0.98</v>
      </c>
      <c r="G9">
        <v>0.8</v>
      </c>
      <c r="H9">
        <v>0.8</v>
      </c>
      <c r="I9">
        <v>0.8</v>
      </c>
      <c r="J9" s="114">
        <v>0.25</v>
      </c>
      <c r="K9" s="114">
        <v>0.05</v>
      </c>
    </row>
    <row r="10" spans="1:42" ht="14" thickBot="1" x14ac:dyDescent="0.2">
      <c r="A10" s="123" t="s">
        <v>149</v>
      </c>
      <c r="B10" s="126">
        <f>1/3</f>
        <v>0.33333333333333331</v>
      </c>
      <c r="C10" s="61" t="s">
        <v>150</v>
      </c>
      <c r="D10">
        <v>9</v>
      </c>
      <c r="E10" s="190" t="s">
        <v>201</v>
      </c>
      <c r="F10">
        <v>0.98</v>
      </c>
      <c r="G10">
        <v>0.8</v>
      </c>
      <c r="H10">
        <v>0.8</v>
      </c>
      <c r="I10">
        <v>0.8</v>
      </c>
      <c r="J10" s="114">
        <v>0.25</v>
      </c>
      <c r="K10" s="114">
        <v>0.05</v>
      </c>
    </row>
    <row r="11" spans="1:42" x14ac:dyDescent="0.15">
      <c r="D11">
        <v>10</v>
      </c>
      <c r="E11" s="190" t="s">
        <v>202</v>
      </c>
      <c r="F11">
        <v>0.98</v>
      </c>
      <c r="G11">
        <v>0.8</v>
      </c>
      <c r="H11">
        <v>0.8</v>
      </c>
      <c r="I11">
        <v>0.8</v>
      </c>
      <c r="J11" s="114">
        <v>0.25</v>
      </c>
      <c r="K11" s="114">
        <v>0.05</v>
      </c>
    </row>
    <row r="12" spans="1:42" x14ac:dyDescent="0.15">
      <c r="D12">
        <v>11</v>
      </c>
      <c r="E12" s="190" t="s">
        <v>203</v>
      </c>
      <c r="F12">
        <v>0.98</v>
      </c>
      <c r="G12">
        <v>0.8</v>
      </c>
      <c r="H12">
        <v>0.8</v>
      </c>
      <c r="I12">
        <v>0.8</v>
      </c>
      <c r="J12" s="114">
        <v>0.25</v>
      </c>
      <c r="K12" s="114">
        <v>0.05</v>
      </c>
    </row>
    <row r="13" spans="1:42" x14ac:dyDescent="0.15">
      <c r="D13">
        <v>12</v>
      </c>
      <c r="E13" s="190" t="s">
        <v>204</v>
      </c>
      <c r="F13">
        <v>0.98</v>
      </c>
      <c r="G13">
        <v>0.8</v>
      </c>
      <c r="H13">
        <v>0.8</v>
      </c>
      <c r="I13">
        <v>0.8</v>
      </c>
      <c r="J13" s="114">
        <v>0.25</v>
      </c>
      <c r="K13" s="114">
        <v>0.05</v>
      </c>
    </row>
    <row r="14" spans="1:42" x14ac:dyDescent="0.15">
      <c r="D14">
        <v>13</v>
      </c>
      <c r="E14" s="190" t="s">
        <v>205</v>
      </c>
      <c r="F14">
        <v>0.98</v>
      </c>
      <c r="G14">
        <v>0.8</v>
      </c>
      <c r="H14">
        <v>0.8</v>
      </c>
      <c r="I14">
        <v>0.8</v>
      </c>
      <c r="J14" s="114">
        <v>0.25</v>
      </c>
      <c r="K14" s="114">
        <v>0.05</v>
      </c>
    </row>
    <row r="15" spans="1:42" x14ac:dyDescent="0.15">
      <c r="D15">
        <v>14</v>
      </c>
      <c r="E15" s="190" t="s">
        <v>206</v>
      </c>
      <c r="F15">
        <v>0.98</v>
      </c>
      <c r="G15">
        <v>0.8</v>
      </c>
      <c r="H15">
        <v>0.8</v>
      </c>
      <c r="I15">
        <v>0.8</v>
      </c>
      <c r="J15" s="114">
        <v>0.25</v>
      </c>
      <c r="K15" s="114">
        <v>0.05</v>
      </c>
    </row>
    <row r="16" spans="1:42" x14ac:dyDescent="0.15">
      <c r="D16">
        <v>15</v>
      </c>
      <c r="E16" s="190" t="s">
        <v>207</v>
      </c>
      <c r="F16">
        <v>0.98</v>
      </c>
      <c r="G16">
        <v>0.8</v>
      </c>
      <c r="H16">
        <v>0.8</v>
      </c>
      <c r="I16">
        <v>0.8</v>
      </c>
      <c r="J16" s="114">
        <v>0.25</v>
      </c>
      <c r="K16" s="114">
        <v>0.05</v>
      </c>
    </row>
    <row r="17" spans="4:33" ht="15" customHeight="1" x14ac:dyDescent="0.15">
      <c r="D17">
        <v>16</v>
      </c>
      <c r="E17" s="190" t="s">
        <v>208</v>
      </c>
      <c r="F17">
        <v>0.98</v>
      </c>
      <c r="G17">
        <v>0.8</v>
      </c>
      <c r="H17">
        <v>0.8</v>
      </c>
      <c r="I17">
        <v>0.8</v>
      </c>
      <c r="J17" s="114">
        <v>0.25</v>
      </c>
      <c r="K17" s="114">
        <v>0.05</v>
      </c>
    </row>
    <row r="18" spans="4:33" ht="15" customHeight="1" x14ac:dyDescent="0.15">
      <c r="D18">
        <v>17</v>
      </c>
      <c r="E18" s="190" t="s">
        <v>209</v>
      </c>
      <c r="F18">
        <v>0.98</v>
      </c>
      <c r="G18">
        <v>0.8</v>
      </c>
      <c r="H18">
        <v>0.8</v>
      </c>
      <c r="I18">
        <v>0.8</v>
      </c>
      <c r="J18" s="114">
        <v>0.25</v>
      </c>
      <c r="K18" s="114">
        <v>0.05</v>
      </c>
    </row>
    <row r="19" spans="4:33" ht="15" customHeight="1" x14ac:dyDescent="0.15">
      <c r="D19">
        <v>18</v>
      </c>
      <c r="E19" s="190" t="s">
        <v>210</v>
      </c>
      <c r="F19">
        <v>0.98</v>
      </c>
      <c r="G19">
        <v>0.8</v>
      </c>
      <c r="H19">
        <v>0.8</v>
      </c>
      <c r="I19">
        <v>0.8</v>
      </c>
      <c r="J19" s="114">
        <v>0.25</v>
      </c>
      <c r="K19" s="114">
        <v>0.05</v>
      </c>
    </row>
    <row r="20" spans="4:33" ht="15" customHeight="1" x14ac:dyDescent="0.15">
      <c r="D20">
        <v>19</v>
      </c>
      <c r="E20" s="190" t="s">
        <v>211</v>
      </c>
      <c r="F20">
        <v>0.98</v>
      </c>
      <c r="G20">
        <v>0.8</v>
      </c>
      <c r="H20">
        <v>0.8</v>
      </c>
      <c r="I20">
        <v>0.8</v>
      </c>
      <c r="J20" s="114">
        <v>0.25</v>
      </c>
      <c r="K20" s="114">
        <v>0.05</v>
      </c>
    </row>
    <row r="21" spans="4:33" ht="15" customHeight="1" x14ac:dyDescent="0.15">
      <c r="D21">
        <v>20</v>
      </c>
      <c r="E21" s="190" t="s">
        <v>212</v>
      </c>
      <c r="F21">
        <v>0.98</v>
      </c>
      <c r="G21">
        <v>0.8</v>
      </c>
      <c r="H21">
        <v>0.8</v>
      </c>
      <c r="I21">
        <v>0.8</v>
      </c>
      <c r="J21" s="114">
        <v>0.25</v>
      </c>
      <c r="K21" s="114">
        <v>0.05</v>
      </c>
    </row>
    <row r="22" spans="4:33" ht="15" customHeight="1" x14ac:dyDescent="0.15">
      <c r="D22">
        <v>21</v>
      </c>
      <c r="E22" s="190" t="s">
        <v>213</v>
      </c>
      <c r="F22">
        <v>0.98</v>
      </c>
      <c r="G22">
        <v>0.8</v>
      </c>
      <c r="H22">
        <v>0.8</v>
      </c>
      <c r="I22">
        <v>0.8</v>
      </c>
      <c r="J22" s="114">
        <v>0.25</v>
      </c>
      <c r="K22" s="114">
        <v>0.05</v>
      </c>
    </row>
    <row r="23" spans="4:33" ht="15" customHeight="1" x14ac:dyDescent="0.15">
      <c r="D23">
        <v>22</v>
      </c>
      <c r="E23" s="190" t="s">
        <v>214</v>
      </c>
      <c r="F23">
        <v>0.98</v>
      </c>
      <c r="G23">
        <v>0.8</v>
      </c>
      <c r="H23">
        <v>0.8</v>
      </c>
      <c r="I23">
        <v>0.8</v>
      </c>
      <c r="J23" s="114">
        <v>0.25</v>
      </c>
      <c r="K23" s="114">
        <v>0.05</v>
      </c>
    </row>
    <row r="24" spans="4:33" ht="15" customHeight="1" x14ac:dyDescent="0.15">
      <c r="D24">
        <v>23</v>
      </c>
      <c r="E24" s="190" t="s">
        <v>215</v>
      </c>
      <c r="F24">
        <v>0.98</v>
      </c>
      <c r="G24">
        <v>0.8</v>
      </c>
      <c r="H24">
        <v>0.8</v>
      </c>
      <c r="I24">
        <v>0.8</v>
      </c>
      <c r="J24" s="114">
        <v>0.25</v>
      </c>
      <c r="K24" s="114">
        <v>0.05</v>
      </c>
    </row>
    <row r="25" spans="4:33" ht="15" customHeight="1" x14ac:dyDescent="0.15">
      <c r="D25">
        <v>24</v>
      </c>
      <c r="E25" s="190" t="s">
        <v>216</v>
      </c>
      <c r="F25">
        <v>0.98</v>
      </c>
      <c r="G25">
        <v>0.8</v>
      </c>
      <c r="H25">
        <v>0.8</v>
      </c>
      <c r="I25">
        <v>0.8</v>
      </c>
      <c r="J25" s="114">
        <v>0.25</v>
      </c>
      <c r="K25" s="114">
        <v>0.05</v>
      </c>
    </row>
    <row r="26" spans="4:33" ht="15" customHeight="1" x14ac:dyDescent="0.15">
      <c r="D26">
        <v>25</v>
      </c>
      <c r="E26" s="190" t="s">
        <v>217</v>
      </c>
      <c r="F26">
        <v>0.98</v>
      </c>
      <c r="G26">
        <v>0.8</v>
      </c>
      <c r="H26">
        <v>0.8</v>
      </c>
      <c r="I26">
        <v>0.8</v>
      </c>
      <c r="J26" s="114">
        <v>0.25</v>
      </c>
      <c r="K26" s="114">
        <v>0.05</v>
      </c>
    </row>
    <row r="27" spans="4:33" ht="15" customHeight="1" x14ac:dyDescent="0.15">
      <c r="D27">
        <v>26</v>
      </c>
      <c r="E27" s="190" t="s">
        <v>218</v>
      </c>
      <c r="F27">
        <v>0.98</v>
      </c>
      <c r="G27">
        <v>0.8</v>
      </c>
      <c r="H27">
        <v>0.8</v>
      </c>
      <c r="I27">
        <v>0.8</v>
      </c>
      <c r="J27" s="114">
        <v>0.25</v>
      </c>
      <c r="K27" s="114">
        <v>0.05</v>
      </c>
    </row>
    <row r="28" spans="4:33" ht="15" customHeight="1" x14ac:dyDescent="0.15">
      <c r="D28">
        <v>27</v>
      </c>
      <c r="E28" s="190" t="s">
        <v>219</v>
      </c>
      <c r="F28">
        <v>0.98</v>
      </c>
      <c r="G28">
        <v>0.8</v>
      </c>
      <c r="H28">
        <v>0.8</v>
      </c>
      <c r="I28">
        <v>0.8</v>
      </c>
      <c r="J28" s="114">
        <v>0.25</v>
      </c>
      <c r="K28" s="114">
        <v>0.05</v>
      </c>
    </row>
    <row r="29" spans="4:33" ht="15" customHeight="1" x14ac:dyDescent="0.15">
      <c r="D29">
        <v>28</v>
      </c>
      <c r="E29" s="190" t="s">
        <v>220</v>
      </c>
      <c r="F29">
        <v>0.98</v>
      </c>
      <c r="G29">
        <v>0.8</v>
      </c>
      <c r="H29">
        <v>0.8</v>
      </c>
      <c r="I29">
        <v>0.8</v>
      </c>
      <c r="J29" s="114">
        <v>0.25</v>
      </c>
      <c r="K29" s="114">
        <v>0.05</v>
      </c>
      <c r="Y29"/>
      <c r="AC29"/>
      <c r="AG29"/>
    </row>
    <row r="30" spans="4:33" ht="15" customHeight="1" x14ac:dyDescent="0.15">
      <c r="D30">
        <v>29</v>
      </c>
      <c r="E30" s="190" t="s">
        <v>221</v>
      </c>
      <c r="F30">
        <v>0.98</v>
      </c>
      <c r="G30">
        <v>0.8</v>
      </c>
      <c r="H30">
        <v>0.8</v>
      </c>
      <c r="I30">
        <v>0.8</v>
      </c>
      <c r="J30" s="114">
        <v>0.25</v>
      </c>
      <c r="K30" s="114">
        <v>0.05</v>
      </c>
      <c r="Y30"/>
      <c r="AC30"/>
      <c r="AG30"/>
    </row>
    <row r="31" spans="4:33" ht="15" customHeight="1" x14ac:dyDescent="0.15">
      <c r="D31">
        <v>30</v>
      </c>
      <c r="E31" s="190" t="s">
        <v>222</v>
      </c>
      <c r="F31">
        <v>0.98</v>
      </c>
      <c r="G31">
        <v>0.8</v>
      </c>
      <c r="H31">
        <v>0.8</v>
      </c>
      <c r="I31">
        <v>0.8</v>
      </c>
      <c r="J31" s="114">
        <v>0.25</v>
      </c>
      <c r="K31" s="114">
        <v>0.05</v>
      </c>
      <c r="Y31"/>
      <c r="AC31"/>
      <c r="AG31"/>
    </row>
    <row r="32" spans="4:33" ht="15" customHeight="1" x14ac:dyDescent="0.15">
      <c r="D32">
        <v>31</v>
      </c>
      <c r="E32" s="190" t="s">
        <v>223</v>
      </c>
      <c r="F32">
        <v>0.98</v>
      </c>
      <c r="G32">
        <v>0.8</v>
      </c>
      <c r="H32">
        <v>0.8</v>
      </c>
      <c r="I32">
        <v>0.8</v>
      </c>
      <c r="J32" s="114">
        <v>0.25</v>
      </c>
      <c r="K32" s="114">
        <v>0.05</v>
      </c>
      <c r="Y32"/>
      <c r="AC32"/>
      <c r="AG32"/>
    </row>
    <row r="33" spans="4:33" ht="15" customHeight="1" x14ac:dyDescent="0.15">
      <c r="D33">
        <v>32</v>
      </c>
      <c r="E33" s="190" t="s">
        <v>224</v>
      </c>
      <c r="F33">
        <v>0.98</v>
      </c>
      <c r="G33">
        <v>0.8</v>
      </c>
      <c r="H33">
        <v>0.8</v>
      </c>
      <c r="I33">
        <v>0.8</v>
      </c>
      <c r="J33" s="114">
        <v>0.25</v>
      </c>
      <c r="K33" s="114">
        <v>0.05</v>
      </c>
      <c r="Y33"/>
      <c r="AC33"/>
      <c r="AG33"/>
    </row>
    <row r="34" spans="4:33" ht="15" customHeight="1" x14ac:dyDescent="0.15">
      <c r="D34">
        <v>33</v>
      </c>
      <c r="E34" s="190" t="s">
        <v>225</v>
      </c>
      <c r="F34">
        <v>0.98</v>
      </c>
      <c r="G34">
        <v>0.8</v>
      </c>
      <c r="H34">
        <v>0.8</v>
      </c>
      <c r="I34">
        <v>0.8</v>
      </c>
      <c r="J34" s="114">
        <v>0.25</v>
      </c>
      <c r="K34" s="114">
        <v>0.05</v>
      </c>
      <c r="Y34"/>
      <c r="AC34"/>
      <c r="AG34"/>
    </row>
    <row r="35" spans="4:33" ht="15" customHeight="1" x14ac:dyDescent="0.15">
      <c r="D35">
        <v>34</v>
      </c>
      <c r="E35" s="190" t="s">
        <v>226</v>
      </c>
      <c r="F35">
        <v>0.98</v>
      </c>
      <c r="G35">
        <v>0.8</v>
      </c>
      <c r="H35">
        <v>0.8</v>
      </c>
      <c r="I35">
        <v>0.8</v>
      </c>
      <c r="J35" s="114">
        <v>0.25</v>
      </c>
      <c r="K35" s="114">
        <v>0.05</v>
      </c>
      <c r="Y35"/>
      <c r="AC35"/>
      <c r="AG35"/>
    </row>
    <row r="36" spans="4:33" ht="15" customHeight="1" x14ac:dyDescent="0.15">
      <c r="D36">
        <v>35</v>
      </c>
      <c r="E36" s="190" t="s">
        <v>227</v>
      </c>
      <c r="F36">
        <v>0.98</v>
      </c>
      <c r="G36">
        <v>0.8</v>
      </c>
      <c r="H36">
        <v>0.8</v>
      </c>
      <c r="I36">
        <v>0.8</v>
      </c>
      <c r="J36" s="114">
        <v>0.25</v>
      </c>
      <c r="K36" s="114">
        <v>0.05</v>
      </c>
      <c r="Y36"/>
      <c r="AC36"/>
      <c r="AG36"/>
    </row>
    <row r="37" spans="4:33" ht="15" customHeight="1" x14ac:dyDescent="0.15">
      <c r="D37">
        <v>36</v>
      </c>
      <c r="E37" s="190" t="s">
        <v>228</v>
      </c>
      <c r="F37">
        <v>0.98</v>
      </c>
      <c r="G37">
        <v>0.8</v>
      </c>
      <c r="H37">
        <v>0.8</v>
      </c>
      <c r="I37">
        <v>0.8</v>
      </c>
      <c r="J37" s="114">
        <v>0.25</v>
      </c>
      <c r="K37" s="114">
        <v>0.05</v>
      </c>
      <c r="Y37"/>
      <c r="AC37"/>
      <c r="AG37"/>
    </row>
    <row r="38" spans="4:33" ht="15" customHeight="1" x14ac:dyDescent="0.15">
      <c r="D38">
        <v>37</v>
      </c>
      <c r="E38" s="190" t="s">
        <v>229</v>
      </c>
      <c r="F38">
        <v>0.98</v>
      </c>
      <c r="G38">
        <v>0.8</v>
      </c>
      <c r="H38">
        <v>0.8</v>
      </c>
      <c r="I38">
        <v>0.8</v>
      </c>
      <c r="J38" s="114">
        <v>0.25</v>
      </c>
      <c r="K38" s="114">
        <v>0.05</v>
      </c>
      <c r="Y38"/>
      <c r="AC38"/>
      <c r="AG38"/>
    </row>
    <row r="39" spans="4:33" ht="15" customHeight="1" x14ac:dyDescent="0.15">
      <c r="D39">
        <v>38</v>
      </c>
      <c r="E39" s="190" t="s">
        <v>230</v>
      </c>
      <c r="F39">
        <v>0.98</v>
      </c>
      <c r="G39">
        <v>0.8</v>
      </c>
      <c r="H39">
        <v>0.8</v>
      </c>
      <c r="I39">
        <v>0.8</v>
      </c>
      <c r="J39" s="114">
        <v>0.25</v>
      </c>
      <c r="K39" s="114">
        <v>0.05</v>
      </c>
    </row>
    <row r="40" spans="4:33" ht="15" customHeight="1" x14ac:dyDescent="0.15">
      <c r="D40">
        <v>39</v>
      </c>
      <c r="E40" s="190" t="s">
        <v>231</v>
      </c>
      <c r="F40">
        <v>0.98</v>
      </c>
      <c r="G40">
        <v>0.8</v>
      </c>
      <c r="H40">
        <v>0.8</v>
      </c>
      <c r="I40">
        <v>0</v>
      </c>
      <c r="J40" s="114">
        <v>0</v>
      </c>
      <c r="K40" s="114">
        <v>0</v>
      </c>
      <c r="Y40"/>
      <c r="AC40"/>
      <c r="AG40"/>
    </row>
    <row r="41" spans="4:33" ht="15" customHeight="1" x14ac:dyDescent="0.15">
      <c r="D41">
        <v>40</v>
      </c>
      <c r="E41" s="190" t="s">
        <v>232</v>
      </c>
      <c r="F41">
        <v>0.98</v>
      </c>
      <c r="G41">
        <v>0.8</v>
      </c>
      <c r="H41">
        <v>0.8</v>
      </c>
      <c r="I41">
        <v>0</v>
      </c>
      <c r="J41" s="114">
        <v>0</v>
      </c>
      <c r="K41" s="114">
        <v>0</v>
      </c>
      <c r="Y41"/>
      <c r="AC41"/>
      <c r="AG41"/>
    </row>
    <row r="42" spans="4:33" ht="15" customHeight="1" x14ac:dyDescent="0.15">
      <c r="D42">
        <v>41</v>
      </c>
      <c r="E42" s="190" t="s">
        <v>233</v>
      </c>
      <c r="F42">
        <v>0.98</v>
      </c>
      <c r="G42">
        <v>0.8</v>
      </c>
      <c r="H42">
        <v>0.8</v>
      </c>
      <c r="I42">
        <v>0</v>
      </c>
      <c r="J42" s="114">
        <v>0</v>
      </c>
      <c r="K42" s="114">
        <v>0</v>
      </c>
      <c r="Y42"/>
      <c r="AC42"/>
      <c r="AG42"/>
    </row>
    <row r="43" spans="4:33" ht="15" customHeight="1" x14ac:dyDescent="0.15">
      <c r="D43">
        <v>42</v>
      </c>
      <c r="E43" s="190" t="s">
        <v>234</v>
      </c>
      <c r="F43">
        <v>0.98</v>
      </c>
      <c r="G43">
        <v>0.8</v>
      </c>
      <c r="H43">
        <v>0</v>
      </c>
      <c r="I43">
        <v>0</v>
      </c>
      <c r="J43" s="114">
        <v>0</v>
      </c>
      <c r="K43" s="114">
        <v>0</v>
      </c>
      <c r="Y43"/>
      <c r="AC43"/>
      <c r="AG43"/>
    </row>
    <row r="44" spans="4:33" ht="15" customHeight="1" x14ac:dyDescent="0.15">
      <c r="D44">
        <v>43</v>
      </c>
      <c r="E44" s="190" t="s">
        <v>235</v>
      </c>
      <c r="F44">
        <v>0.98</v>
      </c>
      <c r="G44">
        <v>0.8</v>
      </c>
      <c r="H44">
        <v>0</v>
      </c>
      <c r="I44">
        <v>0</v>
      </c>
      <c r="J44" s="114">
        <v>0</v>
      </c>
      <c r="K44" s="114">
        <v>0</v>
      </c>
      <c r="Y44"/>
      <c r="AC44"/>
      <c r="AG44"/>
    </row>
    <row r="45" spans="4:33" ht="15" customHeight="1" x14ac:dyDescent="0.15">
      <c r="D45">
        <v>44</v>
      </c>
      <c r="E45" s="190" t="s">
        <v>236</v>
      </c>
      <c r="F45">
        <v>0.98</v>
      </c>
      <c r="G45">
        <v>0.8</v>
      </c>
      <c r="H45">
        <v>0</v>
      </c>
      <c r="I45">
        <v>0</v>
      </c>
      <c r="J45" s="114">
        <v>0</v>
      </c>
      <c r="K45" s="114">
        <v>0</v>
      </c>
      <c r="Y45"/>
      <c r="AC45"/>
      <c r="AG45"/>
    </row>
    <row r="46" spans="4:33" ht="15" customHeight="1" x14ac:dyDescent="0.15">
      <c r="J46"/>
      <c r="K46"/>
      <c r="Y46"/>
      <c r="AC46"/>
      <c r="AG46"/>
    </row>
    <row r="47" spans="4:33" ht="15" customHeight="1" x14ac:dyDescent="0.15">
      <c r="J47"/>
      <c r="K47"/>
      <c r="Y47"/>
      <c r="AC47"/>
      <c r="AG47"/>
    </row>
    <row r="48" spans="4: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S46"/>
  <sheetViews>
    <sheetView workbookViewId="0">
      <selection activeCell="A3" sqref="A3"/>
    </sheetView>
  </sheetViews>
  <sheetFormatPr baseColWidth="10" defaultRowHeight="13" x14ac:dyDescent="0.15"/>
  <cols>
    <col min="1" max="1" width="44.1640625" style="112" bestFit="1" customWidth="1"/>
    <col min="2" max="39" width="3.83203125" style="112" customWidth="1"/>
    <col min="40" max="45" width="2.33203125" style="112" customWidth="1"/>
    <col min="46" max="16384" width="10.83203125" style="112"/>
  </cols>
  <sheetData>
    <row r="1" spans="1:45" x14ac:dyDescent="0.15">
      <c r="A1" s="63" t="s">
        <v>118</v>
      </c>
      <c r="B1" s="192" t="s">
        <v>193</v>
      </c>
      <c r="C1" s="192" t="s">
        <v>194</v>
      </c>
      <c r="D1" s="192" t="s">
        <v>195</v>
      </c>
      <c r="E1" s="192" t="s">
        <v>196</v>
      </c>
      <c r="F1" s="192" t="s">
        <v>197</v>
      </c>
      <c r="G1" s="192" t="s">
        <v>198</v>
      </c>
      <c r="H1" s="192" t="s">
        <v>199</v>
      </c>
      <c r="I1" s="192" t="s">
        <v>200</v>
      </c>
      <c r="J1" s="192" t="s">
        <v>201</v>
      </c>
      <c r="K1" s="192" t="s">
        <v>202</v>
      </c>
      <c r="L1" s="192" t="s">
        <v>203</v>
      </c>
      <c r="M1" s="192" t="s">
        <v>204</v>
      </c>
      <c r="N1" s="192" t="s">
        <v>205</v>
      </c>
      <c r="O1" s="192" t="s">
        <v>206</v>
      </c>
      <c r="P1" s="192" t="s">
        <v>207</v>
      </c>
      <c r="Q1" s="192" t="s">
        <v>208</v>
      </c>
      <c r="R1" s="192" t="s">
        <v>209</v>
      </c>
      <c r="S1" s="192" t="s">
        <v>210</v>
      </c>
      <c r="T1" s="192" t="s">
        <v>211</v>
      </c>
      <c r="U1" s="192" t="s">
        <v>212</v>
      </c>
      <c r="V1" s="192" t="s">
        <v>213</v>
      </c>
      <c r="W1" s="192" t="s">
        <v>214</v>
      </c>
      <c r="X1" s="192" t="s">
        <v>215</v>
      </c>
      <c r="Y1" s="192" t="s">
        <v>216</v>
      </c>
      <c r="Z1" s="192" t="s">
        <v>217</v>
      </c>
      <c r="AA1" s="192" t="s">
        <v>218</v>
      </c>
      <c r="AB1" s="192" t="s">
        <v>219</v>
      </c>
      <c r="AC1" s="192" t="s">
        <v>220</v>
      </c>
      <c r="AD1" s="192" t="s">
        <v>221</v>
      </c>
      <c r="AE1" s="192" t="s">
        <v>222</v>
      </c>
      <c r="AF1" s="192" t="s">
        <v>223</v>
      </c>
      <c r="AG1" s="192" t="s">
        <v>224</v>
      </c>
      <c r="AH1" s="192" t="s">
        <v>225</v>
      </c>
      <c r="AI1" s="192" t="s">
        <v>226</v>
      </c>
      <c r="AJ1" s="192" t="s">
        <v>227</v>
      </c>
      <c r="AK1" s="192" t="s">
        <v>228</v>
      </c>
      <c r="AL1" s="192" t="s">
        <v>229</v>
      </c>
      <c r="AM1" s="192" t="s">
        <v>230</v>
      </c>
      <c r="AN1" s="192" t="s">
        <v>231</v>
      </c>
      <c r="AO1" s="192" t="s">
        <v>232</v>
      </c>
      <c r="AP1" s="192" t="s">
        <v>233</v>
      </c>
      <c r="AQ1" s="192" t="s">
        <v>234</v>
      </c>
      <c r="AR1" s="192" t="s">
        <v>235</v>
      </c>
      <c r="AS1" s="192" t="s">
        <v>236</v>
      </c>
    </row>
    <row r="2" spans="1:45" customFormat="1" x14ac:dyDescent="0.15">
      <c r="A2" s="191" t="s">
        <v>193</v>
      </c>
      <c r="B2" s="112">
        <v>0</v>
      </c>
      <c r="C2" s="112">
        <v>0</v>
      </c>
      <c r="D2" s="112">
        <v>0</v>
      </c>
      <c r="E2" s="112">
        <v>0</v>
      </c>
      <c r="F2" s="112">
        <v>0</v>
      </c>
      <c r="G2" s="112">
        <v>0</v>
      </c>
      <c r="H2" s="112">
        <v>0</v>
      </c>
      <c r="I2" s="112">
        <v>0</v>
      </c>
      <c r="J2" s="112">
        <v>0</v>
      </c>
      <c r="K2" s="112">
        <v>0</v>
      </c>
      <c r="L2" s="112">
        <v>0</v>
      </c>
      <c r="M2" s="112">
        <v>0</v>
      </c>
      <c r="N2" s="112">
        <v>0</v>
      </c>
      <c r="O2" s="112">
        <v>0</v>
      </c>
      <c r="P2" s="112">
        <v>0</v>
      </c>
      <c r="Q2" s="112">
        <v>0</v>
      </c>
      <c r="R2" s="112">
        <v>0</v>
      </c>
      <c r="S2" s="112">
        <v>0</v>
      </c>
      <c r="T2" s="112">
        <v>0</v>
      </c>
      <c r="U2" s="112">
        <v>0</v>
      </c>
      <c r="V2" s="112">
        <v>0</v>
      </c>
      <c r="W2" s="112">
        <v>0</v>
      </c>
      <c r="X2" s="112">
        <v>0</v>
      </c>
      <c r="Y2" s="112">
        <v>0</v>
      </c>
      <c r="Z2" s="112">
        <v>0</v>
      </c>
      <c r="AA2" s="112">
        <v>0</v>
      </c>
      <c r="AB2" s="112">
        <v>0</v>
      </c>
      <c r="AC2" s="112">
        <v>0</v>
      </c>
      <c r="AD2" s="112">
        <v>0</v>
      </c>
      <c r="AE2" s="112">
        <v>0</v>
      </c>
      <c r="AF2" s="112">
        <v>0</v>
      </c>
      <c r="AG2" s="112">
        <v>0</v>
      </c>
      <c r="AH2" s="112">
        <v>0</v>
      </c>
      <c r="AI2" s="112">
        <v>0</v>
      </c>
      <c r="AJ2" s="112">
        <v>0</v>
      </c>
      <c r="AK2" s="112">
        <v>0</v>
      </c>
      <c r="AL2" s="112">
        <v>0</v>
      </c>
      <c r="AM2" s="112">
        <v>0</v>
      </c>
      <c r="AN2" s="112">
        <v>0</v>
      </c>
      <c r="AO2" s="112">
        <v>0</v>
      </c>
      <c r="AP2" s="112">
        <v>0</v>
      </c>
      <c r="AQ2" s="112">
        <v>0</v>
      </c>
      <c r="AR2" s="112">
        <v>0</v>
      </c>
      <c r="AS2" s="112">
        <v>0</v>
      </c>
    </row>
    <row r="3" spans="1:45" customFormat="1" x14ac:dyDescent="0.15">
      <c r="A3" s="191" t="s">
        <v>194</v>
      </c>
      <c r="B3" s="112">
        <v>0</v>
      </c>
      <c r="C3" s="112">
        <v>0</v>
      </c>
      <c r="D3" s="112">
        <v>0</v>
      </c>
      <c r="E3" s="112">
        <v>0</v>
      </c>
      <c r="F3" s="112">
        <v>0</v>
      </c>
      <c r="G3" s="112">
        <v>0</v>
      </c>
      <c r="H3" s="112">
        <v>0</v>
      </c>
      <c r="I3" s="112">
        <v>0</v>
      </c>
      <c r="J3" s="112">
        <v>0</v>
      </c>
      <c r="K3" s="112">
        <v>0</v>
      </c>
      <c r="L3" s="112">
        <v>0</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c r="AQ3" s="112">
        <v>0</v>
      </c>
      <c r="AR3" s="112">
        <v>0</v>
      </c>
      <c r="AS3" s="112">
        <v>0</v>
      </c>
    </row>
    <row r="4" spans="1:45" customFormat="1" x14ac:dyDescent="0.15">
      <c r="A4" s="191" t="s">
        <v>195</v>
      </c>
      <c r="B4" s="112">
        <v>0</v>
      </c>
      <c r="C4" s="112">
        <v>0</v>
      </c>
      <c r="D4" s="112">
        <v>0</v>
      </c>
      <c r="E4" s="112">
        <v>0</v>
      </c>
      <c r="F4" s="112">
        <v>0</v>
      </c>
      <c r="G4" s="112">
        <v>0</v>
      </c>
      <c r="H4" s="112">
        <v>0</v>
      </c>
      <c r="I4" s="112">
        <v>0</v>
      </c>
      <c r="J4" s="112">
        <v>0</v>
      </c>
      <c r="K4" s="112">
        <v>0</v>
      </c>
      <c r="L4" s="112">
        <v>0</v>
      </c>
      <c r="M4" s="112">
        <v>0</v>
      </c>
      <c r="N4" s="112">
        <v>0</v>
      </c>
      <c r="O4" s="112">
        <v>0</v>
      </c>
      <c r="P4" s="112">
        <v>0</v>
      </c>
      <c r="Q4" s="112">
        <v>0</v>
      </c>
      <c r="R4" s="112">
        <v>0</v>
      </c>
      <c r="S4" s="112">
        <v>0</v>
      </c>
      <c r="T4" s="112">
        <v>0</v>
      </c>
      <c r="U4" s="112">
        <v>0</v>
      </c>
      <c r="V4" s="112">
        <v>0</v>
      </c>
      <c r="W4" s="112">
        <v>0</v>
      </c>
      <c r="X4" s="112">
        <v>0</v>
      </c>
      <c r="Y4" s="112">
        <v>0</v>
      </c>
      <c r="Z4" s="112">
        <v>0</v>
      </c>
      <c r="AA4" s="112">
        <v>0</v>
      </c>
      <c r="AB4" s="112">
        <v>0</v>
      </c>
      <c r="AC4" s="112">
        <v>0</v>
      </c>
      <c r="AD4" s="112">
        <v>0</v>
      </c>
      <c r="AE4" s="112">
        <v>0</v>
      </c>
      <c r="AF4" s="112">
        <v>0</v>
      </c>
      <c r="AG4" s="112">
        <v>0</v>
      </c>
      <c r="AH4" s="112">
        <v>0</v>
      </c>
      <c r="AI4" s="112">
        <v>0</v>
      </c>
      <c r="AJ4" s="112">
        <v>0</v>
      </c>
      <c r="AK4" s="112">
        <v>0</v>
      </c>
      <c r="AL4" s="112">
        <v>0</v>
      </c>
      <c r="AM4" s="112">
        <v>0</v>
      </c>
      <c r="AN4" s="112">
        <v>0</v>
      </c>
      <c r="AO4" s="112">
        <v>0</v>
      </c>
      <c r="AP4" s="112">
        <v>0</v>
      </c>
      <c r="AQ4" s="112">
        <v>0</v>
      </c>
      <c r="AR4" s="112">
        <v>0</v>
      </c>
      <c r="AS4" s="112">
        <v>0</v>
      </c>
    </row>
    <row r="5" spans="1:45" customFormat="1" x14ac:dyDescent="0.15">
      <c r="A5" s="191" t="s">
        <v>196</v>
      </c>
      <c r="B5" s="112">
        <v>0</v>
      </c>
      <c r="C5" s="112">
        <v>0</v>
      </c>
      <c r="D5" s="112">
        <v>0</v>
      </c>
      <c r="E5" s="112">
        <v>0</v>
      </c>
      <c r="F5" s="112">
        <v>0</v>
      </c>
      <c r="G5" s="112">
        <v>0</v>
      </c>
      <c r="H5" s="112">
        <v>0</v>
      </c>
      <c r="I5" s="112">
        <v>0</v>
      </c>
      <c r="J5" s="112">
        <v>0</v>
      </c>
      <c r="K5" s="112">
        <v>0</v>
      </c>
      <c r="L5" s="112">
        <v>0</v>
      </c>
      <c r="M5" s="112">
        <v>0</v>
      </c>
      <c r="N5" s="112">
        <v>0</v>
      </c>
      <c r="O5" s="112">
        <v>0</v>
      </c>
      <c r="P5" s="112">
        <v>0</v>
      </c>
      <c r="Q5" s="112">
        <v>0</v>
      </c>
      <c r="R5" s="112">
        <v>0</v>
      </c>
      <c r="S5" s="112">
        <v>0</v>
      </c>
      <c r="T5" s="112">
        <v>0</v>
      </c>
      <c r="U5" s="112">
        <v>0</v>
      </c>
      <c r="V5" s="112">
        <v>0</v>
      </c>
      <c r="W5" s="112">
        <v>0</v>
      </c>
      <c r="X5" s="112">
        <v>0</v>
      </c>
      <c r="Y5" s="112">
        <v>0</v>
      </c>
      <c r="Z5" s="112">
        <v>0</v>
      </c>
      <c r="AA5" s="112">
        <v>0</v>
      </c>
      <c r="AB5" s="112">
        <v>0</v>
      </c>
      <c r="AC5" s="112">
        <v>0</v>
      </c>
      <c r="AD5" s="112">
        <v>0</v>
      </c>
      <c r="AE5" s="112">
        <v>0</v>
      </c>
      <c r="AF5" s="112">
        <v>0</v>
      </c>
      <c r="AG5" s="112">
        <v>0</v>
      </c>
      <c r="AH5" s="112">
        <v>0</v>
      </c>
      <c r="AI5" s="112">
        <v>0</v>
      </c>
      <c r="AJ5" s="112">
        <v>0</v>
      </c>
      <c r="AK5" s="112">
        <v>0</v>
      </c>
      <c r="AL5" s="112">
        <v>0</v>
      </c>
      <c r="AM5" s="112">
        <v>0</v>
      </c>
      <c r="AN5" s="112">
        <v>0</v>
      </c>
      <c r="AO5" s="112">
        <v>0</v>
      </c>
      <c r="AP5" s="112">
        <v>0</v>
      </c>
      <c r="AQ5" s="112">
        <v>0</v>
      </c>
      <c r="AR5" s="112">
        <v>0</v>
      </c>
      <c r="AS5" s="112">
        <v>0</v>
      </c>
    </row>
    <row r="6" spans="1:45" customFormat="1" x14ac:dyDescent="0.15">
      <c r="A6" s="191" t="s">
        <v>197</v>
      </c>
      <c r="B6" s="112">
        <v>0</v>
      </c>
      <c r="C6" s="112">
        <v>0</v>
      </c>
      <c r="D6" s="112">
        <v>0</v>
      </c>
      <c r="E6" s="112">
        <v>0</v>
      </c>
      <c r="F6" s="112">
        <v>0.8</v>
      </c>
      <c r="G6" s="112">
        <v>0</v>
      </c>
      <c r="H6" s="112">
        <v>0</v>
      </c>
      <c r="I6" s="112">
        <v>0</v>
      </c>
      <c r="J6" s="112">
        <v>0</v>
      </c>
      <c r="K6" s="112">
        <v>0</v>
      </c>
      <c r="L6" s="112">
        <v>0</v>
      </c>
      <c r="M6" s="112">
        <v>0</v>
      </c>
      <c r="N6" s="112">
        <v>0</v>
      </c>
      <c r="O6" s="112">
        <v>0</v>
      </c>
      <c r="P6" s="112">
        <v>0</v>
      </c>
      <c r="Q6" s="112">
        <v>0</v>
      </c>
      <c r="R6" s="112">
        <v>0</v>
      </c>
      <c r="S6" s="112">
        <v>0</v>
      </c>
      <c r="T6" s="112">
        <v>0</v>
      </c>
      <c r="U6" s="112">
        <v>0</v>
      </c>
      <c r="V6" s="112">
        <v>0</v>
      </c>
      <c r="W6" s="112">
        <v>0</v>
      </c>
      <c r="X6" s="112">
        <v>0</v>
      </c>
      <c r="Y6" s="112">
        <v>0</v>
      </c>
      <c r="Z6" s="112">
        <v>0</v>
      </c>
      <c r="AA6" s="112">
        <v>0</v>
      </c>
      <c r="AB6" s="112">
        <v>0</v>
      </c>
      <c r="AC6" s="112">
        <v>0</v>
      </c>
      <c r="AD6" s="112">
        <v>0</v>
      </c>
      <c r="AE6" s="112">
        <v>0</v>
      </c>
      <c r="AF6" s="112">
        <v>0</v>
      </c>
      <c r="AG6" s="112">
        <v>0</v>
      </c>
      <c r="AH6" s="112">
        <v>0</v>
      </c>
      <c r="AI6" s="112">
        <v>0</v>
      </c>
      <c r="AJ6" s="112">
        <v>0</v>
      </c>
      <c r="AK6" s="112">
        <v>0</v>
      </c>
      <c r="AL6" s="112">
        <v>0</v>
      </c>
      <c r="AM6" s="112">
        <v>0</v>
      </c>
      <c r="AN6" s="112">
        <v>0</v>
      </c>
      <c r="AO6" s="112">
        <v>0</v>
      </c>
      <c r="AP6" s="112">
        <v>0</v>
      </c>
      <c r="AQ6" s="112">
        <v>0</v>
      </c>
      <c r="AR6" s="112">
        <v>0</v>
      </c>
      <c r="AS6" s="112">
        <v>0</v>
      </c>
    </row>
    <row r="7" spans="1:45" customFormat="1" x14ac:dyDescent="0.15">
      <c r="A7" s="191" t="s">
        <v>198</v>
      </c>
      <c r="B7" s="112">
        <v>0</v>
      </c>
      <c r="C7" s="112">
        <v>0</v>
      </c>
      <c r="D7" s="112">
        <v>0</v>
      </c>
      <c r="E7" s="112">
        <v>0</v>
      </c>
      <c r="F7" s="112">
        <v>0.8</v>
      </c>
      <c r="G7" s="112">
        <v>0</v>
      </c>
      <c r="H7" s="112">
        <v>0.8</v>
      </c>
      <c r="I7" s="112">
        <v>0</v>
      </c>
      <c r="J7" s="112">
        <v>0</v>
      </c>
      <c r="K7" s="112">
        <v>0</v>
      </c>
      <c r="L7" s="112">
        <v>0</v>
      </c>
      <c r="M7" s="112">
        <v>0</v>
      </c>
      <c r="N7" s="112">
        <v>0</v>
      </c>
      <c r="O7" s="112">
        <v>0</v>
      </c>
      <c r="P7" s="112">
        <v>0</v>
      </c>
      <c r="Q7" s="112">
        <v>0</v>
      </c>
      <c r="R7" s="112">
        <v>0</v>
      </c>
      <c r="S7" s="112">
        <v>0</v>
      </c>
      <c r="T7" s="112">
        <v>0</v>
      </c>
      <c r="U7" s="112">
        <v>0</v>
      </c>
      <c r="V7" s="112">
        <v>0</v>
      </c>
      <c r="W7" s="112">
        <v>0</v>
      </c>
      <c r="X7" s="112">
        <v>0</v>
      </c>
      <c r="Y7" s="112">
        <v>0</v>
      </c>
      <c r="Z7" s="112">
        <v>0</v>
      </c>
      <c r="AA7" s="112">
        <v>0</v>
      </c>
      <c r="AB7" s="112">
        <v>0</v>
      </c>
      <c r="AC7" s="112">
        <v>0</v>
      </c>
      <c r="AD7" s="112">
        <v>0</v>
      </c>
      <c r="AE7" s="112">
        <v>0</v>
      </c>
      <c r="AF7" s="112">
        <v>0</v>
      </c>
      <c r="AG7" s="112">
        <v>0</v>
      </c>
      <c r="AH7" s="112">
        <v>0</v>
      </c>
      <c r="AI7" s="112">
        <v>0</v>
      </c>
      <c r="AJ7" s="112">
        <v>0</v>
      </c>
      <c r="AK7" s="112">
        <v>0</v>
      </c>
      <c r="AL7" s="112">
        <v>0</v>
      </c>
      <c r="AM7" s="112">
        <v>0</v>
      </c>
      <c r="AN7" s="112">
        <v>0</v>
      </c>
      <c r="AO7" s="112">
        <v>0</v>
      </c>
      <c r="AP7" s="112">
        <v>0</v>
      </c>
      <c r="AQ7" s="112">
        <v>0</v>
      </c>
      <c r="AR7" s="112">
        <v>0</v>
      </c>
      <c r="AS7" s="112">
        <v>0</v>
      </c>
    </row>
    <row r="8" spans="1:45" customFormat="1" x14ac:dyDescent="0.15">
      <c r="A8" s="191" t="s">
        <v>199</v>
      </c>
      <c r="B8" s="112">
        <v>0</v>
      </c>
      <c r="C8" s="112">
        <v>0</v>
      </c>
      <c r="D8" s="112">
        <v>0</v>
      </c>
      <c r="E8" s="112">
        <v>0.8</v>
      </c>
      <c r="F8" s="112">
        <v>0.8</v>
      </c>
      <c r="G8" s="112">
        <v>0.8</v>
      </c>
      <c r="H8" s="112">
        <v>0</v>
      </c>
      <c r="I8" s="112">
        <v>0</v>
      </c>
      <c r="J8" s="112">
        <v>0</v>
      </c>
      <c r="K8" s="112">
        <v>0</v>
      </c>
      <c r="L8" s="112">
        <v>0</v>
      </c>
      <c r="M8" s="112">
        <v>0</v>
      </c>
      <c r="N8" s="112">
        <v>0</v>
      </c>
      <c r="O8" s="112">
        <v>0</v>
      </c>
      <c r="P8" s="112">
        <v>0</v>
      </c>
      <c r="Q8" s="112">
        <v>0</v>
      </c>
      <c r="R8" s="112">
        <v>0</v>
      </c>
      <c r="S8" s="112">
        <v>0</v>
      </c>
      <c r="T8" s="112">
        <v>0</v>
      </c>
      <c r="U8" s="112">
        <v>0</v>
      </c>
      <c r="V8" s="112">
        <v>0</v>
      </c>
      <c r="W8" s="112">
        <v>0</v>
      </c>
      <c r="X8" s="112">
        <v>0</v>
      </c>
      <c r="Y8" s="112">
        <v>0</v>
      </c>
      <c r="Z8" s="112">
        <v>0</v>
      </c>
      <c r="AA8" s="112">
        <v>0</v>
      </c>
      <c r="AB8" s="112">
        <v>0</v>
      </c>
      <c r="AC8" s="112">
        <v>0</v>
      </c>
      <c r="AD8" s="112">
        <v>0</v>
      </c>
      <c r="AE8" s="112">
        <v>0</v>
      </c>
      <c r="AF8" s="112">
        <v>0</v>
      </c>
      <c r="AG8" s="112">
        <v>0</v>
      </c>
      <c r="AH8" s="112">
        <v>0</v>
      </c>
      <c r="AI8" s="112">
        <v>0</v>
      </c>
      <c r="AJ8" s="112">
        <v>0</v>
      </c>
      <c r="AK8" s="112">
        <v>0</v>
      </c>
      <c r="AL8" s="112">
        <v>0</v>
      </c>
      <c r="AM8" s="112">
        <v>0</v>
      </c>
      <c r="AN8" s="112">
        <v>0</v>
      </c>
      <c r="AO8" s="112">
        <v>0</v>
      </c>
      <c r="AP8" s="112">
        <v>0</v>
      </c>
      <c r="AQ8" s="112">
        <v>0</v>
      </c>
      <c r="AR8" s="112">
        <v>0</v>
      </c>
      <c r="AS8" s="112">
        <v>0</v>
      </c>
    </row>
    <row r="9" spans="1:45" customFormat="1" x14ac:dyDescent="0.15">
      <c r="A9" s="191" t="s">
        <v>200</v>
      </c>
      <c r="B9" s="112">
        <v>0</v>
      </c>
      <c r="C9" s="112">
        <v>0</v>
      </c>
      <c r="D9" s="112">
        <v>0</v>
      </c>
      <c r="E9" s="112">
        <v>0</v>
      </c>
      <c r="F9" s="112">
        <v>0</v>
      </c>
      <c r="G9" s="112">
        <v>0</v>
      </c>
      <c r="H9" s="112">
        <v>0</v>
      </c>
      <c r="I9" s="112">
        <v>0</v>
      </c>
      <c r="J9" s="112">
        <v>0</v>
      </c>
      <c r="K9" s="112">
        <v>0</v>
      </c>
      <c r="L9" s="112">
        <v>0</v>
      </c>
      <c r="M9" s="112">
        <v>0</v>
      </c>
      <c r="N9" s="112">
        <v>0</v>
      </c>
      <c r="O9" s="112">
        <v>0</v>
      </c>
      <c r="P9" s="112">
        <v>0</v>
      </c>
      <c r="Q9" s="112">
        <v>0</v>
      </c>
      <c r="R9" s="112">
        <v>0</v>
      </c>
      <c r="S9" s="112">
        <v>0</v>
      </c>
      <c r="T9" s="112">
        <v>0</v>
      </c>
      <c r="U9" s="112">
        <v>0</v>
      </c>
      <c r="V9" s="112">
        <v>0</v>
      </c>
      <c r="W9" s="112">
        <v>0</v>
      </c>
      <c r="X9" s="112">
        <v>0</v>
      </c>
      <c r="Y9" s="112">
        <v>0</v>
      </c>
      <c r="Z9" s="112">
        <v>0</v>
      </c>
      <c r="AA9" s="112">
        <v>0</v>
      </c>
      <c r="AB9" s="112">
        <v>0</v>
      </c>
      <c r="AC9" s="112">
        <v>0</v>
      </c>
      <c r="AD9" s="112">
        <v>0</v>
      </c>
      <c r="AE9" s="112">
        <v>0</v>
      </c>
      <c r="AF9" s="112">
        <v>0</v>
      </c>
      <c r="AG9" s="112">
        <v>0</v>
      </c>
      <c r="AH9" s="112">
        <v>0</v>
      </c>
      <c r="AI9" s="112">
        <v>0</v>
      </c>
      <c r="AJ9" s="112">
        <v>0</v>
      </c>
      <c r="AK9" s="112">
        <v>0</v>
      </c>
      <c r="AL9" s="112">
        <v>0</v>
      </c>
      <c r="AM9" s="112">
        <v>0</v>
      </c>
      <c r="AN9" s="112">
        <v>0</v>
      </c>
      <c r="AO9" s="112">
        <v>0</v>
      </c>
      <c r="AP9" s="112">
        <v>0</v>
      </c>
      <c r="AQ9" s="112">
        <v>0</v>
      </c>
      <c r="AR9" s="112">
        <v>0</v>
      </c>
      <c r="AS9" s="112">
        <v>0</v>
      </c>
    </row>
    <row r="10" spans="1:45" customFormat="1" x14ac:dyDescent="0.15">
      <c r="A10" s="191" t="s">
        <v>201</v>
      </c>
      <c r="B10" s="112">
        <v>0</v>
      </c>
      <c r="C10" s="112">
        <v>0</v>
      </c>
      <c r="D10" s="112">
        <v>0</v>
      </c>
      <c r="E10" s="112">
        <v>0.8</v>
      </c>
      <c r="F10" s="112">
        <v>0.8</v>
      </c>
      <c r="G10" s="112">
        <v>0</v>
      </c>
      <c r="H10" s="112">
        <v>0.8</v>
      </c>
      <c r="I10" s="112">
        <v>0</v>
      </c>
      <c r="J10" s="112">
        <v>0.8</v>
      </c>
      <c r="K10" s="112">
        <v>0.8</v>
      </c>
      <c r="L10" s="112">
        <v>0.8</v>
      </c>
      <c r="M10" s="112">
        <v>0.8</v>
      </c>
      <c r="N10" s="112">
        <v>0</v>
      </c>
      <c r="O10" s="112">
        <v>0</v>
      </c>
      <c r="P10" s="112">
        <v>0</v>
      </c>
      <c r="Q10" s="112">
        <v>0.8</v>
      </c>
      <c r="R10" s="112">
        <v>0</v>
      </c>
      <c r="S10" s="112">
        <v>0</v>
      </c>
      <c r="T10" s="112">
        <v>0</v>
      </c>
      <c r="U10" s="112">
        <v>0</v>
      </c>
      <c r="V10" s="112">
        <v>0</v>
      </c>
      <c r="W10" s="112">
        <v>0</v>
      </c>
      <c r="X10" s="112">
        <v>0</v>
      </c>
      <c r="Y10" s="112">
        <v>0</v>
      </c>
      <c r="Z10" s="112">
        <v>0</v>
      </c>
      <c r="AA10" s="112">
        <v>0</v>
      </c>
      <c r="AB10" s="112">
        <v>0</v>
      </c>
      <c r="AC10" s="112">
        <v>0</v>
      </c>
      <c r="AD10" s="112">
        <v>0</v>
      </c>
      <c r="AE10" s="112">
        <v>0</v>
      </c>
      <c r="AF10" s="112">
        <v>0</v>
      </c>
      <c r="AG10" s="112">
        <v>0</v>
      </c>
      <c r="AH10" s="112">
        <v>0</v>
      </c>
      <c r="AI10" s="112">
        <v>0</v>
      </c>
      <c r="AJ10" s="112">
        <v>0</v>
      </c>
      <c r="AK10" s="112">
        <v>0</v>
      </c>
      <c r="AL10" s="112">
        <v>0</v>
      </c>
      <c r="AM10" s="112">
        <v>0</v>
      </c>
      <c r="AN10" s="112">
        <v>0</v>
      </c>
      <c r="AO10" s="112">
        <v>0</v>
      </c>
      <c r="AP10" s="112">
        <v>0</v>
      </c>
      <c r="AQ10" s="112">
        <v>0</v>
      </c>
      <c r="AR10" s="112">
        <v>0</v>
      </c>
      <c r="AS10" s="112">
        <v>0</v>
      </c>
    </row>
    <row r="11" spans="1:45" customFormat="1" x14ac:dyDescent="0.15">
      <c r="A11" s="191" t="s">
        <v>202</v>
      </c>
      <c r="B11" s="112">
        <v>0</v>
      </c>
      <c r="C11" s="112">
        <v>0</v>
      </c>
      <c r="D11" s="112">
        <v>0</v>
      </c>
      <c r="E11" s="112">
        <v>0</v>
      </c>
      <c r="F11" s="112">
        <v>0.8</v>
      </c>
      <c r="G11" s="112">
        <v>0</v>
      </c>
      <c r="H11" s="112">
        <v>0.8</v>
      </c>
      <c r="I11" s="112">
        <v>0</v>
      </c>
      <c r="J11" s="112">
        <v>0</v>
      </c>
      <c r="K11" s="112">
        <v>0.8</v>
      </c>
      <c r="L11" s="112">
        <v>0</v>
      </c>
      <c r="M11" s="112">
        <v>0</v>
      </c>
      <c r="N11" s="112">
        <v>0</v>
      </c>
      <c r="O11" s="112">
        <v>0</v>
      </c>
      <c r="P11" s="112">
        <v>0</v>
      </c>
      <c r="Q11" s="112">
        <v>0</v>
      </c>
      <c r="R11" s="112">
        <v>0</v>
      </c>
      <c r="S11" s="112">
        <v>0</v>
      </c>
      <c r="T11" s="112">
        <v>0</v>
      </c>
      <c r="U11" s="112">
        <v>0</v>
      </c>
      <c r="V11" s="112">
        <v>0</v>
      </c>
      <c r="W11" s="112">
        <v>0</v>
      </c>
      <c r="X11" s="112">
        <v>0</v>
      </c>
      <c r="Y11" s="112">
        <v>0</v>
      </c>
      <c r="Z11" s="112">
        <v>0</v>
      </c>
      <c r="AA11" s="112">
        <v>0</v>
      </c>
      <c r="AB11" s="112">
        <v>0</v>
      </c>
      <c r="AC11" s="112">
        <v>0</v>
      </c>
      <c r="AD11" s="112">
        <v>0</v>
      </c>
      <c r="AE11" s="112">
        <v>0</v>
      </c>
      <c r="AF11" s="112">
        <v>0</v>
      </c>
      <c r="AG11" s="112">
        <v>0</v>
      </c>
      <c r="AH11" s="112">
        <v>0</v>
      </c>
      <c r="AI11" s="112">
        <v>0</v>
      </c>
      <c r="AJ11" s="112">
        <v>0</v>
      </c>
      <c r="AK11" s="112">
        <v>0</v>
      </c>
      <c r="AL11" s="112">
        <v>0</v>
      </c>
      <c r="AM11" s="112">
        <v>0</v>
      </c>
      <c r="AN11" s="112">
        <v>0</v>
      </c>
      <c r="AO11" s="112">
        <v>0</v>
      </c>
      <c r="AP11" s="112">
        <v>0</v>
      </c>
      <c r="AQ11" s="112">
        <v>0</v>
      </c>
      <c r="AR11" s="112">
        <v>0</v>
      </c>
      <c r="AS11" s="112">
        <v>0</v>
      </c>
    </row>
    <row r="12" spans="1:45" customFormat="1" x14ac:dyDescent="0.15">
      <c r="A12" s="191" t="s">
        <v>203</v>
      </c>
      <c r="B12" s="112">
        <v>0</v>
      </c>
      <c r="C12" s="112">
        <v>0</v>
      </c>
      <c r="D12" s="112">
        <v>0</v>
      </c>
      <c r="E12" s="112">
        <v>0.8</v>
      </c>
      <c r="F12" s="112">
        <v>0</v>
      </c>
      <c r="G12" s="112">
        <v>0</v>
      </c>
      <c r="H12" s="112">
        <v>0.8</v>
      </c>
      <c r="I12" s="112">
        <v>0</v>
      </c>
      <c r="J12" s="112">
        <v>0</v>
      </c>
      <c r="K12" s="112">
        <v>0.8</v>
      </c>
      <c r="L12" s="112">
        <v>0.8</v>
      </c>
      <c r="M12" s="112">
        <v>0</v>
      </c>
      <c r="N12" s="112">
        <v>0</v>
      </c>
      <c r="O12" s="112">
        <v>0</v>
      </c>
      <c r="P12" s="112">
        <v>0</v>
      </c>
      <c r="Q12" s="112">
        <v>0</v>
      </c>
      <c r="R12" s="112">
        <v>0</v>
      </c>
      <c r="S12" s="112">
        <v>0</v>
      </c>
      <c r="T12" s="112">
        <v>0</v>
      </c>
      <c r="U12" s="112">
        <v>0</v>
      </c>
      <c r="V12" s="112">
        <v>0</v>
      </c>
      <c r="W12" s="112">
        <v>0</v>
      </c>
      <c r="X12" s="112">
        <v>0</v>
      </c>
      <c r="Y12" s="112">
        <v>0</v>
      </c>
      <c r="Z12" s="112">
        <v>0</v>
      </c>
      <c r="AA12" s="112">
        <v>0</v>
      </c>
      <c r="AB12" s="112">
        <v>0</v>
      </c>
      <c r="AC12" s="112">
        <v>0</v>
      </c>
      <c r="AD12" s="112">
        <v>0</v>
      </c>
      <c r="AE12" s="112">
        <v>0</v>
      </c>
      <c r="AF12" s="112">
        <v>0</v>
      </c>
      <c r="AG12" s="112">
        <v>0</v>
      </c>
      <c r="AH12" s="112">
        <v>0</v>
      </c>
      <c r="AI12" s="112">
        <v>0</v>
      </c>
      <c r="AJ12" s="112">
        <v>0</v>
      </c>
      <c r="AK12" s="112">
        <v>0</v>
      </c>
      <c r="AL12" s="112">
        <v>0</v>
      </c>
      <c r="AM12" s="112">
        <v>0</v>
      </c>
      <c r="AN12" s="112">
        <v>0</v>
      </c>
      <c r="AO12" s="112">
        <v>0</v>
      </c>
      <c r="AP12" s="112">
        <v>0</v>
      </c>
      <c r="AQ12" s="112">
        <v>0</v>
      </c>
      <c r="AR12" s="112">
        <v>0</v>
      </c>
      <c r="AS12" s="112">
        <v>0</v>
      </c>
    </row>
    <row r="13" spans="1:45" customFormat="1" x14ac:dyDescent="0.15">
      <c r="A13" s="191" t="s">
        <v>204</v>
      </c>
      <c r="B13" s="112">
        <v>0</v>
      </c>
      <c r="C13" s="112">
        <v>0</v>
      </c>
      <c r="D13" s="112">
        <v>0</v>
      </c>
      <c r="E13" s="112">
        <v>0</v>
      </c>
      <c r="F13" s="112">
        <v>0.8</v>
      </c>
      <c r="G13" s="112">
        <v>0</v>
      </c>
      <c r="H13" s="112">
        <v>0</v>
      </c>
      <c r="I13" s="112">
        <v>0</v>
      </c>
      <c r="J13" s="112">
        <v>0</v>
      </c>
      <c r="K13" s="112">
        <v>0.8</v>
      </c>
      <c r="L13" s="112">
        <v>0</v>
      </c>
      <c r="M13" s="112">
        <v>0</v>
      </c>
      <c r="N13" s="112">
        <v>0</v>
      </c>
      <c r="O13" s="112">
        <v>0</v>
      </c>
      <c r="P13" s="112">
        <v>0</v>
      </c>
      <c r="Q13" s="112">
        <v>0.8</v>
      </c>
      <c r="R13" s="112">
        <v>0</v>
      </c>
      <c r="S13" s="112">
        <v>0</v>
      </c>
      <c r="T13" s="112">
        <v>0</v>
      </c>
      <c r="U13" s="112">
        <v>0</v>
      </c>
      <c r="V13" s="112">
        <v>0</v>
      </c>
      <c r="W13" s="112">
        <v>0</v>
      </c>
      <c r="X13" s="112">
        <v>0</v>
      </c>
      <c r="Y13" s="112">
        <v>0.8</v>
      </c>
      <c r="Z13" s="112">
        <v>0</v>
      </c>
      <c r="AA13" s="112">
        <v>0</v>
      </c>
      <c r="AB13" s="112">
        <v>0</v>
      </c>
      <c r="AC13" s="112">
        <v>0</v>
      </c>
      <c r="AD13" s="112">
        <v>0</v>
      </c>
      <c r="AE13" s="112">
        <v>0</v>
      </c>
      <c r="AF13" s="112">
        <v>0</v>
      </c>
      <c r="AG13" s="112">
        <v>0</v>
      </c>
      <c r="AH13" s="112">
        <v>0</v>
      </c>
      <c r="AI13" s="112">
        <v>0</v>
      </c>
      <c r="AJ13" s="112">
        <v>0</v>
      </c>
      <c r="AK13" s="112">
        <v>0</v>
      </c>
      <c r="AL13" s="112">
        <v>0</v>
      </c>
      <c r="AM13" s="112">
        <v>0</v>
      </c>
      <c r="AN13" s="112">
        <v>0</v>
      </c>
      <c r="AO13" s="112">
        <v>0</v>
      </c>
      <c r="AP13" s="112">
        <v>0</v>
      </c>
      <c r="AQ13" s="112">
        <v>0</v>
      </c>
      <c r="AR13" s="112">
        <v>0</v>
      </c>
      <c r="AS13" s="112">
        <v>0</v>
      </c>
    </row>
    <row r="14" spans="1:45" customFormat="1" x14ac:dyDescent="0.15">
      <c r="A14" s="191" t="s">
        <v>205</v>
      </c>
      <c r="B14" s="112">
        <v>0</v>
      </c>
      <c r="C14" s="112">
        <v>0</v>
      </c>
      <c r="D14" s="112">
        <v>0</v>
      </c>
      <c r="E14" s="112">
        <v>0</v>
      </c>
      <c r="F14" s="112">
        <v>0.8</v>
      </c>
      <c r="G14" s="112">
        <v>0</v>
      </c>
      <c r="H14" s="112">
        <v>0</v>
      </c>
      <c r="I14" s="112">
        <v>0</v>
      </c>
      <c r="J14" s="112">
        <v>0</v>
      </c>
      <c r="K14" s="112">
        <v>0</v>
      </c>
      <c r="L14" s="112">
        <v>0</v>
      </c>
      <c r="M14" s="112">
        <v>0</v>
      </c>
      <c r="N14" s="112">
        <v>0</v>
      </c>
      <c r="O14" s="112">
        <v>0</v>
      </c>
      <c r="P14" s="112">
        <v>0</v>
      </c>
      <c r="Q14" s="112">
        <v>0.8</v>
      </c>
      <c r="R14" s="112">
        <v>0</v>
      </c>
      <c r="S14" s="112">
        <v>0</v>
      </c>
      <c r="T14" s="112">
        <v>0</v>
      </c>
      <c r="U14" s="112">
        <v>0</v>
      </c>
      <c r="V14" s="112">
        <v>0</v>
      </c>
      <c r="W14" s="112">
        <v>0</v>
      </c>
      <c r="X14" s="112">
        <v>0</v>
      </c>
      <c r="Y14" s="112">
        <v>0</v>
      </c>
      <c r="Z14" s="112">
        <v>0</v>
      </c>
      <c r="AA14" s="112">
        <v>0</v>
      </c>
      <c r="AB14" s="112">
        <v>0</v>
      </c>
      <c r="AC14" s="112">
        <v>0</v>
      </c>
      <c r="AD14" s="112">
        <v>0</v>
      </c>
      <c r="AE14" s="112">
        <v>0</v>
      </c>
      <c r="AF14" s="112">
        <v>0</v>
      </c>
      <c r="AG14" s="112">
        <v>0</v>
      </c>
      <c r="AH14" s="112">
        <v>0</v>
      </c>
      <c r="AI14" s="112">
        <v>0</v>
      </c>
      <c r="AJ14" s="112">
        <v>0</v>
      </c>
      <c r="AK14" s="112">
        <v>0</v>
      </c>
      <c r="AL14" s="112">
        <v>0</v>
      </c>
      <c r="AM14" s="112">
        <v>0</v>
      </c>
      <c r="AN14" s="112">
        <v>0</v>
      </c>
      <c r="AO14" s="112">
        <v>0</v>
      </c>
      <c r="AP14" s="112">
        <v>0</v>
      </c>
      <c r="AQ14" s="112">
        <v>0</v>
      </c>
      <c r="AR14" s="112">
        <v>0</v>
      </c>
      <c r="AS14" s="112">
        <v>0</v>
      </c>
    </row>
    <row r="15" spans="1:45" customFormat="1" x14ac:dyDescent="0.15">
      <c r="A15" s="191" t="s">
        <v>206</v>
      </c>
      <c r="B15" s="112">
        <v>0</v>
      </c>
      <c r="C15" s="112">
        <v>0</v>
      </c>
      <c r="D15" s="112">
        <v>0</v>
      </c>
      <c r="E15" s="112">
        <v>0.8</v>
      </c>
      <c r="F15" s="112">
        <v>0</v>
      </c>
      <c r="G15" s="112">
        <v>0.8</v>
      </c>
      <c r="H15" s="112">
        <v>0.8</v>
      </c>
      <c r="I15" s="112">
        <v>0</v>
      </c>
      <c r="J15" s="112">
        <v>0</v>
      </c>
      <c r="K15" s="112">
        <v>0</v>
      </c>
      <c r="L15" s="112">
        <v>0</v>
      </c>
      <c r="M15" s="112">
        <v>0.8</v>
      </c>
      <c r="N15" s="112">
        <v>0.8</v>
      </c>
      <c r="O15" s="112">
        <v>0</v>
      </c>
      <c r="P15" s="112">
        <v>0</v>
      </c>
      <c r="Q15" s="112">
        <v>0.8</v>
      </c>
      <c r="R15" s="112">
        <v>0</v>
      </c>
      <c r="S15" s="112">
        <v>0</v>
      </c>
      <c r="T15" s="112">
        <v>0</v>
      </c>
      <c r="U15" s="112">
        <v>0</v>
      </c>
      <c r="V15" s="112">
        <v>0</v>
      </c>
      <c r="W15" s="112">
        <v>0</v>
      </c>
      <c r="X15" s="112">
        <v>0.8</v>
      </c>
      <c r="Y15" s="112">
        <v>0</v>
      </c>
      <c r="Z15" s="112">
        <v>0</v>
      </c>
      <c r="AA15" s="112">
        <v>0</v>
      </c>
      <c r="AB15" s="112">
        <v>0</v>
      </c>
      <c r="AC15" s="112">
        <v>0</v>
      </c>
      <c r="AD15" s="112">
        <v>0</v>
      </c>
      <c r="AE15" s="112">
        <v>0</v>
      </c>
      <c r="AF15" s="112">
        <v>0</v>
      </c>
      <c r="AG15" s="112">
        <v>0</v>
      </c>
      <c r="AH15" s="112">
        <v>0</v>
      </c>
      <c r="AI15" s="112">
        <v>0</v>
      </c>
      <c r="AJ15" s="112">
        <v>0</v>
      </c>
      <c r="AK15" s="112">
        <v>0</v>
      </c>
      <c r="AL15" s="112">
        <v>0</v>
      </c>
      <c r="AM15" s="112">
        <v>0</v>
      </c>
      <c r="AN15" s="112">
        <v>0</v>
      </c>
      <c r="AO15" s="112">
        <v>0</v>
      </c>
      <c r="AP15" s="112">
        <v>0</v>
      </c>
      <c r="AQ15" s="112">
        <v>0</v>
      </c>
      <c r="AR15" s="112">
        <v>0</v>
      </c>
      <c r="AS15" s="112">
        <v>0</v>
      </c>
    </row>
    <row r="16" spans="1:45" customFormat="1" x14ac:dyDescent="0.15">
      <c r="A16" s="191" t="s">
        <v>207</v>
      </c>
      <c r="B16" s="112">
        <v>0</v>
      </c>
      <c r="C16" s="112">
        <v>0</v>
      </c>
      <c r="D16" s="112">
        <v>0</v>
      </c>
      <c r="E16" s="112">
        <v>0</v>
      </c>
      <c r="F16" s="112">
        <v>0</v>
      </c>
      <c r="G16" s="112">
        <v>0.8</v>
      </c>
      <c r="H16" s="112">
        <v>0</v>
      </c>
      <c r="I16" s="112">
        <v>0</v>
      </c>
      <c r="J16" s="112">
        <v>0</v>
      </c>
      <c r="K16" s="112">
        <v>0</v>
      </c>
      <c r="L16" s="112">
        <v>0</v>
      </c>
      <c r="M16" s="112">
        <v>0.8</v>
      </c>
      <c r="N16" s="112">
        <v>0</v>
      </c>
      <c r="O16" s="112">
        <v>0</v>
      </c>
      <c r="P16" s="112">
        <v>0</v>
      </c>
      <c r="Q16" s="112">
        <v>0.8</v>
      </c>
      <c r="R16" s="112">
        <v>0</v>
      </c>
      <c r="S16" s="112">
        <v>0</v>
      </c>
      <c r="T16" s="112">
        <v>0</v>
      </c>
      <c r="U16" s="112">
        <v>0</v>
      </c>
      <c r="V16" s="112">
        <v>0</v>
      </c>
      <c r="W16" s="112">
        <v>0</v>
      </c>
      <c r="X16" s="112">
        <v>0</v>
      </c>
      <c r="Y16" s="112">
        <v>0</v>
      </c>
      <c r="Z16" s="112">
        <v>0</v>
      </c>
      <c r="AA16" s="112">
        <v>0</v>
      </c>
      <c r="AB16" s="112">
        <v>0</v>
      </c>
      <c r="AC16" s="112">
        <v>0</v>
      </c>
      <c r="AD16" s="112">
        <v>0</v>
      </c>
      <c r="AE16" s="112">
        <v>0</v>
      </c>
      <c r="AF16" s="112">
        <v>0</v>
      </c>
      <c r="AG16" s="112">
        <v>0</v>
      </c>
      <c r="AH16" s="112">
        <v>0</v>
      </c>
      <c r="AI16" s="112">
        <v>0</v>
      </c>
      <c r="AJ16" s="112">
        <v>0</v>
      </c>
      <c r="AK16" s="112">
        <v>0</v>
      </c>
      <c r="AL16" s="112">
        <v>0</v>
      </c>
      <c r="AM16" s="112">
        <v>0</v>
      </c>
      <c r="AN16" s="112">
        <v>0</v>
      </c>
      <c r="AO16" s="112">
        <v>0</v>
      </c>
      <c r="AP16" s="112">
        <v>0</v>
      </c>
      <c r="AQ16" s="112">
        <v>0</v>
      </c>
      <c r="AR16" s="112">
        <v>0</v>
      </c>
      <c r="AS16" s="112">
        <v>0</v>
      </c>
    </row>
    <row r="17" spans="1:45" customFormat="1" x14ac:dyDescent="0.15">
      <c r="A17" s="191" t="s">
        <v>208</v>
      </c>
      <c r="B17" s="112">
        <v>0</v>
      </c>
      <c r="C17" s="112">
        <v>0</v>
      </c>
      <c r="D17" s="112">
        <v>0</v>
      </c>
      <c r="E17" s="112">
        <v>0.8</v>
      </c>
      <c r="F17" s="112">
        <v>0.8</v>
      </c>
      <c r="G17" s="112">
        <v>0</v>
      </c>
      <c r="H17" s="112">
        <v>0.8</v>
      </c>
      <c r="I17" s="112">
        <v>0</v>
      </c>
      <c r="J17" s="112">
        <v>0</v>
      </c>
      <c r="K17" s="112">
        <v>0</v>
      </c>
      <c r="L17" s="112">
        <v>0.8</v>
      </c>
      <c r="M17" s="112">
        <v>0.8</v>
      </c>
      <c r="N17" s="112">
        <v>0.8</v>
      </c>
      <c r="O17" s="112">
        <v>0</v>
      </c>
      <c r="P17" s="112">
        <v>0</v>
      </c>
      <c r="Q17" s="112">
        <v>0.8</v>
      </c>
      <c r="R17" s="112">
        <v>0</v>
      </c>
      <c r="S17" s="112">
        <v>0</v>
      </c>
      <c r="T17" s="112">
        <v>0</v>
      </c>
      <c r="U17" s="112">
        <v>0</v>
      </c>
      <c r="V17" s="112">
        <v>0</v>
      </c>
      <c r="W17" s="112">
        <v>0</v>
      </c>
      <c r="X17" s="112">
        <v>0</v>
      </c>
      <c r="Y17" s="112">
        <v>0</v>
      </c>
      <c r="Z17" s="112">
        <v>0</v>
      </c>
      <c r="AA17" s="112">
        <v>0</v>
      </c>
      <c r="AB17" s="112">
        <v>0</v>
      </c>
      <c r="AC17" s="112">
        <v>0</v>
      </c>
      <c r="AD17" s="112">
        <v>0</v>
      </c>
      <c r="AE17" s="112">
        <v>0</v>
      </c>
      <c r="AF17" s="112">
        <v>0</v>
      </c>
      <c r="AG17" s="112">
        <v>0</v>
      </c>
      <c r="AH17" s="112">
        <v>0</v>
      </c>
      <c r="AI17" s="112">
        <v>0</v>
      </c>
      <c r="AJ17" s="112">
        <v>0</v>
      </c>
      <c r="AK17" s="112">
        <v>0</v>
      </c>
      <c r="AL17" s="112">
        <v>0</v>
      </c>
      <c r="AM17" s="112">
        <v>0</v>
      </c>
      <c r="AN17" s="112">
        <v>0</v>
      </c>
      <c r="AO17" s="112">
        <v>0</v>
      </c>
      <c r="AP17" s="112">
        <v>0</v>
      </c>
      <c r="AQ17" s="112">
        <v>0</v>
      </c>
      <c r="AR17" s="112">
        <v>0</v>
      </c>
      <c r="AS17" s="112">
        <v>0</v>
      </c>
    </row>
    <row r="18" spans="1:45" customFormat="1" x14ac:dyDescent="0.15">
      <c r="A18" s="191" t="s">
        <v>209</v>
      </c>
      <c r="B18" s="112">
        <v>0.8</v>
      </c>
      <c r="C18" s="112">
        <v>0</v>
      </c>
      <c r="D18" s="112">
        <v>0</v>
      </c>
      <c r="E18" s="112">
        <v>0.8</v>
      </c>
      <c r="F18" s="112">
        <v>0.8</v>
      </c>
      <c r="G18" s="112">
        <v>0.8</v>
      </c>
      <c r="H18" s="112">
        <v>0.8</v>
      </c>
      <c r="I18" s="112">
        <v>0</v>
      </c>
      <c r="J18" s="112">
        <v>0.8</v>
      </c>
      <c r="K18" s="112">
        <v>0.8</v>
      </c>
      <c r="L18" s="112">
        <v>0.8</v>
      </c>
      <c r="M18" s="112">
        <v>0.8</v>
      </c>
      <c r="N18" s="112">
        <v>0.8</v>
      </c>
      <c r="O18" s="112">
        <v>0</v>
      </c>
      <c r="P18" s="112">
        <v>0</v>
      </c>
      <c r="Q18" s="112">
        <v>0.8</v>
      </c>
      <c r="R18" s="112">
        <v>0</v>
      </c>
      <c r="S18" s="112">
        <v>0</v>
      </c>
      <c r="T18" s="112">
        <v>0</v>
      </c>
      <c r="U18" s="112">
        <v>0</v>
      </c>
      <c r="V18" s="112">
        <v>0</v>
      </c>
      <c r="W18" s="112">
        <v>0</v>
      </c>
      <c r="X18" s="112">
        <v>0</v>
      </c>
      <c r="Y18" s="112">
        <v>0.8</v>
      </c>
      <c r="Z18" s="112">
        <v>0</v>
      </c>
      <c r="AA18" s="112">
        <v>0</v>
      </c>
      <c r="AB18" s="112">
        <v>0</v>
      </c>
      <c r="AC18" s="112">
        <v>0</v>
      </c>
      <c r="AD18" s="112">
        <v>0</v>
      </c>
      <c r="AE18" s="112">
        <v>0</v>
      </c>
      <c r="AF18" s="112">
        <v>0</v>
      </c>
      <c r="AG18" s="112">
        <v>0</v>
      </c>
      <c r="AH18" s="112">
        <v>0</v>
      </c>
      <c r="AI18" s="112">
        <v>0</v>
      </c>
      <c r="AJ18" s="112">
        <v>0</v>
      </c>
      <c r="AK18" s="112">
        <v>0</v>
      </c>
      <c r="AL18" s="112">
        <v>0</v>
      </c>
      <c r="AM18" s="112">
        <v>0</v>
      </c>
      <c r="AN18" s="112">
        <v>0</v>
      </c>
      <c r="AO18" s="112">
        <v>0</v>
      </c>
      <c r="AP18" s="112">
        <v>0</v>
      </c>
      <c r="AQ18" s="112">
        <v>0</v>
      </c>
      <c r="AR18" s="112">
        <v>0</v>
      </c>
      <c r="AS18" s="112">
        <v>0</v>
      </c>
    </row>
    <row r="19" spans="1:45" customFormat="1" x14ac:dyDescent="0.15">
      <c r="A19" s="191" t="s">
        <v>210</v>
      </c>
      <c r="B19" s="112">
        <v>0</v>
      </c>
      <c r="C19" s="112">
        <v>0</v>
      </c>
      <c r="D19" s="112">
        <v>0.8</v>
      </c>
      <c r="E19" s="112">
        <v>0.8</v>
      </c>
      <c r="F19" s="112">
        <v>0.8</v>
      </c>
      <c r="G19" s="112">
        <v>0.8</v>
      </c>
      <c r="H19" s="112">
        <v>0.8</v>
      </c>
      <c r="I19" s="112">
        <v>0</v>
      </c>
      <c r="J19" s="112">
        <v>0.8</v>
      </c>
      <c r="K19" s="112">
        <v>0.8</v>
      </c>
      <c r="L19" s="112">
        <v>0.8</v>
      </c>
      <c r="M19" s="112">
        <v>0.8</v>
      </c>
      <c r="N19" s="112">
        <v>0.8</v>
      </c>
      <c r="O19" s="112">
        <v>0</v>
      </c>
      <c r="P19" s="112">
        <v>0</v>
      </c>
      <c r="Q19" s="112">
        <v>0.8</v>
      </c>
      <c r="R19" s="112">
        <v>0</v>
      </c>
      <c r="S19" s="112">
        <v>0</v>
      </c>
      <c r="T19" s="112">
        <v>0.8</v>
      </c>
      <c r="U19" s="112">
        <v>0.8</v>
      </c>
      <c r="V19" s="112">
        <v>0</v>
      </c>
      <c r="W19" s="112">
        <v>0</v>
      </c>
      <c r="X19" s="112">
        <v>0.8</v>
      </c>
      <c r="Y19" s="112">
        <v>0.8</v>
      </c>
      <c r="Z19" s="112">
        <v>0.8</v>
      </c>
      <c r="AA19" s="112">
        <v>0.8</v>
      </c>
      <c r="AB19" s="112">
        <v>0</v>
      </c>
      <c r="AC19" s="112">
        <v>0</v>
      </c>
      <c r="AD19" s="112">
        <v>0</v>
      </c>
      <c r="AE19" s="112">
        <v>0</v>
      </c>
      <c r="AF19" s="112">
        <v>0</v>
      </c>
      <c r="AG19" s="112">
        <v>0</v>
      </c>
      <c r="AH19" s="112">
        <v>0</v>
      </c>
      <c r="AI19" s="112">
        <v>0</v>
      </c>
      <c r="AJ19" s="112">
        <v>0</v>
      </c>
      <c r="AK19" s="112">
        <v>0</v>
      </c>
      <c r="AL19" s="112">
        <v>0</v>
      </c>
      <c r="AM19" s="112">
        <v>0</v>
      </c>
      <c r="AN19" s="112">
        <v>0</v>
      </c>
      <c r="AO19" s="112">
        <v>0</v>
      </c>
      <c r="AP19" s="112">
        <v>0</v>
      </c>
      <c r="AQ19" s="112">
        <v>0</v>
      </c>
      <c r="AR19" s="112">
        <v>0</v>
      </c>
      <c r="AS19" s="112">
        <v>0</v>
      </c>
    </row>
    <row r="20" spans="1:45" customFormat="1" x14ac:dyDescent="0.15">
      <c r="A20" s="191" t="s">
        <v>211</v>
      </c>
      <c r="B20" s="112">
        <v>0.8</v>
      </c>
      <c r="C20" s="112">
        <v>0.8</v>
      </c>
      <c r="D20" s="112">
        <v>0</v>
      </c>
      <c r="E20" s="112">
        <v>0.8</v>
      </c>
      <c r="F20" s="112">
        <v>0.8</v>
      </c>
      <c r="G20" s="112">
        <v>0</v>
      </c>
      <c r="H20" s="112">
        <v>0.8</v>
      </c>
      <c r="I20" s="112">
        <v>0</v>
      </c>
      <c r="J20" s="112">
        <v>0</v>
      </c>
      <c r="K20" s="112">
        <v>0.8</v>
      </c>
      <c r="L20" s="112">
        <v>0.8</v>
      </c>
      <c r="M20" s="112">
        <v>0.8</v>
      </c>
      <c r="N20" s="112">
        <v>0</v>
      </c>
      <c r="O20" s="112">
        <v>0</v>
      </c>
      <c r="P20" s="112">
        <v>0</v>
      </c>
      <c r="Q20" s="112">
        <v>0.8</v>
      </c>
      <c r="R20" s="112">
        <v>0</v>
      </c>
      <c r="S20" s="112">
        <v>0</v>
      </c>
      <c r="T20" s="112">
        <v>0</v>
      </c>
      <c r="U20" s="112">
        <v>0</v>
      </c>
      <c r="V20" s="112">
        <v>0</v>
      </c>
      <c r="W20" s="112">
        <v>0</v>
      </c>
      <c r="X20" s="112">
        <v>0</v>
      </c>
      <c r="Y20" s="112">
        <v>0.8</v>
      </c>
      <c r="Z20" s="112">
        <v>0</v>
      </c>
      <c r="AA20" s="112">
        <v>0</v>
      </c>
      <c r="AB20" s="112">
        <v>0</v>
      </c>
      <c r="AC20" s="112">
        <v>0</v>
      </c>
      <c r="AD20" s="112">
        <v>0</v>
      </c>
      <c r="AE20" s="112">
        <v>0</v>
      </c>
      <c r="AF20" s="112">
        <v>0</v>
      </c>
      <c r="AG20" s="112">
        <v>0</v>
      </c>
      <c r="AH20" s="112">
        <v>0</v>
      </c>
      <c r="AI20" s="112">
        <v>0</v>
      </c>
      <c r="AJ20" s="112">
        <v>0</v>
      </c>
      <c r="AK20" s="112">
        <v>0</v>
      </c>
      <c r="AL20" s="112">
        <v>0</v>
      </c>
      <c r="AM20" s="112">
        <v>0</v>
      </c>
      <c r="AN20" s="112">
        <v>0</v>
      </c>
      <c r="AO20" s="112">
        <v>0</v>
      </c>
      <c r="AP20" s="112">
        <v>0</v>
      </c>
      <c r="AQ20" s="112">
        <v>0</v>
      </c>
      <c r="AR20" s="112">
        <v>0</v>
      </c>
      <c r="AS20" s="112">
        <v>0</v>
      </c>
    </row>
    <row r="21" spans="1:45" customFormat="1" x14ac:dyDescent="0.15">
      <c r="A21" s="191" t="s">
        <v>212</v>
      </c>
      <c r="B21" s="112">
        <v>0.8</v>
      </c>
      <c r="C21" s="112">
        <v>0.8</v>
      </c>
      <c r="D21" s="112">
        <v>0.8</v>
      </c>
      <c r="E21" s="112">
        <v>0.8</v>
      </c>
      <c r="F21" s="112">
        <v>0.8</v>
      </c>
      <c r="G21" s="112">
        <v>0</v>
      </c>
      <c r="H21" s="112">
        <v>0</v>
      </c>
      <c r="I21" s="112">
        <v>0.8</v>
      </c>
      <c r="J21" s="112">
        <v>0</v>
      </c>
      <c r="K21" s="112">
        <v>0.8</v>
      </c>
      <c r="L21" s="112">
        <v>0</v>
      </c>
      <c r="M21" s="112">
        <v>0.8</v>
      </c>
      <c r="N21" s="112">
        <v>0.8</v>
      </c>
      <c r="O21" s="112">
        <v>0</v>
      </c>
      <c r="P21" s="112">
        <v>0</v>
      </c>
      <c r="Q21" s="112">
        <v>0.8</v>
      </c>
      <c r="R21" s="112">
        <v>0</v>
      </c>
      <c r="S21" s="112">
        <v>0</v>
      </c>
      <c r="T21" s="112">
        <v>0</v>
      </c>
      <c r="U21" s="112">
        <v>0</v>
      </c>
      <c r="V21" s="112">
        <v>0</v>
      </c>
      <c r="W21" s="112">
        <v>0</v>
      </c>
      <c r="X21" s="112">
        <v>0</v>
      </c>
      <c r="Y21" s="112">
        <v>0</v>
      </c>
      <c r="Z21" s="112">
        <v>0</v>
      </c>
      <c r="AA21" s="112">
        <v>0</v>
      </c>
      <c r="AB21" s="112">
        <v>0</v>
      </c>
      <c r="AC21" s="112">
        <v>0</v>
      </c>
      <c r="AD21" s="112">
        <v>0</v>
      </c>
      <c r="AE21" s="112">
        <v>0</v>
      </c>
      <c r="AF21" s="112">
        <v>0</v>
      </c>
      <c r="AG21" s="112">
        <v>0</v>
      </c>
      <c r="AH21" s="112">
        <v>0</v>
      </c>
      <c r="AI21" s="112">
        <v>0</v>
      </c>
      <c r="AJ21" s="112">
        <v>0</v>
      </c>
      <c r="AK21" s="112">
        <v>0</v>
      </c>
      <c r="AL21" s="112">
        <v>0</v>
      </c>
      <c r="AM21" s="112">
        <v>0</v>
      </c>
      <c r="AN21" s="112">
        <v>0</v>
      </c>
      <c r="AO21" s="112">
        <v>0</v>
      </c>
      <c r="AP21" s="112">
        <v>0</v>
      </c>
      <c r="AQ21" s="112">
        <v>0</v>
      </c>
      <c r="AR21" s="112">
        <v>0</v>
      </c>
      <c r="AS21" s="112">
        <v>0</v>
      </c>
    </row>
    <row r="22" spans="1:45" customFormat="1" x14ac:dyDescent="0.15">
      <c r="A22" s="191" t="s">
        <v>213</v>
      </c>
      <c r="B22" s="112">
        <v>0.8</v>
      </c>
      <c r="C22" s="112">
        <v>0.8</v>
      </c>
      <c r="D22" s="112">
        <v>0.8</v>
      </c>
      <c r="E22" s="112">
        <v>0.8</v>
      </c>
      <c r="F22" s="112">
        <v>0.8</v>
      </c>
      <c r="G22" s="112">
        <v>0</v>
      </c>
      <c r="H22" s="112">
        <v>0</v>
      </c>
      <c r="I22" s="112">
        <v>0.8</v>
      </c>
      <c r="J22" s="112">
        <v>0</v>
      </c>
      <c r="K22" s="112">
        <v>0.8</v>
      </c>
      <c r="L22" s="112">
        <v>0.8</v>
      </c>
      <c r="M22" s="112">
        <v>0</v>
      </c>
      <c r="N22" s="112">
        <v>0</v>
      </c>
      <c r="O22" s="112">
        <v>0</v>
      </c>
      <c r="P22" s="112">
        <v>0</v>
      </c>
      <c r="Q22" s="112">
        <v>0.8</v>
      </c>
      <c r="R22" s="112">
        <v>0</v>
      </c>
      <c r="S22" s="112">
        <v>0</v>
      </c>
      <c r="T22" s="112">
        <v>0</v>
      </c>
      <c r="U22" s="112">
        <v>0.8</v>
      </c>
      <c r="V22" s="112">
        <v>0</v>
      </c>
      <c r="W22" s="112">
        <v>0</v>
      </c>
      <c r="X22" s="112">
        <v>0</v>
      </c>
      <c r="Y22" s="112">
        <v>0.8</v>
      </c>
      <c r="Z22" s="112">
        <v>0</v>
      </c>
      <c r="AA22" s="112">
        <v>0</v>
      </c>
      <c r="AB22" s="112">
        <v>0</v>
      </c>
      <c r="AC22" s="112">
        <v>0</v>
      </c>
      <c r="AD22" s="112">
        <v>0</v>
      </c>
      <c r="AE22" s="112">
        <v>0</v>
      </c>
      <c r="AF22" s="112">
        <v>0</v>
      </c>
      <c r="AG22" s="112">
        <v>0</v>
      </c>
      <c r="AH22" s="112">
        <v>0</v>
      </c>
      <c r="AI22" s="112">
        <v>0</v>
      </c>
      <c r="AJ22" s="112">
        <v>0</v>
      </c>
      <c r="AK22" s="112">
        <v>0</v>
      </c>
      <c r="AL22" s="112">
        <v>0</v>
      </c>
      <c r="AM22" s="112">
        <v>0</v>
      </c>
      <c r="AN22" s="112">
        <v>0</v>
      </c>
      <c r="AO22" s="112">
        <v>0</v>
      </c>
      <c r="AP22" s="112">
        <v>0</v>
      </c>
      <c r="AQ22" s="112">
        <v>0</v>
      </c>
      <c r="AR22" s="112">
        <v>0</v>
      </c>
      <c r="AS22" s="112">
        <v>0</v>
      </c>
    </row>
    <row r="23" spans="1:45" customFormat="1" x14ac:dyDescent="0.15">
      <c r="A23" s="191" t="s">
        <v>214</v>
      </c>
      <c r="B23" s="112">
        <v>0.8</v>
      </c>
      <c r="C23" s="112">
        <v>0.8</v>
      </c>
      <c r="D23" s="112">
        <v>0</v>
      </c>
      <c r="E23" s="112">
        <v>0.8</v>
      </c>
      <c r="F23" s="112">
        <v>0.8</v>
      </c>
      <c r="G23" s="112">
        <v>0.8</v>
      </c>
      <c r="H23" s="112">
        <v>0.8</v>
      </c>
      <c r="I23" s="112">
        <v>0.8</v>
      </c>
      <c r="J23" s="112">
        <v>0</v>
      </c>
      <c r="K23" s="112">
        <v>0.8</v>
      </c>
      <c r="L23" s="112">
        <v>0.8</v>
      </c>
      <c r="M23" s="112">
        <v>0.8</v>
      </c>
      <c r="N23" s="112">
        <v>0</v>
      </c>
      <c r="O23" s="112">
        <v>0</v>
      </c>
      <c r="P23" s="112">
        <v>0</v>
      </c>
      <c r="Q23" s="112">
        <v>0.8</v>
      </c>
      <c r="R23" s="112">
        <v>0</v>
      </c>
      <c r="S23" s="112">
        <v>0</v>
      </c>
      <c r="T23" s="112">
        <v>0.8</v>
      </c>
      <c r="U23" s="112">
        <v>0.8</v>
      </c>
      <c r="V23" s="112">
        <v>0</v>
      </c>
      <c r="W23" s="112">
        <v>0</v>
      </c>
      <c r="X23" s="112">
        <v>0.8</v>
      </c>
      <c r="Y23" s="112">
        <v>0.8</v>
      </c>
      <c r="Z23" s="112">
        <v>0.8</v>
      </c>
      <c r="AA23" s="112">
        <v>0.8</v>
      </c>
      <c r="AB23" s="112">
        <v>0</v>
      </c>
      <c r="AC23" s="112">
        <v>0</v>
      </c>
      <c r="AD23" s="112">
        <v>0</v>
      </c>
      <c r="AE23" s="112">
        <v>0</v>
      </c>
      <c r="AF23" s="112">
        <v>0</v>
      </c>
      <c r="AG23" s="112">
        <v>0</v>
      </c>
      <c r="AH23" s="112">
        <v>0</v>
      </c>
      <c r="AI23" s="112">
        <v>0</v>
      </c>
      <c r="AJ23" s="112">
        <v>0</v>
      </c>
      <c r="AK23" s="112">
        <v>0</v>
      </c>
      <c r="AL23" s="112">
        <v>0</v>
      </c>
      <c r="AM23" s="112">
        <v>0</v>
      </c>
      <c r="AN23" s="112">
        <v>0</v>
      </c>
      <c r="AO23" s="112">
        <v>0</v>
      </c>
      <c r="AP23" s="112">
        <v>0</v>
      </c>
      <c r="AQ23" s="112">
        <v>0</v>
      </c>
      <c r="AR23" s="112">
        <v>0</v>
      </c>
      <c r="AS23" s="112">
        <v>0</v>
      </c>
    </row>
    <row r="24" spans="1:45" customFormat="1" x14ac:dyDescent="0.15">
      <c r="A24" s="191" t="s">
        <v>215</v>
      </c>
      <c r="B24" s="112">
        <v>0</v>
      </c>
      <c r="C24" s="112">
        <v>0</v>
      </c>
      <c r="D24" s="112">
        <v>0</v>
      </c>
      <c r="E24" s="112">
        <v>0.8</v>
      </c>
      <c r="F24" s="112">
        <v>0.8</v>
      </c>
      <c r="G24" s="112">
        <v>0.8</v>
      </c>
      <c r="H24" s="112">
        <v>0.8</v>
      </c>
      <c r="I24" s="112">
        <v>0.8</v>
      </c>
      <c r="J24" s="112">
        <v>0</v>
      </c>
      <c r="K24" s="112">
        <v>0.8</v>
      </c>
      <c r="L24" s="112">
        <v>0.8</v>
      </c>
      <c r="M24" s="112">
        <v>0.8</v>
      </c>
      <c r="N24" s="112">
        <v>0</v>
      </c>
      <c r="O24" s="112">
        <v>0</v>
      </c>
      <c r="P24" s="112">
        <v>0</v>
      </c>
      <c r="Q24" s="112">
        <v>0</v>
      </c>
      <c r="R24" s="112">
        <v>0</v>
      </c>
      <c r="S24" s="112">
        <v>0</v>
      </c>
      <c r="T24" s="112">
        <v>0</v>
      </c>
      <c r="U24" s="112">
        <v>0</v>
      </c>
      <c r="V24" s="112">
        <v>0</v>
      </c>
      <c r="W24" s="112">
        <v>0</v>
      </c>
      <c r="X24" s="112">
        <v>0</v>
      </c>
      <c r="Y24" s="112">
        <v>0</v>
      </c>
      <c r="Z24" s="112">
        <v>0</v>
      </c>
      <c r="AA24" s="112">
        <v>0</v>
      </c>
      <c r="AB24" s="112">
        <v>0</v>
      </c>
      <c r="AC24" s="112">
        <v>0</v>
      </c>
      <c r="AD24" s="112">
        <v>0</v>
      </c>
      <c r="AE24" s="112">
        <v>0</v>
      </c>
      <c r="AF24" s="112">
        <v>0</v>
      </c>
      <c r="AG24" s="112">
        <v>0</v>
      </c>
      <c r="AH24" s="112">
        <v>0</v>
      </c>
      <c r="AI24" s="112">
        <v>0</v>
      </c>
      <c r="AJ24" s="112">
        <v>0</v>
      </c>
      <c r="AK24" s="112">
        <v>0</v>
      </c>
      <c r="AL24" s="112">
        <v>0</v>
      </c>
      <c r="AM24" s="112">
        <v>0</v>
      </c>
      <c r="AN24" s="112">
        <v>0</v>
      </c>
      <c r="AO24" s="112">
        <v>0</v>
      </c>
      <c r="AP24" s="112">
        <v>0</v>
      </c>
      <c r="AQ24" s="112">
        <v>0</v>
      </c>
      <c r="AR24" s="112">
        <v>0</v>
      </c>
      <c r="AS24" s="112">
        <v>0</v>
      </c>
    </row>
    <row r="25" spans="1:45" customFormat="1" x14ac:dyDescent="0.15">
      <c r="A25" s="191" t="s">
        <v>216</v>
      </c>
      <c r="B25" s="112">
        <v>0</v>
      </c>
      <c r="C25" s="112">
        <v>0</v>
      </c>
      <c r="D25" s="112">
        <v>0</v>
      </c>
      <c r="E25" s="112">
        <v>0.8</v>
      </c>
      <c r="F25" s="112">
        <v>0.8</v>
      </c>
      <c r="G25" s="112">
        <v>0</v>
      </c>
      <c r="H25" s="112">
        <v>0</v>
      </c>
      <c r="I25" s="112">
        <v>0</v>
      </c>
      <c r="J25" s="112">
        <v>0</v>
      </c>
      <c r="K25" s="112">
        <v>0</v>
      </c>
      <c r="L25" s="112">
        <v>0</v>
      </c>
      <c r="M25" s="112">
        <v>0</v>
      </c>
      <c r="N25" s="112">
        <v>0</v>
      </c>
      <c r="O25" s="112">
        <v>0</v>
      </c>
      <c r="P25" s="112">
        <v>0</v>
      </c>
      <c r="Q25" s="112">
        <v>0</v>
      </c>
      <c r="R25" s="112">
        <v>0</v>
      </c>
      <c r="S25" s="112">
        <v>0</v>
      </c>
      <c r="T25" s="112">
        <v>0</v>
      </c>
      <c r="U25" s="112">
        <v>0</v>
      </c>
      <c r="V25" s="112">
        <v>0</v>
      </c>
      <c r="W25" s="112">
        <v>0</v>
      </c>
      <c r="X25" s="112">
        <v>0</v>
      </c>
      <c r="Y25" s="112">
        <v>0.8</v>
      </c>
      <c r="Z25" s="112">
        <v>0</v>
      </c>
      <c r="AA25" s="112">
        <v>0</v>
      </c>
      <c r="AB25" s="112">
        <v>0</v>
      </c>
      <c r="AC25" s="112">
        <v>0</v>
      </c>
      <c r="AD25" s="112">
        <v>0</v>
      </c>
      <c r="AE25" s="112">
        <v>0</v>
      </c>
      <c r="AF25" s="112">
        <v>0</v>
      </c>
      <c r="AG25" s="112">
        <v>0</v>
      </c>
      <c r="AH25" s="112">
        <v>0</v>
      </c>
      <c r="AI25" s="112">
        <v>0</v>
      </c>
      <c r="AJ25" s="112">
        <v>0</v>
      </c>
      <c r="AK25" s="112">
        <v>0</v>
      </c>
      <c r="AL25" s="112">
        <v>0</v>
      </c>
      <c r="AM25" s="112">
        <v>0</v>
      </c>
      <c r="AN25" s="112">
        <v>0</v>
      </c>
      <c r="AO25" s="112">
        <v>0</v>
      </c>
      <c r="AP25" s="112">
        <v>0</v>
      </c>
      <c r="AQ25" s="112">
        <v>0</v>
      </c>
      <c r="AR25" s="112">
        <v>0</v>
      </c>
      <c r="AS25" s="112">
        <v>0</v>
      </c>
    </row>
    <row r="26" spans="1:45" customFormat="1" x14ac:dyDescent="0.15">
      <c r="A26" s="191" t="s">
        <v>217</v>
      </c>
      <c r="B26" s="112">
        <v>0.8</v>
      </c>
      <c r="C26" s="112">
        <v>0.8</v>
      </c>
      <c r="D26" s="112">
        <v>0.8</v>
      </c>
      <c r="E26" s="112">
        <v>0.8</v>
      </c>
      <c r="F26" s="112">
        <v>0.8</v>
      </c>
      <c r="G26" s="112">
        <v>0.8</v>
      </c>
      <c r="H26" s="112">
        <v>0</v>
      </c>
      <c r="I26" s="112">
        <v>0.8</v>
      </c>
      <c r="J26" s="112">
        <v>0</v>
      </c>
      <c r="K26" s="112">
        <v>0.8</v>
      </c>
      <c r="L26" s="112">
        <v>0</v>
      </c>
      <c r="M26" s="112">
        <v>0.8</v>
      </c>
      <c r="N26" s="112">
        <v>0</v>
      </c>
      <c r="O26" s="112">
        <v>0</v>
      </c>
      <c r="P26" s="112">
        <v>0</v>
      </c>
      <c r="Q26" s="112">
        <v>0</v>
      </c>
      <c r="R26" s="112">
        <v>0</v>
      </c>
      <c r="S26" s="112">
        <v>0</v>
      </c>
      <c r="T26" s="112">
        <v>0</v>
      </c>
      <c r="U26" s="112">
        <v>0</v>
      </c>
      <c r="V26" s="112">
        <v>0</v>
      </c>
      <c r="W26" s="112">
        <v>0</v>
      </c>
      <c r="X26" s="112">
        <v>0</v>
      </c>
      <c r="Y26" s="112">
        <v>0.8</v>
      </c>
      <c r="Z26" s="112">
        <v>0</v>
      </c>
      <c r="AA26" s="112">
        <v>0</v>
      </c>
      <c r="AB26" s="112">
        <v>0</v>
      </c>
      <c r="AC26" s="112">
        <v>0</v>
      </c>
      <c r="AD26" s="112">
        <v>0</v>
      </c>
      <c r="AE26" s="112">
        <v>0</v>
      </c>
      <c r="AF26" s="112">
        <v>0</v>
      </c>
      <c r="AG26" s="112">
        <v>0</v>
      </c>
      <c r="AH26" s="112">
        <v>0</v>
      </c>
      <c r="AI26" s="112">
        <v>0</v>
      </c>
      <c r="AJ26" s="112">
        <v>0</v>
      </c>
      <c r="AK26" s="112">
        <v>0</v>
      </c>
      <c r="AL26" s="112">
        <v>0</v>
      </c>
      <c r="AM26" s="112">
        <v>0</v>
      </c>
      <c r="AN26" s="112">
        <v>0</v>
      </c>
      <c r="AO26" s="112">
        <v>0</v>
      </c>
      <c r="AP26" s="112">
        <v>0</v>
      </c>
      <c r="AQ26" s="112">
        <v>0</v>
      </c>
      <c r="AR26" s="112">
        <v>0</v>
      </c>
      <c r="AS26" s="112">
        <v>0</v>
      </c>
    </row>
    <row r="27" spans="1:45" customFormat="1" x14ac:dyDescent="0.15">
      <c r="A27" s="191" t="s">
        <v>218</v>
      </c>
      <c r="B27" s="112">
        <v>0</v>
      </c>
      <c r="C27" s="112">
        <v>0</v>
      </c>
      <c r="D27" s="112">
        <v>0.8</v>
      </c>
      <c r="E27" s="112">
        <v>0.8</v>
      </c>
      <c r="F27" s="112">
        <v>0.8</v>
      </c>
      <c r="G27" s="112">
        <v>0.8</v>
      </c>
      <c r="H27" s="112">
        <v>0.8</v>
      </c>
      <c r="I27" s="112">
        <v>0.8</v>
      </c>
      <c r="J27" s="112">
        <v>0</v>
      </c>
      <c r="K27" s="112">
        <v>0.8</v>
      </c>
      <c r="L27" s="112">
        <v>0</v>
      </c>
      <c r="M27" s="112">
        <v>0.8</v>
      </c>
      <c r="N27" s="112">
        <v>0.8</v>
      </c>
      <c r="O27" s="112">
        <v>0</v>
      </c>
      <c r="P27" s="112">
        <v>0</v>
      </c>
      <c r="Q27" s="112">
        <v>0.8</v>
      </c>
      <c r="R27" s="112">
        <v>0</v>
      </c>
      <c r="S27" s="112">
        <v>0</v>
      </c>
      <c r="T27" s="112">
        <v>0.8</v>
      </c>
      <c r="U27" s="112">
        <v>0.8</v>
      </c>
      <c r="V27" s="112">
        <v>0</v>
      </c>
      <c r="W27" s="112">
        <v>0</v>
      </c>
      <c r="X27" s="112">
        <v>0.8</v>
      </c>
      <c r="Y27" s="112">
        <v>0.8</v>
      </c>
      <c r="Z27" s="112">
        <v>0</v>
      </c>
      <c r="AA27" s="112">
        <v>0.8</v>
      </c>
      <c r="AB27" s="112">
        <v>0</v>
      </c>
      <c r="AC27" s="112">
        <v>0</v>
      </c>
      <c r="AD27" s="112">
        <v>0</v>
      </c>
      <c r="AE27" s="112">
        <v>0</v>
      </c>
      <c r="AF27" s="112">
        <v>0</v>
      </c>
      <c r="AG27" s="112">
        <v>0</v>
      </c>
      <c r="AH27" s="112">
        <v>0</v>
      </c>
      <c r="AI27" s="112">
        <v>0</v>
      </c>
      <c r="AJ27" s="112">
        <v>0</v>
      </c>
      <c r="AK27" s="112">
        <v>0</v>
      </c>
      <c r="AL27" s="112">
        <v>0</v>
      </c>
      <c r="AM27" s="112">
        <v>0</v>
      </c>
      <c r="AN27" s="112">
        <v>0</v>
      </c>
      <c r="AO27" s="112">
        <v>0</v>
      </c>
      <c r="AP27" s="112">
        <v>0</v>
      </c>
      <c r="AQ27" s="112">
        <v>0</v>
      </c>
      <c r="AR27" s="112">
        <v>0</v>
      </c>
      <c r="AS27" s="112">
        <v>0</v>
      </c>
    </row>
    <row r="28" spans="1:45" customFormat="1" x14ac:dyDescent="0.15">
      <c r="A28" s="191" t="s">
        <v>219</v>
      </c>
      <c r="B28" s="112">
        <v>0</v>
      </c>
      <c r="C28" s="112">
        <v>0</v>
      </c>
      <c r="D28" s="112">
        <v>0</v>
      </c>
      <c r="E28" s="112">
        <v>0</v>
      </c>
      <c r="F28" s="112">
        <v>0</v>
      </c>
      <c r="G28" s="112">
        <v>0.8</v>
      </c>
      <c r="H28" s="112">
        <v>0.8</v>
      </c>
      <c r="I28" s="112">
        <v>0</v>
      </c>
      <c r="J28" s="112">
        <v>0</v>
      </c>
      <c r="K28" s="112">
        <v>0.8</v>
      </c>
      <c r="L28" s="112">
        <v>0</v>
      </c>
      <c r="M28" s="112">
        <v>0</v>
      </c>
      <c r="N28" s="112">
        <v>0</v>
      </c>
      <c r="O28" s="112">
        <v>0</v>
      </c>
      <c r="P28" s="112">
        <v>0</v>
      </c>
      <c r="Q28" s="112">
        <v>0.8</v>
      </c>
      <c r="R28" s="112">
        <v>0</v>
      </c>
      <c r="S28" s="112">
        <v>0</v>
      </c>
      <c r="T28" s="112">
        <v>0</v>
      </c>
      <c r="U28" s="112">
        <v>0</v>
      </c>
      <c r="V28" s="112">
        <v>0</v>
      </c>
      <c r="W28" s="112">
        <v>0</v>
      </c>
      <c r="X28" s="112">
        <v>0</v>
      </c>
      <c r="Y28" s="112">
        <v>0</v>
      </c>
      <c r="Z28" s="112">
        <v>0</v>
      </c>
      <c r="AA28" s="112">
        <v>0</v>
      </c>
      <c r="AB28" s="112">
        <v>0</v>
      </c>
      <c r="AC28" s="112">
        <v>0</v>
      </c>
      <c r="AD28" s="112">
        <v>0</v>
      </c>
      <c r="AE28" s="112">
        <v>0</v>
      </c>
      <c r="AF28" s="112">
        <v>0</v>
      </c>
      <c r="AG28" s="112">
        <v>0</v>
      </c>
      <c r="AH28" s="112">
        <v>0</v>
      </c>
      <c r="AI28" s="112">
        <v>0</v>
      </c>
      <c r="AJ28" s="112">
        <v>0</v>
      </c>
      <c r="AK28" s="112">
        <v>0</v>
      </c>
      <c r="AL28" s="112">
        <v>0</v>
      </c>
      <c r="AM28" s="112">
        <v>0</v>
      </c>
      <c r="AN28" s="112">
        <v>0</v>
      </c>
      <c r="AO28" s="112">
        <v>0</v>
      </c>
      <c r="AP28" s="112">
        <v>0</v>
      </c>
      <c r="AQ28" s="112">
        <v>0</v>
      </c>
      <c r="AR28" s="112">
        <v>0</v>
      </c>
      <c r="AS28" s="112">
        <v>0</v>
      </c>
    </row>
    <row r="29" spans="1:45" customFormat="1" x14ac:dyDescent="0.15">
      <c r="A29" s="191" t="s">
        <v>220</v>
      </c>
      <c r="B29" s="112">
        <v>0</v>
      </c>
      <c r="C29" s="112">
        <v>0</v>
      </c>
      <c r="D29" s="112">
        <v>0</v>
      </c>
      <c r="E29" s="112">
        <v>0</v>
      </c>
      <c r="F29" s="112">
        <v>0</v>
      </c>
      <c r="G29" s="112">
        <v>0.8</v>
      </c>
      <c r="H29" s="112">
        <v>0.8</v>
      </c>
      <c r="I29" s="112">
        <v>0.8</v>
      </c>
      <c r="J29" s="112">
        <v>0.8</v>
      </c>
      <c r="K29" s="112">
        <v>0</v>
      </c>
      <c r="L29" s="112">
        <v>0</v>
      </c>
      <c r="M29" s="112">
        <v>0</v>
      </c>
      <c r="N29" s="112">
        <v>0</v>
      </c>
      <c r="O29" s="112">
        <v>0</v>
      </c>
      <c r="P29" s="112">
        <v>0</v>
      </c>
      <c r="Q29" s="112">
        <v>0.8</v>
      </c>
      <c r="R29" s="112">
        <v>0</v>
      </c>
      <c r="S29" s="112">
        <v>0.8</v>
      </c>
      <c r="T29" s="112">
        <v>0.8</v>
      </c>
      <c r="U29" s="112">
        <v>0</v>
      </c>
      <c r="V29" s="112">
        <v>0</v>
      </c>
      <c r="W29" s="112">
        <v>0</v>
      </c>
      <c r="X29" s="112">
        <v>0.8</v>
      </c>
      <c r="Y29" s="112">
        <v>0</v>
      </c>
      <c r="Z29" s="112">
        <v>0</v>
      </c>
      <c r="AA29" s="112">
        <v>0</v>
      </c>
      <c r="AB29" s="112">
        <v>0</v>
      </c>
      <c r="AC29" s="112">
        <v>0.8</v>
      </c>
      <c r="AD29" s="112">
        <v>0</v>
      </c>
      <c r="AE29" s="112">
        <v>0</v>
      </c>
      <c r="AF29" s="112">
        <v>0</v>
      </c>
      <c r="AG29" s="112">
        <v>0</v>
      </c>
      <c r="AH29" s="112">
        <v>0</v>
      </c>
      <c r="AI29" s="112">
        <v>0</v>
      </c>
      <c r="AJ29" s="112">
        <v>0</v>
      </c>
      <c r="AK29" s="112">
        <v>0</v>
      </c>
      <c r="AL29" s="112">
        <v>0</v>
      </c>
      <c r="AM29" s="112">
        <v>0</v>
      </c>
      <c r="AN29" s="112">
        <v>0</v>
      </c>
      <c r="AO29" s="112">
        <v>0</v>
      </c>
      <c r="AP29" s="112">
        <v>0</v>
      </c>
      <c r="AQ29" s="112">
        <v>0</v>
      </c>
      <c r="AR29" s="112">
        <v>0</v>
      </c>
      <c r="AS29" s="112">
        <v>0</v>
      </c>
    </row>
    <row r="30" spans="1:45" customFormat="1" x14ac:dyDescent="0.15">
      <c r="A30" s="191" t="s">
        <v>221</v>
      </c>
      <c r="B30" s="112">
        <v>0</v>
      </c>
      <c r="C30" s="112">
        <v>0</v>
      </c>
      <c r="D30" s="112">
        <v>0</v>
      </c>
      <c r="E30" s="112">
        <v>0</v>
      </c>
      <c r="F30" s="112">
        <v>0.8</v>
      </c>
      <c r="G30" s="112">
        <v>0.8</v>
      </c>
      <c r="H30" s="112">
        <v>0.8</v>
      </c>
      <c r="I30" s="112">
        <v>0.8</v>
      </c>
      <c r="J30" s="112">
        <v>0.8</v>
      </c>
      <c r="K30" s="112">
        <v>0.8</v>
      </c>
      <c r="L30" s="112">
        <v>0.8</v>
      </c>
      <c r="M30" s="112">
        <v>0</v>
      </c>
      <c r="N30" s="112">
        <v>0.8</v>
      </c>
      <c r="O30" s="112">
        <v>0.8</v>
      </c>
      <c r="P30" s="112">
        <v>0</v>
      </c>
      <c r="Q30" s="112">
        <v>0.8</v>
      </c>
      <c r="R30" s="112">
        <v>0.8</v>
      </c>
      <c r="S30" s="112">
        <v>0.8</v>
      </c>
      <c r="T30" s="112">
        <v>0.8</v>
      </c>
      <c r="U30" s="112">
        <v>0</v>
      </c>
      <c r="V30" s="112">
        <v>0</v>
      </c>
      <c r="W30" s="112">
        <v>0</v>
      </c>
      <c r="X30" s="112">
        <v>0.8</v>
      </c>
      <c r="Y30" s="112">
        <v>0.8</v>
      </c>
      <c r="Z30" s="112">
        <v>0.8</v>
      </c>
      <c r="AA30" s="112">
        <v>0.8</v>
      </c>
      <c r="AB30" s="112">
        <v>0.8</v>
      </c>
      <c r="AC30" s="112">
        <v>0.8</v>
      </c>
      <c r="AD30" s="112">
        <v>0.8</v>
      </c>
      <c r="AE30" s="112">
        <v>0</v>
      </c>
      <c r="AF30" s="112">
        <v>0</v>
      </c>
      <c r="AG30" s="112">
        <v>0</v>
      </c>
      <c r="AH30" s="112">
        <v>0</v>
      </c>
      <c r="AI30" s="112">
        <v>0</v>
      </c>
      <c r="AJ30" s="112">
        <v>0</v>
      </c>
      <c r="AK30" s="112">
        <v>0</v>
      </c>
      <c r="AL30" s="112">
        <v>0</v>
      </c>
      <c r="AM30" s="112">
        <v>0</v>
      </c>
      <c r="AN30" s="112">
        <v>0</v>
      </c>
      <c r="AO30" s="112">
        <v>0</v>
      </c>
      <c r="AP30" s="112">
        <v>0</v>
      </c>
      <c r="AQ30" s="112">
        <v>0</v>
      </c>
      <c r="AR30" s="112">
        <v>0</v>
      </c>
      <c r="AS30" s="112">
        <v>0</v>
      </c>
    </row>
    <row r="31" spans="1:45" customFormat="1" x14ac:dyDescent="0.15">
      <c r="A31" s="191" t="s">
        <v>222</v>
      </c>
      <c r="B31" s="112">
        <v>0</v>
      </c>
      <c r="C31" s="112">
        <v>0</v>
      </c>
      <c r="D31" s="112">
        <v>0</v>
      </c>
      <c r="E31" s="112">
        <v>0</v>
      </c>
      <c r="F31" s="112">
        <v>0.8</v>
      </c>
      <c r="G31" s="112">
        <v>0.8</v>
      </c>
      <c r="H31" s="112">
        <v>0.8</v>
      </c>
      <c r="I31" s="112">
        <v>0.8</v>
      </c>
      <c r="J31" s="112">
        <v>0.8</v>
      </c>
      <c r="K31" s="112">
        <v>0.8</v>
      </c>
      <c r="L31" s="112">
        <v>0.8</v>
      </c>
      <c r="M31" s="112">
        <v>0</v>
      </c>
      <c r="N31" s="112">
        <v>0</v>
      </c>
      <c r="O31" s="112">
        <v>0</v>
      </c>
      <c r="P31" s="112">
        <v>0</v>
      </c>
      <c r="Q31" s="112">
        <v>0.8</v>
      </c>
      <c r="R31" s="112">
        <v>0.8</v>
      </c>
      <c r="S31" s="112">
        <v>0.8</v>
      </c>
      <c r="T31" s="112">
        <v>0.8</v>
      </c>
      <c r="U31" s="112">
        <v>0</v>
      </c>
      <c r="V31" s="112">
        <v>0</v>
      </c>
      <c r="W31" s="112">
        <v>0</v>
      </c>
      <c r="X31" s="112">
        <v>0.8</v>
      </c>
      <c r="Y31" s="112">
        <v>0.8</v>
      </c>
      <c r="Z31" s="112">
        <v>0</v>
      </c>
      <c r="AA31" s="112">
        <v>0.8</v>
      </c>
      <c r="AB31" s="112">
        <v>0.8</v>
      </c>
      <c r="AC31" s="112">
        <v>0.8</v>
      </c>
      <c r="AD31" s="112">
        <v>0.8</v>
      </c>
      <c r="AE31" s="112">
        <v>0.8</v>
      </c>
      <c r="AF31" s="112">
        <v>0</v>
      </c>
      <c r="AG31" s="112">
        <v>0</v>
      </c>
      <c r="AH31" s="112">
        <v>0</v>
      </c>
      <c r="AI31" s="112">
        <v>0</v>
      </c>
      <c r="AJ31" s="112">
        <v>0</v>
      </c>
      <c r="AK31" s="112">
        <v>0</v>
      </c>
      <c r="AL31" s="112">
        <v>0</v>
      </c>
      <c r="AM31" s="112">
        <v>0</v>
      </c>
      <c r="AN31" s="112">
        <v>0</v>
      </c>
      <c r="AO31" s="112">
        <v>0</v>
      </c>
      <c r="AP31" s="112">
        <v>0</v>
      </c>
      <c r="AQ31" s="112">
        <v>0</v>
      </c>
      <c r="AR31" s="112">
        <v>0</v>
      </c>
      <c r="AS31" s="112">
        <v>0</v>
      </c>
    </row>
    <row r="32" spans="1:45" customFormat="1" x14ac:dyDescent="0.15">
      <c r="A32" s="191" t="s">
        <v>223</v>
      </c>
      <c r="B32" s="112">
        <v>0</v>
      </c>
      <c r="C32" s="112">
        <v>0</v>
      </c>
      <c r="D32" s="112">
        <v>0</v>
      </c>
      <c r="E32" s="112">
        <v>0</v>
      </c>
      <c r="F32" s="112">
        <v>0.8</v>
      </c>
      <c r="G32" s="112">
        <v>0</v>
      </c>
      <c r="H32" s="112">
        <v>0.8</v>
      </c>
      <c r="I32" s="112">
        <v>0.8</v>
      </c>
      <c r="J32" s="112">
        <v>0</v>
      </c>
      <c r="K32" s="112">
        <v>0</v>
      </c>
      <c r="L32" s="112">
        <v>0.8</v>
      </c>
      <c r="M32" s="112">
        <v>0.8</v>
      </c>
      <c r="N32" s="112">
        <v>0</v>
      </c>
      <c r="O32" s="112">
        <v>0.8</v>
      </c>
      <c r="P32" s="112">
        <v>0.8</v>
      </c>
      <c r="Q32" s="112">
        <v>0.8</v>
      </c>
      <c r="R32" s="112">
        <v>0</v>
      </c>
      <c r="S32" s="112">
        <v>0.8</v>
      </c>
      <c r="T32" s="112">
        <v>0.8</v>
      </c>
      <c r="U32" s="112">
        <v>0</v>
      </c>
      <c r="V32" s="112">
        <v>0</v>
      </c>
      <c r="W32" s="112">
        <v>0.8</v>
      </c>
      <c r="X32" s="112">
        <v>0.8</v>
      </c>
      <c r="Y32" s="112">
        <v>0</v>
      </c>
      <c r="Z32" s="112">
        <v>0.8</v>
      </c>
      <c r="AA32" s="112">
        <v>0.8</v>
      </c>
      <c r="AB32" s="112">
        <v>0.8</v>
      </c>
      <c r="AC32" s="112">
        <v>0.8</v>
      </c>
      <c r="AD32" s="112">
        <v>0</v>
      </c>
      <c r="AE32" s="112">
        <v>0.8</v>
      </c>
      <c r="AF32" s="112">
        <v>0</v>
      </c>
      <c r="AG32" s="112">
        <v>0</v>
      </c>
      <c r="AH32" s="112">
        <v>0</v>
      </c>
      <c r="AI32" s="112">
        <v>0</v>
      </c>
      <c r="AJ32" s="112">
        <v>0</v>
      </c>
      <c r="AK32" s="112">
        <v>0</v>
      </c>
      <c r="AL32" s="112">
        <v>0</v>
      </c>
      <c r="AM32" s="112">
        <v>0</v>
      </c>
      <c r="AN32" s="112">
        <v>0</v>
      </c>
      <c r="AO32" s="112">
        <v>0</v>
      </c>
      <c r="AP32" s="112">
        <v>0</v>
      </c>
      <c r="AQ32" s="112">
        <v>0</v>
      </c>
      <c r="AR32" s="112">
        <v>0</v>
      </c>
      <c r="AS32" s="112">
        <v>0</v>
      </c>
    </row>
    <row r="33" spans="1:45" x14ac:dyDescent="0.15">
      <c r="A33" s="191" t="s">
        <v>224</v>
      </c>
      <c r="B33" s="112">
        <v>0</v>
      </c>
      <c r="C33" s="112">
        <v>0</v>
      </c>
      <c r="D33" s="112">
        <v>0</v>
      </c>
      <c r="E33" s="112">
        <v>0</v>
      </c>
      <c r="F33" s="112">
        <v>0</v>
      </c>
      <c r="G33" s="112">
        <v>0.8</v>
      </c>
      <c r="H33" s="112">
        <v>0</v>
      </c>
      <c r="I33" s="112">
        <v>0</v>
      </c>
      <c r="J33" s="112">
        <v>0.8</v>
      </c>
      <c r="K33" s="112">
        <v>0</v>
      </c>
      <c r="L33" s="112">
        <v>0</v>
      </c>
      <c r="M33" s="112">
        <v>0.8</v>
      </c>
      <c r="N33" s="112">
        <v>0</v>
      </c>
      <c r="O33" s="112">
        <v>0.8</v>
      </c>
      <c r="P33" s="112">
        <v>0.8</v>
      </c>
      <c r="Q33" s="112">
        <v>0.8</v>
      </c>
      <c r="R33" s="112">
        <v>0.8</v>
      </c>
      <c r="S33" s="112">
        <v>0.8</v>
      </c>
      <c r="T33" s="112">
        <v>0.8</v>
      </c>
      <c r="U33" s="112">
        <v>0</v>
      </c>
      <c r="V33" s="112">
        <v>0</v>
      </c>
      <c r="W33" s="112">
        <v>0.8</v>
      </c>
      <c r="X33" s="112">
        <v>0.8</v>
      </c>
      <c r="Y33" s="112">
        <v>0.8</v>
      </c>
      <c r="Z33" s="112">
        <v>0.8</v>
      </c>
      <c r="AA33" s="112">
        <v>0.8</v>
      </c>
      <c r="AB33" s="112">
        <v>0.8</v>
      </c>
      <c r="AC33" s="112">
        <v>0.8</v>
      </c>
      <c r="AD33" s="112">
        <v>0.8</v>
      </c>
      <c r="AE33" s="112">
        <v>0.8</v>
      </c>
      <c r="AF33" s="112">
        <v>0</v>
      </c>
      <c r="AG33" s="112">
        <v>0</v>
      </c>
      <c r="AH33" s="112">
        <v>0</v>
      </c>
      <c r="AI33" s="112">
        <v>0</v>
      </c>
      <c r="AJ33" s="112">
        <v>0</v>
      </c>
      <c r="AK33" s="112">
        <v>0</v>
      </c>
      <c r="AL33" s="112">
        <v>0</v>
      </c>
      <c r="AM33" s="112">
        <v>0</v>
      </c>
      <c r="AN33" s="112">
        <v>0</v>
      </c>
      <c r="AO33" s="112">
        <v>0</v>
      </c>
      <c r="AP33" s="112">
        <v>0</v>
      </c>
      <c r="AQ33" s="112">
        <v>0</v>
      </c>
      <c r="AR33" s="112">
        <v>0</v>
      </c>
      <c r="AS33" s="112">
        <v>0</v>
      </c>
    </row>
    <row r="34" spans="1:45" x14ac:dyDescent="0.15">
      <c r="A34" s="191" t="s">
        <v>225</v>
      </c>
      <c r="B34" s="112">
        <v>0</v>
      </c>
      <c r="C34" s="112">
        <v>0</v>
      </c>
      <c r="D34" s="112">
        <v>0</v>
      </c>
      <c r="E34" s="112">
        <v>0</v>
      </c>
      <c r="F34" s="112">
        <v>0</v>
      </c>
      <c r="G34" s="112">
        <v>0</v>
      </c>
      <c r="H34" s="112">
        <v>0</v>
      </c>
      <c r="I34" s="112">
        <v>0</v>
      </c>
      <c r="J34" s="112">
        <v>0</v>
      </c>
      <c r="K34" s="112">
        <v>0</v>
      </c>
      <c r="L34" s="112">
        <v>0</v>
      </c>
      <c r="M34" s="112">
        <v>0</v>
      </c>
      <c r="N34" s="112">
        <v>0</v>
      </c>
      <c r="O34" s="112">
        <v>0</v>
      </c>
      <c r="P34" s="112">
        <v>0</v>
      </c>
      <c r="Q34" s="112">
        <v>0</v>
      </c>
      <c r="R34" s="112">
        <v>0</v>
      </c>
      <c r="S34" s="112">
        <v>0</v>
      </c>
      <c r="T34" s="112">
        <v>0</v>
      </c>
      <c r="U34" s="112">
        <v>0</v>
      </c>
      <c r="V34" s="112">
        <v>0</v>
      </c>
      <c r="W34" s="112">
        <v>0</v>
      </c>
      <c r="X34" s="112">
        <v>0</v>
      </c>
      <c r="Y34" s="112">
        <v>0</v>
      </c>
      <c r="Z34" s="112">
        <v>0</v>
      </c>
      <c r="AA34" s="112">
        <v>0</v>
      </c>
      <c r="AB34" s="112">
        <v>0.8</v>
      </c>
      <c r="AC34" s="112">
        <v>0</v>
      </c>
      <c r="AD34" s="112">
        <v>0.8</v>
      </c>
      <c r="AE34" s="112">
        <v>0.8</v>
      </c>
      <c r="AF34" s="112">
        <v>0.8</v>
      </c>
      <c r="AG34" s="112">
        <v>0</v>
      </c>
      <c r="AH34" s="112">
        <v>0</v>
      </c>
      <c r="AI34" s="112">
        <v>0</v>
      </c>
      <c r="AJ34" s="112">
        <v>0</v>
      </c>
      <c r="AK34" s="112">
        <v>0</v>
      </c>
      <c r="AL34" s="112">
        <v>0</v>
      </c>
      <c r="AM34" s="112">
        <v>0</v>
      </c>
      <c r="AN34" s="112">
        <v>0</v>
      </c>
      <c r="AO34" s="112">
        <v>0</v>
      </c>
      <c r="AP34" s="112">
        <v>0</v>
      </c>
      <c r="AQ34" s="112">
        <v>0</v>
      </c>
      <c r="AR34" s="112">
        <v>0</v>
      </c>
      <c r="AS34" s="112">
        <v>0</v>
      </c>
    </row>
    <row r="35" spans="1:45" x14ac:dyDescent="0.15">
      <c r="A35" s="191" t="s">
        <v>226</v>
      </c>
      <c r="B35" s="112">
        <v>0</v>
      </c>
      <c r="C35" s="112">
        <v>0</v>
      </c>
      <c r="D35" s="112">
        <v>0</v>
      </c>
      <c r="E35" s="112">
        <v>0</v>
      </c>
      <c r="F35" s="112">
        <v>0</v>
      </c>
      <c r="G35" s="112">
        <v>0</v>
      </c>
      <c r="H35" s="112">
        <v>0</v>
      </c>
      <c r="I35" s="112">
        <v>0</v>
      </c>
      <c r="J35" s="112">
        <v>0</v>
      </c>
      <c r="K35" s="112">
        <v>0.8</v>
      </c>
      <c r="L35" s="112">
        <v>0.8</v>
      </c>
      <c r="M35" s="112">
        <v>0</v>
      </c>
      <c r="N35" s="112">
        <v>0</v>
      </c>
      <c r="O35" s="112">
        <v>0</v>
      </c>
      <c r="P35" s="112">
        <v>0</v>
      </c>
      <c r="Q35" s="112">
        <v>0</v>
      </c>
      <c r="R35" s="112">
        <v>0</v>
      </c>
      <c r="S35" s="112">
        <v>0</v>
      </c>
      <c r="T35" s="112">
        <v>0</v>
      </c>
      <c r="U35" s="112">
        <v>0</v>
      </c>
      <c r="V35" s="112">
        <v>0</v>
      </c>
      <c r="W35" s="112">
        <v>0</v>
      </c>
      <c r="X35" s="112">
        <v>0</v>
      </c>
      <c r="Y35" s="112">
        <v>0</v>
      </c>
      <c r="Z35" s="112">
        <v>0</v>
      </c>
      <c r="AA35" s="112">
        <v>0.8</v>
      </c>
      <c r="AB35" s="112">
        <v>0.8</v>
      </c>
      <c r="AC35" s="112">
        <v>0</v>
      </c>
      <c r="AD35" s="112">
        <v>0</v>
      </c>
      <c r="AE35" s="112">
        <v>0.8</v>
      </c>
      <c r="AF35" s="112">
        <v>0</v>
      </c>
      <c r="AG35" s="112">
        <v>0</v>
      </c>
      <c r="AH35" s="112">
        <v>0</v>
      </c>
      <c r="AI35" s="112">
        <v>0</v>
      </c>
      <c r="AJ35" s="112">
        <v>0</v>
      </c>
      <c r="AK35" s="112">
        <v>0</v>
      </c>
      <c r="AL35" s="112">
        <v>0</v>
      </c>
      <c r="AM35" s="112">
        <v>0</v>
      </c>
      <c r="AN35" s="112">
        <v>0</v>
      </c>
      <c r="AO35" s="112">
        <v>0</v>
      </c>
      <c r="AP35" s="112">
        <v>0</v>
      </c>
      <c r="AQ35" s="112">
        <v>0</v>
      </c>
      <c r="AR35" s="112">
        <v>0</v>
      </c>
      <c r="AS35" s="112">
        <v>0</v>
      </c>
    </row>
    <row r="36" spans="1:45" x14ac:dyDescent="0.15">
      <c r="A36" s="191" t="s">
        <v>227</v>
      </c>
      <c r="B36" s="112">
        <v>0</v>
      </c>
      <c r="C36" s="112">
        <v>0.8</v>
      </c>
      <c r="D36" s="112">
        <v>0.8</v>
      </c>
      <c r="E36" s="112">
        <v>0</v>
      </c>
      <c r="F36" s="112">
        <v>0</v>
      </c>
      <c r="G36" s="112">
        <v>0.8</v>
      </c>
      <c r="H36" s="112">
        <v>0.8</v>
      </c>
      <c r="I36" s="112">
        <v>0</v>
      </c>
      <c r="J36" s="112">
        <v>0.8</v>
      </c>
      <c r="K36" s="112">
        <v>0.8</v>
      </c>
      <c r="L36" s="112">
        <v>0.8</v>
      </c>
      <c r="M36" s="112">
        <v>0.8</v>
      </c>
      <c r="N36" s="112">
        <v>0</v>
      </c>
      <c r="O36" s="112">
        <v>0</v>
      </c>
      <c r="P36" s="112">
        <v>0</v>
      </c>
      <c r="Q36" s="112">
        <v>0.8</v>
      </c>
      <c r="R36" s="112">
        <v>0.8</v>
      </c>
      <c r="S36" s="112">
        <v>0.8</v>
      </c>
      <c r="T36" s="112">
        <v>0.8</v>
      </c>
      <c r="U36" s="112">
        <v>0.8</v>
      </c>
      <c r="V36" s="112">
        <v>0.8</v>
      </c>
      <c r="W36" s="112">
        <v>0.8</v>
      </c>
      <c r="X36" s="112">
        <v>0.8</v>
      </c>
      <c r="Y36" s="112">
        <v>0</v>
      </c>
      <c r="Z36" s="112">
        <v>0.8</v>
      </c>
      <c r="AA36" s="112">
        <v>0.8</v>
      </c>
      <c r="AB36" s="112">
        <v>0.8</v>
      </c>
      <c r="AC36" s="112">
        <v>0.8</v>
      </c>
      <c r="AD36" s="112">
        <v>0.8</v>
      </c>
      <c r="AE36" s="112">
        <v>0.8</v>
      </c>
      <c r="AF36" s="112">
        <v>0</v>
      </c>
      <c r="AG36" s="112">
        <v>0</v>
      </c>
      <c r="AH36" s="112">
        <v>0</v>
      </c>
      <c r="AI36" s="112">
        <v>0</v>
      </c>
      <c r="AJ36" s="112">
        <v>0</v>
      </c>
      <c r="AK36" s="112">
        <v>0</v>
      </c>
      <c r="AL36" s="112">
        <v>0</v>
      </c>
      <c r="AM36" s="112">
        <v>0</v>
      </c>
      <c r="AN36" s="112">
        <v>0</v>
      </c>
      <c r="AO36" s="112">
        <v>0</v>
      </c>
      <c r="AP36" s="112">
        <v>0</v>
      </c>
      <c r="AQ36" s="112">
        <v>0</v>
      </c>
      <c r="AR36" s="112">
        <v>0</v>
      </c>
      <c r="AS36" s="112">
        <v>0</v>
      </c>
    </row>
    <row r="37" spans="1:45" x14ac:dyDescent="0.15">
      <c r="A37" s="191" t="s">
        <v>228</v>
      </c>
      <c r="B37" s="112">
        <v>0</v>
      </c>
      <c r="C37" s="112">
        <v>0</v>
      </c>
      <c r="D37" s="112">
        <v>0.8</v>
      </c>
      <c r="E37" s="112">
        <v>0</v>
      </c>
      <c r="F37" s="112">
        <v>0</v>
      </c>
      <c r="G37" s="112">
        <v>0.8</v>
      </c>
      <c r="H37" s="112">
        <v>0</v>
      </c>
      <c r="I37" s="112">
        <v>0</v>
      </c>
      <c r="J37" s="112">
        <v>0.8</v>
      </c>
      <c r="K37" s="112">
        <v>0.8</v>
      </c>
      <c r="L37" s="112">
        <v>0.8</v>
      </c>
      <c r="M37" s="112">
        <v>0.8</v>
      </c>
      <c r="N37" s="112">
        <v>0</v>
      </c>
      <c r="O37" s="112">
        <v>0</v>
      </c>
      <c r="P37" s="112">
        <v>0</v>
      </c>
      <c r="Q37" s="112">
        <v>0.8</v>
      </c>
      <c r="R37" s="112">
        <v>0.8</v>
      </c>
      <c r="S37" s="112">
        <v>0.8</v>
      </c>
      <c r="T37" s="112">
        <v>0.8</v>
      </c>
      <c r="U37" s="112">
        <v>0.8</v>
      </c>
      <c r="V37" s="112">
        <v>0.8</v>
      </c>
      <c r="W37" s="112">
        <v>0.8</v>
      </c>
      <c r="X37" s="112">
        <v>0.8</v>
      </c>
      <c r="Y37" s="112">
        <v>0.8</v>
      </c>
      <c r="Z37" s="112">
        <v>0.8</v>
      </c>
      <c r="AA37" s="112">
        <v>0</v>
      </c>
      <c r="AB37" s="112">
        <v>0</v>
      </c>
      <c r="AC37" s="112">
        <v>0.8</v>
      </c>
      <c r="AD37" s="112">
        <v>0.8</v>
      </c>
      <c r="AE37" s="112">
        <v>0.8</v>
      </c>
      <c r="AF37" s="112">
        <v>0</v>
      </c>
      <c r="AG37" s="112">
        <v>0</v>
      </c>
      <c r="AH37" s="112">
        <v>0</v>
      </c>
      <c r="AI37" s="112">
        <v>0.8</v>
      </c>
      <c r="AJ37" s="112">
        <v>0.8</v>
      </c>
      <c r="AK37" s="112">
        <v>0.8</v>
      </c>
      <c r="AL37" s="112">
        <v>0</v>
      </c>
      <c r="AM37" s="112">
        <v>0</v>
      </c>
      <c r="AN37" s="112">
        <v>0</v>
      </c>
      <c r="AO37" s="112">
        <v>0</v>
      </c>
      <c r="AP37" s="112">
        <v>0</v>
      </c>
      <c r="AQ37" s="112">
        <v>0</v>
      </c>
      <c r="AR37" s="112">
        <v>0</v>
      </c>
      <c r="AS37" s="112">
        <v>0</v>
      </c>
    </row>
    <row r="38" spans="1:45" x14ac:dyDescent="0.15">
      <c r="A38" s="191" t="s">
        <v>229</v>
      </c>
      <c r="B38" s="112">
        <v>0</v>
      </c>
      <c r="C38" s="112">
        <v>0</v>
      </c>
      <c r="D38" s="112">
        <v>0</v>
      </c>
      <c r="E38" s="112">
        <v>0</v>
      </c>
      <c r="F38" s="112">
        <v>0</v>
      </c>
      <c r="G38" s="112">
        <v>0</v>
      </c>
      <c r="H38" s="112">
        <v>0</v>
      </c>
      <c r="I38" s="112">
        <v>0</v>
      </c>
      <c r="J38" s="112">
        <v>0</v>
      </c>
      <c r="K38" s="112">
        <v>0</v>
      </c>
      <c r="L38" s="112">
        <v>0</v>
      </c>
      <c r="M38" s="112">
        <v>0</v>
      </c>
      <c r="N38" s="112">
        <v>0</v>
      </c>
      <c r="O38" s="112">
        <v>0</v>
      </c>
      <c r="P38" s="112">
        <v>0</v>
      </c>
      <c r="Q38" s="112">
        <v>0</v>
      </c>
      <c r="R38" s="112">
        <v>0</v>
      </c>
      <c r="S38" s="112">
        <v>0</v>
      </c>
      <c r="T38" s="112">
        <v>0</v>
      </c>
      <c r="U38" s="112">
        <v>0</v>
      </c>
      <c r="V38" s="112">
        <v>0.8</v>
      </c>
      <c r="W38" s="112">
        <v>0.8</v>
      </c>
      <c r="X38" s="112">
        <v>0</v>
      </c>
      <c r="Y38" s="112">
        <v>0</v>
      </c>
      <c r="Z38" s="112">
        <v>0</v>
      </c>
      <c r="AA38" s="112">
        <v>0</v>
      </c>
      <c r="AB38" s="112">
        <v>0</v>
      </c>
      <c r="AC38" s="112">
        <v>0</v>
      </c>
      <c r="AD38" s="112">
        <v>0</v>
      </c>
      <c r="AE38" s="112">
        <v>0</v>
      </c>
      <c r="AF38" s="112">
        <v>0</v>
      </c>
      <c r="AG38" s="112">
        <v>0</v>
      </c>
      <c r="AH38" s="112">
        <v>0</v>
      </c>
      <c r="AI38" s="112">
        <v>0.8</v>
      </c>
      <c r="AJ38" s="112">
        <v>0.8</v>
      </c>
      <c r="AK38" s="112">
        <v>0.8</v>
      </c>
      <c r="AL38" s="112">
        <v>0.8</v>
      </c>
      <c r="AM38" s="112">
        <v>0</v>
      </c>
      <c r="AN38" s="112">
        <v>0</v>
      </c>
      <c r="AO38" s="112">
        <v>0</v>
      </c>
      <c r="AP38" s="112">
        <v>0</v>
      </c>
      <c r="AQ38" s="112">
        <v>0</v>
      </c>
      <c r="AR38" s="112">
        <v>0</v>
      </c>
      <c r="AS38" s="112">
        <v>0</v>
      </c>
    </row>
    <row r="39" spans="1:45" x14ac:dyDescent="0.15">
      <c r="A39" s="191" t="s">
        <v>230</v>
      </c>
      <c r="B39" s="112">
        <v>0</v>
      </c>
      <c r="C39" s="112">
        <v>0</v>
      </c>
      <c r="D39" s="112">
        <v>0</v>
      </c>
      <c r="E39" s="112">
        <v>0</v>
      </c>
      <c r="F39" s="112">
        <v>0</v>
      </c>
      <c r="G39" s="112">
        <v>0</v>
      </c>
      <c r="H39" s="112">
        <v>0</v>
      </c>
      <c r="I39" s="112">
        <v>0</v>
      </c>
      <c r="J39" s="112">
        <v>0</v>
      </c>
      <c r="K39" s="112">
        <v>0</v>
      </c>
      <c r="L39" s="112">
        <v>0</v>
      </c>
      <c r="M39" s="112">
        <v>0</v>
      </c>
      <c r="N39" s="112">
        <v>0</v>
      </c>
      <c r="O39" s="112">
        <v>0</v>
      </c>
      <c r="P39" s="112">
        <v>0</v>
      </c>
      <c r="Q39" s="112">
        <v>0</v>
      </c>
      <c r="R39" s="112">
        <v>0</v>
      </c>
      <c r="S39" s="112">
        <v>0</v>
      </c>
      <c r="T39" s="112">
        <v>0</v>
      </c>
      <c r="U39" s="112">
        <v>0</v>
      </c>
      <c r="V39" s="112">
        <v>0</v>
      </c>
      <c r="W39" s="112">
        <v>0</v>
      </c>
      <c r="X39" s="112">
        <v>0</v>
      </c>
      <c r="Y39" s="112">
        <v>0</v>
      </c>
      <c r="Z39" s="112">
        <v>0</v>
      </c>
      <c r="AA39" s="112">
        <v>0</v>
      </c>
      <c r="AB39" s="112">
        <v>0</v>
      </c>
      <c r="AC39" s="112">
        <v>0</v>
      </c>
      <c r="AD39" s="112">
        <v>0</v>
      </c>
      <c r="AE39" s="112">
        <v>0</v>
      </c>
      <c r="AF39" s="112">
        <v>0.8</v>
      </c>
      <c r="AG39" s="112">
        <v>0.8</v>
      </c>
      <c r="AH39" s="112">
        <v>0.8</v>
      </c>
      <c r="AI39" s="112">
        <v>0</v>
      </c>
      <c r="AJ39" s="112">
        <v>0</v>
      </c>
      <c r="AK39" s="112">
        <v>0</v>
      </c>
      <c r="AL39" s="112">
        <v>0.8</v>
      </c>
      <c r="AM39" s="112">
        <v>0</v>
      </c>
      <c r="AN39" s="112">
        <v>0</v>
      </c>
      <c r="AO39" s="112">
        <v>0</v>
      </c>
      <c r="AP39" s="112">
        <v>0</v>
      </c>
      <c r="AQ39" s="112">
        <v>0</v>
      </c>
      <c r="AR39" s="112">
        <v>0</v>
      </c>
      <c r="AS39" s="112">
        <v>0</v>
      </c>
    </row>
    <row r="40" spans="1:45" x14ac:dyDescent="0.15">
      <c r="A40" s="191" t="s">
        <v>231</v>
      </c>
      <c r="B40" s="112">
        <v>0</v>
      </c>
      <c r="C40" s="112">
        <v>0</v>
      </c>
      <c r="D40" s="112">
        <v>0</v>
      </c>
      <c r="E40" s="112">
        <v>0</v>
      </c>
      <c r="F40" s="112">
        <v>0</v>
      </c>
      <c r="G40" s="112">
        <v>0</v>
      </c>
      <c r="H40" s="112">
        <v>0</v>
      </c>
      <c r="I40" s="112">
        <v>0</v>
      </c>
      <c r="J40" s="112">
        <v>0</v>
      </c>
      <c r="K40" s="112">
        <v>0</v>
      </c>
      <c r="L40" s="112">
        <v>0</v>
      </c>
      <c r="M40" s="112">
        <v>0</v>
      </c>
      <c r="N40" s="112">
        <v>0</v>
      </c>
      <c r="O40" s="112">
        <v>0</v>
      </c>
      <c r="P40" s="112">
        <v>0</v>
      </c>
      <c r="Q40" s="112">
        <v>0</v>
      </c>
      <c r="R40" s="112">
        <v>0</v>
      </c>
      <c r="S40" s="112">
        <v>0.8</v>
      </c>
      <c r="T40" s="112">
        <v>0</v>
      </c>
      <c r="U40" s="112">
        <v>0</v>
      </c>
      <c r="V40" s="112">
        <v>0</v>
      </c>
      <c r="W40" s="112">
        <v>0</v>
      </c>
      <c r="X40" s="112">
        <v>0</v>
      </c>
      <c r="Y40" s="112">
        <v>0</v>
      </c>
      <c r="Z40" s="112">
        <v>0</v>
      </c>
      <c r="AA40" s="112">
        <v>0</v>
      </c>
      <c r="AB40" s="112">
        <v>0.8</v>
      </c>
      <c r="AC40" s="112">
        <v>0</v>
      </c>
      <c r="AD40" s="112">
        <v>0</v>
      </c>
      <c r="AE40" s="112">
        <v>0</v>
      </c>
      <c r="AF40" s="112">
        <v>0</v>
      </c>
      <c r="AG40" s="112">
        <v>0.8</v>
      </c>
      <c r="AH40" s="112">
        <v>0.8</v>
      </c>
      <c r="AI40" s="112">
        <v>0.8</v>
      </c>
      <c r="AJ40" s="112">
        <v>0.8</v>
      </c>
      <c r="AK40" s="112">
        <v>0.8</v>
      </c>
      <c r="AL40" s="112">
        <v>0.8</v>
      </c>
      <c r="AM40" s="112">
        <v>0</v>
      </c>
      <c r="AN40" s="112">
        <v>0</v>
      </c>
      <c r="AO40" s="112">
        <v>0</v>
      </c>
      <c r="AP40" s="112">
        <v>0</v>
      </c>
      <c r="AQ40" s="112">
        <v>0</v>
      </c>
      <c r="AR40" s="112">
        <v>0</v>
      </c>
      <c r="AS40" s="112">
        <v>0</v>
      </c>
    </row>
    <row r="41" spans="1:45" x14ac:dyDescent="0.15">
      <c r="A41" s="191" t="s">
        <v>232</v>
      </c>
      <c r="B41" s="112">
        <v>0</v>
      </c>
      <c r="C41" s="112">
        <v>0</v>
      </c>
      <c r="D41" s="112">
        <v>0</v>
      </c>
      <c r="E41" s="112">
        <v>0</v>
      </c>
      <c r="F41" s="112">
        <v>0</v>
      </c>
      <c r="G41" s="112">
        <v>0</v>
      </c>
      <c r="H41" s="112">
        <v>0</v>
      </c>
      <c r="I41" s="112">
        <v>0</v>
      </c>
      <c r="J41" s="112">
        <v>0</v>
      </c>
      <c r="K41" s="112">
        <v>0</v>
      </c>
      <c r="L41" s="112">
        <v>0</v>
      </c>
      <c r="M41" s="112">
        <v>0</v>
      </c>
      <c r="N41" s="112">
        <v>0</v>
      </c>
      <c r="O41" s="112">
        <v>0</v>
      </c>
      <c r="P41" s="112">
        <v>0</v>
      </c>
      <c r="Q41" s="112">
        <v>0</v>
      </c>
      <c r="R41" s="112">
        <v>0</v>
      </c>
      <c r="S41" s="112">
        <v>0</v>
      </c>
      <c r="T41" s="112">
        <v>0</v>
      </c>
      <c r="U41" s="112">
        <v>0</v>
      </c>
      <c r="V41" s="112">
        <v>0</v>
      </c>
      <c r="W41" s="112">
        <v>0</v>
      </c>
      <c r="X41" s="112">
        <v>0</v>
      </c>
      <c r="Y41" s="112">
        <v>0</v>
      </c>
      <c r="Z41" s="112">
        <v>0</v>
      </c>
      <c r="AA41" s="112">
        <v>0</v>
      </c>
      <c r="AB41" s="112">
        <v>0</v>
      </c>
      <c r="AC41" s="112">
        <v>0</v>
      </c>
      <c r="AD41" s="112">
        <v>0</v>
      </c>
      <c r="AE41" s="112">
        <v>0</v>
      </c>
      <c r="AF41" s="112">
        <v>0</v>
      </c>
      <c r="AG41" s="112">
        <v>0.8</v>
      </c>
      <c r="AH41" s="112">
        <v>0.8</v>
      </c>
      <c r="AI41" s="112">
        <v>0</v>
      </c>
      <c r="AJ41" s="112">
        <v>0</v>
      </c>
      <c r="AK41" s="112">
        <v>0.8</v>
      </c>
      <c r="AL41" s="112">
        <v>0.8</v>
      </c>
      <c r="AM41" s="112">
        <v>0.8</v>
      </c>
      <c r="AN41" s="112">
        <v>0</v>
      </c>
      <c r="AO41" s="112">
        <v>0</v>
      </c>
      <c r="AP41" s="112">
        <v>0</v>
      </c>
      <c r="AQ41" s="112">
        <v>0</v>
      </c>
      <c r="AR41" s="112">
        <v>0</v>
      </c>
      <c r="AS41" s="112">
        <v>0</v>
      </c>
    </row>
    <row r="42" spans="1:45" x14ac:dyDescent="0.15">
      <c r="A42" s="191" t="s">
        <v>233</v>
      </c>
      <c r="B42" s="112">
        <v>0</v>
      </c>
      <c r="C42" s="112">
        <v>0</v>
      </c>
      <c r="D42" s="112">
        <v>0</v>
      </c>
      <c r="E42" s="112">
        <v>0</v>
      </c>
      <c r="F42" s="112">
        <v>0</v>
      </c>
      <c r="G42" s="112">
        <v>0</v>
      </c>
      <c r="H42" s="112">
        <v>0</v>
      </c>
      <c r="I42" s="112">
        <v>0</v>
      </c>
      <c r="J42" s="112">
        <v>0</v>
      </c>
      <c r="K42" s="112">
        <v>0</v>
      </c>
      <c r="L42" s="112">
        <v>0</v>
      </c>
      <c r="M42" s="112">
        <v>0</v>
      </c>
      <c r="N42" s="112">
        <v>0</v>
      </c>
      <c r="O42" s="112">
        <v>0</v>
      </c>
      <c r="P42" s="112">
        <v>0</v>
      </c>
      <c r="Q42" s="112">
        <v>0</v>
      </c>
      <c r="R42" s="112">
        <v>0</v>
      </c>
      <c r="S42" s="112">
        <v>0</v>
      </c>
      <c r="T42" s="112">
        <v>0</v>
      </c>
      <c r="U42" s="112">
        <v>0</v>
      </c>
      <c r="V42" s="112">
        <v>0</v>
      </c>
      <c r="W42" s="112">
        <v>0</v>
      </c>
      <c r="X42" s="112">
        <v>0</v>
      </c>
      <c r="Y42" s="112">
        <v>0.8</v>
      </c>
      <c r="Z42" s="112">
        <v>0</v>
      </c>
      <c r="AA42" s="112">
        <v>0</v>
      </c>
      <c r="AB42" s="112">
        <v>0</v>
      </c>
      <c r="AC42" s="112">
        <v>0.8</v>
      </c>
      <c r="AD42" s="112">
        <v>0</v>
      </c>
      <c r="AE42" s="112">
        <v>0</v>
      </c>
      <c r="AF42" s="112">
        <v>0</v>
      </c>
      <c r="AG42" s="112">
        <v>0</v>
      </c>
      <c r="AH42" s="112">
        <v>0</v>
      </c>
      <c r="AI42" s="112">
        <v>0</v>
      </c>
      <c r="AJ42" s="112">
        <v>0</v>
      </c>
      <c r="AK42" s="112">
        <v>0</v>
      </c>
      <c r="AL42" s="112">
        <v>0</v>
      </c>
      <c r="AM42" s="112">
        <v>0</v>
      </c>
      <c r="AN42" s="112">
        <v>0</v>
      </c>
      <c r="AO42" s="112">
        <v>0</v>
      </c>
      <c r="AP42" s="112">
        <v>0</v>
      </c>
      <c r="AQ42" s="112">
        <v>0</v>
      </c>
      <c r="AR42" s="112">
        <v>0</v>
      </c>
      <c r="AS42" s="112">
        <v>0</v>
      </c>
    </row>
    <row r="43" spans="1:45" x14ac:dyDescent="0.15">
      <c r="A43" s="191" t="s">
        <v>234</v>
      </c>
      <c r="B43" s="112">
        <v>0.8</v>
      </c>
      <c r="C43" s="112">
        <v>0.8</v>
      </c>
      <c r="D43" s="112">
        <v>0</v>
      </c>
      <c r="E43" s="112">
        <v>0</v>
      </c>
      <c r="F43" s="112">
        <v>0</v>
      </c>
      <c r="G43" s="112">
        <v>0</v>
      </c>
      <c r="H43" s="112">
        <v>0</v>
      </c>
      <c r="I43" s="112">
        <v>0</v>
      </c>
      <c r="J43" s="112">
        <v>0</v>
      </c>
      <c r="K43" s="112">
        <v>0</v>
      </c>
      <c r="L43" s="112">
        <v>0</v>
      </c>
      <c r="M43" s="112">
        <v>0</v>
      </c>
      <c r="N43" s="112">
        <v>0</v>
      </c>
      <c r="O43" s="112">
        <v>0</v>
      </c>
      <c r="P43" s="112">
        <v>0</v>
      </c>
      <c r="Q43" s="112">
        <v>0</v>
      </c>
      <c r="R43" s="112">
        <v>0.8</v>
      </c>
      <c r="S43" s="112">
        <v>0</v>
      </c>
      <c r="T43" s="112">
        <v>0</v>
      </c>
      <c r="U43" s="112">
        <v>0</v>
      </c>
      <c r="V43" s="112">
        <v>0</v>
      </c>
      <c r="W43" s="112">
        <v>0</v>
      </c>
      <c r="X43" s="112">
        <v>0</v>
      </c>
      <c r="Y43" s="112">
        <v>0</v>
      </c>
      <c r="Z43" s="112">
        <v>0</v>
      </c>
      <c r="AA43" s="112">
        <v>0</v>
      </c>
      <c r="AB43" s="112">
        <v>0.8</v>
      </c>
      <c r="AC43" s="112">
        <v>0.8</v>
      </c>
      <c r="AD43" s="112">
        <v>0</v>
      </c>
      <c r="AE43" s="112">
        <v>0.8</v>
      </c>
      <c r="AF43" s="112">
        <v>0</v>
      </c>
      <c r="AG43" s="112">
        <v>0</v>
      </c>
      <c r="AH43" s="112">
        <v>0</v>
      </c>
      <c r="AI43" s="112">
        <v>0</v>
      </c>
      <c r="AJ43" s="112">
        <v>0</v>
      </c>
      <c r="AK43" s="112">
        <v>0</v>
      </c>
      <c r="AL43" s="112">
        <v>0</v>
      </c>
      <c r="AM43" s="112">
        <v>0</v>
      </c>
      <c r="AN43" s="112">
        <v>0</v>
      </c>
      <c r="AO43" s="112">
        <v>0</v>
      </c>
      <c r="AP43" s="112">
        <v>0</v>
      </c>
      <c r="AQ43" s="112">
        <v>0</v>
      </c>
      <c r="AR43" s="112">
        <v>0</v>
      </c>
      <c r="AS43" s="112">
        <v>0</v>
      </c>
    </row>
    <row r="44" spans="1:45" x14ac:dyDescent="0.15">
      <c r="A44" s="191" t="s">
        <v>235</v>
      </c>
      <c r="B44" s="112">
        <v>0</v>
      </c>
      <c r="C44" s="112">
        <v>0</v>
      </c>
      <c r="D44" s="112">
        <v>0</v>
      </c>
      <c r="E44" s="112">
        <v>0</v>
      </c>
      <c r="F44" s="112">
        <v>0.8</v>
      </c>
      <c r="G44" s="112">
        <v>0.8</v>
      </c>
      <c r="H44" s="112">
        <v>0</v>
      </c>
      <c r="I44" s="112">
        <v>0</v>
      </c>
      <c r="J44" s="112">
        <v>0</v>
      </c>
      <c r="K44" s="112">
        <v>0</v>
      </c>
      <c r="L44" s="112">
        <v>0</v>
      </c>
      <c r="M44" s="112">
        <v>0.8</v>
      </c>
      <c r="N44" s="112">
        <v>0</v>
      </c>
      <c r="O44" s="112">
        <v>0</v>
      </c>
      <c r="P44" s="112">
        <v>0</v>
      </c>
      <c r="Q44" s="112">
        <v>0.8</v>
      </c>
      <c r="R44" s="112">
        <v>0.8</v>
      </c>
      <c r="S44" s="112">
        <v>0</v>
      </c>
      <c r="T44" s="112">
        <v>0</v>
      </c>
      <c r="U44" s="112">
        <v>0</v>
      </c>
      <c r="V44" s="112">
        <v>0</v>
      </c>
      <c r="W44" s="112">
        <v>0</v>
      </c>
      <c r="X44" s="112">
        <v>0</v>
      </c>
      <c r="Y44" s="112">
        <v>0</v>
      </c>
      <c r="Z44" s="112">
        <v>0</v>
      </c>
      <c r="AA44" s="112">
        <v>0</v>
      </c>
      <c r="AB44" s="112">
        <v>0.8</v>
      </c>
      <c r="AC44" s="112">
        <v>0.8</v>
      </c>
      <c r="AD44" s="112">
        <v>0.8</v>
      </c>
      <c r="AE44" s="112">
        <v>0.8</v>
      </c>
      <c r="AF44" s="112">
        <v>0.8</v>
      </c>
      <c r="AG44" s="112">
        <v>0.8</v>
      </c>
      <c r="AH44" s="112">
        <v>0.8</v>
      </c>
      <c r="AI44" s="112">
        <v>0</v>
      </c>
      <c r="AJ44" s="112">
        <v>0</v>
      </c>
      <c r="AK44" s="112">
        <v>0.8</v>
      </c>
      <c r="AL44" s="112">
        <v>0.8</v>
      </c>
      <c r="AM44" s="112">
        <v>0.8</v>
      </c>
      <c r="AN44" s="112">
        <v>0</v>
      </c>
      <c r="AO44" s="112">
        <v>0</v>
      </c>
      <c r="AP44" s="112">
        <v>0</v>
      </c>
      <c r="AQ44" s="112">
        <v>0</v>
      </c>
      <c r="AR44" s="112">
        <v>0</v>
      </c>
      <c r="AS44" s="112">
        <v>0</v>
      </c>
    </row>
    <row r="45" spans="1:45" x14ac:dyDescent="0.15">
      <c r="A45" s="191" t="s">
        <v>236</v>
      </c>
      <c r="B45" s="112">
        <v>0</v>
      </c>
      <c r="C45" s="112">
        <v>0</v>
      </c>
      <c r="D45" s="112">
        <v>0</v>
      </c>
      <c r="E45" s="112">
        <v>0</v>
      </c>
      <c r="F45" s="112">
        <v>0</v>
      </c>
      <c r="G45" s="112">
        <v>0</v>
      </c>
      <c r="H45" s="112">
        <v>0</v>
      </c>
      <c r="I45" s="112">
        <v>0</v>
      </c>
      <c r="J45" s="112">
        <v>0</v>
      </c>
      <c r="K45" s="112">
        <v>0</v>
      </c>
      <c r="L45" s="112">
        <v>0</v>
      </c>
      <c r="M45" s="112">
        <v>0</v>
      </c>
      <c r="N45" s="112">
        <v>0</v>
      </c>
      <c r="O45" s="112">
        <v>0</v>
      </c>
      <c r="P45" s="112">
        <v>0</v>
      </c>
      <c r="Q45" s="112">
        <v>0</v>
      </c>
      <c r="R45" s="112">
        <v>0</v>
      </c>
      <c r="S45" s="112">
        <v>0</v>
      </c>
      <c r="T45" s="112">
        <v>0</v>
      </c>
      <c r="U45" s="112">
        <v>0</v>
      </c>
      <c r="V45" s="112">
        <v>0</v>
      </c>
      <c r="W45" s="112">
        <v>0</v>
      </c>
      <c r="X45" s="112">
        <v>0</v>
      </c>
      <c r="Y45" s="112">
        <v>0</v>
      </c>
      <c r="Z45" s="112">
        <v>0</v>
      </c>
      <c r="AA45" s="112">
        <v>0</v>
      </c>
      <c r="AB45" s="112">
        <v>0</v>
      </c>
      <c r="AC45" s="112">
        <v>0</v>
      </c>
      <c r="AD45" s="112">
        <v>0</v>
      </c>
      <c r="AE45" s="112">
        <v>0</v>
      </c>
      <c r="AF45" s="112">
        <v>0</v>
      </c>
      <c r="AG45" s="112">
        <v>0</v>
      </c>
      <c r="AH45" s="112">
        <v>0</v>
      </c>
      <c r="AI45" s="112">
        <v>0</v>
      </c>
      <c r="AJ45" s="112">
        <v>0</v>
      </c>
      <c r="AK45" s="112">
        <v>0</v>
      </c>
      <c r="AL45" s="112">
        <v>0</v>
      </c>
      <c r="AM45" s="112">
        <v>0</v>
      </c>
      <c r="AN45" s="112">
        <v>0</v>
      </c>
      <c r="AO45" s="112">
        <v>0</v>
      </c>
      <c r="AP45" s="112">
        <v>0</v>
      </c>
      <c r="AQ45" s="112">
        <v>0</v>
      </c>
      <c r="AR45" s="112">
        <v>0</v>
      </c>
      <c r="AS45" s="112">
        <v>0</v>
      </c>
    </row>
    <row r="46" spans="1:45" x14ac:dyDescent="0.15">
      <c r="A46" s="191" t="s">
        <v>239</v>
      </c>
      <c r="B46" s="112">
        <v>0</v>
      </c>
      <c r="C46" s="112">
        <v>0</v>
      </c>
      <c r="D46" s="112">
        <v>0</v>
      </c>
      <c r="E46" s="112">
        <v>0.8</v>
      </c>
      <c r="F46" s="112">
        <v>0</v>
      </c>
      <c r="G46" s="112">
        <v>0</v>
      </c>
      <c r="H46" s="112">
        <v>0.8</v>
      </c>
      <c r="I46" s="112">
        <v>0</v>
      </c>
      <c r="J46" s="112">
        <v>0</v>
      </c>
      <c r="K46" s="112">
        <v>0</v>
      </c>
      <c r="L46" s="112">
        <v>0</v>
      </c>
      <c r="M46" s="112">
        <v>0</v>
      </c>
      <c r="N46" s="112">
        <v>0</v>
      </c>
      <c r="O46" s="112">
        <v>0</v>
      </c>
      <c r="P46" s="112">
        <v>0</v>
      </c>
      <c r="Q46" s="112">
        <v>0</v>
      </c>
      <c r="R46" s="112">
        <v>0</v>
      </c>
      <c r="S46" s="112">
        <v>0</v>
      </c>
      <c r="T46" s="112">
        <v>0</v>
      </c>
      <c r="U46" s="112">
        <v>0</v>
      </c>
      <c r="V46" s="112">
        <v>0</v>
      </c>
      <c r="W46" s="112">
        <v>0</v>
      </c>
      <c r="X46" s="112">
        <v>0</v>
      </c>
      <c r="Y46" s="112">
        <v>0</v>
      </c>
      <c r="Z46" s="112">
        <v>0</v>
      </c>
      <c r="AA46" s="112">
        <v>0</v>
      </c>
      <c r="AB46" s="112">
        <v>0</v>
      </c>
      <c r="AC46" s="112">
        <v>0</v>
      </c>
      <c r="AD46" s="112">
        <v>0</v>
      </c>
      <c r="AE46" s="112">
        <v>0</v>
      </c>
      <c r="AF46" s="112">
        <v>0</v>
      </c>
      <c r="AG46" s="112">
        <v>0</v>
      </c>
      <c r="AH46" s="112">
        <v>0</v>
      </c>
      <c r="AI46" s="112">
        <v>0</v>
      </c>
      <c r="AJ46" s="112">
        <v>0</v>
      </c>
      <c r="AK46" s="112">
        <v>0</v>
      </c>
      <c r="AL46" s="112">
        <v>0</v>
      </c>
      <c r="AM46" s="112">
        <v>0</v>
      </c>
      <c r="AN46" s="112">
        <v>0</v>
      </c>
      <c r="AO46" s="112">
        <v>0</v>
      </c>
      <c r="AP46" s="112">
        <v>0</v>
      </c>
      <c r="AQ46" s="112">
        <v>0</v>
      </c>
      <c r="AR46" s="112">
        <v>0</v>
      </c>
      <c r="AS46" s="11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S46"/>
  <sheetViews>
    <sheetView workbookViewId="0">
      <selection activeCell="A3" sqref="A3"/>
    </sheetView>
  </sheetViews>
  <sheetFormatPr baseColWidth="10" defaultRowHeight="13" x14ac:dyDescent="0.15"/>
  <cols>
    <col min="1" max="1" width="44.1640625" style="112" bestFit="1" customWidth="1"/>
    <col min="2" max="45" width="2.33203125" style="112" customWidth="1"/>
    <col min="46" max="16384" width="10.83203125" style="112"/>
  </cols>
  <sheetData>
    <row r="1" spans="1:45" x14ac:dyDescent="0.15">
      <c r="A1" s="63" t="s">
        <v>139</v>
      </c>
      <c r="B1" s="194" t="s">
        <v>193</v>
      </c>
      <c r="C1" s="194" t="s">
        <v>194</v>
      </c>
      <c r="D1" s="194" t="s">
        <v>195</v>
      </c>
      <c r="E1" s="194" t="s">
        <v>196</v>
      </c>
      <c r="F1" s="194" t="s">
        <v>197</v>
      </c>
      <c r="G1" s="194" t="s">
        <v>198</v>
      </c>
      <c r="H1" s="194" t="s">
        <v>199</v>
      </c>
      <c r="I1" s="194" t="s">
        <v>200</v>
      </c>
      <c r="J1" s="194" t="s">
        <v>201</v>
      </c>
      <c r="K1" s="194" t="s">
        <v>202</v>
      </c>
      <c r="L1" s="194" t="s">
        <v>203</v>
      </c>
      <c r="M1" s="194" t="s">
        <v>204</v>
      </c>
      <c r="N1" s="194" t="s">
        <v>205</v>
      </c>
      <c r="O1" s="194" t="s">
        <v>206</v>
      </c>
      <c r="P1" s="194" t="s">
        <v>207</v>
      </c>
      <c r="Q1" s="194" t="s">
        <v>208</v>
      </c>
      <c r="R1" s="194" t="s">
        <v>209</v>
      </c>
      <c r="S1" s="194" t="s">
        <v>210</v>
      </c>
      <c r="T1" s="194" t="s">
        <v>211</v>
      </c>
      <c r="U1" s="194" t="s">
        <v>212</v>
      </c>
      <c r="V1" s="194" t="s">
        <v>213</v>
      </c>
      <c r="W1" s="194" t="s">
        <v>214</v>
      </c>
      <c r="X1" s="194" t="s">
        <v>215</v>
      </c>
      <c r="Y1" s="194" t="s">
        <v>216</v>
      </c>
      <c r="Z1" s="194" t="s">
        <v>217</v>
      </c>
      <c r="AA1" s="194" t="s">
        <v>218</v>
      </c>
      <c r="AB1" s="194" t="s">
        <v>219</v>
      </c>
      <c r="AC1" s="194" t="s">
        <v>220</v>
      </c>
      <c r="AD1" s="194" t="s">
        <v>221</v>
      </c>
      <c r="AE1" s="194" t="s">
        <v>222</v>
      </c>
      <c r="AF1" s="194" t="s">
        <v>223</v>
      </c>
      <c r="AG1" s="194" t="s">
        <v>224</v>
      </c>
      <c r="AH1" s="194" t="s">
        <v>225</v>
      </c>
      <c r="AI1" s="194" t="s">
        <v>226</v>
      </c>
      <c r="AJ1" s="194" t="s">
        <v>227</v>
      </c>
      <c r="AK1" s="194" t="s">
        <v>228</v>
      </c>
      <c r="AL1" s="194" t="s">
        <v>229</v>
      </c>
      <c r="AM1" s="194" t="s">
        <v>230</v>
      </c>
      <c r="AN1" s="194" t="s">
        <v>231</v>
      </c>
      <c r="AO1" s="194" t="s">
        <v>232</v>
      </c>
      <c r="AP1" s="194" t="s">
        <v>233</v>
      </c>
      <c r="AQ1" s="194" t="s">
        <v>234</v>
      </c>
      <c r="AR1" s="194" t="s">
        <v>235</v>
      </c>
      <c r="AS1" s="194" t="s">
        <v>236</v>
      </c>
    </row>
    <row r="2" spans="1:45" customFormat="1" x14ac:dyDescent="0.15">
      <c r="A2" s="193" t="s">
        <v>193</v>
      </c>
      <c r="B2" s="112">
        <v>0</v>
      </c>
      <c r="C2" s="112">
        <v>0</v>
      </c>
      <c r="D2" s="112">
        <v>0</v>
      </c>
      <c r="E2" s="112">
        <v>0</v>
      </c>
      <c r="F2" s="112">
        <v>0</v>
      </c>
      <c r="G2" s="112">
        <v>0</v>
      </c>
      <c r="H2" s="112">
        <v>0</v>
      </c>
      <c r="I2" s="112">
        <v>0</v>
      </c>
      <c r="J2" s="112">
        <v>0</v>
      </c>
      <c r="K2" s="112">
        <v>0</v>
      </c>
      <c r="L2" s="112">
        <v>0</v>
      </c>
      <c r="M2" s="112">
        <v>0</v>
      </c>
      <c r="N2" s="112">
        <v>0</v>
      </c>
      <c r="O2" s="112">
        <v>0</v>
      </c>
      <c r="P2" s="112">
        <v>0</v>
      </c>
      <c r="Q2" s="112">
        <v>0</v>
      </c>
      <c r="R2" s="112">
        <v>0</v>
      </c>
      <c r="S2" s="112">
        <v>0</v>
      </c>
      <c r="T2" s="112">
        <v>0</v>
      </c>
      <c r="U2" s="112">
        <v>0</v>
      </c>
      <c r="V2" s="112">
        <v>0</v>
      </c>
      <c r="W2" s="112">
        <v>0</v>
      </c>
      <c r="X2" s="112">
        <v>0</v>
      </c>
      <c r="Y2" s="112">
        <v>0</v>
      </c>
      <c r="Z2" s="112">
        <v>0</v>
      </c>
      <c r="AA2" s="112">
        <v>0</v>
      </c>
      <c r="AB2" s="112">
        <v>0</v>
      </c>
      <c r="AC2" s="112">
        <v>0</v>
      </c>
      <c r="AD2" s="112">
        <v>0</v>
      </c>
      <c r="AE2" s="112">
        <v>0</v>
      </c>
      <c r="AF2" s="112">
        <v>0</v>
      </c>
      <c r="AG2" s="112">
        <v>0</v>
      </c>
      <c r="AH2" s="112">
        <v>0</v>
      </c>
      <c r="AI2" s="112">
        <v>0</v>
      </c>
      <c r="AJ2" s="112">
        <v>0</v>
      </c>
      <c r="AK2" s="112">
        <v>0</v>
      </c>
      <c r="AL2" s="112">
        <v>0</v>
      </c>
      <c r="AM2" s="112">
        <v>0</v>
      </c>
      <c r="AN2" s="112">
        <v>0</v>
      </c>
      <c r="AO2" s="112">
        <v>0</v>
      </c>
      <c r="AP2" s="112">
        <v>0</v>
      </c>
      <c r="AQ2" s="112">
        <v>0</v>
      </c>
      <c r="AR2" s="112">
        <v>0</v>
      </c>
      <c r="AS2" s="112">
        <v>0</v>
      </c>
    </row>
    <row r="3" spans="1:45" customFormat="1" x14ac:dyDescent="0.15">
      <c r="A3" s="193" t="s">
        <v>194</v>
      </c>
      <c r="B3" s="112">
        <v>0</v>
      </c>
      <c r="C3" s="112">
        <v>0</v>
      </c>
      <c r="D3" s="112">
        <v>0</v>
      </c>
      <c r="E3" s="112">
        <v>0</v>
      </c>
      <c r="F3" s="112">
        <v>0</v>
      </c>
      <c r="G3" s="112">
        <v>0</v>
      </c>
      <c r="H3" s="112">
        <v>0</v>
      </c>
      <c r="I3" s="112">
        <v>0</v>
      </c>
      <c r="J3" s="112">
        <v>0</v>
      </c>
      <c r="K3" s="112">
        <v>0</v>
      </c>
      <c r="L3" s="112">
        <v>0</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c r="AQ3" s="112">
        <v>0</v>
      </c>
      <c r="AR3" s="112">
        <v>0</v>
      </c>
      <c r="AS3" s="112">
        <v>0</v>
      </c>
    </row>
    <row r="4" spans="1:45" customFormat="1" x14ac:dyDescent="0.15">
      <c r="A4" s="193" t="s">
        <v>195</v>
      </c>
      <c r="B4" s="112">
        <v>0</v>
      </c>
      <c r="C4" s="112">
        <v>0</v>
      </c>
      <c r="D4" s="112">
        <v>0</v>
      </c>
      <c r="E4" s="112">
        <v>0</v>
      </c>
      <c r="F4" s="112">
        <v>0</v>
      </c>
      <c r="G4" s="112">
        <v>0</v>
      </c>
      <c r="H4" s="112">
        <v>0</v>
      </c>
      <c r="I4" s="112">
        <v>0</v>
      </c>
      <c r="J4" s="112">
        <v>0</v>
      </c>
      <c r="K4" s="112">
        <v>0</v>
      </c>
      <c r="L4" s="112">
        <v>0</v>
      </c>
      <c r="M4" s="112">
        <v>0</v>
      </c>
      <c r="N4" s="112">
        <v>0</v>
      </c>
      <c r="O4" s="112">
        <v>0</v>
      </c>
      <c r="P4" s="112">
        <v>0</v>
      </c>
      <c r="Q4" s="112">
        <v>0</v>
      </c>
      <c r="R4" s="112">
        <v>0</v>
      </c>
      <c r="S4" s="112">
        <v>0</v>
      </c>
      <c r="T4" s="112">
        <v>0</v>
      </c>
      <c r="U4" s="112">
        <v>0</v>
      </c>
      <c r="V4" s="112">
        <v>0</v>
      </c>
      <c r="W4" s="112">
        <v>0</v>
      </c>
      <c r="X4" s="112">
        <v>0</v>
      </c>
      <c r="Y4" s="112">
        <v>0</v>
      </c>
      <c r="Z4" s="112">
        <v>0</v>
      </c>
      <c r="AA4" s="112">
        <v>0</v>
      </c>
      <c r="AB4" s="112">
        <v>0</v>
      </c>
      <c r="AC4" s="112">
        <v>0</v>
      </c>
      <c r="AD4" s="112">
        <v>0</v>
      </c>
      <c r="AE4" s="112">
        <v>0</v>
      </c>
      <c r="AF4" s="112">
        <v>0</v>
      </c>
      <c r="AG4" s="112">
        <v>0</v>
      </c>
      <c r="AH4" s="112">
        <v>0</v>
      </c>
      <c r="AI4" s="112">
        <v>0</v>
      </c>
      <c r="AJ4" s="112">
        <v>0</v>
      </c>
      <c r="AK4" s="112">
        <v>0</v>
      </c>
      <c r="AL4" s="112">
        <v>0</v>
      </c>
      <c r="AM4" s="112">
        <v>0</v>
      </c>
      <c r="AN4" s="112">
        <v>0</v>
      </c>
      <c r="AO4" s="112">
        <v>0</v>
      </c>
      <c r="AP4" s="112">
        <v>0</v>
      </c>
      <c r="AQ4" s="112">
        <v>0</v>
      </c>
      <c r="AR4" s="112">
        <v>0</v>
      </c>
      <c r="AS4" s="112">
        <v>0</v>
      </c>
    </row>
    <row r="5" spans="1:45" customFormat="1" x14ac:dyDescent="0.15">
      <c r="A5" s="193" t="s">
        <v>196</v>
      </c>
      <c r="B5" s="112">
        <v>0</v>
      </c>
      <c r="C5" s="112">
        <v>0</v>
      </c>
      <c r="D5" s="112">
        <v>0</v>
      </c>
      <c r="E5" s="112">
        <v>0</v>
      </c>
      <c r="F5" s="112">
        <v>0</v>
      </c>
      <c r="G5" s="112">
        <v>0</v>
      </c>
      <c r="H5" s="112">
        <v>0</v>
      </c>
      <c r="I5" s="112">
        <v>0</v>
      </c>
      <c r="J5" s="112">
        <v>0</v>
      </c>
      <c r="K5" s="112">
        <v>0</v>
      </c>
      <c r="L5" s="112">
        <v>0</v>
      </c>
      <c r="M5" s="112">
        <v>0</v>
      </c>
      <c r="N5" s="112">
        <v>0</v>
      </c>
      <c r="O5" s="112">
        <v>0</v>
      </c>
      <c r="P5" s="112">
        <v>0</v>
      </c>
      <c r="Q5" s="112">
        <v>0</v>
      </c>
      <c r="R5" s="112">
        <v>0</v>
      </c>
      <c r="S5" s="112">
        <v>0</v>
      </c>
      <c r="T5" s="112">
        <v>0</v>
      </c>
      <c r="U5" s="112">
        <v>0</v>
      </c>
      <c r="V5" s="112">
        <v>0</v>
      </c>
      <c r="W5" s="112">
        <v>0</v>
      </c>
      <c r="X5" s="112">
        <v>0</v>
      </c>
      <c r="Y5" s="112">
        <v>0</v>
      </c>
      <c r="Z5" s="112">
        <v>0</v>
      </c>
      <c r="AA5" s="112">
        <v>0</v>
      </c>
      <c r="AB5" s="112">
        <v>0</v>
      </c>
      <c r="AC5" s="112">
        <v>0</v>
      </c>
      <c r="AD5" s="112">
        <v>0</v>
      </c>
      <c r="AE5" s="112">
        <v>0</v>
      </c>
      <c r="AF5" s="112">
        <v>0</v>
      </c>
      <c r="AG5" s="112">
        <v>0</v>
      </c>
      <c r="AH5" s="112">
        <v>0</v>
      </c>
      <c r="AI5" s="112">
        <v>0</v>
      </c>
      <c r="AJ5" s="112">
        <v>0</v>
      </c>
      <c r="AK5" s="112">
        <v>0</v>
      </c>
      <c r="AL5" s="112">
        <v>0</v>
      </c>
      <c r="AM5" s="112">
        <v>0</v>
      </c>
      <c r="AN5" s="112">
        <v>0</v>
      </c>
      <c r="AO5" s="112">
        <v>0</v>
      </c>
      <c r="AP5" s="112">
        <v>0</v>
      </c>
      <c r="AQ5" s="112">
        <v>0</v>
      </c>
      <c r="AR5" s="112">
        <v>0</v>
      </c>
      <c r="AS5" s="112">
        <v>0</v>
      </c>
    </row>
    <row r="6" spans="1:45" customFormat="1" x14ac:dyDescent="0.15">
      <c r="A6" s="193" t="s">
        <v>197</v>
      </c>
      <c r="B6" s="112">
        <v>0</v>
      </c>
      <c r="C6" s="112">
        <v>0</v>
      </c>
      <c r="D6" s="112">
        <v>0</v>
      </c>
      <c r="E6" s="112">
        <v>0</v>
      </c>
      <c r="F6" s="112">
        <v>1</v>
      </c>
      <c r="G6" s="112">
        <v>0</v>
      </c>
      <c r="H6" s="112">
        <v>0</v>
      </c>
      <c r="I6" s="112">
        <v>0</v>
      </c>
      <c r="J6" s="112">
        <v>0</v>
      </c>
      <c r="K6" s="112">
        <v>0</v>
      </c>
      <c r="L6" s="112">
        <v>0</v>
      </c>
      <c r="M6" s="112">
        <v>0</v>
      </c>
      <c r="N6" s="112">
        <v>0</v>
      </c>
      <c r="O6" s="112">
        <v>0</v>
      </c>
      <c r="P6" s="112">
        <v>0</v>
      </c>
      <c r="Q6" s="112">
        <v>0</v>
      </c>
      <c r="R6" s="112">
        <v>0</v>
      </c>
      <c r="S6" s="112">
        <v>0</v>
      </c>
      <c r="T6" s="112">
        <v>0</v>
      </c>
      <c r="U6" s="112">
        <v>0</v>
      </c>
      <c r="V6" s="112">
        <v>0</v>
      </c>
      <c r="W6" s="112">
        <v>0</v>
      </c>
      <c r="X6" s="112">
        <v>0</v>
      </c>
      <c r="Y6" s="112">
        <v>0</v>
      </c>
      <c r="Z6" s="112">
        <v>0</v>
      </c>
      <c r="AA6" s="112">
        <v>0</v>
      </c>
      <c r="AB6" s="112">
        <v>0</v>
      </c>
      <c r="AC6" s="112">
        <v>0</v>
      </c>
      <c r="AD6" s="112">
        <v>0</v>
      </c>
      <c r="AE6" s="112">
        <v>0</v>
      </c>
      <c r="AF6" s="112">
        <v>0</v>
      </c>
      <c r="AG6" s="112">
        <v>0</v>
      </c>
      <c r="AH6" s="112">
        <v>0</v>
      </c>
      <c r="AI6" s="112">
        <v>0</v>
      </c>
      <c r="AJ6" s="112">
        <v>0</v>
      </c>
      <c r="AK6" s="112">
        <v>0</v>
      </c>
      <c r="AL6" s="112">
        <v>0</v>
      </c>
      <c r="AM6" s="112">
        <v>0</v>
      </c>
      <c r="AN6" s="112">
        <v>0</v>
      </c>
      <c r="AO6" s="112">
        <v>0</v>
      </c>
      <c r="AP6" s="112">
        <v>0</v>
      </c>
      <c r="AQ6" s="112">
        <v>0</v>
      </c>
      <c r="AR6" s="112">
        <v>0</v>
      </c>
      <c r="AS6" s="112">
        <v>0</v>
      </c>
    </row>
    <row r="7" spans="1:45" customFormat="1" x14ac:dyDescent="0.15">
      <c r="A7" s="193" t="s">
        <v>198</v>
      </c>
      <c r="B7" s="112">
        <v>0</v>
      </c>
      <c r="C7" s="112">
        <v>0</v>
      </c>
      <c r="D7" s="112">
        <v>0</v>
      </c>
      <c r="E7" s="112">
        <v>0</v>
      </c>
      <c r="F7" s="112">
        <v>1</v>
      </c>
      <c r="G7" s="112">
        <v>0</v>
      </c>
      <c r="H7" s="112">
        <v>1</v>
      </c>
      <c r="I7" s="112">
        <v>0</v>
      </c>
      <c r="J7" s="112">
        <v>0</v>
      </c>
      <c r="K7" s="112">
        <v>0</v>
      </c>
      <c r="L7" s="112">
        <v>0</v>
      </c>
      <c r="M7" s="112">
        <v>0</v>
      </c>
      <c r="N7" s="112">
        <v>0</v>
      </c>
      <c r="O7" s="112">
        <v>0</v>
      </c>
      <c r="P7" s="112">
        <v>0</v>
      </c>
      <c r="Q7" s="112">
        <v>0</v>
      </c>
      <c r="R7" s="112">
        <v>0</v>
      </c>
      <c r="S7" s="112">
        <v>0</v>
      </c>
      <c r="T7" s="112">
        <v>0</v>
      </c>
      <c r="U7" s="112">
        <v>0</v>
      </c>
      <c r="V7" s="112">
        <v>0</v>
      </c>
      <c r="W7" s="112">
        <v>0</v>
      </c>
      <c r="X7" s="112">
        <v>0</v>
      </c>
      <c r="Y7" s="112">
        <v>0</v>
      </c>
      <c r="Z7" s="112">
        <v>0</v>
      </c>
      <c r="AA7" s="112">
        <v>0</v>
      </c>
      <c r="AB7" s="112">
        <v>0</v>
      </c>
      <c r="AC7" s="112">
        <v>0</v>
      </c>
      <c r="AD7" s="112">
        <v>0</v>
      </c>
      <c r="AE7" s="112">
        <v>0</v>
      </c>
      <c r="AF7" s="112">
        <v>0</v>
      </c>
      <c r="AG7" s="112">
        <v>0</v>
      </c>
      <c r="AH7" s="112">
        <v>0</v>
      </c>
      <c r="AI7" s="112">
        <v>0</v>
      </c>
      <c r="AJ7" s="112">
        <v>0</v>
      </c>
      <c r="AK7" s="112">
        <v>0</v>
      </c>
      <c r="AL7" s="112">
        <v>0</v>
      </c>
      <c r="AM7" s="112">
        <v>0</v>
      </c>
      <c r="AN7" s="112">
        <v>0</v>
      </c>
      <c r="AO7" s="112">
        <v>0</v>
      </c>
      <c r="AP7" s="112">
        <v>0</v>
      </c>
      <c r="AQ7" s="112">
        <v>0</v>
      </c>
      <c r="AR7" s="112">
        <v>0</v>
      </c>
      <c r="AS7" s="112">
        <v>0</v>
      </c>
    </row>
    <row r="8" spans="1:45" customFormat="1" x14ac:dyDescent="0.15">
      <c r="A8" s="193" t="s">
        <v>199</v>
      </c>
      <c r="B8" s="112">
        <v>0</v>
      </c>
      <c r="C8" s="112">
        <v>0</v>
      </c>
      <c r="D8" s="112">
        <v>0</v>
      </c>
      <c r="E8" s="112">
        <v>1</v>
      </c>
      <c r="F8" s="112">
        <v>1</v>
      </c>
      <c r="G8" s="112">
        <v>1</v>
      </c>
      <c r="H8" s="112">
        <v>0</v>
      </c>
      <c r="I8" s="112">
        <v>0</v>
      </c>
      <c r="J8" s="112">
        <v>0</v>
      </c>
      <c r="K8" s="112">
        <v>0</v>
      </c>
      <c r="L8" s="112">
        <v>0</v>
      </c>
      <c r="M8" s="112">
        <v>0</v>
      </c>
      <c r="N8" s="112">
        <v>0</v>
      </c>
      <c r="O8" s="112">
        <v>0</v>
      </c>
      <c r="P8" s="112">
        <v>0</v>
      </c>
      <c r="Q8" s="112">
        <v>0</v>
      </c>
      <c r="R8" s="112">
        <v>0</v>
      </c>
      <c r="S8" s="112">
        <v>0</v>
      </c>
      <c r="T8" s="112">
        <v>0</v>
      </c>
      <c r="U8" s="112">
        <v>0</v>
      </c>
      <c r="V8" s="112">
        <v>0</v>
      </c>
      <c r="W8" s="112">
        <v>0</v>
      </c>
      <c r="X8" s="112">
        <v>0</v>
      </c>
      <c r="Y8" s="112">
        <v>0</v>
      </c>
      <c r="Z8" s="112">
        <v>0</v>
      </c>
      <c r="AA8" s="112">
        <v>0</v>
      </c>
      <c r="AB8" s="112">
        <v>0</v>
      </c>
      <c r="AC8" s="112">
        <v>0</v>
      </c>
      <c r="AD8" s="112">
        <v>0</v>
      </c>
      <c r="AE8" s="112">
        <v>0</v>
      </c>
      <c r="AF8" s="112">
        <v>0</v>
      </c>
      <c r="AG8" s="112">
        <v>0</v>
      </c>
      <c r="AH8" s="112">
        <v>0</v>
      </c>
      <c r="AI8" s="112">
        <v>0</v>
      </c>
      <c r="AJ8" s="112">
        <v>0</v>
      </c>
      <c r="AK8" s="112">
        <v>0</v>
      </c>
      <c r="AL8" s="112">
        <v>0</v>
      </c>
      <c r="AM8" s="112">
        <v>0</v>
      </c>
      <c r="AN8" s="112">
        <v>0</v>
      </c>
      <c r="AO8" s="112">
        <v>0</v>
      </c>
      <c r="AP8" s="112">
        <v>0</v>
      </c>
      <c r="AQ8" s="112">
        <v>0</v>
      </c>
      <c r="AR8" s="112">
        <v>0</v>
      </c>
      <c r="AS8" s="112">
        <v>0</v>
      </c>
    </row>
    <row r="9" spans="1:45" customFormat="1" x14ac:dyDescent="0.15">
      <c r="A9" s="193" t="s">
        <v>200</v>
      </c>
      <c r="B9" s="112">
        <v>0</v>
      </c>
      <c r="C9" s="112">
        <v>0</v>
      </c>
      <c r="D9" s="112">
        <v>0</v>
      </c>
      <c r="E9" s="112">
        <v>0</v>
      </c>
      <c r="F9" s="112">
        <v>0</v>
      </c>
      <c r="G9" s="112">
        <v>0</v>
      </c>
      <c r="H9" s="112">
        <v>0</v>
      </c>
      <c r="I9" s="112">
        <v>0</v>
      </c>
      <c r="J9" s="112">
        <v>0</v>
      </c>
      <c r="K9" s="112">
        <v>0</v>
      </c>
      <c r="L9" s="112">
        <v>0</v>
      </c>
      <c r="M9" s="112">
        <v>0</v>
      </c>
      <c r="N9" s="112">
        <v>0</v>
      </c>
      <c r="O9" s="112">
        <v>0</v>
      </c>
      <c r="P9" s="112">
        <v>0</v>
      </c>
      <c r="Q9" s="112">
        <v>0</v>
      </c>
      <c r="R9" s="112">
        <v>0</v>
      </c>
      <c r="S9" s="112">
        <v>0</v>
      </c>
      <c r="T9" s="112">
        <v>0</v>
      </c>
      <c r="U9" s="112">
        <v>0</v>
      </c>
      <c r="V9" s="112">
        <v>0</v>
      </c>
      <c r="W9" s="112">
        <v>0</v>
      </c>
      <c r="X9" s="112">
        <v>0</v>
      </c>
      <c r="Y9" s="112">
        <v>0</v>
      </c>
      <c r="Z9" s="112">
        <v>0</v>
      </c>
      <c r="AA9" s="112">
        <v>0</v>
      </c>
      <c r="AB9" s="112">
        <v>0</v>
      </c>
      <c r="AC9" s="112">
        <v>0</v>
      </c>
      <c r="AD9" s="112">
        <v>0</v>
      </c>
      <c r="AE9" s="112">
        <v>0</v>
      </c>
      <c r="AF9" s="112">
        <v>0</v>
      </c>
      <c r="AG9" s="112">
        <v>0</v>
      </c>
      <c r="AH9" s="112">
        <v>0</v>
      </c>
      <c r="AI9" s="112">
        <v>0</v>
      </c>
      <c r="AJ9" s="112">
        <v>0</v>
      </c>
      <c r="AK9" s="112">
        <v>0</v>
      </c>
      <c r="AL9" s="112">
        <v>0</v>
      </c>
      <c r="AM9" s="112">
        <v>0</v>
      </c>
      <c r="AN9" s="112">
        <v>0</v>
      </c>
      <c r="AO9" s="112">
        <v>0</v>
      </c>
      <c r="AP9" s="112">
        <v>0</v>
      </c>
      <c r="AQ9" s="112">
        <v>0</v>
      </c>
      <c r="AR9" s="112">
        <v>0</v>
      </c>
      <c r="AS9" s="112">
        <v>0</v>
      </c>
    </row>
    <row r="10" spans="1:45" customFormat="1" x14ac:dyDescent="0.15">
      <c r="A10" s="193" t="s">
        <v>201</v>
      </c>
      <c r="B10" s="112">
        <v>0</v>
      </c>
      <c r="C10" s="112">
        <v>0</v>
      </c>
      <c r="D10" s="112">
        <v>0</v>
      </c>
      <c r="E10" s="112">
        <v>1</v>
      </c>
      <c r="F10" s="112">
        <v>1</v>
      </c>
      <c r="G10" s="112">
        <v>0</v>
      </c>
      <c r="H10" s="112">
        <v>1</v>
      </c>
      <c r="I10" s="112">
        <v>0</v>
      </c>
      <c r="J10" s="112">
        <v>1</v>
      </c>
      <c r="K10" s="112">
        <v>1</v>
      </c>
      <c r="L10" s="112">
        <v>1</v>
      </c>
      <c r="M10" s="112">
        <v>1</v>
      </c>
      <c r="N10" s="112">
        <v>0</v>
      </c>
      <c r="O10" s="112">
        <v>0</v>
      </c>
      <c r="P10" s="112">
        <v>0</v>
      </c>
      <c r="Q10" s="112">
        <v>1</v>
      </c>
      <c r="R10" s="112">
        <v>0</v>
      </c>
      <c r="S10" s="112">
        <v>0</v>
      </c>
      <c r="T10" s="112">
        <v>0</v>
      </c>
      <c r="U10" s="112">
        <v>0</v>
      </c>
      <c r="V10" s="112">
        <v>0</v>
      </c>
      <c r="W10" s="112">
        <v>0</v>
      </c>
      <c r="X10" s="112">
        <v>0</v>
      </c>
      <c r="Y10" s="112">
        <v>0</v>
      </c>
      <c r="Z10" s="112">
        <v>0</v>
      </c>
      <c r="AA10" s="112">
        <v>0</v>
      </c>
      <c r="AB10" s="112">
        <v>0</v>
      </c>
      <c r="AC10" s="112">
        <v>0</v>
      </c>
      <c r="AD10" s="112">
        <v>0</v>
      </c>
      <c r="AE10" s="112">
        <v>0</v>
      </c>
      <c r="AF10" s="112">
        <v>0</v>
      </c>
      <c r="AG10" s="112">
        <v>0</v>
      </c>
      <c r="AH10" s="112">
        <v>0</v>
      </c>
      <c r="AI10" s="112">
        <v>0</v>
      </c>
      <c r="AJ10" s="112">
        <v>0</v>
      </c>
      <c r="AK10" s="112">
        <v>0</v>
      </c>
      <c r="AL10" s="112">
        <v>0</v>
      </c>
      <c r="AM10" s="112">
        <v>0</v>
      </c>
      <c r="AN10" s="112">
        <v>0</v>
      </c>
      <c r="AO10" s="112">
        <v>0</v>
      </c>
      <c r="AP10" s="112">
        <v>0</v>
      </c>
      <c r="AQ10" s="112">
        <v>0</v>
      </c>
      <c r="AR10" s="112">
        <v>0</v>
      </c>
      <c r="AS10" s="112">
        <v>0</v>
      </c>
    </row>
    <row r="11" spans="1:45" customFormat="1" x14ac:dyDescent="0.15">
      <c r="A11" s="193" t="s">
        <v>202</v>
      </c>
      <c r="B11" s="112">
        <v>0</v>
      </c>
      <c r="C11" s="112">
        <v>0</v>
      </c>
      <c r="D11" s="112">
        <v>0</v>
      </c>
      <c r="E11" s="112">
        <v>0</v>
      </c>
      <c r="F11" s="112">
        <v>1</v>
      </c>
      <c r="G11" s="112">
        <v>0</v>
      </c>
      <c r="H11" s="112">
        <v>1</v>
      </c>
      <c r="I11" s="112">
        <v>0</v>
      </c>
      <c r="J11" s="112">
        <v>0</v>
      </c>
      <c r="K11" s="112">
        <v>1</v>
      </c>
      <c r="L11" s="112">
        <v>0</v>
      </c>
      <c r="M11" s="112">
        <v>0</v>
      </c>
      <c r="N11" s="112">
        <v>0</v>
      </c>
      <c r="O11" s="112">
        <v>0</v>
      </c>
      <c r="P11" s="112">
        <v>0</v>
      </c>
      <c r="Q11" s="112">
        <v>0</v>
      </c>
      <c r="R11" s="112">
        <v>0</v>
      </c>
      <c r="S11" s="112">
        <v>0</v>
      </c>
      <c r="T11" s="112">
        <v>0</v>
      </c>
      <c r="U11" s="112">
        <v>0</v>
      </c>
      <c r="V11" s="112">
        <v>0</v>
      </c>
      <c r="W11" s="112">
        <v>0</v>
      </c>
      <c r="X11" s="112">
        <v>0</v>
      </c>
      <c r="Y11" s="112">
        <v>0</v>
      </c>
      <c r="Z11" s="112">
        <v>0</v>
      </c>
      <c r="AA11" s="112">
        <v>0</v>
      </c>
      <c r="AB11" s="112">
        <v>0</v>
      </c>
      <c r="AC11" s="112">
        <v>0</v>
      </c>
      <c r="AD11" s="112">
        <v>0</v>
      </c>
      <c r="AE11" s="112">
        <v>0</v>
      </c>
      <c r="AF11" s="112">
        <v>0</v>
      </c>
      <c r="AG11" s="112">
        <v>0</v>
      </c>
      <c r="AH11" s="112">
        <v>0</v>
      </c>
      <c r="AI11" s="112">
        <v>0</v>
      </c>
      <c r="AJ11" s="112">
        <v>0</v>
      </c>
      <c r="AK11" s="112">
        <v>0</v>
      </c>
      <c r="AL11" s="112">
        <v>0</v>
      </c>
      <c r="AM11" s="112">
        <v>0</v>
      </c>
      <c r="AN11" s="112">
        <v>0</v>
      </c>
      <c r="AO11" s="112">
        <v>0</v>
      </c>
      <c r="AP11" s="112">
        <v>0</v>
      </c>
      <c r="AQ11" s="112">
        <v>0</v>
      </c>
      <c r="AR11" s="112">
        <v>0</v>
      </c>
      <c r="AS11" s="112">
        <v>0</v>
      </c>
    </row>
    <row r="12" spans="1:45" customFormat="1" x14ac:dyDescent="0.15">
      <c r="A12" s="193" t="s">
        <v>203</v>
      </c>
      <c r="B12" s="112">
        <v>0</v>
      </c>
      <c r="C12" s="112">
        <v>0</v>
      </c>
      <c r="D12" s="112">
        <v>0</v>
      </c>
      <c r="E12" s="112">
        <v>1</v>
      </c>
      <c r="F12" s="112">
        <v>0</v>
      </c>
      <c r="G12" s="112">
        <v>0</v>
      </c>
      <c r="H12" s="112">
        <v>1</v>
      </c>
      <c r="I12" s="112">
        <v>0</v>
      </c>
      <c r="J12" s="112">
        <v>0</v>
      </c>
      <c r="K12" s="112">
        <v>1</v>
      </c>
      <c r="L12" s="112">
        <v>1</v>
      </c>
      <c r="M12" s="112">
        <v>0</v>
      </c>
      <c r="N12" s="112">
        <v>0</v>
      </c>
      <c r="O12" s="112">
        <v>0</v>
      </c>
      <c r="P12" s="112">
        <v>0</v>
      </c>
      <c r="Q12" s="112">
        <v>0</v>
      </c>
      <c r="R12" s="112">
        <v>0</v>
      </c>
      <c r="S12" s="112">
        <v>0</v>
      </c>
      <c r="T12" s="112">
        <v>0</v>
      </c>
      <c r="U12" s="112">
        <v>0</v>
      </c>
      <c r="V12" s="112">
        <v>0</v>
      </c>
      <c r="W12" s="112">
        <v>0</v>
      </c>
      <c r="X12" s="112">
        <v>0</v>
      </c>
      <c r="Y12" s="112">
        <v>0</v>
      </c>
      <c r="Z12" s="112">
        <v>0</v>
      </c>
      <c r="AA12" s="112">
        <v>0</v>
      </c>
      <c r="AB12" s="112">
        <v>0</v>
      </c>
      <c r="AC12" s="112">
        <v>0</v>
      </c>
      <c r="AD12" s="112">
        <v>0</v>
      </c>
      <c r="AE12" s="112">
        <v>0</v>
      </c>
      <c r="AF12" s="112">
        <v>0</v>
      </c>
      <c r="AG12" s="112">
        <v>0</v>
      </c>
      <c r="AH12" s="112">
        <v>0</v>
      </c>
      <c r="AI12" s="112">
        <v>0</v>
      </c>
      <c r="AJ12" s="112">
        <v>0</v>
      </c>
      <c r="AK12" s="112">
        <v>0</v>
      </c>
      <c r="AL12" s="112">
        <v>0</v>
      </c>
      <c r="AM12" s="112">
        <v>0</v>
      </c>
      <c r="AN12" s="112">
        <v>0</v>
      </c>
      <c r="AO12" s="112">
        <v>0</v>
      </c>
      <c r="AP12" s="112">
        <v>0</v>
      </c>
      <c r="AQ12" s="112">
        <v>0</v>
      </c>
      <c r="AR12" s="112">
        <v>0</v>
      </c>
      <c r="AS12" s="112">
        <v>0</v>
      </c>
    </row>
    <row r="13" spans="1:45" customFormat="1" x14ac:dyDescent="0.15">
      <c r="A13" s="193" t="s">
        <v>204</v>
      </c>
      <c r="B13" s="112">
        <v>0</v>
      </c>
      <c r="C13" s="112">
        <v>0</v>
      </c>
      <c r="D13" s="112">
        <v>0</v>
      </c>
      <c r="E13" s="112">
        <v>0</v>
      </c>
      <c r="F13" s="112">
        <v>1</v>
      </c>
      <c r="G13" s="112">
        <v>0</v>
      </c>
      <c r="H13" s="112">
        <v>0</v>
      </c>
      <c r="I13" s="112">
        <v>0</v>
      </c>
      <c r="J13" s="112">
        <v>0</v>
      </c>
      <c r="K13" s="112">
        <v>1</v>
      </c>
      <c r="L13" s="112">
        <v>0</v>
      </c>
      <c r="M13" s="112">
        <v>0</v>
      </c>
      <c r="N13" s="112">
        <v>0</v>
      </c>
      <c r="O13" s="112">
        <v>0</v>
      </c>
      <c r="P13" s="112">
        <v>0</v>
      </c>
      <c r="Q13" s="112">
        <v>1</v>
      </c>
      <c r="R13" s="112">
        <v>0</v>
      </c>
      <c r="S13" s="112">
        <v>0</v>
      </c>
      <c r="T13" s="112">
        <v>0</v>
      </c>
      <c r="U13" s="112">
        <v>0</v>
      </c>
      <c r="V13" s="112">
        <v>0</v>
      </c>
      <c r="W13" s="112">
        <v>0</v>
      </c>
      <c r="X13" s="112">
        <v>0</v>
      </c>
      <c r="Y13" s="112">
        <v>1</v>
      </c>
      <c r="Z13" s="112">
        <v>0</v>
      </c>
      <c r="AA13" s="112">
        <v>0</v>
      </c>
      <c r="AB13" s="112">
        <v>0</v>
      </c>
      <c r="AC13" s="112">
        <v>0</v>
      </c>
      <c r="AD13" s="112">
        <v>0</v>
      </c>
      <c r="AE13" s="112">
        <v>0</v>
      </c>
      <c r="AF13" s="112">
        <v>0</v>
      </c>
      <c r="AG13" s="112">
        <v>0</v>
      </c>
      <c r="AH13" s="112">
        <v>0</v>
      </c>
      <c r="AI13" s="112">
        <v>0</v>
      </c>
      <c r="AJ13" s="112">
        <v>0</v>
      </c>
      <c r="AK13" s="112">
        <v>0</v>
      </c>
      <c r="AL13" s="112">
        <v>0</v>
      </c>
      <c r="AM13" s="112">
        <v>0</v>
      </c>
      <c r="AN13" s="112">
        <v>0</v>
      </c>
      <c r="AO13" s="112">
        <v>0</v>
      </c>
      <c r="AP13" s="112">
        <v>0</v>
      </c>
      <c r="AQ13" s="112">
        <v>0</v>
      </c>
      <c r="AR13" s="112">
        <v>0</v>
      </c>
      <c r="AS13" s="112">
        <v>0</v>
      </c>
    </row>
    <row r="14" spans="1:45" customFormat="1" x14ac:dyDescent="0.15">
      <c r="A14" s="193" t="s">
        <v>205</v>
      </c>
      <c r="B14" s="112">
        <v>0</v>
      </c>
      <c r="C14" s="112">
        <v>0</v>
      </c>
      <c r="D14" s="112">
        <v>0</v>
      </c>
      <c r="E14" s="112">
        <v>0</v>
      </c>
      <c r="F14" s="112">
        <v>1</v>
      </c>
      <c r="G14" s="112">
        <v>0</v>
      </c>
      <c r="H14" s="112">
        <v>0</v>
      </c>
      <c r="I14" s="112">
        <v>0</v>
      </c>
      <c r="J14" s="112">
        <v>0</v>
      </c>
      <c r="K14" s="112">
        <v>0</v>
      </c>
      <c r="L14" s="112">
        <v>0</v>
      </c>
      <c r="M14" s="112">
        <v>0</v>
      </c>
      <c r="N14" s="112">
        <v>0</v>
      </c>
      <c r="O14" s="112">
        <v>0</v>
      </c>
      <c r="P14" s="112">
        <v>0</v>
      </c>
      <c r="Q14" s="112">
        <v>1</v>
      </c>
      <c r="R14" s="112">
        <v>0</v>
      </c>
      <c r="S14" s="112">
        <v>0</v>
      </c>
      <c r="T14" s="112">
        <v>0</v>
      </c>
      <c r="U14" s="112">
        <v>0</v>
      </c>
      <c r="V14" s="112">
        <v>0</v>
      </c>
      <c r="W14" s="112">
        <v>0</v>
      </c>
      <c r="X14" s="112">
        <v>0</v>
      </c>
      <c r="Y14" s="112">
        <v>0</v>
      </c>
      <c r="Z14" s="112">
        <v>0</v>
      </c>
      <c r="AA14" s="112">
        <v>0</v>
      </c>
      <c r="AB14" s="112">
        <v>0</v>
      </c>
      <c r="AC14" s="112">
        <v>0</v>
      </c>
      <c r="AD14" s="112">
        <v>0</v>
      </c>
      <c r="AE14" s="112">
        <v>0</v>
      </c>
      <c r="AF14" s="112">
        <v>0</v>
      </c>
      <c r="AG14" s="112">
        <v>0</v>
      </c>
      <c r="AH14" s="112">
        <v>0</v>
      </c>
      <c r="AI14" s="112">
        <v>0</v>
      </c>
      <c r="AJ14" s="112">
        <v>0</v>
      </c>
      <c r="AK14" s="112">
        <v>0</v>
      </c>
      <c r="AL14" s="112">
        <v>0</v>
      </c>
      <c r="AM14" s="112">
        <v>0</v>
      </c>
      <c r="AN14" s="112">
        <v>0</v>
      </c>
      <c r="AO14" s="112">
        <v>0</v>
      </c>
      <c r="AP14" s="112">
        <v>0</v>
      </c>
      <c r="AQ14" s="112">
        <v>0</v>
      </c>
      <c r="AR14" s="112">
        <v>0</v>
      </c>
      <c r="AS14" s="112">
        <v>0</v>
      </c>
    </row>
    <row r="15" spans="1:45" customFormat="1" x14ac:dyDescent="0.15">
      <c r="A15" s="193" t="s">
        <v>206</v>
      </c>
      <c r="B15" s="112">
        <v>0</v>
      </c>
      <c r="C15" s="112">
        <v>0</v>
      </c>
      <c r="D15" s="112">
        <v>0</v>
      </c>
      <c r="E15" s="112">
        <v>1</v>
      </c>
      <c r="F15" s="112">
        <v>0</v>
      </c>
      <c r="G15" s="112">
        <v>1</v>
      </c>
      <c r="H15" s="112">
        <v>1</v>
      </c>
      <c r="I15" s="112">
        <v>0</v>
      </c>
      <c r="J15" s="112">
        <v>0</v>
      </c>
      <c r="K15" s="112">
        <v>0</v>
      </c>
      <c r="L15" s="112">
        <v>0</v>
      </c>
      <c r="M15" s="112">
        <v>1</v>
      </c>
      <c r="N15" s="112">
        <v>1</v>
      </c>
      <c r="O15" s="112">
        <v>0</v>
      </c>
      <c r="P15" s="112">
        <v>0</v>
      </c>
      <c r="Q15" s="112">
        <v>1</v>
      </c>
      <c r="R15" s="112">
        <v>0</v>
      </c>
      <c r="S15" s="112">
        <v>0</v>
      </c>
      <c r="T15" s="112">
        <v>0</v>
      </c>
      <c r="U15" s="112">
        <v>0</v>
      </c>
      <c r="V15" s="112">
        <v>0</v>
      </c>
      <c r="W15" s="112">
        <v>0</v>
      </c>
      <c r="X15" s="112">
        <v>1</v>
      </c>
      <c r="Y15" s="112">
        <v>0</v>
      </c>
      <c r="Z15" s="112">
        <v>0</v>
      </c>
      <c r="AA15" s="112">
        <v>0</v>
      </c>
      <c r="AB15" s="112">
        <v>0</v>
      </c>
      <c r="AC15" s="112">
        <v>0</v>
      </c>
      <c r="AD15" s="112">
        <v>0</v>
      </c>
      <c r="AE15" s="112">
        <v>0</v>
      </c>
      <c r="AF15" s="112">
        <v>0</v>
      </c>
      <c r="AG15" s="112">
        <v>0</v>
      </c>
      <c r="AH15" s="112">
        <v>0</v>
      </c>
      <c r="AI15" s="112">
        <v>0</v>
      </c>
      <c r="AJ15" s="112">
        <v>0</v>
      </c>
      <c r="AK15" s="112">
        <v>0</v>
      </c>
      <c r="AL15" s="112">
        <v>0</v>
      </c>
      <c r="AM15" s="112">
        <v>0</v>
      </c>
      <c r="AN15" s="112">
        <v>0</v>
      </c>
      <c r="AO15" s="112">
        <v>0</v>
      </c>
      <c r="AP15" s="112">
        <v>0</v>
      </c>
      <c r="AQ15" s="112">
        <v>0</v>
      </c>
      <c r="AR15" s="112">
        <v>0</v>
      </c>
      <c r="AS15" s="112">
        <v>0</v>
      </c>
    </row>
    <row r="16" spans="1:45" customFormat="1" x14ac:dyDescent="0.15">
      <c r="A16" s="193" t="s">
        <v>207</v>
      </c>
      <c r="B16" s="112">
        <v>0</v>
      </c>
      <c r="C16" s="112">
        <v>0</v>
      </c>
      <c r="D16" s="112">
        <v>0</v>
      </c>
      <c r="E16" s="112">
        <v>0</v>
      </c>
      <c r="F16" s="112">
        <v>0</v>
      </c>
      <c r="G16" s="112">
        <v>1</v>
      </c>
      <c r="H16" s="112">
        <v>0</v>
      </c>
      <c r="I16" s="112">
        <v>0</v>
      </c>
      <c r="J16" s="112">
        <v>0</v>
      </c>
      <c r="K16" s="112">
        <v>0</v>
      </c>
      <c r="L16" s="112">
        <v>0</v>
      </c>
      <c r="M16" s="112">
        <v>1</v>
      </c>
      <c r="N16" s="112">
        <v>0</v>
      </c>
      <c r="O16" s="112">
        <v>0</v>
      </c>
      <c r="P16" s="112">
        <v>0</v>
      </c>
      <c r="Q16" s="112">
        <v>1</v>
      </c>
      <c r="R16" s="112">
        <v>0</v>
      </c>
      <c r="S16" s="112">
        <v>0</v>
      </c>
      <c r="T16" s="112">
        <v>0</v>
      </c>
      <c r="U16" s="112">
        <v>0</v>
      </c>
      <c r="V16" s="112">
        <v>0</v>
      </c>
      <c r="W16" s="112">
        <v>0</v>
      </c>
      <c r="X16" s="112">
        <v>0</v>
      </c>
      <c r="Y16" s="112">
        <v>0</v>
      </c>
      <c r="Z16" s="112">
        <v>0</v>
      </c>
      <c r="AA16" s="112">
        <v>0</v>
      </c>
      <c r="AB16" s="112">
        <v>0</v>
      </c>
      <c r="AC16" s="112">
        <v>0</v>
      </c>
      <c r="AD16" s="112">
        <v>0</v>
      </c>
      <c r="AE16" s="112">
        <v>0</v>
      </c>
      <c r="AF16" s="112">
        <v>0</v>
      </c>
      <c r="AG16" s="112">
        <v>0</v>
      </c>
      <c r="AH16" s="112">
        <v>0</v>
      </c>
      <c r="AI16" s="112">
        <v>0</v>
      </c>
      <c r="AJ16" s="112">
        <v>0</v>
      </c>
      <c r="AK16" s="112">
        <v>0</v>
      </c>
      <c r="AL16" s="112">
        <v>0</v>
      </c>
      <c r="AM16" s="112">
        <v>0</v>
      </c>
      <c r="AN16" s="112">
        <v>0</v>
      </c>
      <c r="AO16" s="112">
        <v>0</v>
      </c>
      <c r="AP16" s="112">
        <v>0</v>
      </c>
      <c r="AQ16" s="112">
        <v>0</v>
      </c>
      <c r="AR16" s="112">
        <v>0</v>
      </c>
      <c r="AS16" s="112">
        <v>0</v>
      </c>
    </row>
    <row r="17" spans="1:45" customFormat="1" x14ac:dyDescent="0.15">
      <c r="A17" s="193" t="s">
        <v>208</v>
      </c>
      <c r="B17" s="112">
        <v>0</v>
      </c>
      <c r="C17" s="112">
        <v>0</v>
      </c>
      <c r="D17" s="112">
        <v>0</v>
      </c>
      <c r="E17" s="112">
        <v>1</v>
      </c>
      <c r="F17" s="112">
        <v>1</v>
      </c>
      <c r="G17" s="112">
        <v>0</v>
      </c>
      <c r="H17" s="112">
        <v>1</v>
      </c>
      <c r="I17" s="112">
        <v>0</v>
      </c>
      <c r="J17" s="112">
        <v>0</v>
      </c>
      <c r="K17" s="112">
        <v>0</v>
      </c>
      <c r="L17" s="112">
        <v>1</v>
      </c>
      <c r="M17" s="112">
        <v>1</v>
      </c>
      <c r="N17" s="112">
        <v>1</v>
      </c>
      <c r="O17" s="112">
        <v>0</v>
      </c>
      <c r="P17" s="112">
        <v>0</v>
      </c>
      <c r="Q17" s="112">
        <v>1</v>
      </c>
      <c r="R17" s="112">
        <v>0</v>
      </c>
      <c r="S17" s="112">
        <v>0</v>
      </c>
      <c r="T17" s="112">
        <v>0</v>
      </c>
      <c r="U17" s="112">
        <v>0</v>
      </c>
      <c r="V17" s="112">
        <v>0</v>
      </c>
      <c r="W17" s="112">
        <v>0</v>
      </c>
      <c r="X17" s="112">
        <v>0</v>
      </c>
      <c r="Y17" s="112">
        <v>0</v>
      </c>
      <c r="Z17" s="112">
        <v>0</v>
      </c>
      <c r="AA17" s="112">
        <v>0</v>
      </c>
      <c r="AB17" s="112">
        <v>0</v>
      </c>
      <c r="AC17" s="112">
        <v>0</v>
      </c>
      <c r="AD17" s="112">
        <v>0</v>
      </c>
      <c r="AE17" s="112">
        <v>0</v>
      </c>
      <c r="AF17" s="112">
        <v>0</v>
      </c>
      <c r="AG17" s="112">
        <v>0</v>
      </c>
      <c r="AH17" s="112">
        <v>0</v>
      </c>
      <c r="AI17" s="112">
        <v>0</v>
      </c>
      <c r="AJ17" s="112">
        <v>0</v>
      </c>
      <c r="AK17" s="112">
        <v>0</v>
      </c>
      <c r="AL17" s="112">
        <v>0</v>
      </c>
      <c r="AM17" s="112">
        <v>0</v>
      </c>
      <c r="AN17" s="112">
        <v>0</v>
      </c>
      <c r="AO17" s="112">
        <v>0</v>
      </c>
      <c r="AP17" s="112">
        <v>0</v>
      </c>
      <c r="AQ17" s="112">
        <v>0</v>
      </c>
      <c r="AR17" s="112">
        <v>0</v>
      </c>
      <c r="AS17" s="112">
        <v>0</v>
      </c>
    </row>
    <row r="18" spans="1:45" customFormat="1" x14ac:dyDescent="0.15">
      <c r="A18" s="193" t="s">
        <v>209</v>
      </c>
      <c r="B18" s="112">
        <v>1</v>
      </c>
      <c r="C18" s="112">
        <v>0</v>
      </c>
      <c r="D18" s="112">
        <v>0</v>
      </c>
      <c r="E18" s="112">
        <v>1</v>
      </c>
      <c r="F18" s="112">
        <v>1</v>
      </c>
      <c r="G18" s="112">
        <v>1</v>
      </c>
      <c r="H18" s="112">
        <v>1</v>
      </c>
      <c r="I18" s="112">
        <v>0</v>
      </c>
      <c r="J18" s="112">
        <v>1</v>
      </c>
      <c r="K18" s="112">
        <v>1</v>
      </c>
      <c r="L18" s="112">
        <v>1</v>
      </c>
      <c r="M18" s="112">
        <v>1</v>
      </c>
      <c r="N18" s="112">
        <v>1</v>
      </c>
      <c r="O18" s="112">
        <v>0</v>
      </c>
      <c r="P18" s="112">
        <v>0</v>
      </c>
      <c r="Q18" s="112">
        <v>1</v>
      </c>
      <c r="R18" s="112">
        <v>0</v>
      </c>
      <c r="S18" s="112">
        <v>0</v>
      </c>
      <c r="T18" s="112">
        <v>0</v>
      </c>
      <c r="U18" s="112">
        <v>0</v>
      </c>
      <c r="V18" s="112">
        <v>0</v>
      </c>
      <c r="W18" s="112">
        <v>0</v>
      </c>
      <c r="X18" s="112">
        <v>0</v>
      </c>
      <c r="Y18" s="112">
        <v>1</v>
      </c>
      <c r="Z18" s="112">
        <v>0</v>
      </c>
      <c r="AA18" s="112">
        <v>0</v>
      </c>
      <c r="AB18" s="112">
        <v>0</v>
      </c>
      <c r="AC18" s="112">
        <v>0</v>
      </c>
      <c r="AD18" s="112">
        <v>0</v>
      </c>
      <c r="AE18" s="112">
        <v>0</v>
      </c>
      <c r="AF18" s="112">
        <v>0</v>
      </c>
      <c r="AG18" s="112">
        <v>0</v>
      </c>
      <c r="AH18" s="112">
        <v>0</v>
      </c>
      <c r="AI18" s="112">
        <v>0</v>
      </c>
      <c r="AJ18" s="112">
        <v>0</v>
      </c>
      <c r="AK18" s="112">
        <v>0</v>
      </c>
      <c r="AL18" s="112">
        <v>0</v>
      </c>
      <c r="AM18" s="112">
        <v>0</v>
      </c>
      <c r="AN18" s="112">
        <v>0</v>
      </c>
      <c r="AO18" s="112">
        <v>0</v>
      </c>
      <c r="AP18" s="112">
        <v>0</v>
      </c>
      <c r="AQ18" s="112">
        <v>0</v>
      </c>
      <c r="AR18" s="112">
        <v>0</v>
      </c>
      <c r="AS18" s="112">
        <v>0</v>
      </c>
    </row>
    <row r="19" spans="1:45" customFormat="1" x14ac:dyDescent="0.15">
      <c r="A19" s="193" t="s">
        <v>210</v>
      </c>
      <c r="B19" s="112">
        <v>0</v>
      </c>
      <c r="C19" s="112">
        <v>0</v>
      </c>
      <c r="D19" s="112">
        <v>1</v>
      </c>
      <c r="E19" s="112">
        <v>1</v>
      </c>
      <c r="F19" s="112">
        <v>1</v>
      </c>
      <c r="G19" s="112">
        <v>1</v>
      </c>
      <c r="H19" s="112">
        <v>1</v>
      </c>
      <c r="I19" s="112">
        <v>0</v>
      </c>
      <c r="J19" s="112">
        <v>1</v>
      </c>
      <c r="K19" s="112">
        <v>1</v>
      </c>
      <c r="L19" s="112">
        <v>1</v>
      </c>
      <c r="M19" s="112">
        <v>1</v>
      </c>
      <c r="N19" s="112">
        <v>1</v>
      </c>
      <c r="O19" s="112">
        <v>0</v>
      </c>
      <c r="P19" s="112">
        <v>0</v>
      </c>
      <c r="Q19" s="112">
        <v>1</v>
      </c>
      <c r="R19" s="112">
        <v>0</v>
      </c>
      <c r="S19" s="112">
        <v>0</v>
      </c>
      <c r="T19" s="112">
        <v>1</v>
      </c>
      <c r="U19" s="112">
        <v>1</v>
      </c>
      <c r="V19" s="112">
        <v>0</v>
      </c>
      <c r="W19" s="112">
        <v>0</v>
      </c>
      <c r="X19" s="112">
        <v>1</v>
      </c>
      <c r="Y19" s="112">
        <v>1</v>
      </c>
      <c r="Z19" s="112">
        <v>1</v>
      </c>
      <c r="AA19" s="112">
        <v>1</v>
      </c>
      <c r="AB19" s="112">
        <v>0</v>
      </c>
      <c r="AC19" s="112">
        <v>0</v>
      </c>
      <c r="AD19" s="112">
        <v>0</v>
      </c>
      <c r="AE19" s="112">
        <v>0</v>
      </c>
      <c r="AF19" s="112">
        <v>0</v>
      </c>
      <c r="AG19" s="112">
        <v>0</v>
      </c>
      <c r="AH19" s="112">
        <v>0</v>
      </c>
      <c r="AI19" s="112">
        <v>0</v>
      </c>
      <c r="AJ19" s="112">
        <v>0</v>
      </c>
      <c r="AK19" s="112">
        <v>0</v>
      </c>
      <c r="AL19" s="112">
        <v>0</v>
      </c>
      <c r="AM19" s="112">
        <v>0</v>
      </c>
      <c r="AN19" s="112">
        <v>0</v>
      </c>
      <c r="AO19" s="112">
        <v>0</v>
      </c>
      <c r="AP19" s="112">
        <v>0</v>
      </c>
      <c r="AQ19" s="112">
        <v>0</v>
      </c>
      <c r="AR19" s="112">
        <v>0</v>
      </c>
      <c r="AS19" s="112">
        <v>0</v>
      </c>
    </row>
    <row r="20" spans="1:45" customFormat="1" x14ac:dyDescent="0.15">
      <c r="A20" s="193" t="s">
        <v>211</v>
      </c>
      <c r="B20" s="112">
        <v>1</v>
      </c>
      <c r="C20" s="112">
        <v>1</v>
      </c>
      <c r="D20" s="112">
        <v>0</v>
      </c>
      <c r="E20" s="112">
        <v>1</v>
      </c>
      <c r="F20" s="112">
        <v>1</v>
      </c>
      <c r="G20" s="112">
        <v>0</v>
      </c>
      <c r="H20" s="112">
        <v>1</v>
      </c>
      <c r="I20" s="112">
        <v>0</v>
      </c>
      <c r="J20" s="112">
        <v>0</v>
      </c>
      <c r="K20" s="112">
        <v>1</v>
      </c>
      <c r="L20" s="112">
        <v>1</v>
      </c>
      <c r="M20" s="112">
        <v>1</v>
      </c>
      <c r="N20" s="112">
        <v>0</v>
      </c>
      <c r="O20" s="112">
        <v>0</v>
      </c>
      <c r="P20" s="112">
        <v>0</v>
      </c>
      <c r="Q20" s="112">
        <v>1</v>
      </c>
      <c r="R20" s="112">
        <v>0</v>
      </c>
      <c r="S20" s="112">
        <v>0</v>
      </c>
      <c r="T20" s="112">
        <v>0</v>
      </c>
      <c r="U20" s="112">
        <v>0</v>
      </c>
      <c r="V20" s="112">
        <v>0</v>
      </c>
      <c r="W20" s="112">
        <v>0</v>
      </c>
      <c r="X20" s="112">
        <v>0</v>
      </c>
      <c r="Y20" s="112">
        <v>1</v>
      </c>
      <c r="Z20" s="112">
        <v>0</v>
      </c>
      <c r="AA20" s="112">
        <v>0</v>
      </c>
      <c r="AB20" s="112">
        <v>0</v>
      </c>
      <c r="AC20" s="112">
        <v>0</v>
      </c>
      <c r="AD20" s="112">
        <v>0</v>
      </c>
      <c r="AE20" s="112">
        <v>0</v>
      </c>
      <c r="AF20" s="112">
        <v>0</v>
      </c>
      <c r="AG20" s="112">
        <v>0</v>
      </c>
      <c r="AH20" s="112">
        <v>0</v>
      </c>
      <c r="AI20" s="112">
        <v>0</v>
      </c>
      <c r="AJ20" s="112">
        <v>0</v>
      </c>
      <c r="AK20" s="112">
        <v>0</v>
      </c>
      <c r="AL20" s="112">
        <v>0</v>
      </c>
      <c r="AM20" s="112">
        <v>0</v>
      </c>
      <c r="AN20" s="112">
        <v>0</v>
      </c>
      <c r="AO20" s="112">
        <v>0</v>
      </c>
      <c r="AP20" s="112">
        <v>0</v>
      </c>
      <c r="AQ20" s="112">
        <v>0</v>
      </c>
      <c r="AR20" s="112">
        <v>0</v>
      </c>
      <c r="AS20" s="112">
        <v>0</v>
      </c>
    </row>
    <row r="21" spans="1:45" customFormat="1" x14ac:dyDescent="0.15">
      <c r="A21" s="193" t="s">
        <v>212</v>
      </c>
      <c r="B21" s="112">
        <v>1</v>
      </c>
      <c r="C21" s="112">
        <v>1</v>
      </c>
      <c r="D21" s="112">
        <v>1</v>
      </c>
      <c r="E21" s="112">
        <v>1</v>
      </c>
      <c r="F21" s="112">
        <v>1</v>
      </c>
      <c r="G21" s="112">
        <v>0</v>
      </c>
      <c r="H21" s="112">
        <v>0</v>
      </c>
      <c r="I21" s="112">
        <v>1</v>
      </c>
      <c r="J21" s="112">
        <v>0</v>
      </c>
      <c r="K21" s="112">
        <v>1</v>
      </c>
      <c r="L21" s="112">
        <v>0</v>
      </c>
      <c r="M21" s="112">
        <v>1</v>
      </c>
      <c r="N21" s="112">
        <v>1</v>
      </c>
      <c r="O21" s="112">
        <v>0</v>
      </c>
      <c r="P21" s="112">
        <v>0</v>
      </c>
      <c r="Q21" s="112">
        <v>1</v>
      </c>
      <c r="R21" s="112">
        <v>0</v>
      </c>
      <c r="S21" s="112">
        <v>0</v>
      </c>
      <c r="T21" s="112">
        <v>0</v>
      </c>
      <c r="U21" s="112">
        <v>0</v>
      </c>
      <c r="V21" s="112">
        <v>0</v>
      </c>
      <c r="W21" s="112">
        <v>0</v>
      </c>
      <c r="X21" s="112">
        <v>0</v>
      </c>
      <c r="Y21" s="112">
        <v>0</v>
      </c>
      <c r="Z21" s="112">
        <v>0</v>
      </c>
      <c r="AA21" s="112">
        <v>0</v>
      </c>
      <c r="AB21" s="112">
        <v>0</v>
      </c>
      <c r="AC21" s="112">
        <v>0</v>
      </c>
      <c r="AD21" s="112">
        <v>0</v>
      </c>
      <c r="AE21" s="112">
        <v>0</v>
      </c>
      <c r="AF21" s="112">
        <v>0</v>
      </c>
      <c r="AG21" s="112">
        <v>0</v>
      </c>
      <c r="AH21" s="112">
        <v>0</v>
      </c>
      <c r="AI21" s="112">
        <v>0</v>
      </c>
      <c r="AJ21" s="112">
        <v>0</v>
      </c>
      <c r="AK21" s="112">
        <v>0</v>
      </c>
      <c r="AL21" s="112">
        <v>0</v>
      </c>
      <c r="AM21" s="112">
        <v>0</v>
      </c>
      <c r="AN21" s="112">
        <v>0</v>
      </c>
      <c r="AO21" s="112">
        <v>0</v>
      </c>
      <c r="AP21" s="112">
        <v>0</v>
      </c>
      <c r="AQ21" s="112">
        <v>0</v>
      </c>
      <c r="AR21" s="112">
        <v>0</v>
      </c>
      <c r="AS21" s="112">
        <v>0</v>
      </c>
    </row>
    <row r="22" spans="1:45" customFormat="1" x14ac:dyDescent="0.15">
      <c r="A22" s="193" t="s">
        <v>213</v>
      </c>
      <c r="B22" s="112">
        <v>1</v>
      </c>
      <c r="C22" s="112">
        <v>1</v>
      </c>
      <c r="D22" s="112">
        <v>1</v>
      </c>
      <c r="E22" s="112">
        <v>1</v>
      </c>
      <c r="F22" s="112">
        <v>1</v>
      </c>
      <c r="G22" s="112">
        <v>0</v>
      </c>
      <c r="H22" s="112">
        <v>0</v>
      </c>
      <c r="I22" s="112">
        <v>1</v>
      </c>
      <c r="J22" s="112">
        <v>0</v>
      </c>
      <c r="K22" s="112">
        <v>1</v>
      </c>
      <c r="L22" s="112">
        <v>1</v>
      </c>
      <c r="M22" s="112">
        <v>0</v>
      </c>
      <c r="N22" s="112">
        <v>0</v>
      </c>
      <c r="O22" s="112">
        <v>0</v>
      </c>
      <c r="P22" s="112">
        <v>0</v>
      </c>
      <c r="Q22" s="112">
        <v>1</v>
      </c>
      <c r="R22" s="112">
        <v>0</v>
      </c>
      <c r="S22" s="112">
        <v>0</v>
      </c>
      <c r="T22" s="112">
        <v>0</v>
      </c>
      <c r="U22" s="112">
        <v>1</v>
      </c>
      <c r="V22" s="112">
        <v>0</v>
      </c>
      <c r="W22" s="112">
        <v>0</v>
      </c>
      <c r="X22" s="112">
        <v>0</v>
      </c>
      <c r="Y22" s="112">
        <v>1</v>
      </c>
      <c r="Z22" s="112">
        <v>0</v>
      </c>
      <c r="AA22" s="112">
        <v>0</v>
      </c>
      <c r="AB22" s="112">
        <v>0</v>
      </c>
      <c r="AC22" s="112">
        <v>0</v>
      </c>
      <c r="AD22" s="112">
        <v>0</v>
      </c>
      <c r="AE22" s="112">
        <v>0</v>
      </c>
      <c r="AF22" s="112">
        <v>0</v>
      </c>
      <c r="AG22" s="112">
        <v>0</v>
      </c>
      <c r="AH22" s="112">
        <v>0</v>
      </c>
      <c r="AI22" s="112">
        <v>0</v>
      </c>
      <c r="AJ22" s="112">
        <v>0</v>
      </c>
      <c r="AK22" s="112">
        <v>0</v>
      </c>
      <c r="AL22" s="112">
        <v>0</v>
      </c>
      <c r="AM22" s="112">
        <v>0</v>
      </c>
      <c r="AN22" s="112">
        <v>0</v>
      </c>
      <c r="AO22" s="112">
        <v>0</v>
      </c>
      <c r="AP22" s="112">
        <v>0</v>
      </c>
      <c r="AQ22" s="112">
        <v>0</v>
      </c>
      <c r="AR22" s="112">
        <v>0</v>
      </c>
      <c r="AS22" s="112">
        <v>0</v>
      </c>
    </row>
    <row r="23" spans="1:45" customFormat="1" x14ac:dyDescent="0.15">
      <c r="A23" s="193" t="s">
        <v>214</v>
      </c>
      <c r="B23" s="112">
        <v>1</v>
      </c>
      <c r="C23" s="112">
        <v>1</v>
      </c>
      <c r="D23" s="112">
        <v>0</v>
      </c>
      <c r="E23" s="112">
        <v>1</v>
      </c>
      <c r="F23" s="112">
        <v>1</v>
      </c>
      <c r="G23" s="112">
        <v>1</v>
      </c>
      <c r="H23" s="112">
        <v>1</v>
      </c>
      <c r="I23" s="112">
        <v>1</v>
      </c>
      <c r="J23" s="112">
        <v>0</v>
      </c>
      <c r="K23" s="112">
        <v>1</v>
      </c>
      <c r="L23" s="112">
        <v>1</v>
      </c>
      <c r="M23" s="112">
        <v>1</v>
      </c>
      <c r="N23" s="112">
        <v>0</v>
      </c>
      <c r="O23" s="112">
        <v>0</v>
      </c>
      <c r="P23" s="112">
        <v>0</v>
      </c>
      <c r="Q23" s="112">
        <v>1</v>
      </c>
      <c r="R23" s="112">
        <v>0</v>
      </c>
      <c r="S23" s="112">
        <v>0</v>
      </c>
      <c r="T23" s="112">
        <v>1</v>
      </c>
      <c r="U23" s="112">
        <v>1</v>
      </c>
      <c r="V23" s="112">
        <v>0</v>
      </c>
      <c r="W23" s="112">
        <v>0</v>
      </c>
      <c r="X23" s="112">
        <v>1</v>
      </c>
      <c r="Y23" s="112">
        <v>1</v>
      </c>
      <c r="Z23" s="112">
        <v>1</v>
      </c>
      <c r="AA23" s="112">
        <v>1</v>
      </c>
      <c r="AB23" s="112">
        <v>0</v>
      </c>
      <c r="AC23" s="112">
        <v>0</v>
      </c>
      <c r="AD23" s="112">
        <v>0</v>
      </c>
      <c r="AE23" s="112">
        <v>0</v>
      </c>
      <c r="AF23" s="112">
        <v>0</v>
      </c>
      <c r="AG23" s="112">
        <v>0</v>
      </c>
      <c r="AH23" s="112">
        <v>0</v>
      </c>
      <c r="AI23" s="112">
        <v>0</v>
      </c>
      <c r="AJ23" s="112">
        <v>0</v>
      </c>
      <c r="AK23" s="112">
        <v>0</v>
      </c>
      <c r="AL23" s="112">
        <v>0</v>
      </c>
      <c r="AM23" s="112">
        <v>0</v>
      </c>
      <c r="AN23" s="112">
        <v>0</v>
      </c>
      <c r="AO23" s="112">
        <v>0</v>
      </c>
      <c r="AP23" s="112">
        <v>0</v>
      </c>
      <c r="AQ23" s="112">
        <v>0</v>
      </c>
      <c r="AR23" s="112">
        <v>0</v>
      </c>
      <c r="AS23" s="112">
        <v>0</v>
      </c>
    </row>
    <row r="24" spans="1:45" customFormat="1" x14ac:dyDescent="0.15">
      <c r="A24" s="193" t="s">
        <v>215</v>
      </c>
      <c r="B24" s="112">
        <v>0</v>
      </c>
      <c r="C24" s="112">
        <v>0</v>
      </c>
      <c r="D24" s="112">
        <v>0</v>
      </c>
      <c r="E24" s="112">
        <v>1</v>
      </c>
      <c r="F24" s="112">
        <v>1</v>
      </c>
      <c r="G24" s="112">
        <v>1</v>
      </c>
      <c r="H24" s="112">
        <v>1</v>
      </c>
      <c r="I24" s="112">
        <v>1</v>
      </c>
      <c r="J24" s="112">
        <v>0</v>
      </c>
      <c r="K24" s="112">
        <v>1</v>
      </c>
      <c r="L24" s="112">
        <v>1</v>
      </c>
      <c r="M24" s="112">
        <v>1</v>
      </c>
      <c r="N24" s="112">
        <v>0</v>
      </c>
      <c r="O24" s="112">
        <v>0</v>
      </c>
      <c r="P24" s="112">
        <v>0</v>
      </c>
      <c r="Q24" s="112">
        <v>0</v>
      </c>
      <c r="R24" s="112">
        <v>0</v>
      </c>
      <c r="S24" s="112">
        <v>0</v>
      </c>
      <c r="T24" s="112">
        <v>0</v>
      </c>
      <c r="U24" s="112">
        <v>0</v>
      </c>
      <c r="V24" s="112">
        <v>0</v>
      </c>
      <c r="W24" s="112">
        <v>0</v>
      </c>
      <c r="X24" s="112">
        <v>0</v>
      </c>
      <c r="Y24" s="112">
        <v>0</v>
      </c>
      <c r="Z24" s="112">
        <v>0</v>
      </c>
      <c r="AA24" s="112">
        <v>0</v>
      </c>
      <c r="AB24" s="112">
        <v>0</v>
      </c>
      <c r="AC24" s="112">
        <v>0</v>
      </c>
      <c r="AD24" s="112">
        <v>0</v>
      </c>
      <c r="AE24" s="112">
        <v>0</v>
      </c>
      <c r="AF24" s="112">
        <v>0</v>
      </c>
      <c r="AG24" s="112">
        <v>0</v>
      </c>
      <c r="AH24" s="112">
        <v>0</v>
      </c>
      <c r="AI24" s="112">
        <v>0</v>
      </c>
      <c r="AJ24" s="112">
        <v>0</v>
      </c>
      <c r="AK24" s="112">
        <v>0</v>
      </c>
      <c r="AL24" s="112">
        <v>0</v>
      </c>
      <c r="AM24" s="112">
        <v>0</v>
      </c>
      <c r="AN24" s="112">
        <v>0</v>
      </c>
      <c r="AO24" s="112">
        <v>0</v>
      </c>
      <c r="AP24" s="112">
        <v>0</v>
      </c>
      <c r="AQ24" s="112">
        <v>0</v>
      </c>
      <c r="AR24" s="112">
        <v>0</v>
      </c>
      <c r="AS24" s="112">
        <v>0</v>
      </c>
    </row>
    <row r="25" spans="1:45" customFormat="1" x14ac:dyDescent="0.15">
      <c r="A25" s="193" t="s">
        <v>216</v>
      </c>
      <c r="B25" s="112">
        <v>0</v>
      </c>
      <c r="C25" s="112">
        <v>0</v>
      </c>
      <c r="D25" s="112">
        <v>0</v>
      </c>
      <c r="E25" s="112">
        <v>1</v>
      </c>
      <c r="F25" s="112">
        <v>1</v>
      </c>
      <c r="G25" s="112">
        <v>0</v>
      </c>
      <c r="H25" s="112">
        <v>0</v>
      </c>
      <c r="I25" s="112">
        <v>0</v>
      </c>
      <c r="J25" s="112">
        <v>0</v>
      </c>
      <c r="K25" s="112">
        <v>0</v>
      </c>
      <c r="L25" s="112">
        <v>0</v>
      </c>
      <c r="M25" s="112">
        <v>0</v>
      </c>
      <c r="N25" s="112">
        <v>0</v>
      </c>
      <c r="O25" s="112">
        <v>0</v>
      </c>
      <c r="P25" s="112">
        <v>0</v>
      </c>
      <c r="Q25" s="112">
        <v>0</v>
      </c>
      <c r="R25" s="112">
        <v>0</v>
      </c>
      <c r="S25" s="112">
        <v>0</v>
      </c>
      <c r="T25" s="112">
        <v>0</v>
      </c>
      <c r="U25" s="112">
        <v>0</v>
      </c>
      <c r="V25" s="112">
        <v>0</v>
      </c>
      <c r="W25" s="112">
        <v>0</v>
      </c>
      <c r="X25" s="112">
        <v>0</v>
      </c>
      <c r="Y25" s="112">
        <v>1</v>
      </c>
      <c r="Z25" s="112">
        <v>0</v>
      </c>
      <c r="AA25" s="112">
        <v>0</v>
      </c>
      <c r="AB25" s="112">
        <v>0</v>
      </c>
      <c r="AC25" s="112">
        <v>0</v>
      </c>
      <c r="AD25" s="112">
        <v>0</v>
      </c>
      <c r="AE25" s="112">
        <v>0</v>
      </c>
      <c r="AF25" s="112">
        <v>0</v>
      </c>
      <c r="AG25" s="112">
        <v>0</v>
      </c>
      <c r="AH25" s="112">
        <v>0</v>
      </c>
      <c r="AI25" s="112">
        <v>0</v>
      </c>
      <c r="AJ25" s="112">
        <v>0</v>
      </c>
      <c r="AK25" s="112">
        <v>0</v>
      </c>
      <c r="AL25" s="112">
        <v>0</v>
      </c>
      <c r="AM25" s="112">
        <v>0</v>
      </c>
      <c r="AN25" s="112">
        <v>0</v>
      </c>
      <c r="AO25" s="112">
        <v>0</v>
      </c>
      <c r="AP25" s="112">
        <v>0</v>
      </c>
      <c r="AQ25" s="112">
        <v>0</v>
      </c>
      <c r="AR25" s="112">
        <v>0</v>
      </c>
      <c r="AS25" s="112">
        <v>0</v>
      </c>
    </row>
    <row r="26" spans="1:45" customFormat="1" x14ac:dyDescent="0.15">
      <c r="A26" s="193" t="s">
        <v>217</v>
      </c>
      <c r="B26" s="112">
        <v>1</v>
      </c>
      <c r="C26" s="112">
        <v>1</v>
      </c>
      <c r="D26" s="112">
        <v>1</v>
      </c>
      <c r="E26" s="112">
        <v>1</v>
      </c>
      <c r="F26" s="112">
        <v>1</v>
      </c>
      <c r="G26" s="112">
        <v>1</v>
      </c>
      <c r="H26" s="112">
        <v>0</v>
      </c>
      <c r="I26" s="112">
        <v>1</v>
      </c>
      <c r="J26" s="112">
        <v>0</v>
      </c>
      <c r="K26" s="112">
        <v>1</v>
      </c>
      <c r="L26" s="112">
        <v>0</v>
      </c>
      <c r="M26" s="112">
        <v>1</v>
      </c>
      <c r="N26" s="112">
        <v>0</v>
      </c>
      <c r="O26" s="112">
        <v>0</v>
      </c>
      <c r="P26" s="112">
        <v>0</v>
      </c>
      <c r="Q26" s="112">
        <v>0</v>
      </c>
      <c r="R26" s="112">
        <v>0</v>
      </c>
      <c r="S26" s="112">
        <v>0</v>
      </c>
      <c r="T26" s="112">
        <v>0</v>
      </c>
      <c r="U26" s="112">
        <v>0</v>
      </c>
      <c r="V26" s="112">
        <v>0</v>
      </c>
      <c r="W26" s="112">
        <v>0</v>
      </c>
      <c r="X26" s="112">
        <v>0</v>
      </c>
      <c r="Y26" s="112">
        <v>1</v>
      </c>
      <c r="Z26" s="112">
        <v>0</v>
      </c>
      <c r="AA26" s="112">
        <v>0</v>
      </c>
      <c r="AB26" s="112">
        <v>0</v>
      </c>
      <c r="AC26" s="112">
        <v>0</v>
      </c>
      <c r="AD26" s="112">
        <v>0</v>
      </c>
      <c r="AE26" s="112">
        <v>0</v>
      </c>
      <c r="AF26" s="112">
        <v>0</v>
      </c>
      <c r="AG26" s="112">
        <v>0</v>
      </c>
      <c r="AH26" s="112">
        <v>0</v>
      </c>
      <c r="AI26" s="112">
        <v>0</v>
      </c>
      <c r="AJ26" s="112">
        <v>0</v>
      </c>
      <c r="AK26" s="112">
        <v>0</v>
      </c>
      <c r="AL26" s="112">
        <v>0</v>
      </c>
      <c r="AM26" s="112">
        <v>0</v>
      </c>
      <c r="AN26" s="112">
        <v>0</v>
      </c>
      <c r="AO26" s="112">
        <v>0</v>
      </c>
      <c r="AP26" s="112">
        <v>0</v>
      </c>
      <c r="AQ26" s="112">
        <v>0</v>
      </c>
      <c r="AR26" s="112">
        <v>0</v>
      </c>
      <c r="AS26" s="112">
        <v>0</v>
      </c>
    </row>
    <row r="27" spans="1:45" customFormat="1" x14ac:dyDescent="0.15">
      <c r="A27" s="193" t="s">
        <v>218</v>
      </c>
      <c r="B27" s="112">
        <v>0</v>
      </c>
      <c r="C27" s="112">
        <v>0</v>
      </c>
      <c r="D27" s="112">
        <v>1</v>
      </c>
      <c r="E27" s="112">
        <v>1</v>
      </c>
      <c r="F27" s="112">
        <v>1</v>
      </c>
      <c r="G27" s="112">
        <v>1</v>
      </c>
      <c r="H27" s="112">
        <v>1</v>
      </c>
      <c r="I27" s="112">
        <v>1</v>
      </c>
      <c r="J27" s="112">
        <v>0</v>
      </c>
      <c r="K27" s="112">
        <v>1</v>
      </c>
      <c r="L27" s="112">
        <v>0</v>
      </c>
      <c r="M27" s="112">
        <v>1</v>
      </c>
      <c r="N27" s="112">
        <v>1</v>
      </c>
      <c r="O27" s="112">
        <v>0</v>
      </c>
      <c r="P27" s="112">
        <v>0</v>
      </c>
      <c r="Q27" s="112">
        <v>1</v>
      </c>
      <c r="R27" s="112">
        <v>0</v>
      </c>
      <c r="S27" s="112">
        <v>0</v>
      </c>
      <c r="T27" s="112">
        <v>1</v>
      </c>
      <c r="U27" s="112">
        <v>1</v>
      </c>
      <c r="V27" s="112">
        <v>0</v>
      </c>
      <c r="W27" s="112">
        <v>0</v>
      </c>
      <c r="X27" s="112">
        <v>1</v>
      </c>
      <c r="Y27" s="112">
        <v>1</v>
      </c>
      <c r="Z27" s="112">
        <v>0</v>
      </c>
      <c r="AA27" s="112">
        <v>1</v>
      </c>
      <c r="AB27" s="112">
        <v>0</v>
      </c>
      <c r="AC27" s="112">
        <v>0</v>
      </c>
      <c r="AD27" s="112">
        <v>0</v>
      </c>
      <c r="AE27" s="112">
        <v>0</v>
      </c>
      <c r="AF27" s="112">
        <v>0</v>
      </c>
      <c r="AG27" s="112">
        <v>0</v>
      </c>
      <c r="AH27" s="112">
        <v>0</v>
      </c>
      <c r="AI27" s="112">
        <v>0</v>
      </c>
      <c r="AJ27" s="112">
        <v>0</v>
      </c>
      <c r="AK27" s="112">
        <v>0</v>
      </c>
      <c r="AL27" s="112">
        <v>0</v>
      </c>
      <c r="AM27" s="112">
        <v>0</v>
      </c>
      <c r="AN27" s="112">
        <v>0</v>
      </c>
      <c r="AO27" s="112">
        <v>0</v>
      </c>
      <c r="AP27" s="112">
        <v>0</v>
      </c>
      <c r="AQ27" s="112">
        <v>0</v>
      </c>
      <c r="AR27" s="112">
        <v>0</v>
      </c>
      <c r="AS27" s="112">
        <v>0</v>
      </c>
    </row>
    <row r="28" spans="1:45" customFormat="1" x14ac:dyDescent="0.15">
      <c r="A28" s="193" t="s">
        <v>219</v>
      </c>
      <c r="B28" s="112">
        <v>0</v>
      </c>
      <c r="C28" s="112">
        <v>0</v>
      </c>
      <c r="D28" s="112">
        <v>0</v>
      </c>
      <c r="E28" s="112">
        <v>0</v>
      </c>
      <c r="F28" s="112">
        <v>0</v>
      </c>
      <c r="G28" s="112">
        <v>1</v>
      </c>
      <c r="H28" s="112">
        <v>1</v>
      </c>
      <c r="I28" s="112">
        <v>0</v>
      </c>
      <c r="J28" s="112">
        <v>0</v>
      </c>
      <c r="K28" s="112">
        <v>1</v>
      </c>
      <c r="L28" s="112">
        <v>0</v>
      </c>
      <c r="M28" s="112">
        <v>0</v>
      </c>
      <c r="N28" s="112">
        <v>0</v>
      </c>
      <c r="O28" s="112">
        <v>0</v>
      </c>
      <c r="P28" s="112">
        <v>0</v>
      </c>
      <c r="Q28" s="112">
        <v>1</v>
      </c>
      <c r="R28" s="112">
        <v>0</v>
      </c>
      <c r="S28" s="112">
        <v>0</v>
      </c>
      <c r="T28" s="112">
        <v>0</v>
      </c>
      <c r="U28" s="112">
        <v>0</v>
      </c>
      <c r="V28" s="112">
        <v>0</v>
      </c>
      <c r="W28" s="112">
        <v>0</v>
      </c>
      <c r="X28" s="112">
        <v>0</v>
      </c>
      <c r="Y28" s="112">
        <v>0</v>
      </c>
      <c r="Z28" s="112">
        <v>0</v>
      </c>
      <c r="AA28" s="112">
        <v>0</v>
      </c>
      <c r="AB28" s="112">
        <v>0</v>
      </c>
      <c r="AC28" s="112">
        <v>0</v>
      </c>
      <c r="AD28" s="112">
        <v>0</v>
      </c>
      <c r="AE28" s="112">
        <v>0</v>
      </c>
      <c r="AF28" s="112">
        <v>0</v>
      </c>
      <c r="AG28" s="112">
        <v>0</v>
      </c>
      <c r="AH28" s="112">
        <v>0</v>
      </c>
      <c r="AI28" s="112">
        <v>0</v>
      </c>
      <c r="AJ28" s="112">
        <v>0</v>
      </c>
      <c r="AK28" s="112">
        <v>0</v>
      </c>
      <c r="AL28" s="112">
        <v>0</v>
      </c>
      <c r="AM28" s="112">
        <v>0</v>
      </c>
      <c r="AN28" s="112">
        <v>0</v>
      </c>
      <c r="AO28" s="112">
        <v>0</v>
      </c>
      <c r="AP28" s="112">
        <v>0</v>
      </c>
      <c r="AQ28" s="112">
        <v>0</v>
      </c>
      <c r="AR28" s="112">
        <v>0</v>
      </c>
      <c r="AS28" s="112">
        <v>0</v>
      </c>
    </row>
    <row r="29" spans="1:45" customFormat="1" x14ac:dyDescent="0.15">
      <c r="A29" s="193" t="s">
        <v>220</v>
      </c>
      <c r="B29" s="112">
        <v>0</v>
      </c>
      <c r="C29" s="112">
        <v>0</v>
      </c>
      <c r="D29" s="112">
        <v>0</v>
      </c>
      <c r="E29" s="112">
        <v>0</v>
      </c>
      <c r="F29" s="112">
        <v>0</v>
      </c>
      <c r="G29" s="112">
        <v>1</v>
      </c>
      <c r="H29" s="112">
        <v>1</v>
      </c>
      <c r="I29" s="112">
        <v>1</v>
      </c>
      <c r="J29" s="112">
        <v>1</v>
      </c>
      <c r="K29" s="112">
        <v>0</v>
      </c>
      <c r="L29" s="112">
        <v>0</v>
      </c>
      <c r="M29" s="112">
        <v>0</v>
      </c>
      <c r="N29" s="112">
        <v>0</v>
      </c>
      <c r="O29" s="112">
        <v>0</v>
      </c>
      <c r="P29" s="112">
        <v>0</v>
      </c>
      <c r="Q29" s="112">
        <v>1</v>
      </c>
      <c r="R29" s="112">
        <v>0</v>
      </c>
      <c r="S29" s="112">
        <v>1</v>
      </c>
      <c r="T29" s="112">
        <v>1</v>
      </c>
      <c r="U29" s="112">
        <v>0</v>
      </c>
      <c r="V29" s="112">
        <v>0</v>
      </c>
      <c r="W29" s="112">
        <v>0</v>
      </c>
      <c r="X29" s="112">
        <v>1</v>
      </c>
      <c r="Y29" s="112">
        <v>0</v>
      </c>
      <c r="Z29" s="112">
        <v>0</v>
      </c>
      <c r="AA29" s="112">
        <v>0</v>
      </c>
      <c r="AB29" s="112">
        <v>0</v>
      </c>
      <c r="AC29" s="112">
        <v>1</v>
      </c>
      <c r="AD29" s="112">
        <v>0</v>
      </c>
      <c r="AE29" s="112">
        <v>0</v>
      </c>
      <c r="AF29" s="112">
        <v>0</v>
      </c>
      <c r="AG29" s="112">
        <v>0</v>
      </c>
      <c r="AH29" s="112">
        <v>0</v>
      </c>
      <c r="AI29" s="112">
        <v>0</v>
      </c>
      <c r="AJ29" s="112">
        <v>0</v>
      </c>
      <c r="AK29" s="112">
        <v>0</v>
      </c>
      <c r="AL29" s="112">
        <v>0</v>
      </c>
      <c r="AM29" s="112">
        <v>0</v>
      </c>
      <c r="AN29" s="112">
        <v>0</v>
      </c>
      <c r="AO29" s="112">
        <v>0</v>
      </c>
      <c r="AP29" s="112">
        <v>0</v>
      </c>
      <c r="AQ29" s="112">
        <v>0</v>
      </c>
      <c r="AR29" s="112">
        <v>0</v>
      </c>
      <c r="AS29" s="112">
        <v>0</v>
      </c>
    </row>
    <row r="30" spans="1:45" customFormat="1" x14ac:dyDescent="0.15">
      <c r="A30" s="193" t="s">
        <v>221</v>
      </c>
      <c r="B30" s="112">
        <v>0</v>
      </c>
      <c r="C30" s="112">
        <v>0</v>
      </c>
      <c r="D30" s="112">
        <v>0</v>
      </c>
      <c r="E30" s="112">
        <v>0</v>
      </c>
      <c r="F30" s="112">
        <v>1</v>
      </c>
      <c r="G30" s="112">
        <v>1</v>
      </c>
      <c r="H30" s="112">
        <v>1</v>
      </c>
      <c r="I30" s="112">
        <v>1</v>
      </c>
      <c r="J30" s="112">
        <v>1</v>
      </c>
      <c r="K30" s="112">
        <v>1</v>
      </c>
      <c r="L30" s="112">
        <v>1</v>
      </c>
      <c r="M30" s="112">
        <v>0</v>
      </c>
      <c r="N30" s="112">
        <v>1</v>
      </c>
      <c r="O30" s="112">
        <v>1</v>
      </c>
      <c r="P30" s="112">
        <v>0</v>
      </c>
      <c r="Q30" s="112">
        <v>1</v>
      </c>
      <c r="R30" s="112">
        <v>1</v>
      </c>
      <c r="S30" s="112">
        <v>1</v>
      </c>
      <c r="T30" s="112">
        <v>1</v>
      </c>
      <c r="U30" s="112">
        <v>0</v>
      </c>
      <c r="V30" s="112">
        <v>0</v>
      </c>
      <c r="W30" s="112">
        <v>0</v>
      </c>
      <c r="X30" s="112">
        <v>1</v>
      </c>
      <c r="Y30" s="112">
        <v>1</v>
      </c>
      <c r="Z30" s="112">
        <v>1</v>
      </c>
      <c r="AA30" s="112">
        <v>1</v>
      </c>
      <c r="AB30" s="112">
        <v>1</v>
      </c>
      <c r="AC30" s="112">
        <v>1</v>
      </c>
      <c r="AD30" s="112">
        <v>1</v>
      </c>
      <c r="AE30" s="112">
        <v>0</v>
      </c>
      <c r="AF30" s="112">
        <v>0</v>
      </c>
      <c r="AG30" s="112">
        <v>0</v>
      </c>
      <c r="AH30" s="112">
        <v>0</v>
      </c>
      <c r="AI30" s="112">
        <v>0</v>
      </c>
      <c r="AJ30" s="112">
        <v>0</v>
      </c>
      <c r="AK30" s="112">
        <v>0</v>
      </c>
      <c r="AL30" s="112">
        <v>0</v>
      </c>
      <c r="AM30" s="112">
        <v>0</v>
      </c>
      <c r="AN30" s="112">
        <v>0</v>
      </c>
      <c r="AO30" s="112">
        <v>0</v>
      </c>
      <c r="AP30" s="112">
        <v>0</v>
      </c>
      <c r="AQ30" s="112">
        <v>0</v>
      </c>
      <c r="AR30" s="112">
        <v>0</v>
      </c>
      <c r="AS30" s="112">
        <v>0</v>
      </c>
    </row>
    <row r="31" spans="1:45" customFormat="1" x14ac:dyDescent="0.15">
      <c r="A31" s="193" t="s">
        <v>222</v>
      </c>
      <c r="B31" s="112">
        <v>0</v>
      </c>
      <c r="C31" s="112">
        <v>0</v>
      </c>
      <c r="D31" s="112">
        <v>0</v>
      </c>
      <c r="E31" s="112">
        <v>0</v>
      </c>
      <c r="F31" s="112">
        <v>1</v>
      </c>
      <c r="G31" s="112">
        <v>1</v>
      </c>
      <c r="H31" s="112">
        <v>1</v>
      </c>
      <c r="I31" s="112">
        <v>1</v>
      </c>
      <c r="J31" s="112">
        <v>1</v>
      </c>
      <c r="K31" s="112">
        <v>1</v>
      </c>
      <c r="L31" s="112">
        <v>1</v>
      </c>
      <c r="M31" s="112">
        <v>0</v>
      </c>
      <c r="N31" s="112">
        <v>0</v>
      </c>
      <c r="O31" s="112">
        <v>0</v>
      </c>
      <c r="P31" s="112">
        <v>0</v>
      </c>
      <c r="Q31" s="112">
        <v>1</v>
      </c>
      <c r="R31" s="112">
        <v>1</v>
      </c>
      <c r="S31" s="112">
        <v>1</v>
      </c>
      <c r="T31" s="112">
        <v>1</v>
      </c>
      <c r="U31" s="112">
        <v>0</v>
      </c>
      <c r="V31" s="112">
        <v>0</v>
      </c>
      <c r="W31" s="112">
        <v>0</v>
      </c>
      <c r="X31" s="112">
        <v>1</v>
      </c>
      <c r="Y31" s="112">
        <v>1</v>
      </c>
      <c r="Z31" s="112">
        <v>0</v>
      </c>
      <c r="AA31" s="112">
        <v>1</v>
      </c>
      <c r="AB31" s="112">
        <v>1</v>
      </c>
      <c r="AC31" s="112">
        <v>1</v>
      </c>
      <c r="AD31" s="112">
        <v>1</v>
      </c>
      <c r="AE31" s="112">
        <v>1</v>
      </c>
      <c r="AF31" s="112">
        <v>0</v>
      </c>
      <c r="AG31" s="112">
        <v>0</v>
      </c>
      <c r="AH31" s="112">
        <v>0</v>
      </c>
      <c r="AI31" s="112">
        <v>0</v>
      </c>
      <c r="AJ31" s="112">
        <v>0</v>
      </c>
      <c r="AK31" s="112">
        <v>0</v>
      </c>
      <c r="AL31" s="112">
        <v>0</v>
      </c>
      <c r="AM31" s="112">
        <v>0</v>
      </c>
      <c r="AN31" s="112">
        <v>0</v>
      </c>
      <c r="AO31" s="112">
        <v>0</v>
      </c>
      <c r="AP31" s="112">
        <v>0</v>
      </c>
      <c r="AQ31" s="112">
        <v>0</v>
      </c>
      <c r="AR31" s="112">
        <v>0</v>
      </c>
      <c r="AS31" s="112">
        <v>0</v>
      </c>
    </row>
    <row r="32" spans="1:45" x14ac:dyDescent="0.15">
      <c r="A32" s="193" t="s">
        <v>223</v>
      </c>
      <c r="B32" s="112">
        <v>0</v>
      </c>
      <c r="C32" s="112">
        <v>0</v>
      </c>
      <c r="D32" s="112">
        <v>0</v>
      </c>
      <c r="E32" s="112">
        <v>0</v>
      </c>
      <c r="F32" s="112">
        <v>1</v>
      </c>
      <c r="G32" s="112">
        <v>0</v>
      </c>
      <c r="H32" s="112">
        <v>1</v>
      </c>
      <c r="I32" s="112">
        <v>1</v>
      </c>
      <c r="J32" s="112">
        <v>0</v>
      </c>
      <c r="K32" s="112">
        <v>0</v>
      </c>
      <c r="L32" s="112">
        <v>1</v>
      </c>
      <c r="M32" s="112">
        <v>1</v>
      </c>
      <c r="N32" s="112">
        <v>0</v>
      </c>
      <c r="O32" s="112">
        <v>1</v>
      </c>
      <c r="P32" s="112">
        <v>1</v>
      </c>
      <c r="Q32" s="112">
        <v>1</v>
      </c>
      <c r="R32" s="112">
        <v>0</v>
      </c>
      <c r="S32" s="112">
        <v>1</v>
      </c>
      <c r="T32" s="112">
        <v>1</v>
      </c>
      <c r="U32" s="112">
        <v>0</v>
      </c>
      <c r="V32" s="112">
        <v>0</v>
      </c>
      <c r="W32" s="112">
        <v>1</v>
      </c>
      <c r="X32" s="112">
        <v>1</v>
      </c>
      <c r="Y32" s="112">
        <v>0</v>
      </c>
      <c r="Z32" s="112">
        <v>1</v>
      </c>
      <c r="AA32" s="112">
        <v>1</v>
      </c>
      <c r="AB32" s="112">
        <v>1</v>
      </c>
      <c r="AC32" s="112">
        <v>1</v>
      </c>
      <c r="AD32" s="112">
        <v>0</v>
      </c>
      <c r="AE32" s="112">
        <v>1</v>
      </c>
      <c r="AF32" s="112">
        <v>0</v>
      </c>
      <c r="AG32" s="112">
        <v>0</v>
      </c>
      <c r="AH32" s="112">
        <v>0</v>
      </c>
      <c r="AI32" s="112">
        <v>0</v>
      </c>
      <c r="AJ32" s="112">
        <v>0</v>
      </c>
      <c r="AK32" s="112">
        <v>0</v>
      </c>
      <c r="AL32" s="112">
        <v>0</v>
      </c>
      <c r="AM32" s="112">
        <v>0</v>
      </c>
      <c r="AN32" s="112">
        <v>0</v>
      </c>
      <c r="AO32" s="112">
        <v>0</v>
      </c>
      <c r="AP32" s="112">
        <v>0</v>
      </c>
      <c r="AQ32" s="112">
        <v>0</v>
      </c>
      <c r="AR32" s="112">
        <v>0</v>
      </c>
      <c r="AS32" s="112">
        <v>0</v>
      </c>
    </row>
    <row r="33" spans="1:45" x14ac:dyDescent="0.15">
      <c r="A33" s="193" t="s">
        <v>224</v>
      </c>
      <c r="B33" s="112">
        <v>0</v>
      </c>
      <c r="C33" s="112">
        <v>0</v>
      </c>
      <c r="D33" s="112">
        <v>0</v>
      </c>
      <c r="E33" s="112">
        <v>0</v>
      </c>
      <c r="F33" s="112">
        <v>0</v>
      </c>
      <c r="G33" s="112">
        <v>1</v>
      </c>
      <c r="H33" s="112">
        <v>0</v>
      </c>
      <c r="I33" s="112">
        <v>0</v>
      </c>
      <c r="J33" s="112">
        <v>1</v>
      </c>
      <c r="K33" s="112">
        <v>0</v>
      </c>
      <c r="L33" s="112">
        <v>0</v>
      </c>
      <c r="M33" s="112">
        <v>1</v>
      </c>
      <c r="N33" s="112">
        <v>0</v>
      </c>
      <c r="O33" s="112">
        <v>1</v>
      </c>
      <c r="P33" s="112">
        <v>1</v>
      </c>
      <c r="Q33" s="112">
        <v>1</v>
      </c>
      <c r="R33" s="112">
        <v>1</v>
      </c>
      <c r="S33" s="112">
        <v>1</v>
      </c>
      <c r="T33" s="112">
        <v>1</v>
      </c>
      <c r="U33" s="112">
        <v>0</v>
      </c>
      <c r="V33" s="112">
        <v>0</v>
      </c>
      <c r="W33" s="112">
        <v>1</v>
      </c>
      <c r="X33" s="112">
        <v>1</v>
      </c>
      <c r="Y33" s="112">
        <v>1</v>
      </c>
      <c r="Z33" s="112">
        <v>1</v>
      </c>
      <c r="AA33" s="112">
        <v>1</v>
      </c>
      <c r="AB33" s="112">
        <v>1</v>
      </c>
      <c r="AC33" s="112">
        <v>1</v>
      </c>
      <c r="AD33" s="112">
        <v>1</v>
      </c>
      <c r="AE33" s="112">
        <v>1</v>
      </c>
      <c r="AF33" s="112">
        <v>0</v>
      </c>
      <c r="AG33" s="112">
        <v>0</v>
      </c>
      <c r="AH33" s="112">
        <v>0</v>
      </c>
      <c r="AI33" s="112">
        <v>0</v>
      </c>
      <c r="AJ33" s="112">
        <v>0</v>
      </c>
      <c r="AK33" s="112">
        <v>0</v>
      </c>
      <c r="AL33" s="112">
        <v>0</v>
      </c>
      <c r="AM33" s="112">
        <v>0</v>
      </c>
      <c r="AN33" s="112">
        <v>0</v>
      </c>
      <c r="AO33" s="112">
        <v>0</v>
      </c>
      <c r="AP33" s="112">
        <v>0</v>
      </c>
      <c r="AQ33" s="112">
        <v>0</v>
      </c>
      <c r="AR33" s="112">
        <v>0</v>
      </c>
      <c r="AS33" s="112">
        <v>0</v>
      </c>
    </row>
    <row r="34" spans="1:45" x14ac:dyDescent="0.15">
      <c r="A34" s="193" t="s">
        <v>225</v>
      </c>
      <c r="B34" s="112">
        <v>0</v>
      </c>
      <c r="C34" s="112">
        <v>0</v>
      </c>
      <c r="D34" s="112">
        <v>0</v>
      </c>
      <c r="E34" s="112">
        <v>0</v>
      </c>
      <c r="F34" s="112">
        <v>0</v>
      </c>
      <c r="G34" s="112">
        <v>0</v>
      </c>
      <c r="H34" s="112">
        <v>0</v>
      </c>
      <c r="I34" s="112">
        <v>0</v>
      </c>
      <c r="J34" s="112">
        <v>0</v>
      </c>
      <c r="K34" s="112">
        <v>0</v>
      </c>
      <c r="L34" s="112">
        <v>0</v>
      </c>
      <c r="M34" s="112">
        <v>0</v>
      </c>
      <c r="N34" s="112">
        <v>0</v>
      </c>
      <c r="O34" s="112">
        <v>0</v>
      </c>
      <c r="P34" s="112">
        <v>0</v>
      </c>
      <c r="Q34" s="112">
        <v>0</v>
      </c>
      <c r="R34" s="112">
        <v>0</v>
      </c>
      <c r="S34" s="112">
        <v>0</v>
      </c>
      <c r="T34" s="112">
        <v>0</v>
      </c>
      <c r="U34" s="112">
        <v>0</v>
      </c>
      <c r="V34" s="112">
        <v>0</v>
      </c>
      <c r="W34" s="112">
        <v>0</v>
      </c>
      <c r="X34" s="112">
        <v>0</v>
      </c>
      <c r="Y34" s="112">
        <v>0</v>
      </c>
      <c r="Z34" s="112">
        <v>0</v>
      </c>
      <c r="AA34" s="112">
        <v>0</v>
      </c>
      <c r="AB34" s="112">
        <v>1</v>
      </c>
      <c r="AC34" s="112">
        <v>0</v>
      </c>
      <c r="AD34" s="112">
        <v>1</v>
      </c>
      <c r="AE34" s="112">
        <v>1</v>
      </c>
      <c r="AF34" s="112">
        <v>1</v>
      </c>
      <c r="AG34" s="112">
        <v>0</v>
      </c>
      <c r="AH34" s="112">
        <v>0</v>
      </c>
      <c r="AI34" s="112">
        <v>0</v>
      </c>
      <c r="AJ34" s="112">
        <v>0</v>
      </c>
      <c r="AK34" s="112">
        <v>0</v>
      </c>
      <c r="AL34" s="112">
        <v>0</v>
      </c>
      <c r="AM34" s="112">
        <v>0</v>
      </c>
      <c r="AN34" s="112">
        <v>0</v>
      </c>
      <c r="AO34" s="112">
        <v>0</v>
      </c>
      <c r="AP34" s="112">
        <v>0</v>
      </c>
      <c r="AQ34" s="112">
        <v>0</v>
      </c>
      <c r="AR34" s="112">
        <v>0</v>
      </c>
      <c r="AS34" s="112">
        <v>0</v>
      </c>
    </row>
    <row r="35" spans="1:45" x14ac:dyDescent="0.15">
      <c r="A35" s="193" t="s">
        <v>226</v>
      </c>
      <c r="B35" s="112">
        <v>0</v>
      </c>
      <c r="C35" s="112">
        <v>0</v>
      </c>
      <c r="D35" s="112">
        <v>0</v>
      </c>
      <c r="E35" s="112">
        <v>0</v>
      </c>
      <c r="F35" s="112">
        <v>0</v>
      </c>
      <c r="G35" s="112">
        <v>0</v>
      </c>
      <c r="H35" s="112">
        <v>0</v>
      </c>
      <c r="I35" s="112">
        <v>0</v>
      </c>
      <c r="J35" s="112">
        <v>0</v>
      </c>
      <c r="K35" s="112">
        <v>1</v>
      </c>
      <c r="L35" s="112">
        <v>1</v>
      </c>
      <c r="M35" s="112">
        <v>0</v>
      </c>
      <c r="N35" s="112">
        <v>0</v>
      </c>
      <c r="O35" s="112">
        <v>0</v>
      </c>
      <c r="P35" s="112">
        <v>0</v>
      </c>
      <c r="Q35" s="112">
        <v>0</v>
      </c>
      <c r="R35" s="112">
        <v>0</v>
      </c>
      <c r="S35" s="112">
        <v>0</v>
      </c>
      <c r="T35" s="112">
        <v>0</v>
      </c>
      <c r="U35" s="112">
        <v>0</v>
      </c>
      <c r="V35" s="112">
        <v>0</v>
      </c>
      <c r="W35" s="112">
        <v>0</v>
      </c>
      <c r="X35" s="112">
        <v>0</v>
      </c>
      <c r="Y35" s="112">
        <v>0</v>
      </c>
      <c r="Z35" s="112">
        <v>0</v>
      </c>
      <c r="AA35" s="112">
        <v>1</v>
      </c>
      <c r="AB35" s="112">
        <v>1</v>
      </c>
      <c r="AC35" s="112">
        <v>0</v>
      </c>
      <c r="AD35" s="112">
        <v>0</v>
      </c>
      <c r="AE35" s="112">
        <v>1</v>
      </c>
      <c r="AF35" s="112">
        <v>0</v>
      </c>
      <c r="AG35" s="112">
        <v>0</v>
      </c>
      <c r="AH35" s="112">
        <v>0</v>
      </c>
      <c r="AI35" s="112">
        <v>0</v>
      </c>
      <c r="AJ35" s="112">
        <v>0</v>
      </c>
      <c r="AK35" s="112">
        <v>0</v>
      </c>
      <c r="AL35" s="112">
        <v>0</v>
      </c>
      <c r="AM35" s="112">
        <v>0</v>
      </c>
      <c r="AN35" s="112">
        <v>0</v>
      </c>
      <c r="AO35" s="112">
        <v>0</v>
      </c>
      <c r="AP35" s="112">
        <v>0</v>
      </c>
      <c r="AQ35" s="112">
        <v>0</v>
      </c>
      <c r="AR35" s="112">
        <v>0</v>
      </c>
      <c r="AS35" s="112">
        <v>0</v>
      </c>
    </row>
    <row r="36" spans="1:45" x14ac:dyDescent="0.15">
      <c r="A36" s="193" t="s">
        <v>227</v>
      </c>
      <c r="B36" s="112">
        <v>0</v>
      </c>
      <c r="C36" s="112">
        <v>1</v>
      </c>
      <c r="D36" s="112">
        <v>1</v>
      </c>
      <c r="E36" s="112">
        <v>0</v>
      </c>
      <c r="F36" s="112">
        <v>0</v>
      </c>
      <c r="G36" s="112">
        <v>1</v>
      </c>
      <c r="H36" s="112">
        <v>1</v>
      </c>
      <c r="I36" s="112">
        <v>0</v>
      </c>
      <c r="J36" s="112">
        <v>1</v>
      </c>
      <c r="K36" s="112">
        <v>1</v>
      </c>
      <c r="L36" s="112">
        <v>1</v>
      </c>
      <c r="M36" s="112">
        <v>1</v>
      </c>
      <c r="N36" s="112">
        <v>0</v>
      </c>
      <c r="O36" s="112">
        <v>0</v>
      </c>
      <c r="P36" s="112">
        <v>0</v>
      </c>
      <c r="Q36" s="112">
        <v>1</v>
      </c>
      <c r="R36" s="112">
        <v>1</v>
      </c>
      <c r="S36" s="112">
        <v>1</v>
      </c>
      <c r="T36" s="112">
        <v>1</v>
      </c>
      <c r="U36" s="112">
        <v>1</v>
      </c>
      <c r="V36" s="112">
        <v>1</v>
      </c>
      <c r="W36" s="112">
        <v>1</v>
      </c>
      <c r="X36" s="112">
        <v>1</v>
      </c>
      <c r="Y36" s="112">
        <v>0</v>
      </c>
      <c r="Z36" s="112">
        <v>1</v>
      </c>
      <c r="AA36" s="112">
        <v>1</v>
      </c>
      <c r="AB36" s="112">
        <v>1</v>
      </c>
      <c r="AC36" s="112">
        <v>1</v>
      </c>
      <c r="AD36" s="112">
        <v>1</v>
      </c>
      <c r="AE36" s="112">
        <v>1</v>
      </c>
      <c r="AF36" s="112">
        <v>0</v>
      </c>
      <c r="AG36" s="112">
        <v>0</v>
      </c>
      <c r="AH36" s="112">
        <v>0</v>
      </c>
      <c r="AI36" s="112">
        <v>0</v>
      </c>
      <c r="AJ36" s="112">
        <v>0</v>
      </c>
      <c r="AK36" s="112">
        <v>0</v>
      </c>
      <c r="AL36" s="112">
        <v>0</v>
      </c>
      <c r="AM36" s="112">
        <v>0</v>
      </c>
      <c r="AN36" s="112">
        <v>0</v>
      </c>
      <c r="AO36" s="112">
        <v>0</v>
      </c>
      <c r="AP36" s="112">
        <v>0</v>
      </c>
      <c r="AQ36" s="112">
        <v>0</v>
      </c>
      <c r="AR36" s="112">
        <v>0</v>
      </c>
      <c r="AS36" s="112">
        <v>0</v>
      </c>
    </row>
    <row r="37" spans="1:45" x14ac:dyDescent="0.15">
      <c r="A37" s="193" t="s">
        <v>228</v>
      </c>
      <c r="B37" s="112">
        <v>0</v>
      </c>
      <c r="C37" s="112">
        <v>0</v>
      </c>
      <c r="D37" s="112">
        <v>1</v>
      </c>
      <c r="E37" s="112">
        <v>0</v>
      </c>
      <c r="F37" s="112">
        <v>0</v>
      </c>
      <c r="G37" s="112">
        <v>1</v>
      </c>
      <c r="H37" s="112">
        <v>0</v>
      </c>
      <c r="I37" s="112">
        <v>0</v>
      </c>
      <c r="J37" s="112">
        <v>1</v>
      </c>
      <c r="K37" s="112">
        <v>1</v>
      </c>
      <c r="L37" s="112">
        <v>1</v>
      </c>
      <c r="M37" s="112">
        <v>1</v>
      </c>
      <c r="N37" s="112">
        <v>0</v>
      </c>
      <c r="O37" s="112">
        <v>0</v>
      </c>
      <c r="P37" s="112">
        <v>0</v>
      </c>
      <c r="Q37" s="112">
        <v>1</v>
      </c>
      <c r="R37" s="112">
        <v>1</v>
      </c>
      <c r="S37" s="112">
        <v>1</v>
      </c>
      <c r="T37" s="112">
        <v>1</v>
      </c>
      <c r="U37" s="112">
        <v>1</v>
      </c>
      <c r="V37" s="112">
        <v>1</v>
      </c>
      <c r="W37" s="112">
        <v>1</v>
      </c>
      <c r="X37" s="112">
        <v>1</v>
      </c>
      <c r="Y37" s="112">
        <v>1</v>
      </c>
      <c r="Z37" s="112">
        <v>1</v>
      </c>
      <c r="AA37" s="112">
        <v>0</v>
      </c>
      <c r="AB37" s="112">
        <v>0</v>
      </c>
      <c r="AC37" s="112">
        <v>1</v>
      </c>
      <c r="AD37" s="112">
        <v>1</v>
      </c>
      <c r="AE37" s="112">
        <v>1</v>
      </c>
      <c r="AF37" s="112">
        <v>0</v>
      </c>
      <c r="AG37" s="112">
        <v>0</v>
      </c>
      <c r="AH37" s="112">
        <v>0</v>
      </c>
      <c r="AI37" s="112">
        <v>1</v>
      </c>
      <c r="AJ37" s="112">
        <v>1</v>
      </c>
      <c r="AK37" s="112">
        <v>1</v>
      </c>
      <c r="AL37" s="112">
        <v>0</v>
      </c>
      <c r="AM37" s="112">
        <v>0</v>
      </c>
      <c r="AN37" s="112">
        <v>0</v>
      </c>
      <c r="AO37" s="112">
        <v>0</v>
      </c>
      <c r="AP37" s="112">
        <v>0</v>
      </c>
      <c r="AQ37" s="112">
        <v>0</v>
      </c>
      <c r="AR37" s="112">
        <v>0</v>
      </c>
      <c r="AS37" s="112">
        <v>0</v>
      </c>
    </row>
    <row r="38" spans="1:45" x14ac:dyDescent="0.15">
      <c r="A38" s="193" t="s">
        <v>229</v>
      </c>
      <c r="B38" s="112">
        <v>0</v>
      </c>
      <c r="C38" s="112">
        <v>0</v>
      </c>
      <c r="D38" s="112">
        <v>0</v>
      </c>
      <c r="E38" s="112">
        <v>0</v>
      </c>
      <c r="F38" s="112">
        <v>0</v>
      </c>
      <c r="G38" s="112">
        <v>0</v>
      </c>
      <c r="H38" s="112">
        <v>0</v>
      </c>
      <c r="I38" s="112">
        <v>0</v>
      </c>
      <c r="J38" s="112">
        <v>0</v>
      </c>
      <c r="K38" s="112">
        <v>0</v>
      </c>
      <c r="L38" s="112">
        <v>0</v>
      </c>
      <c r="M38" s="112">
        <v>0</v>
      </c>
      <c r="N38" s="112">
        <v>0</v>
      </c>
      <c r="O38" s="112">
        <v>0</v>
      </c>
      <c r="P38" s="112">
        <v>0</v>
      </c>
      <c r="Q38" s="112">
        <v>0</v>
      </c>
      <c r="R38" s="112">
        <v>0</v>
      </c>
      <c r="S38" s="112">
        <v>0</v>
      </c>
      <c r="T38" s="112">
        <v>0</v>
      </c>
      <c r="U38" s="112">
        <v>0</v>
      </c>
      <c r="V38" s="112">
        <v>1</v>
      </c>
      <c r="W38" s="112">
        <v>1</v>
      </c>
      <c r="X38" s="112">
        <v>0</v>
      </c>
      <c r="Y38" s="112">
        <v>0</v>
      </c>
      <c r="Z38" s="112">
        <v>0</v>
      </c>
      <c r="AA38" s="112">
        <v>0</v>
      </c>
      <c r="AB38" s="112">
        <v>0</v>
      </c>
      <c r="AC38" s="112">
        <v>0</v>
      </c>
      <c r="AD38" s="112">
        <v>0</v>
      </c>
      <c r="AE38" s="112">
        <v>0</v>
      </c>
      <c r="AF38" s="112">
        <v>0</v>
      </c>
      <c r="AG38" s="112">
        <v>0</v>
      </c>
      <c r="AH38" s="112">
        <v>0</v>
      </c>
      <c r="AI38" s="112">
        <v>1</v>
      </c>
      <c r="AJ38" s="112">
        <v>1</v>
      </c>
      <c r="AK38" s="112">
        <v>1</v>
      </c>
      <c r="AL38" s="112">
        <v>1</v>
      </c>
      <c r="AM38" s="112">
        <v>0</v>
      </c>
      <c r="AN38" s="112">
        <v>0</v>
      </c>
      <c r="AO38" s="112">
        <v>0</v>
      </c>
      <c r="AP38" s="112">
        <v>0</v>
      </c>
      <c r="AQ38" s="112">
        <v>0</v>
      </c>
      <c r="AR38" s="112">
        <v>0</v>
      </c>
      <c r="AS38" s="112">
        <v>0</v>
      </c>
    </row>
    <row r="39" spans="1:45" x14ac:dyDescent="0.15">
      <c r="A39" s="193" t="s">
        <v>230</v>
      </c>
      <c r="B39" s="112">
        <v>0</v>
      </c>
      <c r="C39" s="112">
        <v>0</v>
      </c>
      <c r="D39" s="112">
        <v>0</v>
      </c>
      <c r="E39" s="112">
        <v>0</v>
      </c>
      <c r="F39" s="112">
        <v>0</v>
      </c>
      <c r="G39" s="112">
        <v>0</v>
      </c>
      <c r="H39" s="112">
        <v>0</v>
      </c>
      <c r="I39" s="112">
        <v>0</v>
      </c>
      <c r="J39" s="112">
        <v>0</v>
      </c>
      <c r="K39" s="112">
        <v>0</v>
      </c>
      <c r="L39" s="112">
        <v>0</v>
      </c>
      <c r="M39" s="112">
        <v>0</v>
      </c>
      <c r="N39" s="112">
        <v>0</v>
      </c>
      <c r="O39" s="112">
        <v>0</v>
      </c>
      <c r="P39" s="112">
        <v>0</v>
      </c>
      <c r="Q39" s="112">
        <v>0</v>
      </c>
      <c r="R39" s="112">
        <v>0</v>
      </c>
      <c r="S39" s="112">
        <v>0</v>
      </c>
      <c r="T39" s="112">
        <v>0</v>
      </c>
      <c r="U39" s="112">
        <v>0</v>
      </c>
      <c r="V39" s="112">
        <v>0</v>
      </c>
      <c r="W39" s="112">
        <v>0</v>
      </c>
      <c r="X39" s="112">
        <v>0</v>
      </c>
      <c r="Y39" s="112">
        <v>0</v>
      </c>
      <c r="Z39" s="112">
        <v>0</v>
      </c>
      <c r="AA39" s="112">
        <v>0</v>
      </c>
      <c r="AB39" s="112">
        <v>0</v>
      </c>
      <c r="AC39" s="112">
        <v>0</v>
      </c>
      <c r="AD39" s="112">
        <v>0</v>
      </c>
      <c r="AE39" s="112">
        <v>0</v>
      </c>
      <c r="AF39" s="112">
        <v>1</v>
      </c>
      <c r="AG39" s="112">
        <v>1</v>
      </c>
      <c r="AH39" s="112">
        <v>1</v>
      </c>
      <c r="AI39" s="112">
        <v>0</v>
      </c>
      <c r="AJ39" s="112">
        <v>0</v>
      </c>
      <c r="AK39" s="112">
        <v>0</v>
      </c>
      <c r="AL39" s="112">
        <v>1</v>
      </c>
      <c r="AM39" s="112">
        <v>0</v>
      </c>
      <c r="AN39" s="112">
        <v>0</v>
      </c>
      <c r="AO39" s="112">
        <v>0</v>
      </c>
      <c r="AP39" s="112">
        <v>0</v>
      </c>
      <c r="AQ39" s="112">
        <v>0</v>
      </c>
      <c r="AR39" s="112">
        <v>0</v>
      </c>
      <c r="AS39" s="112">
        <v>0</v>
      </c>
    </row>
    <row r="40" spans="1:45" x14ac:dyDescent="0.15">
      <c r="A40" s="193" t="s">
        <v>231</v>
      </c>
      <c r="B40" s="112">
        <v>0</v>
      </c>
      <c r="C40" s="112">
        <v>0</v>
      </c>
      <c r="D40" s="112">
        <v>0</v>
      </c>
      <c r="E40" s="112">
        <v>0</v>
      </c>
      <c r="F40" s="112">
        <v>0</v>
      </c>
      <c r="G40" s="112">
        <v>0</v>
      </c>
      <c r="H40" s="112">
        <v>0</v>
      </c>
      <c r="I40" s="112">
        <v>0</v>
      </c>
      <c r="J40" s="112">
        <v>0</v>
      </c>
      <c r="K40" s="112">
        <v>0</v>
      </c>
      <c r="L40" s="112">
        <v>0</v>
      </c>
      <c r="M40" s="112">
        <v>0</v>
      </c>
      <c r="N40" s="112">
        <v>0</v>
      </c>
      <c r="O40" s="112">
        <v>0</v>
      </c>
      <c r="P40" s="112">
        <v>0</v>
      </c>
      <c r="Q40" s="112">
        <v>0</v>
      </c>
      <c r="R40" s="112">
        <v>0</v>
      </c>
      <c r="S40" s="112">
        <v>1</v>
      </c>
      <c r="T40" s="112">
        <v>0</v>
      </c>
      <c r="U40" s="112">
        <v>0</v>
      </c>
      <c r="V40" s="112">
        <v>0</v>
      </c>
      <c r="W40" s="112">
        <v>0</v>
      </c>
      <c r="X40" s="112">
        <v>0</v>
      </c>
      <c r="Y40" s="112">
        <v>0</v>
      </c>
      <c r="Z40" s="112">
        <v>0</v>
      </c>
      <c r="AA40" s="112">
        <v>0</v>
      </c>
      <c r="AB40" s="112">
        <v>1</v>
      </c>
      <c r="AC40" s="112">
        <v>0</v>
      </c>
      <c r="AD40" s="112">
        <v>0</v>
      </c>
      <c r="AE40" s="112">
        <v>0</v>
      </c>
      <c r="AF40" s="112">
        <v>0</v>
      </c>
      <c r="AG40" s="112">
        <v>1</v>
      </c>
      <c r="AH40" s="112">
        <v>1</v>
      </c>
      <c r="AI40" s="112">
        <v>1</v>
      </c>
      <c r="AJ40" s="112">
        <v>1</v>
      </c>
      <c r="AK40" s="112">
        <v>1</v>
      </c>
      <c r="AL40" s="112">
        <v>1</v>
      </c>
      <c r="AM40" s="112">
        <v>0</v>
      </c>
      <c r="AN40" s="112">
        <v>0</v>
      </c>
      <c r="AO40" s="112">
        <v>0</v>
      </c>
      <c r="AP40" s="112">
        <v>0</v>
      </c>
      <c r="AQ40" s="112">
        <v>0</v>
      </c>
      <c r="AR40" s="112">
        <v>0</v>
      </c>
      <c r="AS40" s="112">
        <v>0</v>
      </c>
    </row>
    <row r="41" spans="1:45" x14ac:dyDescent="0.15">
      <c r="A41" s="193" t="s">
        <v>232</v>
      </c>
      <c r="B41" s="112">
        <v>0</v>
      </c>
      <c r="C41" s="112">
        <v>0</v>
      </c>
      <c r="D41" s="112">
        <v>0</v>
      </c>
      <c r="E41" s="112">
        <v>0</v>
      </c>
      <c r="F41" s="112">
        <v>0</v>
      </c>
      <c r="G41" s="112">
        <v>0</v>
      </c>
      <c r="H41" s="112">
        <v>0</v>
      </c>
      <c r="I41" s="112">
        <v>0</v>
      </c>
      <c r="J41" s="112">
        <v>0</v>
      </c>
      <c r="K41" s="112">
        <v>0</v>
      </c>
      <c r="L41" s="112">
        <v>0</v>
      </c>
      <c r="M41" s="112">
        <v>0</v>
      </c>
      <c r="N41" s="112">
        <v>0</v>
      </c>
      <c r="O41" s="112">
        <v>0</v>
      </c>
      <c r="P41" s="112">
        <v>0</v>
      </c>
      <c r="Q41" s="112">
        <v>0</v>
      </c>
      <c r="R41" s="112">
        <v>0</v>
      </c>
      <c r="S41" s="112">
        <v>0</v>
      </c>
      <c r="T41" s="112">
        <v>0</v>
      </c>
      <c r="U41" s="112">
        <v>0</v>
      </c>
      <c r="V41" s="112">
        <v>0</v>
      </c>
      <c r="W41" s="112">
        <v>0</v>
      </c>
      <c r="X41" s="112">
        <v>0</v>
      </c>
      <c r="Y41" s="112">
        <v>0</v>
      </c>
      <c r="Z41" s="112">
        <v>0</v>
      </c>
      <c r="AA41" s="112">
        <v>0</v>
      </c>
      <c r="AB41" s="112">
        <v>0</v>
      </c>
      <c r="AC41" s="112">
        <v>0</v>
      </c>
      <c r="AD41" s="112">
        <v>0</v>
      </c>
      <c r="AE41" s="112">
        <v>0</v>
      </c>
      <c r="AF41" s="112">
        <v>0</v>
      </c>
      <c r="AG41" s="112">
        <v>1</v>
      </c>
      <c r="AH41" s="112">
        <v>1</v>
      </c>
      <c r="AI41" s="112">
        <v>0</v>
      </c>
      <c r="AJ41" s="112">
        <v>0</v>
      </c>
      <c r="AK41" s="112">
        <v>1</v>
      </c>
      <c r="AL41" s="112">
        <v>1</v>
      </c>
      <c r="AM41" s="112">
        <v>1</v>
      </c>
      <c r="AN41" s="112">
        <v>0</v>
      </c>
      <c r="AO41" s="112">
        <v>0</v>
      </c>
      <c r="AP41" s="112">
        <v>0</v>
      </c>
      <c r="AQ41" s="112">
        <v>0</v>
      </c>
      <c r="AR41" s="112">
        <v>0</v>
      </c>
      <c r="AS41" s="112">
        <v>0</v>
      </c>
    </row>
    <row r="42" spans="1:45" x14ac:dyDescent="0.15">
      <c r="A42" s="193" t="s">
        <v>233</v>
      </c>
      <c r="B42" s="112">
        <v>0</v>
      </c>
      <c r="C42" s="112">
        <v>0</v>
      </c>
      <c r="D42" s="112">
        <v>0</v>
      </c>
      <c r="E42" s="112">
        <v>0</v>
      </c>
      <c r="F42" s="112">
        <v>0</v>
      </c>
      <c r="G42" s="112">
        <v>0</v>
      </c>
      <c r="H42" s="112">
        <v>0</v>
      </c>
      <c r="I42" s="112">
        <v>0</v>
      </c>
      <c r="J42" s="112">
        <v>0</v>
      </c>
      <c r="K42" s="112">
        <v>0</v>
      </c>
      <c r="L42" s="112">
        <v>0</v>
      </c>
      <c r="M42" s="112">
        <v>0</v>
      </c>
      <c r="N42" s="112">
        <v>0</v>
      </c>
      <c r="O42" s="112">
        <v>0</v>
      </c>
      <c r="P42" s="112">
        <v>0</v>
      </c>
      <c r="Q42" s="112">
        <v>0</v>
      </c>
      <c r="R42" s="112">
        <v>0</v>
      </c>
      <c r="S42" s="112">
        <v>0</v>
      </c>
      <c r="T42" s="112">
        <v>0</v>
      </c>
      <c r="U42" s="112">
        <v>0</v>
      </c>
      <c r="V42" s="112">
        <v>0</v>
      </c>
      <c r="W42" s="112">
        <v>0</v>
      </c>
      <c r="X42" s="112">
        <v>0</v>
      </c>
      <c r="Y42" s="112">
        <v>1</v>
      </c>
      <c r="Z42" s="112">
        <v>0</v>
      </c>
      <c r="AA42" s="112">
        <v>0</v>
      </c>
      <c r="AB42" s="112">
        <v>0</v>
      </c>
      <c r="AC42" s="112">
        <v>1</v>
      </c>
      <c r="AD42" s="112">
        <v>0</v>
      </c>
      <c r="AE42" s="112">
        <v>0</v>
      </c>
      <c r="AF42" s="112">
        <v>0</v>
      </c>
      <c r="AG42" s="112">
        <v>0</v>
      </c>
      <c r="AH42" s="112">
        <v>0</v>
      </c>
      <c r="AI42" s="112">
        <v>0</v>
      </c>
      <c r="AJ42" s="112">
        <v>0</v>
      </c>
      <c r="AK42" s="112">
        <v>0</v>
      </c>
      <c r="AL42" s="112">
        <v>0</v>
      </c>
      <c r="AM42" s="112">
        <v>0</v>
      </c>
      <c r="AN42" s="112">
        <v>0</v>
      </c>
      <c r="AO42" s="112">
        <v>0</v>
      </c>
      <c r="AP42" s="112">
        <v>0</v>
      </c>
      <c r="AQ42" s="112">
        <v>0</v>
      </c>
      <c r="AR42" s="112">
        <v>0</v>
      </c>
      <c r="AS42" s="112">
        <v>0</v>
      </c>
    </row>
    <row r="43" spans="1:45" x14ac:dyDescent="0.15">
      <c r="A43" s="193" t="s">
        <v>234</v>
      </c>
      <c r="B43" s="112">
        <v>1</v>
      </c>
      <c r="C43" s="112">
        <v>1</v>
      </c>
      <c r="D43" s="112">
        <v>0</v>
      </c>
      <c r="E43" s="112">
        <v>0</v>
      </c>
      <c r="F43" s="112">
        <v>0</v>
      </c>
      <c r="G43" s="112">
        <v>0</v>
      </c>
      <c r="H43" s="112">
        <v>0</v>
      </c>
      <c r="I43" s="112">
        <v>0</v>
      </c>
      <c r="J43" s="112">
        <v>0</v>
      </c>
      <c r="K43" s="112">
        <v>0</v>
      </c>
      <c r="L43" s="112">
        <v>0</v>
      </c>
      <c r="M43" s="112">
        <v>0</v>
      </c>
      <c r="N43" s="112">
        <v>0</v>
      </c>
      <c r="O43" s="112">
        <v>0</v>
      </c>
      <c r="P43" s="112">
        <v>0</v>
      </c>
      <c r="Q43" s="112">
        <v>0</v>
      </c>
      <c r="R43" s="112">
        <v>1</v>
      </c>
      <c r="S43" s="112">
        <v>0</v>
      </c>
      <c r="T43" s="112">
        <v>0</v>
      </c>
      <c r="U43" s="112">
        <v>0</v>
      </c>
      <c r="V43" s="112">
        <v>0</v>
      </c>
      <c r="W43" s="112">
        <v>0</v>
      </c>
      <c r="X43" s="112">
        <v>0</v>
      </c>
      <c r="Y43" s="112">
        <v>0</v>
      </c>
      <c r="Z43" s="112">
        <v>0</v>
      </c>
      <c r="AA43" s="112">
        <v>0</v>
      </c>
      <c r="AB43" s="112">
        <v>1</v>
      </c>
      <c r="AC43" s="112">
        <v>1</v>
      </c>
      <c r="AD43" s="112">
        <v>0</v>
      </c>
      <c r="AE43" s="112">
        <v>1</v>
      </c>
      <c r="AF43" s="112">
        <v>0</v>
      </c>
      <c r="AG43" s="112">
        <v>0</v>
      </c>
      <c r="AH43" s="112">
        <v>0</v>
      </c>
      <c r="AI43" s="112">
        <v>0</v>
      </c>
      <c r="AJ43" s="112">
        <v>0</v>
      </c>
      <c r="AK43" s="112">
        <v>0</v>
      </c>
      <c r="AL43" s="112">
        <v>0</v>
      </c>
      <c r="AM43" s="112">
        <v>0</v>
      </c>
      <c r="AN43" s="112">
        <v>0</v>
      </c>
      <c r="AO43" s="112">
        <v>0</v>
      </c>
      <c r="AP43" s="112">
        <v>0</v>
      </c>
      <c r="AQ43" s="112">
        <v>0</v>
      </c>
      <c r="AR43" s="112">
        <v>0</v>
      </c>
      <c r="AS43" s="112">
        <v>0</v>
      </c>
    </row>
    <row r="44" spans="1:45" x14ac:dyDescent="0.15">
      <c r="A44" s="193" t="s">
        <v>235</v>
      </c>
      <c r="B44" s="112">
        <v>0</v>
      </c>
      <c r="C44" s="112">
        <v>0</v>
      </c>
      <c r="D44" s="112">
        <v>0</v>
      </c>
      <c r="E44" s="112">
        <v>0</v>
      </c>
      <c r="F44" s="112">
        <v>1</v>
      </c>
      <c r="G44" s="112">
        <v>1</v>
      </c>
      <c r="H44" s="112">
        <v>0</v>
      </c>
      <c r="I44" s="112">
        <v>0</v>
      </c>
      <c r="J44" s="112">
        <v>0</v>
      </c>
      <c r="K44" s="112">
        <v>0</v>
      </c>
      <c r="L44" s="112">
        <v>0</v>
      </c>
      <c r="M44" s="112">
        <v>1</v>
      </c>
      <c r="N44" s="112">
        <v>0</v>
      </c>
      <c r="O44" s="112">
        <v>0</v>
      </c>
      <c r="P44" s="112">
        <v>0</v>
      </c>
      <c r="Q44" s="112">
        <v>1</v>
      </c>
      <c r="R44" s="112">
        <v>1</v>
      </c>
      <c r="S44" s="112">
        <v>0</v>
      </c>
      <c r="T44" s="112">
        <v>0</v>
      </c>
      <c r="U44" s="112">
        <v>0</v>
      </c>
      <c r="V44" s="112">
        <v>0</v>
      </c>
      <c r="W44" s="112">
        <v>0</v>
      </c>
      <c r="X44" s="112">
        <v>0</v>
      </c>
      <c r="Y44" s="112">
        <v>0</v>
      </c>
      <c r="Z44" s="112">
        <v>0</v>
      </c>
      <c r="AA44" s="112">
        <v>0</v>
      </c>
      <c r="AB44" s="112">
        <v>1</v>
      </c>
      <c r="AC44" s="112">
        <v>1</v>
      </c>
      <c r="AD44" s="112">
        <v>1</v>
      </c>
      <c r="AE44" s="112">
        <v>1</v>
      </c>
      <c r="AF44" s="112">
        <v>1</v>
      </c>
      <c r="AG44" s="112">
        <v>1</v>
      </c>
      <c r="AH44" s="112">
        <v>1</v>
      </c>
      <c r="AI44" s="112">
        <v>0</v>
      </c>
      <c r="AJ44" s="112">
        <v>0</v>
      </c>
      <c r="AK44" s="112">
        <v>1</v>
      </c>
      <c r="AL44" s="112">
        <v>1</v>
      </c>
      <c r="AM44" s="112">
        <v>1</v>
      </c>
      <c r="AN44" s="112">
        <v>0</v>
      </c>
      <c r="AO44" s="112">
        <v>0</v>
      </c>
      <c r="AP44" s="112">
        <v>0</v>
      </c>
      <c r="AQ44" s="112">
        <v>0</v>
      </c>
      <c r="AR44" s="112">
        <v>0</v>
      </c>
      <c r="AS44" s="112">
        <v>0</v>
      </c>
    </row>
    <row r="45" spans="1:45" x14ac:dyDescent="0.15">
      <c r="A45" s="193" t="s">
        <v>236</v>
      </c>
      <c r="B45" s="112">
        <v>0</v>
      </c>
      <c r="C45" s="112">
        <v>0</v>
      </c>
      <c r="D45" s="112">
        <v>0</v>
      </c>
      <c r="E45" s="112">
        <v>0</v>
      </c>
      <c r="F45" s="112">
        <v>0</v>
      </c>
      <c r="G45" s="112">
        <v>0</v>
      </c>
      <c r="H45" s="112">
        <v>0</v>
      </c>
      <c r="I45" s="112">
        <v>0</v>
      </c>
      <c r="J45" s="112">
        <v>0</v>
      </c>
      <c r="K45" s="112">
        <v>0</v>
      </c>
      <c r="L45" s="112">
        <v>0</v>
      </c>
      <c r="M45" s="112">
        <v>0</v>
      </c>
      <c r="N45" s="112">
        <v>0</v>
      </c>
      <c r="O45" s="112">
        <v>0</v>
      </c>
      <c r="P45" s="112">
        <v>0</v>
      </c>
      <c r="Q45" s="112">
        <v>0</v>
      </c>
      <c r="R45" s="112">
        <v>0</v>
      </c>
      <c r="S45" s="112">
        <v>0</v>
      </c>
      <c r="T45" s="112">
        <v>0</v>
      </c>
      <c r="U45" s="112">
        <v>0</v>
      </c>
      <c r="V45" s="112">
        <v>0</v>
      </c>
      <c r="W45" s="112">
        <v>0</v>
      </c>
      <c r="X45" s="112">
        <v>0</v>
      </c>
      <c r="Y45" s="112">
        <v>0</v>
      </c>
      <c r="Z45" s="112">
        <v>0</v>
      </c>
      <c r="AA45" s="112">
        <v>0</v>
      </c>
      <c r="AB45" s="112">
        <v>0</v>
      </c>
      <c r="AC45" s="112">
        <v>0</v>
      </c>
      <c r="AD45" s="112">
        <v>0</v>
      </c>
      <c r="AE45" s="112">
        <v>0</v>
      </c>
      <c r="AF45" s="112">
        <v>0</v>
      </c>
      <c r="AG45" s="112">
        <v>0</v>
      </c>
      <c r="AH45" s="112">
        <v>0</v>
      </c>
      <c r="AI45" s="112">
        <v>0</v>
      </c>
      <c r="AJ45" s="112">
        <v>0</v>
      </c>
      <c r="AK45" s="112">
        <v>0</v>
      </c>
      <c r="AL45" s="112">
        <v>0</v>
      </c>
      <c r="AM45" s="112">
        <v>0</v>
      </c>
      <c r="AN45" s="112">
        <v>0</v>
      </c>
      <c r="AO45" s="112">
        <v>0</v>
      </c>
      <c r="AP45" s="112">
        <v>0</v>
      </c>
      <c r="AQ45" s="112">
        <v>0</v>
      </c>
      <c r="AR45" s="112">
        <v>0</v>
      </c>
      <c r="AS45" s="112">
        <v>0</v>
      </c>
    </row>
    <row r="46" spans="1:45" x14ac:dyDescent="0.15">
      <c r="A46" s="193" t="s">
        <v>239</v>
      </c>
      <c r="B46" s="112">
        <v>0</v>
      </c>
      <c r="C46" s="112">
        <v>0</v>
      </c>
      <c r="D46" s="112">
        <v>0</v>
      </c>
      <c r="E46" s="112">
        <v>1</v>
      </c>
      <c r="F46" s="112">
        <v>0</v>
      </c>
      <c r="G46" s="112">
        <v>0</v>
      </c>
      <c r="H46" s="112">
        <v>1</v>
      </c>
      <c r="I46" s="112">
        <v>0</v>
      </c>
      <c r="J46" s="112">
        <v>0</v>
      </c>
      <c r="K46" s="112">
        <v>0</v>
      </c>
      <c r="L46" s="112">
        <v>0</v>
      </c>
      <c r="M46" s="112">
        <v>0</v>
      </c>
      <c r="N46" s="112">
        <v>0</v>
      </c>
      <c r="O46" s="112">
        <v>0</v>
      </c>
      <c r="P46" s="112">
        <v>0</v>
      </c>
      <c r="Q46" s="112">
        <v>0</v>
      </c>
      <c r="R46" s="112">
        <v>0</v>
      </c>
      <c r="S46" s="112">
        <v>0</v>
      </c>
      <c r="T46" s="112">
        <v>0</v>
      </c>
      <c r="U46" s="112">
        <v>0</v>
      </c>
      <c r="V46" s="112">
        <v>0</v>
      </c>
      <c r="W46" s="112">
        <v>0</v>
      </c>
      <c r="X46" s="112">
        <v>0</v>
      </c>
      <c r="Y46" s="112">
        <v>0</v>
      </c>
      <c r="Z46" s="112">
        <v>0</v>
      </c>
      <c r="AA46" s="112">
        <v>0</v>
      </c>
      <c r="AB46" s="112">
        <v>0</v>
      </c>
      <c r="AC46" s="112">
        <v>0</v>
      </c>
      <c r="AD46" s="112">
        <v>0</v>
      </c>
      <c r="AE46" s="112">
        <v>0</v>
      </c>
      <c r="AF46" s="112">
        <v>0</v>
      </c>
      <c r="AG46" s="112">
        <v>0</v>
      </c>
      <c r="AH46" s="112">
        <v>0</v>
      </c>
      <c r="AI46" s="112">
        <v>0</v>
      </c>
      <c r="AJ46" s="112">
        <v>0</v>
      </c>
      <c r="AK46" s="112">
        <v>0</v>
      </c>
      <c r="AL46" s="112">
        <v>0</v>
      </c>
      <c r="AM46" s="112">
        <v>0</v>
      </c>
      <c r="AN46" s="112">
        <v>0</v>
      </c>
      <c r="AO46" s="112">
        <v>0</v>
      </c>
      <c r="AP46" s="112">
        <v>0</v>
      </c>
      <c r="AQ46" s="112">
        <v>0</v>
      </c>
      <c r="AR46" s="112">
        <v>0</v>
      </c>
      <c r="AS46" s="11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M185"/>
  <sheetViews>
    <sheetView workbookViewId="0">
      <selection activeCell="A3" sqref="A3"/>
    </sheetView>
  </sheetViews>
  <sheetFormatPr baseColWidth="10" defaultRowHeight="13" x14ac:dyDescent="0.15"/>
  <cols>
    <col min="1" max="1" width="3.33203125" customWidth="1"/>
    <col min="2" max="2" width="44.1640625" bestFit="1" customWidth="1"/>
    <col min="3" max="4" width="3.83203125" bestFit="1" customWidth="1"/>
    <col min="5" max="5" width="2.33203125" customWidth="1"/>
    <col min="6" max="13" width="3.83203125" customWidth="1"/>
  </cols>
  <sheetData>
    <row r="1" spans="1:13" ht="112" x14ac:dyDescent="0.15">
      <c r="A1" s="5" t="s">
        <v>83</v>
      </c>
      <c r="B1" s="3" t="s">
        <v>0</v>
      </c>
      <c r="C1" s="196" t="s">
        <v>201</v>
      </c>
      <c r="D1" s="196" t="s">
        <v>237</v>
      </c>
      <c r="E1" s="196" t="s">
        <v>203</v>
      </c>
      <c r="F1" s="196" t="s">
        <v>211</v>
      </c>
      <c r="G1" s="196" t="s">
        <v>212</v>
      </c>
      <c r="H1" s="196" t="s">
        <v>213</v>
      </c>
      <c r="I1" s="196" t="s">
        <v>214</v>
      </c>
      <c r="J1" s="196" t="s">
        <v>206</v>
      </c>
      <c r="K1" s="196" t="s">
        <v>205</v>
      </c>
      <c r="L1" s="196" t="s">
        <v>219</v>
      </c>
      <c r="M1" s="196" t="s">
        <v>238</v>
      </c>
    </row>
    <row r="2" spans="1:13" x14ac:dyDescent="0.15">
      <c r="A2">
        <v>1</v>
      </c>
      <c r="B2" s="195" t="s">
        <v>193</v>
      </c>
      <c r="C2">
        <v>0</v>
      </c>
      <c r="D2">
        <v>0</v>
      </c>
      <c r="E2">
        <v>0</v>
      </c>
      <c r="F2">
        <v>0</v>
      </c>
      <c r="G2">
        <v>0</v>
      </c>
      <c r="H2">
        <v>0</v>
      </c>
      <c r="I2">
        <v>0</v>
      </c>
      <c r="J2">
        <v>0</v>
      </c>
      <c r="K2">
        <v>0</v>
      </c>
      <c r="L2">
        <v>0</v>
      </c>
      <c r="M2">
        <v>0</v>
      </c>
    </row>
    <row r="3" spans="1:13" x14ac:dyDescent="0.15">
      <c r="A3">
        <v>2</v>
      </c>
      <c r="B3" s="195" t="s">
        <v>194</v>
      </c>
      <c r="C3">
        <v>0</v>
      </c>
      <c r="D3">
        <v>0</v>
      </c>
      <c r="E3">
        <v>0</v>
      </c>
      <c r="F3">
        <v>0</v>
      </c>
      <c r="G3">
        <v>0</v>
      </c>
      <c r="H3">
        <v>0</v>
      </c>
      <c r="I3">
        <v>0</v>
      </c>
      <c r="J3">
        <v>0</v>
      </c>
      <c r="K3">
        <v>0</v>
      </c>
      <c r="L3">
        <v>0</v>
      </c>
      <c r="M3">
        <v>0</v>
      </c>
    </row>
    <row r="4" spans="1:13" x14ac:dyDescent="0.15">
      <c r="A4">
        <v>3</v>
      </c>
      <c r="B4" s="195" t="s">
        <v>195</v>
      </c>
      <c r="C4">
        <v>0</v>
      </c>
      <c r="D4">
        <v>0</v>
      </c>
      <c r="E4">
        <v>0</v>
      </c>
      <c r="F4">
        <v>0</v>
      </c>
      <c r="G4">
        <v>0</v>
      </c>
      <c r="H4">
        <v>0</v>
      </c>
      <c r="I4">
        <v>0</v>
      </c>
      <c r="J4">
        <v>0</v>
      </c>
      <c r="K4">
        <v>0</v>
      </c>
      <c r="L4">
        <v>0</v>
      </c>
      <c r="M4">
        <v>0</v>
      </c>
    </row>
    <row r="5" spans="1:13" x14ac:dyDescent="0.15">
      <c r="A5">
        <v>4</v>
      </c>
      <c r="B5" s="195" t="s">
        <v>196</v>
      </c>
      <c r="C5">
        <v>0</v>
      </c>
      <c r="D5">
        <v>0</v>
      </c>
      <c r="E5">
        <v>0</v>
      </c>
      <c r="F5">
        <v>0</v>
      </c>
      <c r="G5">
        <v>0</v>
      </c>
      <c r="H5">
        <v>0</v>
      </c>
      <c r="I5">
        <v>0</v>
      </c>
      <c r="J5">
        <v>0</v>
      </c>
      <c r="K5">
        <v>0</v>
      </c>
      <c r="L5">
        <v>0</v>
      </c>
      <c r="M5">
        <v>0</v>
      </c>
    </row>
    <row r="6" spans="1:13" x14ac:dyDescent="0.15">
      <c r="A6">
        <v>5</v>
      </c>
      <c r="B6" s="195" t="s">
        <v>197</v>
      </c>
      <c r="C6">
        <v>0</v>
      </c>
      <c r="D6">
        <v>0</v>
      </c>
      <c r="E6">
        <v>0</v>
      </c>
      <c r="F6">
        <v>0</v>
      </c>
      <c r="G6">
        <v>0</v>
      </c>
      <c r="H6">
        <v>0</v>
      </c>
      <c r="I6">
        <v>0</v>
      </c>
      <c r="J6">
        <v>0</v>
      </c>
      <c r="K6">
        <v>0</v>
      </c>
      <c r="L6">
        <v>0</v>
      </c>
      <c r="M6">
        <v>0.8</v>
      </c>
    </row>
    <row r="7" spans="1:13" x14ac:dyDescent="0.15">
      <c r="A7">
        <v>6</v>
      </c>
      <c r="B7" s="195" t="s">
        <v>198</v>
      </c>
      <c r="C7">
        <v>0</v>
      </c>
      <c r="D7">
        <v>0</v>
      </c>
      <c r="E7">
        <v>0</v>
      </c>
      <c r="F7">
        <v>0</v>
      </c>
      <c r="G7">
        <v>0</v>
      </c>
      <c r="H7">
        <v>0</v>
      </c>
      <c r="I7">
        <v>0</v>
      </c>
      <c r="J7">
        <v>0</v>
      </c>
      <c r="K7">
        <v>0</v>
      </c>
      <c r="L7">
        <v>0</v>
      </c>
      <c r="M7">
        <v>0.8</v>
      </c>
    </row>
    <row r="8" spans="1:13" x14ac:dyDescent="0.15">
      <c r="A8">
        <v>7</v>
      </c>
      <c r="B8" s="195" t="s">
        <v>199</v>
      </c>
      <c r="C8">
        <v>0</v>
      </c>
      <c r="D8">
        <v>0</v>
      </c>
      <c r="E8">
        <v>0</v>
      </c>
      <c r="F8">
        <v>0</v>
      </c>
      <c r="G8">
        <v>0</v>
      </c>
      <c r="H8">
        <v>0</v>
      </c>
      <c r="I8">
        <v>0</v>
      </c>
      <c r="J8">
        <v>0</v>
      </c>
      <c r="K8">
        <v>0</v>
      </c>
      <c r="L8">
        <v>0</v>
      </c>
      <c r="M8">
        <v>0.8</v>
      </c>
    </row>
    <row r="9" spans="1:13" x14ac:dyDescent="0.15">
      <c r="A9">
        <v>8</v>
      </c>
      <c r="B9" s="195" t="s">
        <v>200</v>
      </c>
      <c r="C9">
        <v>0</v>
      </c>
      <c r="D9">
        <v>0</v>
      </c>
      <c r="E9">
        <v>0</v>
      </c>
      <c r="F9">
        <v>0</v>
      </c>
      <c r="G9">
        <v>0</v>
      </c>
      <c r="H9">
        <v>0</v>
      </c>
      <c r="I9">
        <v>0</v>
      </c>
      <c r="J9">
        <v>0</v>
      </c>
      <c r="K9">
        <v>0</v>
      </c>
      <c r="L9">
        <v>0</v>
      </c>
      <c r="M9">
        <v>0.8</v>
      </c>
    </row>
    <row r="10" spans="1:13" x14ac:dyDescent="0.15">
      <c r="A10">
        <v>9</v>
      </c>
      <c r="B10" s="195" t="s">
        <v>201</v>
      </c>
      <c r="C10">
        <v>0.8</v>
      </c>
      <c r="D10">
        <v>0</v>
      </c>
      <c r="E10">
        <v>0</v>
      </c>
      <c r="F10">
        <v>0</v>
      </c>
      <c r="G10">
        <v>0</v>
      </c>
      <c r="H10">
        <v>0</v>
      </c>
      <c r="I10">
        <v>0</v>
      </c>
      <c r="J10">
        <v>0</v>
      </c>
      <c r="K10">
        <v>0</v>
      </c>
      <c r="L10">
        <v>0</v>
      </c>
      <c r="M10">
        <v>0</v>
      </c>
    </row>
    <row r="11" spans="1:13" x14ac:dyDescent="0.15">
      <c r="A11">
        <v>10</v>
      </c>
      <c r="B11" s="195" t="s">
        <v>202</v>
      </c>
      <c r="C11">
        <v>0</v>
      </c>
      <c r="D11">
        <v>0.8</v>
      </c>
      <c r="E11">
        <v>0</v>
      </c>
      <c r="F11">
        <v>0</v>
      </c>
      <c r="G11">
        <v>0</v>
      </c>
      <c r="H11">
        <v>0</v>
      </c>
      <c r="I11">
        <v>0</v>
      </c>
      <c r="J11">
        <v>0</v>
      </c>
      <c r="K11">
        <v>0</v>
      </c>
      <c r="L11">
        <v>0</v>
      </c>
      <c r="M11">
        <v>0</v>
      </c>
    </row>
    <row r="12" spans="1:13" x14ac:dyDescent="0.15">
      <c r="A12">
        <v>11</v>
      </c>
      <c r="B12" s="195" t="s">
        <v>203</v>
      </c>
      <c r="C12">
        <v>0</v>
      </c>
      <c r="D12">
        <v>0.8</v>
      </c>
      <c r="E12">
        <v>0</v>
      </c>
      <c r="F12">
        <v>0</v>
      </c>
      <c r="G12">
        <v>0</v>
      </c>
      <c r="H12">
        <v>0</v>
      </c>
      <c r="I12">
        <v>0</v>
      </c>
      <c r="J12">
        <v>0</v>
      </c>
      <c r="K12">
        <v>0</v>
      </c>
      <c r="L12">
        <v>0</v>
      </c>
      <c r="M12">
        <v>0</v>
      </c>
    </row>
    <row r="13" spans="1:13" x14ac:dyDescent="0.15">
      <c r="A13">
        <v>12</v>
      </c>
      <c r="B13" s="195" t="s">
        <v>204</v>
      </c>
      <c r="C13">
        <v>0</v>
      </c>
      <c r="D13">
        <v>0</v>
      </c>
      <c r="E13">
        <v>0</v>
      </c>
      <c r="F13">
        <v>0</v>
      </c>
      <c r="G13">
        <v>0</v>
      </c>
      <c r="H13">
        <v>0</v>
      </c>
      <c r="I13">
        <v>0</v>
      </c>
      <c r="J13">
        <v>0</v>
      </c>
      <c r="K13">
        <v>0</v>
      </c>
      <c r="L13">
        <v>0</v>
      </c>
      <c r="M13">
        <v>0.8</v>
      </c>
    </row>
    <row r="14" spans="1:13" x14ac:dyDescent="0.15">
      <c r="A14">
        <v>13</v>
      </c>
      <c r="B14" s="195" t="s">
        <v>205</v>
      </c>
      <c r="C14">
        <v>0</v>
      </c>
      <c r="D14">
        <v>0</v>
      </c>
      <c r="E14">
        <v>0</v>
      </c>
      <c r="F14">
        <v>0</v>
      </c>
      <c r="G14">
        <v>0</v>
      </c>
      <c r="H14">
        <v>0</v>
      </c>
      <c r="I14">
        <v>0</v>
      </c>
      <c r="J14">
        <v>0</v>
      </c>
      <c r="K14">
        <v>0.8</v>
      </c>
      <c r="L14">
        <v>0</v>
      </c>
      <c r="M14">
        <v>0</v>
      </c>
    </row>
    <row r="15" spans="1:13" x14ac:dyDescent="0.15">
      <c r="A15">
        <v>14</v>
      </c>
      <c r="B15" s="195" t="s">
        <v>206</v>
      </c>
      <c r="C15">
        <v>0</v>
      </c>
      <c r="D15">
        <v>0</v>
      </c>
      <c r="E15">
        <v>0</v>
      </c>
      <c r="F15">
        <v>0</v>
      </c>
      <c r="G15">
        <v>0</v>
      </c>
      <c r="H15">
        <v>0</v>
      </c>
      <c r="I15">
        <v>0</v>
      </c>
      <c r="J15">
        <v>0.8</v>
      </c>
      <c r="K15">
        <v>0</v>
      </c>
      <c r="L15">
        <v>0</v>
      </c>
      <c r="M15">
        <v>0</v>
      </c>
    </row>
    <row r="16" spans="1:13" x14ac:dyDescent="0.15">
      <c r="A16">
        <v>15</v>
      </c>
      <c r="B16" s="195" t="s">
        <v>207</v>
      </c>
      <c r="C16">
        <v>0</v>
      </c>
      <c r="D16">
        <v>0</v>
      </c>
      <c r="E16">
        <v>0</v>
      </c>
      <c r="F16">
        <v>0</v>
      </c>
      <c r="G16">
        <v>0</v>
      </c>
      <c r="H16">
        <v>0</v>
      </c>
      <c r="I16">
        <v>0</v>
      </c>
      <c r="J16">
        <v>0</v>
      </c>
      <c r="K16">
        <v>0</v>
      </c>
      <c r="L16">
        <v>0</v>
      </c>
      <c r="M16">
        <v>0.8</v>
      </c>
    </row>
    <row r="17" spans="1:13" x14ac:dyDescent="0.15">
      <c r="A17">
        <v>16</v>
      </c>
      <c r="B17" s="195" t="s">
        <v>208</v>
      </c>
      <c r="C17">
        <v>0</v>
      </c>
      <c r="D17">
        <v>0</v>
      </c>
      <c r="E17">
        <v>0</v>
      </c>
      <c r="F17">
        <v>0</v>
      </c>
      <c r="G17">
        <v>0</v>
      </c>
      <c r="H17">
        <v>0</v>
      </c>
      <c r="I17">
        <v>0</v>
      </c>
      <c r="J17">
        <v>0</v>
      </c>
      <c r="K17">
        <v>0</v>
      </c>
      <c r="L17">
        <v>0</v>
      </c>
      <c r="M17">
        <v>0.8</v>
      </c>
    </row>
    <row r="18" spans="1:13" x14ac:dyDescent="0.15">
      <c r="A18">
        <v>17</v>
      </c>
      <c r="B18" s="195" t="s">
        <v>209</v>
      </c>
      <c r="C18">
        <v>0</v>
      </c>
      <c r="D18">
        <v>0</v>
      </c>
      <c r="E18">
        <v>0</v>
      </c>
      <c r="F18">
        <v>0</v>
      </c>
      <c r="G18">
        <v>0</v>
      </c>
      <c r="H18">
        <v>0</v>
      </c>
      <c r="I18">
        <v>0</v>
      </c>
      <c r="J18">
        <v>0</v>
      </c>
      <c r="K18">
        <v>0</v>
      </c>
      <c r="L18">
        <v>0</v>
      </c>
      <c r="M18">
        <v>0.8</v>
      </c>
    </row>
    <row r="19" spans="1:13" x14ac:dyDescent="0.15">
      <c r="A19">
        <v>18</v>
      </c>
      <c r="B19" s="195" t="s">
        <v>210</v>
      </c>
      <c r="C19">
        <v>0</v>
      </c>
      <c r="D19">
        <v>0</v>
      </c>
      <c r="E19">
        <v>0</v>
      </c>
      <c r="F19">
        <v>0</v>
      </c>
      <c r="G19">
        <v>0</v>
      </c>
      <c r="H19">
        <v>0</v>
      </c>
      <c r="I19">
        <v>0</v>
      </c>
      <c r="J19">
        <v>0</v>
      </c>
      <c r="K19">
        <v>0</v>
      </c>
      <c r="L19">
        <v>0</v>
      </c>
      <c r="M19">
        <v>0.8</v>
      </c>
    </row>
    <row r="20" spans="1:13" x14ac:dyDescent="0.15">
      <c r="A20">
        <v>19</v>
      </c>
      <c r="B20" s="195" t="s">
        <v>211</v>
      </c>
      <c r="C20">
        <v>0</v>
      </c>
      <c r="D20">
        <v>0</v>
      </c>
      <c r="E20">
        <v>0</v>
      </c>
      <c r="F20">
        <v>0.8</v>
      </c>
      <c r="G20">
        <v>0</v>
      </c>
      <c r="H20">
        <v>0</v>
      </c>
      <c r="I20">
        <v>0</v>
      </c>
      <c r="J20">
        <v>0</v>
      </c>
      <c r="K20">
        <v>0</v>
      </c>
      <c r="L20">
        <v>0</v>
      </c>
      <c r="M20">
        <v>0</v>
      </c>
    </row>
    <row r="21" spans="1:13" x14ac:dyDescent="0.15">
      <c r="A21">
        <v>20</v>
      </c>
      <c r="B21" s="195" t="s">
        <v>212</v>
      </c>
      <c r="C21">
        <v>0</v>
      </c>
      <c r="D21">
        <v>0</v>
      </c>
      <c r="E21">
        <v>0</v>
      </c>
      <c r="F21">
        <v>0</v>
      </c>
      <c r="G21">
        <v>0.8</v>
      </c>
      <c r="H21">
        <v>0</v>
      </c>
      <c r="I21">
        <v>0</v>
      </c>
      <c r="J21">
        <v>0</v>
      </c>
      <c r="K21">
        <v>0</v>
      </c>
      <c r="L21">
        <v>0</v>
      </c>
      <c r="M21">
        <v>0</v>
      </c>
    </row>
    <row r="22" spans="1:13" x14ac:dyDescent="0.15">
      <c r="A22">
        <v>21</v>
      </c>
      <c r="B22" s="195" t="s">
        <v>213</v>
      </c>
      <c r="C22">
        <v>0</v>
      </c>
      <c r="D22">
        <v>0</v>
      </c>
      <c r="E22">
        <v>0</v>
      </c>
      <c r="F22">
        <v>0</v>
      </c>
      <c r="G22">
        <v>0</v>
      </c>
      <c r="H22">
        <v>0.8</v>
      </c>
      <c r="I22">
        <v>0</v>
      </c>
      <c r="J22">
        <v>0</v>
      </c>
      <c r="K22">
        <v>0</v>
      </c>
      <c r="L22">
        <v>0</v>
      </c>
      <c r="M22">
        <v>0</v>
      </c>
    </row>
    <row r="23" spans="1:13" x14ac:dyDescent="0.15">
      <c r="A23">
        <v>22</v>
      </c>
      <c r="B23" s="195" t="s">
        <v>214</v>
      </c>
      <c r="C23">
        <v>0</v>
      </c>
      <c r="D23">
        <v>0</v>
      </c>
      <c r="E23">
        <v>0</v>
      </c>
      <c r="F23">
        <v>0</v>
      </c>
      <c r="G23">
        <v>0</v>
      </c>
      <c r="H23">
        <v>0</v>
      </c>
      <c r="I23">
        <v>0.8</v>
      </c>
      <c r="J23">
        <v>0</v>
      </c>
      <c r="K23">
        <v>0</v>
      </c>
      <c r="L23">
        <v>0</v>
      </c>
      <c r="M23">
        <v>0</v>
      </c>
    </row>
    <row r="24" spans="1:13" x14ac:dyDescent="0.15">
      <c r="A24">
        <v>23</v>
      </c>
      <c r="B24" s="195" t="s">
        <v>215</v>
      </c>
      <c r="C24">
        <v>0</v>
      </c>
      <c r="D24">
        <v>0</v>
      </c>
      <c r="E24">
        <v>0</v>
      </c>
      <c r="F24">
        <v>0</v>
      </c>
      <c r="G24">
        <v>0</v>
      </c>
      <c r="H24">
        <v>0</v>
      </c>
      <c r="I24">
        <v>0</v>
      </c>
      <c r="J24">
        <v>0</v>
      </c>
      <c r="K24">
        <v>0</v>
      </c>
      <c r="L24">
        <v>0</v>
      </c>
      <c r="M24">
        <v>0.8</v>
      </c>
    </row>
    <row r="25" spans="1:13" x14ac:dyDescent="0.15">
      <c r="A25">
        <v>24</v>
      </c>
      <c r="B25" s="195" t="s">
        <v>216</v>
      </c>
      <c r="C25">
        <v>0</v>
      </c>
      <c r="D25">
        <v>0</v>
      </c>
      <c r="E25">
        <v>0</v>
      </c>
      <c r="F25">
        <v>0</v>
      </c>
      <c r="G25">
        <v>0</v>
      </c>
      <c r="H25">
        <v>0</v>
      </c>
      <c r="I25">
        <v>0</v>
      </c>
      <c r="J25">
        <v>0</v>
      </c>
      <c r="K25">
        <v>0</v>
      </c>
      <c r="L25">
        <v>0</v>
      </c>
      <c r="M25">
        <v>0.8</v>
      </c>
    </row>
    <row r="26" spans="1:13" x14ac:dyDescent="0.15">
      <c r="A26">
        <v>25</v>
      </c>
      <c r="B26" s="195" t="s">
        <v>217</v>
      </c>
      <c r="C26">
        <v>0</v>
      </c>
      <c r="D26">
        <v>0</v>
      </c>
      <c r="E26">
        <v>0</v>
      </c>
      <c r="F26">
        <v>0</v>
      </c>
      <c r="G26">
        <v>0</v>
      </c>
      <c r="H26">
        <v>0</v>
      </c>
      <c r="I26">
        <v>0</v>
      </c>
      <c r="J26">
        <v>0</v>
      </c>
      <c r="K26">
        <v>0</v>
      </c>
      <c r="L26">
        <v>0</v>
      </c>
      <c r="M26">
        <v>0.8</v>
      </c>
    </row>
    <row r="27" spans="1:13" x14ac:dyDescent="0.15">
      <c r="A27">
        <v>26</v>
      </c>
      <c r="B27" s="195" t="s">
        <v>218</v>
      </c>
      <c r="C27">
        <v>0</v>
      </c>
      <c r="D27">
        <v>0</v>
      </c>
      <c r="E27">
        <v>0</v>
      </c>
      <c r="F27">
        <v>0</v>
      </c>
      <c r="G27">
        <v>0</v>
      </c>
      <c r="H27">
        <v>0</v>
      </c>
      <c r="I27">
        <v>0</v>
      </c>
      <c r="J27">
        <v>0</v>
      </c>
      <c r="K27">
        <v>0</v>
      </c>
      <c r="L27">
        <v>0</v>
      </c>
      <c r="M27">
        <v>0.8</v>
      </c>
    </row>
    <row r="28" spans="1:13" x14ac:dyDescent="0.15">
      <c r="A28">
        <v>27</v>
      </c>
      <c r="B28" s="195" t="s">
        <v>219</v>
      </c>
      <c r="C28">
        <v>0</v>
      </c>
      <c r="D28">
        <v>0</v>
      </c>
      <c r="E28">
        <v>0</v>
      </c>
      <c r="F28">
        <v>0</v>
      </c>
      <c r="G28">
        <v>0</v>
      </c>
      <c r="H28">
        <v>0</v>
      </c>
      <c r="I28">
        <v>0</v>
      </c>
      <c r="J28">
        <v>0</v>
      </c>
      <c r="K28">
        <v>0</v>
      </c>
      <c r="L28">
        <v>0.8</v>
      </c>
      <c r="M28">
        <v>0</v>
      </c>
    </row>
    <row r="29" spans="1:13" x14ac:dyDescent="0.15">
      <c r="A29">
        <v>28</v>
      </c>
      <c r="B29" s="195" t="s">
        <v>220</v>
      </c>
      <c r="C29">
        <v>0</v>
      </c>
      <c r="D29">
        <v>0</v>
      </c>
      <c r="E29">
        <v>0</v>
      </c>
      <c r="F29">
        <v>0</v>
      </c>
      <c r="G29">
        <v>0</v>
      </c>
      <c r="H29">
        <v>0</v>
      </c>
      <c r="I29">
        <v>0</v>
      </c>
      <c r="J29">
        <v>0</v>
      </c>
      <c r="K29">
        <v>0</v>
      </c>
      <c r="L29">
        <v>0</v>
      </c>
      <c r="M29">
        <v>0.8</v>
      </c>
    </row>
    <row r="30" spans="1:13" x14ac:dyDescent="0.15">
      <c r="A30">
        <v>29</v>
      </c>
      <c r="B30" s="195" t="s">
        <v>221</v>
      </c>
      <c r="C30">
        <v>0</v>
      </c>
      <c r="D30">
        <v>0</v>
      </c>
      <c r="E30">
        <v>0</v>
      </c>
      <c r="F30">
        <v>0</v>
      </c>
      <c r="G30">
        <v>0</v>
      </c>
      <c r="H30">
        <v>0</v>
      </c>
      <c r="I30">
        <v>0</v>
      </c>
      <c r="J30">
        <v>0</v>
      </c>
      <c r="K30">
        <v>0</v>
      </c>
      <c r="L30">
        <v>0</v>
      </c>
      <c r="M30">
        <v>0.8</v>
      </c>
    </row>
    <row r="31" spans="1:13" x14ac:dyDescent="0.15">
      <c r="A31">
        <v>30</v>
      </c>
      <c r="B31" s="195" t="s">
        <v>222</v>
      </c>
      <c r="C31">
        <v>0</v>
      </c>
      <c r="D31">
        <v>0</v>
      </c>
      <c r="E31">
        <v>0</v>
      </c>
      <c r="F31">
        <v>0</v>
      </c>
      <c r="G31">
        <v>0</v>
      </c>
      <c r="H31">
        <v>0</v>
      </c>
      <c r="I31">
        <v>0</v>
      </c>
      <c r="J31">
        <v>0</v>
      </c>
      <c r="K31">
        <v>0</v>
      </c>
      <c r="L31">
        <v>0</v>
      </c>
      <c r="M31">
        <v>0.8</v>
      </c>
    </row>
    <row r="32" spans="1:13" x14ac:dyDescent="0.15">
      <c r="A32">
        <v>31</v>
      </c>
      <c r="B32" s="195" t="s">
        <v>223</v>
      </c>
      <c r="C32">
        <v>0</v>
      </c>
      <c r="D32">
        <v>0</v>
      </c>
      <c r="E32">
        <v>0</v>
      </c>
      <c r="F32">
        <v>0</v>
      </c>
      <c r="G32">
        <v>0</v>
      </c>
      <c r="H32">
        <v>0</v>
      </c>
      <c r="I32">
        <v>0</v>
      </c>
      <c r="J32">
        <v>0</v>
      </c>
      <c r="K32">
        <v>0</v>
      </c>
      <c r="L32">
        <v>0</v>
      </c>
      <c r="M32">
        <v>0.8</v>
      </c>
    </row>
    <row r="33" spans="1:13" x14ac:dyDescent="0.15">
      <c r="A33">
        <v>32</v>
      </c>
      <c r="B33" s="195" t="s">
        <v>224</v>
      </c>
      <c r="C33">
        <v>0</v>
      </c>
      <c r="D33">
        <v>0</v>
      </c>
      <c r="E33">
        <v>0</v>
      </c>
      <c r="F33">
        <v>0</v>
      </c>
      <c r="G33">
        <v>0</v>
      </c>
      <c r="H33">
        <v>0</v>
      </c>
      <c r="I33">
        <v>0</v>
      </c>
      <c r="J33">
        <v>0</v>
      </c>
      <c r="K33">
        <v>0</v>
      </c>
      <c r="L33">
        <v>0</v>
      </c>
      <c r="M33">
        <v>0.8</v>
      </c>
    </row>
    <row r="34" spans="1:13" x14ac:dyDescent="0.15">
      <c r="A34">
        <v>33</v>
      </c>
      <c r="B34" s="195" t="s">
        <v>225</v>
      </c>
      <c r="C34">
        <v>0</v>
      </c>
      <c r="D34">
        <v>0</v>
      </c>
      <c r="E34">
        <v>0</v>
      </c>
      <c r="F34">
        <v>0</v>
      </c>
      <c r="G34">
        <v>0</v>
      </c>
      <c r="H34">
        <v>0</v>
      </c>
      <c r="I34">
        <v>0</v>
      </c>
      <c r="J34">
        <v>0</v>
      </c>
      <c r="K34">
        <v>0</v>
      </c>
      <c r="L34">
        <v>0</v>
      </c>
      <c r="M34">
        <v>0</v>
      </c>
    </row>
    <row r="35" spans="1:13" x14ac:dyDescent="0.15">
      <c r="A35">
        <v>34</v>
      </c>
      <c r="B35" s="195" t="s">
        <v>226</v>
      </c>
      <c r="C35">
        <v>0</v>
      </c>
      <c r="D35">
        <v>0</v>
      </c>
      <c r="E35">
        <v>0</v>
      </c>
      <c r="F35">
        <v>0</v>
      </c>
      <c r="G35">
        <v>0</v>
      </c>
      <c r="H35">
        <v>0</v>
      </c>
      <c r="I35">
        <v>0</v>
      </c>
      <c r="J35">
        <v>0</v>
      </c>
      <c r="K35">
        <v>0</v>
      </c>
      <c r="L35">
        <v>0</v>
      </c>
      <c r="M35">
        <v>0</v>
      </c>
    </row>
    <row r="36" spans="1:13" x14ac:dyDescent="0.15">
      <c r="A36">
        <v>35</v>
      </c>
      <c r="B36" s="195" t="s">
        <v>227</v>
      </c>
      <c r="C36">
        <v>0</v>
      </c>
      <c r="D36">
        <v>0</v>
      </c>
      <c r="E36">
        <v>0</v>
      </c>
      <c r="F36">
        <v>0</v>
      </c>
      <c r="G36">
        <v>0</v>
      </c>
      <c r="H36">
        <v>0</v>
      </c>
      <c r="I36">
        <v>0</v>
      </c>
      <c r="J36">
        <v>0</v>
      </c>
      <c r="K36">
        <v>0</v>
      </c>
      <c r="L36">
        <v>0</v>
      </c>
      <c r="M36">
        <v>0</v>
      </c>
    </row>
    <row r="37" spans="1:13" x14ac:dyDescent="0.15">
      <c r="A37">
        <v>36</v>
      </c>
      <c r="B37" s="195" t="s">
        <v>228</v>
      </c>
      <c r="C37">
        <v>0</v>
      </c>
      <c r="D37">
        <v>0</v>
      </c>
      <c r="E37">
        <v>0</v>
      </c>
      <c r="F37">
        <v>0</v>
      </c>
      <c r="G37">
        <v>0</v>
      </c>
      <c r="H37">
        <v>0</v>
      </c>
      <c r="I37">
        <v>0</v>
      </c>
      <c r="J37">
        <v>0</v>
      </c>
      <c r="K37">
        <v>0</v>
      </c>
      <c r="L37">
        <v>0</v>
      </c>
      <c r="M37">
        <v>0</v>
      </c>
    </row>
    <row r="38" spans="1:13" x14ac:dyDescent="0.15">
      <c r="A38">
        <v>37</v>
      </c>
      <c r="B38" s="195" t="s">
        <v>229</v>
      </c>
      <c r="C38">
        <v>0</v>
      </c>
      <c r="D38">
        <v>0</v>
      </c>
      <c r="E38">
        <v>0</v>
      </c>
      <c r="F38">
        <v>0</v>
      </c>
      <c r="G38">
        <v>0</v>
      </c>
      <c r="H38">
        <v>0</v>
      </c>
      <c r="I38">
        <v>0</v>
      </c>
      <c r="J38">
        <v>0</v>
      </c>
      <c r="K38">
        <v>0</v>
      </c>
      <c r="L38">
        <v>0</v>
      </c>
      <c r="M38">
        <v>0</v>
      </c>
    </row>
    <row r="39" spans="1:13" x14ac:dyDescent="0.15">
      <c r="A39">
        <v>38</v>
      </c>
      <c r="B39" s="195" t="s">
        <v>230</v>
      </c>
      <c r="C39">
        <v>0</v>
      </c>
      <c r="D39">
        <v>0</v>
      </c>
      <c r="E39">
        <v>0</v>
      </c>
      <c r="F39">
        <v>0</v>
      </c>
      <c r="G39">
        <v>0</v>
      </c>
      <c r="H39">
        <v>0</v>
      </c>
      <c r="I39">
        <v>0</v>
      </c>
      <c r="J39">
        <v>0</v>
      </c>
      <c r="K39">
        <v>0</v>
      </c>
      <c r="L39">
        <v>0</v>
      </c>
      <c r="M39">
        <v>0</v>
      </c>
    </row>
    <row r="40" spans="1:13" x14ac:dyDescent="0.15">
      <c r="A40">
        <v>39</v>
      </c>
      <c r="B40" s="195" t="s">
        <v>231</v>
      </c>
      <c r="C40">
        <v>0</v>
      </c>
      <c r="D40">
        <v>0</v>
      </c>
      <c r="E40">
        <v>0</v>
      </c>
      <c r="F40">
        <v>0</v>
      </c>
      <c r="G40">
        <v>0</v>
      </c>
      <c r="H40">
        <v>0</v>
      </c>
      <c r="I40">
        <v>0</v>
      </c>
      <c r="J40">
        <v>0</v>
      </c>
      <c r="K40">
        <v>0</v>
      </c>
      <c r="L40">
        <v>0</v>
      </c>
      <c r="M40">
        <v>0</v>
      </c>
    </row>
    <row r="41" spans="1:13" x14ac:dyDescent="0.15">
      <c r="A41">
        <v>40</v>
      </c>
      <c r="B41" s="195" t="s">
        <v>232</v>
      </c>
      <c r="C41">
        <v>0</v>
      </c>
      <c r="D41">
        <v>0</v>
      </c>
      <c r="E41">
        <v>0</v>
      </c>
      <c r="F41">
        <v>0</v>
      </c>
      <c r="G41">
        <v>0</v>
      </c>
      <c r="H41">
        <v>0</v>
      </c>
      <c r="I41">
        <v>0</v>
      </c>
      <c r="J41">
        <v>0</v>
      </c>
      <c r="K41">
        <v>0</v>
      </c>
      <c r="L41">
        <v>0</v>
      </c>
      <c r="M41">
        <v>0</v>
      </c>
    </row>
    <row r="42" spans="1:13" x14ac:dyDescent="0.15">
      <c r="A42">
        <v>41</v>
      </c>
      <c r="B42" s="195" t="s">
        <v>233</v>
      </c>
      <c r="C42">
        <v>0</v>
      </c>
      <c r="D42">
        <v>0</v>
      </c>
      <c r="E42">
        <v>0</v>
      </c>
      <c r="F42">
        <v>0</v>
      </c>
      <c r="G42">
        <v>0</v>
      </c>
      <c r="H42">
        <v>0</v>
      </c>
      <c r="I42">
        <v>0</v>
      </c>
      <c r="J42">
        <v>0</v>
      </c>
      <c r="K42">
        <v>0</v>
      </c>
      <c r="L42">
        <v>0</v>
      </c>
      <c r="M42">
        <v>0.8</v>
      </c>
    </row>
    <row r="43" spans="1:13" x14ac:dyDescent="0.15">
      <c r="A43">
        <v>42</v>
      </c>
      <c r="B43" s="195" t="s">
        <v>234</v>
      </c>
      <c r="C43">
        <v>0</v>
      </c>
      <c r="D43">
        <v>0</v>
      </c>
      <c r="E43">
        <v>0</v>
      </c>
      <c r="F43">
        <v>0</v>
      </c>
      <c r="G43">
        <v>0</v>
      </c>
      <c r="H43">
        <v>0</v>
      </c>
      <c r="I43">
        <v>0</v>
      </c>
      <c r="J43">
        <v>0</v>
      </c>
      <c r="K43">
        <v>0</v>
      </c>
      <c r="L43">
        <v>0</v>
      </c>
      <c r="M43">
        <v>0</v>
      </c>
    </row>
    <row r="44" spans="1:13" x14ac:dyDescent="0.15">
      <c r="A44">
        <v>43</v>
      </c>
      <c r="B44" s="195" t="s">
        <v>235</v>
      </c>
      <c r="C44">
        <v>0</v>
      </c>
      <c r="D44">
        <v>0</v>
      </c>
      <c r="E44">
        <v>0</v>
      </c>
      <c r="F44">
        <v>0</v>
      </c>
      <c r="G44">
        <v>0</v>
      </c>
      <c r="H44">
        <v>0</v>
      </c>
      <c r="I44">
        <v>0</v>
      </c>
      <c r="J44">
        <v>0</v>
      </c>
      <c r="K44">
        <v>0</v>
      </c>
      <c r="L44">
        <v>0</v>
      </c>
      <c r="M44">
        <v>0</v>
      </c>
    </row>
    <row r="45" spans="1:13" x14ac:dyDescent="0.15">
      <c r="A45">
        <v>44</v>
      </c>
      <c r="B45" s="195" t="s">
        <v>236</v>
      </c>
      <c r="C45">
        <v>0</v>
      </c>
      <c r="D45">
        <v>0</v>
      </c>
      <c r="E45">
        <v>0</v>
      </c>
      <c r="F45">
        <v>0</v>
      </c>
      <c r="G45">
        <v>0</v>
      </c>
      <c r="H45">
        <v>0</v>
      </c>
      <c r="I45">
        <v>0</v>
      </c>
      <c r="J45">
        <v>0</v>
      </c>
      <c r="K45">
        <v>0</v>
      </c>
      <c r="L45">
        <v>0</v>
      </c>
      <c r="M45">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M45"/>
  <sheetViews>
    <sheetView workbookViewId="0">
      <selection activeCell="A3" sqref="A3"/>
    </sheetView>
  </sheetViews>
  <sheetFormatPr baseColWidth="10" defaultRowHeight="13" x14ac:dyDescent="0.15"/>
  <cols>
    <col min="1" max="1" width="3.33203125" customWidth="1"/>
    <col min="2" max="2" width="44.1640625" bestFit="1" customWidth="1"/>
    <col min="3" max="4" width="3.83203125" bestFit="1" customWidth="1"/>
    <col min="5" max="5" width="2.33203125" customWidth="1"/>
    <col min="6" max="13" width="3.83203125" customWidth="1"/>
  </cols>
  <sheetData>
    <row r="1" spans="1:13" ht="112" x14ac:dyDescent="0.15">
      <c r="A1" s="5" t="s">
        <v>82</v>
      </c>
      <c r="B1" s="3" t="s">
        <v>0</v>
      </c>
      <c r="C1" s="198" t="s">
        <v>201</v>
      </c>
      <c r="D1" s="198" t="s">
        <v>237</v>
      </c>
      <c r="E1" s="198" t="s">
        <v>203</v>
      </c>
      <c r="F1" s="198" t="s">
        <v>211</v>
      </c>
      <c r="G1" s="198" t="s">
        <v>212</v>
      </c>
      <c r="H1" s="198" t="s">
        <v>213</v>
      </c>
      <c r="I1" s="198" t="s">
        <v>214</v>
      </c>
      <c r="J1" s="198" t="s">
        <v>206</v>
      </c>
      <c r="K1" s="198" t="s">
        <v>205</v>
      </c>
      <c r="L1" s="198" t="s">
        <v>219</v>
      </c>
      <c r="M1" s="198" t="s">
        <v>238</v>
      </c>
    </row>
    <row r="2" spans="1:13" x14ac:dyDescent="0.15">
      <c r="A2">
        <v>1</v>
      </c>
      <c r="B2" s="197" t="s">
        <v>193</v>
      </c>
      <c r="C2">
        <v>0</v>
      </c>
      <c r="D2">
        <v>0</v>
      </c>
      <c r="E2">
        <v>0</v>
      </c>
      <c r="F2">
        <v>0</v>
      </c>
      <c r="G2">
        <v>0</v>
      </c>
      <c r="H2">
        <v>0</v>
      </c>
      <c r="I2">
        <v>0</v>
      </c>
      <c r="J2">
        <v>0</v>
      </c>
      <c r="K2">
        <v>0</v>
      </c>
      <c r="L2">
        <v>0</v>
      </c>
      <c r="M2">
        <v>0</v>
      </c>
    </row>
    <row r="3" spans="1:13" x14ac:dyDescent="0.15">
      <c r="A3">
        <v>2</v>
      </c>
      <c r="B3" s="197" t="s">
        <v>194</v>
      </c>
      <c r="C3">
        <v>0</v>
      </c>
      <c r="D3">
        <v>0</v>
      </c>
      <c r="E3">
        <v>0</v>
      </c>
      <c r="F3">
        <v>0</v>
      </c>
      <c r="G3">
        <v>0</v>
      </c>
      <c r="H3">
        <v>0</v>
      </c>
      <c r="I3">
        <v>0</v>
      </c>
      <c r="J3">
        <v>0</v>
      </c>
      <c r="K3">
        <v>0</v>
      </c>
      <c r="L3">
        <v>0</v>
      </c>
      <c r="M3">
        <v>0</v>
      </c>
    </row>
    <row r="4" spans="1:13" x14ac:dyDescent="0.15">
      <c r="A4">
        <v>3</v>
      </c>
      <c r="B4" s="197" t="s">
        <v>195</v>
      </c>
      <c r="C4">
        <v>0</v>
      </c>
      <c r="D4">
        <v>0</v>
      </c>
      <c r="E4">
        <v>0</v>
      </c>
      <c r="F4">
        <v>0</v>
      </c>
      <c r="G4">
        <v>0</v>
      </c>
      <c r="H4">
        <v>0</v>
      </c>
      <c r="I4">
        <v>0</v>
      </c>
      <c r="J4">
        <v>0</v>
      </c>
      <c r="K4">
        <v>0</v>
      </c>
      <c r="L4">
        <v>0</v>
      </c>
      <c r="M4">
        <v>0</v>
      </c>
    </row>
    <row r="5" spans="1:13" x14ac:dyDescent="0.15">
      <c r="A5">
        <v>4</v>
      </c>
      <c r="B5" s="197" t="s">
        <v>196</v>
      </c>
      <c r="C5">
        <v>0</v>
      </c>
      <c r="D5">
        <v>0</v>
      </c>
      <c r="E5">
        <v>0</v>
      </c>
      <c r="F5">
        <v>0</v>
      </c>
      <c r="G5">
        <v>0</v>
      </c>
      <c r="H5">
        <v>0</v>
      </c>
      <c r="I5">
        <v>0</v>
      </c>
      <c r="J5">
        <v>0</v>
      </c>
      <c r="K5">
        <v>0</v>
      </c>
      <c r="L5">
        <v>0</v>
      </c>
      <c r="M5">
        <v>0</v>
      </c>
    </row>
    <row r="6" spans="1:13" x14ac:dyDescent="0.15">
      <c r="A6">
        <v>5</v>
      </c>
      <c r="B6" s="197" t="s">
        <v>197</v>
      </c>
      <c r="C6">
        <v>0</v>
      </c>
      <c r="D6">
        <v>0</v>
      </c>
      <c r="E6">
        <v>0</v>
      </c>
      <c r="F6">
        <v>0</v>
      </c>
      <c r="G6">
        <v>0</v>
      </c>
      <c r="H6">
        <v>0</v>
      </c>
      <c r="I6">
        <v>0</v>
      </c>
      <c r="J6">
        <v>0</v>
      </c>
      <c r="K6">
        <v>0</v>
      </c>
      <c r="L6">
        <v>0</v>
      </c>
      <c r="M6">
        <v>0.8</v>
      </c>
    </row>
    <row r="7" spans="1:13" x14ac:dyDescent="0.15">
      <c r="A7">
        <v>6</v>
      </c>
      <c r="B7" s="197" t="s">
        <v>198</v>
      </c>
      <c r="C7">
        <v>0</v>
      </c>
      <c r="D7">
        <v>0</v>
      </c>
      <c r="E7">
        <v>0</v>
      </c>
      <c r="F7">
        <v>0</v>
      </c>
      <c r="G7">
        <v>0</v>
      </c>
      <c r="H7">
        <v>0</v>
      </c>
      <c r="I7">
        <v>0</v>
      </c>
      <c r="J7">
        <v>0</v>
      </c>
      <c r="K7">
        <v>0</v>
      </c>
      <c r="L7">
        <v>0</v>
      </c>
      <c r="M7">
        <v>0.8</v>
      </c>
    </row>
    <row r="8" spans="1:13" x14ac:dyDescent="0.15">
      <c r="A8">
        <v>7</v>
      </c>
      <c r="B8" s="197" t="s">
        <v>199</v>
      </c>
      <c r="C8">
        <v>0</v>
      </c>
      <c r="D8">
        <v>0</v>
      </c>
      <c r="E8">
        <v>0</v>
      </c>
      <c r="F8">
        <v>0</v>
      </c>
      <c r="G8">
        <v>0</v>
      </c>
      <c r="H8">
        <v>0</v>
      </c>
      <c r="I8">
        <v>0</v>
      </c>
      <c r="J8">
        <v>0</v>
      </c>
      <c r="K8">
        <v>0</v>
      </c>
      <c r="L8">
        <v>0</v>
      </c>
      <c r="M8">
        <v>0.8</v>
      </c>
    </row>
    <row r="9" spans="1:13" x14ac:dyDescent="0.15">
      <c r="A9">
        <v>8</v>
      </c>
      <c r="B9" s="197" t="s">
        <v>200</v>
      </c>
      <c r="C9">
        <v>0</v>
      </c>
      <c r="D9">
        <v>0</v>
      </c>
      <c r="E9">
        <v>0</v>
      </c>
      <c r="F9">
        <v>0</v>
      </c>
      <c r="G9">
        <v>0</v>
      </c>
      <c r="H9">
        <v>0</v>
      </c>
      <c r="I9">
        <v>0</v>
      </c>
      <c r="J9">
        <v>0</v>
      </c>
      <c r="K9">
        <v>0</v>
      </c>
      <c r="L9">
        <v>0</v>
      </c>
      <c r="M9">
        <v>0.8</v>
      </c>
    </row>
    <row r="10" spans="1:13" x14ac:dyDescent="0.15">
      <c r="A10">
        <v>9</v>
      </c>
      <c r="B10" s="197" t="s">
        <v>201</v>
      </c>
      <c r="C10">
        <v>0.8</v>
      </c>
      <c r="D10">
        <v>0</v>
      </c>
      <c r="E10">
        <v>0</v>
      </c>
      <c r="F10">
        <v>0</v>
      </c>
      <c r="G10">
        <v>0</v>
      </c>
      <c r="H10">
        <v>0</v>
      </c>
      <c r="I10">
        <v>0</v>
      </c>
      <c r="J10">
        <v>0</v>
      </c>
      <c r="K10">
        <v>0</v>
      </c>
      <c r="L10">
        <v>0</v>
      </c>
      <c r="M10">
        <v>0</v>
      </c>
    </row>
    <row r="11" spans="1:13" x14ac:dyDescent="0.15">
      <c r="A11">
        <v>10</v>
      </c>
      <c r="B11" s="197" t="s">
        <v>202</v>
      </c>
      <c r="C11">
        <v>0</v>
      </c>
      <c r="D11">
        <v>0.8</v>
      </c>
      <c r="E11">
        <v>0</v>
      </c>
      <c r="F11">
        <v>0</v>
      </c>
      <c r="G11">
        <v>0</v>
      </c>
      <c r="H11">
        <v>0</v>
      </c>
      <c r="I11">
        <v>0</v>
      </c>
      <c r="J11">
        <v>0</v>
      </c>
      <c r="K11">
        <v>0</v>
      </c>
      <c r="L11">
        <v>0</v>
      </c>
      <c r="M11">
        <v>0</v>
      </c>
    </row>
    <row r="12" spans="1:13" x14ac:dyDescent="0.15">
      <c r="A12">
        <v>11</v>
      </c>
      <c r="B12" s="197" t="s">
        <v>203</v>
      </c>
      <c r="C12">
        <v>0</v>
      </c>
      <c r="D12">
        <v>0.8</v>
      </c>
      <c r="E12">
        <v>0</v>
      </c>
      <c r="F12">
        <v>0</v>
      </c>
      <c r="G12">
        <v>0</v>
      </c>
      <c r="H12">
        <v>0</v>
      </c>
      <c r="I12">
        <v>0</v>
      </c>
      <c r="J12">
        <v>0</v>
      </c>
      <c r="K12">
        <v>0</v>
      </c>
      <c r="L12">
        <v>0</v>
      </c>
      <c r="M12">
        <v>0</v>
      </c>
    </row>
    <row r="13" spans="1:13" x14ac:dyDescent="0.15">
      <c r="A13">
        <v>12</v>
      </c>
      <c r="B13" s="197" t="s">
        <v>204</v>
      </c>
      <c r="C13">
        <v>0</v>
      </c>
      <c r="D13">
        <v>0</v>
      </c>
      <c r="E13">
        <v>0</v>
      </c>
      <c r="F13">
        <v>0</v>
      </c>
      <c r="G13">
        <v>0</v>
      </c>
      <c r="H13">
        <v>0</v>
      </c>
      <c r="I13">
        <v>0</v>
      </c>
      <c r="J13">
        <v>0</v>
      </c>
      <c r="K13">
        <v>0</v>
      </c>
      <c r="L13">
        <v>0</v>
      </c>
      <c r="M13">
        <v>0.8</v>
      </c>
    </row>
    <row r="14" spans="1:13" x14ac:dyDescent="0.15">
      <c r="A14">
        <v>13</v>
      </c>
      <c r="B14" s="197" t="s">
        <v>205</v>
      </c>
      <c r="C14">
        <v>0</v>
      </c>
      <c r="D14">
        <v>0</v>
      </c>
      <c r="E14">
        <v>0</v>
      </c>
      <c r="F14">
        <v>0</v>
      </c>
      <c r="G14">
        <v>0</v>
      </c>
      <c r="H14">
        <v>0</v>
      </c>
      <c r="I14">
        <v>0</v>
      </c>
      <c r="J14">
        <v>0</v>
      </c>
      <c r="K14">
        <v>0.8</v>
      </c>
      <c r="L14">
        <v>0</v>
      </c>
      <c r="M14">
        <v>0</v>
      </c>
    </row>
    <row r="15" spans="1:13" x14ac:dyDescent="0.15">
      <c r="A15">
        <v>14</v>
      </c>
      <c r="B15" s="197" t="s">
        <v>206</v>
      </c>
      <c r="C15">
        <v>0</v>
      </c>
      <c r="D15">
        <v>0</v>
      </c>
      <c r="E15">
        <v>0</v>
      </c>
      <c r="F15">
        <v>0</v>
      </c>
      <c r="G15">
        <v>0</v>
      </c>
      <c r="H15">
        <v>0</v>
      </c>
      <c r="I15">
        <v>0</v>
      </c>
      <c r="J15">
        <v>0.8</v>
      </c>
      <c r="K15">
        <v>0</v>
      </c>
      <c r="L15">
        <v>0</v>
      </c>
      <c r="M15">
        <v>0</v>
      </c>
    </row>
    <row r="16" spans="1:13" x14ac:dyDescent="0.15">
      <c r="A16">
        <v>15</v>
      </c>
      <c r="B16" s="197" t="s">
        <v>207</v>
      </c>
      <c r="C16">
        <v>0</v>
      </c>
      <c r="D16">
        <v>0</v>
      </c>
      <c r="E16">
        <v>0</v>
      </c>
      <c r="F16">
        <v>0</v>
      </c>
      <c r="G16">
        <v>0</v>
      </c>
      <c r="H16">
        <v>0</v>
      </c>
      <c r="I16">
        <v>0</v>
      </c>
      <c r="J16">
        <v>0</v>
      </c>
      <c r="K16">
        <v>0</v>
      </c>
      <c r="L16">
        <v>0</v>
      </c>
      <c r="M16">
        <v>0.8</v>
      </c>
    </row>
    <row r="17" spans="1:13" x14ac:dyDescent="0.15">
      <c r="A17">
        <v>16</v>
      </c>
      <c r="B17" s="197" t="s">
        <v>208</v>
      </c>
      <c r="C17">
        <v>0</v>
      </c>
      <c r="D17">
        <v>0</v>
      </c>
      <c r="E17">
        <v>0</v>
      </c>
      <c r="F17">
        <v>0</v>
      </c>
      <c r="G17">
        <v>0</v>
      </c>
      <c r="H17">
        <v>0</v>
      </c>
      <c r="I17">
        <v>0</v>
      </c>
      <c r="J17">
        <v>0</v>
      </c>
      <c r="K17">
        <v>0</v>
      </c>
      <c r="L17">
        <v>0</v>
      </c>
      <c r="M17">
        <v>0.8</v>
      </c>
    </row>
    <row r="18" spans="1:13" x14ac:dyDescent="0.15">
      <c r="A18">
        <v>17</v>
      </c>
      <c r="B18" s="197" t="s">
        <v>209</v>
      </c>
      <c r="C18">
        <v>0</v>
      </c>
      <c r="D18">
        <v>0</v>
      </c>
      <c r="E18">
        <v>0</v>
      </c>
      <c r="F18">
        <v>0</v>
      </c>
      <c r="G18">
        <v>0</v>
      </c>
      <c r="H18">
        <v>0</v>
      </c>
      <c r="I18">
        <v>0</v>
      </c>
      <c r="J18">
        <v>0</v>
      </c>
      <c r="K18">
        <v>0</v>
      </c>
      <c r="L18">
        <v>0</v>
      </c>
      <c r="M18">
        <v>0.8</v>
      </c>
    </row>
    <row r="19" spans="1:13" x14ac:dyDescent="0.15">
      <c r="A19">
        <v>18</v>
      </c>
      <c r="B19" s="197" t="s">
        <v>210</v>
      </c>
      <c r="C19">
        <v>0</v>
      </c>
      <c r="D19">
        <v>0</v>
      </c>
      <c r="E19">
        <v>0</v>
      </c>
      <c r="F19">
        <v>0</v>
      </c>
      <c r="G19">
        <v>0</v>
      </c>
      <c r="H19">
        <v>0</v>
      </c>
      <c r="I19">
        <v>0</v>
      </c>
      <c r="J19">
        <v>0</v>
      </c>
      <c r="K19">
        <v>0</v>
      </c>
      <c r="L19">
        <v>0</v>
      </c>
      <c r="M19">
        <v>0.8</v>
      </c>
    </row>
    <row r="20" spans="1:13" x14ac:dyDescent="0.15">
      <c r="A20">
        <v>19</v>
      </c>
      <c r="B20" s="197" t="s">
        <v>211</v>
      </c>
      <c r="C20">
        <v>0</v>
      </c>
      <c r="D20">
        <v>0</v>
      </c>
      <c r="E20">
        <v>0</v>
      </c>
      <c r="F20">
        <v>0.8</v>
      </c>
      <c r="G20">
        <v>0</v>
      </c>
      <c r="H20">
        <v>0</v>
      </c>
      <c r="I20">
        <v>0</v>
      </c>
      <c r="J20">
        <v>0</v>
      </c>
      <c r="K20">
        <v>0</v>
      </c>
      <c r="L20">
        <v>0</v>
      </c>
      <c r="M20">
        <v>0</v>
      </c>
    </row>
    <row r="21" spans="1:13" x14ac:dyDescent="0.15">
      <c r="A21">
        <v>20</v>
      </c>
      <c r="B21" s="197" t="s">
        <v>212</v>
      </c>
      <c r="C21">
        <v>0</v>
      </c>
      <c r="D21">
        <v>0</v>
      </c>
      <c r="E21">
        <v>0</v>
      </c>
      <c r="F21">
        <v>0</v>
      </c>
      <c r="G21">
        <v>0.8</v>
      </c>
      <c r="H21">
        <v>0</v>
      </c>
      <c r="I21">
        <v>0</v>
      </c>
      <c r="J21">
        <v>0</v>
      </c>
      <c r="K21">
        <v>0</v>
      </c>
      <c r="L21">
        <v>0</v>
      </c>
      <c r="M21">
        <v>0</v>
      </c>
    </row>
    <row r="22" spans="1:13" x14ac:dyDescent="0.15">
      <c r="A22">
        <v>21</v>
      </c>
      <c r="B22" s="197" t="s">
        <v>213</v>
      </c>
      <c r="C22">
        <v>0</v>
      </c>
      <c r="D22">
        <v>0</v>
      </c>
      <c r="E22">
        <v>0</v>
      </c>
      <c r="F22">
        <v>0</v>
      </c>
      <c r="G22">
        <v>0</v>
      </c>
      <c r="H22">
        <v>0.8</v>
      </c>
      <c r="I22">
        <v>0</v>
      </c>
      <c r="J22">
        <v>0</v>
      </c>
      <c r="K22">
        <v>0</v>
      </c>
      <c r="L22">
        <v>0</v>
      </c>
      <c r="M22">
        <v>0</v>
      </c>
    </row>
    <row r="23" spans="1:13" x14ac:dyDescent="0.15">
      <c r="A23">
        <v>22</v>
      </c>
      <c r="B23" s="197" t="s">
        <v>214</v>
      </c>
      <c r="C23">
        <v>0</v>
      </c>
      <c r="D23">
        <v>0</v>
      </c>
      <c r="E23">
        <v>0</v>
      </c>
      <c r="F23">
        <v>0</v>
      </c>
      <c r="G23">
        <v>0</v>
      </c>
      <c r="H23">
        <v>0</v>
      </c>
      <c r="I23">
        <v>0.8</v>
      </c>
      <c r="J23">
        <v>0</v>
      </c>
      <c r="K23">
        <v>0</v>
      </c>
      <c r="L23">
        <v>0</v>
      </c>
      <c r="M23">
        <v>0</v>
      </c>
    </row>
    <row r="24" spans="1:13" x14ac:dyDescent="0.15">
      <c r="A24">
        <v>23</v>
      </c>
      <c r="B24" s="197" t="s">
        <v>215</v>
      </c>
      <c r="C24">
        <v>0</v>
      </c>
      <c r="D24">
        <v>0</v>
      </c>
      <c r="E24">
        <v>0</v>
      </c>
      <c r="F24">
        <v>0</v>
      </c>
      <c r="G24">
        <v>0</v>
      </c>
      <c r="H24">
        <v>0</v>
      </c>
      <c r="I24">
        <v>0</v>
      </c>
      <c r="J24">
        <v>0</v>
      </c>
      <c r="K24">
        <v>0</v>
      </c>
      <c r="L24">
        <v>0</v>
      </c>
      <c r="M24">
        <v>0.8</v>
      </c>
    </row>
    <row r="25" spans="1:13" x14ac:dyDescent="0.15">
      <c r="A25">
        <v>24</v>
      </c>
      <c r="B25" s="197" t="s">
        <v>216</v>
      </c>
      <c r="C25">
        <v>0</v>
      </c>
      <c r="D25">
        <v>0</v>
      </c>
      <c r="E25">
        <v>0</v>
      </c>
      <c r="F25">
        <v>0</v>
      </c>
      <c r="G25">
        <v>0</v>
      </c>
      <c r="H25">
        <v>0</v>
      </c>
      <c r="I25">
        <v>0</v>
      </c>
      <c r="J25">
        <v>0</v>
      </c>
      <c r="K25">
        <v>0</v>
      </c>
      <c r="L25">
        <v>0</v>
      </c>
      <c r="M25">
        <v>0.8</v>
      </c>
    </row>
    <row r="26" spans="1:13" x14ac:dyDescent="0.15">
      <c r="A26">
        <v>25</v>
      </c>
      <c r="B26" s="197" t="s">
        <v>217</v>
      </c>
      <c r="C26">
        <v>0</v>
      </c>
      <c r="D26">
        <v>0</v>
      </c>
      <c r="E26">
        <v>0</v>
      </c>
      <c r="F26">
        <v>0</v>
      </c>
      <c r="G26">
        <v>0</v>
      </c>
      <c r="H26">
        <v>0</v>
      </c>
      <c r="I26">
        <v>0</v>
      </c>
      <c r="J26">
        <v>0</v>
      </c>
      <c r="K26">
        <v>0</v>
      </c>
      <c r="L26">
        <v>0</v>
      </c>
      <c r="M26">
        <v>0.8</v>
      </c>
    </row>
    <row r="27" spans="1:13" x14ac:dyDescent="0.15">
      <c r="A27">
        <v>26</v>
      </c>
      <c r="B27" s="197" t="s">
        <v>218</v>
      </c>
      <c r="C27">
        <v>0</v>
      </c>
      <c r="D27">
        <v>0</v>
      </c>
      <c r="E27">
        <v>0</v>
      </c>
      <c r="F27">
        <v>0</v>
      </c>
      <c r="G27">
        <v>0</v>
      </c>
      <c r="H27">
        <v>0</v>
      </c>
      <c r="I27">
        <v>0</v>
      </c>
      <c r="J27">
        <v>0</v>
      </c>
      <c r="K27">
        <v>0</v>
      </c>
      <c r="L27">
        <v>0</v>
      </c>
      <c r="M27">
        <v>0.8</v>
      </c>
    </row>
    <row r="28" spans="1:13" x14ac:dyDescent="0.15">
      <c r="A28">
        <v>27</v>
      </c>
      <c r="B28" s="197" t="s">
        <v>219</v>
      </c>
      <c r="C28">
        <v>0</v>
      </c>
      <c r="D28">
        <v>0</v>
      </c>
      <c r="E28">
        <v>0</v>
      </c>
      <c r="F28">
        <v>0</v>
      </c>
      <c r="G28">
        <v>0</v>
      </c>
      <c r="H28">
        <v>0</v>
      </c>
      <c r="I28">
        <v>0</v>
      </c>
      <c r="J28">
        <v>0</v>
      </c>
      <c r="K28">
        <v>0</v>
      </c>
      <c r="L28">
        <v>0.8</v>
      </c>
      <c r="M28">
        <v>0</v>
      </c>
    </row>
    <row r="29" spans="1:13" x14ac:dyDescent="0.15">
      <c r="A29">
        <v>28</v>
      </c>
      <c r="B29" s="197" t="s">
        <v>220</v>
      </c>
      <c r="C29">
        <v>0</v>
      </c>
      <c r="D29">
        <v>0</v>
      </c>
      <c r="E29">
        <v>0</v>
      </c>
      <c r="F29">
        <v>0</v>
      </c>
      <c r="G29">
        <v>0</v>
      </c>
      <c r="H29">
        <v>0</v>
      </c>
      <c r="I29">
        <v>0</v>
      </c>
      <c r="J29">
        <v>0</v>
      </c>
      <c r="K29">
        <v>0</v>
      </c>
      <c r="L29">
        <v>0</v>
      </c>
      <c r="M29">
        <v>0.8</v>
      </c>
    </row>
    <row r="30" spans="1:13" x14ac:dyDescent="0.15">
      <c r="A30">
        <v>29</v>
      </c>
      <c r="B30" s="197" t="s">
        <v>221</v>
      </c>
      <c r="C30">
        <v>0</v>
      </c>
      <c r="D30">
        <v>0</v>
      </c>
      <c r="E30">
        <v>0</v>
      </c>
      <c r="F30">
        <v>0</v>
      </c>
      <c r="G30">
        <v>0</v>
      </c>
      <c r="H30">
        <v>0</v>
      </c>
      <c r="I30">
        <v>0</v>
      </c>
      <c r="J30">
        <v>0</v>
      </c>
      <c r="K30">
        <v>0</v>
      </c>
      <c r="L30">
        <v>0</v>
      </c>
      <c r="M30">
        <v>0.8</v>
      </c>
    </row>
    <row r="31" spans="1:13" x14ac:dyDescent="0.15">
      <c r="A31">
        <v>30</v>
      </c>
      <c r="B31" s="197" t="s">
        <v>222</v>
      </c>
      <c r="C31">
        <v>0</v>
      </c>
      <c r="D31">
        <v>0</v>
      </c>
      <c r="E31">
        <v>0</v>
      </c>
      <c r="F31">
        <v>0</v>
      </c>
      <c r="G31">
        <v>0</v>
      </c>
      <c r="H31">
        <v>0</v>
      </c>
      <c r="I31">
        <v>0</v>
      </c>
      <c r="J31">
        <v>0</v>
      </c>
      <c r="K31">
        <v>0</v>
      </c>
      <c r="L31">
        <v>0</v>
      </c>
      <c r="M31">
        <v>0.8</v>
      </c>
    </row>
    <row r="32" spans="1:13" x14ac:dyDescent="0.15">
      <c r="A32">
        <v>31</v>
      </c>
      <c r="B32" s="197" t="s">
        <v>223</v>
      </c>
      <c r="C32">
        <v>0</v>
      </c>
      <c r="D32">
        <v>0</v>
      </c>
      <c r="E32">
        <v>0</v>
      </c>
      <c r="F32">
        <v>0</v>
      </c>
      <c r="G32">
        <v>0</v>
      </c>
      <c r="H32">
        <v>0</v>
      </c>
      <c r="I32">
        <v>0</v>
      </c>
      <c r="J32">
        <v>0</v>
      </c>
      <c r="K32">
        <v>0</v>
      </c>
      <c r="L32">
        <v>0</v>
      </c>
      <c r="M32">
        <v>0.8</v>
      </c>
    </row>
    <row r="33" spans="1:13" x14ac:dyDescent="0.15">
      <c r="A33">
        <v>32</v>
      </c>
      <c r="B33" s="197" t="s">
        <v>224</v>
      </c>
      <c r="C33">
        <v>0</v>
      </c>
      <c r="D33">
        <v>0</v>
      </c>
      <c r="E33">
        <v>0</v>
      </c>
      <c r="F33">
        <v>0</v>
      </c>
      <c r="G33">
        <v>0</v>
      </c>
      <c r="H33">
        <v>0</v>
      </c>
      <c r="I33">
        <v>0</v>
      </c>
      <c r="J33">
        <v>0</v>
      </c>
      <c r="K33">
        <v>0</v>
      </c>
      <c r="L33">
        <v>0</v>
      </c>
      <c r="M33">
        <v>0.8</v>
      </c>
    </row>
    <row r="34" spans="1:13" x14ac:dyDescent="0.15">
      <c r="A34">
        <v>33</v>
      </c>
      <c r="B34" s="197" t="s">
        <v>225</v>
      </c>
      <c r="C34">
        <v>0</v>
      </c>
      <c r="D34">
        <v>0</v>
      </c>
      <c r="E34">
        <v>0</v>
      </c>
      <c r="F34">
        <v>0</v>
      </c>
      <c r="G34">
        <v>0</v>
      </c>
      <c r="H34">
        <v>0</v>
      </c>
      <c r="I34">
        <v>0</v>
      </c>
      <c r="J34">
        <v>0</v>
      </c>
      <c r="K34">
        <v>0</v>
      </c>
      <c r="L34">
        <v>0</v>
      </c>
      <c r="M34">
        <v>0</v>
      </c>
    </row>
    <row r="35" spans="1:13" x14ac:dyDescent="0.15">
      <c r="A35">
        <v>34</v>
      </c>
      <c r="B35" s="197" t="s">
        <v>226</v>
      </c>
      <c r="C35">
        <v>0</v>
      </c>
      <c r="D35">
        <v>0</v>
      </c>
      <c r="E35">
        <v>0</v>
      </c>
      <c r="F35">
        <v>0</v>
      </c>
      <c r="G35">
        <v>0</v>
      </c>
      <c r="H35">
        <v>0</v>
      </c>
      <c r="I35">
        <v>0</v>
      </c>
      <c r="J35">
        <v>0</v>
      </c>
      <c r="K35">
        <v>0</v>
      </c>
      <c r="L35">
        <v>0</v>
      </c>
      <c r="M35">
        <v>0</v>
      </c>
    </row>
    <row r="36" spans="1:13" x14ac:dyDescent="0.15">
      <c r="A36">
        <v>35</v>
      </c>
      <c r="B36" s="197" t="s">
        <v>227</v>
      </c>
      <c r="C36">
        <v>0</v>
      </c>
      <c r="D36">
        <v>0</v>
      </c>
      <c r="E36">
        <v>0</v>
      </c>
      <c r="F36">
        <v>0</v>
      </c>
      <c r="G36">
        <v>0</v>
      </c>
      <c r="H36">
        <v>0</v>
      </c>
      <c r="I36">
        <v>0</v>
      </c>
      <c r="J36">
        <v>0</v>
      </c>
      <c r="K36">
        <v>0</v>
      </c>
      <c r="L36">
        <v>0</v>
      </c>
      <c r="M36">
        <v>0</v>
      </c>
    </row>
    <row r="37" spans="1:13" x14ac:dyDescent="0.15">
      <c r="A37">
        <v>36</v>
      </c>
      <c r="B37" s="197" t="s">
        <v>228</v>
      </c>
      <c r="C37">
        <v>0</v>
      </c>
      <c r="D37">
        <v>0</v>
      </c>
      <c r="E37">
        <v>0</v>
      </c>
      <c r="F37">
        <v>0</v>
      </c>
      <c r="G37">
        <v>0</v>
      </c>
      <c r="H37">
        <v>0</v>
      </c>
      <c r="I37">
        <v>0</v>
      </c>
      <c r="J37">
        <v>0</v>
      </c>
      <c r="K37">
        <v>0</v>
      </c>
      <c r="L37">
        <v>0</v>
      </c>
      <c r="M37">
        <v>0</v>
      </c>
    </row>
    <row r="38" spans="1:13" x14ac:dyDescent="0.15">
      <c r="A38">
        <v>37</v>
      </c>
      <c r="B38" s="197" t="s">
        <v>229</v>
      </c>
      <c r="C38">
        <v>0</v>
      </c>
      <c r="D38">
        <v>0</v>
      </c>
      <c r="E38">
        <v>0</v>
      </c>
      <c r="F38">
        <v>0</v>
      </c>
      <c r="G38">
        <v>0</v>
      </c>
      <c r="H38">
        <v>0</v>
      </c>
      <c r="I38">
        <v>0</v>
      </c>
      <c r="J38">
        <v>0</v>
      </c>
      <c r="K38">
        <v>0</v>
      </c>
      <c r="L38">
        <v>0</v>
      </c>
      <c r="M38">
        <v>0</v>
      </c>
    </row>
    <row r="39" spans="1:13" x14ac:dyDescent="0.15">
      <c r="A39">
        <v>38</v>
      </c>
      <c r="B39" s="197" t="s">
        <v>230</v>
      </c>
      <c r="C39">
        <v>0</v>
      </c>
      <c r="D39">
        <v>0</v>
      </c>
      <c r="E39">
        <v>0</v>
      </c>
      <c r="F39">
        <v>0</v>
      </c>
      <c r="G39">
        <v>0</v>
      </c>
      <c r="H39">
        <v>0</v>
      </c>
      <c r="I39">
        <v>0</v>
      </c>
      <c r="J39">
        <v>0</v>
      </c>
      <c r="K39">
        <v>0</v>
      </c>
      <c r="L39">
        <v>0</v>
      </c>
      <c r="M39">
        <v>0</v>
      </c>
    </row>
    <row r="40" spans="1:13" x14ac:dyDescent="0.15">
      <c r="A40">
        <v>39</v>
      </c>
      <c r="B40" s="197" t="s">
        <v>231</v>
      </c>
      <c r="C40">
        <v>0</v>
      </c>
      <c r="D40">
        <v>0</v>
      </c>
      <c r="E40">
        <v>0</v>
      </c>
      <c r="F40">
        <v>0</v>
      </c>
      <c r="G40">
        <v>0</v>
      </c>
      <c r="H40">
        <v>0</v>
      </c>
      <c r="I40">
        <v>0</v>
      </c>
      <c r="J40">
        <v>0</v>
      </c>
      <c r="K40">
        <v>0</v>
      </c>
      <c r="L40">
        <v>0</v>
      </c>
      <c r="M40">
        <v>0</v>
      </c>
    </row>
    <row r="41" spans="1:13" x14ac:dyDescent="0.15">
      <c r="A41">
        <v>40</v>
      </c>
      <c r="B41" s="197" t="s">
        <v>232</v>
      </c>
      <c r="C41">
        <v>0</v>
      </c>
      <c r="D41">
        <v>0</v>
      </c>
      <c r="E41">
        <v>0</v>
      </c>
      <c r="F41">
        <v>0</v>
      </c>
      <c r="G41">
        <v>0</v>
      </c>
      <c r="H41">
        <v>0</v>
      </c>
      <c r="I41">
        <v>0</v>
      </c>
      <c r="J41">
        <v>0</v>
      </c>
      <c r="K41">
        <v>0</v>
      </c>
      <c r="L41">
        <v>0</v>
      </c>
      <c r="M41">
        <v>0</v>
      </c>
    </row>
    <row r="42" spans="1:13" x14ac:dyDescent="0.15">
      <c r="A42">
        <v>41</v>
      </c>
      <c r="B42" s="197" t="s">
        <v>233</v>
      </c>
      <c r="C42">
        <v>0</v>
      </c>
      <c r="D42">
        <v>0</v>
      </c>
      <c r="E42">
        <v>0</v>
      </c>
      <c r="F42">
        <v>0</v>
      </c>
      <c r="G42">
        <v>0</v>
      </c>
      <c r="H42">
        <v>0</v>
      </c>
      <c r="I42">
        <v>0</v>
      </c>
      <c r="J42">
        <v>0</v>
      </c>
      <c r="K42">
        <v>0</v>
      </c>
      <c r="L42">
        <v>0</v>
      </c>
      <c r="M42">
        <v>0.8</v>
      </c>
    </row>
    <row r="43" spans="1:13" x14ac:dyDescent="0.15">
      <c r="A43">
        <v>42</v>
      </c>
      <c r="B43" s="197" t="s">
        <v>234</v>
      </c>
      <c r="C43">
        <v>0</v>
      </c>
      <c r="D43">
        <v>0</v>
      </c>
      <c r="E43">
        <v>0</v>
      </c>
      <c r="F43">
        <v>0</v>
      </c>
      <c r="G43">
        <v>0</v>
      </c>
      <c r="H43">
        <v>0</v>
      </c>
      <c r="I43">
        <v>0</v>
      </c>
      <c r="J43">
        <v>0</v>
      </c>
      <c r="K43">
        <v>0</v>
      </c>
      <c r="L43">
        <v>0</v>
      </c>
      <c r="M43">
        <v>0</v>
      </c>
    </row>
    <row r="44" spans="1:13" x14ac:dyDescent="0.15">
      <c r="A44">
        <v>43</v>
      </c>
      <c r="B44" s="197" t="s">
        <v>235</v>
      </c>
      <c r="C44">
        <v>0</v>
      </c>
      <c r="D44">
        <v>0</v>
      </c>
      <c r="E44">
        <v>0</v>
      </c>
      <c r="F44">
        <v>0</v>
      </c>
      <c r="G44">
        <v>0</v>
      </c>
      <c r="H44">
        <v>0</v>
      </c>
      <c r="I44">
        <v>0</v>
      </c>
      <c r="J44">
        <v>0</v>
      </c>
      <c r="K44">
        <v>0</v>
      </c>
      <c r="L44">
        <v>0</v>
      </c>
      <c r="M44">
        <v>0</v>
      </c>
    </row>
    <row r="45" spans="1:13" x14ac:dyDescent="0.15">
      <c r="A45">
        <v>44</v>
      </c>
      <c r="B45" s="197" t="s">
        <v>236</v>
      </c>
      <c r="C45">
        <v>0</v>
      </c>
      <c r="D45">
        <v>0</v>
      </c>
      <c r="E45">
        <v>0</v>
      </c>
      <c r="F45">
        <v>0</v>
      </c>
      <c r="G45">
        <v>0</v>
      </c>
      <c r="H45">
        <v>0</v>
      </c>
      <c r="I45">
        <v>0</v>
      </c>
      <c r="J45">
        <v>0</v>
      </c>
      <c r="K45">
        <v>0</v>
      </c>
      <c r="L45">
        <v>0</v>
      </c>
      <c r="M45">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L3" sqref="L3"/>
    </sheetView>
  </sheetViews>
  <sheetFormatPr baseColWidth="10" defaultColWidth="8.83203125" defaultRowHeight="15" customHeight="1" x14ac:dyDescent="0.15"/>
  <cols>
    <col min="1" max="1" width="8.83203125" style="83"/>
    <col min="2" max="2" width="41.83203125" style="83" bestFit="1" customWidth="1"/>
    <col min="3" max="3" width="9.33203125" style="83" bestFit="1" customWidth="1"/>
    <col min="4" max="4" width="13" style="83" bestFit="1" customWidth="1"/>
    <col min="5" max="6" width="9.33203125" style="83" bestFit="1" customWidth="1"/>
    <col min="7" max="7" width="9.33203125" style="99" bestFit="1" customWidth="1"/>
    <col min="8" max="8" width="9.33203125" style="83" bestFit="1" customWidth="1"/>
    <col min="9" max="9" width="11" style="83" customWidth="1"/>
    <col min="10" max="10" width="8.83203125" style="83"/>
    <col min="15" max="16384" width="8.83203125" style="83"/>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150">
        <v>1</v>
      </c>
      <c r="B2" s="150" t="s">
        <v>193</v>
      </c>
      <c r="C2" s="8">
        <v>4.3096566200256348</v>
      </c>
      <c r="D2" s="9">
        <v>2.2499999031424522E-3</v>
      </c>
      <c r="E2" s="9">
        <v>9.0000003576278687E-2</v>
      </c>
      <c r="F2" s="9">
        <v>57.659999847412109</v>
      </c>
      <c r="G2" s="7">
        <v>0</v>
      </c>
      <c r="H2" s="9">
        <v>1.5608741668984294E-3</v>
      </c>
      <c r="I2">
        <v>0</v>
      </c>
      <c r="J2"/>
    </row>
    <row r="3" spans="1:10" ht="15" customHeight="1" x14ac:dyDescent="0.15">
      <c r="A3" s="151">
        <v>2</v>
      </c>
      <c r="B3" s="151" t="s">
        <v>194</v>
      </c>
      <c r="C3" s="8">
        <v>3.6755928993225098</v>
      </c>
      <c r="D3" s="9">
        <v>5.8300001546740532E-4</v>
      </c>
      <c r="E3" s="9">
        <v>9.0000003576278687E-2</v>
      </c>
      <c r="F3" s="9">
        <v>69.959999084472656</v>
      </c>
      <c r="G3" s="7">
        <v>0</v>
      </c>
      <c r="H3" s="9">
        <v>1.2864494929090142E-3</v>
      </c>
      <c r="I3">
        <v>0</v>
      </c>
      <c r="J3"/>
    </row>
    <row r="4" spans="1:10" ht="15" customHeight="1" x14ac:dyDescent="0.15">
      <c r="A4" s="152">
        <v>3</v>
      </c>
      <c r="B4" s="152" t="s">
        <v>195</v>
      </c>
      <c r="C4" s="8">
        <v>3.9302151203155518</v>
      </c>
      <c r="D4" s="9">
        <v>6.5135382115840912E-2</v>
      </c>
      <c r="E4" s="9">
        <v>3.5000000149011612E-2</v>
      </c>
      <c r="F4" s="9">
        <v>4.7746109962463379</v>
      </c>
      <c r="G4" s="7">
        <v>0</v>
      </c>
      <c r="H4" s="9">
        <v>7.3304399847984314E-3</v>
      </c>
      <c r="I4">
        <v>0</v>
      </c>
      <c r="J4"/>
    </row>
    <row r="5" spans="1:10" ht="15" customHeight="1" x14ac:dyDescent="0.15">
      <c r="A5" s="153">
        <v>4</v>
      </c>
      <c r="B5" s="153" t="s">
        <v>196</v>
      </c>
      <c r="C5" s="8">
        <v>4.5835719108581543</v>
      </c>
      <c r="D5" s="9">
        <v>3.4000001847743988E-2</v>
      </c>
      <c r="E5" s="9">
        <v>0.13500000536441803</v>
      </c>
      <c r="F5" s="9">
        <v>11.99839973449707</v>
      </c>
      <c r="G5" s="7">
        <v>0</v>
      </c>
      <c r="H5" s="9">
        <v>1.1251500807702541E-2</v>
      </c>
      <c r="I5">
        <v>0</v>
      </c>
      <c r="J5"/>
    </row>
    <row r="6" spans="1:10" ht="15" customHeight="1" x14ac:dyDescent="0.15">
      <c r="A6" s="154">
        <v>5</v>
      </c>
      <c r="B6" s="154" t="s">
        <v>197</v>
      </c>
      <c r="C6" s="8">
        <v>4.7307839393615723</v>
      </c>
      <c r="D6" s="9">
        <v>9.4326213002204895E-2</v>
      </c>
      <c r="E6" s="9">
        <v>0.18999999761581421</v>
      </c>
      <c r="F6" s="9">
        <v>1.8999999761581421</v>
      </c>
      <c r="G6" s="9">
        <v>0.5999988317489624</v>
      </c>
      <c r="H6" s="9">
        <v>0.10000000149011612</v>
      </c>
      <c r="I6">
        <v>8.961767889559269E-3</v>
      </c>
      <c r="J6"/>
    </row>
    <row r="7" spans="1:10" ht="15" customHeight="1" x14ac:dyDescent="0.15">
      <c r="A7" s="155">
        <v>6</v>
      </c>
      <c r="B7" s="155" t="s">
        <v>198</v>
      </c>
      <c r="C7" s="8">
        <v>4.067021369934082</v>
      </c>
      <c r="D7" s="9">
        <v>0.27085405588150024</v>
      </c>
      <c r="E7" s="9">
        <v>0.34999999403953552</v>
      </c>
      <c r="F7" s="9">
        <v>3.5</v>
      </c>
      <c r="G7" s="9">
        <v>0.80000138282775879</v>
      </c>
      <c r="H7" s="9">
        <v>0.10000000149011612</v>
      </c>
      <c r="I7">
        <v>4.9284335225820541E-2</v>
      </c>
      <c r="J7"/>
    </row>
    <row r="8" spans="1:10" ht="15" customHeight="1" x14ac:dyDescent="0.15">
      <c r="A8" s="156">
        <v>7</v>
      </c>
      <c r="B8" s="156" t="s">
        <v>199</v>
      </c>
      <c r="C8" s="8">
        <v>4.4814844131469727</v>
      </c>
      <c r="D8" s="9">
        <v>0.34811374545097351</v>
      </c>
      <c r="E8" s="9">
        <v>0.40000000596046448</v>
      </c>
      <c r="F8" s="9">
        <v>2.4000000953674316</v>
      </c>
      <c r="G8" s="9">
        <v>0.80000019073486328</v>
      </c>
      <c r="H8" s="9">
        <v>0.1666666567325592</v>
      </c>
      <c r="I8">
        <v>8.9067421853542328E-2</v>
      </c>
      <c r="J8"/>
    </row>
    <row r="9" spans="1:10" ht="15" customHeight="1" x14ac:dyDescent="0.15">
      <c r="A9" s="157">
        <v>8</v>
      </c>
      <c r="B9" s="157" t="s">
        <v>200</v>
      </c>
      <c r="C9" s="8">
        <v>4.3439364433288574</v>
      </c>
      <c r="D9" s="9">
        <v>0.10619562864303589</v>
      </c>
      <c r="E9" s="9">
        <v>0.5</v>
      </c>
      <c r="F9" s="9">
        <v>3.7539999485015869</v>
      </c>
      <c r="G9" s="9">
        <v>0.89999997615814209</v>
      </c>
      <c r="H9" s="9">
        <v>0.13319125771522522</v>
      </c>
      <c r="I9">
        <v>4.7788031399250031E-2</v>
      </c>
      <c r="J9"/>
    </row>
    <row r="10" spans="1:10" ht="15" customHeight="1" x14ac:dyDescent="0.15">
      <c r="A10" s="158">
        <v>9</v>
      </c>
      <c r="B10" s="158" t="s">
        <v>201</v>
      </c>
      <c r="C10" s="8">
        <v>3.6591641902923584</v>
      </c>
      <c r="D10" s="9">
        <v>0.30860748887062073</v>
      </c>
      <c r="E10" s="9">
        <v>0.36669999361038208</v>
      </c>
      <c r="F10" s="9">
        <v>1.8334999084472656</v>
      </c>
      <c r="G10" s="9">
        <v>0.95013654232025146</v>
      </c>
      <c r="H10" s="9">
        <v>0.20000000298023224</v>
      </c>
      <c r="I10">
        <v>1.8045267090201378E-2</v>
      </c>
      <c r="J10"/>
    </row>
    <row r="11" spans="1:10" ht="15" customHeight="1" x14ac:dyDescent="0.15">
      <c r="A11" s="159">
        <v>10</v>
      </c>
      <c r="B11" s="159" t="s">
        <v>202</v>
      </c>
      <c r="C11" s="8">
        <v>4.4888186454772949</v>
      </c>
      <c r="D11" s="9">
        <v>0.69088196754455566</v>
      </c>
      <c r="E11" s="9">
        <v>0.84799998998641968</v>
      </c>
      <c r="F11" s="9">
        <v>2.6000003814697266</v>
      </c>
      <c r="G11" s="9">
        <v>0.64099174737930298</v>
      </c>
      <c r="H11" s="9">
        <v>0.32615378499031067</v>
      </c>
      <c r="I11">
        <v>0.27398002147674561</v>
      </c>
      <c r="J11"/>
    </row>
    <row r="12" spans="1:10" ht="15" customHeight="1" x14ac:dyDescent="0.15">
      <c r="A12" s="160">
        <v>11</v>
      </c>
      <c r="B12" s="160" t="s">
        <v>203</v>
      </c>
      <c r="C12" s="8">
        <v>4.0957622528076172</v>
      </c>
      <c r="D12" s="9">
        <v>0.19707781076431274</v>
      </c>
      <c r="E12" s="9">
        <v>1.2000000476837158</v>
      </c>
      <c r="F12" s="9">
        <v>6.2023820877075195</v>
      </c>
      <c r="G12" s="9">
        <v>0.83817028999328613</v>
      </c>
      <c r="H12" s="9">
        <v>0.19347405433654785</v>
      </c>
      <c r="I12">
        <v>3.5197999328374863E-2</v>
      </c>
      <c r="J12"/>
    </row>
    <row r="13" spans="1:10" ht="15" customHeight="1" x14ac:dyDescent="0.15">
      <c r="A13" s="161">
        <v>12</v>
      </c>
      <c r="B13" s="161" t="s">
        <v>204</v>
      </c>
      <c r="C13" s="8">
        <v>4.1570601463317871</v>
      </c>
      <c r="D13" s="9">
        <v>0.17227400839328766</v>
      </c>
      <c r="E13" s="9">
        <v>0.40000000596046448</v>
      </c>
      <c r="F13" s="9">
        <v>4.7080001831054688</v>
      </c>
      <c r="G13" s="9">
        <v>0.95011043548583984</v>
      </c>
      <c r="H13" s="9">
        <v>8.4961764514446259E-2</v>
      </c>
      <c r="I13">
        <v>2.7542464435100555E-2</v>
      </c>
      <c r="J13"/>
    </row>
    <row r="14" spans="1:10" ht="15" customHeight="1" x14ac:dyDescent="0.15">
      <c r="A14" s="162">
        <v>13</v>
      </c>
      <c r="B14" s="162" t="s">
        <v>205</v>
      </c>
      <c r="C14" s="8">
        <v>4.3211355209350586</v>
      </c>
      <c r="D14" s="9">
        <v>9.1711610555648804E-2</v>
      </c>
      <c r="E14" s="9">
        <v>0.40000000596046448</v>
      </c>
      <c r="F14" s="9">
        <v>2</v>
      </c>
      <c r="G14" s="9">
        <v>0.8999750018119812</v>
      </c>
      <c r="H14" s="9">
        <v>0.20000000298023224</v>
      </c>
      <c r="I14">
        <v>2.3918546736240387E-2</v>
      </c>
      <c r="J14"/>
    </row>
    <row r="15" spans="1:10" ht="15" customHeight="1" x14ac:dyDescent="0.15">
      <c r="A15" s="163">
        <v>14</v>
      </c>
      <c r="B15" s="163" t="s">
        <v>206</v>
      </c>
      <c r="C15" s="8">
        <v>3.2300028800964355</v>
      </c>
      <c r="D15" s="9">
        <v>0.1890999972820282</v>
      </c>
      <c r="E15" s="9">
        <v>0.7238042950630188</v>
      </c>
      <c r="F15" s="9">
        <v>3.7000000476837158</v>
      </c>
      <c r="G15" s="9">
        <v>0.73763740062713623</v>
      </c>
      <c r="H15" s="9">
        <v>0.19562278687953949</v>
      </c>
      <c r="I15">
        <v>5.8649998158216476E-2</v>
      </c>
      <c r="J15"/>
    </row>
    <row r="16" spans="1:10" ht="15" customHeight="1" x14ac:dyDescent="0.15">
      <c r="A16" s="164">
        <v>15</v>
      </c>
      <c r="B16" s="164" t="s">
        <v>207</v>
      </c>
      <c r="C16" s="8">
        <v>3.1504998207092285</v>
      </c>
      <c r="D16" s="9">
        <v>5.9022396802902222E-2</v>
      </c>
      <c r="E16" s="9">
        <v>0.44200000166893005</v>
      </c>
      <c r="F16" s="9">
        <v>3.4200000762939453</v>
      </c>
      <c r="G16" s="9">
        <v>0.89990931749343872</v>
      </c>
      <c r="H16" s="9">
        <v>0.1292397677898407</v>
      </c>
      <c r="I16">
        <v>2.0253830589354038E-3</v>
      </c>
      <c r="J16"/>
    </row>
    <row r="17" spans="1:10" ht="15" customHeight="1" x14ac:dyDescent="0.15">
      <c r="A17" s="165">
        <v>16</v>
      </c>
      <c r="B17" s="165" t="s">
        <v>208</v>
      </c>
      <c r="C17" s="8">
        <v>3.8820333480834961</v>
      </c>
      <c r="D17" s="9">
        <v>0.58630579710006714</v>
      </c>
      <c r="E17" s="9">
        <v>0.34400001168251038</v>
      </c>
      <c r="F17" s="9">
        <v>1.7200000286102295</v>
      </c>
      <c r="G17" s="9">
        <v>0.89999902248382568</v>
      </c>
      <c r="H17" s="9">
        <v>0.20000000298023224</v>
      </c>
      <c r="I17">
        <v>0.10819957405328751</v>
      </c>
      <c r="J17"/>
    </row>
    <row r="18" spans="1:10" ht="15" customHeight="1" x14ac:dyDescent="0.15">
      <c r="A18" s="166">
        <v>17</v>
      </c>
      <c r="B18" s="166" t="s">
        <v>209</v>
      </c>
      <c r="C18" s="8">
        <v>3.5338897705078125</v>
      </c>
      <c r="D18" s="9">
        <v>1.6288105249404907</v>
      </c>
      <c r="E18" s="9">
        <v>0.43000000715255737</v>
      </c>
      <c r="F18" s="9">
        <v>2.1500000953674316</v>
      </c>
      <c r="G18" s="9">
        <v>0.95001846551895142</v>
      </c>
      <c r="H18" s="9">
        <v>0.19999998807907104</v>
      </c>
      <c r="I18">
        <v>7.7364146709442139E-2</v>
      </c>
      <c r="J18"/>
    </row>
    <row r="19" spans="1:10" ht="15" customHeight="1" x14ac:dyDescent="0.15">
      <c r="A19" s="167">
        <v>18</v>
      </c>
      <c r="B19" s="167" t="s">
        <v>210</v>
      </c>
      <c r="C19" s="8">
        <v>3.257427453994751</v>
      </c>
      <c r="D19" s="9">
        <v>0.69855421781539917</v>
      </c>
      <c r="E19" s="9">
        <v>1.0900000333786011</v>
      </c>
      <c r="F19" s="9">
        <v>4.3600001335144043</v>
      </c>
      <c r="G19" s="9">
        <v>0.94999819993972778</v>
      </c>
      <c r="H19" s="9">
        <v>0.25</v>
      </c>
      <c r="I19">
        <v>6.1020087450742722E-3</v>
      </c>
      <c r="J19"/>
    </row>
    <row r="20" spans="1:10" ht="15" customHeight="1" x14ac:dyDescent="0.15">
      <c r="A20" s="168">
        <v>19</v>
      </c>
      <c r="B20" s="168" t="s">
        <v>211</v>
      </c>
      <c r="C20" s="8">
        <v>3.6208903789520264</v>
      </c>
      <c r="D20" s="9">
        <v>1.0460000038146973</v>
      </c>
      <c r="E20" s="9">
        <v>0.55000001192092896</v>
      </c>
      <c r="F20" s="9">
        <v>2.2000000476837158</v>
      </c>
      <c r="G20" s="9">
        <v>0.91880732774734497</v>
      </c>
      <c r="H20" s="9">
        <v>0.25</v>
      </c>
      <c r="I20">
        <v>0.20043119788169861</v>
      </c>
      <c r="J20"/>
    </row>
    <row r="21" spans="1:10" ht="15" customHeight="1" x14ac:dyDescent="0.15">
      <c r="A21" s="169">
        <v>20</v>
      </c>
      <c r="B21" s="169" t="s">
        <v>212</v>
      </c>
      <c r="C21" s="8">
        <v>3.6765453815460205</v>
      </c>
      <c r="D21" s="9">
        <v>0.67218261957168579</v>
      </c>
      <c r="E21" s="9">
        <v>0.64999997615814209</v>
      </c>
      <c r="F21" s="9">
        <v>2.5999999046325684</v>
      </c>
      <c r="G21" s="9">
        <v>0.7385827898979187</v>
      </c>
      <c r="H21" s="9">
        <v>0.25</v>
      </c>
      <c r="I21">
        <v>0.11164559423923492</v>
      </c>
      <c r="J21"/>
    </row>
    <row r="22" spans="1:10" ht="15" customHeight="1" x14ac:dyDescent="0.15">
      <c r="A22" s="170">
        <v>21</v>
      </c>
      <c r="B22" s="170" t="s">
        <v>213</v>
      </c>
      <c r="C22" s="8">
        <v>3.4353559017181396</v>
      </c>
      <c r="D22" s="9">
        <v>0.51700001955032349</v>
      </c>
      <c r="E22" s="9">
        <v>1.5499999523162842</v>
      </c>
      <c r="F22" s="9">
        <v>9.130000114440918</v>
      </c>
      <c r="G22" s="9">
        <v>0.87956833839416504</v>
      </c>
      <c r="H22" s="9">
        <v>0.16976998746395111</v>
      </c>
      <c r="I22">
        <v>0.1155925914645195</v>
      </c>
      <c r="J22"/>
    </row>
    <row r="23" spans="1:10" ht="15" customHeight="1" x14ac:dyDescent="0.15">
      <c r="A23" s="171">
        <v>22</v>
      </c>
      <c r="B23" s="171" t="s">
        <v>214</v>
      </c>
      <c r="C23" s="8">
        <v>3.4225292205810547</v>
      </c>
      <c r="D23" s="9">
        <v>4.6479997634887695</v>
      </c>
      <c r="E23" s="9">
        <v>0.80968070030212402</v>
      </c>
      <c r="F23" s="9">
        <v>6.8000001907348633</v>
      </c>
      <c r="G23" s="9">
        <v>0.66531205177307129</v>
      </c>
      <c r="H23" s="9">
        <v>0.11907068639993668</v>
      </c>
      <c r="I23">
        <v>0.37035587430000305</v>
      </c>
      <c r="J23"/>
    </row>
    <row r="24" spans="1:10" ht="15" customHeight="1" x14ac:dyDescent="0.15">
      <c r="A24" s="172">
        <v>23</v>
      </c>
      <c r="B24" s="172" t="s">
        <v>215</v>
      </c>
      <c r="C24" s="8">
        <v>3.8121178150177002</v>
      </c>
      <c r="D24" s="9">
        <v>0.3311181366443634</v>
      </c>
      <c r="E24" s="9">
        <v>1.3999999761581421</v>
      </c>
      <c r="F24" s="9">
        <v>7</v>
      </c>
      <c r="G24" s="9">
        <v>0.95018863677978516</v>
      </c>
      <c r="H24" s="9">
        <v>0.20000000298023224</v>
      </c>
      <c r="I24">
        <v>1.8282966688275337E-2</v>
      </c>
      <c r="J24"/>
    </row>
    <row r="25" spans="1:10" ht="15" customHeight="1" x14ac:dyDescent="0.15">
      <c r="A25" s="173">
        <v>24</v>
      </c>
      <c r="B25" s="173" t="s">
        <v>216</v>
      </c>
      <c r="C25" s="8">
        <v>4.3102679252624512</v>
      </c>
      <c r="D25" s="9">
        <v>0.11283858865499496</v>
      </c>
      <c r="E25" s="9">
        <v>0.40000000596046448</v>
      </c>
      <c r="F25" s="9">
        <v>4.130000114440918</v>
      </c>
      <c r="G25" s="9">
        <v>0.89999818801879883</v>
      </c>
      <c r="H25" s="9">
        <v>9.6852302551269531E-2</v>
      </c>
      <c r="I25">
        <v>1.274361927062273E-2</v>
      </c>
      <c r="J25"/>
    </row>
    <row r="26" spans="1:10" ht="15" customHeight="1" x14ac:dyDescent="0.15">
      <c r="A26" s="174">
        <v>25</v>
      </c>
      <c r="B26" s="174" t="s">
        <v>217</v>
      </c>
      <c r="C26" s="8">
        <v>3.552983283996582</v>
      </c>
      <c r="D26" s="9">
        <v>0.35707336664199829</v>
      </c>
      <c r="E26" s="9">
        <v>0.73000001907348633</v>
      </c>
      <c r="F26" s="9">
        <v>4.9200000762939453</v>
      </c>
      <c r="G26" s="9">
        <v>0.95009768009185791</v>
      </c>
      <c r="H26" s="9">
        <v>0.14837399125099182</v>
      </c>
      <c r="I26">
        <v>4.5026868581771851E-2</v>
      </c>
      <c r="J26"/>
    </row>
    <row r="27" spans="1:10" ht="15" customHeight="1" x14ac:dyDescent="0.15">
      <c r="A27" s="175">
        <v>26</v>
      </c>
      <c r="B27" s="175" t="s">
        <v>218</v>
      </c>
      <c r="C27" s="8">
        <v>3.6587333679199219</v>
      </c>
      <c r="D27" s="9">
        <v>0.24001625180244446</v>
      </c>
      <c r="E27" s="9">
        <v>3.119999885559082</v>
      </c>
      <c r="F27" s="9">
        <v>10.399999618530273</v>
      </c>
      <c r="G27" s="9">
        <v>0.95005255937576294</v>
      </c>
      <c r="H27" s="9">
        <v>0.30000001192092896</v>
      </c>
      <c r="I27">
        <v>8.7435945868492126E-2</v>
      </c>
      <c r="J27"/>
    </row>
    <row r="28" spans="1:10" ht="15" customHeight="1" x14ac:dyDescent="0.15">
      <c r="A28" s="176">
        <v>27</v>
      </c>
      <c r="B28" s="176" t="s">
        <v>219</v>
      </c>
      <c r="C28" s="8">
        <v>3.2462594509124756</v>
      </c>
      <c r="D28" s="9">
        <v>0.17024211585521698</v>
      </c>
      <c r="E28" s="9">
        <v>0.70300000905990601</v>
      </c>
      <c r="F28" s="9">
        <v>3.4000000953674316</v>
      </c>
      <c r="G28" s="9">
        <v>0.80004608631134033</v>
      </c>
      <c r="H28" s="9">
        <v>0.20676469802856445</v>
      </c>
      <c r="I28">
        <v>4.6725798398256302E-2</v>
      </c>
      <c r="J28"/>
    </row>
    <row r="29" spans="1:10" ht="15" customHeight="1" x14ac:dyDescent="0.15">
      <c r="A29" s="177">
        <v>28</v>
      </c>
      <c r="B29" s="177" t="s">
        <v>220</v>
      </c>
      <c r="C29" s="8">
        <v>3.4775347709655762</v>
      </c>
      <c r="D29" s="9">
        <v>0.43945950269699097</v>
      </c>
      <c r="E29" s="9">
        <v>1.2000000476837158</v>
      </c>
      <c r="F29" s="9">
        <v>8</v>
      </c>
      <c r="G29" s="9">
        <v>0.80000013113021851</v>
      </c>
      <c r="H29" s="9">
        <v>0.15000000596046448</v>
      </c>
      <c r="I29">
        <v>5.1557723432779312E-2</v>
      </c>
      <c r="J29"/>
    </row>
    <row r="30" spans="1:10" ht="15" customHeight="1" x14ac:dyDescent="0.15">
      <c r="A30" s="178">
        <v>29</v>
      </c>
      <c r="B30" s="178" t="s">
        <v>221</v>
      </c>
      <c r="C30" s="8">
        <v>2.9864034652709961</v>
      </c>
      <c r="D30" s="9">
        <v>1.3869357109069824</v>
      </c>
      <c r="E30" s="9">
        <v>3</v>
      </c>
      <c r="F30" s="9">
        <v>20</v>
      </c>
      <c r="G30" s="9">
        <v>0.94999825954437256</v>
      </c>
      <c r="H30" s="9">
        <v>0.15000000596046448</v>
      </c>
      <c r="I30">
        <v>6.3211619853973389E-3</v>
      </c>
      <c r="J30"/>
    </row>
    <row r="31" spans="1:10" ht="15" customHeight="1" x14ac:dyDescent="0.15">
      <c r="A31" s="179">
        <v>30</v>
      </c>
      <c r="B31" s="179" t="s">
        <v>222</v>
      </c>
      <c r="C31" s="8">
        <v>3.1564395427703857</v>
      </c>
      <c r="D31" s="9">
        <v>8.1517200469970703</v>
      </c>
      <c r="E31" s="9">
        <v>1.8849999904632568</v>
      </c>
      <c r="F31" s="9">
        <v>12.566665649414062</v>
      </c>
      <c r="G31" s="9">
        <v>0.60000097751617432</v>
      </c>
      <c r="H31" s="9">
        <v>0.15000000596046448</v>
      </c>
      <c r="I31">
        <v>6.0912757180631161E-3</v>
      </c>
      <c r="J31"/>
    </row>
    <row r="32" spans="1:10" ht="15" customHeight="1" x14ac:dyDescent="0.15">
      <c r="A32" s="207">
        <v>31</v>
      </c>
      <c r="B32" s="207" t="s">
        <v>223</v>
      </c>
      <c r="C32" s="8">
        <v>2.4519999027252197</v>
      </c>
      <c r="D32" s="9">
        <v>24.089651107788086</v>
      </c>
      <c r="E32" s="9">
        <v>1.6000000238418579</v>
      </c>
      <c r="F32" s="9">
        <v>8</v>
      </c>
      <c r="G32" s="9">
        <v>0.60000038146972656</v>
      </c>
      <c r="H32" s="9">
        <v>0.20000000298023224</v>
      </c>
      <c r="I32">
        <v>5.4826890118420124E-4</v>
      </c>
      <c r="J32"/>
    </row>
    <row r="33" spans="1:10" ht="15" customHeight="1" x14ac:dyDescent="0.15">
      <c r="A33" s="208">
        <v>32</v>
      </c>
      <c r="B33" s="208" t="s">
        <v>224</v>
      </c>
      <c r="C33" s="8">
        <v>2.0499999523162842</v>
      </c>
      <c r="D33" s="9">
        <v>18.614501953125</v>
      </c>
      <c r="E33" s="9">
        <v>2.7999999523162842</v>
      </c>
      <c r="F33" s="9">
        <v>14</v>
      </c>
      <c r="G33" s="9">
        <v>0.79999959468841553</v>
      </c>
      <c r="H33" s="9">
        <v>0.20000000298023224</v>
      </c>
      <c r="I33">
        <v>2.5117227807641029E-2</v>
      </c>
      <c r="J33"/>
    </row>
    <row r="34" spans="1:10" ht="15" customHeight="1" x14ac:dyDescent="0.15">
      <c r="A34" s="209">
        <v>33</v>
      </c>
      <c r="B34" s="209" t="s">
        <v>225</v>
      </c>
      <c r="C34" s="8">
        <v>2.0999999046325684</v>
      </c>
      <c r="D34" s="9">
        <v>9.5914468765258789</v>
      </c>
      <c r="E34" s="9">
        <v>10</v>
      </c>
      <c r="F34" s="9">
        <v>50</v>
      </c>
      <c r="G34" s="9">
        <v>0.89999997615814209</v>
      </c>
      <c r="H34" s="9">
        <v>0.20000000298023224</v>
      </c>
      <c r="I34">
        <v>0</v>
      </c>
      <c r="J34"/>
    </row>
    <row r="35" spans="1:10" ht="15" customHeight="1" x14ac:dyDescent="0.15">
      <c r="A35" s="210">
        <v>34</v>
      </c>
      <c r="B35" s="210" t="s">
        <v>226</v>
      </c>
      <c r="C35" s="8">
        <v>2.1310288906097412</v>
      </c>
      <c r="D35" s="9">
        <v>0.21829690039157867</v>
      </c>
      <c r="E35" s="9">
        <v>20</v>
      </c>
      <c r="F35" s="9">
        <v>100</v>
      </c>
      <c r="G35" s="9">
        <v>0.900005042552948</v>
      </c>
      <c r="H35" s="9">
        <v>0.20000000298023224</v>
      </c>
      <c r="I35">
        <v>0</v>
      </c>
      <c r="J35"/>
    </row>
    <row r="36" spans="1:10" ht="15" customHeight="1" x14ac:dyDescent="0.15">
      <c r="A36" s="211">
        <v>35</v>
      </c>
      <c r="B36" s="211" t="s">
        <v>227</v>
      </c>
      <c r="C36" s="8">
        <v>2.6551437377929688</v>
      </c>
      <c r="D36" s="9">
        <v>2.2181487083435059</v>
      </c>
      <c r="E36" s="9">
        <v>10.5</v>
      </c>
      <c r="F36" s="9">
        <v>38</v>
      </c>
      <c r="G36" s="9">
        <v>0.95001047849655151</v>
      </c>
      <c r="H36" s="9">
        <v>0.27631577849388123</v>
      </c>
      <c r="I36">
        <v>0</v>
      </c>
      <c r="J36"/>
    </row>
    <row r="37" spans="1:10" ht="15" customHeight="1" x14ac:dyDescent="0.15">
      <c r="A37" s="212">
        <v>36</v>
      </c>
      <c r="B37" s="212" t="s">
        <v>228</v>
      </c>
      <c r="C37" s="8">
        <v>2.4675135612487793</v>
      </c>
      <c r="D37" s="9">
        <v>4.4112825393676758</v>
      </c>
      <c r="E37" s="9">
        <v>16.450000762939453</v>
      </c>
      <c r="F37" s="9">
        <v>80</v>
      </c>
      <c r="G37" s="9">
        <v>0.90000611543655396</v>
      </c>
      <c r="H37" s="9">
        <v>0.2056250125169754</v>
      </c>
      <c r="I37">
        <v>0</v>
      </c>
      <c r="J37"/>
    </row>
    <row r="38" spans="1:10" ht="15" customHeight="1" x14ac:dyDescent="0.15">
      <c r="A38" s="213">
        <v>37</v>
      </c>
      <c r="B38" s="213" t="s">
        <v>229</v>
      </c>
      <c r="C38" s="8">
        <v>2.1530613899230957</v>
      </c>
      <c r="D38" s="9">
        <v>4.7712550163269043</v>
      </c>
      <c r="E38" s="9">
        <v>45.049999237060547</v>
      </c>
      <c r="F38" s="9">
        <v>316</v>
      </c>
      <c r="G38" s="9">
        <v>0.89999997615814209</v>
      </c>
      <c r="H38" s="9">
        <v>0.14256328344345093</v>
      </c>
      <c r="I38">
        <v>0</v>
      </c>
      <c r="J38"/>
    </row>
    <row r="39" spans="1:10" ht="15" customHeight="1" x14ac:dyDescent="0.15">
      <c r="A39" s="214">
        <v>38</v>
      </c>
      <c r="B39" s="214" t="s">
        <v>230</v>
      </c>
      <c r="C39" s="8">
        <v>2</v>
      </c>
      <c r="D39" s="9">
        <v>0.68212902545928955</v>
      </c>
      <c r="E39" s="9">
        <v>500</v>
      </c>
      <c r="F39" s="9">
        <v>1428.5714111328125</v>
      </c>
      <c r="G39" s="9">
        <v>0.81000006198883057</v>
      </c>
      <c r="H39" s="9">
        <v>0.34999999403953552</v>
      </c>
      <c r="I39">
        <v>0</v>
      </c>
      <c r="J39"/>
    </row>
    <row r="40" spans="1:10" ht="15" customHeight="1" x14ac:dyDescent="0.15">
      <c r="A40" s="215">
        <v>39</v>
      </c>
      <c r="B40" s="215" t="s">
        <v>231</v>
      </c>
      <c r="C40" s="8">
        <v>1</v>
      </c>
      <c r="D40" s="9">
        <v>7.5597128868103027</v>
      </c>
      <c r="E40" s="9">
        <v>119</v>
      </c>
      <c r="F40" s="10"/>
      <c r="G40" s="9">
        <v>0.80000001192092896</v>
      </c>
      <c r="H40" s="10"/>
      <c r="I40">
        <v>0</v>
      </c>
      <c r="J40"/>
    </row>
    <row r="41" spans="1:10" ht="15" customHeight="1" x14ac:dyDescent="0.15">
      <c r="A41" s="216">
        <v>40</v>
      </c>
      <c r="B41" s="216" t="s">
        <v>232</v>
      </c>
      <c r="C41" s="8">
        <v>1</v>
      </c>
      <c r="D41" s="9">
        <v>5.2642645835876465</v>
      </c>
      <c r="E41" s="9">
        <v>151</v>
      </c>
      <c r="F41" s="10"/>
      <c r="G41" s="9">
        <v>0.60000008344650269</v>
      </c>
      <c r="H41" s="10"/>
      <c r="I41">
        <v>0</v>
      </c>
      <c r="J41"/>
    </row>
    <row r="42" spans="1:10" ht="15" customHeight="1" x14ac:dyDescent="0.15">
      <c r="A42" s="217">
        <v>41</v>
      </c>
      <c r="B42" s="217" t="s">
        <v>233</v>
      </c>
      <c r="C42" s="8">
        <v>1</v>
      </c>
      <c r="D42" s="9">
        <v>0.16276617348194122</v>
      </c>
      <c r="E42" s="9">
        <v>4.5</v>
      </c>
      <c r="F42" s="10"/>
      <c r="G42" s="9">
        <v>0.20000217854976654</v>
      </c>
      <c r="H42" s="10"/>
      <c r="I42">
        <v>2.9347389936447144E-3</v>
      </c>
      <c r="J42"/>
    </row>
    <row r="43" spans="1:10" ht="15" customHeight="1" x14ac:dyDescent="0.15">
      <c r="A43" s="218">
        <v>42</v>
      </c>
      <c r="B43" s="218" t="s">
        <v>234</v>
      </c>
      <c r="C43" s="8">
        <v>1</v>
      </c>
      <c r="D43" s="9">
        <v>1</v>
      </c>
      <c r="E43" s="10"/>
      <c r="F43" s="10"/>
      <c r="G43" s="9">
        <v>0.73270034790039062</v>
      </c>
      <c r="H43" s="10"/>
      <c r="I43">
        <v>0</v>
      </c>
      <c r="J43"/>
    </row>
    <row r="44" spans="1:10" ht="15" customHeight="1" x14ac:dyDescent="0.15">
      <c r="A44" s="219">
        <v>43</v>
      </c>
      <c r="B44" s="219" t="s">
        <v>235</v>
      </c>
      <c r="C44" s="8">
        <v>1</v>
      </c>
      <c r="D44" s="9">
        <v>130</v>
      </c>
      <c r="E44" s="10"/>
      <c r="F44" s="10"/>
      <c r="G44" s="7">
        <v>0.95297300815582275</v>
      </c>
      <c r="H44" s="10"/>
      <c r="I44">
        <v>0</v>
      </c>
      <c r="J44"/>
    </row>
    <row r="45" spans="1:10" ht="15" customHeight="1" x14ac:dyDescent="0.15">
      <c r="A45" s="220">
        <v>44</v>
      </c>
      <c r="B45" s="220" t="s">
        <v>236</v>
      </c>
      <c r="C45" s="8">
        <v>1</v>
      </c>
      <c r="D45" s="9">
        <v>5</v>
      </c>
      <c r="E45" s="10"/>
      <c r="F45" s="10"/>
      <c r="G45" s="7">
        <v>0</v>
      </c>
      <c r="H45" s="10"/>
      <c r="I45">
        <v>0</v>
      </c>
      <c r="J45"/>
    </row>
    <row r="46" spans="1:10" ht="15" customHeight="1" x14ac:dyDescent="0.15">
      <c r="A46" s="221">
        <v>45</v>
      </c>
      <c r="B46" s="221" t="s">
        <v>201</v>
      </c>
      <c r="C46" s="8">
        <v>4.6591639518737793</v>
      </c>
      <c r="D46" s="10"/>
      <c r="E46" s="10"/>
      <c r="F46" s="10"/>
      <c r="G46" s="10"/>
      <c r="H46" s="10"/>
      <c r="I46">
        <v>1.8045267090201378E-2</v>
      </c>
      <c r="J46"/>
    </row>
    <row r="47" spans="1:10" ht="15" customHeight="1" x14ac:dyDescent="0.15">
      <c r="A47" s="222">
        <v>46</v>
      </c>
      <c r="B47" s="222" t="s">
        <v>237</v>
      </c>
      <c r="C47" s="8">
        <v>5.4440703392028809</v>
      </c>
      <c r="D47" s="10"/>
      <c r="E47" s="10"/>
      <c r="F47" s="10"/>
      <c r="G47" s="10"/>
      <c r="H47" s="10"/>
      <c r="I47">
        <v>0.30917802453041077</v>
      </c>
      <c r="J47"/>
    </row>
    <row r="48" spans="1:10" ht="15" customHeight="1" x14ac:dyDescent="0.15">
      <c r="A48" s="223">
        <v>47</v>
      </c>
      <c r="B48" s="223" t="s">
        <v>203</v>
      </c>
      <c r="C48" s="8">
        <v>1</v>
      </c>
      <c r="D48" s="10"/>
      <c r="E48" s="10"/>
      <c r="F48" s="10"/>
      <c r="G48" s="10"/>
      <c r="H48" s="10"/>
      <c r="I48">
        <v>0</v>
      </c>
      <c r="J48"/>
    </row>
    <row r="49" spans="1:10" ht="15" customHeight="1" x14ac:dyDescent="0.15">
      <c r="A49" s="224">
        <v>48</v>
      </c>
      <c r="B49" s="224" t="s">
        <v>211</v>
      </c>
      <c r="C49" s="8">
        <v>4.6208901405334473</v>
      </c>
      <c r="D49" s="10"/>
      <c r="E49" s="10"/>
      <c r="F49" s="10"/>
      <c r="G49" s="10"/>
      <c r="H49" s="10"/>
      <c r="I49">
        <v>0.20043119788169861</v>
      </c>
      <c r="J49"/>
    </row>
    <row r="50" spans="1:10" ht="15" customHeight="1" x14ac:dyDescent="0.15">
      <c r="A50" s="225">
        <v>49</v>
      </c>
      <c r="B50" s="225" t="s">
        <v>212</v>
      </c>
      <c r="C50" s="8">
        <v>4.6765451431274414</v>
      </c>
      <c r="D50" s="10"/>
      <c r="E50" s="10"/>
      <c r="F50" s="10"/>
      <c r="G50" s="10"/>
      <c r="H50" s="10"/>
      <c r="I50">
        <v>0.11164559423923492</v>
      </c>
      <c r="J50"/>
    </row>
    <row r="51" spans="1:10" ht="15" customHeight="1" x14ac:dyDescent="0.15">
      <c r="A51" s="226">
        <v>50</v>
      </c>
      <c r="B51" s="226" t="s">
        <v>213</v>
      </c>
      <c r="C51" s="8">
        <v>4.4353561401367188</v>
      </c>
      <c r="D51" s="10"/>
      <c r="E51" s="10"/>
      <c r="F51" s="10"/>
      <c r="G51" s="10"/>
      <c r="H51" s="10"/>
      <c r="I51">
        <v>0.1155925914645195</v>
      </c>
      <c r="J51"/>
    </row>
    <row r="52" spans="1:10" ht="15" customHeight="1" x14ac:dyDescent="0.15">
      <c r="A52" s="227">
        <v>51</v>
      </c>
      <c r="B52" s="227" t="s">
        <v>214</v>
      </c>
      <c r="C52" s="8">
        <v>4.4225292205810547</v>
      </c>
      <c r="D52" s="10"/>
      <c r="E52" s="10"/>
      <c r="F52" s="10"/>
      <c r="G52" s="10"/>
      <c r="H52" s="10"/>
      <c r="I52">
        <v>0.37035587430000305</v>
      </c>
      <c r="J52"/>
    </row>
    <row r="53" spans="1:10" ht="15" customHeight="1" x14ac:dyDescent="0.15">
      <c r="A53" s="228">
        <v>52</v>
      </c>
      <c r="B53" s="228" t="s">
        <v>206</v>
      </c>
      <c r="C53" s="8">
        <v>4.2300028800964355</v>
      </c>
      <c r="D53" s="10"/>
      <c r="E53" s="10"/>
      <c r="F53" s="10"/>
      <c r="G53" s="10"/>
      <c r="H53" s="10"/>
      <c r="I53">
        <v>5.8649998158216476E-2</v>
      </c>
      <c r="J53"/>
    </row>
    <row r="54" spans="1:10" ht="15" customHeight="1" x14ac:dyDescent="0.15">
      <c r="A54" s="229">
        <v>53</v>
      </c>
      <c r="B54" s="229" t="s">
        <v>205</v>
      </c>
      <c r="C54" s="8">
        <v>5.3211345672607422</v>
      </c>
      <c r="D54" s="10"/>
      <c r="E54" s="10"/>
      <c r="F54" s="10"/>
      <c r="G54" s="10"/>
      <c r="H54" s="10"/>
      <c r="I54">
        <v>2.3918546736240387E-2</v>
      </c>
      <c r="J54"/>
    </row>
    <row r="55" spans="1:10" ht="15" customHeight="1" x14ac:dyDescent="0.15">
      <c r="A55" s="230">
        <v>54</v>
      </c>
      <c r="B55" s="230" t="s">
        <v>219</v>
      </c>
      <c r="C55" s="8">
        <v>4.2462592124938965</v>
      </c>
      <c r="D55" s="10"/>
      <c r="E55" s="10"/>
      <c r="F55" s="10"/>
      <c r="G55" s="10"/>
      <c r="H55" s="10"/>
      <c r="I55">
        <v>4.6725798398256302E-2</v>
      </c>
      <c r="J55"/>
    </row>
    <row r="56" spans="1:10" ht="15" customHeight="1" x14ac:dyDescent="0.15">
      <c r="A56" s="231">
        <v>55</v>
      </c>
      <c r="B56" s="231" t="s">
        <v>238</v>
      </c>
      <c r="C56" s="8">
        <v>4.8094286918640137</v>
      </c>
      <c r="D56" s="10"/>
      <c r="E56" s="10"/>
      <c r="F56" s="10"/>
      <c r="G56" s="10"/>
      <c r="H56" s="10"/>
      <c r="I56">
        <v>0.67239493131637573</v>
      </c>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3" bestFit="1" customWidth="1"/>
    <col min="2" max="4" width="9.5" style="83" bestFit="1" customWidth="1"/>
    <col min="5" max="7" width="9" style="83" bestFit="1" customWidth="1"/>
    <col min="8" max="16" width="12.6640625" style="83" bestFit="1" customWidth="1"/>
    <col min="17" max="17" width="12.33203125" style="83" bestFit="1" customWidth="1"/>
    <col min="18" max="18" width="8.83203125" style="83"/>
    <col min="19" max="21" width="9.33203125" style="83" bestFit="1" customWidth="1"/>
    <col min="22" max="23" width="8.83203125" style="83"/>
    <col min="24" max="24" width="9.33203125" style="83" bestFit="1" customWidth="1"/>
    <col min="25" max="27" width="8.83203125" style="83"/>
    <col min="28" max="58" width="9" style="83" bestFit="1" customWidth="1"/>
    <col min="59" max="59" width="12.33203125" style="83" bestFit="1" customWidth="1"/>
    <col min="60" max="60" width="9" style="83" bestFit="1" customWidth="1"/>
    <col min="61" max="61" width="11.33203125" style="83" bestFit="1" customWidth="1"/>
    <col min="62" max="77" width="9" style="83" bestFit="1" customWidth="1"/>
    <col min="78" max="78" width="12.33203125" style="83" bestFit="1" customWidth="1"/>
    <col min="79" max="79" width="9" style="83" bestFit="1" customWidth="1"/>
    <col min="80" max="80" width="12.33203125" style="83" bestFit="1" customWidth="1"/>
    <col min="81" max="107" width="9" style="83" bestFit="1" customWidth="1"/>
    <col min="108" max="108" width="11.33203125" style="83" bestFit="1" customWidth="1"/>
    <col min="109" max="124" width="9" style="83" bestFit="1" customWidth="1"/>
    <col min="125" max="125" width="10.33203125" style="83" bestFit="1" customWidth="1"/>
    <col min="126" max="129" width="9.33203125" style="83" bestFit="1" customWidth="1"/>
    <col min="130" max="130" width="9" style="83" bestFit="1" customWidth="1"/>
    <col min="131" max="134" width="9.33203125" style="83" bestFit="1" customWidth="1"/>
    <col min="135" max="165" width="9" style="83" bestFit="1" customWidth="1"/>
    <col min="166" max="166" width="12.33203125" style="83" bestFit="1" customWidth="1"/>
    <col min="167" max="170" width="9" style="83" bestFit="1" customWidth="1"/>
    <col min="171" max="176" width="8.83203125" style="83"/>
    <col min="177" max="177" width="13.83203125" style="83" bestFit="1" customWidth="1"/>
    <col min="178" max="16384" width="8.83203125" style="83"/>
  </cols>
  <sheetData>
    <row r="1" spans="1:209" ht="15" customHeight="1" x14ac:dyDescent="0.15">
      <c r="A1" t="s">
        <v>15</v>
      </c>
      <c r="B1" t="s">
        <v>1</v>
      </c>
      <c r="C1" t="s">
        <v>16</v>
      </c>
      <c r="D1" t="s">
        <v>243</v>
      </c>
      <c r="E1" t="s">
        <v>244</v>
      </c>
      <c r="F1" t="s">
        <v>245</v>
      </c>
      <c r="G1" t="s">
        <v>246</v>
      </c>
      <c r="H1" t="s">
        <v>247</v>
      </c>
      <c r="I1" t="s">
        <v>248</v>
      </c>
      <c r="J1" t="s">
        <v>249</v>
      </c>
      <c r="K1" t="s">
        <v>250</v>
      </c>
      <c r="L1" t="s">
        <v>251</v>
      </c>
      <c r="M1" t="s">
        <v>252</v>
      </c>
      <c r="N1" t="s">
        <v>253</v>
      </c>
      <c r="O1" t="s">
        <v>193</v>
      </c>
      <c r="P1" t="s">
        <v>194</v>
      </c>
      <c r="Q1" t="s">
        <v>195</v>
      </c>
      <c r="R1" t="s">
        <v>196</v>
      </c>
      <c r="S1" t="s">
        <v>197</v>
      </c>
      <c r="T1" t="s">
        <v>198</v>
      </c>
      <c r="U1" t="s">
        <v>199</v>
      </c>
      <c r="V1" t="s">
        <v>200</v>
      </c>
      <c r="W1" t="s">
        <v>201</v>
      </c>
      <c r="X1" t="s">
        <v>202</v>
      </c>
      <c r="Y1" t="s">
        <v>203</v>
      </c>
      <c r="Z1" t="s">
        <v>204</v>
      </c>
      <c r="AA1" t="s">
        <v>205</v>
      </c>
      <c r="AB1" t="s">
        <v>206</v>
      </c>
      <c r="AC1" t="s">
        <v>207</v>
      </c>
      <c r="AD1" t="s">
        <v>208</v>
      </c>
      <c r="AE1" t="s">
        <v>209</v>
      </c>
      <c r="AF1" t="s">
        <v>210</v>
      </c>
      <c r="AG1" t="s">
        <v>211</v>
      </c>
      <c r="AH1" t="s">
        <v>212</v>
      </c>
      <c r="AI1" t="s">
        <v>213</v>
      </c>
      <c r="AJ1" t="s">
        <v>214</v>
      </c>
      <c r="AK1" t="s">
        <v>215</v>
      </c>
      <c r="AL1" t="s">
        <v>216</v>
      </c>
      <c r="AM1" t="s">
        <v>217</v>
      </c>
      <c r="AN1" t="s">
        <v>218</v>
      </c>
      <c r="AO1" t="s">
        <v>219</v>
      </c>
      <c r="AP1" t="s">
        <v>220</v>
      </c>
      <c r="AQ1" t="s">
        <v>221</v>
      </c>
      <c r="AR1" t="s">
        <v>222</v>
      </c>
      <c r="AS1" t="s">
        <v>223</v>
      </c>
      <c r="AT1" t="s">
        <v>224</v>
      </c>
      <c r="AU1" t="s">
        <v>225</v>
      </c>
      <c r="AV1" t="s">
        <v>226</v>
      </c>
      <c r="AW1" t="s">
        <v>227</v>
      </c>
      <c r="AX1" t="s">
        <v>228</v>
      </c>
      <c r="AY1" t="s">
        <v>229</v>
      </c>
      <c r="AZ1" t="s">
        <v>230</v>
      </c>
      <c r="BA1" t="s">
        <v>231</v>
      </c>
      <c r="BB1" t="s">
        <v>232</v>
      </c>
      <c r="BC1" t="s">
        <v>233</v>
      </c>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193</v>
      </c>
      <c r="B2">
        <v>9.0000003576278687E-2</v>
      </c>
      <c r="C2">
        <v>9.0000003576278687E-2</v>
      </c>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194</v>
      </c>
      <c r="B3">
        <v>9.0000003576278687E-2</v>
      </c>
      <c r="C3">
        <v>9.0000003576278687E-2</v>
      </c>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195</v>
      </c>
      <c r="B4">
        <v>3.5000000149011612E-2</v>
      </c>
      <c r="C4">
        <v>3.5000000149011612E-2</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196</v>
      </c>
      <c r="B5">
        <v>0.13500000536441803</v>
      </c>
      <c r="C5">
        <v>0.13500000536441803</v>
      </c>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197</v>
      </c>
      <c r="B6">
        <v>0.18999999761581421</v>
      </c>
      <c r="C6">
        <v>7.6000221073627472E-2</v>
      </c>
      <c r="D6"/>
      <c r="E6"/>
      <c r="F6"/>
      <c r="G6"/>
      <c r="H6"/>
      <c r="I6"/>
      <c r="J6"/>
      <c r="K6"/>
      <c r="L6"/>
      <c r="M6"/>
      <c r="N6" s="241">
        <v>9.5008246600627899E-2</v>
      </c>
      <c r="O6"/>
      <c r="P6"/>
      <c r="Q6"/>
      <c r="R6"/>
      <c r="S6" s="144">
        <v>1.8991533666849136E-2</v>
      </c>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198</v>
      </c>
      <c r="B7">
        <v>0.34999999403953552</v>
      </c>
      <c r="C7">
        <v>6.9999516010284424E-2</v>
      </c>
      <c r="D7"/>
      <c r="E7"/>
      <c r="F7"/>
      <c r="G7"/>
      <c r="H7"/>
      <c r="I7"/>
      <c r="J7"/>
      <c r="K7"/>
      <c r="L7"/>
      <c r="M7"/>
      <c r="N7" s="242">
        <v>0.18195900321006775</v>
      </c>
      <c r="O7"/>
      <c r="P7"/>
      <c r="Q7"/>
      <c r="R7"/>
      <c r="S7" s="255">
        <v>2.9101124033331871E-2</v>
      </c>
      <c r="T7"/>
      <c r="U7" s="260">
        <v>6.8940348923206329E-2</v>
      </c>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199</v>
      </c>
      <c r="B8">
        <v>0.40000000596046448</v>
      </c>
      <c r="C8">
        <v>7.9999923706054688E-2</v>
      </c>
      <c r="D8"/>
      <c r="E8"/>
      <c r="F8"/>
      <c r="G8"/>
      <c r="H8"/>
      <c r="I8"/>
      <c r="J8"/>
      <c r="K8"/>
      <c r="L8"/>
      <c r="M8"/>
      <c r="N8" s="243">
        <v>0.25585722923278809</v>
      </c>
      <c r="O8"/>
      <c r="P8"/>
      <c r="Q8"/>
      <c r="R8" s="258">
        <v>4.1864290833473206E-2</v>
      </c>
      <c r="S8" s="253">
        <v>1.9554866477847099E-2</v>
      </c>
      <c r="T8" s="23">
        <v>2.723688492551446E-3</v>
      </c>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200</v>
      </c>
      <c r="B9">
        <v>0.5</v>
      </c>
      <c r="C9">
        <v>5.0000011920928955E-2</v>
      </c>
      <c r="D9"/>
      <c r="E9"/>
      <c r="F9"/>
      <c r="G9"/>
      <c r="H9"/>
      <c r="I9"/>
      <c r="J9"/>
      <c r="K9"/>
      <c r="L9"/>
      <c r="M9"/>
      <c r="N9" s="244">
        <v>0.44999995827674866</v>
      </c>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201</v>
      </c>
      <c r="B10">
        <v>0.36669999361038208</v>
      </c>
      <c r="C10">
        <v>1.8284929916262627E-2</v>
      </c>
      <c r="D10" s="232">
        <v>5.8473195880651474E-2</v>
      </c>
      <c r="E10"/>
      <c r="F10"/>
      <c r="G10"/>
      <c r="H10"/>
      <c r="I10"/>
      <c r="J10"/>
      <c r="K10"/>
      <c r="L10"/>
      <c r="M10"/>
      <c r="N10"/>
      <c r="O10"/>
      <c r="P10"/>
      <c r="Q10"/>
      <c r="R10" s="28">
        <v>1.3218524865806103E-2</v>
      </c>
      <c r="S10" s="22">
        <v>2.903651213273406E-3</v>
      </c>
      <c r="T10"/>
      <c r="U10" s="148">
        <v>2.2077528759837151E-2</v>
      </c>
      <c r="V10"/>
      <c r="W10" s="22">
        <v>2.6676347479224205E-3</v>
      </c>
      <c r="X10" s="271">
        <v>0.1211087703704834</v>
      </c>
      <c r="Y10" s="141">
        <v>7.9262740910053253E-2</v>
      </c>
      <c r="Z10" s="257">
        <v>3.8901079446077347E-2</v>
      </c>
      <c r="AA10"/>
      <c r="AB10"/>
      <c r="AC10"/>
      <c r="AD10" s="24">
        <v>9.801945649087429E-3</v>
      </c>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202</v>
      </c>
      <c r="B11">
        <v>0.84799998998641968</v>
      </c>
      <c r="C11">
        <v>0.3044390082359314</v>
      </c>
      <c r="D11"/>
      <c r="E11" s="233">
        <v>0.39656558632850647</v>
      </c>
      <c r="F11"/>
      <c r="G11"/>
      <c r="H11"/>
      <c r="I11"/>
      <c r="J11"/>
      <c r="K11"/>
      <c r="L11"/>
      <c r="M11"/>
      <c r="N11"/>
      <c r="O11"/>
      <c r="P11"/>
      <c r="Q11"/>
      <c r="R11"/>
      <c r="S11" s="19">
        <v>1.4752801507711411E-2</v>
      </c>
      <c r="T11"/>
      <c r="U11" s="263">
        <v>2.820868045091629E-2</v>
      </c>
      <c r="V11"/>
      <c r="W11"/>
      <c r="X11" s="107">
        <v>0.10403389483690262</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203</v>
      </c>
      <c r="B12">
        <v>1.2000000476837158</v>
      </c>
      <c r="C12">
        <v>0.19419565796852112</v>
      </c>
      <c r="D12"/>
      <c r="E12" s="234">
        <v>0.17859950661659241</v>
      </c>
      <c r="F12"/>
      <c r="G12"/>
      <c r="H12"/>
      <c r="I12"/>
      <c r="J12"/>
      <c r="K12"/>
      <c r="L12"/>
      <c r="M12"/>
      <c r="N12"/>
      <c r="O12"/>
      <c r="P12"/>
      <c r="Q12"/>
      <c r="R12" s="21">
        <v>2.4649376049637794E-2</v>
      </c>
      <c r="S12"/>
      <c r="T12"/>
      <c r="U12" s="66">
        <v>4.944460466504097E-2</v>
      </c>
      <c r="V12"/>
      <c r="W12"/>
      <c r="X12" s="280">
        <v>0.45588049292564392</v>
      </c>
      <c r="Y12" s="275">
        <v>0.29723036289215088</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204</v>
      </c>
      <c r="B13">
        <v>0.40000000596046448</v>
      </c>
      <c r="C13">
        <v>1.9955826923251152E-2</v>
      </c>
      <c r="D13"/>
      <c r="E13"/>
      <c r="F13"/>
      <c r="G13"/>
      <c r="H13"/>
      <c r="I13"/>
      <c r="J13"/>
      <c r="K13"/>
      <c r="L13"/>
      <c r="M13"/>
      <c r="N13" s="245">
        <v>0.15987591445446014</v>
      </c>
      <c r="O13"/>
      <c r="P13"/>
      <c r="Q13"/>
      <c r="R13"/>
      <c r="S13" s="17">
        <v>5.2015301771461964E-3</v>
      </c>
      <c r="T13"/>
      <c r="U13"/>
      <c r="V13"/>
      <c r="W13"/>
      <c r="X13" s="261">
        <v>0.11056172847747803</v>
      </c>
      <c r="Y13"/>
      <c r="Z13"/>
      <c r="AA13"/>
      <c r="AB13"/>
      <c r="AC13"/>
      <c r="AD13" s="250">
        <v>4.682391881942749E-2</v>
      </c>
      <c r="AE13"/>
      <c r="AF13"/>
      <c r="AG13"/>
      <c r="AH13"/>
      <c r="AI13"/>
      <c r="AJ13"/>
      <c r="AK13"/>
      <c r="AL13" s="256">
        <v>5.7581085711717606E-2</v>
      </c>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205</v>
      </c>
      <c r="B14">
        <v>0.40000000596046448</v>
      </c>
      <c r="C14">
        <v>4.0010001510381699E-2</v>
      </c>
      <c r="D14"/>
      <c r="E14"/>
      <c r="F14"/>
      <c r="G14"/>
      <c r="H14"/>
      <c r="I14"/>
      <c r="J14"/>
      <c r="K14"/>
      <c r="L14" s="239">
        <v>0.26080173254013062</v>
      </c>
      <c r="M14"/>
      <c r="N14"/>
      <c r="O14"/>
      <c r="P14"/>
      <c r="Q14"/>
      <c r="R14"/>
      <c r="S14" s="64">
        <v>2.222716435790062E-2</v>
      </c>
      <c r="T14"/>
      <c r="U14"/>
      <c r="V14"/>
      <c r="W14"/>
      <c r="X14"/>
      <c r="Y14"/>
      <c r="Z14"/>
      <c r="AA14"/>
      <c r="AB14"/>
      <c r="AC14"/>
      <c r="AD14" s="254">
        <v>7.696109265089035E-2</v>
      </c>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206</v>
      </c>
      <c r="B15">
        <v>0.7238042950630188</v>
      </c>
      <c r="C15">
        <v>0.18989917635917664</v>
      </c>
      <c r="D15"/>
      <c r="E15"/>
      <c r="F15"/>
      <c r="G15"/>
      <c r="H15"/>
      <c r="I15"/>
      <c r="J15"/>
      <c r="K15" s="238">
        <v>0.31015336513519287</v>
      </c>
      <c r="L15"/>
      <c r="M15"/>
      <c r="N15"/>
      <c r="O15"/>
      <c r="P15"/>
      <c r="Q15"/>
      <c r="R15" s="23">
        <v>4.3144742958247662E-3</v>
      </c>
      <c r="S15"/>
      <c r="T15" s="253">
        <v>3.508344292640686E-2</v>
      </c>
      <c r="U15" s="23">
        <v>4.4184359721839428E-3</v>
      </c>
      <c r="V15"/>
      <c r="W15"/>
      <c r="X15"/>
      <c r="Y15"/>
      <c r="Z15" s="19">
        <v>1.2868166901171207E-2</v>
      </c>
      <c r="AA15" s="14">
        <v>9.6990092424675822E-4</v>
      </c>
      <c r="AB15"/>
      <c r="AC15"/>
      <c r="AD15" s="78">
        <v>0.15996584296226501</v>
      </c>
      <c r="AE15"/>
      <c r="AF15"/>
      <c r="AG15"/>
      <c r="AH15"/>
      <c r="AI15"/>
      <c r="AJ15"/>
      <c r="AK15" s="22">
        <v>6.1315274797379971E-3</v>
      </c>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207</v>
      </c>
      <c r="B16">
        <v>0.44200000166893005</v>
      </c>
      <c r="C16">
        <v>4.4240083545446396E-2</v>
      </c>
      <c r="D16"/>
      <c r="E16"/>
      <c r="F16"/>
      <c r="G16"/>
      <c r="H16"/>
      <c r="I16"/>
      <c r="J16"/>
      <c r="K16"/>
      <c r="L16"/>
      <c r="M16"/>
      <c r="N16" s="74">
        <v>3.4315500408411026E-2</v>
      </c>
      <c r="O16"/>
      <c r="P16"/>
      <c r="Q16"/>
      <c r="R16"/>
      <c r="S16"/>
      <c r="T16" s="19">
        <v>8.0287670716643333E-3</v>
      </c>
      <c r="U16"/>
      <c r="V16"/>
      <c r="W16"/>
      <c r="X16"/>
      <c r="Y16"/>
      <c r="Z16" s="25">
        <v>1.3742637820541859E-2</v>
      </c>
      <c r="AA16"/>
      <c r="AB16"/>
      <c r="AC16"/>
      <c r="AD16" s="264">
        <v>0.34167304635047913</v>
      </c>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208</v>
      </c>
      <c r="B17">
        <v>0.34400001168251038</v>
      </c>
      <c r="C17">
        <v>3.4400336444377899E-2</v>
      </c>
      <c r="D17"/>
      <c r="E17"/>
      <c r="F17"/>
      <c r="G17"/>
      <c r="H17"/>
      <c r="I17"/>
      <c r="J17"/>
      <c r="K17"/>
      <c r="L17"/>
      <c r="M17"/>
      <c r="N17" s="246">
        <v>0.18454460799694061</v>
      </c>
      <c r="O17"/>
      <c r="P17"/>
      <c r="Q17"/>
      <c r="R17" s="251">
        <v>8.2855140790343285E-3</v>
      </c>
      <c r="S17" s="18">
        <v>4.2775613255798817E-3</v>
      </c>
      <c r="T17"/>
      <c r="U17" s="236">
        <v>4.9860160797834396E-2</v>
      </c>
      <c r="V17"/>
      <c r="W17"/>
      <c r="X17"/>
      <c r="Y17" s="18">
        <v>4.1282954625785351E-3</v>
      </c>
      <c r="Z17" s="29">
        <v>1.6295544803142548E-2</v>
      </c>
      <c r="AA17" s="15">
        <v>3.1920420005917549E-3</v>
      </c>
      <c r="AB17"/>
      <c r="AC17"/>
      <c r="AD17" s="266">
        <v>3.901594877243042E-2</v>
      </c>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209</v>
      </c>
      <c r="B18">
        <v>0.43000000715255737</v>
      </c>
      <c r="C18">
        <v>2.1492060273885727E-2</v>
      </c>
      <c r="D18"/>
      <c r="E18"/>
      <c r="F18"/>
      <c r="G18"/>
      <c r="H18"/>
      <c r="I18"/>
      <c r="J18"/>
      <c r="K18"/>
      <c r="L18"/>
      <c r="M18"/>
      <c r="N18" s="247">
        <v>4.7497328370809555E-2</v>
      </c>
      <c r="O18" s="19">
        <v>7.9650143161416054E-3</v>
      </c>
      <c r="P18"/>
      <c r="Q18"/>
      <c r="R18" s="65">
        <v>8.9473482221364975E-3</v>
      </c>
      <c r="S18" s="251">
        <v>1.0012160986661911E-2</v>
      </c>
      <c r="T18" s="257">
        <v>4.5764964073896408E-2</v>
      </c>
      <c r="U18" s="288">
        <v>0.13246919214725494</v>
      </c>
      <c r="V18"/>
      <c r="W18" s="22">
        <v>3.6113415844738483E-3</v>
      </c>
      <c r="X18" s="276">
        <v>3.6405090242624283E-2</v>
      </c>
      <c r="Y18" s="15">
        <v>4.3833269737660885E-3</v>
      </c>
      <c r="Z18" s="65">
        <v>9.405914694070816E-3</v>
      </c>
      <c r="AA18" s="255">
        <v>3.5619180649518967E-2</v>
      </c>
      <c r="AB18"/>
      <c r="AC18"/>
      <c r="AD18" s="272">
        <v>6.3198745250701904E-2</v>
      </c>
      <c r="AE18"/>
      <c r="AF18"/>
      <c r="AG18"/>
      <c r="AH18"/>
      <c r="AI18"/>
      <c r="AJ18"/>
      <c r="AK18"/>
      <c r="AL18" s="22">
        <v>3.2283351756632328E-3</v>
      </c>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210</v>
      </c>
      <c r="B19">
        <v>1.0900000333786011</v>
      </c>
      <c r="C19">
        <v>5.4501961916685104E-2</v>
      </c>
      <c r="D19"/>
      <c r="E19"/>
      <c r="F19"/>
      <c r="G19"/>
      <c r="H19"/>
      <c r="I19"/>
      <c r="J19"/>
      <c r="K19"/>
      <c r="L19"/>
      <c r="M19"/>
      <c r="N19" s="22">
        <v>8.7351975962519646E-3</v>
      </c>
      <c r="O19"/>
      <c r="P19"/>
      <c r="Q19" s="13">
        <v>4.0472701191902161E-2</v>
      </c>
      <c r="R19" s="262">
        <v>8.2066789269447327E-2</v>
      </c>
      <c r="S19" s="65">
        <v>2.3345235735177994E-2</v>
      </c>
      <c r="T19" s="252">
        <v>0.11673320829868317</v>
      </c>
      <c r="U19" s="68">
        <v>9.9635288119316101E-2</v>
      </c>
      <c r="V19"/>
      <c r="W19" s="68">
        <v>0.10104626417160034</v>
      </c>
      <c r="X19" s="26">
        <v>2.8297353535890579E-2</v>
      </c>
      <c r="Y19" s="270">
        <v>4.8683319240808487E-2</v>
      </c>
      <c r="Z19" s="18">
        <v>1.3677065260708332E-2</v>
      </c>
      <c r="AA19" s="148">
        <v>6.6978074610233307E-2</v>
      </c>
      <c r="AB19"/>
      <c r="AC19"/>
      <c r="AD19" s="107">
        <v>0.13486422598361969</v>
      </c>
      <c r="AE19"/>
      <c r="AF19"/>
      <c r="AG19" s="147">
        <v>3.294656053185463E-2</v>
      </c>
      <c r="AH19" s="251">
        <v>2.5026356801390648E-2</v>
      </c>
      <c r="AI19"/>
      <c r="AJ19"/>
      <c r="AK19" s="28">
        <v>3.7472993135452271E-2</v>
      </c>
      <c r="AL19" s="16">
        <v>1.7191387712955475E-2</v>
      </c>
      <c r="AM19" s="274">
        <v>7.933633029460907E-2</v>
      </c>
      <c r="AN19" s="274">
        <v>7.8989520668983459E-2</v>
      </c>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211</v>
      </c>
      <c r="B20">
        <v>0.55000001192092896</v>
      </c>
      <c r="C20">
        <v>4.4655971229076385E-2</v>
      </c>
      <c r="D20"/>
      <c r="E20"/>
      <c r="F20"/>
      <c r="G20" s="235">
        <v>0.19161681830883026</v>
      </c>
      <c r="H20"/>
      <c r="I20"/>
      <c r="J20"/>
      <c r="K20"/>
      <c r="L20"/>
      <c r="M20"/>
      <c r="N20"/>
      <c r="O20" s="25">
        <v>1.7364148050546646E-2</v>
      </c>
      <c r="P20" s="23">
        <v>2.7295101899653673E-3</v>
      </c>
      <c r="Q20"/>
      <c r="R20" s="19">
        <v>9.2884227633476257E-3</v>
      </c>
      <c r="S20" s="15">
        <v>5.6547615677118301E-3</v>
      </c>
      <c r="T20"/>
      <c r="U20" s="263">
        <v>1.8631806597113609E-2</v>
      </c>
      <c r="V20"/>
      <c r="W20"/>
      <c r="X20" s="285">
        <v>0.13742856681346893</v>
      </c>
      <c r="Y20" s="277">
        <v>7.0118166506290436E-2</v>
      </c>
      <c r="Z20" s="71">
        <v>3.8779176771640778E-2</v>
      </c>
      <c r="AA20"/>
      <c r="AB20"/>
      <c r="AC20"/>
      <c r="AD20" s="22">
        <v>4.8198760487139225E-3</v>
      </c>
      <c r="AE20"/>
      <c r="AF20"/>
      <c r="AG20"/>
      <c r="AH20"/>
      <c r="AI20"/>
      <c r="AJ20"/>
      <c r="AK20"/>
      <c r="AL20" s="16">
        <v>8.9127672836184502E-3</v>
      </c>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212</v>
      </c>
      <c r="B21">
        <v>0.64999997615814209</v>
      </c>
      <c r="C21">
        <v>0.16992117464542389</v>
      </c>
      <c r="D21"/>
      <c r="E21"/>
      <c r="F21"/>
      <c r="G21"/>
      <c r="H21" s="149">
        <v>0.16609413921833038</v>
      </c>
      <c r="I21"/>
      <c r="J21"/>
      <c r="K21"/>
      <c r="L21"/>
      <c r="M21"/>
      <c r="N21"/>
      <c r="O21" s="24">
        <v>1.7370503395795822E-2</v>
      </c>
      <c r="P21" s="23">
        <v>4.2474581860005856E-3</v>
      </c>
      <c r="Q21" s="17">
        <v>9.3467896804213524E-3</v>
      </c>
      <c r="R21" s="65">
        <v>1.4453944750130177E-2</v>
      </c>
      <c r="S21" s="16">
        <v>1.0664648376405239E-2</v>
      </c>
      <c r="T21"/>
      <c r="U21"/>
      <c r="V21" s="250">
        <v>7.7061712741851807E-2</v>
      </c>
      <c r="W21"/>
      <c r="X21" s="275">
        <v>0.16039198637008667</v>
      </c>
      <c r="Y21"/>
      <c r="Z21" s="14">
        <v>1.8103569746017456E-3</v>
      </c>
      <c r="AA21" s="19">
        <v>1.113693043589592E-2</v>
      </c>
      <c r="AB21"/>
      <c r="AC21"/>
      <c r="AD21" s="18">
        <v>7.5003285892307758E-3</v>
      </c>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213</v>
      </c>
      <c r="B22">
        <v>1.5499999523162842</v>
      </c>
      <c r="C22">
        <v>0.18666906654834747</v>
      </c>
      <c r="D22"/>
      <c r="E22"/>
      <c r="F22"/>
      <c r="G22"/>
      <c r="H22"/>
      <c r="I22" s="236">
        <v>0.22358334064483643</v>
      </c>
      <c r="J22"/>
      <c r="K22"/>
      <c r="L22"/>
      <c r="M22"/>
      <c r="N22"/>
      <c r="O22" s="18">
        <v>1.7565665766596794E-2</v>
      </c>
      <c r="P22" s="23">
        <v>1.0255836881697178E-2</v>
      </c>
      <c r="Q22" s="110">
        <v>0.1032947301864624</v>
      </c>
      <c r="R22" s="13">
        <v>5.6377310305833817E-2</v>
      </c>
      <c r="S22" s="14">
        <v>3.9429189637303352E-3</v>
      </c>
      <c r="T22"/>
      <c r="U22"/>
      <c r="V22" s="253">
        <v>7.7071189880371094E-2</v>
      </c>
      <c r="W22"/>
      <c r="X22" s="287">
        <v>0.36493661999702454</v>
      </c>
      <c r="Y22" s="13">
        <v>5.6651361286640167E-2</v>
      </c>
      <c r="Z22"/>
      <c r="AA22"/>
      <c r="AB22"/>
      <c r="AC22"/>
      <c r="AD22" s="23">
        <v>9.7516253590583801E-3</v>
      </c>
      <c r="AE22"/>
      <c r="AF22"/>
      <c r="AG22"/>
      <c r="AH22" s="281">
        <v>0.23670382797718048</v>
      </c>
      <c r="AI22"/>
      <c r="AJ22"/>
      <c r="AK22"/>
      <c r="AL22" s="278">
        <v>0.20319643616676331</v>
      </c>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214</v>
      </c>
      <c r="B23">
        <v>0.80968070030212402</v>
      </c>
      <c r="C23">
        <v>0.27099037170410156</v>
      </c>
      <c r="D23"/>
      <c r="E23"/>
      <c r="F23"/>
      <c r="G23"/>
      <c r="H23"/>
      <c r="I23"/>
      <c r="J23" s="237">
        <v>7.9680703580379486E-2</v>
      </c>
      <c r="K23"/>
      <c r="L23"/>
      <c r="M23"/>
      <c r="N23"/>
      <c r="O23" s="17">
        <v>1.0606560856103897E-2</v>
      </c>
      <c r="P23" s="14">
        <v>1.8427716568112373E-3</v>
      </c>
      <c r="Q23"/>
      <c r="R23" s="21">
        <v>1.6065888106822968E-2</v>
      </c>
      <c r="S23" s="14">
        <v>1.2723943218588829E-3</v>
      </c>
      <c r="T23" s="15">
        <v>8.6612803861498833E-3</v>
      </c>
      <c r="U23" s="11">
        <v>1.7981360724661499E-4</v>
      </c>
      <c r="V23" s="26">
        <v>2.0747603848576546E-2</v>
      </c>
      <c r="W23"/>
      <c r="X23" s="282">
        <v>0.14149260520935059</v>
      </c>
      <c r="Y23" s="290">
        <v>7.3638170957565308E-2</v>
      </c>
      <c r="Z23" s="71">
        <v>5.6899931281805038E-2</v>
      </c>
      <c r="AA23"/>
      <c r="AB23"/>
      <c r="AC23"/>
      <c r="AD23" s="24">
        <v>2.169358916580677E-2</v>
      </c>
      <c r="AE23"/>
      <c r="AF23"/>
      <c r="AG23" s="13">
        <v>2.9709503054618835E-2</v>
      </c>
      <c r="AH23" s="263">
        <v>2.7714438736438751E-2</v>
      </c>
      <c r="AI23"/>
      <c r="AJ23"/>
      <c r="AK23" s="23">
        <v>5.1863486878573895E-3</v>
      </c>
      <c r="AL23" s="13">
        <v>3.0086344107985497E-2</v>
      </c>
      <c r="AM23" s="15">
        <v>7.5593846850097179E-3</v>
      </c>
      <c r="AN23" s="22">
        <v>5.6530684232711792E-3</v>
      </c>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215</v>
      </c>
      <c r="B24">
        <v>1.3999999761581421</v>
      </c>
      <c r="C24">
        <v>6.9735907018184662E-2</v>
      </c>
      <c r="D24"/>
      <c r="E24"/>
      <c r="F24"/>
      <c r="G24"/>
      <c r="H24"/>
      <c r="I24"/>
      <c r="J24"/>
      <c r="K24"/>
      <c r="L24"/>
      <c r="M24"/>
      <c r="N24" s="248">
        <v>5.5215839296579361E-2</v>
      </c>
      <c r="O24"/>
      <c r="P24"/>
      <c r="Q24"/>
      <c r="R24" s="20">
        <v>6.1623986810445786E-2</v>
      </c>
      <c r="S24" s="12">
        <v>5.4125003516674042E-3</v>
      </c>
      <c r="T24" s="17">
        <v>2.0044431090354919E-2</v>
      </c>
      <c r="U24" s="273">
        <v>0.15553784370422363</v>
      </c>
      <c r="V24" s="15">
        <v>1.2661733664572239E-2</v>
      </c>
      <c r="W24"/>
      <c r="X24" s="284">
        <v>0.43413594365119934</v>
      </c>
      <c r="Y24" s="269">
        <v>9.5763988792896271E-2</v>
      </c>
      <c r="Z24" s="235">
        <v>0.48986786603927612</v>
      </c>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216</v>
      </c>
      <c r="B25">
        <v>0.40000000596046448</v>
      </c>
      <c r="C25">
        <v>4.0000725537538528E-2</v>
      </c>
      <c r="D25"/>
      <c r="E25"/>
      <c r="F25"/>
      <c r="G25"/>
      <c r="H25"/>
      <c r="I25"/>
      <c r="J25"/>
      <c r="K25"/>
      <c r="L25"/>
      <c r="M25"/>
      <c r="N25" s="249">
        <v>0.11293671280145645</v>
      </c>
      <c r="O25"/>
      <c r="P25"/>
      <c r="Q25"/>
      <c r="R25" s="252">
        <v>4.3051276355981827E-2</v>
      </c>
      <c r="S25" s="265">
        <v>0.19872082769870758</v>
      </c>
      <c r="T25"/>
      <c r="U25"/>
      <c r="V25"/>
      <c r="W25"/>
      <c r="X25"/>
      <c r="Y25"/>
      <c r="Z25"/>
      <c r="AA25"/>
      <c r="AB25"/>
      <c r="AC25"/>
      <c r="AD25"/>
      <c r="AE25"/>
      <c r="AF25"/>
      <c r="AG25"/>
      <c r="AH25"/>
      <c r="AI25"/>
      <c r="AJ25"/>
      <c r="AK25"/>
      <c r="AL25" s="17">
        <v>5.2904654294252396E-3</v>
      </c>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217</v>
      </c>
      <c r="B26">
        <v>0.73000001907348633</v>
      </c>
      <c r="C26">
        <v>3.6428693681955338E-2</v>
      </c>
      <c r="D26"/>
      <c r="E26"/>
      <c r="F26"/>
      <c r="G26"/>
      <c r="H26"/>
      <c r="I26"/>
      <c r="J26"/>
      <c r="K26"/>
      <c r="L26"/>
      <c r="M26"/>
      <c r="N26" s="111">
        <v>0.12609976530075073</v>
      </c>
      <c r="O26" s="71">
        <v>5.0866015255451202E-2</v>
      </c>
      <c r="P26" s="19">
        <v>1.2564742006361485E-2</v>
      </c>
      <c r="Q26" s="148">
        <v>4.3987806886434555E-2</v>
      </c>
      <c r="R26" s="262">
        <v>5.4418452084064484E-2</v>
      </c>
      <c r="S26" s="22">
        <v>5.7088802568614483E-3</v>
      </c>
      <c r="T26" s="255">
        <v>5.9645570814609528E-2</v>
      </c>
      <c r="U26"/>
      <c r="V26" s="144">
        <v>7.275526225566864E-2</v>
      </c>
      <c r="W26"/>
      <c r="X26" s="258">
        <v>7.548358291387558E-2</v>
      </c>
      <c r="Y26"/>
      <c r="Z26" s="272">
        <v>0.10702755302190781</v>
      </c>
      <c r="AA26"/>
      <c r="AB26"/>
      <c r="AC26"/>
      <c r="AD26"/>
      <c r="AE26"/>
      <c r="AF26"/>
      <c r="AG26"/>
      <c r="AH26"/>
      <c r="AI26"/>
      <c r="AJ26"/>
      <c r="AK26"/>
      <c r="AL26" s="268">
        <v>8.5013732314109802E-2</v>
      </c>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218</v>
      </c>
      <c r="B27">
        <v>3.119999885559082</v>
      </c>
      <c r="C27">
        <v>0.15583601593971252</v>
      </c>
      <c r="D27"/>
      <c r="E27"/>
      <c r="F27"/>
      <c r="G27"/>
      <c r="H27"/>
      <c r="I27"/>
      <c r="J27"/>
      <c r="K27"/>
      <c r="L27"/>
      <c r="M27"/>
      <c r="N27" s="250">
        <v>0.36429178714752197</v>
      </c>
      <c r="O27"/>
      <c r="P27"/>
      <c r="Q27" s="65">
        <v>6.544087827205658E-2</v>
      </c>
      <c r="R27" s="282">
        <v>0.54647058248519897</v>
      </c>
      <c r="S27" s="76">
        <v>0.20383509993553162</v>
      </c>
      <c r="T27" s="286">
        <v>0.62114506959915161</v>
      </c>
      <c r="U27" s="248">
        <v>0.12179717421531677</v>
      </c>
      <c r="V27" s="18">
        <v>3.4935381263494492E-2</v>
      </c>
      <c r="W27"/>
      <c r="X27" s="16">
        <v>4.7056790441274643E-2</v>
      </c>
      <c r="Y27"/>
      <c r="Z27" s="263">
        <v>0.10140067338943481</v>
      </c>
      <c r="AA27" s="21">
        <v>6.2379535287618637E-2</v>
      </c>
      <c r="AB27"/>
      <c r="AC27"/>
      <c r="AD27" s="12">
        <v>1.4703641645610332E-2</v>
      </c>
      <c r="AE27"/>
      <c r="AF27"/>
      <c r="AG27" s="148">
        <v>0.19177833199501038</v>
      </c>
      <c r="AH27" s="251">
        <v>7.2837851941585541E-2</v>
      </c>
      <c r="AI27"/>
      <c r="AJ27"/>
      <c r="AK27" s="25">
        <v>9.6647366881370544E-2</v>
      </c>
      <c r="AL27" s="144">
        <v>0.30997040867805481</v>
      </c>
      <c r="AM27"/>
      <c r="AN27" s="28">
        <v>0.10947367548942566</v>
      </c>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219</v>
      </c>
      <c r="B28">
        <v>0.70300000905990601</v>
      </c>
      <c r="C28">
        <v>0.1405676007270813</v>
      </c>
      <c r="D28"/>
      <c r="E28"/>
      <c r="F28"/>
      <c r="G28"/>
      <c r="H28"/>
      <c r="I28"/>
      <c r="J28"/>
      <c r="K28"/>
      <c r="L28"/>
      <c r="M28" s="240">
        <v>0.27446675300598145</v>
      </c>
      <c r="N28"/>
      <c r="O28"/>
      <c r="P28"/>
      <c r="Q28"/>
      <c r="R28"/>
      <c r="S28"/>
      <c r="T28" s="22">
        <v>5.5694412440061569E-3</v>
      </c>
      <c r="U28" s="267">
        <v>0.14723354578018188</v>
      </c>
      <c r="V28"/>
      <c r="W28"/>
      <c r="X28" s="259">
        <v>0.10554841160774231</v>
      </c>
      <c r="Y28"/>
      <c r="Z28"/>
      <c r="AA28"/>
      <c r="AB28"/>
      <c r="AC28"/>
      <c r="AD28" s="66">
        <v>2.9614238068461418E-2</v>
      </c>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220</v>
      </c>
      <c r="B29">
        <v>1.2000000476837158</v>
      </c>
      <c r="C29">
        <v>0.23999984562397003</v>
      </c>
      <c r="D29"/>
      <c r="E29"/>
      <c r="F29"/>
      <c r="G29"/>
      <c r="H29"/>
      <c r="I29"/>
      <c r="J29"/>
      <c r="K29"/>
      <c r="L29"/>
      <c r="M29"/>
      <c r="N29" s="237">
        <v>0.11732076108455658</v>
      </c>
      <c r="O29"/>
      <c r="P29"/>
      <c r="Q29"/>
      <c r="R29"/>
      <c r="S29"/>
      <c r="T29" s="21">
        <v>2.4231862276792526E-2</v>
      </c>
      <c r="U29" s="277">
        <v>0.15209771692752838</v>
      </c>
      <c r="V29" s="27">
        <v>9.0686507523059845E-2</v>
      </c>
      <c r="W29" s="28">
        <v>4.1178852319717407E-2</v>
      </c>
      <c r="X29"/>
      <c r="Y29"/>
      <c r="Z29"/>
      <c r="AA29"/>
      <c r="AB29"/>
      <c r="AC29"/>
      <c r="AD29" s="15">
        <v>1.1472252197563648E-2</v>
      </c>
      <c r="AE29"/>
      <c r="AF29" s="140">
        <v>0.14438647031784058</v>
      </c>
      <c r="AG29" s="20">
        <v>5.2371058613061905E-2</v>
      </c>
      <c r="AH29"/>
      <c r="AI29"/>
      <c r="AJ29"/>
      <c r="AK29" s="278">
        <v>0.15830424427986145</v>
      </c>
      <c r="AL29"/>
      <c r="AM29"/>
      <c r="AN29"/>
      <c r="AO29"/>
      <c r="AP29" s="279">
        <v>0.16795046627521515</v>
      </c>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221</v>
      </c>
      <c r="B30">
        <v>3</v>
      </c>
      <c r="C30">
        <v>0.15000522136688232</v>
      </c>
      <c r="D30"/>
      <c r="E30"/>
      <c r="F30"/>
      <c r="G30"/>
      <c r="H30"/>
      <c r="I30"/>
      <c r="J30"/>
      <c r="K30"/>
      <c r="L30"/>
      <c r="M30"/>
      <c r="N30" s="14">
        <v>4.5576458796858788E-3</v>
      </c>
      <c r="O30"/>
      <c r="P30"/>
      <c r="Q30"/>
      <c r="R30"/>
      <c r="S30" s="12">
        <v>1.0203829035162926E-2</v>
      </c>
      <c r="T30" s="262">
        <v>0.22081311047077179</v>
      </c>
      <c r="U30" s="17">
        <v>4.2155236005783081E-2</v>
      </c>
      <c r="V30" s="22">
        <v>2.1160105243325233E-2</v>
      </c>
      <c r="W30" s="18">
        <v>3.8170278072357178E-2</v>
      </c>
      <c r="X30" s="22">
        <v>2.5911489501595497E-2</v>
      </c>
      <c r="Y30" s="20">
        <v>0.1267055869102478</v>
      </c>
      <c r="Z30"/>
      <c r="AA30" s="17">
        <v>3.9010770618915558E-2</v>
      </c>
      <c r="AB30" s="21">
        <v>5.6046199053525925E-2</v>
      </c>
      <c r="AC30"/>
      <c r="AD30" s="69">
        <v>0.15571063756942749</v>
      </c>
      <c r="AE30" s="259">
        <v>0.45441508293151855</v>
      </c>
      <c r="AF30" s="291">
        <v>0.36599823832511902</v>
      </c>
      <c r="AG30" s="19">
        <v>5.4549243301153183E-2</v>
      </c>
      <c r="AH30"/>
      <c r="AI30"/>
      <c r="AJ30"/>
      <c r="AK30" s="292">
        <v>0.60358864068984985</v>
      </c>
      <c r="AL30" s="14">
        <v>3.5761299077421427E-3</v>
      </c>
      <c r="AM30" s="17">
        <v>3.9175610989332199E-2</v>
      </c>
      <c r="AN30" s="27">
        <v>0.22733968496322632</v>
      </c>
      <c r="AO30" s="14">
        <v>8.3467885851860046E-3</v>
      </c>
      <c r="AP30" s="13">
        <v>0.11014491319656372</v>
      </c>
      <c r="AQ30" s="289">
        <v>0.24241560697555542</v>
      </c>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222</v>
      </c>
      <c r="B31">
        <v>1.8849999904632568</v>
      </c>
      <c r="C31">
        <v>0.75399816036224365</v>
      </c>
      <c r="D31"/>
      <c r="E31"/>
      <c r="F31"/>
      <c r="G31"/>
      <c r="H31"/>
      <c r="I31"/>
      <c r="J31"/>
      <c r="K31"/>
      <c r="L31"/>
      <c r="M31"/>
      <c r="N31" s="11">
        <v>7.4723811121657491E-4</v>
      </c>
      <c r="O31"/>
      <c r="P31"/>
      <c r="Q31"/>
      <c r="R31"/>
      <c r="S31" s="11">
        <v>1.5389682084787637E-4</v>
      </c>
      <c r="T31" s="12">
        <v>6.5317028202116489E-3</v>
      </c>
      <c r="U31" s="14">
        <v>2.0499383099377155E-3</v>
      </c>
      <c r="V31" s="23">
        <v>1.0168939828872681E-2</v>
      </c>
      <c r="W31" s="11">
        <v>6.9373525911942124E-4</v>
      </c>
      <c r="X31" s="14">
        <v>4.4085872359573841E-3</v>
      </c>
      <c r="Y31" s="11">
        <v>1.4995528617873788E-3</v>
      </c>
      <c r="Z31"/>
      <c r="AA31"/>
      <c r="AB31"/>
      <c r="AC31"/>
      <c r="AD31" s="11">
        <v>1.2369391042739153E-3</v>
      </c>
      <c r="AE31" s="17">
        <v>2.7413671836256981E-2</v>
      </c>
      <c r="AF31" s="23">
        <v>1.1675819754600525E-2</v>
      </c>
      <c r="AG31" s="14">
        <v>2.8229777235537767E-3</v>
      </c>
      <c r="AH31"/>
      <c r="AI31"/>
      <c r="AJ31"/>
      <c r="AK31" s="17">
        <v>2.5887034833431244E-2</v>
      </c>
      <c r="AL31" s="11">
        <v>1.2168872635811567E-3</v>
      </c>
      <c r="AM31"/>
      <c r="AN31" s="69">
        <v>9.653792530298233E-2</v>
      </c>
      <c r="AO31" s="15">
        <v>1.7041498795151711E-2</v>
      </c>
      <c r="AP31" s="147">
        <v>5.5187605321407318E-2</v>
      </c>
      <c r="AQ31" s="293">
        <v>0.35832202434539795</v>
      </c>
      <c r="AR31" s="295">
        <v>0.50740593671798706</v>
      </c>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223</v>
      </c>
      <c r="B32">
        <v>1.6000000238418579</v>
      </c>
      <c r="C32">
        <v>0.6399993896484375</v>
      </c>
      <c r="D32"/>
      <c r="E32"/>
      <c r="F32"/>
      <c r="G32"/>
      <c r="H32"/>
      <c r="I32"/>
      <c r="J32"/>
      <c r="K32"/>
      <c r="L32"/>
      <c r="M32"/>
      <c r="N32" s="11">
        <v>2.2759519197279587E-5</v>
      </c>
      <c r="O32"/>
      <c r="P32"/>
      <c r="Q32"/>
      <c r="R32"/>
      <c r="S32" s="11">
        <v>7.4404902989044785E-5</v>
      </c>
      <c r="T32"/>
      <c r="U32" s="11">
        <v>3.4684030106291175E-4</v>
      </c>
      <c r="V32" s="11">
        <v>8.2718190969899297E-4</v>
      </c>
      <c r="W32"/>
      <c r="X32"/>
      <c r="Y32" s="14">
        <v>3.5520459059625864E-3</v>
      </c>
      <c r="Z32" s="11">
        <v>1.4478543307632208E-3</v>
      </c>
      <c r="AA32"/>
      <c r="AB32" s="12">
        <v>5.4887859150767326E-3</v>
      </c>
      <c r="AC32" s="14">
        <v>2.0948476158082485E-3</v>
      </c>
      <c r="AD32" s="11">
        <v>4.1856899042613804E-4</v>
      </c>
      <c r="AE32"/>
      <c r="AF32" s="12">
        <v>5.2679888904094696E-3</v>
      </c>
      <c r="AG32" s="11">
        <v>9.5538783352822065E-4</v>
      </c>
      <c r="AH32"/>
      <c r="AI32"/>
      <c r="AJ32" s="263">
        <v>5.2481289952993393E-2</v>
      </c>
      <c r="AK32" s="12">
        <v>5.0056795589625835E-3</v>
      </c>
      <c r="AL32"/>
      <c r="AM32" s="11">
        <v>1.5036623226478696E-3</v>
      </c>
      <c r="AN32" s="23">
        <v>1.0907365009188652E-2</v>
      </c>
      <c r="AO32" s="12">
        <v>5.2621029317378998E-3</v>
      </c>
      <c r="AP32" s="12">
        <v>5.8359322138130665E-3</v>
      </c>
      <c r="AQ32"/>
      <c r="AR32" s="246">
        <v>0.85850793123245239</v>
      </c>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224</v>
      </c>
      <c r="B33">
        <v>2.7999999523162842</v>
      </c>
      <c r="C33">
        <v>0.56000113487243652</v>
      </c>
      <c r="D33"/>
      <c r="E33"/>
      <c r="F33"/>
      <c r="G33"/>
      <c r="H33"/>
      <c r="I33"/>
      <c r="J33"/>
      <c r="K33"/>
      <c r="L33"/>
      <c r="M33"/>
      <c r="N33" s="11">
        <v>1.3493365840986371E-3</v>
      </c>
      <c r="O33"/>
      <c r="P33"/>
      <c r="Q33"/>
      <c r="R33"/>
      <c r="S33"/>
      <c r="T33" s="14">
        <v>5.7207667268812656E-3</v>
      </c>
      <c r="U33"/>
      <c r="V33"/>
      <c r="W33" s="11">
        <v>1.5800023684278131E-3</v>
      </c>
      <c r="X33"/>
      <c r="Y33"/>
      <c r="Z33" s="11">
        <v>1.0893702274188399E-3</v>
      </c>
      <c r="AA33"/>
      <c r="AB33" s="15">
        <v>2.6308227330446243E-2</v>
      </c>
      <c r="AC33" s="14">
        <v>8.1330379471182823E-3</v>
      </c>
      <c r="AD33" s="23">
        <v>1.5288427472114563E-2</v>
      </c>
      <c r="AE33" s="65">
        <v>6.0025401413440704E-2</v>
      </c>
      <c r="AF33" s="65">
        <v>6.3061706721782684E-2</v>
      </c>
      <c r="AG33" s="14">
        <v>3.7091984413564205E-3</v>
      </c>
      <c r="AH33"/>
      <c r="AI33"/>
      <c r="AJ33" s="147">
        <v>8.4897249937057495E-2</v>
      </c>
      <c r="AK33" s="14">
        <v>7.7262888662517071E-3</v>
      </c>
      <c r="AL33" s="11">
        <v>9.7681127954274416E-4</v>
      </c>
      <c r="AM33" s="12">
        <v>1.1675639078021049E-2</v>
      </c>
      <c r="AN33" s="23">
        <v>1.4115586876869202E-2</v>
      </c>
      <c r="AO33" s="14">
        <v>6.2190541066229343E-3</v>
      </c>
      <c r="AP33" s="15">
        <v>2.6671824976801872E-2</v>
      </c>
      <c r="AQ33" s="298">
        <v>0.61417502164840698</v>
      </c>
      <c r="AR33" s="302">
        <v>1.2872759103775024</v>
      </c>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225</v>
      </c>
      <c r="B34">
        <v>10</v>
      </c>
      <c r="C34">
        <v>1.0000002384185791</v>
      </c>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s="11">
        <v>1.8104348564520478E-3</v>
      </c>
      <c r="AP34"/>
      <c r="AQ34" s="25">
        <v>0.30453601479530334</v>
      </c>
      <c r="AR34" s="301">
        <v>2.2640182971954346</v>
      </c>
      <c r="AS34" s="142">
        <v>6.4296355247497559</v>
      </c>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226</v>
      </c>
      <c r="B35">
        <v>20</v>
      </c>
      <c r="C35">
        <v>1.99989914894104</v>
      </c>
      <c r="D35"/>
      <c r="E35"/>
      <c r="F35"/>
      <c r="G35"/>
      <c r="H35"/>
      <c r="I35"/>
      <c r="J35"/>
      <c r="K35"/>
      <c r="L35"/>
      <c r="M35"/>
      <c r="N35"/>
      <c r="O35"/>
      <c r="P35"/>
      <c r="Q35"/>
      <c r="R35"/>
      <c r="S35"/>
      <c r="T35"/>
      <c r="U35"/>
      <c r="V35"/>
      <c r="W35"/>
      <c r="X35" s="17">
        <v>0.27976655960083008</v>
      </c>
      <c r="Y35" s="17">
        <v>0.27998414635658264</v>
      </c>
      <c r="Z35"/>
      <c r="AA35"/>
      <c r="AB35"/>
      <c r="AC35"/>
      <c r="AD35"/>
      <c r="AE35"/>
      <c r="AF35"/>
      <c r="AG35"/>
      <c r="AH35"/>
      <c r="AI35"/>
      <c r="AJ35"/>
      <c r="AK35"/>
      <c r="AL35"/>
      <c r="AM35"/>
      <c r="AN35" s="109">
        <v>3.1234900951385498</v>
      </c>
      <c r="AO35" s="23">
        <v>0.10606160759925842</v>
      </c>
      <c r="AP35"/>
      <c r="AQ35"/>
      <c r="AR35" s="294">
        <v>14.210799217224121</v>
      </c>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227</v>
      </c>
      <c r="B36">
        <v>10.5</v>
      </c>
      <c r="C36">
        <v>0.52488994598388672</v>
      </c>
      <c r="D36"/>
      <c r="E36"/>
      <c r="F36"/>
      <c r="G36"/>
      <c r="H36"/>
      <c r="I36"/>
      <c r="J36"/>
      <c r="K36"/>
      <c r="L36"/>
      <c r="M36"/>
      <c r="N36"/>
      <c r="O36"/>
      <c r="P36" s="11">
        <v>2.2065252996981144E-3</v>
      </c>
      <c r="Q36" s="23">
        <v>6.3729651272296906E-2</v>
      </c>
      <c r="R36"/>
      <c r="S36"/>
      <c r="T36" s="14">
        <v>2.8804892674088478E-2</v>
      </c>
      <c r="U36" s="14">
        <v>1.1299731209874153E-2</v>
      </c>
      <c r="V36"/>
      <c r="W36" s="14">
        <v>1.9383717328310013E-2</v>
      </c>
      <c r="X36" s="14">
        <v>1.8631847575306892E-2</v>
      </c>
      <c r="Y36" s="15">
        <v>0.10896163433790207</v>
      </c>
      <c r="Z36" s="12">
        <v>3.6573756486177444E-2</v>
      </c>
      <c r="AA36"/>
      <c r="AB36"/>
      <c r="AC36"/>
      <c r="AD36" s="14">
        <v>2.2728819400072098E-2</v>
      </c>
      <c r="AE36" s="69">
        <v>0.53730952739715576</v>
      </c>
      <c r="AF36" s="12">
        <v>4.2908761650323868E-2</v>
      </c>
      <c r="AG36" s="251">
        <v>0.23760470747947693</v>
      </c>
      <c r="AH36" s="21">
        <v>0.21437594294548035</v>
      </c>
      <c r="AI36" s="16">
        <v>0.17023962736129761</v>
      </c>
      <c r="AJ36" s="297">
        <v>2.9922895431518555</v>
      </c>
      <c r="AK36" s="25">
        <v>0.33255776762962341</v>
      </c>
      <c r="AL36"/>
      <c r="AM36" s="25">
        <v>0.3266029953956604</v>
      </c>
      <c r="AN36" s="12">
        <v>3.5537015646696091E-2</v>
      </c>
      <c r="AO36" s="14">
        <v>1.3047434389591217E-2</v>
      </c>
      <c r="AP36" s="262">
        <v>0.7747875452041626</v>
      </c>
      <c r="AQ36" s="266">
        <v>1.1884455680847168</v>
      </c>
      <c r="AR36" s="296">
        <v>2.7970833778381348</v>
      </c>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228</v>
      </c>
      <c r="B37">
        <v>16.450000762939453</v>
      </c>
      <c r="C37">
        <v>1.6448994874954224</v>
      </c>
      <c r="D37"/>
      <c r="E37"/>
      <c r="F37"/>
      <c r="G37"/>
      <c r="H37"/>
      <c r="I37"/>
      <c r="J37"/>
      <c r="K37"/>
      <c r="L37"/>
      <c r="M37"/>
      <c r="N37"/>
      <c r="O37"/>
      <c r="P37"/>
      <c r="Q37" s="11">
        <v>1.1393964290618896E-2</v>
      </c>
      <c r="R37"/>
      <c r="S37"/>
      <c r="T37" s="11">
        <v>4.8280390910804272E-3</v>
      </c>
      <c r="U37"/>
      <c r="V37"/>
      <c r="W37" s="12">
        <v>7.6948560774326324E-2</v>
      </c>
      <c r="X37" s="11">
        <v>6.1100549064576626E-3</v>
      </c>
      <c r="Y37" s="11">
        <v>9.7016599029302597E-3</v>
      </c>
      <c r="Z37" s="11">
        <v>7.3562306351959705E-3</v>
      </c>
      <c r="AA37"/>
      <c r="AB37"/>
      <c r="AC37"/>
      <c r="AD37" s="11">
        <v>4.1143875569105148E-3</v>
      </c>
      <c r="AE37" s="12">
        <v>7.5987622141838074E-2</v>
      </c>
      <c r="AF37" s="22">
        <v>0.1366482675075531</v>
      </c>
      <c r="AG37" s="21">
        <v>0.30677694082260132</v>
      </c>
      <c r="AH37" s="17">
        <v>0.22351774573326111</v>
      </c>
      <c r="AI37" s="69">
        <v>0.82392406463623047</v>
      </c>
      <c r="AJ37" s="299">
        <v>3.5824501514434814</v>
      </c>
      <c r="AK37" s="14">
        <v>2.7970997616648674E-2</v>
      </c>
      <c r="AL37" s="11">
        <v>8.9948661625385284E-3</v>
      </c>
      <c r="AM37" s="22">
        <v>0.14369907975196838</v>
      </c>
      <c r="AN37"/>
      <c r="AO37"/>
      <c r="AP37" s="14">
        <v>2.5972705334424973E-2</v>
      </c>
      <c r="AQ37" s="22">
        <v>0.12580892443656921</v>
      </c>
      <c r="AR37" s="109">
        <v>2.5785324573516846</v>
      </c>
      <c r="AS37"/>
      <c r="AT37"/>
      <c r="AU37"/>
      <c r="AV37" s="16">
        <v>0.24743020534515381</v>
      </c>
      <c r="AW37" s="108">
        <v>4.7769355773925781</v>
      </c>
      <c r="AX37" s="237">
        <v>1.6000000238418579</v>
      </c>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229</v>
      </c>
      <c r="B38">
        <v>45.049999237060547</v>
      </c>
      <c r="C38">
        <v>4.5050010681152344</v>
      </c>
      <c r="D38"/>
      <c r="E38"/>
      <c r="F38"/>
      <c r="G38"/>
      <c r="H38"/>
      <c r="I38"/>
      <c r="J38"/>
      <c r="K38"/>
      <c r="L38"/>
      <c r="M38"/>
      <c r="N38"/>
      <c r="O38"/>
      <c r="P38"/>
      <c r="Q38"/>
      <c r="R38"/>
      <c r="S38"/>
      <c r="T38"/>
      <c r="U38"/>
      <c r="V38"/>
      <c r="W38"/>
      <c r="X38"/>
      <c r="Y38"/>
      <c r="Z38"/>
      <c r="AA38"/>
      <c r="AB38"/>
      <c r="AC38"/>
      <c r="AD38"/>
      <c r="AE38"/>
      <c r="AF38"/>
      <c r="AG38"/>
      <c r="AH38"/>
      <c r="AI38" s="12">
        <v>0.14839524030685425</v>
      </c>
      <c r="AJ38" s="147">
        <v>1.3248673677444458</v>
      </c>
      <c r="AK38"/>
      <c r="AL38"/>
      <c r="AM38"/>
      <c r="AN38"/>
      <c r="AO38"/>
      <c r="AP38"/>
      <c r="AQ38"/>
      <c r="AR38"/>
      <c r="AS38"/>
      <c r="AT38"/>
      <c r="AU38"/>
      <c r="AV38" s="23">
        <v>0.22876256704330444</v>
      </c>
      <c r="AW38" s="237">
        <v>4.416534423828125</v>
      </c>
      <c r="AX38" s="304">
        <v>28.106437683105469</v>
      </c>
      <c r="AY38" s="77">
        <v>6.3199996948242188</v>
      </c>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230</v>
      </c>
      <c r="B39">
        <v>500</v>
      </c>
      <c r="C39">
        <v>94.999969482421875</v>
      </c>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s="300">
        <v>28.252309799194336</v>
      </c>
      <c r="AT39" s="13">
        <v>19.102180480957031</v>
      </c>
      <c r="AU39" s="77">
        <v>70.305221557617188</v>
      </c>
      <c r="AV39"/>
      <c r="AW39"/>
      <c r="AX39"/>
      <c r="AY39" s="305">
        <v>287.34027099609375</v>
      </c>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231</v>
      </c>
      <c r="B40">
        <v>119</v>
      </c>
      <c r="C40">
        <v>23.799999237060547</v>
      </c>
      <c r="D40"/>
      <c r="E40"/>
      <c r="F40"/>
      <c r="G40"/>
      <c r="H40"/>
      <c r="I40"/>
      <c r="J40"/>
      <c r="K40"/>
      <c r="L40"/>
      <c r="M40"/>
      <c r="N40"/>
      <c r="O40"/>
      <c r="P40"/>
      <c r="Q40"/>
      <c r="R40"/>
      <c r="S40"/>
      <c r="T40"/>
      <c r="U40"/>
      <c r="V40"/>
      <c r="W40"/>
      <c r="X40"/>
      <c r="Y40"/>
      <c r="Z40"/>
      <c r="AA40"/>
      <c r="AB40"/>
      <c r="AC40"/>
      <c r="AD40"/>
      <c r="AE40"/>
      <c r="AF40" s="11">
        <v>5.0360649824142456E-2</v>
      </c>
      <c r="AG40"/>
      <c r="AH40"/>
      <c r="AI40"/>
      <c r="AJ40"/>
      <c r="AK40"/>
      <c r="AL40"/>
      <c r="AM40"/>
      <c r="AN40"/>
      <c r="AO40" s="11">
        <v>3.8283397443592548E-3</v>
      </c>
      <c r="AP40"/>
      <c r="AQ40"/>
      <c r="AR40"/>
      <c r="AS40"/>
      <c r="AT40" s="232">
        <v>18.959934234619141</v>
      </c>
      <c r="AU40" s="24">
        <v>3.1718952655792236</v>
      </c>
      <c r="AV40" s="65">
        <v>2.5988712310791016</v>
      </c>
      <c r="AW40" s="29">
        <v>5.5749239921569824</v>
      </c>
      <c r="AX40" s="67">
        <v>7.0023021697998047</v>
      </c>
      <c r="AY40" s="306">
        <v>57.837882995605469</v>
      </c>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232</v>
      </c>
      <c r="B41">
        <v>151</v>
      </c>
      <c r="C41">
        <v>60.399986267089844</v>
      </c>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s="263">
        <v>4.9504165649414062</v>
      </c>
      <c r="AU41" s="147">
        <v>4.5549793243408203</v>
      </c>
      <c r="AV41"/>
      <c r="AW41"/>
      <c r="AX41" s="303">
        <v>20.111221313476562</v>
      </c>
      <c r="AY41" s="143">
        <v>57.28118896484375</v>
      </c>
      <c r="AZ41" s="26">
        <v>3.7022078037261963</v>
      </c>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233</v>
      </c>
      <c r="B42">
        <v>4.5</v>
      </c>
      <c r="C42">
        <v>3.5999901294708252</v>
      </c>
      <c r="D42"/>
      <c r="E42"/>
      <c r="F42"/>
      <c r="G42"/>
      <c r="H42"/>
      <c r="I42"/>
      <c r="J42"/>
      <c r="K42"/>
      <c r="L42"/>
      <c r="M42"/>
      <c r="N42" s="12">
        <v>1.8030399456620216E-2</v>
      </c>
      <c r="O42"/>
      <c r="P42"/>
      <c r="Q42"/>
      <c r="R42"/>
      <c r="S42"/>
      <c r="T42"/>
      <c r="U42"/>
      <c r="V42"/>
      <c r="W42"/>
      <c r="X42"/>
      <c r="Y42"/>
      <c r="Z42"/>
      <c r="AA42"/>
      <c r="AB42"/>
      <c r="AC42"/>
      <c r="AD42"/>
      <c r="AE42"/>
      <c r="AF42"/>
      <c r="AG42"/>
      <c r="AH42"/>
      <c r="AI42"/>
      <c r="AJ42"/>
      <c r="AK42"/>
      <c r="AL42" s="15">
        <v>4.0101565420627594E-2</v>
      </c>
      <c r="AM42"/>
      <c r="AN42"/>
      <c r="AO42"/>
      <c r="AP42" s="283">
        <v>0.84187781810760498</v>
      </c>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t="s">
        <v>234</v>
      </c>
      <c r="B43"/>
      <c r="C43">
        <v>0.73270034790039062</v>
      </c>
      <c r="D43"/>
      <c r="E43"/>
      <c r="F43"/>
      <c r="G43"/>
      <c r="H43"/>
      <c r="I43"/>
      <c r="J43"/>
      <c r="K43"/>
      <c r="L43"/>
      <c r="M43"/>
      <c r="N43"/>
      <c r="O43" s="9">
        <v>1.037879940122366E-2</v>
      </c>
      <c r="P43" s="9">
        <v>1.1828136630356312E-2</v>
      </c>
      <c r="Q43"/>
      <c r="R43"/>
      <c r="S43"/>
      <c r="T43"/>
      <c r="U43"/>
      <c r="V43"/>
      <c r="W43"/>
      <c r="X43"/>
      <c r="Y43"/>
      <c r="Z43"/>
      <c r="AA43"/>
      <c r="AB43"/>
      <c r="AC43"/>
      <c r="AD43"/>
      <c r="AE43" s="9">
        <v>3.501942555885762E-4</v>
      </c>
      <c r="AF43"/>
      <c r="AG43"/>
      <c r="AH43"/>
      <c r="AI43"/>
      <c r="AJ43"/>
      <c r="AK43"/>
      <c r="AL43"/>
      <c r="AM43"/>
      <c r="AN43"/>
      <c r="AO43" s="9">
        <v>2.8943512588739395E-3</v>
      </c>
      <c r="AP43" s="9">
        <v>1.7573196440935135E-2</v>
      </c>
      <c r="AQ43"/>
      <c r="AR43" s="9">
        <v>0.10240171104669571</v>
      </c>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t="s">
        <v>235</v>
      </c>
      <c r="B44"/>
      <c r="C44">
        <v>0.95297300815582275</v>
      </c>
      <c r="D44"/>
      <c r="E44"/>
      <c r="F44"/>
      <c r="G44"/>
      <c r="H44"/>
      <c r="I44"/>
      <c r="J44"/>
      <c r="K44"/>
      <c r="L44"/>
      <c r="M44"/>
      <c r="N44"/>
      <c r="O44"/>
      <c r="P44"/>
      <c r="Q44"/>
      <c r="R44"/>
      <c r="S44" s="9">
        <v>1.7923882114700973E-4</v>
      </c>
      <c r="T44" s="9">
        <v>3.7926137447357178E-3</v>
      </c>
      <c r="U44"/>
      <c r="V44"/>
      <c r="W44"/>
      <c r="X44"/>
      <c r="Y44"/>
      <c r="Z44" s="9">
        <v>6.1645377427339554E-2</v>
      </c>
      <c r="AA44"/>
      <c r="AB44"/>
      <c r="AC44"/>
      <c r="AD44" s="9">
        <v>1.0083180386573076E-3</v>
      </c>
      <c r="AE44" s="9">
        <v>3.501357976347208E-3</v>
      </c>
      <c r="AF44"/>
      <c r="AG44"/>
      <c r="AH44"/>
      <c r="AI44"/>
      <c r="AJ44"/>
      <c r="AK44"/>
      <c r="AL44"/>
      <c r="AM44"/>
      <c r="AN44"/>
      <c r="AO44" s="9">
        <v>8.4508150815963745E-2</v>
      </c>
      <c r="AP44" s="9">
        <v>0.21439298987388611</v>
      </c>
      <c r="AQ44" s="9">
        <v>6.936927318572998</v>
      </c>
      <c r="AR44" s="9">
        <v>11.161786079406738</v>
      </c>
      <c r="AS44" s="9">
        <v>111.77597808837891</v>
      </c>
      <c r="AT44" s="9">
        <v>78.180908203125</v>
      </c>
      <c r="AU44" s="9">
        <v>383.65786743164062</v>
      </c>
      <c r="AV44"/>
      <c r="AW44"/>
      <c r="AX44" s="9">
        <v>52.935394287109375</v>
      </c>
      <c r="AY44" s="9">
        <v>542.77801513671875</v>
      </c>
      <c r="AZ44" s="9">
        <v>954.98065185546875</v>
      </c>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t="s">
        <v>236</v>
      </c>
      <c r="B45"/>
      <c r="C45">
        <v>0</v>
      </c>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topLeftCell="A18"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44.1640625" bestFit="1" customWidth="1"/>
    <col min="5" max="5" width="3.33203125" bestFit="1" customWidth="1"/>
    <col min="6" max="6" width="4.83203125" bestFit="1" customWidth="1"/>
    <col min="7" max="7" width="3.33203125" bestFit="1" customWidth="1"/>
    <col min="8" max="8" width="44.16406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166</v>
      </c>
    </row>
    <row r="2" spans="1:12" x14ac:dyDescent="0.15">
      <c r="A2" s="1" t="s">
        <v>37</v>
      </c>
      <c r="B2" s="39">
        <v>3</v>
      </c>
      <c r="C2" s="37"/>
      <c r="D2" t="s">
        <v>38</v>
      </c>
      <c r="E2">
        <v>1</v>
      </c>
      <c r="F2">
        <v>1</v>
      </c>
      <c r="G2">
        <v>1</v>
      </c>
      <c r="H2" t="s">
        <v>38</v>
      </c>
      <c r="J2" s="55"/>
      <c r="K2" s="56"/>
      <c r="L2" s="62" t="s">
        <v>167</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199" t="s">
        <v>193</v>
      </c>
      <c r="E5">
        <v>4</v>
      </c>
      <c r="F5">
        <v>3.13</v>
      </c>
      <c r="G5">
        <v>4</v>
      </c>
      <c r="H5" s="200" t="s">
        <v>193</v>
      </c>
      <c r="J5" s="57"/>
      <c r="K5" s="58"/>
    </row>
    <row r="6" spans="1:12" ht="14" thickBot="1" x14ac:dyDescent="0.2">
      <c r="A6" s="41" t="s">
        <v>121</v>
      </c>
      <c r="D6" s="199" t="s">
        <v>194</v>
      </c>
      <c r="E6">
        <v>5</v>
      </c>
      <c r="F6">
        <v>3.13</v>
      </c>
      <c r="G6">
        <v>5</v>
      </c>
      <c r="H6" s="200" t="s">
        <v>194</v>
      </c>
      <c r="J6" s="57"/>
      <c r="K6" s="58"/>
    </row>
    <row r="7" spans="1:12" x14ac:dyDescent="0.15">
      <c r="A7" s="36" t="s">
        <v>126</v>
      </c>
      <c r="B7" s="43">
        <v>1</v>
      </c>
      <c r="C7" s="38"/>
      <c r="D7" s="199" t="s">
        <v>195</v>
      </c>
      <c r="E7">
        <v>6</v>
      </c>
      <c r="F7">
        <v>3.13</v>
      </c>
      <c r="G7">
        <v>6</v>
      </c>
      <c r="H7" s="200" t="s">
        <v>195</v>
      </c>
      <c r="J7" s="57"/>
      <c r="K7" s="58"/>
    </row>
    <row r="8" spans="1:12" x14ac:dyDescent="0.15">
      <c r="A8" s="36" t="s">
        <v>38</v>
      </c>
      <c r="B8" s="44">
        <v>1</v>
      </c>
      <c r="C8" s="38"/>
      <c r="D8" s="199" t="s">
        <v>196</v>
      </c>
      <c r="E8">
        <v>7</v>
      </c>
      <c r="F8">
        <v>3.13</v>
      </c>
      <c r="G8">
        <v>7</v>
      </c>
      <c r="H8" s="200" t="s">
        <v>196</v>
      </c>
      <c r="J8" s="57"/>
      <c r="K8" s="58"/>
    </row>
    <row r="9" spans="1:12" x14ac:dyDescent="0.15">
      <c r="A9" s="36" t="s">
        <v>40</v>
      </c>
      <c r="B9" s="44">
        <v>1.1000000000000001</v>
      </c>
      <c r="C9" s="38"/>
      <c r="D9" s="199" t="s">
        <v>197</v>
      </c>
      <c r="E9">
        <v>8</v>
      </c>
      <c r="F9">
        <v>3.12</v>
      </c>
      <c r="G9">
        <v>8</v>
      </c>
      <c r="H9" s="200" t="s">
        <v>197</v>
      </c>
      <c r="J9" s="57"/>
      <c r="K9" s="58"/>
    </row>
    <row r="10" spans="1:12" x14ac:dyDescent="0.15">
      <c r="A10" s="36" t="s">
        <v>41</v>
      </c>
      <c r="B10" s="44">
        <v>1.2</v>
      </c>
      <c r="C10" s="38"/>
      <c r="D10" s="199" t="s">
        <v>198</v>
      </c>
      <c r="E10">
        <v>9</v>
      </c>
      <c r="F10">
        <v>3.12</v>
      </c>
      <c r="G10">
        <v>9</v>
      </c>
      <c r="H10" s="200" t="s">
        <v>198</v>
      </c>
      <c r="J10" s="57"/>
      <c r="K10" s="58"/>
    </row>
    <row r="11" spans="1:12" ht="12" customHeight="1" x14ac:dyDescent="0.15">
      <c r="A11" s="42" t="s">
        <v>127</v>
      </c>
      <c r="B11" s="44">
        <v>2</v>
      </c>
      <c r="C11" s="38"/>
      <c r="D11" s="199" t="s">
        <v>199</v>
      </c>
      <c r="E11">
        <v>10</v>
      </c>
      <c r="F11">
        <v>3.12</v>
      </c>
      <c r="G11">
        <v>10</v>
      </c>
      <c r="H11" s="200" t="s">
        <v>199</v>
      </c>
      <c r="J11" s="57"/>
      <c r="K11" s="58"/>
    </row>
    <row r="12" spans="1:12" x14ac:dyDescent="0.15">
      <c r="A12" s="36" t="s">
        <v>42</v>
      </c>
      <c r="B12" s="44">
        <v>2.1</v>
      </c>
      <c r="C12" s="38"/>
      <c r="D12" s="199" t="s">
        <v>200</v>
      </c>
      <c r="E12">
        <v>11</v>
      </c>
      <c r="F12">
        <v>3.22</v>
      </c>
      <c r="G12">
        <v>11</v>
      </c>
      <c r="H12" s="200" t="s">
        <v>200</v>
      </c>
      <c r="J12" s="57"/>
      <c r="K12" s="58"/>
    </row>
    <row r="13" spans="1:12" x14ac:dyDescent="0.15">
      <c r="A13" s="36" t="s">
        <v>43</v>
      </c>
      <c r="B13" s="44">
        <v>2.2000000000000002</v>
      </c>
      <c r="C13" s="38"/>
      <c r="D13" s="199" t="s">
        <v>201</v>
      </c>
      <c r="E13">
        <v>12</v>
      </c>
      <c r="F13">
        <v>3.12</v>
      </c>
      <c r="G13">
        <v>12</v>
      </c>
      <c r="H13" s="200" t="s">
        <v>201</v>
      </c>
      <c r="J13" s="57"/>
      <c r="K13" s="58"/>
    </row>
    <row r="14" spans="1:12" x14ac:dyDescent="0.15">
      <c r="A14" s="36" t="s">
        <v>67</v>
      </c>
      <c r="B14" s="44">
        <v>2.2999999999999998</v>
      </c>
      <c r="C14" s="38"/>
      <c r="D14" s="199" t="s">
        <v>202</v>
      </c>
      <c r="E14">
        <v>13</v>
      </c>
      <c r="F14">
        <v>3.12</v>
      </c>
      <c r="G14">
        <v>13</v>
      </c>
      <c r="H14" s="200" t="s">
        <v>202</v>
      </c>
      <c r="J14" s="57"/>
      <c r="K14" s="58"/>
    </row>
    <row r="15" spans="1:12" x14ac:dyDescent="0.15">
      <c r="A15" s="42" t="s">
        <v>128</v>
      </c>
      <c r="B15" s="44">
        <v>3</v>
      </c>
      <c r="C15" s="38"/>
      <c r="D15" s="199" t="s">
        <v>203</v>
      </c>
      <c r="E15">
        <v>14</v>
      </c>
      <c r="F15">
        <v>3.12</v>
      </c>
      <c r="G15">
        <v>14</v>
      </c>
      <c r="H15" s="200" t="s">
        <v>203</v>
      </c>
      <c r="J15" s="57"/>
      <c r="K15" s="58"/>
    </row>
    <row r="16" spans="1:12" x14ac:dyDescent="0.15">
      <c r="A16" s="36" t="s">
        <v>62</v>
      </c>
      <c r="B16" s="44">
        <v>3.11</v>
      </c>
      <c r="C16" s="38"/>
      <c r="D16" s="199" t="s">
        <v>204</v>
      </c>
      <c r="E16">
        <v>15</v>
      </c>
      <c r="F16">
        <v>3.12</v>
      </c>
      <c r="G16">
        <v>15</v>
      </c>
      <c r="H16" s="200" t="s">
        <v>204</v>
      </c>
      <c r="J16" s="57"/>
      <c r="K16" s="58"/>
    </row>
    <row r="17" spans="1:12" x14ac:dyDescent="0.15">
      <c r="A17" s="36" t="s">
        <v>61</v>
      </c>
      <c r="B17" s="44">
        <v>3.12</v>
      </c>
      <c r="C17" s="38"/>
      <c r="D17" s="199" t="s">
        <v>205</v>
      </c>
      <c r="E17">
        <v>16</v>
      </c>
      <c r="F17">
        <v>3.22</v>
      </c>
      <c r="G17">
        <v>16</v>
      </c>
      <c r="H17" s="200" t="s">
        <v>205</v>
      </c>
      <c r="J17" s="57"/>
      <c r="K17" s="58"/>
    </row>
    <row r="18" spans="1:12" x14ac:dyDescent="0.15">
      <c r="A18" s="36" t="s">
        <v>68</v>
      </c>
      <c r="B18" s="44">
        <v>3.13</v>
      </c>
      <c r="C18" s="38"/>
      <c r="D18" s="199" t="s">
        <v>206</v>
      </c>
      <c r="E18">
        <v>17</v>
      </c>
      <c r="F18">
        <v>3.22</v>
      </c>
      <c r="G18">
        <v>17</v>
      </c>
      <c r="H18" s="200" t="s">
        <v>206</v>
      </c>
      <c r="J18" s="57"/>
      <c r="K18" s="58"/>
    </row>
    <row r="19" spans="1:12" x14ac:dyDescent="0.15">
      <c r="A19" s="36" t="s">
        <v>66</v>
      </c>
      <c r="B19" s="44">
        <v>3.21</v>
      </c>
      <c r="C19" s="38"/>
      <c r="D19" s="199" t="s">
        <v>207</v>
      </c>
      <c r="E19">
        <v>18</v>
      </c>
      <c r="F19">
        <v>3.22</v>
      </c>
      <c r="G19">
        <v>18</v>
      </c>
      <c r="H19" s="200" t="s">
        <v>207</v>
      </c>
      <c r="J19" s="57"/>
      <c r="K19" s="58"/>
    </row>
    <row r="20" spans="1:12" x14ac:dyDescent="0.15">
      <c r="A20" s="36" t="s">
        <v>63</v>
      </c>
      <c r="B20" s="44">
        <v>3.22</v>
      </c>
      <c r="C20" s="38"/>
      <c r="D20" s="199" t="s">
        <v>208</v>
      </c>
      <c r="E20">
        <v>19</v>
      </c>
      <c r="F20">
        <v>3.22</v>
      </c>
      <c r="G20">
        <v>19</v>
      </c>
      <c r="H20" s="200" t="s">
        <v>208</v>
      </c>
      <c r="J20" s="57"/>
      <c r="K20" s="58"/>
    </row>
    <row r="21" spans="1:12" ht="14" thickBot="1" x14ac:dyDescent="0.2">
      <c r="A21" s="36" t="s">
        <v>69</v>
      </c>
      <c r="B21" s="44">
        <v>3.23</v>
      </c>
      <c r="C21" s="38"/>
      <c r="D21" s="199" t="s">
        <v>209</v>
      </c>
      <c r="E21">
        <v>20</v>
      </c>
      <c r="F21">
        <v>3.22</v>
      </c>
      <c r="G21">
        <v>20</v>
      </c>
      <c r="H21" s="200" t="s">
        <v>209</v>
      </c>
      <c r="J21" s="59"/>
      <c r="K21" s="60"/>
      <c r="L21" s="62" t="s">
        <v>152</v>
      </c>
    </row>
    <row r="22" spans="1:12" x14ac:dyDescent="0.15">
      <c r="A22" s="36" t="s">
        <v>64</v>
      </c>
      <c r="B22" s="44">
        <v>8</v>
      </c>
      <c r="C22" s="38"/>
      <c r="D22" s="199" t="s">
        <v>210</v>
      </c>
      <c r="E22">
        <v>21</v>
      </c>
      <c r="F22">
        <v>3.22</v>
      </c>
      <c r="G22">
        <v>21</v>
      </c>
      <c r="H22" s="200" t="s">
        <v>210</v>
      </c>
    </row>
    <row r="23" spans="1:12" x14ac:dyDescent="0.15">
      <c r="A23" s="36" t="s">
        <v>129</v>
      </c>
      <c r="B23" s="44">
        <v>4</v>
      </c>
      <c r="C23" s="38"/>
      <c r="D23" s="199" t="s">
        <v>211</v>
      </c>
      <c r="E23">
        <v>22</v>
      </c>
      <c r="F23">
        <v>3.12</v>
      </c>
      <c r="G23">
        <v>22</v>
      </c>
      <c r="H23" s="200" t="s">
        <v>211</v>
      </c>
    </row>
    <row r="24" spans="1:12" x14ac:dyDescent="0.15">
      <c r="A24" s="36" t="s">
        <v>122</v>
      </c>
      <c r="B24" s="44">
        <v>4.0999999999999996</v>
      </c>
      <c r="C24" s="38"/>
      <c r="D24" s="199" t="s">
        <v>212</v>
      </c>
      <c r="E24">
        <v>23</v>
      </c>
      <c r="F24">
        <v>3.12</v>
      </c>
      <c r="G24">
        <v>23</v>
      </c>
      <c r="H24" s="200" t="s">
        <v>212</v>
      </c>
    </row>
    <row r="25" spans="1:12" x14ac:dyDescent="0.15">
      <c r="A25" s="36" t="s">
        <v>70</v>
      </c>
      <c r="B25" s="44">
        <v>4.2</v>
      </c>
      <c r="C25" s="38"/>
      <c r="D25" s="199" t="s">
        <v>213</v>
      </c>
      <c r="E25">
        <v>24</v>
      </c>
      <c r="F25">
        <v>3.12</v>
      </c>
      <c r="G25">
        <v>24</v>
      </c>
      <c r="H25" s="200" t="s">
        <v>213</v>
      </c>
    </row>
    <row r="26" spans="1:12" x14ac:dyDescent="0.15">
      <c r="A26" s="36" t="s">
        <v>123</v>
      </c>
      <c r="B26" s="44">
        <v>4.3</v>
      </c>
      <c r="C26" s="38"/>
      <c r="D26" s="199" t="s">
        <v>214</v>
      </c>
      <c r="E26">
        <v>25</v>
      </c>
      <c r="F26">
        <v>3.12</v>
      </c>
      <c r="G26">
        <v>25</v>
      </c>
      <c r="H26" s="200" t="s">
        <v>214</v>
      </c>
    </row>
    <row r="27" spans="1:12" x14ac:dyDescent="0.15">
      <c r="A27" s="36" t="s">
        <v>125</v>
      </c>
      <c r="B27" s="44">
        <v>6.1</v>
      </c>
      <c r="D27" s="199" t="s">
        <v>215</v>
      </c>
      <c r="E27">
        <v>26</v>
      </c>
      <c r="F27">
        <v>3.22</v>
      </c>
      <c r="G27">
        <v>26</v>
      </c>
      <c r="H27" s="200" t="s">
        <v>215</v>
      </c>
    </row>
    <row r="28" spans="1:12" x14ac:dyDescent="0.15">
      <c r="A28" s="36" t="s">
        <v>124</v>
      </c>
      <c r="B28" s="44">
        <v>6.2</v>
      </c>
      <c r="D28" s="199" t="s">
        <v>216</v>
      </c>
      <c r="E28">
        <v>27</v>
      </c>
      <c r="F28">
        <v>3.12</v>
      </c>
      <c r="G28">
        <v>27</v>
      </c>
      <c r="H28" s="200" t="s">
        <v>216</v>
      </c>
    </row>
    <row r="29" spans="1:12" x14ac:dyDescent="0.15">
      <c r="A29" s="36" t="s">
        <v>44</v>
      </c>
      <c r="B29" s="44">
        <v>5</v>
      </c>
      <c r="D29" s="199" t="s">
        <v>217</v>
      </c>
      <c r="E29">
        <v>28</v>
      </c>
      <c r="F29">
        <v>3.12</v>
      </c>
      <c r="G29">
        <v>28</v>
      </c>
      <c r="H29" s="200" t="s">
        <v>217</v>
      </c>
    </row>
    <row r="30" spans="1:12" x14ac:dyDescent="0.15">
      <c r="A30" s="36" t="s">
        <v>73</v>
      </c>
      <c r="B30" s="44">
        <v>7</v>
      </c>
      <c r="D30" s="199" t="s">
        <v>218</v>
      </c>
      <c r="E30">
        <v>29</v>
      </c>
      <c r="F30">
        <v>3.12</v>
      </c>
      <c r="G30">
        <v>29</v>
      </c>
      <c r="H30" s="200" t="s">
        <v>218</v>
      </c>
    </row>
    <row r="31" spans="1:12" x14ac:dyDescent="0.15">
      <c r="A31" s="36" t="s">
        <v>169</v>
      </c>
      <c r="B31" s="44">
        <v>3.14</v>
      </c>
      <c r="D31" s="199" t="s">
        <v>219</v>
      </c>
      <c r="E31">
        <v>30</v>
      </c>
      <c r="F31">
        <v>3.21</v>
      </c>
      <c r="G31">
        <v>30</v>
      </c>
      <c r="H31" s="200" t="s">
        <v>219</v>
      </c>
    </row>
    <row r="32" spans="1:12" ht="12" customHeight="1" thickBot="1" x14ac:dyDescent="0.2">
      <c r="A32" s="42" t="s">
        <v>170</v>
      </c>
      <c r="B32" s="45">
        <v>9</v>
      </c>
      <c r="D32" s="199" t="s">
        <v>220</v>
      </c>
      <c r="E32">
        <v>31</v>
      </c>
      <c r="F32">
        <v>3.21</v>
      </c>
      <c r="G32">
        <v>31</v>
      </c>
      <c r="H32" s="200" t="s">
        <v>220</v>
      </c>
    </row>
    <row r="33" spans="4:8" customFormat="1" ht="12" customHeight="1" x14ac:dyDescent="0.15">
      <c r="D33" s="199" t="s">
        <v>221</v>
      </c>
      <c r="E33">
        <v>32</v>
      </c>
      <c r="F33">
        <v>3</v>
      </c>
      <c r="G33">
        <v>32</v>
      </c>
      <c r="H33" s="200" t="s">
        <v>221</v>
      </c>
    </row>
    <row r="34" spans="4:8" customFormat="1" ht="12" customHeight="1" x14ac:dyDescent="0.15">
      <c r="D34" s="199" t="s">
        <v>222</v>
      </c>
      <c r="E34">
        <v>33</v>
      </c>
      <c r="F34">
        <v>3.21</v>
      </c>
      <c r="G34">
        <v>33</v>
      </c>
      <c r="H34" s="200" t="s">
        <v>222</v>
      </c>
    </row>
    <row r="35" spans="4:8" customFormat="1" x14ac:dyDescent="0.15">
      <c r="D35" s="199" t="s">
        <v>223</v>
      </c>
      <c r="E35">
        <v>34</v>
      </c>
      <c r="F35">
        <v>3.21</v>
      </c>
      <c r="G35">
        <v>34</v>
      </c>
      <c r="H35" s="200" t="s">
        <v>223</v>
      </c>
    </row>
    <row r="36" spans="4:8" customFormat="1" x14ac:dyDescent="0.15">
      <c r="D36" s="199" t="s">
        <v>224</v>
      </c>
      <c r="E36">
        <v>35</v>
      </c>
      <c r="F36">
        <v>3.21</v>
      </c>
      <c r="G36">
        <v>35</v>
      </c>
      <c r="H36" s="200" t="s">
        <v>224</v>
      </c>
    </row>
    <row r="37" spans="4:8" customFormat="1" ht="12" customHeight="1" x14ac:dyDescent="0.15">
      <c r="D37" s="199" t="s">
        <v>225</v>
      </c>
      <c r="E37">
        <v>36</v>
      </c>
      <c r="F37">
        <v>3.21</v>
      </c>
      <c r="G37">
        <v>36</v>
      </c>
      <c r="H37" s="200" t="s">
        <v>225</v>
      </c>
    </row>
    <row r="38" spans="4:8" customFormat="1" x14ac:dyDescent="0.15">
      <c r="D38" s="199" t="s">
        <v>226</v>
      </c>
      <c r="E38">
        <v>37</v>
      </c>
      <c r="F38">
        <v>3.21</v>
      </c>
      <c r="G38">
        <v>37</v>
      </c>
      <c r="H38" s="200" t="s">
        <v>226</v>
      </c>
    </row>
    <row r="39" spans="4:8" customFormat="1" x14ac:dyDescent="0.15">
      <c r="D39" s="199" t="s">
        <v>227</v>
      </c>
      <c r="E39">
        <v>38</v>
      </c>
      <c r="F39">
        <v>3.11</v>
      </c>
      <c r="G39">
        <v>38</v>
      </c>
      <c r="H39" s="200" t="s">
        <v>227</v>
      </c>
    </row>
    <row r="40" spans="4:8" customFormat="1" x14ac:dyDescent="0.15">
      <c r="D40" s="199" t="s">
        <v>228</v>
      </c>
      <c r="E40">
        <v>39</v>
      </c>
      <c r="F40">
        <v>3.11</v>
      </c>
      <c r="G40">
        <v>39</v>
      </c>
      <c r="H40" s="200" t="s">
        <v>228</v>
      </c>
    </row>
    <row r="41" spans="4:8" customFormat="1" x14ac:dyDescent="0.15">
      <c r="D41" s="199" t="s">
        <v>229</v>
      </c>
      <c r="E41">
        <v>40</v>
      </c>
      <c r="F41">
        <v>3.14</v>
      </c>
      <c r="G41">
        <v>40</v>
      </c>
      <c r="H41" s="200" t="s">
        <v>229</v>
      </c>
    </row>
    <row r="42" spans="4:8" customFormat="1" x14ac:dyDescent="0.15">
      <c r="D42" s="199" t="s">
        <v>230</v>
      </c>
      <c r="E42">
        <v>41</v>
      </c>
      <c r="F42">
        <v>9</v>
      </c>
      <c r="G42">
        <v>41</v>
      </c>
      <c r="H42" s="200" t="s">
        <v>230</v>
      </c>
    </row>
    <row r="43" spans="4:8" customFormat="1" x14ac:dyDescent="0.15">
      <c r="D43" s="199" t="s">
        <v>231</v>
      </c>
      <c r="E43">
        <v>42</v>
      </c>
      <c r="F43">
        <v>2.1</v>
      </c>
      <c r="G43">
        <v>42</v>
      </c>
      <c r="H43" s="200" t="s">
        <v>231</v>
      </c>
    </row>
    <row r="44" spans="4:8" customFormat="1" x14ac:dyDescent="0.15">
      <c r="D44" s="199" t="s">
        <v>232</v>
      </c>
      <c r="E44">
        <v>43</v>
      </c>
      <c r="F44">
        <v>2.2000000000000002</v>
      </c>
      <c r="G44">
        <v>43</v>
      </c>
      <c r="H44" s="200" t="s">
        <v>232</v>
      </c>
    </row>
    <row r="45" spans="4:8" customFormat="1" x14ac:dyDescent="0.15">
      <c r="D45" s="199" t="s">
        <v>233</v>
      </c>
      <c r="E45">
        <v>44</v>
      </c>
      <c r="F45">
        <v>2</v>
      </c>
      <c r="G45">
        <v>44</v>
      </c>
      <c r="H45" s="200" t="s">
        <v>233</v>
      </c>
    </row>
    <row r="46" spans="4:8" customFormat="1" x14ac:dyDescent="0.15">
      <c r="D46" s="199" t="s">
        <v>234</v>
      </c>
      <c r="E46">
        <v>45</v>
      </c>
      <c r="F46">
        <v>4.2</v>
      </c>
      <c r="G46">
        <v>45</v>
      </c>
      <c r="H46" s="200" t="s">
        <v>234</v>
      </c>
    </row>
    <row r="47" spans="4:8" customFormat="1" x14ac:dyDescent="0.15">
      <c r="D47" s="199" t="s">
        <v>235</v>
      </c>
      <c r="E47">
        <v>46</v>
      </c>
      <c r="F47">
        <v>4.0999999999999996</v>
      </c>
      <c r="G47">
        <v>46</v>
      </c>
      <c r="H47" s="200" t="s">
        <v>235</v>
      </c>
    </row>
    <row r="48" spans="4:8" customFormat="1" x14ac:dyDescent="0.15">
      <c r="D48" s="199" t="s">
        <v>236</v>
      </c>
      <c r="E48">
        <v>47</v>
      </c>
      <c r="F48">
        <v>4.3</v>
      </c>
      <c r="G48">
        <v>47</v>
      </c>
      <c r="H48" s="200" t="s">
        <v>236</v>
      </c>
    </row>
    <row r="49" spans="4:8" customFormat="1" x14ac:dyDescent="0.15">
      <c r="D49" s="199" t="s">
        <v>201</v>
      </c>
      <c r="E49">
        <v>48</v>
      </c>
      <c r="F49">
        <v>5</v>
      </c>
      <c r="G49">
        <v>48</v>
      </c>
      <c r="H49" s="200" t="s">
        <v>201</v>
      </c>
    </row>
    <row r="50" spans="4:8" customFormat="1" ht="12" customHeight="1" x14ac:dyDescent="0.15">
      <c r="D50" s="199" t="s">
        <v>237</v>
      </c>
      <c r="E50">
        <v>49</v>
      </c>
      <c r="F50">
        <v>5</v>
      </c>
      <c r="G50">
        <v>49</v>
      </c>
      <c r="H50" s="200" t="s">
        <v>237</v>
      </c>
    </row>
    <row r="51" spans="4:8" customFormat="1" x14ac:dyDescent="0.15">
      <c r="D51" s="199" t="s">
        <v>203</v>
      </c>
      <c r="E51">
        <v>50</v>
      </c>
      <c r="F51">
        <v>5</v>
      </c>
      <c r="G51">
        <v>50</v>
      </c>
      <c r="H51" s="200" t="s">
        <v>203</v>
      </c>
    </row>
    <row r="52" spans="4:8" customFormat="1" ht="12" customHeight="1" x14ac:dyDescent="0.15">
      <c r="D52" s="199" t="s">
        <v>211</v>
      </c>
      <c r="E52">
        <v>51</v>
      </c>
      <c r="F52">
        <v>5</v>
      </c>
      <c r="G52">
        <v>51</v>
      </c>
      <c r="H52" s="200" t="s">
        <v>211</v>
      </c>
    </row>
    <row r="53" spans="4:8" customFormat="1" x14ac:dyDescent="0.15">
      <c r="D53" s="199" t="s">
        <v>212</v>
      </c>
      <c r="E53">
        <v>52</v>
      </c>
      <c r="F53">
        <v>5</v>
      </c>
      <c r="G53">
        <v>52</v>
      </c>
      <c r="H53" s="200" t="s">
        <v>212</v>
      </c>
    </row>
    <row r="54" spans="4:8" customFormat="1" ht="12" customHeight="1" x14ac:dyDescent="0.15">
      <c r="D54" s="199" t="s">
        <v>213</v>
      </c>
      <c r="E54">
        <v>53</v>
      </c>
      <c r="F54">
        <v>5</v>
      </c>
      <c r="G54">
        <v>53</v>
      </c>
      <c r="H54" s="200" t="s">
        <v>213</v>
      </c>
    </row>
    <row r="55" spans="4:8" customFormat="1" ht="12" customHeight="1" x14ac:dyDescent="0.15">
      <c r="D55" s="199" t="s">
        <v>214</v>
      </c>
      <c r="E55">
        <v>54</v>
      </c>
      <c r="F55">
        <v>5</v>
      </c>
      <c r="G55">
        <v>54</v>
      </c>
      <c r="H55" s="200" t="s">
        <v>214</v>
      </c>
    </row>
    <row r="56" spans="4:8" customFormat="1" x14ac:dyDescent="0.15">
      <c r="D56" s="199" t="s">
        <v>206</v>
      </c>
      <c r="E56">
        <v>55</v>
      </c>
      <c r="F56">
        <v>5</v>
      </c>
      <c r="G56">
        <v>55</v>
      </c>
      <c r="H56" s="200" t="s">
        <v>206</v>
      </c>
    </row>
    <row r="57" spans="4:8" customFormat="1" x14ac:dyDescent="0.15">
      <c r="D57" s="199" t="s">
        <v>205</v>
      </c>
      <c r="E57">
        <v>56</v>
      </c>
      <c r="F57">
        <v>5</v>
      </c>
      <c r="G57">
        <v>56</v>
      </c>
      <c r="H57" s="200" t="s">
        <v>205</v>
      </c>
    </row>
    <row r="58" spans="4:8" customFormat="1" x14ac:dyDescent="0.15">
      <c r="D58" s="199" t="s">
        <v>219</v>
      </c>
      <c r="E58">
        <v>57</v>
      </c>
      <c r="F58">
        <v>5</v>
      </c>
      <c r="G58">
        <v>57</v>
      </c>
      <c r="H58" s="200" t="s">
        <v>219</v>
      </c>
    </row>
    <row r="59" spans="4:8" customFormat="1" x14ac:dyDescent="0.15">
      <c r="D59" s="199" t="s">
        <v>238</v>
      </c>
      <c r="E59">
        <v>58</v>
      </c>
      <c r="F59">
        <v>5</v>
      </c>
      <c r="G59">
        <v>58</v>
      </c>
      <c r="H59" s="200" t="s">
        <v>238</v>
      </c>
    </row>
    <row r="60" spans="4:8" customFormat="1" x14ac:dyDescent="0.15">
      <c r="D60" s="199" t="s">
        <v>138</v>
      </c>
      <c r="E60">
        <v>59</v>
      </c>
      <c r="F60">
        <v>6.1</v>
      </c>
      <c r="G60">
        <v>59</v>
      </c>
      <c r="H60" s="200" t="s">
        <v>138</v>
      </c>
    </row>
    <row r="61" spans="4:8" customFormat="1" x14ac:dyDescent="0.15">
      <c r="D61" s="199" t="s">
        <v>45</v>
      </c>
      <c r="E61">
        <v>60</v>
      </c>
      <c r="F61">
        <v>6.2</v>
      </c>
      <c r="G61">
        <v>60</v>
      </c>
      <c r="H61" s="200" t="s">
        <v>45</v>
      </c>
    </row>
    <row r="62" spans="4:8" customFormat="1" x14ac:dyDescent="0.15"/>
    <row r="63" spans="4:8" customFormat="1" x14ac:dyDescent="0.15"/>
    <row r="64" spans="4:8"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15" style="84" bestFit="1" customWidth="1"/>
    <col min="2" max="2" width="12.83203125" style="83" customWidth="1"/>
    <col min="3" max="3" width="15" style="83" customWidth="1"/>
    <col min="4" max="4" width="11.83203125" style="83" customWidth="1"/>
    <col min="5" max="5" width="12.83203125" style="83" customWidth="1"/>
    <col min="6" max="6" width="44.1640625" style="83" bestFit="1" customWidth="1"/>
    <col min="7" max="9" width="2.33203125" style="83" customWidth="1"/>
    <col min="10" max="10" width="2.33203125" style="83" bestFit="1" customWidth="1"/>
    <col min="11" max="15" width="2.33203125" style="83" customWidth="1"/>
    <col min="16" max="16" width="2.33203125" style="72" customWidth="1"/>
    <col min="17" max="17" width="2.33203125" style="83" customWidth="1"/>
    <col min="18" max="18" width="2.33203125" style="73" customWidth="1"/>
    <col min="19" max="16384" width="11.5" style="83"/>
  </cols>
  <sheetData>
    <row r="1" spans="1:23" ht="15" customHeight="1" thickBot="1" x14ac:dyDescent="0.2">
      <c r="F1" s="1"/>
      <c r="G1" s="70" t="s">
        <v>46</v>
      </c>
      <c r="H1" s="70" t="s">
        <v>47</v>
      </c>
      <c r="I1" s="70" t="s">
        <v>120</v>
      </c>
      <c r="J1" s="70" t="s">
        <v>132</v>
      </c>
      <c r="K1" s="85" t="s">
        <v>48</v>
      </c>
      <c r="L1" s="73"/>
      <c r="M1" s="85" t="s">
        <v>119</v>
      </c>
      <c r="N1" s="73"/>
      <c r="O1" s="85" t="s">
        <v>49</v>
      </c>
      <c r="P1" s="75"/>
      <c r="Q1" s="85" t="s">
        <v>50</v>
      </c>
      <c r="R1" s="70" t="s">
        <v>154</v>
      </c>
    </row>
    <row r="2" spans="1:23" ht="15" customHeight="1" x14ac:dyDescent="0.15">
      <c r="A2" s="85" t="s">
        <v>51</v>
      </c>
      <c r="B2" s="86">
        <v>0.5</v>
      </c>
      <c r="C2" s="84" t="s">
        <v>52</v>
      </c>
      <c r="D2" s="87"/>
      <c r="F2" s="1"/>
      <c r="G2" s="88"/>
      <c r="H2" s="88"/>
      <c r="I2" s="88" t="s">
        <v>133</v>
      </c>
      <c r="J2" s="88" t="s">
        <v>133</v>
      </c>
      <c r="K2" s="88" t="s">
        <v>52</v>
      </c>
      <c r="L2" s="88" t="s">
        <v>53</v>
      </c>
      <c r="M2" s="88" t="s">
        <v>52</v>
      </c>
      <c r="N2" s="88" t="s">
        <v>53</v>
      </c>
      <c r="O2" s="88" t="s">
        <v>52</v>
      </c>
      <c r="P2" s="89" t="s">
        <v>53</v>
      </c>
      <c r="Q2" s="88"/>
      <c r="R2" s="90" t="s">
        <v>155</v>
      </c>
    </row>
    <row r="3" spans="1:23" ht="15" customHeight="1" thickBot="1" x14ac:dyDescent="0.2">
      <c r="A3" s="85" t="s">
        <v>54</v>
      </c>
      <c r="B3" s="91">
        <v>0.5</v>
      </c>
      <c r="C3" s="84" t="s">
        <v>53</v>
      </c>
      <c r="D3" s="87"/>
      <c r="F3" t="s">
        <v>38</v>
      </c>
      <c r="G3">
        <v>0</v>
      </c>
      <c r="H3">
        <v>0</v>
      </c>
      <c r="I3">
        <v>0</v>
      </c>
      <c r="J3">
        <v>0</v>
      </c>
      <c r="K3">
        <v>0</v>
      </c>
      <c r="L3">
        <v>0</v>
      </c>
      <c r="M3">
        <v>0</v>
      </c>
      <c r="N3">
        <v>0</v>
      </c>
      <c r="O3">
        <v>0</v>
      </c>
      <c r="P3">
        <v>0</v>
      </c>
      <c r="Q3" s="139">
        <v>0</v>
      </c>
      <c r="R3" s="38">
        <v>0</v>
      </c>
    </row>
    <row r="4" spans="1:23" ht="15" customHeight="1" thickBot="1" x14ac:dyDescent="0.2">
      <c r="F4" t="s">
        <v>40</v>
      </c>
      <c r="G4">
        <v>0</v>
      </c>
      <c r="H4">
        <v>0</v>
      </c>
      <c r="I4">
        <v>0</v>
      </c>
      <c r="J4">
        <v>0</v>
      </c>
      <c r="K4">
        <v>0</v>
      </c>
      <c r="L4">
        <v>0</v>
      </c>
      <c r="M4">
        <v>0</v>
      </c>
      <c r="N4">
        <v>0</v>
      </c>
      <c r="O4">
        <v>0</v>
      </c>
      <c r="P4">
        <v>0</v>
      </c>
      <c r="Q4" s="139">
        <v>0</v>
      </c>
      <c r="R4" s="113">
        <v>0</v>
      </c>
    </row>
    <row r="5" spans="1:23" ht="15" customHeight="1" x14ac:dyDescent="0.15">
      <c r="A5" s="85" t="s">
        <v>55</v>
      </c>
      <c r="B5" s="92">
        <v>0.5</v>
      </c>
      <c r="C5" s="84" t="s">
        <v>52</v>
      </c>
      <c r="D5" s="87"/>
      <c r="F5" t="s">
        <v>41</v>
      </c>
      <c r="G5">
        <v>0</v>
      </c>
      <c r="H5">
        <v>0</v>
      </c>
      <c r="I5">
        <v>0</v>
      </c>
      <c r="J5">
        <v>0</v>
      </c>
      <c r="K5">
        <v>0</v>
      </c>
      <c r="L5">
        <v>0</v>
      </c>
      <c r="M5">
        <v>0</v>
      </c>
      <c r="N5">
        <v>0</v>
      </c>
      <c r="O5">
        <v>0</v>
      </c>
      <c r="P5">
        <v>0</v>
      </c>
      <c r="Q5" s="139">
        <v>0</v>
      </c>
      <c r="R5" s="113">
        <v>0</v>
      </c>
    </row>
    <row r="6" spans="1:23" ht="15" customHeight="1" thickBot="1" x14ac:dyDescent="0.2">
      <c r="A6" s="85"/>
      <c r="B6" s="93">
        <v>0.5</v>
      </c>
      <c r="C6" s="84" t="s">
        <v>53</v>
      </c>
      <c r="D6" s="87"/>
      <c r="F6" s="201" t="s">
        <v>193</v>
      </c>
      <c r="G6" s="83">
        <v>0</v>
      </c>
      <c r="H6" s="83">
        <v>0</v>
      </c>
      <c r="I6" s="83">
        <v>0</v>
      </c>
      <c r="J6" s="83">
        <v>0</v>
      </c>
      <c r="K6" s="83">
        <v>1</v>
      </c>
      <c r="L6" s="83">
        <v>0</v>
      </c>
      <c r="M6" s="83">
        <v>1</v>
      </c>
      <c r="N6" s="83">
        <v>0</v>
      </c>
      <c r="O6" s="83">
        <v>1</v>
      </c>
      <c r="P6" s="72">
        <v>0</v>
      </c>
      <c r="Q6" s="83">
        <v>0</v>
      </c>
      <c r="R6" s="73">
        <v>1</v>
      </c>
      <c r="S6"/>
      <c r="T6"/>
    </row>
    <row r="7" spans="1:23" ht="15" customHeight="1" thickBot="1" x14ac:dyDescent="0.2">
      <c r="F7" s="201" t="s">
        <v>194</v>
      </c>
      <c r="G7" s="83">
        <v>0</v>
      </c>
      <c r="H7" s="83">
        <v>0</v>
      </c>
      <c r="I7" s="83">
        <v>0</v>
      </c>
      <c r="J7" s="83">
        <v>0</v>
      </c>
      <c r="K7" s="83">
        <v>1</v>
      </c>
      <c r="L7" s="83">
        <v>0</v>
      </c>
      <c r="M7" s="83">
        <v>1</v>
      </c>
      <c r="N7" s="83">
        <v>0</v>
      </c>
      <c r="O7" s="83">
        <v>1</v>
      </c>
      <c r="P7" s="72">
        <v>0</v>
      </c>
      <c r="Q7" s="83">
        <v>0</v>
      </c>
      <c r="R7" s="73">
        <v>1</v>
      </c>
      <c r="S7"/>
      <c r="T7"/>
    </row>
    <row r="8" spans="1:23" ht="15" customHeight="1" x14ac:dyDescent="0.15">
      <c r="A8" s="85" t="s">
        <v>56</v>
      </c>
      <c r="B8" s="92">
        <v>0.53066507098464355</v>
      </c>
      <c r="C8" s="202" t="s">
        <v>231</v>
      </c>
      <c r="D8" s="87" t="s">
        <v>160</v>
      </c>
      <c r="F8" s="201" t="s">
        <v>195</v>
      </c>
      <c r="G8" s="83">
        <v>0</v>
      </c>
      <c r="H8" s="83">
        <v>0</v>
      </c>
      <c r="I8" s="83">
        <v>0</v>
      </c>
      <c r="J8" s="83">
        <v>0</v>
      </c>
      <c r="K8" s="83">
        <v>1</v>
      </c>
      <c r="L8" s="83">
        <v>0</v>
      </c>
      <c r="M8" s="83">
        <v>1</v>
      </c>
      <c r="N8" s="83">
        <v>0</v>
      </c>
      <c r="O8" s="83">
        <v>1</v>
      </c>
      <c r="P8" s="72">
        <v>0</v>
      </c>
      <c r="Q8" s="83">
        <v>0</v>
      </c>
      <c r="R8" s="73">
        <v>1</v>
      </c>
      <c r="S8"/>
      <c r="T8"/>
      <c r="W8"/>
    </row>
    <row r="9" spans="1:23" ht="15" customHeight="1" x14ac:dyDescent="0.15">
      <c r="A9" s="127" t="s">
        <v>168</v>
      </c>
      <c r="B9" s="94">
        <v>0.46890286818152965</v>
      </c>
      <c r="C9" s="202" t="s">
        <v>232</v>
      </c>
      <c r="D9" s="87" t="s">
        <v>160</v>
      </c>
      <c r="F9" s="201" t="s">
        <v>196</v>
      </c>
      <c r="G9" s="83">
        <v>0</v>
      </c>
      <c r="H9" s="83">
        <v>0</v>
      </c>
      <c r="I9" s="83">
        <v>0</v>
      </c>
      <c r="J9" s="83">
        <v>0</v>
      </c>
      <c r="K9" s="83">
        <v>1</v>
      </c>
      <c r="L9" s="83">
        <v>0</v>
      </c>
      <c r="M9" s="83">
        <v>1</v>
      </c>
      <c r="N9" s="83">
        <v>0</v>
      </c>
      <c r="O9" s="83">
        <v>1</v>
      </c>
      <c r="P9" s="72">
        <v>0</v>
      </c>
      <c r="Q9" s="83">
        <v>0</v>
      </c>
      <c r="R9" s="73">
        <v>1</v>
      </c>
      <c r="S9"/>
      <c r="T9"/>
      <c r="W9"/>
    </row>
    <row r="10" spans="1:23" ht="15" customHeight="1" x14ac:dyDescent="0.15">
      <c r="B10" s="94">
        <v>4.3206083382675808E-4</v>
      </c>
      <c r="C10" s="202" t="s">
        <v>233</v>
      </c>
      <c r="D10" s="87" t="s">
        <v>160</v>
      </c>
      <c r="F10" s="201" t="s">
        <v>197</v>
      </c>
      <c r="G10" s="83">
        <v>0</v>
      </c>
      <c r="H10" s="83">
        <v>0</v>
      </c>
      <c r="I10" s="83">
        <v>0</v>
      </c>
      <c r="J10" s="83">
        <v>0</v>
      </c>
      <c r="K10" s="83">
        <v>1</v>
      </c>
      <c r="L10" s="83">
        <v>0</v>
      </c>
      <c r="M10" s="83">
        <v>1</v>
      </c>
      <c r="N10" s="83">
        <v>0</v>
      </c>
      <c r="O10" s="83">
        <v>1</v>
      </c>
      <c r="P10" s="72">
        <v>0</v>
      </c>
      <c r="Q10" s="83">
        <v>0</v>
      </c>
      <c r="R10" s="73">
        <v>1</v>
      </c>
      <c r="S10"/>
      <c r="T10"/>
      <c r="W10"/>
    </row>
    <row r="11" spans="1:23" ht="15" customHeight="1" x14ac:dyDescent="0.15">
      <c r="A11" s="85"/>
      <c r="B11" s="94"/>
      <c r="C11" s="97"/>
      <c r="D11" s="87" t="s">
        <v>160</v>
      </c>
      <c r="F11" s="201" t="s">
        <v>198</v>
      </c>
      <c r="G11" s="83">
        <v>0</v>
      </c>
      <c r="H11" s="83">
        <v>0</v>
      </c>
      <c r="I11" s="83">
        <v>0</v>
      </c>
      <c r="J11" s="83">
        <v>0</v>
      </c>
      <c r="K11" s="83">
        <v>1</v>
      </c>
      <c r="L11" s="83">
        <v>0</v>
      </c>
      <c r="M11" s="83">
        <v>1</v>
      </c>
      <c r="N11" s="83">
        <v>0</v>
      </c>
      <c r="O11" s="83">
        <v>1</v>
      </c>
      <c r="P11" s="72">
        <v>0</v>
      </c>
      <c r="Q11" s="83">
        <v>0</v>
      </c>
      <c r="R11" s="73">
        <v>1</v>
      </c>
      <c r="S11"/>
      <c r="T11"/>
      <c r="W11"/>
    </row>
    <row r="12" spans="1:23" ht="15" customHeight="1" x14ac:dyDescent="0.15">
      <c r="B12" s="94"/>
      <c r="C12" s="98"/>
      <c r="D12" s="87" t="s">
        <v>160</v>
      </c>
      <c r="F12" s="201" t="s">
        <v>199</v>
      </c>
      <c r="G12" s="83">
        <v>0</v>
      </c>
      <c r="H12" s="83">
        <v>0</v>
      </c>
      <c r="I12" s="83">
        <v>0</v>
      </c>
      <c r="J12" s="83">
        <v>0</v>
      </c>
      <c r="K12" s="83">
        <v>1</v>
      </c>
      <c r="L12" s="83">
        <v>0</v>
      </c>
      <c r="M12" s="83">
        <v>1</v>
      </c>
      <c r="N12" s="83">
        <v>0</v>
      </c>
      <c r="O12" s="83">
        <v>1</v>
      </c>
      <c r="P12" s="72">
        <v>0</v>
      </c>
      <c r="Q12" s="83">
        <v>0</v>
      </c>
      <c r="R12" s="73">
        <v>1</v>
      </c>
      <c r="S12"/>
      <c r="T12"/>
      <c r="W12"/>
    </row>
    <row r="13" spans="1:23" ht="15" customHeight="1" x14ac:dyDescent="0.15">
      <c r="B13" s="94"/>
      <c r="C13" s="98"/>
      <c r="D13" s="87" t="s">
        <v>160</v>
      </c>
      <c r="F13" s="201" t="s">
        <v>200</v>
      </c>
      <c r="G13" s="83">
        <v>0</v>
      </c>
      <c r="H13" s="83">
        <v>0</v>
      </c>
      <c r="I13" s="83">
        <v>0</v>
      </c>
      <c r="J13" s="83">
        <v>0</v>
      </c>
      <c r="K13" s="83">
        <v>1</v>
      </c>
      <c r="L13" s="83">
        <v>0</v>
      </c>
      <c r="M13" s="83">
        <v>1</v>
      </c>
      <c r="N13" s="83">
        <v>0</v>
      </c>
      <c r="O13" s="83">
        <v>1</v>
      </c>
      <c r="P13" s="72">
        <v>0</v>
      </c>
      <c r="Q13" s="83">
        <v>0</v>
      </c>
      <c r="R13" s="73">
        <v>1</v>
      </c>
      <c r="S13"/>
      <c r="T13"/>
      <c r="W13"/>
    </row>
    <row r="14" spans="1:23" ht="15" customHeight="1" x14ac:dyDescent="0.15">
      <c r="B14" s="94"/>
      <c r="C14" s="82"/>
      <c r="D14" s="87" t="s">
        <v>160</v>
      </c>
      <c r="F14" s="201" t="s">
        <v>201</v>
      </c>
      <c r="G14" s="83">
        <v>0</v>
      </c>
      <c r="H14" s="83">
        <v>0</v>
      </c>
      <c r="I14" s="83">
        <v>0</v>
      </c>
      <c r="J14" s="83">
        <v>0</v>
      </c>
      <c r="K14" s="83">
        <v>1</v>
      </c>
      <c r="L14" s="83">
        <v>0</v>
      </c>
      <c r="M14" s="83">
        <v>1</v>
      </c>
      <c r="N14" s="83">
        <v>0</v>
      </c>
      <c r="O14" s="83">
        <v>1</v>
      </c>
      <c r="P14" s="72">
        <v>0</v>
      </c>
      <c r="Q14" s="83">
        <v>0</v>
      </c>
      <c r="R14" s="73">
        <v>1</v>
      </c>
      <c r="S14"/>
      <c r="T14"/>
      <c r="W14"/>
    </row>
    <row r="15" spans="1:23" ht="15" customHeight="1" x14ac:dyDescent="0.15">
      <c r="B15" s="94"/>
      <c r="C15" s="82"/>
      <c r="D15" s="87" t="s">
        <v>160</v>
      </c>
      <c r="F15" s="201" t="s">
        <v>202</v>
      </c>
      <c r="G15" s="83">
        <v>0</v>
      </c>
      <c r="H15" s="83">
        <v>0</v>
      </c>
      <c r="I15" s="83">
        <v>0</v>
      </c>
      <c r="J15" s="83">
        <v>0</v>
      </c>
      <c r="K15" s="83">
        <v>1</v>
      </c>
      <c r="L15" s="83">
        <v>0</v>
      </c>
      <c r="M15" s="83">
        <v>1</v>
      </c>
      <c r="N15" s="83">
        <v>0</v>
      </c>
      <c r="O15" s="83">
        <v>1</v>
      </c>
      <c r="P15" s="72">
        <v>0</v>
      </c>
      <c r="Q15" s="83">
        <v>0</v>
      </c>
      <c r="R15" s="73">
        <v>1</v>
      </c>
      <c r="S15"/>
      <c r="T15"/>
      <c r="W15"/>
    </row>
    <row r="16" spans="1:23" ht="15" customHeight="1" x14ac:dyDescent="0.15">
      <c r="B16" s="94"/>
      <c r="C16" s="82"/>
      <c r="D16" s="87" t="s">
        <v>160</v>
      </c>
      <c r="F16" s="201" t="s">
        <v>203</v>
      </c>
      <c r="G16" s="83">
        <v>0</v>
      </c>
      <c r="H16" s="83">
        <v>0</v>
      </c>
      <c r="I16" s="83">
        <v>0</v>
      </c>
      <c r="J16" s="83">
        <v>0</v>
      </c>
      <c r="K16" s="83">
        <v>1</v>
      </c>
      <c r="L16" s="83">
        <v>0</v>
      </c>
      <c r="M16" s="83">
        <v>1</v>
      </c>
      <c r="N16" s="83">
        <v>0</v>
      </c>
      <c r="O16" s="83">
        <v>1</v>
      </c>
      <c r="P16" s="72">
        <v>0</v>
      </c>
      <c r="Q16" s="83">
        <v>0</v>
      </c>
      <c r="R16" s="73">
        <v>1</v>
      </c>
      <c r="S16"/>
      <c r="T16"/>
    </row>
    <row r="17" spans="1:20" ht="15" customHeight="1" thickBot="1" x14ac:dyDescent="0.2">
      <c r="B17" s="93"/>
      <c r="C17" s="82"/>
      <c r="D17" s="87" t="s">
        <v>160</v>
      </c>
      <c r="F17" s="201" t="s">
        <v>204</v>
      </c>
      <c r="G17" s="83">
        <v>0</v>
      </c>
      <c r="H17" s="83">
        <v>0</v>
      </c>
      <c r="I17" s="83">
        <v>0</v>
      </c>
      <c r="J17" s="83">
        <v>0</v>
      </c>
      <c r="K17" s="83">
        <v>1</v>
      </c>
      <c r="L17" s="83">
        <v>0</v>
      </c>
      <c r="M17" s="83">
        <v>1</v>
      </c>
      <c r="N17" s="83">
        <v>0</v>
      </c>
      <c r="O17" s="83">
        <v>1</v>
      </c>
      <c r="P17" s="72">
        <v>0</v>
      </c>
      <c r="Q17" s="83">
        <v>0</v>
      </c>
      <c r="R17" s="73">
        <v>1</v>
      </c>
      <c r="S17"/>
      <c r="T17"/>
    </row>
    <row r="18" spans="1:20" ht="15" customHeight="1" thickBot="1" x14ac:dyDescent="0.2">
      <c r="B18" s="95"/>
      <c r="F18" s="201" t="s">
        <v>205</v>
      </c>
      <c r="G18" s="83">
        <v>0</v>
      </c>
      <c r="H18" s="83">
        <v>0</v>
      </c>
      <c r="I18" s="83">
        <v>0</v>
      </c>
      <c r="J18" s="83">
        <v>0</v>
      </c>
      <c r="K18" s="83">
        <v>1</v>
      </c>
      <c r="L18" s="83">
        <v>0</v>
      </c>
      <c r="M18" s="83">
        <v>1</v>
      </c>
      <c r="N18" s="83">
        <v>0</v>
      </c>
      <c r="O18" s="83">
        <v>1</v>
      </c>
      <c r="P18" s="72">
        <v>0</v>
      </c>
      <c r="Q18" s="83">
        <v>0</v>
      </c>
      <c r="R18" s="73">
        <v>1</v>
      </c>
      <c r="S18"/>
      <c r="T18"/>
    </row>
    <row r="19" spans="1:20" ht="15" customHeight="1" x14ac:dyDescent="0.15">
      <c r="A19" s="85" t="s">
        <v>57</v>
      </c>
      <c r="B19" s="92">
        <v>0.53066507098464355</v>
      </c>
      <c r="C19" s="203" t="s">
        <v>231</v>
      </c>
      <c r="D19" s="87" t="s">
        <v>160</v>
      </c>
      <c r="F19" s="201" t="s">
        <v>206</v>
      </c>
      <c r="G19" s="83">
        <v>0</v>
      </c>
      <c r="H19" s="83">
        <v>0</v>
      </c>
      <c r="I19" s="83">
        <v>0</v>
      </c>
      <c r="J19" s="83">
        <v>0</v>
      </c>
      <c r="K19" s="83">
        <v>1</v>
      </c>
      <c r="L19" s="83">
        <v>0</v>
      </c>
      <c r="M19" s="83">
        <v>1</v>
      </c>
      <c r="N19" s="83">
        <v>0</v>
      </c>
      <c r="O19" s="83">
        <v>1</v>
      </c>
      <c r="P19" s="72">
        <v>0</v>
      </c>
      <c r="Q19" s="83">
        <v>0</v>
      </c>
      <c r="R19" s="73">
        <v>1</v>
      </c>
      <c r="S19"/>
      <c r="T19"/>
    </row>
    <row r="20" spans="1:20" ht="15" customHeight="1" x14ac:dyDescent="0.15">
      <c r="A20" s="127" t="s">
        <v>168</v>
      </c>
      <c r="B20" s="94">
        <v>0.46890286818152965</v>
      </c>
      <c r="C20" s="203" t="s">
        <v>232</v>
      </c>
      <c r="D20" s="87" t="s">
        <v>160</v>
      </c>
      <c r="F20" s="201" t="s">
        <v>207</v>
      </c>
      <c r="G20" s="83">
        <v>0</v>
      </c>
      <c r="H20" s="83">
        <v>0</v>
      </c>
      <c r="I20" s="83">
        <v>0</v>
      </c>
      <c r="J20" s="83">
        <v>0</v>
      </c>
      <c r="K20" s="83">
        <v>1</v>
      </c>
      <c r="L20" s="83">
        <v>0</v>
      </c>
      <c r="M20" s="83">
        <v>1</v>
      </c>
      <c r="N20" s="83">
        <v>0</v>
      </c>
      <c r="O20" s="83">
        <v>1</v>
      </c>
      <c r="P20" s="72">
        <v>0</v>
      </c>
      <c r="Q20" s="83">
        <v>0</v>
      </c>
      <c r="R20" s="73">
        <v>1</v>
      </c>
      <c r="S20"/>
      <c r="T20"/>
    </row>
    <row r="21" spans="1:20" ht="15" customHeight="1" x14ac:dyDescent="0.15">
      <c r="B21" s="94">
        <v>4.3206083382675808E-4</v>
      </c>
      <c r="C21" s="203" t="s">
        <v>233</v>
      </c>
      <c r="D21" s="87" t="s">
        <v>160</v>
      </c>
      <c r="F21" s="201" t="s">
        <v>208</v>
      </c>
      <c r="G21" s="83">
        <v>0</v>
      </c>
      <c r="H21" s="83">
        <v>0</v>
      </c>
      <c r="I21" s="83">
        <v>0</v>
      </c>
      <c r="J21" s="83">
        <v>0</v>
      </c>
      <c r="K21" s="83">
        <v>1</v>
      </c>
      <c r="L21" s="83">
        <v>0</v>
      </c>
      <c r="M21" s="83">
        <v>1</v>
      </c>
      <c r="N21" s="83">
        <v>0</v>
      </c>
      <c r="O21" s="83">
        <v>1</v>
      </c>
      <c r="P21" s="72">
        <v>0</v>
      </c>
      <c r="Q21" s="83">
        <v>0</v>
      </c>
      <c r="R21" s="73">
        <v>1</v>
      </c>
      <c r="S21"/>
      <c r="T21"/>
    </row>
    <row r="22" spans="1:20" ht="15" customHeight="1" x14ac:dyDescent="0.15">
      <c r="A22" s="83"/>
      <c r="B22" s="94"/>
      <c r="C22" s="97"/>
      <c r="D22" s="87" t="s">
        <v>160</v>
      </c>
      <c r="F22" s="201" t="s">
        <v>209</v>
      </c>
      <c r="G22" s="83">
        <v>0</v>
      </c>
      <c r="H22" s="83">
        <v>0</v>
      </c>
      <c r="I22" s="83">
        <v>0</v>
      </c>
      <c r="J22" s="83">
        <v>0</v>
      </c>
      <c r="K22" s="83">
        <v>1</v>
      </c>
      <c r="L22" s="83">
        <v>0</v>
      </c>
      <c r="M22" s="83">
        <v>1</v>
      </c>
      <c r="N22" s="83">
        <v>0</v>
      </c>
      <c r="O22" s="83">
        <v>1</v>
      </c>
      <c r="P22" s="72">
        <v>0</v>
      </c>
      <c r="Q22" s="83">
        <v>0</v>
      </c>
      <c r="R22" s="73">
        <v>1</v>
      </c>
      <c r="S22"/>
      <c r="T22"/>
    </row>
    <row r="23" spans="1:20" ht="15" customHeight="1" x14ac:dyDescent="0.15">
      <c r="A23" s="83"/>
      <c r="B23" s="94"/>
      <c r="C23" s="98"/>
      <c r="D23" s="87" t="s">
        <v>160</v>
      </c>
      <c r="F23" s="201" t="s">
        <v>210</v>
      </c>
      <c r="G23" s="83">
        <v>0</v>
      </c>
      <c r="H23" s="83">
        <v>0</v>
      </c>
      <c r="I23" s="83">
        <v>0</v>
      </c>
      <c r="J23" s="83">
        <v>0</v>
      </c>
      <c r="K23" s="83">
        <v>1</v>
      </c>
      <c r="L23" s="83">
        <v>0</v>
      </c>
      <c r="M23" s="83">
        <v>1</v>
      </c>
      <c r="N23" s="83">
        <v>0</v>
      </c>
      <c r="O23" s="83">
        <v>1</v>
      </c>
      <c r="P23" s="72">
        <v>0</v>
      </c>
      <c r="Q23" s="83">
        <v>0</v>
      </c>
      <c r="R23" s="73">
        <v>1</v>
      </c>
      <c r="S23"/>
      <c r="T23"/>
    </row>
    <row r="24" spans="1:20" ht="15" customHeight="1" x14ac:dyDescent="0.15">
      <c r="A24" s="83"/>
      <c r="B24" s="94"/>
      <c r="C24" s="98"/>
      <c r="D24" s="87" t="s">
        <v>160</v>
      </c>
      <c r="F24" s="201" t="s">
        <v>211</v>
      </c>
      <c r="G24" s="83">
        <v>0</v>
      </c>
      <c r="H24" s="83">
        <v>0</v>
      </c>
      <c r="I24" s="83">
        <v>0</v>
      </c>
      <c r="J24" s="83">
        <v>0</v>
      </c>
      <c r="K24" s="83">
        <v>1</v>
      </c>
      <c r="L24" s="83">
        <v>0</v>
      </c>
      <c r="M24" s="83">
        <v>1</v>
      </c>
      <c r="N24" s="83">
        <v>0</v>
      </c>
      <c r="O24" s="83">
        <v>1</v>
      </c>
      <c r="P24" s="72">
        <v>0</v>
      </c>
      <c r="Q24" s="83">
        <v>0</v>
      </c>
      <c r="R24" s="73">
        <v>1</v>
      </c>
      <c r="S24"/>
      <c r="T24"/>
    </row>
    <row r="25" spans="1:20" ht="15" customHeight="1" x14ac:dyDescent="0.15">
      <c r="A25" s="83"/>
      <c r="B25" s="94"/>
      <c r="C25" s="82"/>
      <c r="D25" s="87" t="s">
        <v>160</v>
      </c>
      <c r="F25" s="201" t="s">
        <v>212</v>
      </c>
      <c r="G25" s="83">
        <v>0</v>
      </c>
      <c r="H25" s="83">
        <v>0</v>
      </c>
      <c r="I25" s="83">
        <v>0</v>
      </c>
      <c r="J25" s="83">
        <v>0</v>
      </c>
      <c r="K25" s="83">
        <v>1</v>
      </c>
      <c r="L25" s="83">
        <v>0</v>
      </c>
      <c r="M25" s="83">
        <v>1</v>
      </c>
      <c r="N25" s="83">
        <v>0</v>
      </c>
      <c r="O25" s="83">
        <v>1</v>
      </c>
      <c r="P25" s="72">
        <v>0</v>
      </c>
      <c r="Q25" s="83">
        <v>0</v>
      </c>
      <c r="R25" s="73">
        <v>1</v>
      </c>
      <c r="S25"/>
      <c r="T25"/>
    </row>
    <row r="26" spans="1:20" ht="15" customHeight="1" x14ac:dyDescent="0.15">
      <c r="B26" s="94"/>
      <c r="C26" s="82"/>
      <c r="D26" s="87" t="s">
        <v>160</v>
      </c>
      <c r="F26" s="201" t="s">
        <v>213</v>
      </c>
      <c r="G26" s="83">
        <v>0</v>
      </c>
      <c r="H26" s="83">
        <v>0</v>
      </c>
      <c r="I26" s="83">
        <v>0</v>
      </c>
      <c r="J26" s="83">
        <v>0</v>
      </c>
      <c r="K26" s="83">
        <v>1</v>
      </c>
      <c r="L26" s="83">
        <v>0</v>
      </c>
      <c r="M26" s="83">
        <v>1</v>
      </c>
      <c r="N26" s="83">
        <v>0</v>
      </c>
      <c r="O26" s="83">
        <v>1</v>
      </c>
      <c r="P26" s="72">
        <v>0</v>
      </c>
      <c r="Q26" s="83">
        <v>0</v>
      </c>
      <c r="R26" s="73">
        <v>1</v>
      </c>
      <c r="S26"/>
      <c r="T26"/>
    </row>
    <row r="27" spans="1:20" ht="15" customHeight="1" x14ac:dyDescent="0.15">
      <c r="B27" s="94"/>
      <c r="C27" s="82"/>
      <c r="D27" s="87" t="s">
        <v>160</v>
      </c>
      <c r="F27" s="201" t="s">
        <v>214</v>
      </c>
      <c r="G27" s="83">
        <v>0</v>
      </c>
      <c r="H27" s="83">
        <v>0</v>
      </c>
      <c r="I27" s="83">
        <v>0</v>
      </c>
      <c r="J27" s="83">
        <v>0</v>
      </c>
      <c r="K27" s="83">
        <v>1</v>
      </c>
      <c r="L27" s="83">
        <v>0</v>
      </c>
      <c r="M27" s="83">
        <v>1</v>
      </c>
      <c r="N27" s="83">
        <v>0</v>
      </c>
      <c r="O27" s="83">
        <v>1</v>
      </c>
      <c r="P27" s="72">
        <v>0</v>
      </c>
      <c r="Q27" s="83">
        <v>0</v>
      </c>
      <c r="R27" s="73">
        <v>1</v>
      </c>
      <c r="S27"/>
      <c r="T27"/>
    </row>
    <row r="28" spans="1:20" ht="15" customHeight="1" thickBot="1" x14ac:dyDescent="0.2">
      <c r="B28" s="93"/>
      <c r="C28" s="82"/>
      <c r="D28" s="87" t="s">
        <v>160</v>
      </c>
      <c r="F28" s="201" t="s">
        <v>215</v>
      </c>
      <c r="G28" s="83">
        <v>0</v>
      </c>
      <c r="H28" s="83">
        <v>0</v>
      </c>
      <c r="I28" s="83">
        <v>0</v>
      </c>
      <c r="J28" s="83">
        <v>0</v>
      </c>
      <c r="K28" s="83">
        <v>1</v>
      </c>
      <c r="L28" s="83">
        <v>0</v>
      </c>
      <c r="M28" s="83">
        <v>1</v>
      </c>
      <c r="N28" s="83">
        <v>0</v>
      </c>
      <c r="O28" s="83">
        <v>1</v>
      </c>
      <c r="P28" s="72">
        <v>0</v>
      </c>
      <c r="Q28" s="83">
        <v>0</v>
      </c>
      <c r="R28" s="73">
        <v>1</v>
      </c>
      <c r="S28"/>
      <c r="T28"/>
    </row>
    <row r="29" spans="1:20" ht="15" customHeight="1" x14ac:dyDescent="0.15">
      <c r="F29" s="201" t="s">
        <v>216</v>
      </c>
      <c r="G29" s="83">
        <v>0</v>
      </c>
      <c r="H29" s="83">
        <v>0</v>
      </c>
      <c r="I29" s="83">
        <v>0</v>
      </c>
      <c r="J29" s="83">
        <v>0</v>
      </c>
      <c r="K29" s="83">
        <v>1</v>
      </c>
      <c r="L29" s="83">
        <v>0</v>
      </c>
      <c r="M29" s="83">
        <v>1</v>
      </c>
      <c r="N29" s="83">
        <v>0</v>
      </c>
      <c r="O29" s="83">
        <v>1</v>
      </c>
      <c r="P29" s="72">
        <v>0</v>
      </c>
      <c r="Q29" s="83">
        <v>0</v>
      </c>
      <c r="R29" s="73">
        <v>1</v>
      </c>
      <c r="S29"/>
      <c r="T29"/>
    </row>
    <row r="30" spans="1:20" ht="15" customHeight="1" x14ac:dyDescent="0.15">
      <c r="F30" s="201" t="s">
        <v>217</v>
      </c>
      <c r="G30" s="83">
        <v>0</v>
      </c>
      <c r="H30" s="83">
        <v>0</v>
      </c>
      <c r="I30" s="83">
        <v>0</v>
      </c>
      <c r="J30" s="83">
        <v>0</v>
      </c>
      <c r="K30" s="83">
        <v>1</v>
      </c>
      <c r="L30" s="83">
        <v>0</v>
      </c>
      <c r="M30" s="83">
        <v>1</v>
      </c>
      <c r="N30" s="83">
        <v>0</v>
      </c>
      <c r="O30" s="83">
        <v>1</v>
      </c>
      <c r="P30" s="72">
        <v>0</v>
      </c>
      <c r="Q30" s="83">
        <v>0</v>
      </c>
      <c r="R30" s="73">
        <v>1</v>
      </c>
      <c r="S30"/>
      <c r="T30"/>
    </row>
    <row r="31" spans="1:20" ht="15" customHeight="1" x14ac:dyDescent="0.15">
      <c r="A31" s="128"/>
      <c r="B31" s="137" t="s">
        <v>17</v>
      </c>
      <c r="C31" s="137" t="s">
        <v>1</v>
      </c>
      <c r="D31" s="137" t="s">
        <v>161</v>
      </c>
      <c r="E31" s="138" t="s">
        <v>163</v>
      </c>
      <c r="F31" s="201" t="s">
        <v>218</v>
      </c>
      <c r="G31" s="83">
        <v>0</v>
      </c>
      <c r="H31" s="83">
        <v>0</v>
      </c>
      <c r="I31" s="83">
        <v>0</v>
      </c>
      <c r="J31" s="83">
        <v>0</v>
      </c>
      <c r="K31" s="83">
        <v>1</v>
      </c>
      <c r="L31" s="83">
        <v>0</v>
      </c>
      <c r="M31" s="83">
        <v>1</v>
      </c>
      <c r="N31" s="83">
        <v>0</v>
      </c>
      <c r="O31" s="83">
        <v>1</v>
      </c>
      <c r="P31" s="72">
        <v>0</v>
      </c>
      <c r="Q31" s="83">
        <v>0</v>
      </c>
      <c r="R31" s="73">
        <v>1</v>
      </c>
      <c r="S31"/>
      <c r="T31"/>
    </row>
    <row r="32" spans="1:20" ht="15" customHeight="1" x14ac:dyDescent="0.15">
      <c r="A32" s="204" t="s">
        <v>231</v>
      </c>
      <c r="B32" s="95">
        <v>7.5597130000000003</v>
      </c>
      <c r="C32" s="95">
        <v>119</v>
      </c>
      <c r="D32" s="95">
        <v>899.60584700000004</v>
      </c>
      <c r="E32" s="129">
        <v>0.53066507098464355</v>
      </c>
      <c r="F32" s="201" t="s">
        <v>219</v>
      </c>
      <c r="G32" s="83">
        <v>0</v>
      </c>
      <c r="H32" s="83">
        <v>0</v>
      </c>
      <c r="I32" s="83">
        <v>0</v>
      </c>
      <c r="J32" s="83">
        <v>0</v>
      </c>
      <c r="K32" s="83">
        <v>1</v>
      </c>
      <c r="L32" s="83">
        <v>0</v>
      </c>
      <c r="M32" s="83">
        <v>1</v>
      </c>
      <c r="N32" s="83">
        <v>0</v>
      </c>
      <c r="O32" s="83">
        <v>1</v>
      </c>
      <c r="P32" s="72">
        <v>0</v>
      </c>
      <c r="Q32" s="83">
        <v>0</v>
      </c>
      <c r="R32" s="73">
        <v>1</v>
      </c>
      <c r="S32"/>
      <c r="T32"/>
    </row>
    <row r="33" spans="1:20" ht="15" customHeight="1" x14ac:dyDescent="0.15">
      <c r="A33" s="204" t="s">
        <v>232</v>
      </c>
      <c r="B33" s="95">
        <v>5.2642645799999999</v>
      </c>
      <c r="C33" s="95">
        <v>151</v>
      </c>
      <c r="D33" s="95">
        <v>794.90395158000001</v>
      </c>
      <c r="E33" s="129">
        <v>0.46890286818152965</v>
      </c>
      <c r="F33" s="201" t="s">
        <v>220</v>
      </c>
      <c r="G33" s="83">
        <v>0</v>
      </c>
      <c r="H33" s="83">
        <v>0</v>
      </c>
      <c r="I33" s="83">
        <v>0</v>
      </c>
      <c r="J33" s="83">
        <v>0</v>
      </c>
      <c r="K33" s="83">
        <v>1</v>
      </c>
      <c r="L33" s="83">
        <v>0</v>
      </c>
      <c r="M33" s="83">
        <v>1</v>
      </c>
      <c r="N33" s="83">
        <v>0</v>
      </c>
      <c r="O33" s="83">
        <v>1</v>
      </c>
      <c r="P33" s="72">
        <v>0</v>
      </c>
      <c r="Q33" s="83">
        <v>0</v>
      </c>
      <c r="R33" s="73">
        <v>1</v>
      </c>
      <c r="S33"/>
      <c r="T33"/>
    </row>
    <row r="34" spans="1:20" ht="15" customHeight="1" x14ac:dyDescent="0.15">
      <c r="A34" s="204" t="s">
        <v>233</v>
      </c>
      <c r="B34" s="95">
        <v>0.16276617299999999</v>
      </c>
      <c r="C34" s="95">
        <v>4.5</v>
      </c>
      <c r="D34" s="95">
        <v>0.73244777849999998</v>
      </c>
      <c r="E34" s="129">
        <v>4.3206083382675808E-4</v>
      </c>
      <c r="F34" s="201" t="s">
        <v>221</v>
      </c>
      <c r="G34" s="83">
        <v>0</v>
      </c>
      <c r="H34" s="83">
        <v>0</v>
      </c>
      <c r="I34" s="83">
        <v>0</v>
      </c>
      <c r="J34" s="83">
        <v>0</v>
      </c>
      <c r="K34" s="83">
        <v>1</v>
      </c>
      <c r="L34" s="83">
        <v>0</v>
      </c>
      <c r="M34" s="83">
        <v>1</v>
      </c>
      <c r="N34" s="83">
        <v>0</v>
      </c>
      <c r="O34" s="83">
        <v>1</v>
      </c>
      <c r="P34" s="72">
        <v>0</v>
      </c>
      <c r="Q34" s="83">
        <v>0</v>
      </c>
      <c r="R34" s="73">
        <v>1</v>
      </c>
      <c r="S34"/>
      <c r="T34"/>
    </row>
    <row r="35" spans="1:20" ht="15" customHeight="1" x14ac:dyDescent="0.15">
      <c r="A35" s="130"/>
      <c r="B35" s="95"/>
      <c r="C35" s="95"/>
      <c r="D35" s="95"/>
      <c r="E35" s="129"/>
      <c r="F35" s="201" t="s">
        <v>222</v>
      </c>
      <c r="G35" s="83">
        <v>0</v>
      </c>
      <c r="H35" s="83">
        <v>0</v>
      </c>
      <c r="I35" s="83">
        <v>0</v>
      </c>
      <c r="J35" s="83">
        <v>0</v>
      </c>
      <c r="K35" s="83">
        <v>1</v>
      </c>
      <c r="L35" s="83">
        <v>0</v>
      </c>
      <c r="M35" s="83">
        <v>1</v>
      </c>
      <c r="N35" s="83">
        <v>0</v>
      </c>
      <c r="O35" s="83">
        <v>1</v>
      </c>
      <c r="P35" s="72">
        <v>0</v>
      </c>
      <c r="Q35" s="83">
        <v>0</v>
      </c>
      <c r="R35" s="73">
        <v>1</v>
      </c>
      <c r="S35"/>
      <c r="T35"/>
    </row>
    <row r="36" spans="1:20" ht="15" customHeight="1" x14ac:dyDescent="0.15">
      <c r="A36" s="131"/>
      <c r="B36" s="95"/>
      <c r="C36" s="95"/>
      <c r="D36" s="95"/>
      <c r="E36" s="129"/>
      <c r="F36" s="201" t="s">
        <v>223</v>
      </c>
      <c r="G36" s="83">
        <v>0</v>
      </c>
      <c r="H36" s="83">
        <v>0</v>
      </c>
      <c r="I36" s="83">
        <v>0</v>
      </c>
      <c r="J36" s="83">
        <v>0</v>
      </c>
      <c r="K36" s="83">
        <v>1</v>
      </c>
      <c r="L36" s="83">
        <v>0</v>
      </c>
      <c r="M36" s="83">
        <v>1</v>
      </c>
      <c r="N36" s="83">
        <v>0</v>
      </c>
      <c r="O36" s="83">
        <v>1</v>
      </c>
      <c r="P36" s="72">
        <v>0</v>
      </c>
      <c r="Q36" s="83">
        <v>0</v>
      </c>
      <c r="R36" s="73">
        <v>1</v>
      </c>
      <c r="S36"/>
      <c r="T36"/>
    </row>
    <row r="37" spans="1:20" ht="15" customHeight="1" x14ac:dyDescent="0.15">
      <c r="A37" s="131"/>
      <c r="B37" s="95"/>
      <c r="C37" s="95"/>
      <c r="D37" s="95"/>
      <c r="E37" s="129"/>
      <c r="F37" s="201" t="s">
        <v>224</v>
      </c>
      <c r="G37" s="83">
        <v>0</v>
      </c>
      <c r="H37" s="83">
        <v>0</v>
      </c>
      <c r="I37" s="83">
        <v>0</v>
      </c>
      <c r="J37" s="83">
        <v>0</v>
      </c>
      <c r="K37" s="83">
        <v>1</v>
      </c>
      <c r="L37" s="83">
        <v>0</v>
      </c>
      <c r="M37" s="83">
        <v>1</v>
      </c>
      <c r="N37" s="83">
        <v>0</v>
      </c>
      <c r="O37" s="83">
        <v>1</v>
      </c>
      <c r="P37" s="72">
        <v>0</v>
      </c>
      <c r="Q37" s="83">
        <v>0</v>
      </c>
      <c r="R37" s="73">
        <v>1</v>
      </c>
      <c r="S37"/>
      <c r="T37"/>
    </row>
    <row r="38" spans="1:20" ht="15" customHeight="1" x14ac:dyDescent="0.15">
      <c r="A38" s="132"/>
      <c r="B38" s="95"/>
      <c r="C38" s="95"/>
      <c r="D38" s="95"/>
      <c r="E38" s="129"/>
      <c r="F38" s="201" t="s">
        <v>225</v>
      </c>
      <c r="G38" s="83">
        <v>0</v>
      </c>
      <c r="H38" s="83">
        <v>0</v>
      </c>
      <c r="I38" s="83">
        <v>0</v>
      </c>
      <c r="J38" s="83">
        <v>0</v>
      </c>
      <c r="K38" s="83">
        <v>1</v>
      </c>
      <c r="L38" s="83">
        <v>0</v>
      </c>
      <c r="M38" s="83">
        <v>1</v>
      </c>
      <c r="N38" s="83">
        <v>0</v>
      </c>
      <c r="O38" s="83">
        <v>1</v>
      </c>
      <c r="P38" s="72">
        <v>0</v>
      </c>
      <c r="Q38" s="83">
        <v>0</v>
      </c>
      <c r="R38" s="73">
        <v>1</v>
      </c>
      <c r="S38"/>
      <c r="T38"/>
    </row>
    <row r="39" spans="1:20" ht="15" customHeight="1" x14ac:dyDescent="0.15">
      <c r="A39" s="132"/>
      <c r="B39" s="95"/>
      <c r="C39" s="95"/>
      <c r="D39" s="95"/>
      <c r="E39" s="129"/>
      <c r="F39" s="201" t="s">
        <v>226</v>
      </c>
      <c r="G39" s="83">
        <v>0</v>
      </c>
      <c r="H39" s="83">
        <v>0</v>
      </c>
      <c r="I39" s="83">
        <v>0</v>
      </c>
      <c r="J39" s="83">
        <v>0</v>
      </c>
      <c r="K39" s="83">
        <v>1</v>
      </c>
      <c r="L39" s="83">
        <v>0</v>
      </c>
      <c r="M39" s="83">
        <v>1</v>
      </c>
      <c r="N39" s="83">
        <v>0</v>
      </c>
      <c r="O39" s="83">
        <v>1</v>
      </c>
      <c r="P39" s="72">
        <v>0</v>
      </c>
      <c r="Q39" s="83">
        <v>0</v>
      </c>
      <c r="R39" s="73">
        <v>1</v>
      </c>
      <c r="S39"/>
      <c r="T39"/>
    </row>
    <row r="40" spans="1:20" ht="15" customHeight="1" x14ac:dyDescent="0.15">
      <c r="A40" s="132"/>
      <c r="B40" s="95"/>
      <c r="C40" s="95"/>
      <c r="D40" s="95"/>
      <c r="E40" s="129"/>
      <c r="F40" s="201" t="s">
        <v>227</v>
      </c>
      <c r="G40" s="83">
        <v>0</v>
      </c>
      <c r="H40" s="83">
        <v>0</v>
      </c>
      <c r="I40" s="83">
        <v>0</v>
      </c>
      <c r="J40" s="83">
        <v>0</v>
      </c>
      <c r="K40" s="83">
        <v>1</v>
      </c>
      <c r="L40" s="83">
        <v>0</v>
      </c>
      <c r="M40" s="83">
        <v>1</v>
      </c>
      <c r="N40" s="83">
        <v>0</v>
      </c>
      <c r="O40" s="83">
        <v>1</v>
      </c>
      <c r="P40" s="72">
        <v>0</v>
      </c>
      <c r="Q40" s="83">
        <v>0</v>
      </c>
      <c r="R40" s="73">
        <v>1</v>
      </c>
      <c r="S40"/>
      <c r="T40"/>
    </row>
    <row r="41" spans="1:20" ht="15" customHeight="1" thickBot="1" x14ac:dyDescent="0.2">
      <c r="A41" s="132"/>
      <c r="B41" s="95"/>
      <c r="C41" s="95"/>
      <c r="D41" s="96"/>
      <c r="E41" s="133"/>
      <c r="F41" s="201" t="s">
        <v>228</v>
      </c>
      <c r="G41" s="83">
        <v>0</v>
      </c>
      <c r="H41" s="83">
        <v>0</v>
      </c>
      <c r="I41" s="83">
        <v>0</v>
      </c>
      <c r="J41" s="83">
        <v>0</v>
      </c>
      <c r="K41" s="83">
        <v>1</v>
      </c>
      <c r="L41" s="83">
        <v>0</v>
      </c>
      <c r="M41" s="83">
        <v>1</v>
      </c>
      <c r="N41" s="83">
        <v>0</v>
      </c>
      <c r="O41" s="83">
        <v>1</v>
      </c>
      <c r="P41" s="72">
        <v>0</v>
      </c>
      <c r="Q41" s="83">
        <v>0</v>
      </c>
      <c r="R41" s="73">
        <v>1</v>
      </c>
      <c r="S41"/>
      <c r="T41"/>
    </row>
    <row r="42" spans="1:20" ht="15" customHeight="1" x14ac:dyDescent="0.15">
      <c r="A42" s="134"/>
      <c r="B42" s="135"/>
      <c r="C42" s="135" t="s">
        <v>162</v>
      </c>
      <c r="D42" s="135">
        <f>SUM(D32:D41)</f>
        <v>1695.2422463585001</v>
      </c>
      <c r="E42" s="136">
        <f>SUM(E32:E41)</f>
        <v>0.99999999999999989</v>
      </c>
      <c r="F42" s="201" t="s">
        <v>229</v>
      </c>
      <c r="G42" s="83">
        <v>0</v>
      </c>
      <c r="H42" s="83">
        <v>0</v>
      </c>
      <c r="I42" s="83">
        <v>0</v>
      </c>
      <c r="J42" s="83">
        <v>0</v>
      </c>
      <c r="K42" s="83">
        <v>1</v>
      </c>
      <c r="L42" s="83">
        <v>0</v>
      </c>
      <c r="M42" s="83">
        <v>1</v>
      </c>
      <c r="N42" s="83">
        <v>0</v>
      </c>
      <c r="O42" s="83">
        <v>1</v>
      </c>
      <c r="P42" s="72">
        <v>0</v>
      </c>
      <c r="Q42" s="83">
        <v>0</v>
      </c>
      <c r="R42" s="73">
        <v>1</v>
      </c>
      <c r="S42"/>
      <c r="T42"/>
    </row>
    <row r="43" spans="1:20" ht="15" customHeight="1" x14ac:dyDescent="0.15">
      <c r="A43" s="83"/>
      <c r="F43" s="201" t="s">
        <v>230</v>
      </c>
      <c r="G43" s="83">
        <v>0</v>
      </c>
      <c r="H43" s="83">
        <v>0</v>
      </c>
      <c r="I43" s="83">
        <v>0</v>
      </c>
      <c r="J43" s="83">
        <v>0</v>
      </c>
      <c r="K43" s="83">
        <v>1</v>
      </c>
      <c r="L43" s="83">
        <v>0</v>
      </c>
      <c r="M43" s="83">
        <v>1</v>
      </c>
      <c r="N43" s="83">
        <v>0</v>
      </c>
      <c r="O43" s="83">
        <v>1</v>
      </c>
      <c r="P43" s="72">
        <v>0</v>
      </c>
      <c r="Q43" s="83">
        <v>0</v>
      </c>
      <c r="R43" s="73">
        <v>1</v>
      </c>
      <c r="S43"/>
      <c r="T43"/>
    </row>
    <row r="44" spans="1:20" ht="15" customHeight="1" x14ac:dyDescent="0.15">
      <c r="A44" s="83"/>
      <c r="F44" s="201" t="s">
        <v>231</v>
      </c>
      <c r="G44" s="83">
        <v>0</v>
      </c>
      <c r="H44" s="83">
        <v>0</v>
      </c>
      <c r="I44" s="83">
        <v>0</v>
      </c>
      <c r="J44" s="83">
        <v>0</v>
      </c>
      <c r="K44" s="83">
        <v>0</v>
      </c>
      <c r="L44" s="83">
        <v>0</v>
      </c>
      <c r="M44" s="83">
        <v>1</v>
      </c>
      <c r="N44" s="83">
        <v>0</v>
      </c>
      <c r="O44" s="83">
        <v>0</v>
      </c>
      <c r="P44" s="72">
        <v>0</v>
      </c>
      <c r="Q44" s="83">
        <v>0</v>
      </c>
      <c r="R44" s="73">
        <v>1</v>
      </c>
    </row>
    <row r="45" spans="1:20" ht="15" customHeight="1" x14ac:dyDescent="0.15">
      <c r="A45" s="83"/>
      <c r="F45" s="201" t="s">
        <v>232</v>
      </c>
      <c r="G45" s="83">
        <v>0</v>
      </c>
      <c r="H45" s="83">
        <v>0</v>
      </c>
      <c r="I45" s="83">
        <v>0</v>
      </c>
      <c r="J45" s="83">
        <v>0</v>
      </c>
      <c r="K45" s="83">
        <v>0</v>
      </c>
      <c r="L45" s="83">
        <v>0</v>
      </c>
      <c r="M45" s="83">
        <v>1</v>
      </c>
      <c r="N45" s="83">
        <v>0</v>
      </c>
      <c r="O45" s="83">
        <v>0</v>
      </c>
      <c r="P45" s="72">
        <v>0</v>
      </c>
      <c r="Q45" s="83">
        <v>0</v>
      </c>
      <c r="R45" s="73">
        <v>1</v>
      </c>
    </row>
    <row r="46" spans="1:20" ht="15" customHeight="1" x14ac:dyDescent="0.15">
      <c r="A46" s="83"/>
      <c r="F46" s="201" t="s">
        <v>233</v>
      </c>
      <c r="G46" s="83">
        <v>0</v>
      </c>
      <c r="H46" s="83">
        <v>0</v>
      </c>
      <c r="I46" s="83">
        <v>0</v>
      </c>
      <c r="J46" s="83">
        <v>0</v>
      </c>
      <c r="K46" s="83">
        <v>0</v>
      </c>
      <c r="L46" s="83">
        <v>0</v>
      </c>
      <c r="M46" s="83">
        <v>1</v>
      </c>
      <c r="N46" s="83">
        <v>0</v>
      </c>
      <c r="O46" s="83">
        <v>0</v>
      </c>
      <c r="P46" s="72">
        <v>0</v>
      </c>
      <c r="Q46" s="83">
        <v>0</v>
      </c>
      <c r="R46" s="73">
        <v>1</v>
      </c>
    </row>
    <row r="47" spans="1:20" ht="15" customHeight="1" x14ac:dyDescent="0.15">
      <c r="A47" s="83"/>
      <c r="F47" s="201" t="s">
        <v>234</v>
      </c>
      <c r="G47" s="83">
        <v>0</v>
      </c>
      <c r="H47" s="83">
        <v>0</v>
      </c>
      <c r="I47" s="83">
        <v>0</v>
      </c>
      <c r="J47" s="83">
        <v>0</v>
      </c>
      <c r="K47" s="83">
        <v>0</v>
      </c>
      <c r="L47" s="83">
        <v>1</v>
      </c>
      <c r="M47" s="83">
        <v>0</v>
      </c>
      <c r="N47" s="83">
        <v>1</v>
      </c>
      <c r="O47" s="83">
        <v>0</v>
      </c>
      <c r="P47" s="72">
        <v>1</v>
      </c>
      <c r="Q47" s="83">
        <v>0</v>
      </c>
      <c r="R47" s="73">
        <v>1</v>
      </c>
    </row>
    <row r="48" spans="1:20" ht="15" customHeight="1" x14ac:dyDescent="0.15">
      <c r="A48" s="83"/>
      <c r="F48" s="201" t="s">
        <v>235</v>
      </c>
      <c r="G48" s="83">
        <v>0</v>
      </c>
      <c r="H48" s="83">
        <v>0</v>
      </c>
      <c r="I48" s="83">
        <v>0</v>
      </c>
      <c r="J48" s="83">
        <v>0</v>
      </c>
      <c r="K48" s="83">
        <v>0</v>
      </c>
      <c r="L48" s="83">
        <v>1</v>
      </c>
      <c r="M48" s="83">
        <v>0</v>
      </c>
      <c r="N48" s="83">
        <v>1</v>
      </c>
      <c r="O48" s="83">
        <v>0</v>
      </c>
      <c r="P48" s="72">
        <v>1</v>
      </c>
      <c r="Q48" s="83">
        <v>0</v>
      </c>
      <c r="R48" s="73">
        <v>1</v>
      </c>
    </row>
    <row r="49" spans="6:18" s="83" customFormat="1" ht="15" customHeight="1" x14ac:dyDescent="0.15">
      <c r="F49" s="201" t="s">
        <v>236</v>
      </c>
      <c r="G49" s="83">
        <v>0</v>
      </c>
      <c r="H49" s="83">
        <v>0</v>
      </c>
      <c r="I49" s="83">
        <v>0</v>
      </c>
      <c r="J49" s="83">
        <v>0</v>
      </c>
      <c r="K49" s="83">
        <v>0</v>
      </c>
      <c r="L49" s="83">
        <v>1</v>
      </c>
      <c r="M49" s="83">
        <v>0</v>
      </c>
      <c r="N49" s="83">
        <v>1</v>
      </c>
      <c r="O49" s="83">
        <v>0</v>
      </c>
      <c r="P49" s="72">
        <v>1</v>
      </c>
      <c r="Q49" s="83">
        <v>0</v>
      </c>
      <c r="R49" s="73">
        <v>1</v>
      </c>
    </row>
    <row r="50" spans="6:18" s="83" customFormat="1" ht="15" customHeight="1" x14ac:dyDescent="0.15">
      <c r="F50" s="201" t="s">
        <v>201</v>
      </c>
      <c r="G50" s="83">
        <v>0</v>
      </c>
      <c r="H50" s="83">
        <v>0</v>
      </c>
      <c r="I50" s="83">
        <v>0</v>
      </c>
      <c r="J50" s="83">
        <v>0</v>
      </c>
      <c r="K50" s="83">
        <v>0</v>
      </c>
      <c r="L50" s="83">
        <v>1</v>
      </c>
      <c r="M50" s="83">
        <v>0</v>
      </c>
      <c r="N50" s="83">
        <v>0</v>
      </c>
      <c r="O50" s="83">
        <v>0</v>
      </c>
      <c r="P50" s="72">
        <v>0</v>
      </c>
      <c r="Q50" s="83">
        <v>0</v>
      </c>
      <c r="R50" s="73">
        <v>1</v>
      </c>
    </row>
    <row r="51" spans="6:18" s="83" customFormat="1" ht="15" customHeight="1" x14ac:dyDescent="0.15">
      <c r="F51" s="201" t="s">
        <v>237</v>
      </c>
      <c r="G51" s="83">
        <v>0</v>
      </c>
      <c r="H51" s="83">
        <v>0</v>
      </c>
      <c r="I51" s="83">
        <v>0</v>
      </c>
      <c r="J51" s="83">
        <v>0</v>
      </c>
      <c r="K51" s="83">
        <v>0</v>
      </c>
      <c r="L51" s="83">
        <v>1</v>
      </c>
      <c r="M51" s="83">
        <v>0</v>
      </c>
      <c r="N51" s="83">
        <v>0</v>
      </c>
      <c r="O51" s="83">
        <v>0</v>
      </c>
      <c r="P51" s="72">
        <v>0</v>
      </c>
      <c r="Q51" s="83">
        <v>0</v>
      </c>
      <c r="R51" s="73">
        <v>1</v>
      </c>
    </row>
    <row r="52" spans="6:18" s="83" customFormat="1" ht="15" customHeight="1" x14ac:dyDescent="0.15">
      <c r="F52" s="201" t="s">
        <v>203</v>
      </c>
      <c r="G52" s="83">
        <v>0</v>
      </c>
      <c r="H52" s="83">
        <v>0</v>
      </c>
      <c r="I52" s="83">
        <v>0</v>
      </c>
      <c r="J52" s="83">
        <v>0</v>
      </c>
      <c r="K52" s="83">
        <v>0</v>
      </c>
      <c r="L52" s="83">
        <v>1</v>
      </c>
      <c r="M52" s="83">
        <v>0</v>
      </c>
      <c r="N52" s="83">
        <v>0</v>
      </c>
      <c r="O52" s="83">
        <v>0</v>
      </c>
      <c r="P52" s="72">
        <v>0</v>
      </c>
      <c r="Q52" s="83">
        <v>0</v>
      </c>
      <c r="R52" s="73">
        <v>1</v>
      </c>
    </row>
    <row r="53" spans="6:18" s="83" customFormat="1" ht="15" customHeight="1" x14ac:dyDescent="0.15">
      <c r="F53" s="201" t="s">
        <v>211</v>
      </c>
      <c r="G53" s="83">
        <v>0</v>
      </c>
      <c r="H53" s="83">
        <v>0</v>
      </c>
      <c r="I53" s="83">
        <v>0</v>
      </c>
      <c r="J53" s="83">
        <v>0</v>
      </c>
      <c r="K53" s="83">
        <v>0</v>
      </c>
      <c r="L53" s="83">
        <v>1</v>
      </c>
      <c r="M53" s="83">
        <v>0</v>
      </c>
      <c r="N53" s="83">
        <v>0</v>
      </c>
      <c r="O53" s="83">
        <v>0</v>
      </c>
      <c r="P53" s="72">
        <v>0</v>
      </c>
      <c r="Q53" s="83">
        <v>0</v>
      </c>
      <c r="R53" s="73">
        <v>1</v>
      </c>
    </row>
    <row r="54" spans="6:18" s="83" customFormat="1" ht="15" customHeight="1" x14ac:dyDescent="0.15">
      <c r="F54" s="201" t="s">
        <v>212</v>
      </c>
      <c r="G54" s="83">
        <v>0</v>
      </c>
      <c r="H54" s="83">
        <v>0</v>
      </c>
      <c r="I54" s="83">
        <v>0</v>
      </c>
      <c r="J54" s="83">
        <v>0</v>
      </c>
      <c r="K54" s="83">
        <v>0</v>
      </c>
      <c r="L54" s="83">
        <v>1</v>
      </c>
      <c r="M54" s="83">
        <v>0</v>
      </c>
      <c r="N54" s="83">
        <v>0</v>
      </c>
      <c r="O54" s="83">
        <v>0</v>
      </c>
      <c r="P54" s="72">
        <v>0</v>
      </c>
      <c r="Q54" s="83">
        <v>0</v>
      </c>
      <c r="R54" s="73">
        <v>1</v>
      </c>
    </row>
    <row r="55" spans="6:18" s="83" customFormat="1" ht="15" customHeight="1" x14ac:dyDescent="0.15">
      <c r="F55" s="201" t="s">
        <v>213</v>
      </c>
      <c r="G55" s="83">
        <v>0</v>
      </c>
      <c r="H55" s="83">
        <v>0</v>
      </c>
      <c r="I55" s="83">
        <v>0</v>
      </c>
      <c r="J55" s="83">
        <v>0</v>
      </c>
      <c r="K55" s="83">
        <v>0</v>
      </c>
      <c r="L55" s="83">
        <v>1</v>
      </c>
      <c r="M55" s="83">
        <v>0</v>
      </c>
      <c r="N55" s="83">
        <v>0</v>
      </c>
      <c r="O55" s="83">
        <v>0</v>
      </c>
      <c r="P55" s="72">
        <v>0</v>
      </c>
      <c r="Q55" s="83">
        <v>0</v>
      </c>
      <c r="R55" s="73">
        <v>1</v>
      </c>
    </row>
    <row r="56" spans="6:18" s="83" customFormat="1" ht="15" customHeight="1" x14ac:dyDescent="0.15">
      <c r="F56" s="201" t="s">
        <v>214</v>
      </c>
      <c r="G56" s="83">
        <v>0</v>
      </c>
      <c r="H56" s="83">
        <v>0</v>
      </c>
      <c r="I56" s="83">
        <v>0</v>
      </c>
      <c r="J56" s="83">
        <v>0</v>
      </c>
      <c r="K56" s="83">
        <v>0</v>
      </c>
      <c r="L56" s="83">
        <v>1</v>
      </c>
      <c r="M56" s="83">
        <v>0</v>
      </c>
      <c r="N56" s="83">
        <v>0</v>
      </c>
      <c r="O56" s="83">
        <v>0</v>
      </c>
      <c r="P56" s="72">
        <v>0</v>
      </c>
      <c r="Q56" s="83">
        <v>0</v>
      </c>
      <c r="R56" s="73">
        <v>1</v>
      </c>
    </row>
    <row r="57" spans="6:18" s="83" customFormat="1" ht="15" customHeight="1" x14ac:dyDescent="0.15">
      <c r="F57" s="201" t="s">
        <v>206</v>
      </c>
      <c r="G57" s="83">
        <v>0</v>
      </c>
      <c r="H57" s="83">
        <v>0</v>
      </c>
      <c r="I57" s="83">
        <v>0</v>
      </c>
      <c r="J57" s="83">
        <v>0</v>
      </c>
      <c r="K57" s="83">
        <v>0</v>
      </c>
      <c r="L57" s="83">
        <v>1</v>
      </c>
      <c r="M57" s="83">
        <v>0</v>
      </c>
      <c r="N57" s="83">
        <v>0</v>
      </c>
      <c r="O57" s="83">
        <v>0</v>
      </c>
      <c r="P57" s="72">
        <v>0</v>
      </c>
      <c r="Q57" s="83">
        <v>0</v>
      </c>
      <c r="R57" s="73">
        <v>1</v>
      </c>
    </row>
    <row r="58" spans="6:18" s="83" customFormat="1" ht="15" customHeight="1" x14ac:dyDescent="0.15">
      <c r="F58" s="201" t="s">
        <v>205</v>
      </c>
      <c r="G58" s="83">
        <v>0</v>
      </c>
      <c r="H58" s="83">
        <v>0</v>
      </c>
      <c r="I58" s="83">
        <v>0</v>
      </c>
      <c r="J58" s="83">
        <v>0</v>
      </c>
      <c r="K58" s="83">
        <v>0</v>
      </c>
      <c r="L58" s="83">
        <v>1</v>
      </c>
      <c r="M58" s="83">
        <v>0</v>
      </c>
      <c r="N58" s="83">
        <v>0</v>
      </c>
      <c r="O58" s="83">
        <v>0</v>
      </c>
      <c r="P58" s="72">
        <v>0</v>
      </c>
      <c r="Q58" s="83">
        <v>0</v>
      </c>
      <c r="R58" s="73">
        <v>1</v>
      </c>
    </row>
    <row r="59" spans="6:18" s="83" customFormat="1" ht="15" customHeight="1" x14ac:dyDescent="0.15">
      <c r="F59" s="201" t="s">
        <v>219</v>
      </c>
      <c r="G59" s="83">
        <v>0</v>
      </c>
      <c r="H59" s="83">
        <v>0</v>
      </c>
      <c r="I59" s="83">
        <v>0</v>
      </c>
      <c r="J59" s="83">
        <v>0</v>
      </c>
      <c r="K59" s="83">
        <v>0</v>
      </c>
      <c r="L59" s="83">
        <v>1</v>
      </c>
      <c r="M59" s="83">
        <v>0</v>
      </c>
      <c r="N59" s="83">
        <v>0</v>
      </c>
      <c r="O59" s="83">
        <v>0</v>
      </c>
      <c r="P59" s="72">
        <v>0</v>
      </c>
      <c r="Q59" s="83">
        <v>0</v>
      </c>
      <c r="R59" s="73">
        <v>1</v>
      </c>
    </row>
    <row r="60" spans="6:18" s="83" customFormat="1" ht="15" customHeight="1" x14ac:dyDescent="0.15">
      <c r="F60" s="201" t="s">
        <v>238</v>
      </c>
      <c r="G60" s="83">
        <v>0</v>
      </c>
      <c r="H60" s="83">
        <v>0</v>
      </c>
      <c r="I60" s="83">
        <v>0</v>
      </c>
      <c r="J60" s="83">
        <v>0</v>
      </c>
      <c r="K60" s="83">
        <v>0</v>
      </c>
      <c r="L60" s="83">
        <v>1</v>
      </c>
      <c r="M60" s="83">
        <v>0</v>
      </c>
      <c r="N60" s="83">
        <v>0</v>
      </c>
      <c r="O60" s="83">
        <v>0</v>
      </c>
      <c r="P60" s="72">
        <v>0</v>
      </c>
      <c r="Q60" s="83">
        <v>0</v>
      </c>
      <c r="R60" s="73">
        <v>1</v>
      </c>
    </row>
    <row r="61" spans="6:18" s="83" customFormat="1" ht="15" customHeight="1" x14ac:dyDescent="0.15">
      <c r="F61"/>
      <c r="G61"/>
      <c r="H61"/>
      <c r="I61"/>
      <c r="J61"/>
      <c r="K61"/>
      <c r="L61"/>
      <c r="M61"/>
      <c r="N61"/>
      <c r="O61"/>
      <c r="P61"/>
      <c r="Q61"/>
      <c r="R61"/>
    </row>
    <row r="62" spans="6:18" s="83" customFormat="1" ht="15" customHeight="1" x14ac:dyDescent="0.15">
      <c r="F62"/>
      <c r="G62"/>
      <c r="H62"/>
      <c r="I62"/>
      <c r="J62"/>
      <c r="K62"/>
      <c r="L62"/>
      <c r="M62"/>
      <c r="N62"/>
      <c r="O62"/>
      <c r="P62"/>
      <c r="Q62"/>
      <c r="R62"/>
    </row>
    <row r="63" spans="6:18" s="83" customFormat="1" ht="15" customHeight="1" x14ac:dyDescent="0.15">
      <c r="F63"/>
      <c r="G63"/>
      <c r="H63"/>
      <c r="I63"/>
      <c r="J63"/>
      <c r="K63"/>
      <c r="L63"/>
      <c r="M63"/>
      <c r="N63"/>
      <c r="O63"/>
      <c r="P63"/>
      <c r="Q63"/>
      <c r="R63"/>
    </row>
    <row r="64" spans="6:18" s="83"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83"/>
      <c r="F76"/>
      <c r="G76"/>
      <c r="H76"/>
      <c r="I76"/>
      <c r="J76"/>
      <c r="K76"/>
      <c r="L76"/>
      <c r="M76"/>
      <c r="N76"/>
      <c r="O76"/>
      <c r="P76"/>
      <c r="Q76"/>
      <c r="R76"/>
    </row>
    <row r="77" spans="1:18" ht="15" customHeight="1" x14ac:dyDescent="0.15">
      <c r="A77" s="83"/>
      <c r="F77"/>
      <c r="G77"/>
      <c r="H77"/>
      <c r="I77"/>
      <c r="J77"/>
      <c r="K77"/>
      <c r="L77"/>
      <c r="M77"/>
      <c r="N77"/>
      <c r="O77"/>
      <c r="P77"/>
      <c r="Q77"/>
      <c r="R77"/>
    </row>
    <row r="78" spans="1:18" ht="15" customHeight="1" x14ac:dyDescent="0.15">
      <c r="A78" s="83"/>
      <c r="F78"/>
      <c r="G78"/>
      <c r="H78"/>
      <c r="I78"/>
      <c r="J78"/>
      <c r="K78"/>
      <c r="L78"/>
      <c r="M78"/>
      <c r="N78"/>
      <c r="O78"/>
      <c r="P78"/>
      <c r="Q78"/>
      <c r="R78"/>
    </row>
    <row r="79" spans="1:18" ht="15" customHeight="1" x14ac:dyDescent="0.15">
      <c r="A79" s="83"/>
      <c r="F79"/>
      <c r="G79"/>
      <c r="H79"/>
      <c r="I79"/>
      <c r="J79"/>
      <c r="K79"/>
      <c r="L79"/>
      <c r="M79"/>
      <c r="N79"/>
      <c r="O79"/>
      <c r="P79"/>
      <c r="Q79"/>
      <c r="R79"/>
    </row>
    <row r="80" spans="1:18" ht="15" customHeight="1" x14ac:dyDescent="0.15">
      <c r="A80" s="83"/>
      <c r="F80"/>
      <c r="G80"/>
      <c r="H80"/>
      <c r="I80"/>
      <c r="J80"/>
      <c r="K80"/>
      <c r="L80"/>
      <c r="M80"/>
      <c r="N80"/>
      <c r="O80"/>
      <c r="P80"/>
      <c r="Q80"/>
      <c r="R80"/>
    </row>
    <row r="81" spans="1:18" ht="15" customHeight="1" x14ac:dyDescent="0.15">
      <c r="A81" s="83"/>
      <c r="F81"/>
      <c r="G81"/>
      <c r="H81"/>
      <c r="I81"/>
      <c r="J81"/>
      <c r="K81"/>
      <c r="L81"/>
      <c r="M81"/>
      <c r="N81"/>
      <c r="O81"/>
      <c r="P81"/>
      <c r="Q81"/>
      <c r="R81"/>
    </row>
    <row r="82" spans="1:18" ht="15" customHeight="1" x14ac:dyDescent="0.15">
      <c r="A82" s="83"/>
      <c r="F82"/>
      <c r="G82"/>
      <c r="H82"/>
      <c r="I82"/>
      <c r="J82"/>
      <c r="K82"/>
      <c r="L82"/>
      <c r="M82"/>
      <c r="N82"/>
      <c r="O82"/>
      <c r="P82"/>
      <c r="Q82"/>
      <c r="R82"/>
    </row>
    <row r="83" spans="1:18" ht="15" customHeight="1" x14ac:dyDescent="0.15">
      <c r="A83" s="83"/>
      <c r="F83"/>
      <c r="G83"/>
      <c r="H83"/>
      <c r="I83"/>
      <c r="J83"/>
      <c r="K83"/>
      <c r="L83"/>
      <c r="M83"/>
      <c r="N83"/>
      <c r="O83"/>
      <c r="P83"/>
      <c r="Q83"/>
      <c r="R83"/>
    </row>
    <row r="84" spans="1:18" ht="15" customHeight="1" x14ac:dyDescent="0.15">
      <c r="A84" s="83"/>
      <c r="F84"/>
      <c r="G84"/>
      <c r="H84"/>
      <c r="I84"/>
      <c r="J84"/>
      <c r="K84"/>
      <c r="L84"/>
      <c r="M84"/>
      <c r="N84"/>
      <c r="O84"/>
      <c r="P84"/>
      <c r="Q84"/>
      <c r="R84"/>
    </row>
    <row r="85" spans="1:18" ht="15" customHeight="1" x14ac:dyDescent="0.15">
      <c r="A85" s="83"/>
      <c r="F85"/>
      <c r="G85"/>
      <c r="H85"/>
      <c r="I85"/>
      <c r="J85"/>
      <c r="K85"/>
      <c r="L85"/>
      <c r="M85"/>
      <c r="N85"/>
      <c r="O85"/>
      <c r="P85"/>
      <c r="Q85"/>
      <c r="R85"/>
    </row>
    <row r="86" spans="1:18" ht="15" customHeight="1" x14ac:dyDescent="0.15">
      <c r="A86" s="83"/>
      <c r="F86"/>
      <c r="G86"/>
      <c r="H86"/>
      <c r="I86"/>
      <c r="J86"/>
      <c r="K86"/>
      <c r="L86"/>
      <c r="M86"/>
      <c r="N86"/>
      <c r="O86"/>
      <c r="P86"/>
      <c r="Q86"/>
      <c r="R86"/>
    </row>
    <row r="87" spans="1:18" ht="15" customHeight="1" x14ac:dyDescent="0.15">
      <c r="A87" s="83"/>
      <c r="F87"/>
      <c r="G87"/>
      <c r="H87"/>
      <c r="I87"/>
      <c r="J87"/>
      <c r="K87"/>
      <c r="L87"/>
      <c r="M87"/>
      <c r="N87"/>
      <c r="O87"/>
      <c r="P87"/>
      <c r="Q87"/>
      <c r="R87"/>
    </row>
    <row r="88" spans="1:18" ht="15" customHeight="1" x14ac:dyDescent="0.15">
      <c r="A88" s="83"/>
      <c r="F88"/>
      <c r="G88"/>
      <c r="H88"/>
      <c r="I88"/>
      <c r="J88"/>
      <c r="K88"/>
      <c r="L88"/>
      <c r="M88"/>
      <c r="N88"/>
      <c r="O88"/>
      <c r="P88"/>
      <c r="Q88"/>
      <c r="R88"/>
    </row>
    <row r="89" spans="1:18" ht="15" customHeight="1" x14ac:dyDescent="0.15">
      <c r="A89" s="83"/>
      <c r="F89"/>
      <c r="G89"/>
      <c r="H89"/>
      <c r="I89"/>
      <c r="J89"/>
      <c r="K89"/>
      <c r="L89"/>
      <c r="M89"/>
      <c r="N89"/>
      <c r="O89"/>
      <c r="P89"/>
      <c r="Q89"/>
      <c r="R89"/>
    </row>
    <row r="90" spans="1:18" ht="15" customHeight="1" x14ac:dyDescent="0.15">
      <c r="A90" s="83"/>
      <c r="F90"/>
      <c r="G90"/>
      <c r="H90"/>
      <c r="I90"/>
      <c r="J90"/>
      <c r="K90"/>
      <c r="L90"/>
      <c r="M90"/>
      <c r="N90"/>
      <c r="O90"/>
      <c r="P90"/>
      <c r="Q90"/>
      <c r="R90"/>
    </row>
    <row r="91" spans="1:18" ht="15" customHeight="1" x14ac:dyDescent="0.15">
      <c r="A91" s="83"/>
      <c r="F91"/>
      <c r="G91"/>
      <c r="H91"/>
      <c r="I91"/>
      <c r="J91"/>
      <c r="K91"/>
      <c r="L91"/>
      <c r="M91"/>
      <c r="N91"/>
      <c r="O91"/>
      <c r="P91"/>
      <c r="Q91"/>
      <c r="R91"/>
    </row>
    <row r="92" spans="1:18" ht="15" customHeight="1" x14ac:dyDescent="0.15">
      <c r="A92" s="83"/>
      <c r="F92"/>
      <c r="G92"/>
      <c r="H92"/>
      <c r="I92"/>
      <c r="J92"/>
      <c r="K92"/>
      <c r="L92"/>
      <c r="M92"/>
      <c r="N92"/>
      <c r="O92"/>
      <c r="P92"/>
      <c r="Q92"/>
      <c r="R92"/>
    </row>
    <row r="93" spans="1:18" ht="15" customHeight="1" x14ac:dyDescent="0.15">
      <c r="A93" s="83"/>
      <c r="F93"/>
      <c r="G93"/>
      <c r="H93"/>
      <c r="I93"/>
      <c r="J93"/>
      <c r="K93"/>
      <c r="L93"/>
      <c r="M93"/>
      <c r="N93"/>
      <c r="O93"/>
      <c r="P93"/>
      <c r="Q93"/>
      <c r="R93"/>
    </row>
    <row r="94" spans="1:18" ht="15" customHeight="1" x14ac:dyDescent="0.15">
      <c r="A94" s="83"/>
      <c r="F94"/>
      <c r="G94"/>
      <c r="H94"/>
      <c r="I94"/>
      <c r="J94"/>
      <c r="K94"/>
      <c r="L94"/>
      <c r="M94"/>
      <c r="N94"/>
      <c r="O94"/>
      <c r="P94"/>
      <c r="Q94"/>
      <c r="R94"/>
    </row>
    <row r="95" spans="1:18" ht="15" customHeight="1" x14ac:dyDescent="0.15">
      <c r="A95" s="83"/>
      <c r="F95"/>
      <c r="G95"/>
      <c r="H95"/>
      <c r="I95"/>
      <c r="J95"/>
      <c r="K95"/>
      <c r="L95"/>
      <c r="M95"/>
      <c r="N95"/>
      <c r="O95"/>
      <c r="P95"/>
      <c r="Q95"/>
      <c r="R95"/>
    </row>
    <row r="96" spans="1:18" ht="15" customHeight="1" x14ac:dyDescent="0.15">
      <c r="A96" s="83"/>
      <c r="F96"/>
      <c r="G96"/>
      <c r="H96"/>
      <c r="I96"/>
      <c r="J96"/>
      <c r="K96"/>
      <c r="L96"/>
      <c r="M96"/>
      <c r="N96"/>
      <c r="O96"/>
      <c r="P96"/>
      <c r="Q96"/>
      <c r="R96"/>
    </row>
    <row r="97" spans="1:18" ht="15" customHeight="1" x14ac:dyDescent="0.15">
      <c r="A97" s="83"/>
      <c r="F97"/>
      <c r="G97"/>
      <c r="H97"/>
      <c r="I97"/>
      <c r="J97"/>
      <c r="K97"/>
      <c r="L97"/>
      <c r="M97"/>
      <c r="N97"/>
      <c r="O97"/>
      <c r="P97"/>
      <c r="Q97"/>
      <c r="R97"/>
    </row>
    <row r="98" spans="1:18" ht="15" customHeight="1" x14ac:dyDescent="0.15">
      <c r="A98" s="83"/>
      <c r="F98"/>
      <c r="G98"/>
      <c r="H98"/>
      <c r="I98"/>
      <c r="J98"/>
      <c r="K98"/>
      <c r="L98"/>
      <c r="M98"/>
      <c r="N98"/>
      <c r="O98"/>
      <c r="P98"/>
      <c r="Q98"/>
      <c r="R98"/>
    </row>
    <row r="99" spans="1:18" ht="15" customHeight="1" x14ac:dyDescent="0.15">
      <c r="A99" s="83"/>
      <c r="F99"/>
      <c r="G99"/>
      <c r="H99"/>
      <c r="I99"/>
      <c r="J99"/>
      <c r="K99"/>
      <c r="L99"/>
      <c r="M99"/>
      <c r="N99"/>
      <c r="O99"/>
      <c r="P99"/>
      <c r="Q99"/>
      <c r="R99"/>
    </row>
    <row r="100" spans="1:18" ht="15" customHeight="1" x14ac:dyDescent="0.15">
      <c r="A100" s="83"/>
      <c r="F100"/>
      <c r="G100"/>
      <c r="H100"/>
      <c r="I100"/>
      <c r="J100"/>
      <c r="K100"/>
      <c r="L100"/>
      <c r="M100"/>
      <c r="N100"/>
      <c r="O100"/>
      <c r="P100"/>
      <c r="Q100"/>
      <c r="R100"/>
    </row>
    <row r="101" spans="1:18" ht="15" customHeight="1" x14ac:dyDescent="0.15">
      <c r="A101" s="83"/>
      <c r="F101"/>
      <c r="G101"/>
      <c r="H101"/>
      <c r="I101"/>
      <c r="J101"/>
      <c r="K101"/>
      <c r="L101"/>
      <c r="M101"/>
      <c r="N101"/>
      <c r="O101"/>
      <c r="P101"/>
      <c r="Q101"/>
      <c r="R101"/>
    </row>
    <row r="102" spans="1:18" ht="15" customHeight="1" x14ac:dyDescent="0.15">
      <c r="A102" s="83"/>
      <c r="F102"/>
      <c r="G102"/>
      <c r="H102"/>
      <c r="I102"/>
      <c r="J102"/>
      <c r="K102"/>
      <c r="L102"/>
      <c r="M102"/>
      <c r="N102"/>
      <c r="O102"/>
      <c r="P102"/>
      <c r="Q102"/>
      <c r="R102"/>
    </row>
    <row r="103" spans="1:18" ht="15" customHeight="1" x14ac:dyDescent="0.15">
      <c r="A103" s="83"/>
      <c r="F103"/>
      <c r="G103"/>
      <c r="H103"/>
      <c r="I103"/>
      <c r="J103"/>
      <c r="K103"/>
      <c r="L103"/>
      <c r="M103"/>
      <c r="N103"/>
      <c r="O103"/>
      <c r="P103"/>
      <c r="Q103"/>
      <c r="R103"/>
    </row>
    <row r="104" spans="1:18" ht="15" customHeight="1" x14ac:dyDescent="0.15">
      <c r="A104" s="83"/>
      <c r="F104"/>
      <c r="G104"/>
      <c r="H104"/>
      <c r="I104"/>
      <c r="J104"/>
      <c r="K104"/>
      <c r="L104"/>
      <c r="M104"/>
      <c r="N104"/>
      <c r="O104"/>
      <c r="P104"/>
      <c r="Q104"/>
      <c r="R104"/>
    </row>
    <row r="105" spans="1:18" ht="15" customHeight="1" x14ac:dyDescent="0.15">
      <c r="A105" s="83"/>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3" customFormat="1" ht="15" customHeight="1" x14ac:dyDescent="0.15">
      <c r="F113"/>
      <c r="G113"/>
      <c r="H113"/>
      <c r="I113"/>
      <c r="J113"/>
      <c r="K113"/>
      <c r="L113"/>
      <c r="M113"/>
      <c r="N113"/>
      <c r="O113"/>
      <c r="P113"/>
      <c r="Q113"/>
      <c r="R113"/>
    </row>
    <row r="114" spans="6:18" s="83" customFormat="1" ht="15" customHeight="1" x14ac:dyDescent="0.15">
      <c r="F114"/>
      <c r="G114"/>
      <c r="H114"/>
      <c r="I114"/>
      <c r="J114"/>
      <c r="K114"/>
      <c r="L114"/>
      <c r="M114"/>
      <c r="N114"/>
      <c r="O114"/>
      <c r="P114"/>
      <c r="Q114"/>
      <c r="R114"/>
    </row>
    <row r="115" spans="6:18" s="83" customFormat="1" ht="15" customHeight="1" x14ac:dyDescent="0.15">
      <c r="F115"/>
      <c r="G115"/>
      <c r="H115"/>
      <c r="I115"/>
      <c r="J115"/>
      <c r="K115"/>
      <c r="L115"/>
      <c r="M115"/>
      <c r="N115"/>
      <c r="O115"/>
      <c r="P115"/>
      <c r="Q115"/>
      <c r="R115"/>
    </row>
    <row r="116" spans="6:18" s="83" customFormat="1" ht="15" customHeight="1" x14ac:dyDescent="0.15">
      <c r="F116"/>
      <c r="G116"/>
      <c r="H116"/>
      <c r="I116"/>
      <c r="J116"/>
      <c r="K116"/>
      <c r="L116"/>
      <c r="M116"/>
      <c r="N116"/>
      <c r="O116"/>
      <c r="P116"/>
      <c r="Q116"/>
      <c r="R116"/>
    </row>
    <row r="117" spans="6:18" s="83" customFormat="1" ht="15" customHeight="1" x14ac:dyDescent="0.15">
      <c r="F117"/>
      <c r="G117"/>
      <c r="H117"/>
      <c r="I117"/>
      <c r="J117"/>
      <c r="K117"/>
      <c r="L117"/>
      <c r="M117"/>
      <c r="N117"/>
      <c r="O117"/>
      <c r="P117"/>
      <c r="Q117"/>
      <c r="R117"/>
    </row>
    <row r="118" spans="6:18" s="83" customFormat="1" ht="15" customHeight="1" x14ac:dyDescent="0.15">
      <c r="F118"/>
      <c r="G118"/>
      <c r="H118"/>
      <c r="I118"/>
      <c r="J118"/>
      <c r="K118"/>
      <c r="L118"/>
      <c r="M118"/>
      <c r="N118"/>
      <c r="O118"/>
      <c r="P118"/>
      <c r="Q118"/>
      <c r="R118"/>
    </row>
    <row r="119" spans="6:18" s="83" customFormat="1" ht="15" customHeight="1" x14ac:dyDescent="0.15">
      <c r="F119"/>
      <c r="G119"/>
      <c r="H119"/>
      <c r="I119"/>
      <c r="J119"/>
      <c r="K119"/>
      <c r="L119"/>
      <c r="M119"/>
      <c r="N119"/>
      <c r="O119"/>
      <c r="P119"/>
      <c r="Q119"/>
      <c r="R119"/>
    </row>
    <row r="120" spans="6:18" s="83" customFormat="1" ht="15" customHeight="1" x14ac:dyDescent="0.15">
      <c r="F120"/>
      <c r="G120"/>
      <c r="H120"/>
      <c r="I120"/>
      <c r="J120"/>
      <c r="K120"/>
      <c r="L120"/>
      <c r="M120"/>
      <c r="N120"/>
      <c r="O120"/>
      <c r="P120"/>
      <c r="Q120"/>
      <c r="R120"/>
    </row>
    <row r="121" spans="6:18" s="83" customFormat="1" ht="15" customHeight="1" x14ac:dyDescent="0.15">
      <c r="F121"/>
      <c r="G121"/>
      <c r="H121"/>
      <c r="I121"/>
      <c r="J121"/>
      <c r="K121"/>
      <c r="L121"/>
      <c r="M121"/>
      <c r="N121"/>
      <c r="O121"/>
      <c r="P121"/>
      <c r="Q121"/>
      <c r="R121"/>
    </row>
    <row r="122" spans="6:18" s="83" customFormat="1" ht="15" customHeight="1" x14ac:dyDescent="0.15">
      <c r="F122"/>
      <c r="G122"/>
      <c r="H122"/>
      <c r="I122"/>
      <c r="J122"/>
      <c r="K122"/>
      <c r="L122"/>
      <c r="M122"/>
      <c r="N122"/>
      <c r="O122"/>
      <c r="P122"/>
      <c r="Q122"/>
      <c r="R122"/>
    </row>
    <row r="123" spans="6:18" s="83" customFormat="1" ht="15" customHeight="1" x14ac:dyDescent="0.15">
      <c r="F123"/>
      <c r="G123"/>
      <c r="H123"/>
      <c r="I123"/>
      <c r="J123"/>
      <c r="K123"/>
      <c r="L123"/>
      <c r="M123"/>
      <c r="N123"/>
      <c r="O123"/>
      <c r="P123"/>
      <c r="Q123"/>
      <c r="R123"/>
    </row>
    <row r="124" spans="6:18" s="83" customFormat="1" ht="15" customHeight="1" x14ac:dyDescent="0.15">
      <c r="F124"/>
      <c r="G124"/>
      <c r="H124"/>
      <c r="I124"/>
      <c r="J124"/>
      <c r="K124"/>
      <c r="L124"/>
      <c r="M124"/>
      <c r="N124"/>
      <c r="O124"/>
      <c r="P124"/>
      <c r="Q124"/>
      <c r="R124"/>
    </row>
    <row r="125" spans="6:18" s="83" customFormat="1" ht="15" customHeight="1" x14ac:dyDescent="0.15">
      <c r="F125"/>
      <c r="G125"/>
      <c r="H125"/>
      <c r="I125"/>
      <c r="J125"/>
      <c r="K125"/>
      <c r="L125"/>
      <c r="M125"/>
      <c r="N125"/>
      <c r="O125"/>
      <c r="P125"/>
      <c r="Q125"/>
      <c r="R125"/>
    </row>
    <row r="126" spans="6:18" s="83" customFormat="1" ht="15" customHeight="1" x14ac:dyDescent="0.15">
      <c r="F126"/>
      <c r="G126"/>
      <c r="H126"/>
      <c r="I126"/>
      <c r="J126"/>
      <c r="K126"/>
      <c r="L126"/>
      <c r="M126"/>
      <c r="N126"/>
      <c r="O126"/>
      <c r="P126"/>
      <c r="Q126"/>
      <c r="R126"/>
    </row>
    <row r="127" spans="6:18" s="83" customFormat="1" ht="15" customHeight="1" x14ac:dyDescent="0.15">
      <c r="F127"/>
      <c r="G127"/>
      <c r="H127"/>
      <c r="I127"/>
      <c r="J127"/>
      <c r="K127"/>
      <c r="L127"/>
      <c r="M127"/>
      <c r="N127"/>
      <c r="O127"/>
      <c r="P127"/>
      <c r="Q127"/>
      <c r="R127"/>
    </row>
    <row r="128" spans="6:18" s="83" customFormat="1" ht="15" customHeight="1" x14ac:dyDescent="0.15">
      <c r="F128"/>
      <c r="G128"/>
      <c r="H128"/>
      <c r="I128"/>
      <c r="J128"/>
      <c r="K128"/>
      <c r="L128"/>
      <c r="M128"/>
      <c r="N128"/>
      <c r="O128"/>
      <c r="P128"/>
      <c r="Q128"/>
      <c r="R128"/>
    </row>
    <row r="129" spans="6:18" s="83" customFormat="1" ht="15" customHeight="1" x14ac:dyDescent="0.15">
      <c r="F129"/>
      <c r="G129"/>
      <c r="H129"/>
      <c r="I129"/>
      <c r="J129"/>
      <c r="K129"/>
      <c r="L129"/>
      <c r="M129"/>
      <c r="N129"/>
      <c r="O129"/>
      <c r="P129"/>
      <c r="Q129"/>
      <c r="R129"/>
    </row>
    <row r="130" spans="6:18" s="83" customFormat="1" ht="15" customHeight="1" x14ac:dyDescent="0.15">
      <c r="F130"/>
      <c r="G130"/>
      <c r="H130"/>
      <c r="I130"/>
      <c r="J130"/>
      <c r="K130"/>
      <c r="L130"/>
      <c r="M130"/>
      <c r="N130"/>
      <c r="O130"/>
      <c r="P130"/>
      <c r="Q130"/>
      <c r="R130"/>
    </row>
    <row r="131" spans="6:18" s="83" customFormat="1" ht="15" customHeight="1" x14ac:dyDescent="0.15">
      <c r="F131"/>
      <c r="G131"/>
      <c r="H131"/>
      <c r="I131"/>
      <c r="J131"/>
      <c r="K131"/>
      <c r="L131"/>
      <c r="M131"/>
      <c r="N131"/>
      <c r="O131"/>
      <c r="P131"/>
      <c r="Q131"/>
      <c r="R131"/>
    </row>
    <row r="132" spans="6:18" s="83" customFormat="1" ht="15" customHeight="1" x14ac:dyDescent="0.15">
      <c r="F132"/>
      <c r="G132"/>
      <c r="H132"/>
      <c r="I132"/>
      <c r="J132"/>
      <c r="K132"/>
      <c r="L132"/>
      <c r="M132"/>
      <c r="N132"/>
      <c r="O132"/>
      <c r="P132"/>
      <c r="Q132"/>
      <c r="R132"/>
    </row>
    <row r="133" spans="6:18" s="83" customFormat="1" ht="15" customHeight="1" x14ac:dyDescent="0.15">
      <c r="F133"/>
      <c r="G133"/>
      <c r="H133"/>
      <c r="I133"/>
      <c r="J133"/>
      <c r="K133"/>
      <c r="L133"/>
      <c r="M133"/>
      <c r="N133"/>
      <c r="O133"/>
      <c r="P133"/>
      <c r="Q133"/>
      <c r="R133"/>
    </row>
    <row r="134" spans="6:18" s="83" customFormat="1" ht="15" customHeight="1" x14ac:dyDescent="0.15">
      <c r="F134"/>
      <c r="G134"/>
      <c r="H134"/>
      <c r="I134"/>
      <c r="J134"/>
      <c r="K134"/>
      <c r="L134"/>
      <c r="M134"/>
      <c r="N134"/>
      <c r="O134"/>
      <c r="P134"/>
      <c r="Q134"/>
      <c r="R134"/>
    </row>
    <row r="135" spans="6:18" s="83" customFormat="1" ht="15" customHeight="1" x14ac:dyDescent="0.15">
      <c r="F135"/>
      <c r="G135"/>
      <c r="H135"/>
      <c r="I135"/>
      <c r="J135"/>
      <c r="K135"/>
      <c r="L135"/>
      <c r="M135"/>
      <c r="N135"/>
      <c r="O135"/>
      <c r="P135"/>
      <c r="Q135"/>
      <c r="R135"/>
    </row>
    <row r="136" spans="6:18" s="83" customFormat="1" ht="15" customHeight="1" x14ac:dyDescent="0.15">
      <c r="F136"/>
      <c r="G136"/>
      <c r="H136"/>
      <c r="I136"/>
      <c r="J136"/>
      <c r="K136"/>
      <c r="L136"/>
      <c r="M136"/>
      <c r="N136"/>
      <c r="O136"/>
      <c r="P136"/>
      <c r="Q136"/>
      <c r="R136"/>
    </row>
    <row r="137" spans="6:18" s="83" customFormat="1" ht="15" customHeight="1" x14ac:dyDescent="0.15">
      <c r="F137"/>
      <c r="G137"/>
      <c r="H137"/>
      <c r="I137"/>
      <c r="J137"/>
      <c r="K137"/>
      <c r="L137"/>
      <c r="M137"/>
      <c r="N137"/>
      <c r="O137"/>
      <c r="P137"/>
      <c r="Q137"/>
      <c r="R137"/>
    </row>
    <row r="138" spans="6:18" s="83" customFormat="1" ht="15" customHeight="1" x14ac:dyDescent="0.15">
      <c r="F138"/>
      <c r="G138"/>
      <c r="H138"/>
      <c r="I138"/>
      <c r="J138"/>
      <c r="K138"/>
      <c r="L138"/>
      <c r="M138"/>
      <c r="N138"/>
      <c r="O138"/>
      <c r="P138"/>
      <c r="Q138"/>
      <c r="R138"/>
    </row>
    <row r="139" spans="6:18" s="83" customFormat="1" ht="15" customHeight="1" x14ac:dyDescent="0.15">
      <c r="F139"/>
      <c r="G139"/>
      <c r="H139"/>
      <c r="I139"/>
      <c r="J139"/>
      <c r="K139"/>
      <c r="L139"/>
      <c r="M139"/>
      <c r="N139"/>
      <c r="O139"/>
      <c r="P139"/>
      <c r="Q139"/>
      <c r="R139"/>
    </row>
    <row r="140" spans="6:18" s="83" customFormat="1" ht="15" customHeight="1" x14ac:dyDescent="0.15">
      <c r="F140"/>
      <c r="G140"/>
      <c r="H140"/>
      <c r="I140"/>
      <c r="J140"/>
      <c r="K140"/>
      <c r="L140"/>
      <c r="M140"/>
      <c r="N140"/>
      <c r="O140"/>
      <c r="P140"/>
      <c r="Q140"/>
      <c r="R140"/>
    </row>
    <row r="141" spans="6:18" s="83" customFormat="1" ht="15" customHeight="1" x14ac:dyDescent="0.15">
      <c r="F141"/>
      <c r="G141"/>
      <c r="H141"/>
      <c r="I141"/>
      <c r="J141"/>
      <c r="K141"/>
      <c r="L141"/>
      <c r="M141"/>
      <c r="N141"/>
      <c r="O141"/>
      <c r="P141"/>
      <c r="Q141"/>
      <c r="R141"/>
    </row>
    <row r="142" spans="6:18" s="83" customFormat="1" ht="15" customHeight="1" x14ac:dyDescent="0.15">
      <c r="F142"/>
      <c r="G142"/>
      <c r="H142"/>
      <c r="I142"/>
      <c r="J142"/>
      <c r="K142"/>
      <c r="L142"/>
      <c r="M142"/>
      <c r="N142"/>
      <c r="O142"/>
      <c r="P142"/>
      <c r="Q142"/>
      <c r="R142"/>
    </row>
    <row r="143" spans="6:18" s="83" customFormat="1" ht="15" customHeight="1" x14ac:dyDescent="0.15">
      <c r="F143"/>
      <c r="G143"/>
      <c r="H143"/>
      <c r="I143"/>
      <c r="J143"/>
      <c r="K143"/>
      <c r="L143"/>
      <c r="M143"/>
      <c r="N143"/>
      <c r="O143"/>
      <c r="P143"/>
      <c r="Q143"/>
      <c r="R143"/>
    </row>
    <row r="144" spans="6:18" s="83" customFormat="1" ht="15" customHeight="1" x14ac:dyDescent="0.15">
      <c r="F144"/>
      <c r="G144"/>
      <c r="H144"/>
      <c r="I144"/>
      <c r="J144"/>
      <c r="K144"/>
      <c r="L144"/>
      <c r="M144"/>
      <c r="N144"/>
      <c r="O144"/>
      <c r="P144"/>
      <c r="Q144"/>
      <c r="R144"/>
    </row>
    <row r="145" spans="6:18" s="83" customFormat="1" ht="15" customHeight="1" x14ac:dyDescent="0.15">
      <c r="F145"/>
      <c r="G145"/>
      <c r="H145"/>
      <c r="I145"/>
      <c r="J145"/>
      <c r="K145"/>
      <c r="L145"/>
      <c r="M145"/>
      <c r="N145"/>
      <c r="O145"/>
      <c r="P145"/>
      <c r="Q145"/>
      <c r="R145"/>
    </row>
    <row r="146" spans="6:18" s="83" customFormat="1" ht="15" customHeight="1" x14ac:dyDescent="0.15">
      <c r="F146"/>
      <c r="G146"/>
      <c r="H146"/>
      <c r="I146"/>
      <c r="J146"/>
      <c r="K146"/>
      <c r="L146"/>
      <c r="M146"/>
      <c r="N146"/>
      <c r="O146"/>
      <c r="P146"/>
      <c r="Q146"/>
      <c r="R146"/>
    </row>
    <row r="147" spans="6:18" s="83" customFormat="1" ht="15" customHeight="1" x14ac:dyDescent="0.15">
      <c r="F147"/>
      <c r="G147"/>
      <c r="H147"/>
      <c r="I147"/>
      <c r="J147"/>
      <c r="K147"/>
      <c r="L147"/>
      <c r="M147"/>
      <c r="N147"/>
      <c r="O147"/>
      <c r="P147"/>
      <c r="Q147"/>
      <c r="R147"/>
    </row>
    <row r="148" spans="6:18" s="83" customFormat="1" ht="15" customHeight="1" x14ac:dyDescent="0.15">
      <c r="F148"/>
      <c r="G148"/>
      <c r="H148"/>
      <c r="I148"/>
      <c r="J148"/>
      <c r="K148"/>
      <c r="L148"/>
      <c r="M148"/>
      <c r="N148"/>
      <c r="O148"/>
      <c r="P148"/>
      <c r="Q148"/>
      <c r="R148"/>
    </row>
    <row r="149" spans="6:18" s="83" customFormat="1" ht="15" customHeight="1" x14ac:dyDescent="0.15">
      <c r="F149"/>
      <c r="G149"/>
      <c r="H149"/>
      <c r="I149"/>
      <c r="J149"/>
      <c r="K149"/>
      <c r="L149"/>
      <c r="M149"/>
      <c r="N149"/>
      <c r="O149"/>
      <c r="P149"/>
      <c r="Q149"/>
      <c r="R149"/>
    </row>
    <row r="150" spans="6:18" s="83" customFormat="1" ht="15" customHeight="1" x14ac:dyDescent="0.15">
      <c r="F150"/>
      <c r="G150"/>
      <c r="H150"/>
      <c r="I150"/>
      <c r="J150"/>
      <c r="K150"/>
      <c r="L150"/>
      <c r="M150"/>
      <c r="N150"/>
      <c r="O150"/>
      <c r="P150"/>
      <c r="Q150"/>
      <c r="R150"/>
    </row>
    <row r="151" spans="6:18" s="83" customFormat="1" ht="15" customHeight="1" x14ac:dyDescent="0.15">
      <c r="F151"/>
      <c r="G151"/>
      <c r="H151"/>
      <c r="I151"/>
      <c r="J151"/>
      <c r="K151"/>
      <c r="L151"/>
      <c r="M151"/>
      <c r="N151"/>
      <c r="O151"/>
      <c r="P151"/>
      <c r="Q151"/>
      <c r="R151"/>
    </row>
    <row r="152" spans="6:18" s="83" customFormat="1" ht="15" customHeight="1" x14ac:dyDescent="0.15">
      <c r="F152"/>
      <c r="G152"/>
      <c r="H152"/>
      <c r="I152"/>
      <c r="J152"/>
      <c r="K152"/>
      <c r="L152"/>
      <c r="M152"/>
      <c r="N152"/>
      <c r="O152"/>
      <c r="P152"/>
      <c r="Q152"/>
      <c r="R152"/>
    </row>
    <row r="153" spans="6:18" s="83" customFormat="1" ht="15" customHeight="1" x14ac:dyDescent="0.15">
      <c r="F153"/>
      <c r="G153"/>
      <c r="H153"/>
      <c r="I153"/>
      <c r="J153"/>
      <c r="K153"/>
      <c r="L153"/>
      <c r="M153"/>
      <c r="N153"/>
      <c r="O153"/>
      <c r="P153"/>
      <c r="Q153"/>
      <c r="R153"/>
    </row>
    <row r="154" spans="6:18" s="83" customFormat="1" ht="15" customHeight="1" x14ac:dyDescent="0.15">
      <c r="F154"/>
      <c r="G154"/>
      <c r="H154"/>
      <c r="I154"/>
      <c r="J154"/>
      <c r="K154"/>
      <c r="L154"/>
      <c r="M154"/>
      <c r="N154"/>
      <c r="O154"/>
      <c r="P154"/>
      <c r="Q154"/>
      <c r="R154"/>
    </row>
    <row r="155" spans="6:18" s="83" customFormat="1" ht="15" customHeight="1" x14ac:dyDescent="0.15">
      <c r="F155"/>
      <c r="G155"/>
      <c r="H155"/>
      <c r="I155"/>
      <c r="J155"/>
      <c r="K155"/>
      <c r="L155"/>
      <c r="M155"/>
      <c r="N155"/>
      <c r="O155"/>
      <c r="P155"/>
      <c r="Q155"/>
      <c r="R155"/>
    </row>
    <row r="156" spans="6:18" s="83" customFormat="1" ht="15" customHeight="1" x14ac:dyDescent="0.15">
      <c r="F156"/>
      <c r="G156"/>
      <c r="H156"/>
      <c r="I156"/>
      <c r="J156"/>
      <c r="K156"/>
      <c r="L156"/>
      <c r="M156"/>
      <c r="N156"/>
      <c r="O156"/>
      <c r="P156"/>
      <c r="Q156"/>
      <c r="R156"/>
    </row>
    <row r="157" spans="6:18" s="83" customFormat="1" ht="15" customHeight="1" x14ac:dyDescent="0.15">
      <c r="F157"/>
      <c r="G157"/>
      <c r="H157"/>
      <c r="I157"/>
      <c r="J157"/>
      <c r="K157"/>
      <c r="L157"/>
      <c r="M157"/>
      <c r="N157"/>
      <c r="O157"/>
      <c r="P157"/>
      <c r="Q157"/>
      <c r="R157"/>
    </row>
    <row r="158" spans="6:18" s="83" customFormat="1" ht="15" customHeight="1" x14ac:dyDescent="0.15">
      <c r="F158"/>
      <c r="G158"/>
      <c r="H158"/>
      <c r="I158"/>
      <c r="J158"/>
      <c r="K158"/>
      <c r="L158"/>
      <c r="M158"/>
      <c r="N158"/>
      <c r="O158"/>
      <c r="P158"/>
      <c r="Q158"/>
      <c r="R158"/>
    </row>
    <row r="159" spans="6:18" s="83" customFormat="1" ht="15" customHeight="1" x14ac:dyDescent="0.15">
      <c r="F159"/>
      <c r="G159"/>
      <c r="H159"/>
      <c r="I159"/>
      <c r="J159"/>
      <c r="K159"/>
      <c r="L159"/>
      <c r="M159"/>
      <c r="N159"/>
      <c r="O159"/>
      <c r="P159"/>
      <c r="Q159"/>
      <c r="R159"/>
    </row>
    <row r="160" spans="6:18" s="83" customFormat="1" ht="15" customHeight="1" x14ac:dyDescent="0.15">
      <c r="F160"/>
      <c r="G160"/>
      <c r="H160"/>
      <c r="I160"/>
      <c r="J160"/>
      <c r="K160"/>
      <c r="L160"/>
      <c r="M160"/>
      <c r="N160"/>
      <c r="O160"/>
      <c r="P160"/>
      <c r="Q160"/>
      <c r="R160"/>
    </row>
    <row r="161" spans="6:18" s="83" customFormat="1" ht="15" customHeight="1" x14ac:dyDescent="0.15">
      <c r="F161"/>
      <c r="G161"/>
      <c r="H161"/>
      <c r="I161"/>
      <c r="J161"/>
      <c r="K161"/>
      <c r="L161"/>
      <c r="M161"/>
      <c r="N161"/>
      <c r="O161"/>
      <c r="P161"/>
      <c r="Q161"/>
      <c r="R161"/>
    </row>
    <row r="162" spans="6:18" s="83" customFormat="1" ht="15" customHeight="1" x14ac:dyDescent="0.15">
      <c r="F162"/>
      <c r="G162"/>
      <c r="H162"/>
      <c r="I162"/>
      <c r="J162"/>
      <c r="K162"/>
      <c r="L162"/>
      <c r="M162"/>
      <c r="N162"/>
      <c r="O162"/>
      <c r="P162"/>
      <c r="Q162"/>
      <c r="R162"/>
    </row>
    <row r="163" spans="6:18" s="83" customFormat="1" ht="15" customHeight="1" x14ac:dyDescent="0.15">
      <c r="F163"/>
      <c r="G163"/>
      <c r="H163"/>
      <c r="I163"/>
      <c r="J163"/>
      <c r="K163"/>
      <c r="L163"/>
      <c r="M163"/>
      <c r="N163"/>
      <c r="O163"/>
      <c r="P163"/>
      <c r="Q163"/>
      <c r="R163"/>
    </row>
    <row r="164" spans="6:18" s="83" customFormat="1" ht="15" customHeight="1" x14ac:dyDescent="0.15">
      <c r="F164"/>
      <c r="G164"/>
      <c r="H164"/>
      <c r="I164"/>
      <c r="J164"/>
      <c r="K164"/>
      <c r="L164"/>
      <c r="M164"/>
      <c r="N164"/>
      <c r="O164"/>
      <c r="P164"/>
      <c r="Q164"/>
      <c r="R164"/>
    </row>
    <row r="165" spans="6:18" s="83" customFormat="1" ht="15" customHeight="1" x14ac:dyDescent="0.15">
      <c r="F165"/>
      <c r="G165"/>
      <c r="H165"/>
      <c r="I165"/>
      <c r="J165"/>
      <c r="K165"/>
      <c r="L165"/>
      <c r="M165"/>
      <c r="N165"/>
      <c r="O165"/>
      <c r="P165"/>
      <c r="Q165"/>
      <c r="R165"/>
    </row>
    <row r="166" spans="6:18" s="83" customFormat="1" ht="15" customHeight="1" x14ac:dyDescent="0.15">
      <c r="F166"/>
      <c r="G166"/>
      <c r="H166"/>
      <c r="I166"/>
      <c r="J166"/>
      <c r="K166"/>
      <c r="L166"/>
      <c r="M166"/>
      <c r="N166"/>
      <c r="O166"/>
      <c r="P166"/>
      <c r="Q166"/>
      <c r="R166"/>
    </row>
    <row r="167" spans="6:18" s="83" customFormat="1" ht="15" customHeight="1" x14ac:dyDescent="0.15">
      <c r="F167"/>
      <c r="G167"/>
      <c r="H167"/>
      <c r="I167"/>
      <c r="J167"/>
      <c r="K167"/>
      <c r="L167"/>
      <c r="M167"/>
      <c r="N167"/>
      <c r="O167"/>
      <c r="P167"/>
      <c r="Q167"/>
      <c r="R167"/>
    </row>
    <row r="168" spans="6:18" s="83" customFormat="1" ht="15" customHeight="1" x14ac:dyDescent="0.15">
      <c r="F168"/>
      <c r="G168"/>
      <c r="H168"/>
      <c r="I168"/>
      <c r="J168"/>
      <c r="K168"/>
      <c r="L168"/>
      <c r="M168"/>
      <c r="N168"/>
      <c r="O168"/>
      <c r="P168"/>
      <c r="Q168"/>
      <c r="R168"/>
    </row>
    <row r="169" spans="6:18" s="83" customFormat="1" ht="15" customHeight="1" x14ac:dyDescent="0.15">
      <c r="F169"/>
      <c r="G169"/>
      <c r="H169"/>
      <c r="I169"/>
      <c r="J169"/>
      <c r="K169"/>
      <c r="L169"/>
      <c r="M169"/>
      <c r="N169"/>
      <c r="O169"/>
      <c r="P169"/>
      <c r="Q169"/>
      <c r="R169"/>
    </row>
    <row r="170" spans="6:18" s="83" customFormat="1" ht="15" customHeight="1" x14ac:dyDescent="0.15">
      <c r="F170"/>
      <c r="G170"/>
      <c r="H170"/>
      <c r="I170"/>
      <c r="J170"/>
      <c r="K170"/>
      <c r="L170"/>
      <c r="M170"/>
      <c r="N170"/>
      <c r="O170"/>
      <c r="P170"/>
      <c r="Q170"/>
      <c r="R170"/>
    </row>
    <row r="171" spans="6:18" s="83" customFormat="1" ht="15" customHeight="1" x14ac:dyDescent="0.15">
      <c r="F171"/>
      <c r="G171"/>
      <c r="H171"/>
      <c r="I171"/>
      <c r="J171"/>
      <c r="K171"/>
      <c r="L171"/>
      <c r="M171"/>
      <c r="N171"/>
      <c r="O171"/>
      <c r="P171"/>
      <c r="Q171"/>
      <c r="R171"/>
    </row>
    <row r="172" spans="6:18" s="83" customFormat="1" ht="15" customHeight="1" x14ac:dyDescent="0.15">
      <c r="F172"/>
      <c r="G172"/>
      <c r="H172"/>
      <c r="I172"/>
      <c r="J172"/>
      <c r="K172"/>
      <c r="L172"/>
      <c r="M172"/>
      <c r="N172"/>
      <c r="O172"/>
      <c r="P172"/>
      <c r="Q172"/>
      <c r="R172"/>
    </row>
    <row r="173" spans="6:18" s="83" customFormat="1" ht="15" customHeight="1" x14ac:dyDescent="0.15">
      <c r="F173"/>
      <c r="G173"/>
      <c r="H173"/>
      <c r="I173"/>
      <c r="J173"/>
      <c r="K173"/>
      <c r="L173"/>
      <c r="M173"/>
      <c r="N173"/>
      <c r="O173"/>
      <c r="P173"/>
      <c r="Q173"/>
      <c r="R173"/>
    </row>
    <row r="174" spans="6:18" s="83" customFormat="1" ht="15" customHeight="1" x14ac:dyDescent="0.15">
      <c r="F174"/>
      <c r="G174"/>
      <c r="H174"/>
      <c r="I174"/>
      <c r="J174"/>
      <c r="K174"/>
      <c r="L174"/>
      <c r="M174"/>
      <c r="N174"/>
      <c r="O174"/>
      <c r="P174"/>
      <c r="Q174"/>
      <c r="R174"/>
    </row>
    <row r="175" spans="6:18" s="83" customFormat="1" ht="15" customHeight="1" x14ac:dyDescent="0.15">
      <c r="F175"/>
      <c r="G175"/>
      <c r="H175"/>
      <c r="I175"/>
      <c r="J175"/>
      <c r="K175"/>
      <c r="L175"/>
      <c r="M175"/>
      <c r="N175"/>
      <c r="O175"/>
      <c r="P175"/>
      <c r="Q175"/>
      <c r="R175"/>
    </row>
    <row r="176" spans="6:18" s="83" customFormat="1" ht="15" customHeight="1" x14ac:dyDescent="0.15">
      <c r="F176"/>
      <c r="G176"/>
      <c r="H176"/>
      <c r="I176"/>
      <c r="J176"/>
      <c r="K176"/>
      <c r="L176"/>
      <c r="M176"/>
      <c r="N176"/>
      <c r="O176"/>
      <c r="P176"/>
      <c r="Q176"/>
      <c r="R176"/>
    </row>
    <row r="177" spans="6:18" s="83" customFormat="1" ht="15" customHeight="1" x14ac:dyDescent="0.15">
      <c r="F177"/>
      <c r="G177"/>
      <c r="H177"/>
      <c r="I177"/>
      <c r="J177"/>
      <c r="K177"/>
      <c r="L177"/>
      <c r="M177"/>
      <c r="N177"/>
      <c r="O177"/>
      <c r="P177"/>
      <c r="Q177"/>
      <c r="R177"/>
    </row>
    <row r="178" spans="6:18" s="83" customFormat="1" ht="15" customHeight="1" x14ac:dyDescent="0.15">
      <c r="F178"/>
      <c r="G178"/>
      <c r="H178"/>
      <c r="I178"/>
      <c r="J178"/>
      <c r="K178"/>
      <c r="L178"/>
      <c r="M178"/>
      <c r="N178"/>
      <c r="O178"/>
      <c r="P178"/>
      <c r="Q178"/>
      <c r="R178"/>
    </row>
    <row r="179" spans="6:18" s="83" customFormat="1" ht="15" customHeight="1" x14ac:dyDescent="0.15">
      <c r="F179"/>
      <c r="G179"/>
      <c r="H179"/>
      <c r="I179"/>
      <c r="J179"/>
      <c r="K179"/>
      <c r="L179"/>
      <c r="M179"/>
      <c r="N179"/>
      <c r="O179"/>
      <c r="P179"/>
      <c r="Q179"/>
      <c r="R179"/>
    </row>
    <row r="180" spans="6:18" s="83" customFormat="1" ht="15" customHeight="1" x14ac:dyDescent="0.15">
      <c r="F180"/>
      <c r="G180"/>
      <c r="H180"/>
      <c r="I180"/>
      <c r="J180"/>
      <c r="K180"/>
      <c r="L180"/>
      <c r="M180"/>
      <c r="N180"/>
      <c r="O180"/>
      <c r="P180"/>
      <c r="Q180"/>
      <c r="R180"/>
    </row>
    <row r="181" spans="6:18" s="83" customFormat="1" ht="15" customHeight="1" x14ac:dyDescent="0.15">
      <c r="F181"/>
      <c r="G181"/>
      <c r="H181"/>
      <c r="I181"/>
      <c r="J181"/>
      <c r="K181"/>
      <c r="L181"/>
      <c r="M181"/>
      <c r="N181"/>
      <c r="O181"/>
      <c r="P181"/>
      <c r="Q181"/>
      <c r="R181"/>
    </row>
    <row r="182" spans="6:18" s="83" customFormat="1" ht="15" customHeight="1" x14ac:dyDescent="0.15">
      <c r="F182"/>
      <c r="G182"/>
      <c r="H182"/>
      <c r="I182"/>
      <c r="J182"/>
      <c r="K182"/>
      <c r="L182"/>
      <c r="M182"/>
      <c r="N182"/>
      <c r="O182"/>
      <c r="P182"/>
      <c r="Q182"/>
      <c r="R182"/>
    </row>
    <row r="183" spans="6:18" s="83" customFormat="1" ht="15" customHeight="1" x14ac:dyDescent="0.15">
      <c r="F183"/>
      <c r="G183"/>
      <c r="H183"/>
      <c r="I183"/>
      <c r="J183"/>
      <c r="K183"/>
      <c r="L183"/>
      <c r="M183"/>
      <c r="N183"/>
      <c r="O183"/>
      <c r="P183"/>
      <c r="Q183"/>
      <c r="R183"/>
    </row>
    <row r="184" spans="6:18" s="83" customFormat="1" ht="15" customHeight="1" x14ac:dyDescent="0.15">
      <c r="F184"/>
      <c r="G184"/>
      <c r="H184"/>
      <c r="I184"/>
      <c r="J184"/>
      <c r="K184"/>
      <c r="L184"/>
      <c r="M184"/>
      <c r="N184"/>
      <c r="O184"/>
      <c r="P184"/>
      <c r="Q184"/>
      <c r="R184"/>
    </row>
    <row r="185" spans="6:18" s="83" customFormat="1" ht="15" customHeight="1" x14ac:dyDescent="0.15">
      <c r="F185"/>
      <c r="G185"/>
      <c r="H185"/>
      <c r="I185"/>
      <c r="J185"/>
      <c r="K185"/>
      <c r="L185"/>
      <c r="M185"/>
      <c r="N185"/>
      <c r="O185"/>
      <c r="P185"/>
      <c r="Q185"/>
      <c r="R185"/>
    </row>
    <row r="186" spans="6:18" s="83" customFormat="1" ht="15" customHeight="1" x14ac:dyDescent="0.15">
      <c r="F186"/>
      <c r="G186"/>
      <c r="H186"/>
      <c r="I186"/>
      <c r="J186"/>
      <c r="K186"/>
      <c r="L186"/>
      <c r="M186"/>
      <c r="N186"/>
      <c r="O186"/>
      <c r="P186"/>
      <c r="Q186"/>
      <c r="R186"/>
    </row>
    <row r="187" spans="6:18" s="83" customFormat="1" ht="15" customHeight="1" x14ac:dyDescent="0.15">
      <c r="F187"/>
      <c r="G187"/>
      <c r="H187"/>
      <c r="I187"/>
      <c r="J187"/>
      <c r="K187"/>
      <c r="L187"/>
      <c r="M187"/>
      <c r="N187"/>
      <c r="O187"/>
      <c r="P187"/>
      <c r="Q187"/>
      <c r="R187"/>
    </row>
    <row r="188" spans="6:18" s="83"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BK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44.1640625" bestFit="1" customWidth="1"/>
    <col min="2" max="2" width="2.33203125" style="113" customWidth="1"/>
    <col min="3" max="5" width="7.83203125" style="113" customWidth="1"/>
    <col min="6" max="8" width="8.83203125" style="6"/>
    <col min="9" max="9" width="29.5" style="6" customWidth="1"/>
    <col min="10" max="10" width="21.6640625" style="6" customWidth="1"/>
    <col min="11" max="11" width="13.33203125" style="6" customWidth="1"/>
    <col min="12" max="12" width="14.1640625" style="6" customWidth="1"/>
    <col min="13" max="13" width="8.6640625" style="6" customWidth="1"/>
    <col min="14" max="14" width="11.33203125" style="6" customWidth="1"/>
    <col min="15" max="15" width="9.5" style="6" customWidth="1"/>
    <col min="16" max="16" width="9.1640625" style="6" customWidth="1"/>
    <col min="17" max="17" width="11.83203125" style="6" customWidth="1"/>
    <col min="18" max="18" width="11.1640625" style="6" customWidth="1"/>
    <col min="19" max="19" width="8.33203125" style="6" customWidth="1"/>
    <col min="20" max="20" width="8.1640625" style="6" customWidth="1"/>
    <col min="21" max="21" width="7.5" style="6" customWidth="1"/>
    <col min="22" max="22" width="5" style="6" customWidth="1"/>
    <col min="23" max="23" width="6.5" style="6" customWidth="1"/>
    <col min="24" max="24" width="10.6640625" style="6" customWidth="1"/>
    <col min="25" max="25" width="11.33203125" style="6" customWidth="1"/>
    <col min="26" max="26" width="11" style="6" customWidth="1"/>
    <col min="27" max="27" width="14.33203125" style="6" customWidth="1"/>
    <col min="28" max="28" width="8.83203125" style="6" customWidth="1"/>
    <col min="29" max="29" width="8.33203125" style="6" customWidth="1"/>
    <col min="30" max="30" width="7.5" style="6" customWidth="1"/>
    <col min="31" max="31" width="6.1640625" style="6" customWidth="1"/>
    <col min="32" max="32" width="9" style="6" customWidth="1"/>
    <col min="33" max="33" width="9.5" style="6" customWidth="1"/>
    <col min="34" max="34" width="12" style="6" customWidth="1"/>
    <col min="35" max="35" width="13.5" style="6" customWidth="1"/>
    <col min="36" max="36" width="13.83203125" style="6" customWidth="1"/>
    <col min="37" max="37" width="8.1640625" style="6" customWidth="1"/>
    <col min="38" max="38" width="44.1640625" style="6" customWidth="1"/>
    <col min="39" max="39" width="34.6640625" customWidth="1"/>
    <col min="40" max="40" width="34.33203125" customWidth="1"/>
    <col min="41" max="41" width="16.5" customWidth="1"/>
    <col min="42" max="42" width="23.1640625" customWidth="1"/>
    <col min="43" max="43" width="16.5" customWidth="1"/>
    <col min="44" max="45" width="15.83203125" customWidth="1"/>
    <col min="46" max="46" width="8.1640625" customWidth="1"/>
    <col min="47" max="47" width="14.6640625" customWidth="1"/>
    <col min="48" max="48" width="15" customWidth="1"/>
    <col min="49" max="49" width="16.83203125" customWidth="1"/>
    <col min="50" max="50" width="8.5" customWidth="1"/>
    <col min="51" max="51" width="7.6640625" customWidth="1"/>
    <col min="52" max="52" width="21.6640625" customWidth="1"/>
    <col min="53" max="53" width="11.83203125" customWidth="1"/>
    <col min="54" max="54" width="5.5" customWidth="1"/>
    <col min="55" max="55" width="8.33203125" customWidth="1"/>
    <col min="56" max="56" width="14.33203125" customWidth="1"/>
    <col min="57" max="57" width="8.83203125" customWidth="1"/>
    <col min="58" max="58" width="8.33203125" customWidth="1"/>
    <col min="59" max="59" width="7.5" customWidth="1"/>
    <col min="60" max="60" width="5" customWidth="1"/>
    <col min="61" max="61" width="7.5" customWidth="1"/>
    <col min="62" max="62" width="13.5" customWidth="1"/>
    <col min="63" max="63" width="5.83203125" customWidth="1"/>
    <col min="81" max="81" width="22.1640625" bestFit="1" customWidth="1"/>
  </cols>
  <sheetData>
    <row r="1" spans="1:63" x14ac:dyDescent="0.15">
      <c r="A1" s="4" t="s">
        <v>156</v>
      </c>
      <c r="B1" s="37" t="s">
        <v>157</v>
      </c>
      <c r="C1" s="37" t="s">
        <v>17</v>
      </c>
      <c r="D1" s="37" t="s">
        <v>158</v>
      </c>
      <c r="E1" s="37" t="s">
        <v>159</v>
      </c>
      <c r="F1" t="s">
        <v>38</v>
      </c>
      <c r="G1" t="s">
        <v>40</v>
      </c>
      <c r="H1" t="s">
        <v>41</v>
      </c>
      <c r="I1" s="206" t="s">
        <v>193</v>
      </c>
      <c r="J1" s="206" t="s">
        <v>194</v>
      </c>
      <c r="K1" s="206" t="s">
        <v>195</v>
      </c>
      <c r="L1" s="206" t="s">
        <v>196</v>
      </c>
      <c r="M1" s="206" t="s">
        <v>197</v>
      </c>
      <c r="N1" s="206" t="s">
        <v>198</v>
      </c>
      <c r="O1" s="206" t="s">
        <v>199</v>
      </c>
      <c r="P1" s="206" t="s">
        <v>200</v>
      </c>
      <c r="Q1" s="206" t="s">
        <v>201</v>
      </c>
      <c r="R1" s="206" t="s">
        <v>202</v>
      </c>
      <c r="S1" s="206" t="s">
        <v>203</v>
      </c>
      <c r="T1" s="206" t="s">
        <v>204</v>
      </c>
      <c r="U1" s="206" t="s">
        <v>205</v>
      </c>
      <c r="V1" s="206" t="s">
        <v>206</v>
      </c>
      <c r="W1" s="206" t="s">
        <v>207</v>
      </c>
      <c r="X1" s="206" t="s">
        <v>208</v>
      </c>
      <c r="Y1" s="206" t="s">
        <v>209</v>
      </c>
      <c r="Z1" s="206" t="s">
        <v>210</v>
      </c>
      <c r="AA1" s="206" t="s">
        <v>211</v>
      </c>
      <c r="AB1" s="206" t="s">
        <v>212</v>
      </c>
      <c r="AC1" s="206" t="s">
        <v>213</v>
      </c>
      <c r="AD1" s="206" t="s">
        <v>214</v>
      </c>
      <c r="AE1" s="206" t="s">
        <v>215</v>
      </c>
      <c r="AF1" s="206" t="s">
        <v>216</v>
      </c>
      <c r="AG1" s="206" t="s">
        <v>217</v>
      </c>
      <c r="AH1" s="206" t="s">
        <v>218</v>
      </c>
      <c r="AI1" s="206" t="s">
        <v>219</v>
      </c>
      <c r="AJ1" s="206" t="s">
        <v>220</v>
      </c>
      <c r="AK1" s="206" t="s">
        <v>221</v>
      </c>
      <c r="AL1" s="206" t="s">
        <v>222</v>
      </c>
      <c r="AM1" s="206" t="s">
        <v>223</v>
      </c>
      <c r="AN1" s="206" t="s">
        <v>224</v>
      </c>
      <c r="AO1" s="206" t="s">
        <v>225</v>
      </c>
      <c r="AP1" s="206" t="s">
        <v>226</v>
      </c>
      <c r="AQ1" s="206" t="s">
        <v>227</v>
      </c>
      <c r="AR1" s="206" t="s">
        <v>228</v>
      </c>
      <c r="AS1" s="206" t="s">
        <v>229</v>
      </c>
      <c r="AT1" s="206" t="s">
        <v>230</v>
      </c>
      <c r="AU1" s="206" t="s">
        <v>231</v>
      </c>
      <c r="AV1" s="206" t="s">
        <v>232</v>
      </c>
      <c r="AW1" s="206" t="s">
        <v>233</v>
      </c>
      <c r="AX1" s="206" t="s">
        <v>234</v>
      </c>
      <c r="AY1" s="206" t="s">
        <v>235</v>
      </c>
      <c r="AZ1" s="206" t="s">
        <v>236</v>
      </c>
      <c r="BA1" s="206" t="s">
        <v>201</v>
      </c>
      <c r="BB1" s="206" t="s">
        <v>237</v>
      </c>
      <c r="BC1" s="206" t="s">
        <v>203</v>
      </c>
      <c r="BD1" s="206" t="s">
        <v>211</v>
      </c>
      <c r="BE1" s="206" t="s">
        <v>212</v>
      </c>
      <c r="BF1" s="206" t="s">
        <v>213</v>
      </c>
      <c r="BG1" s="206" t="s">
        <v>214</v>
      </c>
      <c r="BH1" s="206" t="s">
        <v>206</v>
      </c>
      <c r="BI1" s="206" t="s">
        <v>205</v>
      </c>
      <c r="BJ1" s="206" t="s">
        <v>219</v>
      </c>
      <c r="BK1" s="206" t="s">
        <v>238</v>
      </c>
    </row>
    <row r="2" spans="1:63" x14ac:dyDescent="0.15">
      <c r="A2" t="s">
        <v>38</v>
      </c>
      <c r="B2" s="113">
        <v>0</v>
      </c>
      <c r="C2"/>
      <c r="D2"/>
      <c r="E2"/>
      <c r="F2"/>
      <c r="G2"/>
      <c r="H2"/>
      <c r="I2"/>
      <c r="J2"/>
      <c r="K2"/>
      <c r="L2"/>
      <c r="M2"/>
      <c r="N2"/>
      <c r="O2"/>
      <c r="P2"/>
      <c r="Q2"/>
      <c r="R2"/>
      <c r="S2"/>
      <c r="T2"/>
      <c r="U2"/>
      <c r="V2"/>
      <c r="W2"/>
      <c r="X2"/>
      <c r="Y2"/>
      <c r="Z2"/>
      <c r="AA2"/>
      <c r="AB2"/>
      <c r="AC2"/>
      <c r="AD2"/>
      <c r="AE2"/>
      <c r="AF2"/>
      <c r="AG2"/>
      <c r="AH2"/>
      <c r="AI2"/>
      <c r="AJ2"/>
      <c r="AK2"/>
      <c r="AL2"/>
    </row>
    <row r="3" spans="1:63" x14ac:dyDescent="0.15">
      <c r="A3" t="s">
        <v>40</v>
      </c>
      <c r="B3" s="113">
        <v>0</v>
      </c>
      <c r="C3"/>
      <c r="D3"/>
      <c r="E3"/>
      <c r="F3"/>
      <c r="G3"/>
      <c r="H3"/>
      <c r="I3"/>
      <c r="J3"/>
      <c r="K3"/>
      <c r="L3"/>
      <c r="M3"/>
      <c r="N3"/>
      <c r="O3"/>
      <c r="P3"/>
      <c r="Q3"/>
      <c r="R3"/>
      <c r="S3"/>
      <c r="T3"/>
      <c r="U3"/>
      <c r="V3"/>
      <c r="W3"/>
      <c r="X3"/>
      <c r="Y3"/>
      <c r="Z3"/>
      <c r="AA3"/>
      <c r="AB3"/>
      <c r="AC3"/>
      <c r="AD3"/>
      <c r="AE3"/>
      <c r="AF3"/>
      <c r="AG3"/>
      <c r="AH3"/>
      <c r="AI3"/>
      <c r="AJ3"/>
      <c r="AK3"/>
      <c r="AL3"/>
    </row>
    <row r="4" spans="1:63" x14ac:dyDescent="0.15">
      <c r="A4" t="s">
        <v>41</v>
      </c>
      <c r="B4" s="113">
        <v>0</v>
      </c>
      <c r="C4"/>
      <c r="D4"/>
      <c r="E4"/>
      <c r="F4"/>
      <c r="G4"/>
      <c r="H4"/>
      <c r="I4"/>
      <c r="J4"/>
      <c r="K4"/>
      <c r="L4"/>
      <c r="M4"/>
      <c r="N4"/>
      <c r="O4"/>
      <c r="P4"/>
      <c r="Q4"/>
      <c r="R4"/>
      <c r="S4"/>
      <c r="T4"/>
      <c r="U4"/>
      <c r="V4"/>
      <c r="W4"/>
      <c r="X4"/>
      <c r="Y4"/>
      <c r="Z4"/>
      <c r="AA4"/>
      <c r="AB4"/>
      <c r="AC4"/>
      <c r="AD4"/>
      <c r="AE4"/>
      <c r="AF4"/>
      <c r="AG4"/>
      <c r="AH4"/>
      <c r="AI4"/>
      <c r="AJ4"/>
      <c r="AK4"/>
      <c r="AL4"/>
    </row>
    <row r="5" spans="1:63" x14ac:dyDescent="0.15">
      <c r="A5" s="205" t="s">
        <v>193</v>
      </c>
      <c r="B5" s="113">
        <v>0</v>
      </c>
      <c r="C5"/>
      <c r="D5"/>
      <c r="E5"/>
      <c r="F5"/>
      <c r="G5"/>
      <c r="H5"/>
      <c r="I5"/>
      <c r="J5"/>
      <c r="K5"/>
      <c r="L5"/>
      <c r="M5"/>
      <c r="N5"/>
      <c r="O5"/>
      <c r="P5"/>
      <c r="Q5"/>
      <c r="R5"/>
      <c r="S5"/>
      <c r="T5"/>
      <c r="U5"/>
      <c r="V5"/>
      <c r="W5"/>
      <c r="X5"/>
      <c r="Y5"/>
      <c r="Z5"/>
      <c r="AA5"/>
      <c r="AB5"/>
      <c r="AC5"/>
      <c r="AD5"/>
      <c r="AE5"/>
      <c r="AF5"/>
      <c r="AG5"/>
      <c r="AH5"/>
      <c r="AI5"/>
      <c r="AJ5"/>
      <c r="AK5"/>
      <c r="AL5"/>
    </row>
    <row r="6" spans="1:63" x14ac:dyDescent="0.15">
      <c r="A6" s="205" t="s">
        <v>194</v>
      </c>
      <c r="B6" s="113">
        <v>0</v>
      </c>
      <c r="C6"/>
      <c r="D6"/>
      <c r="E6"/>
      <c r="F6"/>
      <c r="G6"/>
      <c r="H6"/>
      <c r="I6"/>
      <c r="J6"/>
      <c r="K6"/>
      <c r="L6"/>
      <c r="M6"/>
      <c r="N6"/>
      <c r="O6"/>
      <c r="P6"/>
      <c r="Q6"/>
      <c r="R6"/>
      <c r="S6"/>
      <c r="T6"/>
      <c r="U6"/>
      <c r="V6"/>
      <c r="W6"/>
      <c r="X6"/>
      <c r="Y6"/>
      <c r="Z6"/>
      <c r="AA6"/>
      <c r="AB6"/>
      <c r="AC6"/>
      <c r="AD6"/>
      <c r="AE6"/>
      <c r="AF6"/>
      <c r="AG6"/>
      <c r="AH6"/>
      <c r="AI6"/>
      <c r="AJ6"/>
      <c r="AK6"/>
      <c r="AL6"/>
    </row>
    <row r="7" spans="1:63" x14ac:dyDescent="0.15">
      <c r="A7" s="205" t="s">
        <v>195</v>
      </c>
      <c r="B7" s="113">
        <v>0</v>
      </c>
      <c r="C7"/>
      <c r="D7"/>
      <c r="E7"/>
      <c r="F7"/>
      <c r="G7"/>
      <c r="H7"/>
      <c r="I7"/>
      <c r="J7"/>
      <c r="K7"/>
      <c r="L7"/>
      <c r="M7"/>
      <c r="N7"/>
      <c r="O7"/>
      <c r="P7"/>
      <c r="Q7"/>
      <c r="R7"/>
      <c r="S7"/>
      <c r="T7"/>
      <c r="U7"/>
      <c r="V7"/>
      <c r="W7"/>
      <c r="X7"/>
      <c r="Y7"/>
      <c r="Z7"/>
      <c r="AA7"/>
      <c r="AB7"/>
      <c r="AC7"/>
      <c r="AD7"/>
      <c r="AE7"/>
      <c r="AF7"/>
      <c r="AG7"/>
      <c r="AH7"/>
      <c r="AI7"/>
      <c r="AJ7"/>
      <c r="AK7"/>
      <c r="AL7"/>
    </row>
    <row r="8" spans="1:63" x14ac:dyDescent="0.15">
      <c r="A8" s="205" t="s">
        <v>196</v>
      </c>
      <c r="B8" s="113">
        <v>0</v>
      </c>
      <c r="C8"/>
      <c r="D8"/>
      <c r="E8"/>
      <c r="F8"/>
      <c r="G8"/>
      <c r="H8"/>
      <c r="I8"/>
      <c r="J8"/>
      <c r="K8"/>
      <c r="L8"/>
      <c r="M8"/>
      <c r="N8"/>
      <c r="O8"/>
      <c r="P8"/>
      <c r="Q8"/>
      <c r="R8"/>
      <c r="S8"/>
      <c r="T8"/>
      <c r="U8"/>
      <c r="V8"/>
      <c r="W8"/>
      <c r="X8"/>
      <c r="Y8"/>
      <c r="Z8"/>
      <c r="AA8"/>
      <c r="AB8"/>
      <c r="AC8"/>
      <c r="AD8"/>
      <c r="AE8"/>
      <c r="AF8"/>
      <c r="AG8"/>
      <c r="AH8"/>
      <c r="AI8"/>
      <c r="AJ8"/>
      <c r="AK8"/>
      <c r="AL8"/>
    </row>
    <row r="9" spans="1:63" x14ac:dyDescent="0.15">
      <c r="A9" s="205" t="s">
        <v>197</v>
      </c>
      <c r="B9" s="113">
        <v>0</v>
      </c>
      <c r="C9"/>
      <c r="D9"/>
      <c r="E9"/>
      <c r="F9"/>
      <c r="G9"/>
      <c r="H9"/>
      <c r="I9"/>
      <c r="J9"/>
      <c r="K9"/>
      <c r="L9"/>
      <c r="M9"/>
      <c r="N9"/>
      <c r="O9"/>
      <c r="P9"/>
      <c r="Q9"/>
      <c r="R9"/>
      <c r="S9"/>
      <c r="T9"/>
      <c r="U9"/>
      <c r="V9"/>
      <c r="W9"/>
      <c r="X9"/>
      <c r="Y9"/>
      <c r="Z9"/>
      <c r="AA9"/>
      <c r="AB9"/>
      <c r="AC9"/>
      <c r="AD9"/>
      <c r="AE9"/>
      <c r="AF9"/>
      <c r="AG9"/>
      <c r="AH9"/>
      <c r="AI9"/>
      <c r="AJ9"/>
      <c r="AK9"/>
      <c r="AL9"/>
    </row>
    <row r="10" spans="1:63" x14ac:dyDescent="0.15">
      <c r="A10" s="205" t="s">
        <v>198</v>
      </c>
      <c r="B10" s="113">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63" x14ac:dyDescent="0.15">
      <c r="A11" s="205" t="s">
        <v>199</v>
      </c>
      <c r="B11" s="113">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63" x14ac:dyDescent="0.15">
      <c r="A12" s="205" t="s">
        <v>200</v>
      </c>
      <c r="B12" s="113">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63" x14ac:dyDescent="0.15">
      <c r="A13" s="205" t="s">
        <v>201</v>
      </c>
      <c r="B13" s="113">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63" x14ac:dyDescent="0.15">
      <c r="A14" s="205" t="s">
        <v>202</v>
      </c>
      <c r="B14" s="113">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63" x14ac:dyDescent="0.15">
      <c r="A15" s="205" t="s">
        <v>203</v>
      </c>
      <c r="B15" s="113">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63" x14ac:dyDescent="0.15">
      <c r="A16" s="205" t="s">
        <v>204</v>
      </c>
      <c r="B16" s="113">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205" t="s">
        <v>205</v>
      </c>
      <c r="B17" s="113">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205" t="s">
        <v>206</v>
      </c>
      <c r="B18" s="113">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205" t="s">
        <v>207</v>
      </c>
      <c r="B19" s="113">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205" t="s">
        <v>208</v>
      </c>
      <c r="B20" s="113">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205" t="s">
        <v>209</v>
      </c>
      <c r="B21" s="113">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205" t="s">
        <v>210</v>
      </c>
      <c r="B22" s="113">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205" t="s">
        <v>211</v>
      </c>
      <c r="B23" s="113">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205" t="s">
        <v>212</v>
      </c>
      <c r="B24" s="113">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205" t="s">
        <v>213</v>
      </c>
      <c r="B25" s="113">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205" t="s">
        <v>214</v>
      </c>
      <c r="B26" s="113">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205" t="s">
        <v>215</v>
      </c>
      <c r="B27" s="113">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205" t="s">
        <v>216</v>
      </c>
      <c r="B28" s="113">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205" t="s">
        <v>217</v>
      </c>
      <c r="B29" s="113">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205" t="s">
        <v>218</v>
      </c>
      <c r="B30" s="113">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205" t="s">
        <v>219</v>
      </c>
      <c r="B31" s="113">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205" t="s">
        <v>220</v>
      </c>
      <c r="B32" s="113">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205" t="s">
        <v>221</v>
      </c>
      <c r="B33" s="113">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205" t="s">
        <v>222</v>
      </c>
      <c r="B34" s="113">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205" t="s">
        <v>223</v>
      </c>
      <c r="B35" s="113">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205" t="s">
        <v>224</v>
      </c>
      <c r="B36" s="113">
        <v>0</v>
      </c>
      <c r="C36"/>
      <c r="D36"/>
    </row>
    <row r="37" spans="1:38" ht="15" customHeight="1" x14ac:dyDescent="0.15">
      <c r="A37" s="205" t="s">
        <v>225</v>
      </c>
      <c r="B37" s="113">
        <v>0</v>
      </c>
      <c r="C37"/>
      <c r="D37"/>
    </row>
    <row r="38" spans="1:38" ht="15" customHeight="1" x14ac:dyDescent="0.15">
      <c r="A38" s="205" t="s">
        <v>226</v>
      </c>
      <c r="B38" s="113">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205" t="s">
        <v>227</v>
      </c>
      <c r="B39" s="113">
        <v>0</v>
      </c>
      <c r="C39"/>
      <c r="D39"/>
    </row>
    <row r="40" spans="1:38" ht="15" customHeight="1" x14ac:dyDescent="0.15">
      <c r="A40" s="205" t="s">
        <v>228</v>
      </c>
      <c r="B40" s="113">
        <v>0</v>
      </c>
      <c r="C40"/>
      <c r="D40"/>
    </row>
    <row r="41" spans="1:38" ht="15" customHeight="1" x14ac:dyDescent="0.15">
      <c r="A41" s="205" t="s">
        <v>229</v>
      </c>
      <c r="B41" s="113">
        <v>0</v>
      </c>
      <c r="C41"/>
      <c r="D41"/>
    </row>
    <row r="42" spans="1:38" ht="15" customHeight="1" x14ac:dyDescent="0.15">
      <c r="A42" s="205" t="s">
        <v>230</v>
      </c>
      <c r="B42" s="113">
        <v>0</v>
      </c>
    </row>
    <row r="43" spans="1:38" ht="15" customHeight="1" x14ac:dyDescent="0.15">
      <c r="A43" s="205" t="s">
        <v>231</v>
      </c>
      <c r="B43" s="113">
        <v>0</v>
      </c>
    </row>
    <row r="44" spans="1:38" ht="15" customHeight="1" x14ac:dyDescent="0.15">
      <c r="A44" s="205" t="s">
        <v>232</v>
      </c>
      <c r="B44" s="113">
        <v>0</v>
      </c>
    </row>
    <row r="45" spans="1:38" ht="15" customHeight="1" x14ac:dyDescent="0.15">
      <c r="A45" s="205" t="s">
        <v>233</v>
      </c>
      <c r="B45" s="113">
        <v>0</v>
      </c>
    </row>
    <row r="46" spans="1:38" ht="15" customHeight="1" x14ac:dyDescent="0.15">
      <c r="A46" s="205" t="s">
        <v>234</v>
      </c>
      <c r="B46" s="113">
        <v>0</v>
      </c>
    </row>
    <row r="47" spans="1:38" ht="15" customHeight="1" x14ac:dyDescent="0.15">
      <c r="A47" s="205" t="s">
        <v>235</v>
      </c>
      <c r="B47" s="113">
        <v>0</v>
      </c>
    </row>
    <row r="48" spans="1:38" ht="15" customHeight="1" x14ac:dyDescent="0.15">
      <c r="A48" s="205" t="s">
        <v>236</v>
      </c>
      <c r="B48" s="113">
        <v>0</v>
      </c>
    </row>
    <row r="49" spans="1:38" ht="15" customHeight="1" x14ac:dyDescent="0.15">
      <c r="A49" s="205" t="s">
        <v>201</v>
      </c>
      <c r="B49" s="113">
        <v>0</v>
      </c>
    </row>
    <row r="50" spans="1:38" ht="15" customHeight="1" x14ac:dyDescent="0.15">
      <c r="A50" s="205" t="s">
        <v>237</v>
      </c>
      <c r="B50" s="113">
        <v>0</v>
      </c>
    </row>
    <row r="51" spans="1:38" ht="15" customHeight="1" x14ac:dyDescent="0.15">
      <c r="A51" s="205" t="s">
        <v>203</v>
      </c>
      <c r="B51" s="113">
        <v>0</v>
      </c>
    </row>
    <row r="52" spans="1:38" ht="15" customHeight="1" x14ac:dyDescent="0.15">
      <c r="A52" s="205" t="s">
        <v>211</v>
      </c>
      <c r="B52" s="113">
        <v>0</v>
      </c>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A53" s="205" t="s">
        <v>212</v>
      </c>
      <c r="B53" s="113">
        <v>0</v>
      </c>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A54" s="205" t="s">
        <v>213</v>
      </c>
      <c r="B54" s="113">
        <v>0</v>
      </c>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A55" s="205" t="s">
        <v>214</v>
      </c>
      <c r="B55" s="113">
        <v>0</v>
      </c>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A56" s="205" t="s">
        <v>206</v>
      </c>
      <c r="B56" s="113">
        <v>0</v>
      </c>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A57" s="205" t="s">
        <v>205</v>
      </c>
      <c r="B57" s="113">
        <v>0</v>
      </c>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A58" s="205" t="s">
        <v>219</v>
      </c>
      <c r="B58" s="113">
        <v>0</v>
      </c>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A59" s="205" t="s">
        <v>238</v>
      </c>
      <c r="B59" s="113">
        <v>0</v>
      </c>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2022-10-24T04:55:50Z</dcterms:modified>
</cp:coreProperties>
</file>