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CFF82E8-9F86-C148-AF9F-8EF2CA938B6C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<sst xmlns="http://schemas.openxmlformats.org/spreadsheetml/2006/main" count="1121" uniqueCount="237">
  <si>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</si>
  <si>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</si>
  <si>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</si>
  <si>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</si>
  <si>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</si>
  <si>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</si>
  <si>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</si>
  <si>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</si>
  <si>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</si>
  <si>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</si>
  <si>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</si>
  <si>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</si>
  <si>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</si>
  <si>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</si>
  <si>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</si>
  <si>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</si>
  <si>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</si>
  <si>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</si>
  <si>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</si>
  <si>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</si>
  <si>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</si>
  <si>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</si>
  <si>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</si>
  <si>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</si>
  <si>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</si>
  <si>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</si>
  <si>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</si>
  <si>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</si>
  <si>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</si>
  <si>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</si>
  <si>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</si>
  <si>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</si>
  <si>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</si>
  <si>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</si>
  <si>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</si>
  <si>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</si>
  <si>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</si>
  <si>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</si>
  <si>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</si>
  <si>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</si>
  <si>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</si>
  <si>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</si>
  <si>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</si>
  <si>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</si>
  <si>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</si>
  <si>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</si>
  <si>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</si>
  <si>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</si>
  <si>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</si>
  <si>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</si>
  <si>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</si>
  <si>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</si>
  <si>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</si>
  <si>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</si>
  <si>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</si>
  <si>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</si>
  <si>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</si>
  <si>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</si>
  <si>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</si>
  <si>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</si>
  <si>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</si>
  <si>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</si>
  <si>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</si>
  <si>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</si>
  <si>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</si>
  <si>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</si>
  <si>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</si>
  <si>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</si>
  <si>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</si>
  <si>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</si>
  <si>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</si>
  <si>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</si>
  <si>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</si>
  <si>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</si>
  <si>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</si>
  <si>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</si>
  <si>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</si>
  <si>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</si>
  <si>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</si>
  <si>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</si>
  <si>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</si>
  <si>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</si>
  <si>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</si>
  <si>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</si>
  <si>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</si>
  <si>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</si>
  <si>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</si>
  <si>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</si>
  <si>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</si>
  <si>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</si>
  <si>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</si>
  <si>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</si>
  <si>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</si>
  <si>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</si>
  <si>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</si>
  <si>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</si>
  <si>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</si>
  <si>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</si>
  <si>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</si>
  <si>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</si>
  <si>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</si>
  <si>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</si>
  <si>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</si>
  <si>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</si>
  <si>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</si>
  <si>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</si>
  <si>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</si>
  <si>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</si>
  <si>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</si>
  <si>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</si>
  <si>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</si>
  <si>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</si>
  <si>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</si>
  <si>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</si>
  <si>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</si>
  <si>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</si>
  <si>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</si>
  <si>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</si>
  <si>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</si>
  <si>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</si>
  <si>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</si>
  <si>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</si>
  <si>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</si>
  <si>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</si>
  <si>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</si>
  <si>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</si>
  <si>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</si>
  <si>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</si>
  <si>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</si>
  <si>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</si>
  <si>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</si>
  <si>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</si>
  <si>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</si>
  <si>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</si>
  <si>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</si>
  <si>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</si>
  <si>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</si>
  <si>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</si>
  <si>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</si>
  <si>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</si>
  <si>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</si>
  <si>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</si>
  <si>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</si>
  <si>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</si>
  <si>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</si>
  <si>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</si>
  <si>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</si>
  <si>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</si>
  <si>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</si>
  <si>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</si>
  <si>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</si>
  <si>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</si>
  <si>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</si>
  <si>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</si>
  <si>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</si>
  <si>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</si>
  <si>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</si>
  <si>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</si>
  <si>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</si>
  <si>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</si>
  <si>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</si>
  <si>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</si>
  <si>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</si>
  <si>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</si>
  <si>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</si>
  <si>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</si>
  <si>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</si>
  <si>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</si>
  <si>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</si>
  <si>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</si>
  <si>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</si>
  <si>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</si>
  <si>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</si>
  <si>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</si>
  <si>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</si>
  <si>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</si>
  <si>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</si>
  <si>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</si>
  <si>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</si>
  <si>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</si>
  <si>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</si>
  <si>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</si>
  <si>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</si>
  <si>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</si>
  <si>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</si>
  <si>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Atlantic</t>
  </si>
  <si>
    <t>Not affiliated</t>
  </si>
  <si>
    <t>BOX(-77.4999999999999 25.5000000000001,-2.49999999999989 57.5000000000002)</t>
  </si>
  <si>
    <t>open ocean</t>
  </si>
  <si>
    <t>WetWeight</t>
  </si>
  <si>
    <t>; 31-Aug-01 2:04:20 AM; 26/03/02 14:37:07; 6/3/2002 2:35:26 PM; 06-Jun-02 11:27:57; 06-Jun-02 15:51:04</t>
  </si>
  <si>
    <t>Vasconcellos M.,Watson R.(2004). Mass-balance models of oceanic systems in the Atlantic West African marine ecosystems: models and fisheries impacts. pp 171-214. In Palomares M.L.D.,Pauly D.</t>
  </si>
  <si>
    <t>Baleen whales</t>
  </si>
  <si>
    <t>Toothed whales</t>
  </si>
  <si>
    <t>Beaked whales</t>
  </si>
  <si>
    <t>Seabirds</t>
  </si>
  <si>
    <t>Pelagic sharks</t>
  </si>
  <si>
    <t>Yellowfin</t>
  </si>
  <si>
    <t>Bluefin</t>
  </si>
  <si>
    <t>Skipjack</t>
  </si>
  <si>
    <t>Albacore</t>
  </si>
  <si>
    <t>Bigeye</t>
  </si>
  <si>
    <t>Swordfish</t>
  </si>
  <si>
    <t>Billfishes</t>
  </si>
  <si>
    <t>Lg. Plank. fish</t>
  </si>
  <si>
    <t>Lg. Epi. fish</t>
  </si>
  <si>
    <t>Md. Epi. fish</t>
  </si>
  <si>
    <t>Sm. Epi. fish</t>
  </si>
  <si>
    <t>Lg. Meso fish</t>
  </si>
  <si>
    <t>Sm. Meso fish</t>
  </si>
  <si>
    <t>Sm. Bathyp. fish</t>
  </si>
  <si>
    <t>Md. Bathyp.fish</t>
  </si>
  <si>
    <t>Lg. Bathyp. fish</t>
  </si>
  <si>
    <t>Sm. Bathyd. slp</t>
  </si>
  <si>
    <t>Lg. Bathyd. slp</t>
  </si>
  <si>
    <t>Sm. Bathyd. abs</t>
  </si>
  <si>
    <t>Lg. Bathyd. abs</t>
  </si>
  <si>
    <t>Sm Squids</t>
  </si>
  <si>
    <t>Lg Squids</t>
  </si>
  <si>
    <t>Benth. ceph.</t>
  </si>
  <si>
    <t>Meiobenthos</t>
  </si>
  <si>
    <t>Macrobenthos</t>
  </si>
  <si>
    <t>Megabenthos</t>
  </si>
  <si>
    <t>Het. bacteria</t>
  </si>
  <si>
    <t>Sm. Zoop. shlw</t>
  </si>
  <si>
    <t>Lg. Zoop. shlw</t>
  </si>
  <si>
    <t>Sm. Zoop. deep</t>
  </si>
  <si>
    <t>Lg. Zoop. deep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</si>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</sst>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3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71" t="s">
        <v>171</v>
      </c>
      <c r="C53" s="103">
        <v>112</v>
      </c>
      <c r="D53" s="103"/>
    </row>
    <row r="54" spans="2:4" x14ac:dyDescent="0.15">
      <c r="B54" s="171" t="s">
        <v>172</v>
      </c>
      <c r="C54" s="171" t="s">
        <v>185</v>
      </c>
      <c r="D54" s="103"/>
    </row>
    <row r="55" spans="2:4" x14ac:dyDescent="0.15">
      <c r="B55" s="171" t="s">
        <v>173</v>
      </c>
      <c r="C55" s="171" t="s">
        <v>186</v>
      </c>
      <c r="D55" s="103"/>
    </row>
    <row r="56" spans="2:4" x14ac:dyDescent="0.15">
      <c r="B56" s="171" t="s">
        <v>174</v>
      </c>
      <c r="C56" s="103">
        <v>14729274</v>
      </c>
      <c r="D56" s="103"/>
    </row>
    <row r="57" spans="2:4" x14ac:dyDescent="0.15">
      <c r="B57" s="171" t="s">
        <v>175</v>
      </c>
      <c r="C57" s="171" t="s">
        <v>187</v>
      </c>
      <c r="D57" s="103"/>
    </row>
    <row r="58" spans="2:4" x14ac:dyDescent="0.15">
      <c r="B58" s="171" t="s">
        <v>176</v>
      </c>
      <c r="C58" s="171" t="s">
        <v>188</v>
      </c>
      <c r="D58" s="103"/>
    </row>
    <row r="59" spans="2:4" x14ac:dyDescent="0.15">
      <c r="B59" s="171" t="s">
        <v>177</v>
      </c>
      <c r="C59" s="171" t="s">
        <v>189</v>
      </c>
      <c r="D59" s="103"/>
    </row>
    <row r="60" spans="2:4" x14ac:dyDescent="0.15">
      <c r="B60" s="171" t="s">
        <v>178</v>
      </c>
      <c r="C60" s="171" t="s">
        <v>190</v>
      </c>
      <c r="D60" s="103"/>
    </row>
    <row r="61" spans="2:4" x14ac:dyDescent="0.15">
      <c r="B61" s="171" t="s">
        <v>179</v>
      </c>
      <c r="C61" s="103">
        <v>38</v>
      </c>
      <c r="D61" s="103"/>
    </row>
    <row r="62" spans="2:4" x14ac:dyDescent="0.15">
      <c r="B62" s="171" t="s">
        <v>180</v>
      </c>
      <c r="C62" s="103">
        <v>1</v>
      </c>
      <c r="D62" s="103"/>
    </row>
    <row r="63" spans="2:4" x14ac:dyDescent="0.15">
      <c r="B63" s="171" t="s">
        <v>181</v>
      </c>
      <c r="C63" s="103">
        <v>1997</v>
      </c>
      <c r="D63" s="103"/>
    </row>
    <row r="64" spans="2:4" x14ac:dyDescent="0.15">
      <c r="B64" s="171" t="s">
        <v>182</v>
      </c>
      <c r="C64" s="103">
        <v>1</v>
      </c>
      <c r="D64" s="103"/>
    </row>
    <row r="65" spans="2:4" x14ac:dyDescent="0.15">
      <c r="B65" s="171" t="s">
        <v>183</v>
      </c>
      <c r="C65" s="171" t="s">
        <v>191</v>
      </c>
      <c r="D65" s="103"/>
    </row>
    <row r="66" spans="2:4" x14ac:dyDescent="0.15">
      <c r="B66" s="171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2.83203125" style="77" bestFit="1" customWidth="1"/>
    <col min="8" max="8" width="12.83203125" style="77" customWidth="1"/>
    <col min="9" max="10" width="11.83203125" style="77" customWidth="1"/>
    <col min="11" max="11" width="13.83203125" style="77" customWidth="1"/>
    <col min="12" max="12" width="2.33203125" style="77" customWidth="1"/>
    <col min="13" max="13" width="3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72" t="s">
        <v>192</v>
      </c>
      <c r="F2" s="77">
        <v>0</v>
      </c>
      <c r="G2" s="77">
        <v>2.463394E-2</v>
      </c>
      <c r="H2" s="77">
        <v>0.02</v>
      </c>
      <c r="I2" s="6">
        <v>4.3943834300000004</v>
      </c>
      <c r="J2" s="6">
        <v>0.75492749999999997</v>
      </c>
      <c r="K2" s="6">
        <v>4.5512640000000002E-3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37</v>
      </c>
      <c r="C3" s="77">
        <v>2</v>
      </c>
      <c r="D3"/>
      <c r="E3" s="172" t="s">
        <v>193</v>
      </c>
      <c r="F3" s="77">
        <v>0</v>
      </c>
      <c r="G3" s="77">
        <v>5.114378E-2</v>
      </c>
      <c r="H3" s="77">
        <v>0.02</v>
      </c>
      <c r="I3" s="77">
        <v>6.6890234900000003</v>
      </c>
      <c r="J3" s="77">
        <v>0.65678389999999998</v>
      </c>
      <c r="K3" s="77">
        <v>2.9899729999999999E-3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72" t="s">
        <v>194</v>
      </c>
      <c r="F4" s="77">
        <v>0</v>
      </c>
      <c r="G4" s="77">
        <v>5.3609199999999995E-4</v>
      </c>
      <c r="H4" s="77">
        <v>0.02</v>
      </c>
      <c r="I4" s="77">
        <v>8.8056830000000001</v>
      </c>
      <c r="J4" s="77">
        <v>0.31906747800000002</v>
      </c>
      <c r="K4" s="77">
        <v>2.27126037E-3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72" t="s">
        <v>195</v>
      </c>
      <c r="F5" s="77">
        <v>0</v>
      </c>
      <c r="G5" s="77">
        <v>2.0418500000000001E-4</v>
      </c>
      <c r="H5" s="77">
        <v>7.8490525500000005E-2</v>
      </c>
      <c r="I5" s="77">
        <v>72.778559999999999</v>
      </c>
      <c r="J5" s="77">
        <v>0.25490750000000001</v>
      </c>
      <c r="K5" s="77">
        <v>1.0784842299999999E-3</v>
      </c>
      <c r="L5" s="77">
        <v>0</v>
      </c>
      <c r="M5" s="77">
        <v>0.2</v>
      </c>
      <c r="N5" s="77">
        <v>0</v>
      </c>
      <c r="P5" s="68"/>
      <c r="Q5" s="68"/>
      <c r="R5" s="68"/>
    </row>
    <row r="6" spans="1:46" ht="15" customHeight="1" thickBot="1" x14ac:dyDescent="0.2">
      <c r="B6" s="1"/>
      <c r="C6" s="77">
        <v>5</v>
      </c>
      <c r="D6"/>
      <c r="E6" s="172" t="s">
        <v>196</v>
      </c>
      <c r="F6" s="77">
        <v>0</v>
      </c>
      <c r="G6" s="77">
        <v>6.6429779999999999E-3</v>
      </c>
      <c r="H6" s="77">
        <v>0.39</v>
      </c>
      <c r="I6" s="77">
        <v>10</v>
      </c>
      <c r="J6" s="77">
        <v>0.9</v>
      </c>
      <c r="K6" s="77">
        <v>3.8999997100000003E-2</v>
      </c>
      <c r="L6" s="77">
        <v>0</v>
      </c>
      <c r="M6" s="77">
        <v>0.2</v>
      </c>
      <c r="N6" s="77">
        <v>0</v>
      </c>
      <c r="P6" s="68"/>
      <c r="Q6" s="68"/>
      <c r="R6" s="68"/>
      <c r="W6" s="33" t="s">
        <v>31</v>
      </c>
      <c r="X6" s="49">
        <f>MAX(MainOutputs!G:G)</f>
        <v>0.97708231210708618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272</v>
      </c>
      <c r="C7" s="77">
        <v>6</v>
      </c>
      <c r="D7"/>
      <c r="E7" s="172" t="s">
        <v>197</v>
      </c>
      <c r="F7" s="77">
        <v>0</v>
      </c>
      <c r="G7" s="77">
        <v>1.51419E-5</v>
      </c>
      <c r="H7" s="77">
        <v>1.05</v>
      </c>
      <c r="I7" s="77">
        <v>15.53</v>
      </c>
      <c r="J7" s="77">
        <v>0.76240600000000003</v>
      </c>
      <c r="K7" s="77">
        <v>6.7611075899999998E-2</v>
      </c>
      <c r="L7" s="77">
        <v>0</v>
      </c>
      <c r="M7" s="77">
        <v>0.2</v>
      </c>
      <c r="N7" s="77">
        <v>0</v>
      </c>
      <c r="P7" s="68"/>
      <c r="Q7" s="68"/>
      <c r="R7" s="68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56</v>
      </c>
      <c r="C8" s="77">
        <v>7</v>
      </c>
      <c r="D8"/>
      <c r="E8" s="172" t="s">
        <v>198</v>
      </c>
      <c r="F8" s="77">
        <v>0</v>
      </c>
      <c r="G8" s="77">
        <v>2.0295959999999998E-3</v>
      </c>
      <c r="H8" s="77">
        <v>0.5</v>
      </c>
      <c r="I8" s="77">
        <v>4</v>
      </c>
      <c r="J8" s="77">
        <v>0.97708225299999996</v>
      </c>
      <c r="K8" s="77">
        <v>0.125</v>
      </c>
      <c r="L8" s="77">
        <v>0</v>
      </c>
      <c r="M8" s="77">
        <v>0.2</v>
      </c>
      <c r="N8" s="77">
        <v>0</v>
      </c>
      <c r="P8" s="68"/>
      <c r="Q8" s="68"/>
      <c r="R8" s="68"/>
    </row>
    <row r="9" spans="1:46" ht="15" customHeight="1" x14ac:dyDescent="0.15">
      <c r="B9" s="1"/>
      <c r="C9" s="77">
        <v>8</v>
      </c>
      <c r="D9"/>
      <c r="E9" s="172" t="s">
        <v>199</v>
      </c>
      <c r="F9" s="77">
        <v>0</v>
      </c>
      <c r="G9" s="77">
        <v>4.6335400000000002E-4</v>
      </c>
      <c r="H9" s="77">
        <v>1.35</v>
      </c>
      <c r="I9" s="77">
        <v>19.61</v>
      </c>
      <c r="J9" s="77">
        <v>0.842862</v>
      </c>
      <c r="K9" s="77">
        <v>6.8842425900000004E-2</v>
      </c>
      <c r="L9" s="77">
        <v>0</v>
      </c>
      <c r="M9" s="77">
        <v>0.2</v>
      </c>
      <c r="N9" s="77">
        <v>0</v>
      </c>
      <c r="P9" s="68"/>
      <c r="Q9" s="68"/>
      <c r="R9" s="68"/>
    </row>
    <row r="10" spans="1:46" ht="15" customHeight="1" x14ac:dyDescent="0.15">
      <c r="B10" s="1"/>
      <c r="C10" s="77">
        <v>9</v>
      </c>
      <c r="D10"/>
      <c r="E10" s="172" t="s">
        <v>200</v>
      </c>
      <c r="F10" s="77">
        <v>0</v>
      </c>
      <c r="G10" s="77">
        <v>1.77648E-7</v>
      </c>
      <c r="H10" s="77">
        <v>0.8</v>
      </c>
      <c r="I10" s="77">
        <v>9.6</v>
      </c>
      <c r="J10" s="77">
        <v>0.62499930000000004</v>
      </c>
      <c r="K10" s="77">
        <v>8.3333329999999997E-2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72" t="s">
        <v>201</v>
      </c>
      <c r="F11" s="77">
        <v>0</v>
      </c>
      <c r="G11" s="77">
        <v>2.6943676199999999E-2</v>
      </c>
      <c r="H11" s="77">
        <v>0.75</v>
      </c>
      <c r="I11" s="77">
        <v>17.16</v>
      </c>
      <c r="J11" s="77">
        <v>0.55723506199999995</v>
      </c>
      <c r="K11" s="77">
        <v>4.3706294100000001E-2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72" t="s">
        <v>202</v>
      </c>
      <c r="F12" s="77">
        <v>0</v>
      </c>
      <c r="G12" s="77">
        <v>5.9135500000000003E-5</v>
      </c>
      <c r="H12" s="77">
        <v>0.7</v>
      </c>
      <c r="I12" s="77">
        <v>4</v>
      </c>
      <c r="J12" s="77">
        <v>0.73033243400000003</v>
      </c>
      <c r="K12" s="77">
        <v>0.17499999999999999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72" t="s">
        <v>203</v>
      </c>
      <c r="F13" s="77">
        <v>0</v>
      </c>
      <c r="G13" s="77">
        <v>5.0582099999999998E-5</v>
      </c>
      <c r="H13" s="77">
        <v>0.40393580000000001</v>
      </c>
      <c r="I13" s="77">
        <v>4.6903686499999999</v>
      </c>
      <c r="J13" s="77">
        <v>0.52764009999999995</v>
      </c>
      <c r="K13" s="77">
        <v>8.6120260000000004E-2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72" t="s">
        <v>204</v>
      </c>
      <c r="F14" s="77">
        <v>0</v>
      </c>
      <c r="G14" s="77">
        <v>6.4902279999999998E-3</v>
      </c>
      <c r="H14" s="77">
        <v>0.112</v>
      </c>
      <c r="I14" s="77">
        <v>1.8</v>
      </c>
      <c r="J14" s="77">
        <v>0.1</v>
      </c>
      <c r="K14" s="77">
        <v>6.2222227499999998E-2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72" t="s">
        <v>205</v>
      </c>
      <c r="F15" s="77">
        <v>0</v>
      </c>
      <c r="G15" s="77">
        <v>1.3777227100000001E-2</v>
      </c>
      <c r="H15" s="77">
        <v>0.69</v>
      </c>
      <c r="I15" s="77">
        <v>8.9376929999999994</v>
      </c>
      <c r="J15" s="77">
        <v>0.9</v>
      </c>
      <c r="K15" s="77">
        <v>7.7201135500000004E-2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72" t="s">
        <v>206</v>
      </c>
      <c r="F16" s="77">
        <v>0</v>
      </c>
      <c r="G16" s="77">
        <v>0.112967737</v>
      </c>
      <c r="H16" s="77">
        <v>1.08</v>
      </c>
      <c r="I16" s="77">
        <v>7.670833</v>
      </c>
      <c r="J16" s="77">
        <v>0.9</v>
      </c>
      <c r="K16" s="77">
        <v>0.140793055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72" t="s">
        <v>207</v>
      </c>
      <c r="F17" s="77">
        <v>0</v>
      </c>
      <c r="G17" s="77">
        <v>0.85927635400000002</v>
      </c>
      <c r="H17" s="77">
        <v>2.0533332799999999</v>
      </c>
      <c r="I17" s="77">
        <v>12.5488892</v>
      </c>
      <c r="J17" s="77">
        <v>0.9</v>
      </c>
      <c r="K17" s="77">
        <v>0.16362670000000001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72" t="s">
        <v>208</v>
      </c>
      <c r="F18" s="77">
        <v>0</v>
      </c>
      <c r="G18" s="77">
        <v>6.3801750000000003E-7</v>
      </c>
      <c r="H18" s="77">
        <v>0.15</v>
      </c>
      <c r="I18" s="77">
        <v>3.55</v>
      </c>
      <c r="J18" s="77">
        <v>0.9</v>
      </c>
      <c r="K18" s="77">
        <v>4.2253524100000002E-2</v>
      </c>
      <c r="L18" s="77">
        <v>0</v>
      </c>
      <c r="M18" s="77">
        <v>0.2</v>
      </c>
      <c r="N18" s="77">
        <v>0</v>
      </c>
      <c r="V18" s="1"/>
    </row>
    <row r="19" spans="1:22" ht="15" customHeight="1" x14ac:dyDescent="0.15">
      <c r="C19" s="77">
        <v>18</v>
      </c>
      <c r="D19"/>
      <c r="E19" s="172" t="s">
        <v>209</v>
      </c>
      <c r="F19" s="77">
        <v>0</v>
      </c>
      <c r="G19" s="77">
        <v>1.72436941</v>
      </c>
      <c r="H19" s="77">
        <v>1.98</v>
      </c>
      <c r="I19" s="77">
        <v>18.25</v>
      </c>
      <c r="J19" s="77">
        <v>0.70573174999999999</v>
      </c>
      <c r="K19" s="77">
        <v>0.108493149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72" t="s">
        <v>210</v>
      </c>
      <c r="F20" s="77">
        <v>0</v>
      </c>
      <c r="G20" s="77">
        <v>6.288842E-2</v>
      </c>
      <c r="H20" s="77">
        <v>1.04</v>
      </c>
      <c r="I20" s="77">
        <v>3.65</v>
      </c>
      <c r="J20" s="77">
        <v>0.9</v>
      </c>
      <c r="K20" s="77">
        <v>0.28493148099999999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4" t="s">
        <v>137</v>
      </c>
      <c r="B21" s="95"/>
      <c r="C21" s="77">
        <v>20</v>
      </c>
      <c r="D21"/>
      <c r="E21" s="172" t="s">
        <v>211</v>
      </c>
      <c r="F21" s="77">
        <v>0</v>
      </c>
      <c r="G21" s="77">
        <v>6.9548524900000006E-2</v>
      </c>
      <c r="H21" s="77">
        <v>0.19</v>
      </c>
      <c r="I21" s="77">
        <v>0.28999999999999998</v>
      </c>
      <c r="J21" s="77">
        <v>0.9</v>
      </c>
      <c r="K21" s="77">
        <v>0.65517239999999999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72" t="s">
        <v>212</v>
      </c>
      <c r="F22" s="77">
        <v>0</v>
      </c>
      <c r="G22" s="77">
        <v>2.3168588100000002E-2</v>
      </c>
      <c r="H22" s="77">
        <v>0.27</v>
      </c>
      <c r="I22" s="77">
        <v>0.49</v>
      </c>
      <c r="J22" s="77">
        <v>0.9</v>
      </c>
      <c r="K22" s="77">
        <v>0.55102044299999997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72" t="s">
        <v>213</v>
      </c>
      <c r="F23" s="77">
        <v>0</v>
      </c>
      <c r="G23" s="77">
        <v>8.1102079999999993E-2</v>
      </c>
      <c r="H23" s="77">
        <v>0.34535715</v>
      </c>
      <c r="I23" s="77">
        <v>0.62792205800000001</v>
      </c>
      <c r="J23" s="77">
        <v>0.9</v>
      </c>
      <c r="K23" s="77">
        <v>0.55000000000000004</v>
      </c>
      <c r="L23" s="77">
        <v>0</v>
      </c>
      <c r="M23" s="77">
        <v>0.2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72" t="s">
        <v>214</v>
      </c>
      <c r="F24" s="77">
        <v>0</v>
      </c>
      <c r="G24" s="77">
        <v>5.3246002600000002E-2</v>
      </c>
      <c r="H24" s="77">
        <v>0.17464286100000001</v>
      </c>
      <c r="I24" s="77">
        <v>0.31753248000000001</v>
      </c>
      <c r="J24" s="77">
        <v>0.68907165500000001</v>
      </c>
      <c r="K24" s="77">
        <v>0.55000000000000004</v>
      </c>
      <c r="L24" s="77">
        <v>0</v>
      </c>
      <c r="M24" s="77">
        <v>0.2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72" t="s">
        <v>215</v>
      </c>
      <c r="F25" s="77">
        <v>0</v>
      </c>
      <c r="G25" s="77">
        <v>0.121430077</v>
      </c>
      <c r="H25" s="77">
        <v>0.37777778499999998</v>
      </c>
      <c r="I25" s="77">
        <v>0.68686866800000002</v>
      </c>
      <c r="J25" s="77">
        <v>0.44754537900000002</v>
      </c>
      <c r="K25" s="77">
        <v>0.55000000000000004</v>
      </c>
      <c r="L25" s="77">
        <v>0</v>
      </c>
      <c r="M25" s="77">
        <v>0.2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72" t="s">
        <v>216</v>
      </c>
      <c r="F26" s="77">
        <v>0</v>
      </c>
      <c r="G26" s="77">
        <v>0.18963053799999999</v>
      </c>
      <c r="H26" s="77">
        <v>0.209166661</v>
      </c>
      <c r="I26" s="77">
        <v>0.38030302500000002</v>
      </c>
      <c r="J26" s="77">
        <v>0.46663250000000001</v>
      </c>
      <c r="K26" s="77">
        <v>0.55000000000000004</v>
      </c>
      <c r="L26" s="77">
        <v>0</v>
      </c>
      <c r="M26" s="77">
        <v>0.2</v>
      </c>
      <c r="N26" s="77">
        <v>0</v>
      </c>
    </row>
    <row r="27" spans="1:22" ht="15" customHeight="1" x14ac:dyDescent="0.15">
      <c r="C27" s="77">
        <v>26</v>
      </c>
      <c r="D27"/>
      <c r="E27" s="172" t="s">
        <v>217</v>
      </c>
      <c r="F27" s="77">
        <v>0</v>
      </c>
      <c r="G27" s="77">
        <v>0.29346516700000003</v>
      </c>
      <c r="H27" s="77">
        <v>4.5999999999999996</v>
      </c>
      <c r="I27" s="77">
        <v>36.5</v>
      </c>
      <c r="J27" s="77">
        <v>0.9</v>
      </c>
      <c r="K27" s="77">
        <v>0.12602738999999999</v>
      </c>
      <c r="L27" s="77">
        <v>0</v>
      </c>
      <c r="M27" s="77">
        <v>0.2</v>
      </c>
      <c r="N27" s="77">
        <v>0</v>
      </c>
    </row>
    <row r="28" spans="1:22" ht="15" customHeight="1" x14ac:dyDescent="0.15">
      <c r="C28" s="77">
        <v>27</v>
      </c>
      <c r="D28"/>
      <c r="E28" s="172" t="s">
        <v>218</v>
      </c>
      <c r="F28" s="77">
        <v>0</v>
      </c>
      <c r="G28" s="77">
        <v>8.0385520000000002E-2</v>
      </c>
      <c r="H28" s="77">
        <v>4.5999999999999996</v>
      </c>
      <c r="I28" s="77">
        <v>36.5</v>
      </c>
      <c r="J28" s="77">
        <v>0.9</v>
      </c>
      <c r="K28" s="77">
        <v>0.12602738999999999</v>
      </c>
      <c r="L28" s="77">
        <v>0</v>
      </c>
      <c r="M28" s="77">
        <v>0.2</v>
      </c>
      <c r="N28" s="77">
        <v>0</v>
      </c>
    </row>
    <row r="29" spans="1:22" customFormat="1" ht="15" customHeight="1" x14ac:dyDescent="0.15">
      <c r="C29" s="77">
        <v>28</v>
      </c>
      <c r="E29" s="172" t="s">
        <v>219</v>
      </c>
      <c r="F29" s="77">
        <v>0</v>
      </c>
      <c r="G29" s="77">
        <v>8.7905180000000006E-3</v>
      </c>
      <c r="H29" s="77">
        <v>1.1499999999999999</v>
      </c>
      <c r="I29" s="77">
        <v>2.2999999999999998</v>
      </c>
      <c r="J29" s="77">
        <v>0.9</v>
      </c>
      <c r="K29" s="77">
        <v>0.5</v>
      </c>
      <c r="L29" s="77">
        <v>0</v>
      </c>
      <c r="M29" s="77">
        <v>0.2</v>
      </c>
      <c r="N29" s="77">
        <v>0</v>
      </c>
    </row>
    <row r="30" spans="1:22" customFormat="1" ht="15" customHeight="1" x14ac:dyDescent="0.15">
      <c r="C30" s="77">
        <v>29</v>
      </c>
      <c r="E30" s="172" t="s">
        <v>220</v>
      </c>
      <c r="F30" s="77">
        <v>0</v>
      </c>
      <c r="G30" s="77">
        <v>1.234</v>
      </c>
      <c r="H30" s="77">
        <v>2.25</v>
      </c>
      <c r="I30" s="77">
        <v>22.65</v>
      </c>
      <c r="J30" s="77">
        <v>0.25912797500000001</v>
      </c>
      <c r="K30" s="77">
        <v>9.9337750000000002E-2</v>
      </c>
      <c r="L30" s="77">
        <v>0</v>
      </c>
      <c r="M30" s="77">
        <v>0.2</v>
      </c>
      <c r="N30" s="77">
        <v>0</v>
      </c>
    </row>
    <row r="31" spans="1:22" customFormat="1" ht="15" customHeight="1" x14ac:dyDescent="0.15">
      <c r="C31" s="77">
        <v>30</v>
      </c>
      <c r="E31" s="172" t="s">
        <v>221</v>
      </c>
      <c r="F31" s="77">
        <v>0</v>
      </c>
      <c r="G31" s="77">
        <v>0.54500000000000004</v>
      </c>
      <c r="H31" s="77">
        <v>1</v>
      </c>
      <c r="I31" s="77">
        <v>9.85</v>
      </c>
      <c r="J31" s="77">
        <v>0.23078860000000001</v>
      </c>
      <c r="K31" s="77">
        <v>0.101522841</v>
      </c>
      <c r="L31" s="77">
        <v>0</v>
      </c>
      <c r="M31" s="77">
        <v>0.2</v>
      </c>
      <c r="N31" s="77">
        <v>0</v>
      </c>
    </row>
    <row r="32" spans="1:22" customFormat="1" ht="15" customHeight="1" x14ac:dyDescent="0.15">
      <c r="C32" s="77">
        <v>31</v>
      </c>
      <c r="E32" s="172" t="s">
        <v>222</v>
      </c>
      <c r="F32" s="77">
        <v>0</v>
      </c>
      <c r="G32" s="77">
        <v>0.49299999999999999</v>
      </c>
      <c r="H32" s="77">
        <v>1.1000000000000001</v>
      </c>
      <c r="I32" s="77">
        <v>6.7</v>
      </c>
      <c r="J32" s="77">
        <v>0.11212773600000001</v>
      </c>
      <c r="K32" s="77">
        <v>0.16417911600000001</v>
      </c>
      <c r="L32" s="77">
        <v>0</v>
      </c>
      <c r="M32" s="77">
        <v>0.2</v>
      </c>
      <c r="N32" s="77">
        <v>0</v>
      </c>
    </row>
    <row r="33" spans="3:14" customFormat="1" ht="15" customHeight="1" x14ac:dyDescent="0.15">
      <c r="C33" s="77">
        <v>32</v>
      </c>
      <c r="E33" s="172" t="s">
        <v>223</v>
      </c>
      <c r="F33" s="77">
        <v>0</v>
      </c>
      <c r="G33" s="77">
        <v>28.167000000000002</v>
      </c>
      <c r="H33" s="77">
        <v>18.45</v>
      </c>
      <c r="I33" s="77">
        <v>25</v>
      </c>
      <c r="J33" s="77">
        <v>0.64686860000000002</v>
      </c>
      <c r="K33" s="77">
        <v>0.738000035</v>
      </c>
      <c r="L33" s="77">
        <v>0</v>
      </c>
      <c r="M33" s="77">
        <v>0.2</v>
      </c>
      <c r="N33" s="77">
        <v>0</v>
      </c>
    </row>
    <row r="34" spans="3:14" customFormat="1" ht="15" customHeight="1" x14ac:dyDescent="0.15">
      <c r="C34" s="77">
        <v>33</v>
      </c>
      <c r="E34" s="172" t="s">
        <v>224</v>
      </c>
      <c r="F34" s="77">
        <v>0</v>
      </c>
      <c r="G34" s="77">
        <v>90</v>
      </c>
      <c r="H34" s="77">
        <v>17.3</v>
      </c>
      <c r="I34" s="77">
        <v>57.7</v>
      </c>
      <c r="J34" s="77">
        <v>0.3241638</v>
      </c>
      <c r="K34" s="77">
        <v>0.29982668200000001</v>
      </c>
      <c r="L34" s="77">
        <v>0</v>
      </c>
      <c r="M34" s="77">
        <v>0.2</v>
      </c>
      <c r="N34" s="77">
        <v>0</v>
      </c>
    </row>
    <row r="35" spans="3:14" customFormat="1" ht="15" customHeight="1" x14ac:dyDescent="0.15">
      <c r="C35" s="77">
        <v>34</v>
      </c>
      <c r="E35" s="172" t="s">
        <v>225</v>
      </c>
      <c r="F35" s="77">
        <v>0</v>
      </c>
      <c r="G35" s="77">
        <v>7.3773174299999997</v>
      </c>
      <c r="H35" s="77">
        <v>8.6999999999999993</v>
      </c>
      <c r="I35" s="77">
        <v>29</v>
      </c>
      <c r="J35" s="77">
        <v>0.230355054</v>
      </c>
      <c r="K35" s="77">
        <v>0.299999982</v>
      </c>
      <c r="L35" s="77">
        <v>0</v>
      </c>
      <c r="M35" s="77">
        <v>0.2</v>
      </c>
      <c r="N35" s="77">
        <v>0</v>
      </c>
    </row>
    <row r="36" spans="3:14" customFormat="1" ht="15" customHeight="1" x14ac:dyDescent="0.15">
      <c r="C36" s="77">
        <v>35</v>
      </c>
      <c r="E36" s="172" t="s">
        <v>226</v>
      </c>
      <c r="F36" s="77">
        <v>0</v>
      </c>
      <c r="G36" s="77">
        <v>20</v>
      </c>
      <c r="H36" s="77">
        <v>17.3</v>
      </c>
      <c r="I36" s="77">
        <v>57.7</v>
      </c>
      <c r="J36" s="77">
        <v>0.12341413599999999</v>
      </c>
      <c r="K36" s="77">
        <v>0.29982668200000001</v>
      </c>
      <c r="L36" s="77">
        <v>0</v>
      </c>
      <c r="M36" s="77">
        <v>0.2</v>
      </c>
      <c r="N36" s="77">
        <v>0</v>
      </c>
    </row>
    <row r="37" spans="3:14" customFormat="1" ht="15" customHeight="1" x14ac:dyDescent="0.15">
      <c r="C37" s="77">
        <v>36</v>
      </c>
      <c r="E37" s="172" t="s">
        <v>227</v>
      </c>
      <c r="F37" s="77">
        <v>0</v>
      </c>
      <c r="G37" s="77">
        <v>1.39226425</v>
      </c>
      <c r="H37" s="77">
        <v>8.6999999999999993</v>
      </c>
      <c r="I37" s="77">
        <v>29</v>
      </c>
      <c r="J37" s="77">
        <v>0.13848528299999999</v>
      </c>
      <c r="K37" s="77">
        <v>0.299999982</v>
      </c>
      <c r="L37" s="77">
        <v>0</v>
      </c>
      <c r="M37" s="77">
        <v>0.2</v>
      </c>
      <c r="N37" s="77">
        <v>0</v>
      </c>
    </row>
    <row r="38" spans="3:14" customFormat="1" ht="15" customHeight="1" x14ac:dyDescent="0.15">
      <c r="C38" s="77">
        <v>37</v>
      </c>
      <c r="E38" s="172" t="s">
        <v>228</v>
      </c>
      <c r="F38" s="77">
        <v>1</v>
      </c>
      <c r="G38" s="77">
        <v>13.5</v>
      </c>
      <c r="H38" s="77">
        <v>259.27444500000001</v>
      </c>
      <c r="I38" s="77">
        <v>0</v>
      </c>
      <c r="J38" s="77">
        <v>0.89769220000000005</v>
      </c>
      <c r="K38" s="77">
        <v>0</v>
      </c>
      <c r="L38" s="77">
        <v>0</v>
      </c>
      <c r="M38" s="77">
        <v>0</v>
      </c>
      <c r="N38" s="77">
        <v>0</v>
      </c>
    </row>
    <row r="39" spans="3:14" customFormat="1" ht="15" customHeight="1" x14ac:dyDescent="0.15">
      <c r="C39" s="77">
        <v>38</v>
      </c>
      <c r="E39" s="172" t="s">
        <v>229</v>
      </c>
      <c r="F39" s="77">
        <v>2</v>
      </c>
      <c r="G39" s="77">
        <v>0</v>
      </c>
      <c r="H39" s="77">
        <v>0</v>
      </c>
      <c r="I39" s="77">
        <v>0</v>
      </c>
      <c r="J39" s="77">
        <v>0</v>
      </c>
      <c r="K39" s="77">
        <v>0</v>
      </c>
      <c r="L39" s="77">
        <v>0</v>
      </c>
      <c r="M39" s="77">
        <v>0</v>
      </c>
      <c r="N39" s="77">
        <v>0</v>
      </c>
    </row>
    <row r="40" spans="3:14" customFormat="1" ht="15" customHeight="1" x14ac:dyDescent="0.15">
      <c r="C40" s="77">
        <v>39</v>
      </c>
      <c r="E40" s="172" t="s">
        <v>230</v>
      </c>
      <c r="F40" s="77">
        <v>2</v>
      </c>
      <c r="G40" s="77">
        <v>5</v>
      </c>
      <c r="H40" s="77">
        <v>0</v>
      </c>
      <c r="I40" s="77">
        <v>0</v>
      </c>
      <c r="J40" s="77">
        <v>0</v>
      </c>
      <c r="K40" s="77">
        <v>0</v>
      </c>
      <c r="L40" s="77">
        <v>0</v>
      </c>
      <c r="M40" s="77">
        <v>0</v>
      </c>
      <c r="N40" s="77">
        <v>0</v>
      </c>
    </row>
    <row r="41" spans="3:14" customFormat="1" ht="15" customHeight="1" x14ac:dyDescent="0.15">
      <c r="C41" s="77">
        <v>40</v>
      </c>
      <c r="E41" s="172" t="s">
        <v>231</v>
      </c>
      <c r="F41" s="77">
        <v>3</v>
      </c>
      <c r="G41" s="77">
        <v>0</v>
      </c>
      <c r="H41" s="77">
        <v>0</v>
      </c>
      <c r="I41" s="77">
        <v>0</v>
      </c>
      <c r="J41" s="77">
        <v>0</v>
      </c>
      <c r="K41" s="77">
        <v>0</v>
      </c>
      <c r="L41" s="77">
        <v>0</v>
      </c>
      <c r="M41" s="77">
        <v>0</v>
      </c>
      <c r="N41" s="77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8" bestFit="1" customWidth="1"/>
    <col min="2" max="2" width="13.83203125" style="138" bestFit="1" customWidth="1"/>
    <col min="3" max="3" width="15.83203125" style="138" bestFit="1" customWidth="1"/>
    <col min="4" max="4" width="14.83203125" style="138" bestFit="1" customWidth="1"/>
    <col min="5" max="5" width="13.83203125" style="138" bestFit="1" customWidth="1"/>
    <col min="6" max="6" width="15.83203125" style="138" bestFit="1" customWidth="1"/>
    <col min="7" max="7" width="14.83203125" style="138" bestFit="1" customWidth="1"/>
    <col min="8" max="8" width="13.83203125" style="138" bestFit="1" customWidth="1"/>
    <col min="9" max="9" width="12.83203125" style="138" bestFit="1" customWidth="1"/>
    <col min="10" max="10" width="13.83203125" style="138" bestFit="1" customWidth="1"/>
    <col min="11" max="11" width="15.5" style="138" bestFit="1" customWidth="1"/>
    <col min="12" max="12" width="12.83203125" style="138" bestFit="1" customWidth="1"/>
    <col min="13" max="13" width="13.83203125" style="138" bestFit="1" customWidth="1"/>
    <col min="14" max="14" width="14.83203125" style="138" bestFit="1" customWidth="1"/>
    <col min="15" max="15" width="15.83203125" style="138" bestFit="1" customWidth="1"/>
    <col min="16" max="18" width="13.83203125" style="138" bestFit="1" customWidth="1"/>
    <col min="19" max="19" width="14.83203125" style="138" bestFit="1" customWidth="1"/>
    <col min="20" max="20" width="13.83203125" style="138" bestFit="1" customWidth="1"/>
    <col min="21" max="21" width="14.83203125" style="138" bestFit="1" customWidth="1"/>
    <col min="22" max="22" width="15.83203125" style="138" bestFit="1" customWidth="1"/>
    <col min="23" max="23" width="15.5" style="138" bestFit="1" customWidth="1"/>
    <col min="24" max="24" width="14.83203125" style="138" bestFit="1" customWidth="1"/>
    <col min="25" max="25" width="13.83203125" style="138" bestFit="1" customWidth="1"/>
    <col min="26" max="27" width="14.83203125" style="138" bestFit="1" customWidth="1"/>
    <col min="28" max="28" width="13.83203125" style="138" bestFit="1" customWidth="1"/>
    <col min="29" max="29" width="3.83203125" style="138" bestFit="1" customWidth="1"/>
    <col min="30" max="30" width="13.83203125" style="138" customWidth="1"/>
    <col min="31" max="32" width="4.83203125" style="138" customWidth="1"/>
    <col min="33" max="33" width="2.33203125" style="138" customWidth="1"/>
    <col min="34" max="34" width="5.83203125" style="138" customWidth="1"/>
    <col min="35" max="35" width="4.83203125" style="138" customWidth="1"/>
    <col min="36" max="36" width="5.83203125" style="138" customWidth="1"/>
    <col min="37" max="37" width="4.83203125" style="138" customWidth="1"/>
    <col min="38" max="40" width="2.33203125" style="138" customWidth="1"/>
    <col min="41" max="16384" width="8.83203125" style="138"/>
  </cols>
  <sheetData>
    <row r="1" spans="1:40" x14ac:dyDescent="0.15">
      <c r="A1" s="137" t="s">
        <v>19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 s="174" t="s">
        <v>213</v>
      </c>
      <c r="X1" s="174" t="s">
        <v>214</v>
      </c>
      <c r="Y1" s="174" t="s">
        <v>215</v>
      </c>
      <c r="Z1" s="174" t="s">
        <v>216</v>
      </c>
      <c r="AA1" s="174" t="s">
        <v>217</v>
      </c>
      <c r="AB1" s="174" t="s">
        <v>218</v>
      </c>
      <c r="AC1" s="174" t="s">
        <v>219</v>
      </c>
      <c r="AD1" s="174" t="s">
        <v>220</v>
      </c>
      <c r="AE1" s="174" t="s">
        <v>221</v>
      </c>
      <c r="AF1" s="174" t="s">
        <v>222</v>
      </c>
      <c r="AG1" s="174" t="s">
        <v>223</v>
      </c>
      <c r="AH1" s="174" t="s">
        <v>224</v>
      </c>
      <c r="AI1" s="174" t="s">
        <v>225</v>
      </c>
      <c r="AJ1" s="174" t="s">
        <v>226</v>
      </c>
      <c r="AK1" s="174" t="s">
        <v>227</v>
      </c>
      <c r="AL1" s="174" t="s">
        <v>228</v>
      </c>
      <c r="AM1" s="174" t="s">
        <v>229</v>
      </c>
      <c r="AN1" s="174" t="s">
        <v>230</v>
      </c>
    </row>
    <row r="2" spans="1:40" customFormat="1" x14ac:dyDescent="0.15">
      <c r="A2" s="173" t="s">
        <v>192</v>
      </c>
      <c r="B2" s="138">
        <v>0</v>
      </c>
      <c r="C2" s="138">
        <v>9.9011869937820521E-4</v>
      </c>
      <c r="D2" s="138">
        <v>0</v>
      </c>
      <c r="E2" s="138">
        <v>0</v>
      </c>
      <c r="F2" s="138">
        <v>5.0000479351338778E-4</v>
      </c>
      <c r="G2" s="138">
        <v>0</v>
      </c>
      <c r="H2" s="138">
        <v>0</v>
      </c>
      <c r="I2" s="138">
        <v>0</v>
      </c>
      <c r="J2" s="138">
        <v>0</v>
      </c>
      <c r="K2" s="138">
        <v>0</v>
      </c>
      <c r="L2" s="138">
        <v>0</v>
      </c>
      <c r="M2" s="138">
        <v>0</v>
      </c>
      <c r="N2" s="138">
        <v>0</v>
      </c>
      <c r="O2" s="138">
        <v>0</v>
      </c>
      <c r="P2" s="138">
        <v>0</v>
      </c>
      <c r="Q2" s="138">
        <v>0</v>
      </c>
      <c r="R2" s="138">
        <v>0</v>
      </c>
      <c r="S2" s="138">
        <v>0</v>
      </c>
      <c r="T2" s="138">
        <v>0</v>
      </c>
      <c r="U2" s="138">
        <v>0</v>
      </c>
      <c r="V2" s="138">
        <v>0</v>
      </c>
      <c r="W2" s="138">
        <v>0</v>
      </c>
      <c r="X2" s="138">
        <v>0</v>
      </c>
      <c r="Y2" s="138">
        <v>0</v>
      </c>
      <c r="Z2" s="138">
        <v>0</v>
      </c>
      <c r="AA2" s="138">
        <v>0</v>
      </c>
      <c r="AB2" s="138">
        <v>0</v>
      </c>
      <c r="AC2" s="138">
        <v>0</v>
      </c>
      <c r="AD2" s="138">
        <v>0</v>
      </c>
      <c r="AE2" s="138">
        <v>0</v>
      </c>
      <c r="AF2" s="138">
        <v>0</v>
      </c>
      <c r="AG2" s="138">
        <v>0</v>
      </c>
      <c r="AH2" s="138">
        <v>0</v>
      </c>
      <c r="AI2" s="138">
        <v>0</v>
      </c>
      <c r="AJ2" s="138">
        <v>0</v>
      </c>
      <c r="AK2" s="138">
        <v>0</v>
      </c>
      <c r="AL2" s="138">
        <v>0</v>
      </c>
      <c r="AM2" s="138">
        <v>0</v>
      </c>
      <c r="AN2" s="138">
        <v>0</v>
      </c>
    </row>
    <row r="3" spans="1:40" customFormat="1" x14ac:dyDescent="0.15">
      <c r="A3" s="173" t="s">
        <v>193</v>
      </c>
      <c r="B3" s="138">
        <v>0</v>
      </c>
      <c r="C3" s="138">
        <v>9.9011869937820521E-4</v>
      </c>
      <c r="D3" s="138">
        <v>0</v>
      </c>
      <c r="E3" s="138">
        <v>0</v>
      </c>
      <c r="F3" s="138">
        <v>5.0141159349513719E-3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L3" s="138">
        <v>0</v>
      </c>
      <c r="M3" s="138">
        <v>0</v>
      </c>
      <c r="N3" s="138">
        <v>0</v>
      </c>
      <c r="O3" s="138">
        <v>0</v>
      </c>
      <c r="P3" s="138">
        <v>0</v>
      </c>
      <c r="Q3" s="138">
        <v>0</v>
      </c>
      <c r="R3" s="138">
        <v>0</v>
      </c>
      <c r="S3" s="138">
        <v>0</v>
      </c>
      <c r="T3" s="138">
        <v>0</v>
      </c>
      <c r="U3" s="138">
        <v>0</v>
      </c>
      <c r="V3" s="138">
        <v>0</v>
      </c>
      <c r="W3" s="138">
        <v>0</v>
      </c>
      <c r="X3" s="138">
        <v>0</v>
      </c>
      <c r="Y3" s="138">
        <v>0</v>
      </c>
      <c r="Z3" s="138">
        <v>0</v>
      </c>
      <c r="AA3" s="138">
        <v>0</v>
      </c>
      <c r="AB3" s="138">
        <v>0</v>
      </c>
      <c r="AC3" s="138">
        <v>0</v>
      </c>
      <c r="AD3" s="138">
        <v>0</v>
      </c>
      <c r="AE3" s="138">
        <v>0</v>
      </c>
      <c r="AF3" s="138">
        <v>0</v>
      </c>
      <c r="AG3" s="138">
        <v>0</v>
      </c>
      <c r="AH3" s="138">
        <v>0</v>
      </c>
      <c r="AI3" s="138">
        <v>0</v>
      </c>
      <c r="AJ3" s="138">
        <v>0</v>
      </c>
      <c r="AK3" s="138">
        <v>0</v>
      </c>
      <c r="AL3" s="138">
        <v>0</v>
      </c>
      <c r="AM3" s="138">
        <v>0</v>
      </c>
      <c r="AN3" s="138">
        <v>0</v>
      </c>
    </row>
    <row r="4" spans="1:40" customFormat="1" x14ac:dyDescent="0.15">
      <c r="A4" s="173" t="s">
        <v>194</v>
      </c>
      <c r="B4" s="138">
        <v>0</v>
      </c>
      <c r="C4" s="138">
        <v>9.9999139937200542E-6</v>
      </c>
      <c r="D4" s="138">
        <v>0</v>
      </c>
      <c r="E4" s="138">
        <v>0</v>
      </c>
      <c r="F4" s="138">
        <v>0</v>
      </c>
      <c r="G4" s="138">
        <v>0</v>
      </c>
      <c r="H4" s="138">
        <v>0</v>
      </c>
      <c r="I4" s="138">
        <v>0</v>
      </c>
      <c r="J4" s="138">
        <v>0</v>
      </c>
      <c r="K4" s="138">
        <v>0</v>
      </c>
      <c r="L4" s="138">
        <v>0</v>
      </c>
      <c r="M4" s="138">
        <v>0</v>
      </c>
      <c r="N4" s="138">
        <v>0</v>
      </c>
      <c r="O4" s="138">
        <v>0</v>
      </c>
      <c r="P4" s="138">
        <v>0</v>
      </c>
      <c r="Q4" s="138">
        <v>0</v>
      </c>
      <c r="R4" s="138">
        <v>0</v>
      </c>
      <c r="S4" s="138">
        <v>0</v>
      </c>
      <c r="T4" s="138">
        <v>0</v>
      </c>
      <c r="U4" s="138">
        <v>0</v>
      </c>
      <c r="V4" s="138">
        <v>0</v>
      </c>
      <c r="W4" s="138">
        <v>0</v>
      </c>
      <c r="X4" s="138">
        <v>0</v>
      </c>
      <c r="Y4" s="138">
        <v>0</v>
      </c>
      <c r="Z4" s="138">
        <v>0</v>
      </c>
      <c r="AA4" s="138">
        <v>0</v>
      </c>
      <c r="AB4" s="138">
        <v>0</v>
      </c>
      <c r="AC4" s="138">
        <v>0</v>
      </c>
      <c r="AD4" s="138">
        <v>0</v>
      </c>
      <c r="AE4" s="138">
        <v>0</v>
      </c>
      <c r="AF4" s="138">
        <v>0</v>
      </c>
      <c r="AG4" s="138">
        <v>0</v>
      </c>
      <c r="AH4" s="138">
        <v>0</v>
      </c>
      <c r="AI4" s="138">
        <v>0</v>
      </c>
      <c r="AJ4" s="138">
        <v>0</v>
      </c>
      <c r="AK4" s="138">
        <v>0</v>
      </c>
      <c r="AL4" s="138">
        <v>0</v>
      </c>
      <c r="AM4" s="138">
        <v>0</v>
      </c>
      <c r="AN4" s="138">
        <v>0</v>
      </c>
    </row>
    <row r="5" spans="1:40" customFormat="1" x14ac:dyDescent="0.15">
      <c r="A5" s="173" t="s">
        <v>195</v>
      </c>
      <c r="B5" s="138">
        <v>0</v>
      </c>
      <c r="C5" s="138">
        <v>9.9999139937200542E-6</v>
      </c>
      <c r="D5" s="138">
        <v>0</v>
      </c>
      <c r="E5" s="138">
        <v>0</v>
      </c>
      <c r="F5" s="138">
        <v>1.0000140570267175E-5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L5" s="138">
        <v>0</v>
      </c>
      <c r="M5" s="138">
        <v>0</v>
      </c>
      <c r="N5" s="138">
        <v>0</v>
      </c>
      <c r="O5" s="138">
        <v>0</v>
      </c>
      <c r="P5" s="138">
        <v>0</v>
      </c>
      <c r="Q5" s="138">
        <v>0</v>
      </c>
      <c r="R5" s="138">
        <v>0</v>
      </c>
      <c r="S5" s="138">
        <v>0</v>
      </c>
      <c r="T5" s="138">
        <v>0</v>
      </c>
      <c r="U5" s="138">
        <v>0</v>
      </c>
      <c r="V5" s="138">
        <v>0</v>
      </c>
      <c r="W5" s="138">
        <v>0</v>
      </c>
      <c r="X5" s="138">
        <v>0</v>
      </c>
      <c r="Y5" s="138">
        <v>0</v>
      </c>
      <c r="Z5" s="138">
        <v>0</v>
      </c>
      <c r="AA5" s="138">
        <v>0</v>
      </c>
      <c r="AB5" s="138">
        <v>0</v>
      </c>
      <c r="AC5" s="138">
        <v>0</v>
      </c>
      <c r="AD5" s="138">
        <v>0</v>
      </c>
      <c r="AE5" s="138">
        <v>0</v>
      </c>
      <c r="AF5" s="138">
        <v>0</v>
      </c>
      <c r="AG5" s="138">
        <v>0</v>
      </c>
      <c r="AH5" s="138">
        <v>0</v>
      </c>
      <c r="AI5" s="138">
        <v>0</v>
      </c>
      <c r="AJ5" s="138">
        <v>0</v>
      </c>
      <c r="AK5" s="138">
        <v>0</v>
      </c>
      <c r="AL5" s="138">
        <v>0</v>
      </c>
      <c r="AM5" s="138">
        <v>0</v>
      </c>
      <c r="AN5" s="138">
        <v>0</v>
      </c>
    </row>
    <row r="6" spans="1:40" customFormat="1" x14ac:dyDescent="0.15">
      <c r="A6" s="173" t="s">
        <v>196</v>
      </c>
      <c r="B6" s="138">
        <v>0</v>
      </c>
      <c r="C6" s="138">
        <v>0</v>
      </c>
      <c r="D6" s="138">
        <v>0</v>
      </c>
      <c r="E6" s="138">
        <v>0</v>
      </c>
      <c r="F6" s="138">
        <v>9.0041558831881838E-3</v>
      </c>
      <c r="G6" s="138">
        <v>0</v>
      </c>
      <c r="H6" s="138">
        <v>0</v>
      </c>
      <c r="I6" s="138">
        <v>0</v>
      </c>
      <c r="J6" s="138">
        <v>0</v>
      </c>
      <c r="K6" s="138">
        <v>0</v>
      </c>
      <c r="L6" s="138">
        <v>0</v>
      </c>
      <c r="M6" s="138">
        <v>1.1414734730197214E-2</v>
      </c>
      <c r="N6" s="138">
        <v>0</v>
      </c>
      <c r="O6" s="138">
        <v>0</v>
      </c>
      <c r="P6" s="138">
        <v>0</v>
      </c>
      <c r="Q6" s="138">
        <v>0</v>
      </c>
      <c r="R6" s="138">
        <v>0</v>
      </c>
      <c r="S6" s="138">
        <v>0</v>
      </c>
      <c r="T6" s="138">
        <v>0</v>
      </c>
      <c r="U6" s="138">
        <v>0</v>
      </c>
      <c r="V6" s="138">
        <v>0</v>
      </c>
      <c r="W6" s="138">
        <v>0</v>
      </c>
      <c r="X6" s="138">
        <v>0</v>
      </c>
      <c r="Y6" s="138">
        <v>0</v>
      </c>
      <c r="Z6" s="138">
        <v>0</v>
      </c>
      <c r="AA6" s="138">
        <v>0</v>
      </c>
      <c r="AB6" s="138">
        <v>0</v>
      </c>
      <c r="AC6" s="138">
        <v>0</v>
      </c>
      <c r="AD6" s="138">
        <v>0</v>
      </c>
      <c r="AE6" s="138">
        <v>0</v>
      </c>
      <c r="AF6" s="138">
        <v>0</v>
      </c>
      <c r="AG6" s="138">
        <v>0</v>
      </c>
      <c r="AH6" s="138">
        <v>0</v>
      </c>
      <c r="AI6" s="138">
        <v>0</v>
      </c>
      <c r="AJ6" s="138">
        <v>0</v>
      </c>
      <c r="AK6" s="138">
        <v>0</v>
      </c>
      <c r="AL6" s="138">
        <v>0</v>
      </c>
      <c r="AM6" s="138">
        <v>0</v>
      </c>
      <c r="AN6" s="138">
        <v>0</v>
      </c>
    </row>
    <row r="7" spans="1:40" customFormat="1" x14ac:dyDescent="0.15">
      <c r="A7" s="173" t="s">
        <v>197</v>
      </c>
      <c r="B7" s="138">
        <v>0</v>
      </c>
      <c r="C7" s="138">
        <v>0</v>
      </c>
      <c r="D7" s="138">
        <v>0</v>
      </c>
      <c r="E7" s="138">
        <v>0</v>
      </c>
      <c r="F7" s="138">
        <v>1.0004696270208072E-5</v>
      </c>
      <c r="G7" s="138">
        <v>0</v>
      </c>
      <c r="H7" s="138">
        <v>0</v>
      </c>
      <c r="I7" s="138">
        <v>0</v>
      </c>
      <c r="J7" s="138">
        <v>0</v>
      </c>
      <c r="K7" s="138">
        <v>0</v>
      </c>
      <c r="L7" s="138">
        <v>0</v>
      </c>
      <c r="M7" s="138">
        <v>0</v>
      </c>
      <c r="N7" s="138">
        <v>0</v>
      </c>
      <c r="O7" s="138">
        <v>5.0002977537353351E-5</v>
      </c>
      <c r="P7" s="138">
        <v>0</v>
      </c>
      <c r="Q7" s="138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  <c r="W7" s="138">
        <v>0</v>
      </c>
      <c r="X7" s="138">
        <v>0</v>
      </c>
      <c r="Y7" s="138">
        <v>0</v>
      </c>
      <c r="Z7" s="138">
        <v>0</v>
      </c>
      <c r="AA7" s="138">
        <v>0</v>
      </c>
      <c r="AB7" s="138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8">
        <v>0</v>
      </c>
      <c r="AI7" s="138">
        <v>0</v>
      </c>
      <c r="AJ7" s="138">
        <v>0</v>
      </c>
      <c r="AK7" s="138">
        <v>0</v>
      </c>
      <c r="AL7" s="138">
        <v>0</v>
      </c>
      <c r="AM7" s="138">
        <v>0</v>
      </c>
      <c r="AN7" s="138">
        <v>0</v>
      </c>
    </row>
    <row r="8" spans="1:40" customFormat="1" x14ac:dyDescent="0.15">
      <c r="A8" s="173" t="s">
        <v>198</v>
      </c>
      <c r="B8" s="138">
        <v>0</v>
      </c>
      <c r="C8" s="138">
        <v>0</v>
      </c>
      <c r="D8" s="138">
        <v>0</v>
      </c>
      <c r="E8" s="138">
        <v>0</v>
      </c>
      <c r="F8" s="138">
        <v>3.0000146510805095E-3</v>
      </c>
      <c r="G8" s="138">
        <v>0</v>
      </c>
      <c r="H8" s="138">
        <v>0</v>
      </c>
      <c r="I8" s="138">
        <v>0</v>
      </c>
      <c r="J8" s="138">
        <v>0</v>
      </c>
      <c r="K8" s="138">
        <v>0</v>
      </c>
      <c r="L8" s="138">
        <v>0</v>
      </c>
      <c r="M8" s="138">
        <v>0</v>
      </c>
      <c r="N8" s="138">
        <v>0</v>
      </c>
      <c r="O8" s="138">
        <v>5.0023102536362197E-4</v>
      </c>
      <c r="P8" s="138">
        <v>0</v>
      </c>
      <c r="Q8" s="138">
        <v>0</v>
      </c>
      <c r="R8" s="138">
        <v>0</v>
      </c>
      <c r="S8" s="138">
        <v>0</v>
      </c>
      <c r="T8" s="138">
        <v>0</v>
      </c>
      <c r="U8" s="138">
        <v>0</v>
      </c>
      <c r="V8" s="138">
        <v>0</v>
      </c>
      <c r="W8" s="138">
        <v>0</v>
      </c>
      <c r="X8" s="138">
        <v>0</v>
      </c>
      <c r="Y8" s="138">
        <v>0</v>
      </c>
      <c r="Z8" s="138">
        <v>0</v>
      </c>
      <c r="AA8" s="138">
        <v>0</v>
      </c>
      <c r="AB8" s="138">
        <v>0</v>
      </c>
      <c r="AC8" s="138">
        <v>0</v>
      </c>
      <c r="AD8" s="138">
        <v>0</v>
      </c>
      <c r="AE8" s="138">
        <v>0</v>
      </c>
      <c r="AF8" s="138">
        <v>0</v>
      </c>
      <c r="AG8" s="138">
        <v>0</v>
      </c>
      <c r="AH8" s="138">
        <v>0</v>
      </c>
      <c r="AI8" s="138">
        <v>0</v>
      </c>
      <c r="AJ8" s="138">
        <v>0</v>
      </c>
      <c r="AK8" s="138">
        <v>0</v>
      </c>
      <c r="AL8" s="138">
        <v>0</v>
      </c>
      <c r="AM8" s="138">
        <v>0</v>
      </c>
      <c r="AN8" s="138">
        <v>0</v>
      </c>
    </row>
    <row r="9" spans="1:40" customFormat="1" x14ac:dyDescent="0.15">
      <c r="A9" s="173" t="s">
        <v>199</v>
      </c>
      <c r="B9" s="138">
        <v>0</v>
      </c>
      <c r="C9" s="138">
        <v>0</v>
      </c>
      <c r="D9" s="138">
        <v>0</v>
      </c>
      <c r="E9" s="138">
        <v>0</v>
      </c>
      <c r="F9" s="138">
        <v>4.0000196981073441E-3</v>
      </c>
      <c r="G9" s="138">
        <v>0.16038697779467909</v>
      </c>
      <c r="H9" s="138">
        <v>0</v>
      </c>
      <c r="I9" s="138">
        <v>0</v>
      </c>
      <c r="J9" s="138">
        <v>3.0303029030303075E-2</v>
      </c>
      <c r="K9" s="138">
        <v>0</v>
      </c>
      <c r="L9" s="138">
        <v>0</v>
      </c>
      <c r="M9" s="138">
        <v>0</v>
      </c>
      <c r="N9" s="138">
        <v>0</v>
      </c>
      <c r="O9" s="138">
        <v>5.0002977537353353E-4</v>
      </c>
      <c r="P9" s="138">
        <v>0</v>
      </c>
      <c r="Q9" s="138">
        <v>0</v>
      </c>
      <c r="R9" s="138">
        <v>0</v>
      </c>
      <c r="S9" s="138">
        <v>0</v>
      </c>
      <c r="T9" s="138">
        <v>0</v>
      </c>
      <c r="U9" s="138">
        <v>0</v>
      </c>
      <c r="V9" s="138">
        <v>0</v>
      </c>
      <c r="W9" s="138">
        <v>0</v>
      </c>
      <c r="X9" s="138">
        <v>0</v>
      </c>
      <c r="Y9" s="138">
        <v>0</v>
      </c>
      <c r="Z9" s="138">
        <v>0</v>
      </c>
      <c r="AA9" s="138">
        <v>0</v>
      </c>
      <c r="AB9" s="138">
        <v>0</v>
      </c>
      <c r="AC9" s="138">
        <v>0</v>
      </c>
      <c r="AD9" s="138">
        <v>0</v>
      </c>
      <c r="AE9" s="138">
        <v>0</v>
      </c>
      <c r="AF9" s="138">
        <v>0</v>
      </c>
      <c r="AG9" s="138">
        <v>0</v>
      </c>
      <c r="AH9" s="138">
        <v>0</v>
      </c>
      <c r="AI9" s="138">
        <v>0</v>
      </c>
      <c r="AJ9" s="138">
        <v>0</v>
      </c>
      <c r="AK9" s="138">
        <v>0</v>
      </c>
      <c r="AL9" s="138">
        <v>0</v>
      </c>
      <c r="AM9" s="138">
        <v>0</v>
      </c>
      <c r="AN9" s="138">
        <v>0</v>
      </c>
    </row>
    <row r="10" spans="1:40" customFormat="1" x14ac:dyDescent="0.15">
      <c r="A10" s="173" t="s">
        <v>200</v>
      </c>
      <c r="B10" s="138">
        <v>0</v>
      </c>
      <c r="C10" s="138">
        <v>0</v>
      </c>
      <c r="D10" s="138">
        <v>0</v>
      </c>
      <c r="E10" s="138">
        <v>0</v>
      </c>
      <c r="F10" s="138">
        <v>0</v>
      </c>
      <c r="G10" s="138">
        <v>0</v>
      </c>
      <c r="H10" s="138">
        <v>0</v>
      </c>
      <c r="I10" s="138">
        <v>0</v>
      </c>
      <c r="J10" s="138">
        <v>0</v>
      </c>
      <c r="K10" s="138">
        <v>0</v>
      </c>
      <c r="L10" s="138">
        <v>0</v>
      </c>
      <c r="M10" s="138">
        <v>0</v>
      </c>
      <c r="N10" s="138">
        <v>0</v>
      </c>
      <c r="O10" s="138">
        <v>0</v>
      </c>
      <c r="P10" s="138">
        <v>0</v>
      </c>
      <c r="Q10" s="138">
        <v>0</v>
      </c>
      <c r="R10" s="138">
        <v>0</v>
      </c>
      <c r="S10" s="138">
        <v>0</v>
      </c>
      <c r="T10" s="138">
        <v>0</v>
      </c>
      <c r="U10" s="138">
        <v>0</v>
      </c>
      <c r="V10" s="138">
        <v>0</v>
      </c>
      <c r="W10" s="138">
        <v>0</v>
      </c>
      <c r="X10" s="138">
        <v>0</v>
      </c>
      <c r="Y10" s="138">
        <v>0</v>
      </c>
      <c r="Z10" s="138">
        <v>0</v>
      </c>
      <c r="AA10" s="138">
        <v>0</v>
      </c>
      <c r="AB10" s="138">
        <v>0</v>
      </c>
      <c r="AC10" s="138">
        <v>0</v>
      </c>
      <c r="AD10" s="138">
        <v>0</v>
      </c>
      <c r="AE10" s="138">
        <v>0</v>
      </c>
      <c r="AF10" s="138">
        <v>0</v>
      </c>
      <c r="AG10" s="138">
        <v>0</v>
      </c>
      <c r="AH10" s="138">
        <v>0</v>
      </c>
      <c r="AI10" s="138">
        <v>0</v>
      </c>
      <c r="AJ10" s="138">
        <v>0</v>
      </c>
      <c r="AK10" s="138">
        <v>0</v>
      </c>
      <c r="AL10" s="138">
        <v>0</v>
      </c>
      <c r="AM10" s="138">
        <v>0</v>
      </c>
      <c r="AN10" s="138">
        <v>0</v>
      </c>
    </row>
    <row r="11" spans="1:40" customFormat="1" x14ac:dyDescent="0.15">
      <c r="A11" s="173" t="s">
        <v>201</v>
      </c>
      <c r="B11" s="138">
        <v>0</v>
      </c>
      <c r="C11" s="138">
        <v>0</v>
      </c>
      <c r="D11" s="138">
        <v>0</v>
      </c>
      <c r="E11" s="138">
        <v>0</v>
      </c>
      <c r="F11" s="138">
        <v>2.4356985184014392E-2</v>
      </c>
      <c r="G11" s="138">
        <v>0</v>
      </c>
      <c r="H11" s="138">
        <v>0</v>
      </c>
      <c r="I11" s="138">
        <v>0</v>
      </c>
      <c r="J11" s="138">
        <v>0</v>
      </c>
      <c r="K11" s="138">
        <v>0</v>
      </c>
      <c r="L11" s="138">
        <v>0</v>
      </c>
      <c r="M11" s="138">
        <v>0</v>
      </c>
      <c r="N11" s="138">
        <v>0</v>
      </c>
      <c r="O11" s="138">
        <v>1.7229173451463206E-3</v>
      </c>
      <c r="P11" s="138">
        <v>0</v>
      </c>
      <c r="Q11" s="138">
        <v>0</v>
      </c>
      <c r="R11" s="138">
        <v>0</v>
      </c>
      <c r="S11" s="138">
        <v>0</v>
      </c>
      <c r="T11" s="138">
        <v>0</v>
      </c>
      <c r="U11" s="138">
        <v>0</v>
      </c>
      <c r="V11" s="138">
        <v>0</v>
      </c>
      <c r="W11" s="138">
        <v>0</v>
      </c>
      <c r="X11" s="138">
        <v>0</v>
      </c>
      <c r="Y11" s="138">
        <v>0</v>
      </c>
      <c r="Z11" s="138">
        <v>0</v>
      </c>
      <c r="AA11" s="138">
        <v>0</v>
      </c>
      <c r="AB11" s="138">
        <v>0</v>
      </c>
      <c r="AC11" s="138">
        <v>0</v>
      </c>
      <c r="AD11" s="138">
        <v>0</v>
      </c>
      <c r="AE11" s="138">
        <v>0</v>
      </c>
      <c r="AF11" s="138">
        <v>0</v>
      </c>
      <c r="AG11" s="138">
        <v>0</v>
      </c>
      <c r="AH11" s="138">
        <v>0</v>
      </c>
      <c r="AI11" s="138">
        <v>0</v>
      </c>
      <c r="AJ11" s="138">
        <v>0</v>
      </c>
      <c r="AK11" s="138">
        <v>0</v>
      </c>
      <c r="AL11" s="138">
        <v>0</v>
      </c>
      <c r="AM11" s="138">
        <v>0</v>
      </c>
      <c r="AN11" s="138">
        <v>0</v>
      </c>
    </row>
    <row r="12" spans="1:40" customFormat="1" x14ac:dyDescent="0.15">
      <c r="A12" s="173" t="s">
        <v>202</v>
      </c>
      <c r="B12" s="138">
        <v>0</v>
      </c>
      <c r="C12" s="138">
        <v>0</v>
      </c>
      <c r="D12" s="138">
        <v>0</v>
      </c>
      <c r="E12" s="138">
        <v>0</v>
      </c>
      <c r="F12" s="138">
        <v>1.0000047870268378E-5</v>
      </c>
      <c r="G12" s="138">
        <v>0</v>
      </c>
      <c r="H12" s="138">
        <v>0</v>
      </c>
      <c r="I12" s="138">
        <v>0</v>
      </c>
      <c r="J12" s="138">
        <v>0</v>
      </c>
      <c r="K12" s="138">
        <v>0</v>
      </c>
      <c r="L12" s="138">
        <v>0</v>
      </c>
      <c r="M12" s="138">
        <v>0</v>
      </c>
      <c r="N12" s="138">
        <v>0</v>
      </c>
      <c r="O12" s="138">
        <v>0</v>
      </c>
      <c r="P12" s="138">
        <v>0</v>
      </c>
      <c r="Q12" s="138">
        <v>0</v>
      </c>
      <c r="R12" s="138">
        <v>0</v>
      </c>
      <c r="S12" s="138">
        <v>0</v>
      </c>
      <c r="T12" s="138">
        <v>0</v>
      </c>
      <c r="U12" s="138">
        <v>0</v>
      </c>
      <c r="V12" s="138">
        <v>0</v>
      </c>
      <c r="W12" s="138">
        <v>0</v>
      </c>
      <c r="X12" s="138">
        <v>0</v>
      </c>
      <c r="Y12" s="138">
        <v>0</v>
      </c>
      <c r="Z12" s="138">
        <v>0</v>
      </c>
      <c r="AA12" s="138">
        <v>0</v>
      </c>
      <c r="AB12" s="138">
        <v>0</v>
      </c>
      <c r="AC12" s="138">
        <v>0</v>
      </c>
      <c r="AD12" s="138">
        <v>0</v>
      </c>
      <c r="AE12" s="138">
        <v>0</v>
      </c>
      <c r="AF12" s="138">
        <v>0</v>
      </c>
      <c r="AG12" s="138">
        <v>0</v>
      </c>
      <c r="AH12" s="138">
        <v>0</v>
      </c>
      <c r="AI12" s="138">
        <v>0</v>
      </c>
      <c r="AJ12" s="138">
        <v>0</v>
      </c>
      <c r="AK12" s="138">
        <v>0</v>
      </c>
      <c r="AL12" s="138">
        <v>0</v>
      </c>
      <c r="AM12" s="138">
        <v>0</v>
      </c>
      <c r="AN12" s="138">
        <v>0</v>
      </c>
    </row>
    <row r="13" spans="1:40" customFormat="1" x14ac:dyDescent="0.15">
      <c r="A13" s="173" t="s">
        <v>203</v>
      </c>
      <c r="B13" s="138">
        <v>0</v>
      </c>
      <c r="C13" s="138">
        <v>0</v>
      </c>
      <c r="D13" s="138">
        <v>0</v>
      </c>
      <c r="E13" s="138">
        <v>0</v>
      </c>
      <c r="F13" s="138">
        <v>1.0000047870268378E-5</v>
      </c>
      <c r="G13" s="138">
        <v>0</v>
      </c>
      <c r="H13" s="138">
        <v>0</v>
      </c>
      <c r="I13" s="138">
        <v>0</v>
      </c>
      <c r="J13" s="138">
        <v>0</v>
      </c>
      <c r="K13" s="138">
        <v>0</v>
      </c>
      <c r="L13" s="138">
        <v>0</v>
      </c>
      <c r="M13" s="138">
        <v>0</v>
      </c>
      <c r="N13" s="138">
        <v>0</v>
      </c>
      <c r="O13" s="138">
        <v>0</v>
      </c>
      <c r="P13" s="138">
        <v>0</v>
      </c>
      <c r="Q13" s="138">
        <v>0</v>
      </c>
      <c r="R13" s="138">
        <v>0</v>
      </c>
      <c r="S13" s="138">
        <v>0</v>
      </c>
      <c r="T13" s="138">
        <v>0</v>
      </c>
      <c r="U13" s="138">
        <v>0</v>
      </c>
      <c r="V13" s="138">
        <v>0</v>
      </c>
      <c r="W13" s="138">
        <v>0</v>
      </c>
      <c r="X13" s="138">
        <v>0</v>
      </c>
      <c r="Y13" s="138">
        <v>0</v>
      </c>
      <c r="Z13" s="138">
        <v>0</v>
      </c>
      <c r="AA13" s="138">
        <v>0</v>
      </c>
      <c r="AB13" s="138">
        <v>0</v>
      </c>
      <c r="AC13" s="138">
        <v>0</v>
      </c>
      <c r="AD13" s="138">
        <v>0</v>
      </c>
      <c r="AE13" s="138">
        <v>0</v>
      </c>
      <c r="AF13" s="138">
        <v>0</v>
      </c>
      <c r="AG13" s="138">
        <v>0</v>
      </c>
      <c r="AH13" s="138">
        <v>0</v>
      </c>
      <c r="AI13" s="138">
        <v>0</v>
      </c>
      <c r="AJ13" s="138">
        <v>0</v>
      </c>
      <c r="AK13" s="138">
        <v>0</v>
      </c>
      <c r="AL13" s="138">
        <v>0</v>
      </c>
      <c r="AM13" s="138">
        <v>0</v>
      </c>
      <c r="AN13" s="138">
        <v>0</v>
      </c>
    </row>
    <row r="14" spans="1:40" customFormat="1" x14ac:dyDescent="0.15">
      <c r="A14" s="173" t="s">
        <v>204</v>
      </c>
      <c r="B14" s="138">
        <v>0</v>
      </c>
      <c r="C14" s="138">
        <v>0</v>
      </c>
      <c r="D14" s="138">
        <v>0</v>
      </c>
      <c r="E14" s="138">
        <v>0</v>
      </c>
      <c r="F14" s="138">
        <v>1.0004619870209064E-3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  <c r="M14" s="138">
        <v>0</v>
      </c>
      <c r="N14" s="138">
        <v>0</v>
      </c>
      <c r="O14" s="138">
        <v>0</v>
      </c>
      <c r="P14" s="138">
        <v>0</v>
      </c>
      <c r="Q14" s="138">
        <v>0</v>
      </c>
      <c r="R14" s="138">
        <v>0</v>
      </c>
      <c r="S14" s="138">
        <v>0</v>
      </c>
      <c r="T14" s="138">
        <v>0</v>
      </c>
      <c r="U14" s="138">
        <v>0</v>
      </c>
      <c r="V14" s="138">
        <v>0</v>
      </c>
      <c r="W14" s="138">
        <v>0</v>
      </c>
      <c r="X14" s="138">
        <v>0</v>
      </c>
      <c r="Y14" s="138">
        <v>0</v>
      </c>
      <c r="Z14" s="138">
        <v>0</v>
      </c>
      <c r="AA14" s="138">
        <v>0</v>
      </c>
      <c r="AB14" s="138">
        <v>0</v>
      </c>
      <c r="AC14" s="138">
        <v>0</v>
      </c>
      <c r="AD14" s="138">
        <v>0</v>
      </c>
      <c r="AE14" s="138">
        <v>0</v>
      </c>
      <c r="AF14" s="138">
        <v>0</v>
      </c>
      <c r="AG14" s="138">
        <v>0</v>
      </c>
      <c r="AH14" s="138">
        <v>0</v>
      </c>
      <c r="AI14" s="138">
        <v>0</v>
      </c>
      <c r="AJ14" s="138">
        <v>0</v>
      </c>
      <c r="AK14" s="138">
        <v>0</v>
      </c>
      <c r="AL14" s="138">
        <v>0</v>
      </c>
      <c r="AM14" s="138">
        <v>0</v>
      </c>
      <c r="AN14" s="138">
        <v>0</v>
      </c>
    </row>
    <row r="15" spans="1:40" customFormat="1" x14ac:dyDescent="0.15">
      <c r="A15" s="173" t="s">
        <v>205</v>
      </c>
      <c r="B15" s="138">
        <v>0</v>
      </c>
      <c r="C15" s="138">
        <v>0</v>
      </c>
      <c r="D15" s="138">
        <v>0</v>
      </c>
      <c r="E15" s="138">
        <v>0</v>
      </c>
      <c r="F15" s="138">
        <v>9.9155518713645516E-2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</v>
      </c>
      <c r="M15" s="138">
        <v>0.32149529950205824</v>
      </c>
      <c r="N15" s="138">
        <v>0</v>
      </c>
      <c r="O15" s="138">
        <v>1.000059530747068E-2</v>
      </c>
      <c r="P15" s="138">
        <v>0</v>
      </c>
      <c r="Q15" s="138">
        <v>0</v>
      </c>
      <c r="R15" s="138">
        <v>0</v>
      </c>
      <c r="S15" s="138">
        <v>0</v>
      </c>
      <c r="T15" s="138">
        <v>0</v>
      </c>
      <c r="U15" s="138">
        <v>0</v>
      </c>
      <c r="V15" s="138">
        <v>0</v>
      </c>
      <c r="W15" s="138">
        <v>0</v>
      </c>
      <c r="X15" s="138">
        <v>0</v>
      </c>
      <c r="Y15" s="138">
        <v>0</v>
      </c>
      <c r="Z15" s="138">
        <v>0</v>
      </c>
      <c r="AA15" s="138">
        <v>0</v>
      </c>
      <c r="AB15" s="138">
        <v>0</v>
      </c>
      <c r="AC15" s="138">
        <v>0</v>
      </c>
      <c r="AD15" s="138">
        <v>0</v>
      </c>
      <c r="AE15" s="138">
        <v>0</v>
      </c>
      <c r="AF15" s="138">
        <v>0</v>
      </c>
      <c r="AG15" s="138">
        <v>0</v>
      </c>
      <c r="AH15" s="138">
        <v>0</v>
      </c>
      <c r="AI15" s="138">
        <v>0</v>
      </c>
      <c r="AJ15" s="138">
        <v>0</v>
      </c>
      <c r="AK15" s="138">
        <v>0</v>
      </c>
      <c r="AL15" s="138">
        <v>0</v>
      </c>
      <c r="AM15" s="138">
        <v>0</v>
      </c>
      <c r="AN15" s="138">
        <v>0</v>
      </c>
    </row>
    <row r="16" spans="1:40" customFormat="1" x14ac:dyDescent="0.15">
      <c r="A16" s="173" t="s">
        <v>206</v>
      </c>
      <c r="B16" s="138">
        <v>0</v>
      </c>
      <c r="C16" s="138">
        <v>0</v>
      </c>
      <c r="D16" s="138">
        <v>0</v>
      </c>
      <c r="E16" s="138">
        <v>0</v>
      </c>
      <c r="F16" s="138">
        <v>6.6540949136757607E-2</v>
      </c>
      <c r="G16" s="138">
        <v>0.16038697779467909</v>
      </c>
      <c r="H16" s="138">
        <v>7.7845013541307809E-2</v>
      </c>
      <c r="I16" s="138">
        <v>0</v>
      </c>
      <c r="J16" s="138">
        <v>0.10101009676767692</v>
      </c>
      <c r="K16" s="138">
        <v>0.14999995040629355</v>
      </c>
      <c r="L16" s="138">
        <v>0.21821822527327336</v>
      </c>
      <c r="M16" s="138">
        <v>0.34543535467782599</v>
      </c>
      <c r="N16" s="138">
        <v>0</v>
      </c>
      <c r="O16" s="138">
        <v>0.15688935627319919</v>
      </c>
      <c r="P16" s="138">
        <v>0</v>
      </c>
      <c r="Q16" s="138">
        <v>0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</row>
    <row r="17" spans="1:40" customFormat="1" x14ac:dyDescent="0.15">
      <c r="A17" s="173" t="s">
        <v>207</v>
      </c>
      <c r="B17" s="138">
        <v>0.14257894685352632</v>
      </c>
      <c r="C17" s="138">
        <v>3.1968597279923718E-2</v>
      </c>
      <c r="D17" s="138">
        <v>3.9054439976567335E-3</v>
      </c>
      <c r="E17" s="138">
        <v>0.19418119980581877</v>
      </c>
      <c r="F17" s="138">
        <v>0.13679072122540029</v>
      </c>
      <c r="G17" s="138">
        <v>0</v>
      </c>
      <c r="H17" s="138">
        <v>0.61681514161131401</v>
      </c>
      <c r="I17" s="138">
        <v>0</v>
      </c>
      <c r="J17" s="138">
        <v>0.14141414647474732</v>
      </c>
      <c r="K17" s="138">
        <v>4.9999983568764519E-2</v>
      </c>
      <c r="L17" s="138">
        <v>0</v>
      </c>
      <c r="M17" s="138">
        <v>5.6162795720394974E-2</v>
      </c>
      <c r="N17" s="138">
        <v>7.6105525569402352E-2</v>
      </c>
      <c r="O17" s="138">
        <v>0.44520495107365615</v>
      </c>
      <c r="P17" s="138">
        <v>0.24510934144637569</v>
      </c>
      <c r="Q17" s="138">
        <v>0</v>
      </c>
      <c r="R17" s="138">
        <v>0</v>
      </c>
      <c r="S17" s="138">
        <v>0</v>
      </c>
      <c r="T17" s="138">
        <v>0</v>
      </c>
      <c r="U17" s="138">
        <v>0</v>
      </c>
      <c r="V17" s="138">
        <v>0</v>
      </c>
      <c r="W17" s="138">
        <v>0</v>
      </c>
      <c r="X17" s="138">
        <v>0</v>
      </c>
      <c r="Y17" s="138">
        <v>0</v>
      </c>
      <c r="Z17" s="138">
        <v>0</v>
      </c>
      <c r="AA17" s="138">
        <v>7.1369792647819313E-2</v>
      </c>
      <c r="AB17" s="138">
        <v>0.16660725833428389</v>
      </c>
      <c r="AC17" s="138">
        <v>0</v>
      </c>
      <c r="AD17" s="138">
        <v>0</v>
      </c>
      <c r="AE17" s="138">
        <v>0</v>
      </c>
      <c r="AF17" s="138">
        <v>0</v>
      </c>
      <c r="AG17" s="138">
        <v>0</v>
      </c>
      <c r="AH17" s="138">
        <v>0</v>
      </c>
      <c r="AI17" s="138">
        <v>0</v>
      </c>
      <c r="AJ17" s="138">
        <v>0</v>
      </c>
      <c r="AK17" s="138">
        <v>0</v>
      </c>
      <c r="AL17" s="138">
        <v>0</v>
      </c>
      <c r="AM17" s="138">
        <v>0</v>
      </c>
      <c r="AN17" s="138">
        <v>0</v>
      </c>
    </row>
    <row r="18" spans="1:40" customFormat="1" x14ac:dyDescent="0.15">
      <c r="A18" s="173" t="s">
        <v>208</v>
      </c>
      <c r="B18" s="138">
        <v>0</v>
      </c>
      <c r="C18" s="138">
        <v>0</v>
      </c>
      <c r="D18" s="138">
        <v>0</v>
      </c>
      <c r="E18" s="138">
        <v>0</v>
      </c>
      <c r="F18" s="138">
        <v>0</v>
      </c>
      <c r="G18" s="138">
        <v>0</v>
      </c>
      <c r="H18" s="138">
        <v>0</v>
      </c>
      <c r="I18" s="138">
        <v>0</v>
      </c>
      <c r="J18" s="138">
        <v>5.0505048383838458E-2</v>
      </c>
      <c r="K18" s="138">
        <v>0</v>
      </c>
      <c r="L18" s="138">
        <v>0</v>
      </c>
      <c r="M18" s="138">
        <v>0</v>
      </c>
      <c r="N18" s="138">
        <v>0</v>
      </c>
      <c r="O18" s="138">
        <v>0</v>
      </c>
      <c r="P18" s="138">
        <v>0</v>
      </c>
      <c r="Q18" s="138">
        <v>0</v>
      </c>
      <c r="R18" s="138">
        <v>0</v>
      </c>
      <c r="S18" s="138">
        <v>0</v>
      </c>
      <c r="T18" s="138">
        <v>0</v>
      </c>
      <c r="U18" s="138">
        <v>0</v>
      </c>
      <c r="V18" s="138">
        <v>0</v>
      </c>
      <c r="W18" s="138">
        <v>0</v>
      </c>
      <c r="X18" s="138">
        <v>0</v>
      </c>
      <c r="Y18" s="138">
        <v>0</v>
      </c>
      <c r="Z18" s="138">
        <v>0</v>
      </c>
      <c r="AA18" s="138">
        <v>0</v>
      </c>
      <c r="AB18" s="138">
        <v>0</v>
      </c>
      <c r="AC18" s="138">
        <v>0</v>
      </c>
      <c r="AD18" s="138">
        <v>0</v>
      </c>
      <c r="AE18" s="138">
        <v>0</v>
      </c>
      <c r="AF18" s="138">
        <v>0</v>
      </c>
      <c r="AG18" s="138">
        <v>0</v>
      </c>
      <c r="AH18" s="138">
        <v>0</v>
      </c>
      <c r="AI18" s="138">
        <v>0</v>
      </c>
      <c r="AJ18" s="138">
        <v>0</v>
      </c>
      <c r="AK18" s="138">
        <v>0</v>
      </c>
      <c r="AL18" s="138">
        <v>0</v>
      </c>
      <c r="AM18" s="138">
        <v>0</v>
      </c>
      <c r="AN18" s="138">
        <v>0</v>
      </c>
    </row>
    <row r="19" spans="1:40" customFormat="1" x14ac:dyDescent="0.15">
      <c r="A19" s="173" t="s">
        <v>209</v>
      </c>
      <c r="B19" s="138">
        <v>4.0144920521883967E-2</v>
      </c>
      <c r="C19" s="138">
        <v>3.96205335751183E-2</v>
      </c>
      <c r="D19" s="138">
        <v>6.6661619960003027E-2</v>
      </c>
      <c r="E19" s="138">
        <v>0</v>
      </c>
      <c r="F19" s="138">
        <v>0</v>
      </c>
      <c r="G19" s="138">
        <v>0.3207739545893582</v>
      </c>
      <c r="H19" s="138">
        <v>8.3333334666666647E-2</v>
      </c>
      <c r="I19" s="138">
        <v>0.6070380878592383</v>
      </c>
      <c r="J19" s="138">
        <v>0.20202019353535383</v>
      </c>
      <c r="K19" s="138">
        <v>0.29943022979585288</v>
      </c>
      <c r="L19" s="138">
        <v>0</v>
      </c>
      <c r="M19" s="138">
        <v>0</v>
      </c>
      <c r="N19" s="138">
        <v>7.6105525569402352E-2</v>
      </c>
      <c r="O19" s="138">
        <v>0</v>
      </c>
      <c r="P19" s="138">
        <v>1.8360132882871496E-2</v>
      </c>
      <c r="Q19" s="138">
        <v>0</v>
      </c>
      <c r="R19" s="138">
        <v>0.54334993814316557</v>
      </c>
      <c r="S19" s="138">
        <v>1.0000016560199603E-3</v>
      </c>
      <c r="T19" s="138">
        <v>0</v>
      </c>
      <c r="U19" s="138">
        <v>5.0000122095005116E-2</v>
      </c>
      <c r="V19" s="138">
        <v>0</v>
      </c>
      <c r="W19" s="138">
        <v>5.1518438330575914E-2</v>
      </c>
      <c r="X19" s="138">
        <v>6.9824838882802581E-2</v>
      </c>
      <c r="Y19" s="138">
        <v>0</v>
      </c>
      <c r="Z19" s="138">
        <v>0</v>
      </c>
      <c r="AA19" s="138">
        <v>0.14999990556499648</v>
      </c>
      <c r="AB19" s="138">
        <v>0.20000084879998642</v>
      </c>
      <c r="AC19" s="138">
        <v>0</v>
      </c>
      <c r="AD19" s="138">
        <v>0</v>
      </c>
      <c r="AE19" s="138">
        <v>0</v>
      </c>
      <c r="AF19" s="138">
        <v>0</v>
      </c>
      <c r="AG19" s="138">
        <v>0</v>
      </c>
      <c r="AH19" s="138">
        <v>0</v>
      </c>
      <c r="AI19" s="138">
        <v>0</v>
      </c>
      <c r="AJ19" s="138">
        <v>0</v>
      </c>
      <c r="AK19" s="138">
        <v>0</v>
      </c>
      <c r="AL19" s="138">
        <v>0</v>
      </c>
      <c r="AM19" s="138">
        <v>0</v>
      </c>
      <c r="AN19" s="138">
        <v>0</v>
      </c>
    </row>
    <row r="20" spans="1:40" customFormat="1" x14ac:dyDescent="0.15">
      <c r="A20" s="173" t="s">
        <v>210</v>
      </c>
      <c r="B20" s="138">
        <v>0</v>
      </c>
      <c r="C20" s="138">
        <v>0</v>
      </c>
      <c r="D20" s="138">
        <v>0</v>
      </c>
      <c r="E20" s="138">
        <v>0</v>
      </c>
      <c r="F20" s="138">
        <v>0</v>
      </c>
      <c r="G20" s="138">
        <v>0</v>
      </c>
      <c r="H20" s="138">
        <v>0</v>
      </c>
      <c r="I20" s="138">
        <v>0</v>
      </c>
      <c r="J20" s="138">
        <v>0</v>
      </c>
      <c r="K20" s="138">
        <v>0.11423927135581288</v>
      </c>
      <c r="L20" s="138">
        <v>0</v>
      </c>
      <c r="M20" s="138">
        <v>0</v>
      </c>
      <c r="N20" s="138">
        <v>0</v>
      </c>
      <c r="O20" s="138">
        <v>0</v>
      </c>
      <c r="P20" s="138">
        <v>0</v>
      </c>
      <c r="Q20" s="138">
        <v>0</v>
      </c>
      <c r="R20" s="138">
        <v>2.8072998070724459E-2</v>
      </c>
      <c r="S20" s="138">
        <v>0</v>
      </c>
      <c r="T20" s="138">
        <v>9.9999500299998503E-3</v>
      </c>
      <c r="U20" s="138">
        <v>9.2074753857932179E-2</v>
      </c>
      <c r="V20" s="138">
        <v>0.16666582223999879</v>
      </c>
      <c r="W20" s="138">
        <v>0</v>
      </c>
      <c r="X20" s="138">
        <v>0</v>
      </c>
      <c r="Y20" s="138">
        <v>0</v>
      </c>
      <c r="Z20" s="138">
        <v>0</v>
      </c>
      <c r="AA20" s="138">
        <v>0</v>
      </c>
      <c r="AB20" s="138">
        <v>0</v>
      </c>
      <c r="AC20" s="138">
        <v>0</v>
      </c>
      <c r="AD20" s="138">
        <v>0</v>
      </c>
      <c r="AE20" s="138">
        <v>0</v>
      </c>
      <c r="AF20" s="138">
        <v>0</v>
      </c>
      <c r="AG20" s="138">
        <v>0</v>
      </c>
      <c r="AH20" s="138">
        <v>0</v>
      </c>
      <c r="AI20" s="138">
        <v>0</v>
      </c>
      <c r="AJ20" s="138">
        <v>0</v>
      </c>
      <c r="AK20" s="138">
        <v>0</v>
      </c>
      <c r="AL20" s="138">
        <v>0</v>
      </c>
      <c r="AM20" s="138">
        <v>0</v>
      </c>
      <c r="AN20" s="138">
        <v>0</v>
      </c>
    </row>
    <row r="21" spans="1:40" customFormat="1" x14ac:dyDescent="0.15">
      <c r="A21" s="173" t="s">
        <v>211</v>
      </c>
      <c r="B21" s="138">
        <v>0</v>
      </c>
      <c r="C21" s="138">
        <v>0</v>
      </c>
      <c r="D21" s="138">
        <v>0</v>
      </c>
      <c r="E21" s="138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2.1629860635383649E-2</v>
      </c>
      <c r="L21" s="138">
        <v>0</v>
      </c>
      <c r="M21" s="138">
        <v>0</v>
      </c>
      <c r="N21" s="138">
        <v>0</v>
      </c>
      <c r="O21" s="138">
        <v>0</v>
      </c>
      <c r="P21" s="138">
        <v>0</v>
      </c>
      <c r="Q21" s="138">
        <v>0</v>
      </c>
      <c r="R21" s="138">
        <v>2.8072998070724459E-2</v>
      </c>
      <c r="S21" s="138">
        <v>0</v>
      </c>
      <c r="T21" s="138">
        <v>0</v>
      </c>
      <c r="U21" s="138">
        <v>0</v>
      </c>
      <c r="V21" s="138">
        <v>0.16666582223999879</v>
      </c>
      <c r="W21" s="138">
        <v>0</v>
      </c>
      <c r="X21" s="138">
        <v>0</v>
      </c>
      <c r="Y21" s="138">
        <v>0</v>
      </c>
      <c r="Z21" s="138">
        <v>0</v>
      </c>
      <c r="AA21" s="138">
        <v>0</v>
      </c>
      <c r="AB21" s="138">
        <v>0</v>
      </c>
      <c r="AC21" s="138">
        <v>0</v>
      </c>
      <c r="AD21" s="138">
        <v>0</v>
      </c>
      <c r="AE21" s="138">
        <v>0</v>
      </c>
      <c r="AF21" s="138">
        <v>0</v>
      </c>
      <c r="AG21" s="138">
        <v>0</v>
      </c>
      <c r="AH21" s="138">
        <v>0</v>
      </c>
      <c r="AI21" s="138">
        <v>0</v>
      </c>
      <c r="AJ21" s="138">
        <v>0</v>
      </c>
      <c r="AK21" s="138">
        <v>0</v>
      </c>
      <c r="AL21" s="138">
        <v>0</v>
      </c>
      <c r="AM21" s="138">
        <v>0</v>
      </c>
      <c r="AN21" s="138">
        <v>0</v>
      </c>
    </row>
    <row r="22" spans="1:40" customFormat="1" x14ac:dyDescent="0.15">
      <c r="A22" s="173" t="s">
        <v>212</v>
      </c>
      <c r="B22" s="138">
        <v>0</v>
      </c>
      <c r="C22" s="138">
        <v>0</v>
      </c>
      <c r="D22" s="138">
        <v>0</v>
      </c>
      <c r="E22" s="138">
        <v>0</v>
      </c>
      <c r="F22" s="138">
        <v>7.4789499029748338E-2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  <c r="M22" s="138">
        <v>0</v>
      </c>
      <c r="N22" s="138">
        <v>0</v>
      </c>
      <c r="O22" s="138">
        <v>0</v>
      </c>
      <c r="P22" s="138">
        <v>0</v>
      </c>
      <c r="Q22" s="138">
        <v>0</v>
      </c>
      <c r="R22" s="138">
        <v>2.8072998070724459E-2</v>
      </c>
      <c r="S22" s="138">
        <v>0</v>
      </c>
      <c r="T22" s="138">
        <v>0</v>
      </c>
      <c r="U22" s="138">
        <v>0</v>
      </c>
      <c r="V22" s="138">
        <v>0</v>
      </c>
      <c r="W22" s="138">
        <v>0</v>
      </c>
      <c r="X22" s="138">
        <v>0</v>
      </c>
      <c r="Y22" s="138">
        <v>0</v>
      </c>
      <c r="Z22" s="138">
        <v>0</v>
      </c>
      <c r="AA22" s="138">
        <v>0</v>
      </c>
      <c r="AB22" s="138">
        <v>0</v>
      </c>
      <c r="AC22" s="138">
        <v>0</v>
      </c>
      <c r="AD22" s="138">
        <v>0</v>
      </c>
      <c r="AE22" s="138">
        <v>0</v>
      </c>
      <c r="AF22" s="138">
        <v>0</v>
      </c>
      <c r="AG22" s="138">
        <v>0</v>
      </c>
      <c r="AH22" s="138">
        <v>0</v>
      </c>
      <c r="AI22" s="138">
        <v>0</v>
      </c>
      <c r="AJ22" s="138">
        <v>0</v>
      </c>
      <c r="AK22" s="138">
        <v>0</v>
      </c>
      <c r="AL22" s="138">
        <v>0</v>
      </c>
      <c r="AM22" s="138">
        <v>0</v>
      </c>
      <c r="AN22" s="138">
        <v>0</v>
      </c>
    </row>
    <row r="23" spans="1:40" customFormat="1" x14ac:dyDescent="0.15">
      <c r="A23" s="173" t="s">
        <v>213</v>
      </c>
      <c r="B23" s="138">
        <v>0</v>
      </c>
      <c r="C23" s="138">
        <v>0</v>
      </c>
      <c r="D23" s="138">
        <v>2.6476733384113958E-2</v>
      </c>
      <c r="E23" s="138">
        <v>0</v>
      </c>
      <c r="F23" s="138">
        <v>0</v>
      </c>
      <c r="G23" s="138">
        <v>0</v>
      </c>
      <c r="H23" s="138">
        <v>4.7178796758368363E-2</v>
      </c>
      <c r="I23" s="138">
        <v>0</v>
      </c>
      <c r="J23" s="138">
        <v>0</v>
      </c>
      <c r="K23" s="138">
        <v>1.1865403848549797E-3</v>
      </c>
      <c r="L23" s="138">
        <v>0.10537870158068054</v>
      </c>
      <c r="M23" s="138">
        <v>0</v>
      </c>
      <c r="N23" s="138">
        <v>0</v>
      </c>
      <c r="O23" s="138">
        <v>0</v>
      </c>
      <c r="P23" s="138">
        <v>0</v>
      </c>
      <c r="Q23" s="138">
        <v>0</v>
      </c>
      <c r="R23" s="138">
        <v>0</v>
      </c>
      <c r="S23" s="138">
        <v>0</v>
      </c>
      <c r="T23" s="138">
        <v>0</v>
      </c>
      <c r="U23" s="138">
        <v>5.0000152095006371E-4</v>
      </c>
      <c r="V23" s="138">
        <v>4.9999920071999888E-4</v>
      </c>
      <c r="W23" s="138">
        <v>4.4897838545112478E-2</v>
      </c>
      <c r="X23" s="138">
        <v>0.2237309624203046</v>
      </c>
      <c r="Y23" s="138">
        <v>0</v>
      </c>
      <c r="Z23" s="138">
        <v>0</v>
      </c>
      <c r="AA23" s="138">
        <v>0</v>
      </c>
      <c r="AB23" s="138">
        <v>0</v>
      </c>
      <c r="AC23" s="138">
        <v>0.1</v>
      </c>
      <c r="AD23" s="138">
        <v>0</v>
      </c>
      <c r="AE23" s="138">
        <v>0</v>
      </c>
      <c r="AF23" s="138">
        <v>0</v>
      </c>
      <c r="AG23" s="138">
        <v>0</v>
      </c>
      <c r="AH23" s="138">
        <v>0</v>
      </c>
      <c r="AI23" s="138">
        <v>0</v>
      </c>
      <c r="AJ23" s="138">
        <v>0</v>
      </c>
      <c r="AK23" s="138">
        <v>0</v>
      </c>
      <c r="AL23" s="138">
        <v>0</v>
      </c>
      <c r="AM23" s="138">
        <v>0</v>
      </c>
      <c r="AN23" s="138">
        <v>0</v>
      </c>
    </row>
    <row r="24" spans="1:40" customFormat="1" x14ac:dyDescent="0.15">
      <c r="A24" s="173" t="s">
        <v>214</v>
      </c>
      <c r="B24" s="138">
        <v>0</v>
      </c>
      <c r="C24" s="138">
        <v>4.9999849968600089E-4</v>
      </c>
      <c r="D24" s="138">
        <v>2.6476733384113958E-2</v>
      </c>
      <c r="E24" s="138">
        <v>0</v>
      </c>
      <c r="F24" s="138">
        <v>5.0000259351341628E-3</v>
      </c>
      <c r="G24" s="138">
        <v>0</v>
      </c>
      <c r="H24" s="138">
        <v>0</v>
      </c>
      <c r="I24" s="138">
        <v>0</v>
      </c>
      <c r="J24" s="138">
        <v>0</v>
      </c>
      <c r="K24" s="138">
        <v>3.5596175745648343E-5</v>
      </c>
      <c r="L24" s="138">
        <v>0.24632096669481451</v>
      </c>
      <c r="M24" s="138">
        <v>1.1414734730197214E-2</v>
      </c>
      <c r="N24" s="138">
        <v>0</v>
      </c>
      <c r="O24" s="138">
        <v>0</v>
      </c>
      <c r="P24" s="138">
        <v>0</v>
      </c>
      <c r="Q24" s="138">
        <v>0</v>
      </c>
      <c r="R24" s="138">
        <v>0</v>
      </c>
      <c r="S24" s="138">
        <v>0</v>
      </c>
      <c r="T24" s="138">
        <v>0</v>
      </c>
      <c r="U24" s="138">
        <v>0</v>
      </c>
      <c r="V24" s="138">
        <v>0</v>
      </c>
      <c r="W24" s="138">
        <v>0</v>
      </c>
      <c r="X24" s="138">
        <v>7.1123998862016018E-3</v>
      </c>
      <c r="Y24" s="138">
        <v>0</v>
      </c>
      <c r="Z24" s="138">
        <v>0</v>
      </c>
      <c r="AA24" s="138">
        <v>0</v>
      </c>
      <c r="AB24" s="138">
        <v>0</v>
      </c>
      <c r="AC24" s="138">
        <v>0</v>
      </c>
      <c r="AD24" s="138">
        <v>0</v>
      </c>
      <c r="AE24" s="138">
        <v>0</v>
      </c>
      <c r="AF24" s="138">
        <v>0</v>
      </c>
      <c r="AG24" s="138">
        <v>0</v>
      </c>
      <c r="AH24" s="138">
        <v>0</v>
      </c>
      <c r="AI24" s="138">
        <v>0</v>
      </c>
      <c r="AJ24" s="138">
        <v>0</v>
      </c>
      <c r="AK24" s="138">
        <v>0</v>
      </c>
      <c r="AL24" s="138">
        <v>0</v>
      </c>
      <c r="AM24" s="138">
        <v>0</v>
      </c>
      <c r="AN24" s="138">
        <v>0</v>
      </c>
    </row>
    <row r="25" spans="1:40" customFormat="1" x14ac:dyDescent="0.15">
      <c r="A25" s="173" t="s">
        <v>215</v>
      </c>
      <c r="B25" s="138">
        <v>0</v>
      </c>
      <c r="C25" s="138">
        <v>5.3737502466252841E-2</v>
      </c>
      <c r="D25" s="138">
        <v>2.6476733384113958E-2</v>
      </c>
      <c r="E25" s="138">
        <v>0</v>
      </c>
      <c r="F25" s="138">
        <v>0</v>
      </c>
      <c r="G25" s="138">
        <v>0</v>
      </c>
      <c r="H25" s="138">
        <v>0</v>
      </c>
      <c r="I25" s="138">
        <v>0</v>
      </c>
      <c r="J25" s="138">
        <v>0</v>
      </c>
      <c r="K25" s="138">
        <v>0</v>
      </c>
      <c r="L25" s="138">
        <v>0</v>
      </c>
      <c r="M25" s="138">
        <v>0</v>
      </c>
      <c r="N25" s="138">
        <v>0</v>
      </c>
      <c r="O25" s="138">
        <v>0</v>
      </c>
      <c r="P25" s="138">
        <v>0</v>
      </c>
      <c r="Q25" s="138">
        <v>0</v>
      </c>
      <c r="R25" s="138">
        <v>0</v>
      </c>
      <c r="S25" s="138">
        <v>0</v>
      </c>
      <c r="T25" s="138">
        <v>0</v>
      </c>
      <c r="U25" s="138">
        <v>0</v>
      </c>
      <c r="V25" s="138">
        <v>0</v>
      </c>
      <c r="W25" s="138">
        <v>0</v>
      </c>
      <c r="X25" s="138">
        <v>0</v>
      </c>
      <c r="Y25" s="138">
        <v>0</v>
      </c>
      <c r="Z25" s="138">
        <v>0</v>
      </c>
      <c r="AA25" s="138">
        <v>0</v>
      </c>
      <c r="AB25" s="138">
        <v>0</v>
      </c>
      <c r="AC25" s="138">
        <v>0.1</v>
      </c>
      <c r="AD25" s="138">
        <v>0</v>
      </c>
      <c r="AE25" s="138">
        <v>0</v>
      </c>
      <c r="AF25" s="138">
        <v>0</v>
      </c>
      <c r="AG25" s="138">
        <v>0</v>
      </c>
      <c r="AH25" s="138">
        <v>0</v>
      </c>
      <c r="AI25" s="138">
        <v>0</v>
      </c>
      <c r="AJ25" s="138">
        <v>0</v>
      </c>
      <c r="AK25" s="138">
        <v>0</v>
      </c>
      <c r="AL25" s="138">
        <v>0</v>
      </c>
      <c r="AM25" s="138">
        <v>0</v>
      </c>
      <c r="AN25" s="138">
        <v>0</v>
      </c>
    </row>
    <row r="26" spans="1:40" customFormat="1" x14ac:dyDescent="0.15">
      <c r="A26" s="173" t="s">
        <v>216</v>
      </c>
      <c r="B26" s="138">
        <v>0</v>
      </c>
      <c r="C26" s="138">
        <v>5.3737502466252841E-2</v>
      </c>
      <c r="D26" s="138">
        <v>2.6476733384113958E-2</v>
      </c>
      <c r="E26" s="138">
        <v>0</v>
      </c>
      <c r="F26" s="138">
        <v>0</v>
      </c>
      <c r="G26" s="138">
        <v>0</v>
      </c>
      <c r="H26" s="138">
        <v>0</v>
      </c>
      <c r="I26" s="138">
        <v>0</v>
      </c>
      <c r="J26" s="138">
        <v>0</v>
      </c>
      <c r="K26" s="138">
        <v>0</v>
      </c>
      <c r="L26" s="138">
        <v>0</v>
      </c>
      <c r="M26" s="138">
        <v>0</v>
      </c>
      <c r="N26" s="138">
        <v>0</v>
      </c>
      <c r="O26" s="138">
        <v>0</v>
      </c>
      <c r="P26" s="138">
        <v>0</v>
      </c>
      <c r="Q26" s="138">
        <v>0</v>
      </c>
      <c r="R26" s="138">
        <v>0</v>
      </c>
      <c r="S26" s="138">
        <v>0</v>
      </c>
      <c r="T26" s="138">
        <v>0</v>
      </c>
      <c r="U26" s="138">
        <v>0</v>
      </c>
      <c r="V26" s="138">
        <v>0</v>
      </c>
      <c r="W26" s="138">
        <v>0</v>
      </c>
      <c r="X26" s="138">
        <v>0</v>
      </c>
      <c r="Y26" s="138">
        <v>0</v>
      </c>
      <c r="Z26" s="138">
        <v>0</v>
      </c>
      <c r="AA26" s="138">
        <v>0</v>
      </c>
      <c r="AB26" s="138">
        <v>0</v>
      </c>
      <c r="AC26" s="138">
        <v>0</v>
      </c>
      <c r="AD26" s="138">
        <v>0</v>
      </c>
      <c r="AE26" s="138">
        <v>0</v>
      </c>
      <c r="AF26" s="138">
        <v>0</v>
      </c>
      <c r="AG26" s="138">
        <v>0</v>
      </c>
      <c r="AH26" s="138">
        <v>0</v>
      </c>
      <c r="AI26" s="138">
        <v>0</v>
      </c>
      <c r="AJ26" s="138">
        <v>0</v>
      </c>
      <c r="AK26" s="138">
        <v>0</v>
      </c>
      <c r="AL26" s="138">
        <v>0</v>
      </c>
      <c r="AM26" s="138">
        <v>0</v>
      </c>
      <c r="AN26" s="138">
        <v>0</v>
      </c>
    </row>
    <row r="27" spans="1:40" customFormat="1" x14ac:dyDescent="0.15">
      <c r="A27" s="173" t="s">
        <v>217</v>
      </c>
      <c r="B27" s="138">
        <v>2.6887482349537271E-2</v>
      </c>
      <c r="C27" s="138">
        <v>0.25482752883996829</v>
      </c>
      <c r="D27" s="138">
        <v>0.34405624879356622</v>
      </c>
      <c r="E27" s="138">
        <v>0.26418411673581588</v>
      </c>
      <c r="F27" s="138">
        <v>0.52097249324137163</v>
      </c>
      <c r="G27" s="138">
        <v>0.14256617203971514</v>
      </c>
      <c r="H27" s="138">
        <v>9.1494378755676453E-2</v>
      </c>
      <c r="I27" s="138">
        <v>0.15640274887194505</v>
      </c>
      <c r="J27" s="138">
        <v>0.35353537268686808</v>
      </c>
      <c r="K27" s="138">
        <v>0.14856426836411996</v>
      </c>
      <c r="L27" s="138">
        <v>0.43008210645123163</v>
      </c>
      <c r="M27" s="138">
        <v>0.25407708063932649</v>
      </c>
      <c r="N27" s="138">
        <v>8.4445856179747758E-2</v>
      </c>
      <c r="O27" s="138">
        <v>0.10492192483259519</v>
      </c>
      <c r="P27" s="138">
        <v>6.4720021702136574E-2</v>
      </c>
      <c r="Q27" s="138">
        <v>0</v>
      </c>
      <c r="R27" s="138">
        <v>0.20534668841533749</v>
      </c>
      <c r="S27" s="138">
        <v>0</v>
      </c>
      <c r="T27" s="138">
        <v>9.9999500299998503E-3</v>
      </c>
      <c r="U27" s="138">
        <v>2.1453416898898165E-3</v>
      </c>
      <c r="V27" s="138">
        <v>9.9999830143999765E-3</v>
      </c>
      <c r="W27" s="138">
        <v>1.079599245016234E-2</v>
      </c>
      <c r="X27" s="138">
        <v>7.7731638756293783E-2</v>
      </c>
      <c r="Y27" s="138">
        <v>0</v>
      </c>
      <c r="Z27" s="138">
        <v>0</v>
      </c>
      <c r="AA27" s="138">
        <v>9.9999923709997163E-3</v>
      </c>
      <c r="AB27" s="138">
        <v>0.28358783846259461</v>
      </c>
      <c r="AC27" s="138">
        <v>0</v>
      </c>
      <c r="AD27" s="138">
        <v>0</v>
      </c>
      <c r="AE27" s="138">
        <v>0</v>
      </c>
      <c r="AF27" s="138">
        <v>0</v>
      </c>
      <c r="AG27" s="138">
        <v>0</v>
      </c>
      <c r="AH27" s="138">
        <v>0</v>
      </c>
      <c r="AI27" s="138">
        <v>0</v>
      </c>
      <c r="AJ27" s="138">
        <v>0</v>
      </c>
      <c r="AK27" s="138">
        <v>0</v>
      </c>
      <c r="AL27" s="138">
        <v>0</v>
      </c>
      <c r="AM27" s="138">
        <v>0</v>
      </c>
      <c r="AN27" s="138">
        <v>0</v>
      </c>
    </row>
    <row r="28" spans="1:40" customFormat="1" x14ac:dyDescent="0.15">
      <c r="A28" s="173" t="s">
        <v>218</v>
      </c>
      <c r="B28" s="138">
        <v>0</v>
      </c>
      <c r="C28" s="138">
        <v>0.53931839966130801</v>
      </c>
      <c r="D28" s="138">
        <v>0.34804907379117056</v>
      </c>
      <c r="E28" s="138">
        <v>0</v>
      </c>
      <c r="F28" s="138">
        <v>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  <c r="L28" s="138">
        <v>0</v>
      </c>
      <c r="M28" s="138">
        <v>0</v>
      </c>
      <c r="N28" s="138">
        <v>0</v>
      </c>
      <c r="O28" s="138">
        <v>0</v>
      </c>
      <c r="P28" s="138">
        <v>0</v>
      </c>
      <c r="Q28" s="138">
        <v>0</v>
      </c>
      <c r="R28" s="138">
        <v>0</v>
      </c>
      <c r="S28" s="138">
        <v>0</v>
      </c>
      <c r="T28" s="138">
        <v>0</v>
      </c>
      <c r="U28" s="138">
        <v>0</v>
      </c>
      <c r="V28" s="138">
        <v>0</v>
      </c>
      <c r="W28" s="138">
        <v>0</v>
      </c>
      <c r="X28" s="138">
        <v>0</v>
      </c>
      <c r="Y28" s="138">
        <v>0</v>
      </c>
      <c r="Z28" s="138">
        <v>0</v>
      </c>
      <c r="AA28" s="138">
        <v>0</v>
      </c>
      <c r="AB28" s="138">
        <v>4.9982133500285866E-2</v>
      </c>
      <c r="AC28" s="138">
        <v>0</v>
      </c>
      <c r="AD28" s="138">
        <v>0</v>
      </c>
      <c r="AE28" s="138">
        <v>0</v>
      </c>
      <c r="AF28" s="138">
        <v>0</v>
      </c>
      <c r="AG28" s="138">
        <v>0</v>
      </c>
      <c r="AH28" s="138">
        <v>0</v>
      </c>
      <c r="AI28" s="138">
        <v>0</v>
      </c>
      <c r="AJ28" s="138">
        <v>0</v>
      </c>
      <c r="AK28" s="138">
        <v>0</v>
      </c>
      <c r="AL28" s="138">
        <v>0</v>
      </c>
      <c r="AM28" s="138">
        <v>0</v>
      </c>
      <c r="AN28" s="138">
        <v>0</v>
      </c>
    </row>
    <row r="29" spans="1:40" customFormat="1" x14ac:dyDescent="0.15">
      <c r="A29" s="173" t="s">
        <v>219</v>
      </c>
      <c r="B29" s="138">
        <v>0</v>
      </c>
      <c r="C29" s="138">
        <v>1.2144849992373034E-2</v>
      </c>
      <c r="D29" s="138">
        <v>6.5710339960573794E-2</v>
      </c>
      <c r="E29" s="138">
        <v>0</v>
      </c>
      <c r="F29" s="138">
        <v>0</v>
      </c>
      <c r="G29" s="138">
        <v>0</v>
      </c>
      <c r="H29" s="138">
        <v>0</v>
      </c>
      <c r="I29" s="138">
        <v>0</v>
      </c>
      <c r="J29" s="138">
        <v>0</v>
      </c>
      <c r="K29" s="138">
        <v>9.9692312928491619E-3</v>
      </c>
      <c r="L29" s="138">
        <v>0</v>
      </c>
      <c r="M29" s="138">
        <v>0</v>
      </c>
      <c r="N29" s="138">
        <v>0</v>
      </c>
      <c r="O29" s="138">
        <v>0</v>
      </c>
      <c r="P29" s="138">
        <v>0</v>
      </c>
      <c r="Q29" s="138">
        <v>0</v>
      </c>
      <c r="R29" s="138">
        <v>0</v>
      </c>
      <c r="S29" s="138">
        <v>0</v>
      </c>
      <c r="T29" s="138">
        <v>0</v>
      </c>
      <c r="U29" s="138">
        <v>0</v>
      </c>
      <c r="V29" s="138">
        <v>0</v>
      </c>
      <c r="W29" s="138">
        <v>1.7005103848959814E-5</v>
      </c>
      <c r="X29" s="138">
        <v>1.3626329781978724E-3</v>
      </c>
      <c r="Y29" s="138">
        <v>0</v>
      </c>
      <c r="Z29" s="138">
        <v>0</v>
      </c>
      <c r="AA29" s="138">
        <v>0</v>
      </c>
      <c r="AB29" s="138">
        <v>0</v>
      </c>
      <c r="AC29" s="138">
        <v>0</v>
      </c>
      <c r="AD29" s="138">
        <v>0</v>
      </c>
      <c r="AE29" s="138">
        <v>0</v>
      </c>
      <c r="AF29" s="138">
        <v>0</v>
      </c>
      <c r="AG29" s="138">
        <v>0</v>
      </c>
      <c r="AH29" s="138">
        <v>0</v>
      </c>
      <c r="AI29" s="138">
        <v>0</v>
      </c>
      <c r="AJ29" s="138">
        <v>0</v>
      </c>
      <c r="AK29" s="138">
        <v>0</v>
      </c>
      <c r="AL29" s="138">
        <v>0</v>
      </c>
      <c r="AM29" s="138">
        <v>0</v>
      </c>
      <c r="AN29" s="138">
        <v>0</v>
      </c>
    </row>
    <row r="30" spans="1:40" customFormat="1" x14ac:dyDescent="0.15">
      <c r="A30" s="173" t="s">
        <v>220</v>
      </c>
      <c r="B30" s="138">
        <v>0</v>
      </c>
      <c r="C30" s="138">
        <v>0</v>
      </c>
      <c r="D30" s="138">
        <v>0</v>
      </c>
      <c r="E30" s="138">
        <v>0</v>
      </c>
      <c r="F30" s="138">
        <v>0</v>
      </c>
      <c r="G30" s="138">
        <v>0</v>
      </c>
      <c r="H30" s="138">
        <v>0</v>
      </c>
      <c r="I30" s="138">
        <v>0</v>
      </c>
      <c r="J30" s="138">
        <v>0</v>
      </c>
      <c r="K30" s="138">
        <v>0</v>
      </c>
      <c r="L30" s="138">
        <v>0</v>
      </c>
      <c r="M30" s="138">
        <v>0</v>
      </c>
      <c r="N30" s="138">
        <v>0</v>
      </c>
      <c r="O30" s="138">
        <v>0</v>
      </c>
      <c r="P30" s="138">
        <v>0</v>
      </c>
      <c r="Q30" s="138">
        <v>0</v>
      </c>
      <c r="R30" s="138">
        <v>0</v>
      </c>
      <c r="S30" s="138">
        <v>0</v>
      </c>
      <c r="T30" s="138">
        <v>0</v>
      </c>
      <c r="U30" s="138">
        <v>0</v>
      </c>
      <c r="V30" s="138">
        <v>0</v>
      </c>
      <c r="W30" s="138">
        <v>2.2026034286259577E-3</v>
      </c>
      <c r="X30" s="138">
        <v>1.3425589785190564E-3</v>
      </c>
      <c r="Y30" s="138">
        <v>0</v>
      </c>
      <c r="Z30" s="138">
        <v>2.7624309806629833E-3</v>
      </c>
      <c r="AA30" s="138">
        <v>0</v>
      </c>
      <c r="AB30" s="138">
        <v>0</v>
      </c>
      <c r="AC30" s="138">
        <v>0.3</v>
      </c>
      <c r="AD30" s="138">
        <v>1.0000028674000213E-2</v>
      </c>
      <c r="AE30" s="138">
        <v>0.05</v>
      </c>
      <c r="AF30" s="138">
        <v>0.05</v>
      </c>
      <c r="AG30" s="138">
        <v>0</v>
      </c>
      <c r="AH30" s="138">
        <v>0</v>
      </c>
      <c r="AI30" s="138">
        <v>0</v>
      </c>
      <c r="AJ30" s="138">
        <v>0</v>
      </c>
      <c r="AK30" s="138">
        <v>0</v>
      </c>
      <c r="AL30" s="138">
        <v>0</v>
      </c>
      <c r="AM30" s="138">
        <v>0</v>
      </c>
      <c r="AN30" s="138">
        <v>0</v>
      </c>
    </row>
    <row r="31" spans="1:40" customFormat="1" x14ac:dyDescent="0.15">
      <c r="A31" s="173" t="s">
        <v>221</v>
      </c>
      <c r="B31" s="138">
        <v>0</v>
      </c>
      <c r="C31" s="138">
        <v>1.2144849992373034E-2</v>
      </c>
      <c r="D31" s="138">
        <v>6.5710339960573794E-2</v>
      </c>
      <c r="E31" s="138">
        <v>0</v>
      </c>
      <c r="F31" s="138">
        <v>2.9556883616555585E-3</v>
      </c>
      <c r="G31" s="138">
        <v>0</v>
      </c>
      <c r="H31" s="138">
        <v>0</v>
      </c>
      <c r="I31" s="138">
        <v>0</v>
      </c>
      <c r="J31" s="138">
        <v>0</v>
      </c>
      <c r="K31" s="138">
        <v>0</v>
      </c>
      <c r="L31" s="138">
        <v>0</v>
      </c>
      <c r="M31" s="138">
        <v>0</v>
      </c>
      <c r="N31" s="138">
        <v>6.3334394634810998E-2</v>
      </c>
      <c r="O31" s="138">
        <v>1.4292371196100717E-3</v>
      </c>
      <c r="P31" s="138">
        <v>2.6020022784326604E-2</v>
      </c>
      <c r="Q31" s="138">
        <v>0</v>
      </c>
      <c r="R31" s="138">
        <v>0</v>
      </c>
      <c r="S31" s="138">
        <v>0</v>
      </c>
      <c r="T31" s="138">
        <v>7.513496022540489E-2</v>
      </c>
      <c r="U31" s="138">
        <v>9.2074753857932179E-2</v>
      </c>
      <c r="V31" s="138">
        <v>0</v>
      </c>
      <c r="W31" s="138">
        <v>0.22793083661403798</v>
      </c>
      <c r="X31" s="138">
        <v>0.15739987548160198</v>
      </c>
      <c r="Y31" s="138">
        <v>0.65475619358338932</v>
      </c>
      <c r="Z31" s="138">
        <v>4.9999999650000009E-2</v>
      </c>
      <c r="AA31" s="138">
        <v>0</v>
      </c>
      <c r="AB31" s="138">
        <v>0</v>
      </c>
      <c r="AC31" s="138">
        <v>0.3</v>
      </c>
      <c r="AD31" s="138">
        <v>0</v>
      </c>
      <c r="AE31" s="138">
        <v>0</v>
      </c>
      <c r="AF31" s="138">
        <v>0</v>
      </c>
      <c r="AG31" s="138">
        <v>0</v>
      </c>
      <c r="AH31" s="138">
        <v>0</v>
      </c>
      <c r="AI31" s="138">
        <v>0</v>
      </c>
      <c r="AJ31" s="138">
        <v>0</v>
      </c>
      <c r="AK31" s="138">
        <v>0</v>
      </c>
      <c r="AL31" s="138">
        <v>0</v>
      </c>
      <c r="AM31" s="138">
        <v>0</v>
      </c>
      <c r="AN31" s="138">
        <v>0</v>
      </c>
    </row>
    <row r="32" spans="1:40" customFormat="1" x14ac:dyDescent="0.15">
      <c r="A32" s="173" t="s">
        <v>222</v>
      </c>
      <c r="B32" s="138">
        <v>0</v>
      </c>
      <c r="C32" s="138">
        <v>0</v>
      </c>
      <c r="D32" s="138">
        <v>0</v>
      </c>
      <c r="E32" s="138">
        <v>0</v>
      </c>
      <c r="F32" s="138">
        <v>0</v>
      </c>
      <c r="G32" s="138">
        <v>0</v>
      </c>
      <c r="H32" s="138">
        <v>0</v>
      </c>
      <c r="I32" s="138">
        <v>0</v>
      </c>
      <c r="J32" s="138">
        <v>0</v>
      </c>
      <c r="K32" s="138">
        <v>0</v>
      </c>
      <c r="L32" s="138">
        <v>0</v>
      </c>
      <c r="M32" s="138">
        <v>0</v>
      </c>
      <c r="N32" s="138">
        <v>0</v>
      </c>
      <c r="O32" s="138">
        <v>0</v>
      </c>
      <c r="P32" s="138">
        <v>0</v>
      </c>
      <c r="Q32" s="138">
        <v>0</v>
      </c>
      <c r="R32" s="138">
        <v>0</v>
      </c>
      <c r="S32" s="138">
        <v>0</v>
      </c>
      <c r="T32" s="138">
        <v>0</v>
      </c>
      <c r="U32" s="138">
        <v>0</v>
      </c>
      <c r="V32" s="138">
        <v>0</v>
      </c>
      <c r="W32" s="138">
        <v>0.15059989511990077</v>
      </c>
      <c r="X32" s="138">
        <v>0.20446444672856884</v>
      </c>
      <c r="Y32" s="138">
        <v>9.1957083898820596E-2</v>
      </c>
      <c r="Z32" s="138">
        <v>0.52646409631475133</v>
      </c>
      <c r="AA32" s="138">
        <v>0</v>
      </c>
      <c r="AB32" s="138">
        <v>0</v>
      </c>
      <c r="AC32" s="138">
        <v>0.2</v>
      </c>
      <c r="AD32" s="138">
        <v>0</v>
      </c>
      <c r="AE32" s="138">
        <v>0</v>
      </c>
      <c r="AF32" s="138">
        <v>0</v>
      </c>
      <c r="AG32" s="138">
        <v>0</v>
      </c>
      <c r="AH32" s="138">
        <v>0</v>
      </c>
      <c r="AI32" s="138">
        <v>0</v>
      </c>
      <c r="AJ32" s="138">
        <v>0</v>
      </c>
      <c r="AK32" s="138">
        <v>0</v>
      </c>
      <c r="AL32" s="138">
        <v>0</v>
      </c>
      <c r="AM32" s="138">
        <v>0</v>
      </c>
      <c r="AN32" s="138">
        <v>0</v>
      </c>
    </row>
    <row r="33" spans="1:40" customFormat="1" x14ac:dyDescent="0.15">
      <c r="A33" s="173" t="s">
        <v>223</v>
      </c>
      <c r="B33" s="138">
        <v>0</v>
      </c>
      <c r="C33" s="138">
        <v>0</v>
      </c>
      <c r="D33" s="138">
        <v>0</v>
      </c>
      <c r="E33" s="138">
        <v>0</v>
      </c>
      <c r="F33" s="138">
        <v>0</v>
      </c>
      <c r="G33" s="138">
        <v>0</v>
      </c>
      <c r="H33" s="138">
        <v>0</v>
      </c>
      <c r="I33" s="138">
        <v>0</v>
      </c>
      <c r="J33" s="138">
        <v>0</v>
      </c>
      <c r="K33" s="138">
        <v>0</v>
      </c>
      <c r="L33" s="138">
        <v>0</v>
      </c>
      <c r="M33" s="138">
        <v>0</v>
      </c>
      <c r="N33" s="138">
        <v>0</v>
      </c>
      <c r="O33" s="138">
        <v>0</v>
      </c>
      <c r="P33" s="138">
        <v>0</v>
      </c>
      <c r="Q33" s="138">
        <v>0</v>
      </c>
      <c r="R33" s="138">
        <v>0</v>
      </c>
      <c r="S33" s="138">
        <v>0</v>
      </c>
      <c r="T33" s="138">
        <v>0</v>
      </c>
      <c r="U33" s="138">
        <v>0</v>
      </c>
      <c r="V33" s="138">
        <v>0</v>
      </c>
      <c r="W33" s="138">
        <v>0</v>
      </c>
      <c r="X33" s="138">
        <v>0</v>
      </c>
      <c r="Y33" s="138">
        <v>0</v>
      </c>
      <c r="Z33" s="138">
        <v>0</v>
      </c>
      <c r="AA33" s="138">
        <v>0</v>
      </c>
      <c r="AB33" s="138">
        <v>0</v>
      </c>
      <c r="AC33" s="138">
        <v>0</v>
      </c>
      <c r="AD33" s="138">
        <v>0.54908156806320352</v>
      </c>
      <c r="AE33" s="138">
        <v>0.4</v>
      </c>
      <c r="AF33" s="138">
        <v>0.4</v>
      </c>
      <c r="AG33" s="138">
        <v>0</v>
      </c>
      <c r="AH33" s="138">
        <v>0.05</v>
      </c>
      <c r="AI33" s="138">
        <v>0</v>
      </c>
      <c r="AJ33" s="138">
        <v>0.05</v>
      </c>
      <c r="AK33" s="138">
        <v>0</v>
      </c>
      <c r="AL33" s="138">
        <v>0</v>
      </c>
      <c r="AM33" s="138">
        <v>0</v>
      </c>
      <c r="AN33" s="138">
        <v>0</v>
      </c>
    </row>
    <row r="34" spans="1:40" customFormat="1" x14ac:dyDescent="0.15">
      <c r="A34" s="173" t="s">
        <v>224</v>
      </c>
      <c r="B34" s="138">
        <v>7.834984101854793E-2</v>
      </c>
      <c r="C34" s="138">
        <v>0</v>
      </c>
      <c r="D34" s="138">
        <v>0</v>
      </c>
      <c r="E34" s="138">
        <v>0.11922866888077131</v>
      </c>
      <c r="F34" s="138">
        <v>0</v>
      </c>
      <c r="G34" s="138">
        <v>2.0366597219959293E-3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2.6063539107329791E-3</v>
      </c>
      <c r="O34" s="138">
        <v>7.1461886480502085E-3</v>
      </c>
      <c r="P34" s="138">
        <v>6.4374941693060975E-2</v>
      </c>
      <c r="Q34" s="138">
        <v>0.78279189663399484</v>
      </c>
      <c r="R34" s="138">
        <v>0</v>
      </c>
      <c r="S34" s="138">
        <v>0.77702298136698889</v>
      </c>
      <c r="T34" s="138">
        <v>0</v>
      </c>
      <c r="U34" s="138">
        <v>0</v>
      </c>
      <c r="V34" s="138">
        <v>0</v>
      </c>
      <c r="W34" s="138">
        <v>0</v>
      </c>
      <c r="X34" s="138">
        <v>0</v>
      </c>
      <c r="Y34" s="138">
        <v>0</v>
      </c>
      <c r="Z34" s="138">
        <v>0</v>
      </c>
      <c r="AA34" s="138">
        <v>0.19064924807308709</v>
      </c>
      <c r="AB34" s="138">
        <v>0</v>
      </c>
      <c r="AC34" s="138">
        <v>0</v>
      </c>
      <c r="AD34" s="138">
        <v>0</v>
      </c>
      <c r="AE34" s="138">
        <v>0</v>
      </c>
      <c r="AF34" s="138">
        <v>0</v>
      </c>
      <c r="AG34" s="138">
        <v>0</v>
      </c>
      <c r="AH34" s="138">
        <v>0.01</v>
      </c>
      <c r="AI34" s="138">
        <v>0.99</v>
      </c>
      <c r="AJ34" s="138">
        <v>0.17499999999999999</v>
      </c>
      <c r="AK34" s="138">
        <v>0.1</v>
      </c>
      <c r="AL34" s="138">
        <v>0</v>
      </c>
      <c r="AM34" s="138">
        <v>0</v>
      </c>
      <c r="AN34" s="138">
        <v>0</v>
      </c>
    </row>
    <row r="35" spans="1:40" customFormat="1" x14ac:dyDescent="0.15">
      <c r="A35" s="173" t="s">
        <v>225</v>
      </c>
      <c r="B35" s="138">
        <v>0.71203880925650442</v>
      </c>
      <c r="C35" s="138">
        <v>0</v>
      </c>
      <c r="D35" s="138">
        <v>0</v>
      </c>
      <c r="E35" s="138">
        <v>0.33356076466643919</v>
      </c>
      <c r="F35" s="138">
        <v>2.4606108380782494E-2</v>
      </c>
      <c r="G35" s="138">
        <v>0.21384925805957275</v>
      </c>
      <c r="H35" s="138">
        <v>8.3333334666666647E-2</v>
      </c>
      <c r="I35" s="138">
        <v>0.23655916326881676</v>
      </c>
      <c r="J35" s="138">
        <v>0.12121211312121237</v>
      </c>
      <c r="K35" s="138">
        <v>0.20069957389561022</v>
      </c>
      <c r="L35" s="138">
        <v>0</v>
      </c>
      <c r="M35" s="138">
        <v>0</v>
      </c>
      <c r="N35" s="138">
        <v>0.67452434936169181</v>
      </c>
      <c r="O35" s="138">
        <v>0.27163456562199761</v>
      </c>
      <c r="P35" s="138">
        <v>0.5061656133121557</v>
      </c>
      <c r="Q35" s="138">
        <v>0.16164927130490817</v>
      </c>
      <c r="R35" s="138">
        <v>0.15037594255639114</v>
      </c>
      <c r="S35" s="138">
        <v>0.12036773311358176</v>
      </c>
      <c r="T35" s="138">
        <v>0</v>
      </c>
      <c r="U35" s="138">
        <v>0</v>
      </c>
      <c r="V35" s="138">
        <v>0</v>
      </c>
      <c r="W35" s="138">
        <v>0</v>
      </c>
      <c r="X35" s="138">
        <v>0</v>
      </c>
      <c r="Y35" s="138">
        <v>0</v>
      </c>
      <c r="Z35" s="138">
        <v>0</v>
      </c>
      <c r="AA35" s="138">
        <v>0.52506967348008493</v>
      </c>
      <c r="AB35" s="138">
        <v>0.28316119546942087</v>
      </c>
      <c r="AC35" s="138">
        <v>0</v>
      </c>
      <c r="AD35" s="138">
        <v>0</v>
      </c>
      <c r="AE35" s="138">
        <v>0</v>
      </c>
      <c r="AF35" s="138">
        <v>0</v>
      </c>
      <c r="AG35" s="138">
        <v>0</v>
      </c>
      <c r="AH35" s="138">
        <v>0</v>
      </c>
      <c r="AI35" s="138">
        <v>0.01</v>
      </c>
      <c r="AJ35" s="138">
        <v>0</v>
      </c>
      <c r="AK35" s="138">
        <v>0</v>
      </c>
      <c r="AL35" s="138">
        <v>0</v>
      </c>
      <c r="AM35" s="138">
        <v>0</v>
      </c>
      <c r="AN35" s="138">
        <v>0</v>
      </c>
    </row>
    <row r="36" spans="1:40" customFormat="1" x14ac:dyDescent="0.15">
      <c r="A36" s="173" t="s">
        <v>226</v>
      </c>
      <c r="B36" s="138">
        <v>0</v>
      </c>
      <c r="C36" s="138">
        <v>0</v>
      </c>
      <c r="D36" s="138">
        <v>0</v>
      </c>
      <c r="E36" s="138">
        <v>0</v>
      </c>
      <c r="F36" s="138">
        <v>0</v>
      </c>
      <c r="G36" s="138">
        <v>0</v>
      </c>
      <c r="H36" s="138">
        <v>0</v>
      </c>
      <c r="I36" s="138">
        <v>0</v>
      </c>
      <c r="J36" s="138">
        <v>0</v>
      </c>
      <c r="K36" s="138">
        <v>0</v>
      </c>
      <c r="L36" s="138">
        <v>0</v>
      </c>
      <c r="M36" s="138">
        <v>0</v>
      </c>
      <c r="N36" s="138">
        <v>0</v>
      </c>
      <c r="O36" s="138">
        <v>0</v>
      </c>
      <c r="P36" s="138">
        <v>0</v>
      </c>
      <c r="Q36" s="138">
        <v>0</v>
      </c>
      <c r="R36" s="138">
        <v>0</v>
      </c>
      <c r="S36" s="138">
        <v>8.6109287935099282E-2</v>
      </c>
      <c r="T36" s="138">
        <v>9.3251070279753212E-2</v>
      </c>
      <c r="U36" s="138">
        <v>0.19115056900920882</v>
      </c>
      <c r="V36" s="138">
        <v>4.4999923664799891E-3</v>
      </c>
      <c r="W36" s="138">
        <v>0.17905267519790546</v>
      </c>
      <c r="X36" s="138">
        <v>9.8203418428745304E-2</v>
      </c>
      <c r="Y36" s="138">
        <v>1.5850176844668266E-2</v>
      </c>
      <c r="Z36" s="138">
        <v>0</v>
      </c>
      <c r="AA36" s="138">
        <v>1.410413962326358E-2</v>
      </c>
      <c r="AB36" s="138">
        <v>0</v>
      </c>
      <c r="AC36" s="138">
        <v>0</v>
      </c>
      <c r="AD36" s="138">
        <v>0</v>
      </c>
      <c r="AE36" s="138">
        <v>0</v>
      </c>
      <c r="AF36" s="138">
        <v>0</v>
      </c>
      <c r="AG36" s="138">
        <v>0</v>
      </c>
      <c r="AH36" s="138">
        <v>0</v>
      </c>
      <c r="AI36" s="138">
        <v>0</v>
      </c>
      <c r="AJ36" s="138">
        <v>0.01</v>
      </c>
      <c r="AK36" s="138">
        <v>0.7</v>
      </c>
      <c r="AL36" s="138">
        <v>0</v>
      </c>
      <c r="AM36" s="138">
        <v>0</v>
      </c>
      <c r="AN36" s="138">
        <v>0</v>
      </c>
    </row>
    <row r="37" spans="1:40" customFormat="1" x14ac:dyDescent="0.15">
      <c r="A37" s="173" t="s">
        <v>227</v>
      </c>
      <c r="B37" s="138">
        <v>0</v>
      </c>
      <c r="C37" s="138">
        <v>0</v>
      </c>
      <c r="D37" s="138">
        <v>0</v>
      </c>
      <c r="E37" s="138">
        <v>0</v>
      </c>
      <c r="F37" s="138">
        <v>0</v>
      </c>
      <c r="G37" s="138">
        <v>0</v>
      </c>
      <c r="H37" s="138">
        <v>0</v>
      </c>
      <c r="I37" s="138">
        <v>0</v>
      </c>
      <c r="J37" s="138">
        <v>0</v>
      </c>
      <c r="K37" s="138">
        <v>4.2454941247126636E-3</v>
      </c>
      <c r="L37" s="138">
        <v>0</v>
      </c>
      <c r="M37" s="138">
        <v>0</v>
      </c>
      <c r="N37" s="138">
        <v>0</v>
      </c>
      <c r="O37" s="138">
        <v>0</v>
      </c>
      <c r="P37" s="138">
        <v>0</v>
      </c>
      <c r="Q37" s="138">
        <v>0</v>
      </c>
      <c r="R37" s="138">
        <v>1.6708436672932252E-2</v>
      </c>
      <c r="S37" s="138">
        <v>1.3059991986821392E-2</v>
      </c>
      <c r="T37" s="138">
        <v>0.43774593031323777</v>
      </c>
      <c r="U37" s="138">
        <v>0.43469411821368353</v>
      </c>
      <c r="V37" s="138">
        <v>0.16166918023280363</v>
      </c>
      <c r="W37" s="138">
        <v>0.29756911635745131</v>
      </c>
      <c r="X37" s="138">
        <v>8.866277858139554E-2</v>
      </c>
      <c r="Y37" s="138">
        <v>0</v>
      </c>
      <c r="Z37" s="138">
        <v>0</v>
      </c>
      <c r="AA37" s="138">
        <v>3.8807248239748911E-2</v>
      </c>
      <c r="AB37" s="138">
        <v>1.6660725433428395E-2</v>
      </c>
      <c r="AC37" s="138">
        <v>0</v>
      </c>
      <c r="AD37" s="138">
        <v>0</v>
      </c>
      <c r="AE37" s="138">
        <v>0.05</v>
      </c>
      <c r="AF37" s="138">
        <v>0</v>
      </c>
      <c r="AG37" s="138">
        <v>0</v>
      </c>
      <c r="AH37" s="138">
        <v>0</v>
      </c>
      <c r="AI37" s="138">
        <v>0</v>
      </c>
      <c r="AJ37" s="138">
        <v>0</v>
      </c>
      <c r="AK37" s="138">
        <v>0.01</v>
      </c>
      <c r="AL37" s="138">
        <v>0</v>
      </c>
      <c r="AM37" s="138">
        <v>0</v>
      </c>
      <c r="AN37" s="138">
        <v>0</v>
      </c>
    </row>
    <row r="38" spans="1:40" customFormat="1" x14ac:dyDescent="0.15">
      <c r="A38" s="173" t="s">
        <v>228</v>
      </c>
      <c r="B38" s="138">
        <v>0</v>
      </c>
      <c r="C38" s="138">
        <v>0</v>
      </c>
      <c r="D38" s="138">
        <v>0</v>
      </c>
      <c r="E38" s="138">
        <v>0</v>
      </c>
      <c r="F38" s="138">
        <v>0</v>
      </c>
      <c r="G38" s="138">
        <v>0</v>
      </c>
      <c r="H38" s="138">
        <v>0</v>
      </c>
      <c r="I38" s="138">
        <v>0</v>
      </c>
      <c r="J38" s="138">
        <v>0</v>
      </c>
      <c r="K38" s="138">
        <v>0</v>
      </c>
      <c r="L38" s="138">
        <v>0</v>
      </c>
      <c r="M38" s="138">
        <v>0</v>
      </c>
      <c r="N38" s="138">
        <v>2.2877994774211655E-2</v>
      </c>
      <c r="O38" s="138">
        <v>0</v>
      </c>
      <c r="P38" s="138">
        <v>3.7749960992823975E-2</v>
      </c>
      <c r="Q38" s="138">
        <v>2.862121707692877E-2</v>
      </c>
      <c r="R38" s="138">
        <v>0</v>
      </c>
      <c r="S38" s="138">
        <v>0</v>
      </c>
      <c r="T38" s="138">
        <v>0</v>
      </c>
      <c r="U38" s="138">
        <v>0</v>
      </c>
      <c r="V38" s="138">
        <v>0</v>
      </c>
      <c r="W38" s="138">
        <v>0</v>
      </c>
      <c r="X38" s="138">
        <v>0</v>
      </c>
      <c r="Y38" s="138">
        <v>0</v>
      </c>
      <c r="Z38" s="138">
        <v>0</v>
      </c>
      <c r="AA38" s="138">
        <v>0</v>
      </c>
      <c r="AB38" s="138">
        <v>0</v>
      </c>
      <c r="AC38" s="138">
        <v>0</v>
      </c>
      <c r="AD38" s="138">
        <v>0</v>
      </c>
      <c r="AE38" s="138">
        <v>0</v>
      </c>
      <c r="AF38" s="138">
        <v>0</v>
      </c>
      <c r="AG38" s="138">
        <v>0</v>
      </c>
      <c r="AH38" s="138">
        <v>0.60499999999999998</v>
      </c>
      <c r="AI38" s="138">
        <v>0</v>
      </c>
      <c r="AJ38" s="138">
        <v>0</v>
      </c>
      <c r="AK38" s="138">
        <v>0</v>
      </c>
      <c r="AL38" s="138">
        <v>0</v>
      </c>
      <c r="AM38" s="138">
        <v>0</v>
      </c>
      <c r="AN38" s="138">
        <v>0</v>
      </c>
    </row>
    <row r="39" spans="1:40" x14ac:dyDescent="0.15">
      <c r="A39" s="173" t="s">
        <v>229</v>
      </c>
      <c r="B39" s="138">
        <v>0</v>
      </c>
      <c r="C39" s="138">
        <v>0</v>
      </c>
      <c r="D39" s="138">
        <v>0</v>
      </c>
      <c r="E39" s="138">
        <v>8.884524991115475E-2</v>
      </c>
      <c r="F39" s="138">
        <v>2.2273232911047117E-2</v>
      </c>
      <c r="G39" s="138">
        <v>0</v>
      </c>
      <c r="H39" s="138">
        <v>0</v>
      </c>
      <c r="I39" s="138">
        <v>0</v>
      </c>
      <c r="J39" s="138">
        <v>0</v>
      </c>
      <c r="K39" s="138">
        <v>0</v>
      </c>
      <c r="L39" s="138">
        <v>0</v>
      </c>
      <c r="M39" s="138">
        <v>0</v>
      </c>
      <c r="N39" s="138">
        <v>0</v>
      </c>
      <c r="O39" s="138">
        <v>0</v>
      </c>
      <c r="P39" s="138">
        <v>3.7499965186249089E-2</v>
      </c>
      <c r="Q39" s="138">
        <v>2.6937614984168256E-2</v>
      </c>
      <c r="R39" s="138">
        <v>0</v>
      </c>
      <c r="S39" s="138">
        <v>2.4400039414887056E-3</v>
      </c>
      <c r="T39" s="138">
        <v>0.37386813912160444</v>
      </c>
      <c r="U39" s="138">
        <v>0.13736033975539821</v>
      </c>
      <c r="V39" s="138">
        <v>0.48999920070559894</v>
      </c>
      <c r="W39" s="138">
        <v>3.5415598852378764E-2</v>
      </c>
      <c r="X39" s="138">
        <v>7.0164448877368821E-2</v>
      </c>
      <c r="Y39" s="138">
        <v>0.23743654567312186</v>
      </c>
      <c r="Z39" s="138">
        <v>0.42077347305458568</v>
      </c>
      <c r="AA39" s="138">
        <v>0</v>
      </c>
      <c r="AB39" s="138">
        <v>0</v>
      </c>
      <c r="AC39" s="138">
        <v>0</v>
      </c>
      <c r="AD39" s="138">
        <v>0.44091840326279613</v>
      </c>
      <c r="AE39" s="138">
        <v>0.5</v>
      </c>
      <c r="AF39" s="138">
        <v>0.55000000000000004</v>
      </c>
      <c r="AG39" s="138">
        <v>1</v>
      </c>
      <c r="AH39" s="138">
        <v>0.33500000000000002</v>
      </c>
      <c r="AI39" s="138">
        <v>0</v>
      </c>
      <c r="AJ39" s="138">
        <v>0.76500000000000001</v>
      </c>
      <c r="AK39" s="138">
        <v>0.19</v>
      </c>
      <c r="AL39" s="138">
        <v>0</v>
      </c>
      <c r="AM39" s="138">
        <v>0</v>
      </c>
      <c r="AN39" s="138">
        <v>0</v>
      </c>
    </row>
    <row r="40" spans="1:40" x14ac:dyDescent="0.15">
      <c r="A40" s="173" t="s">
        <v>230</v>
      </c>
      <c r="B40" s="138">
        <v>0</v>
      </c>
      <c r="C40" s="138">
        <v>0</v>
      </c>
      <c r="D40" s="138">
        <v>0</v>
      </c>
      <c r="E40" s="138">
        <v>0</v>
      </c>
      <c r="F40" s="138">
        <v>0</v>
      </c>
      <c r="G40" s="138">
        <v>0</v>
      </c>
      <c r="H40" s="138">
        <v>0</v>
      </c>
      <c r="I40" s="138">
        <v>0</v>
      </c>
      <c r="J40" s="138">
        <v>0</v>
      </c>
      <c r="K40" s="138">
        <v>0</v>
      </c>
      <c r="L40" s="138">
        <v>0</v>
      </c>
      <c r="M40" s="138">
        <v>0</v>
      </c>
      <c r="N40" s="138">
        <v>0</v>
      </c>
      <c r="O40" s="138">
        <v>0</v>
      </c>
      <c r="P40" s="138">
        <v>0</v>
      </c>
      <c r="Q40" s="138">
        <v>0</v>
      </c>
      <c r="R40" s="138">
        <v>0</v>
      </c>
      <c r="S40" s="138">
        <v>0</v>
      </c>
      <c r="T40" s="138">
        <v>0</v>
      </c>
      <c r="U40" s="138">
        <v>0</v>
      </c>
      <c r="V40" s="138">
        <v>0</v>
      </c>
      <c r="W40" s="138">
        <v>0</v>
      </c>
      <c r="X40" s="138">
        <v>0</v>
      </c>
      <c r="Y40" s="138">
        <v>0</v>
      </c>
      <c r="Z40" s="138">
        <v>0</v>
      </c>
      <c r="AA40" s="138">
        <v>0</v>
      </c>
      <c r="AB40" s="138">
        <v>0</v>
      </c>
      <c r="AC40" s="138">
        <v>0</v>
      </c>
      <c r="AD40" s="138">
        <v>0</v>
      </c>
      <c r="AE40" s="138">
        <v>0</v>
      </c>
      <c r="AF40" s="138">
        <v>0</v>
      </c>
      <c r="AG40" s="138">
        <v>0</v>
      </c>
      <c r="AH40" s="138">
        <v>0</v>
      </c>
      <c r="AI40" s="138">
        <v>0</v>
      </c>
      <c r="AJ40" s="138">
        <v>0</v>
      </c>
      <c r="AK40" s="138">
        <v>0</v>
      </c>
      <c r="AL40" s="138">
        <v>0</v>
      </c>
      <c r="AM40" s="138">
        <v>0</v>
      </c>
      <c r="AN40" s="138">
        <v>0</v>
      </c>
    </row>
    <row r="41" spans="1:40" x14ac:dyDescent="0.15">
      <c r="A41" s="173" t="s">
        <v>232</v>
      </c>
      <c r="B41" s="138">
        <v>0</v>
      </c>
      <c r="C41" s="138">
        <v>0</v>
      </c>
      <c r="D41" s="138">
        <v>0</v>
      </c>
      <c r="E41" s="138">
        <v>0</v>
      </c>
      <c r="F41" s="138">
        <v>0</v>
      </c>
      <c r="G41" s="138">
        <v>0</v>
      </c>
      <c r="H41" s="138">
        <v>0</v>
      </c>
      <c r="I41" s="138">
        <v>0</v>
      </c>
      <c r="J41" s="138">
        <v>0</v>
      </c>
      <c r="K41" s="138">
        <v>0</v>
      </c>
      <c r="L41" s="138">
        <v>0</v>
      </c>
      <c r="M41" s="138">
        <v>0</v>
      </c>
      <c r="N41" s="138">
        <v>0</v>
      </c>
      <c r="O41" s="138">
        <v>0</v>
      </c>
      <c r="P41" s="138">
        <v>0</v>
      </c>
      <c r="Q41" s="138">
        <v>0</v>
      </c>
      <c r="R41" s="138">
        <v>0</v>
      </c>
      <c r="S41" s="138">
        <v>0</v>
      </c>
      <c r="T41" s="138">
        <v>0</v>
      </c>
      <c r="U41" s="138">
        <v>0</v>
      </c>
      <c r="V41" s="138">
        <v>0</v>
      </c>
      <c r="W41" s="138">
        <v>0</v>
      </c>
      <c r="X41" s="138">
        <v>0</v>
      </c>
      <c r="Y41" s="138">
        <v>0</v>
      </c>
      <c r="Z41" s="138">
        <v>0</v>
      </c>
      <c r="AA41" s="138">
        <v>0</v>
      </c>
      <c r="AB41" s="138">
        <v>0</v>
      </c>
      <c r="AC41" s="138">
        <v>0</v>
      </c>
      <c r="AD41" s="138">
        <v>0</v>
      </c>
      <c r="AE41" s="138">
        <v>0</v>
      </c>
      <c r="AF41" s="138">
        <v>0</v>
      </c>
      <c r="AG41" s="138">
        <v>0</v>
      </c>
      <c r="AH41" s="138">
        <v>0</v>
      </c>
      <c r="AI41" s="138">
        <v>0</v>
      </c>
      <c r="AJ41" s="138">
        <v>0</v>
      </c>
      <c r="AK41" s="138">
        <v>0</v>
      </c>
      <c r="AL41" s="138">
        <v>0</v>
      </c>
      <c r="AM41" s="138">
        <v>0</v>
      </c>
      <c r="AN41" s="138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F46" sqref="F46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2.6640625" style="105" customWidth="1"/>
    <col min="5" max="6" width="12.6640625" style="104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76" t="s">
        <v>229</v>
      </c>
      <c r="D1" s="176" t="s">
        <v>230</v>
      </c>
      <c r="E1" s="176" t="s">
        <v>233</v>
      </c>
      <c r="F1" s="176" t="s">
        <v>234</v>
      </c>
      <c r="G1"/>
      <c r="H1"/>
    </row>
    <row r="2" spans="1:8" x14ac:dyDescent="0.15">
      <c r="A2">
        <v>1</v>
      </c>
      <c r="B2" s="175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75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75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75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75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75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75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75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75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75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75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75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75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75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75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75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75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75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75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75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75" t="s">
        <v>212</v>
      </c>
      <c r="C22" s="105">
        <v>1</v>
      </c>
      <c r="D22" s="105">
        <v>0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75" t="s">
        <v>213</v>
      </c>
      <c r="C23" s="105">
        <v>1</v>
      </c>
      <c r="D23" s="105">
        <v>0</v>
      </c>
      <c r="E23" s="104">
        <v>0</v>
      </c>
      <c r="F23" s="104">
        <v>1</v>
      </c>
      <c r="G23"/>
      <c r="H23"/>
    </row>
    <row r="24" spans="1:8" ht="15" customHeight="1" x14ac:dyDescent="0.15">
      <c r="A24">
        <v>23</v>
      </c>
      <c r="B24" s="175" t="s">
        <v>214</v>
      </c>
      <c r="C24" s="105">
        <v>1</v>
      </c>
      <c r="D24" s="105">
        <v>0</v>
      </c>
      <c r="E24" s="104">
        <v>0</v>
      </c>
      <c r="F24" s="104">
        <v>1</v>
      </c>
      <c r="G24"/>
      <c r="H24"/>
    </row>
    <row r="25" spans="1:8" ht="15" customHeight="1" x14ac:dyDescent="0.15">
      <c r="A25">
        <v>24</v>
      </c>
      <c r="B25" s="175" t="s">
        <v>215</v>
      </c>
      <c r="C25" s="105">
        <v>1</v>
      </c>
      <c r="D25" s="105">
        <v>0</v>
      </c>
      <c r="E25" s="104">
        <v>0</v>
      </c>
      <c r="F25" s="104">
        <v>1</v>
      </c>
      <c r="G25"/>
      <c r="H25"/>
    </row>
    <row r="26" spans="1:8" ht="15" customHeight="1" x14ac:dyDescent="0.15">
      <c r="A26">
        <v>25</v>
      </c>
      <c r="B26" s="175" t="s">
        <v>216</v>
      </c>
      <c r="C26" s="105">
        <v>1</v>
      </c>
      <c r="D26" s="105">
        <v>0</v>
      </c>
      <c r="E26" s="104">
        <v>0</v>
      </c>
      <c r="F26" s="104">
        <v>1</v>
      </c>
      <c r="G26"/>
      <c r="H26"/>
    </row>
    <row r="27" spans="1:8" ht="15" customHeight="1" x14ac:dyDescent="0.15">
      <c r="A27">
        <v>26</v>
      </c>
      <c r="B27" s="175" t="s">
        <v>217</v>
      </c>
      <c r="C27" s="105">
        <v>1</v>
      </c>
      <c r="D27" s="105">
        <v>0</v>
      </c>
      <c r="E27" s="104">
        <v>0</v>
      </c>
      <c r="F27" s="104">
        <v>1</v>
      </c>
      <c r="G27"/>
      <c r="H27"/>
    </row>
    <row r="28" spans="1:8" ht="15" customHeight="1" x14ac:dyDescent="0.15">
      <c r="A28">
        <v>27</v>
      </c>
      <c r="B28" s="175" t="s">
        <v>218</v>
      </c>
      <c r="C28" s="105">
        <v>1</v>
      </c>
      <c r="D28" s="105">
        <v>0</v>
      </c>
      <c r="E28" s="104">
        <v>0</v>
      </c>
      <c r="F28" s="104">
        <v>1</v>
      </c>
      <c r="G28"/>
      <c r="H28"/>
    </row>
    <row r="29" spans="1:8" ht="15" customHeight="1" x14ac:dyDescent="0.15">
      <c r="A29">
        <v>28</v>
      </c>
      <c r="B29" s="175" t="s">
        <v>219</v>
      </c>
      <c r="C29" s="105">
        <v>1</v>
      </c>
      <c r="D29" s="105">
        <v>0</v>
      </c>
      <c r="E29" s="104">
        <v>0</v>
      </c>
      <c r="F29" s="104">
        <v>1</v>
      </c>
      <c r="G29"/>
      <c r="H29"/>
    </row>
    <row r="30" spans="1:8" ht="15" customHeight="1" x14ac:dyDescent="0.15">
      <c r="A30">
        <v>29</v>
      </c>
      <c r="B30" s="175" t="s">
        <v>220</v>
      </c>
      <c r="C30" s="105">
        <v>1</v>
      </c>
      <c r="D30" s="105">
        <v>0</v>
      </c>
      <c r="E30" s="104">
        <v>0</v>
      </c>
      <c r="F30" s="104">
        <v>1</v>
      </c>
      <c r="G30"/>
      <c r="H30"/>
    </row>
    <row r="31" spans="1:8" ht="15" customHeight="1" x14ac:dyDescent="0.15">
      <c r="A31">
        <v>30</v>
      </c>
      <c r="B31" s="175" t="s">
        <v>221</v>
      </c>
      <c r="C31" s="105">
        <v>1</v>
      </c>
      <c r="D31" s="105">
        <v>0</v>
      </c>
      <c r="E31" s="104">
        <v>0</v>
      </c>
      <c r="F31" s="104">
        <v>1</v>
      </c>
      <c r="G31"/>
      <c r="H31"/>
    </row>
    <row r="32" spans="1:8" ht="15" customHeight="1" x14ac:dyDescent="0.15">
      <c r="A32">
        <v>31</v>
      </c>
      <c r="B32" s="175" t="s">
        <v>222</v>
      </c>
      <c r="C32" s="105">
        <v>1</v>
      </c>
      <c r="D32" s="105">
        <v>0</v>
      </c>
      <c r="E32" s="104">
        <v>0</v>
      </c>
      <c r="F32" s="104">
        <v>1</v>
      </c>
    </row>
    <row r="33" spans="1:8" ht="15" customHeight="1" x14ac:dyDescent="0.15">
      <c r="A33">
        <v>32</v>
      </c>
      <c r="B33" s="175" t="s">
        <v>223</v>
      </c>
      <c r="C33" s="105">
        <v>1</v>
      </c>
      <c r="D33" s="105">
        <v>0</v>
      </c>
      <c r="E33" s="104">
        <v>0</v>
      </c>
      <c r="F33" s="104">
        <v>1</v>
      </c>
    </row>
    <row r="34" spans="1:8" ht="15" customHeight="1" x14ac:dyDescent="0.15">
      <c r="A34">
        <v>33</v>
      </c>
      <c r="B34" s="175" t="s">
        <v>224</v>
      </c>
      <c r="C34" s="105">
        <v>1</v>
      </c>
      <c r="D34" s="105">
        <v>0</v>
      </c>
      <c r="E34" s="104">
        <v>0</v>
      </c>
      <c r="F34" s="104">
        <v>1</v>
      </c>
    </row>
    <row r="35" spans="1:8" ht="15" customHeight="1" x14ac:dyDescent="0.15">
      <c r="A35">
        <v>34</v>
      </c>
      <c r="B35" s="175" t="s">
        <v>225</v>
      </c>
      <c r="C35" s="105">
        <v>1</v>
      </c>
      <c r="D35" s="105">
        <v>0</v>
      </c>
      <c r="E35" s="104">
        <v>0</v>
      </c>
      <c r="F35" s="104">
        <v>1</v>
      </c>
    </row>
    <row r="36" spans="1:8" ht="15" customHeight="1" x14ac:dyDescent="0.15">
      <c r="A36">
        <v>35</v>
      </c>
      <c r="B36" s="175" t="s">
        <v>226</v>
      </c>
      <c r="C36" s="105">
        <v>1</v>
      </c>
      <c r="D36" s="105">
        <v>0</v>
      </c>
      <c r="E36" s="105">
        <v>0</v>
      </c>
      <c r="F36" s="105">
        <v>1</v>
      </c>
      <c r="G36"/>
      <c r="H36"/>
    </row>
    <row r="37" spans="1:8" ht="15" customHeight="1" x14ac:dyDescent="0.15">
      <c r="A37">
        <v>36</v>
      </c>
      <c r="B37" s="175" t="s">
        <v>227</v>
      </c>
      <c r="C37" s="105">
        <v>1</v>
      </c>
      <c r="D37" s="105">
        <v>0</v>
      </c>
      <c r="E37" s="105">
        <v>0</v>
      </c>
      <c r="F37" s="105">
        <v>1</v>
      </c>
      <c r="G37"/>
      <c r="H37"/>
    </row>
    <row r="38" spans="1:8" ht="15" customHeight="1" x14ac:dyDescent="0.15">
      <c r="A38">
        <v>37</v>
      </c>
      <c r="B38" s="175" t="s">
        <v>228</v>
      </c>
      <c r="C38" s="105">
        <v>1</v>
      </c>
      <c r="D38" s="105">
        <v>0</v>
      </c>
      <c r="E38" s="105">
        <v>0</v>
      </c>
      <c r="F38" s="105">
        <v>1</v>
      </c>
      <c r="G38"/>
      <c r="H38"/>
    </row>
    <row r="39" spans="1:8" ht="15" customHeight="1" x14ac:dyDescent="0.15">
      <c r="A39">
        <v>38</v>
      </c>
      <c r="B39" s="175" t="s">
        <v>229</v>
      </c>
      <c r="C39" s="105">
        <v>0</v>
      </c>
      <c r="D39" s="105">
        <v>1</v>
      </c>
      <c r="E39" s="105">
        <v>0</v>
      </c>
      <c r="F39" s="105">
        <v>1</v>
      </c>
      <c r="G39"/>
      <c r="H39"/>
    </row>
    <row r="40" spans="1:8" ht="15" customHeight="1" x14ac:dyDescent="0.15">
      <c r="A40">
        <v>39</v>
      </c>
      <c r="B40" s="175" t="s">
        <v>230</v>
      </c>
      <c r="C40" s="105">
        <v>0</v>
      </c>
      <c r="D40" s="105">
        <v>0</v>
      </c>
      <c r="E40" s="105">
        <v>1</v>
      </c>
      <c r="F40" s="105">
        <v>1</v>
      </c>
      <c r="G40"/>
      <c r="H40"/>
    </row>
    <row r="41" spans="1:8" ht="15" customHeight="1" x14ac:dyDescent="0.15">
      <c r="A41">
        <v>40</v>
      </c>
      <c r="B41" s="175" t="s">
        <v>231</v>
      </c>
      <c r="C41" s="105">
        <v>0</v>
      </c>
      <c r="D41" s="105">
        <v>1</v>
      </c>
      <c r="E41" s="105">
        <v>0</v>
      </c>
      <c r="F41" s="105">
        <v>1</v>
      </c>
      <c r="G41"/>
      <c r="H41"/>
    </row>
    <row r="42" spans="1:8" ht="15" customHeight="1" x14ac:dyDescent="0.15">
      <c r="C42"/>
      <c r="D42"/>
      <c r="E42" s="105"/>
      <c r="F42" s="105"/>
      <c r="G42"/>
      <c r="H42"/>
    </row>
    <row r="43" spans="1:8" ht="15" customHeight="1" x14ac:dyDescent="0.15">
      <c r="C43"/>
      <c r="D43"/>
      <c r="E43" s="105"/>
      <c r="F43" s="10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5"/>
      <c r="F46" s="10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12.8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78" t="s">
        <v>231</v>
      </c>
      <c r="D1" s="178" t="s">
        <v>235</v>
      </c>
      <c r="E1"/>
    </row>
    <row r="2" spans="1:5" ht="15" customHeight="1" x14ac:dyDescent="0.15">
      <c r="A2">
        <v>1</v>
      </c>
      <c r="B2" s="177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7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7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7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7" t="s">
        <v>196</v>
      </c>
      <c r="C6">
        <v>1.730833E-3</v>
      </c>
      <c r="D6">
        <v>1.730833E-3</v>
      </c>
    </row>
    <row r="7" spans="1:5" ht="15" customHeight="1" x14ac:dyDescent="0.15">
      <c r="A7">
        <v>6</v>
      </c>
      <c r="B7" s="177" t="s">
        <v>197</v>
      </c>
      <c r="C7">
        <v>5.2996799999999997E-6</v>
      </c>
      <c r="D7">
        <v>5.2996799999999997E-6</v>
      </c>
    </row>
    <row r="8" spans="1:5" ht="15" customHeight="1" x14ac:dyDescent="0.15">
      <c r="A8">
        <v>7</v>
      </c>
      <c r="B8" s="177" t="s">
        <v>198</v>
      </c>
      <c r="C8">
        <v>7.3065399999999996E-4</v>
      </c>
      <c r="D8">
        <v>7.3065399999999996E-4</v>
      </c>
    </row>
    <row r="9" spans="1:5" ht="15" customHeight="1" x14ac:dyDescent="0.15">
      <c r="A9">
        <v>8</v>
      </c>
      <c r="B9" s="177" t="s">
        <v>199</v>
      </c>
      <c r="C9">
        <v>1.6217400000000001E-4</v>
      </c>
      <c r="D9">
        <v>1.6217400000000001E-4</v>
      </c>
    </row>
    <row r="10" spans="1:5" ht="15" customHeight="1" x14ac:dyDescent="0.15">
      <c r="A10">
        <v>9</v>
      </c>
      <c r="B10" s="177" t="s">
        <v>200</v>
      </c>
      <c r="C10">
        <v>8.8823899999999996E-8</v>
      </c>
      <c r="D10">
        <v>8.8823899999999996E-8</v>
      </c>
    </row>
    <row r="11" spans="1:5" ht="15" customHeight="1" x14ac:dyDescent="0.15">
      <c r="A11">
        <v>10</v>
      </c>
      <c r="B11" s="177" t="s">
        <v>201</v>
      </c>
      <c r="C11">
        <v>9.4302870000000007E-3</v>
      </c>
      <c r="D11">
        <v>9.4302870000000007E-3</v>
      </c>
    </row>
    <row r="12" spans="1:5" ht="15" customHeight="1" x14ac:dyDescent="0.15">
      <c r="A12">
        <v>11</v>
      </c>
      <c r="B12" s="177" t="s">
        <v>202</v>
      </c>
      <c r="C12">
        <v>2.9567700000000002E-5</v>
      </c>
      <c r="D12">
        <v>2.9567700000000002E-5</v>
      </c>
    </row>
    <row r="13" spans="1:5" ht="15" customHeight="1" x14ac:dyDescent="0.15">
      <c r="A13">
        <v>12</v>
      </c>
      <c r="B13" s="177" t="s">
        <v>203</v>
      </c>
      <c r="C13">
        <v>1.01164E-5</v>
      </c>
      <c r="D13">
        <v>1.01164E-5</v>
      </c>
    </row>
    <row r="14" spans="1:5" ht="15" customHeight="1" x14ac:dyDescent="0.15">
      <c r="A14">
        <v>13</v>
      </c>
      <c r="B14" s="177" t="s">
        <v>204</v>
      </c>
      <c r="C14">
        <v>6.23009E-6</v>
      </c>
      <c r="D14">
        <v>6.23009E-6</v>
      </c>
    </row>
    <row r="15" spans="1:5" ht="15" customHeight="1" x14ac:dyDescent="0.15">
      <c r="A15">
        <v>14</v>
      </c>
      <c r="B15" s="177" t="s">
        <v>205</v>
      </c>
      <c r="C15">
        <v>6.6106400000000005E-4</v>
      </c>
      <c r="D15">
        <v>6.6106400000000005E-4</v>
      </c>
    </row>
    <row r="16" spans="1:5" ht="15" customHeight="1" x14ac:dyDescent="0.15">
      <c r="A16">
        <v>15</v>
      </c>
      <c r="B16" s="177" t="s">
        <v>206</v>
      </c>
      <c r="C16">
        <v>1.5909081299999999E-2</v>
      </c>
      <c r="D16">
        <v>1.5909081299999999E-2</v>
      </c>
    </row>
    <row r="17" spans="1:4" ht="15" customHeight="1" x14ac:dyDescent="0.15">
      <c r="A17">
        <v>16</v>
      </c>
      <c r="B17" s="177" t="s">
        <v>207</v>
      </c>
      <c r="C17">
        <v>1.7234299999999999E-5</v>
      </c>
      <c r="D17">
        <v>1.7234299999999999E-5</v>
      </c>
    </row>
    <row r="18" spans="1:4" ht="15" customHeight="1" x14ac:dyDescent="0.15">
      <c r="A18">
        <v>17</v>
      </c>
      <c r="B18" s="177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7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7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7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7" t="s">
        <v>212</v>
      </c>
      <c r="C22">
        <v>6.61653E-4</v>
      </c>
      <c r="D22">
        <v>6.61653E-4</v>
      </c>
    </row>
    <row r="23" spans="1:4" ht="15" customHeight="1" x14ac:dyDescent="0.15">
      <c r="A23">
        <v>22</v>
      </c>
      <c r="B23" s="177" t="s">
        <v>213</v>
      </c>
      <c r="C23">
        <v>1.602E-2</v>
      </c>
      <c r="D23">
        <v>1.602E-2</v>
      </c>
    </row>
    <row r="24" spans="1:4" ht="15" customHeight="1" x14ac:dyDescent="0.15">
      <c r="A24">
        <v>23</v>
      </c>
      <c r="B24" s="177" t="s">
        <v>214</v>
      </c>
      <c r="C24">
        <v>5.581829E-3</v>
      </c>
      <c r="D24">
        <v>5.581829E-3</v>
      </c>
    </row>
    <row r="25" spans="1:4" ht="15" customHeight="1" x14ac:dyDescent="0.15">
      <c r="A25">
        <v>24</v>
      </c>
      <c r="B25" s="177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7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7" t="s">
        <v>217</v>
      </c>
      <c r="C27">
        <v>1.62511E-4</v>
      </c>
      <c r="D27">
        <v>1.62511E-4</v>
      </c>
    </row>
    <row r="28" spans="1:4" ht="15" customHeight="1" x14ac:dyDescent="0.15">
      <c r="A28">
        <v>27</v>
      </c>
      <c r="B28" s="177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7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7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7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7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7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7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7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77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77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77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77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77" t="s">
        <v>230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80" t="s">
        <v>231</v>
      </c>
      <c r="D1" s="180" t="s">
        <v>235</v>
      </c>
    </row>
    <row r="2" spans="1:4" x14ac:dyDescent="0.15">
      <c r="A2">
        <v>1</v>
      </c>
      <c r="B2" s="179" t="s">
        <v>192</v>
      </c>
      <c r="C2">
        <v>0</v>
      </c>
      <c r="D2">
        <v>0</v>
      </c>
    </row>
    <row r="3" spans="1:4" x14ac:dyDescent="0.15">
      <c r="A3">
        <v>2</v>
      </c>
      <c r="B3" s="179" t="s">
        <v>193</v>
      </c>
      <c r="C3">
        <v>0</v>
      </c>
      <c r="D3">
        <v>0</v>
      </c>
    </row>
    <row r="4" spans="1:4" x14ac:dyDescent="0.15">
      <c r="A4">
        <v>3</v>
      </c>
      <c r="B4" s="179" t="s">
        <v>194</v>
      </c>
      <c r="C4">
        <v>0</v>
      </c>
      <c r="D4">
        <v>0</v>
      </c>
    </row>
    <row r="5" spans="1:4" x14ac:dyDescent="0.15">
      <c r="A5">
        <v>4</v>
      </c>
      <c r="B5" s="179" t="s">
        <v>195</v>
      </c>
      <c r="C5">
        <v>0</v>
      </c>
      <c r="D5">
        <v>0</v>
      </c>
    </row>
    <row r="6" spans="1:4" x14ac:dyDescent="0.15">
      <c r="A6">
        <v>5</v>
      </c>
      <c r="B6" s="179" t="s">
        <v>196</v>
      </c>
      <c r="C6">
        <v>0</v>
      </c>
      <c r="D6">
        <v>0</v>
      </c>
    </row>
    <row r="7" spans="1:4" x14ac:dyDescent="0.15">
      <c r="A7">
        <v>6</v>
      </c>
      <c r="B7" s="179" t="s">
        <v>197</v>
      </c>
      <c r="C7">
        <v>0</v>
      </c>
      <c r="D7">
        <v>0</v>
      </c>
    </row>
    <row r="8" spans="1:4" x14ac:dyDescent="0.15">
      <c r="A8">
        <v>7</v>
      </c>
      <c r="B8" s="179" t="s">
        <v>198</v>
      </c>
      <c r="C8">
        <v>0</v>
      </c>
      <c r="D8">
        <v>0</v>
      </c>
    </row>
    <row r="9" spans="1:4" x14ac:dyDescent="0.15">
      <c r="A9">
        <v>8</v>
      </c>
      <c r="B9" s="179" t="s">
        <v>199</v>
      </c>
      <c r="C9">
        <v>0</v>
      </c>
      <c r="D9">
        <v>0</v>
      </c>
    </row>
    <row r="10" spans="1:4" x14ac:dyDescent="0.15">
      <c r="A10">
        <v>9</v>
      </c>
      <c r="B10" s="179" t="s">
        <v>200</v>
      </c>
      <c r="C10">
        <v>0</v>
      </c>
      <c r="D10">
        <v>0</v>
      </c>
    </row>
    <row r="11" spans="1:4" x14ac:dyDescent="0.15">
      <c r="A11">
        <v>10</v>
      </c>
      <c r="B11" s="179" t="s">
        <v>201</v>
      </c>
      <c r="C11">
        <v>0</v>
      </c>
      <c r="D11">
        <v>0</v>
      </c>
    </row>
    <row r="12" spans="1:4" x14ac:dyDescent="0.15">
      <c r="A12">
        <v>11</v>
      </c>
      <c r="B12" s="179" t="s">
        <v>202</v>
      </c>
      <c r="C12">
        <v>0</v>
      </c>
      <c r="D12">
        <v>0</v>
      </c>
    </row>
    <row r="13" spans="1:4" x14ac:dyDescent="0.15">
      <c r="A13">
        <v>12</v>
      </c>
      <c r="B13" s="179" t="s">
        <v>203</v>
      </c>
      <c r="C13">
        <v>0</v>
      </c>
      <c r="D13">
        <v>0</v>
      </c>
    </row>
    <row r="14" spans="1:4" x14ac:dyDescent="0.15">
      <c r="A14">
        <v>13</v>
      </c>
      <c r="B14" s="179" t="s">
        <v>204</v>
      </c>
      <c r="C14">
        <v>0</v>
      </c>
      <c r="D14">
        <v>0</v>
      </c>
    </row>
    <row r="15" spans="1:4" x14ac:dyDescent="0.15">
      <c r="A15">
        <v>14</v>
      </c>
      <c r="B15" s="179" t="s">
        <v>205</v>
      </c>
      <c r="C15">
        <v>0</v>
      </c>
      <c r="D15">
        <v>0</v>
      </c>
    </row>
    <row r="16" spans="1:4" x14ac:dyDescent="0.15">
      <c r="A16">
        <v>15</v>
      </c>
      <c r="B16" s="179" t="s">
        <v>206</v>
      </c>
      <c r="C16">
        <v>0</v>
      </c>
      <c r="D16">
        <v>0</v>
      </c>
    </row>
    <row r="17" spans="1:4" x14ac:dyDescent="0.15">
      <c r="A17">
        <v>16</v>
      </c>
      <c r="B17" s="179" t="s">
        <v>207</v>
      </c>
      <c r="C17">
        <v>0</v>
      </c>
      <c r="D17">
        <v>0</v>
      </c>
    </row>
    <row r="18" spans="1:4" x14ac:dyDescent="0.15">
      <c r="A18">
        <v>17</v>
      </c>
      <c r="B18" s="179" t="s">
        <v>208</v>
      </c>
      <c r="C18">
        <v>0</v>
      </c>
      <c r="D18">
        <v>0</v>
      </c>
    </row>
    <row r="19" spans="1:4" x14ac:dyDescent="0.15">
      <c r="A19">
        <v>18</v>
      </c>
      <c r="B19" s="179" t="s">
        <v>209</v>
      </c>
      <c r="C19">
        <v>0</v>
      </c>
      <c r="D19">
        <v>0</v>
      </c>
    </row>
    <row r="20" spans="1:4" x14ac:dyDescent="0.15">
      <c r="A20">
        <v>19</v>
      </c>
      <c r="B20" s="179" t="s">
        <v>210</v>
      </c>
      <c r="C20">
        <v>0</v>
      </c>
      <c r="D20">
        <v>0</v>
      </c>
    </row>
    <row r="21" spans="1:4" x14ac:dyDescent="0.15">
      <c r="A21">
        <v>20</v>
      </c>
      <c r="B21" s="179" t="s">
        <v>211</v>
      </c>
      <c r="C21">
        <v>0</v>
      </c>
      <c r="D21">
        <v>0</v>
      </c>
    </row>
    <row r="22" spans="1:4" x14ac:dyDescent="0.15">
      <c r="A22">
        <v>21</v>
      </c>
      <c r="B22" s="179" t="s">
        <v>212</v>
      </c>
      <c r="C22">
        <v>0</v>
      </c>
      <c r="D22">
        <v>0</v>
      </c>
    </row>
    <row r="23" spans="1:4" x14ac:dyDescent="0.15">
      <c r="A23">
        <v>22</v>
      </c>
      <c r="B23" s="179" t="s">
        <v>213</v>
      </c>
      <c r="C23">
        <v>0</v>
      </c>
      <c r="D23">
        <v>0</v>
      </c>
    </row>
    <row r="24" spans="1:4" x14ac:dyDescent="0.15">
      <c r="A24">
        <v>23</v>
      </c>
      <c r="B24" s="179" t="s">
        <v>214</v>
      </c>
      <c r="C24">
        <v>0</v>
      </c>
      <c r="D24">
        <v>0</v>
      </c>
    </row>
    <row r="25" spans="1:4" x14ac:dyDescent="0.15">
      <c r="A25">
        <v>24</v>
      </c>
      <c r="B25" s="179" t="s">
        <v>215</v>
      </c>
      <c r="C25">
        <v>0</v>
      </c>
      <c r="D25">
        <v>0</v>
      </c>
    </row>
    <row r="26" spans="1:4" x14ac:dyDescent="0.15">
      <c r="A26">
        <v>25</v>
      </c>
      <c r="B26" s="179" t="s">
        <v>216</v>
      </c>
      <c r="C26">
        <v>0</v>
      </c>
      <c r="D26">
        <v>0</v>
      </c>
    </row>
    <row r="27" spans="1:4" x14ac:dyDescent="0.15">
      <c r="A27">
        <v>26</v>
      </c>
      <c r="B27" s="179" t="s">
        <v>217</v>
      </c>
      <c r="C27">
        <v>0</v>
      </c>
      <c r="D27">
        <v>0</v>
      </c>
    </row>
    <row r="28" spans="1:4" x14ac:dyDescent="0.15">
      <c r="A28">
        <v>27</v>
      </c>
      <c r="B28" s="179" t="s">
        <v>218</v>
      </c>
      <c r="C28">
        <v>0</v>
      </c>
      <c r="D28">
        <v>0</v>
      </c>
    </row>
    <row r="29" spans="1:4" x14ac:dyDescent="0.15">
      <c r="A29">
        <v>28</v>
      </c>
      <c r="B29" s="179" t="s">
        <v>219</v>
      </c>
      <c r="C29">
        <v>0</v>
      </c>
      <c r="D29">
        <v>0</v>
      </c>
    </row>
    <row r="30" spans="1:4" x14ac:dyDescent="0.15">
      <c r="A30">
        <v>29</v>
      </c>
      <c r="B30" s="179" t="s">
        <v>220</v>
      </c>
      <c r="C30">
        <v>0</v>
      </c>
      <c r="D30">
        <v>0</v>
      </c>
    </row>
    <row r="31" spans="1:4" x14ac:dyDescent="0.15">
      <c r="A31">
        <v>30</v>
      </c>
      <c r="B31" s="179" t="s">
        <v>221</v>
      </c>
      <c r="C31">
        <v>0</v>
      </c>
      <c r="D31">
        <v>0</v>
      </c>
    </row>
    <row r="32" spans="1:4" x14ac:dyDescent="0.15">
      <c r="A32">
        <v>31</v>
      </c>
      <c r="B32" s="179" t="s">
        <v>222</v>
      </c>
      <c r="C32">
        <v>0</v>
      </c>
      <c r="D32">
        <v>0</v>
      </c>
    </row>
    <row r="33" spans="1:4" x14ac:dyDescent="0.15">
      <c r="A33">
        <v>32</v>
      </c>
      <c r="B33" s="179" t="s">
        <v>223</v>
      </c>
      <c r="C33">
        <v>0</v>
      </c>
      <c r="D33">
        <v>0</v>
      </c>
    </row>
    <row r="34" spans="1:4" x14ac:dyDescent="0.15">
      <c r="A34">
        <v>33</v>
      </c>
      <c r="B34" s="179" t="s">
        <v>224</v>
      </c>
      <c r="C34">
        <v>0</v>
      </c>
      <c r="D34">
        <v>0</v>
      </c>
    </row>
    <row r="35" spans="1:4" x14ac:dyDescent="0.15">
      <c r="A35">
        <v>34</v>
      </c>
      <c r="B35" s="179" t="s">
        <v>225</v>
      </c>
      <c r="C35">
        <v>0</v>
      </c>
      <c r="D35">
        <v>0</v>
      </c>
    </row>
    <row r="36" spans="1:4" x14ac:dyDescent="0.15">
      <c r="A36">
        <v>35</v>
      </c>
      <c r="B36" s="179" t="s">
        <v>226</v>
      </c>
      <c r="C36">
        <v>0</v>
      </c>
      <c r="D36">
        <v>0</v>
      </c>
    </row>
    <row r="37" spans="1:4" x14ac:dyDescent="0.15">
      <c r="A37">
        <v>36</v>
      </c>
      <c r="B37" s="179" t="s">
        <v>227</v>
      </c>
      <c r="C37">
        <v>0</v>
      </c>
      <c r="D37">
        <v>0</v>
      </c>
    </row>
    <row r="38" spans="1:4" x14ac:dyDescent="0.15">
      <c r="A38">
        <v>37</v>
      </c>
      <c r="B38" s="179" t="s">
        <v>228</v>
      </c>
      <c r="C38">
        <v>0</v>
      </c>
      <c r="D38">
        <v>0</v>
      </c>
    </row>
    <row r="39" spans="1:4" x14ac:dyDescent="0.15">
      <c r="A39">
        <v>38</v>
      </c>
      <c r="B39" s="179" t="s">
        <v>229</v>
      </c>
      <c r="C39">
        <v>0</v>
      </c>
      <c r="D39">
        <v>0</v>
      </c>
    </row>
    <row r="40" spans="1:4" x14ac:dyDescent="0.15">
      <c r="A40">
        <v>39</v>
      </c>
      <c r="B40" s="179" t="s">
        <v>230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3320312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81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81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81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81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81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81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81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8" t="s">
        <v>150</v>
      </c>
      <c r="D9">
        <v>8</v>
      </c>
      <c r="E9" s="181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8" t="s">
        <v>150</v>
      </c>
      <c r="D10">
        <v>9</v>
      </c>
      <c r="E10" s="181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81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81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81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81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81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81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81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81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81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81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81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81" t="s">
        <v>212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81" t="s">
        <v>213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81" t="s">
        <v>214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81" t="s">
        <v>215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81" t="s">
        <v>216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81" t="s">
        <v>217</v>
      </c>
      <c r="F27">
        <v>0.98</v>
      </c>
      <c r="G27">
        <v>0.8</v>
      </c>
      <c r="H27">
        <v>0.8</v>
      </c>
      <c r="I27">
        <v>0.8</v>
      </c>
      <c r="J27" s="105">
        <v>0.25</v>
      </c>
      <c r="K27" s="105">
        <v>0.05</v>
      </c>
    </row>
    <row r="28" spans="4:33" ht="15" customHeight="1" x14ac:dyDescent="0.15">
      <c r="D28">
        <v>27</v>
      </c>
      <c r="E28" s="181" t="s">
        <v>218</v>
      </c>
      <c r="F28">
        <v>0.98</v>
      </c>
      <c r="G28">
        <v>0.8</v>
      </c>
      <c r="H28">
        <v>0.8</v>
      </c>
      <c r="I28">
        <v>0.8</v>
      </c>
      <c r="J28" s="105">
        <v>0.25</v>
      </c>
      <c r="K28" s="105">
        <v>0.05</v>
      </c>
    </row>
    <row r="29" spans="4:33" ht="15" customHeight="1" x14ac:dyDescent="0.15">
      <c r="D29">
        <v>28</v>
      </c>
      <c r="E29" s="181" t="s">
        <v>219</v>
      </c>
      <c r="F29">
        <v>0.98</v>
      </c>
      <c r="G29">
        <v>0.8</v>
      </c>
      <c r="H29">
        <v>0.8</v>
      </c>
      <c r="I29">
        <v>0.8</v>
      </c>
      <c r="J29" s="105">
        <v>0.25</v>
      </c>
      <c r="K29" s="105">
        <v>0.05</v>
      </c>
      <c r="Y29"/>
      <c r="AC29"/>
      <c r="AG29"/>
    </row>
    <row r="30" spans="4:33" ht="15" customHeight="1" x14ac:dyDescent="0.15">
      <c r="D30">
        <v>29</v>
      </c>
      <c r="E30" s="181" t="s">
        <v>220</v>
      </c>
      <c r="F30">
        <v>0.98</v>
      </c>
      <c r="G30">
        <v>0.8</v>
      </c>
      <c r="H30">
        <v>0.8</v>
      </c>
      <c r="I30">
        <v>0.8</v>
      </c>
      <c r="J30" s="105">
        <v>0.25</v>
      </c>
      <c r="K30" s="105">
        <v>0.05</v>
      </c>
      <c r="Y30"/>
      <c r="AC30"/>
      <c r="AG30"/>
    </row>
    <row r="31" spans="4:33" ht="15" customHeight="1" x14ac:dyDescent="0.15">
      <c r="D31">
        <v>30</v>
      </c>
      <c r="E31" s="181" t="s">
        <v>221</v>
      </c>
      <c r="F31">
        <v>0.98</v>
      </c>
      <c r="G31">
        <v>0.8</v>
      </c>
      <c r="H31">
        <v>0.8</v>
      </c>
      <c r="I31">
        <v>0.8</v>
      </c>
      <c r="J31" s="105">
        <v>0.25</v>
      </c>
      <c r="K31" s="105">
        <v>0.05</v>
      </c>
      <c r="Y31"/>
      <c r="AC31"/>
      <c r="AG31"/>
    </row>
    <row r="32" spans="4:33" ht="15" customHeight="1" x14ac:dyDescent="0.15">
      <c r="D32">
        <v>31</v>
      </c>
      <c r="E32" s="181" t="s">
        <v>222</v>
      </c>
      <c r="F32">
        <v>0.98</v>
      </c>
      <c r="G32">
        <v>0.8</v>
      </c>
      <c r="H32">
        <v>0.8</v>
      </c>
      <c r="I32">
        <v>0.8</v>
      </c>
      <c r="J32" s="105">
        <v>0.25</v>
      </c>
      <c r="K32" s="105">
        <v>0.05</v>
      </c>
      <c r="Y32"/>
      <c r="AC32"/>
      <c r="AG32"/>
    </row>
    <row r="33" spans="4:33" ht="15" customHeight="1" x14ac:dyDescent="0.15">
      <c r="D33">
        <v>32</v>
      </c>
      <c r="E33" s="181" t="s">
        <v>223</v>
      </c>
      <c r="F33">
        <v>0.98</v>
      </c>
      <c r="G33">
        <v>0.8</v>
      </c>
      <c r="H33">
        <v>0.8</v>
      </c>
      <c r="I33">
        <v>0.8</v>
      </c>
      <c r="J33" s="105">
        <v>0.25</v>
      </c>
      <c r="K33" s="105">
        <v>0.05</v>
      </c>
      <c r="Y33"/>
      <c r="AC33"/>
      <c r="AG33"/>
    </row>
    <row r="34" spans="4:33" ht="15" customHeight="1" x14ac:dyDescent="0.15">
      <c r="D34">
        <v>33</v>
      </c>
      <c r="E34" s="181" t="s">
        <v>224</v>
      </c>
      <c r="F34">
        <v>0.98</v>
      </c>
      <c r="G34">
        <v>0.8</v>
      </c>
      <c r="H34">
        <v>0.8</v>
      </c>
      <c r="I34">
        <v>0.8</v>
      </c>
      <c r="J34" s="105">
        <v>0.25</v>
      </c>
      <c r="K34" s="105">
        <v>0.05</v>
      </c>
      <c r="Y34"/>
      <c r="AC34"/>
      <c r="AG34"/>
    </row>
    <row r="35" spans="4:33" ht="15" customHeight="1" x14ac:dyDescent="0.15">
      <c r="D35">
        <v>34</v>
      </c>
      <c r="E35" s="181" t="s">
        <v>225</v>
      </c>
      <c r="F35">
        <v>0.98</v>
      </c>
      <c r="G35">
        <v>0.8</v>
      </c>
      <c r="H35">
        <v>0.8</v>
      </c>
      <c r="I35">
        <v>0.8</v>
      </c>
      <c r="J35" s="105">
        <v>0.25</v>
      </c>
      <c r="K35" s="105">
        <v>0.05</v>
      </c>
      <c r="Y35"/>
      <c r="AC35"/>
      <c r="AG35"/>
    </row>
    <row r="36" spans="4:33" ht="15" customHeight="1" x14ac:dyDescent="0.15">
      <c r="D36">
        <v>35</v>
      </c>
      <c r="E36" s="181" t="s">
        <v>226</v>
      </c>
      <c r="F36">
        <v>0.98</v>
      </c>
      <c r="G36">
        <v>0.8</v>
      </c>
      <c r="H36">
        <v>0.8</v>
      </c>
      <c r="I36">
        <v>0.8</v>
      </c>
      <c r="J36" s="105">
        <v>0.25</v>
      </c>
      <c r="K36" s="105">
        <v>0.05</v>
      </c>
      <c r="Y36"/>
      <c r="AC36"/>
      <c r="AG36"/>
    </row>
    <row r="37" spans="4:33" ht="15" customHeight="1" x14ac:dyDescent="0.15">
      <c r="D37">
        <v>36</v>
      </c>
      <c r="E37" s="181" t="s">
        <v>227</v>
      </c>
      <c r="F37">
        <v>0.98</v>
      </c>
      <c r="G37">
        <v>0.8</v>
      </c>
      <c r="H37">
        <v>0.8</v>
      </c>
      <c r="I37">
        <v>0.8</v>
      </c>
      <c r="J37" s="105">
        <v>0.25</v>
      </c>
      <c r="K37" s="105">
        <v>0.05</v>
      </c>
      <c r="Y37"/>
      <c r="AC37"/>
      <c r="AG37"/>
    </row>
    <row r="38" spans="4:33" ht="15" customHeight="1" x14ac:dyDescent="0.15">
      <c r="D38">
        <v>37</v>
      </c>
      <c r="E38" s="181" t="s">
        <v>228</v>
      </c>
      <c r="F38">
        <v>0.98</v>
      </c>
      <c r="G38">
        <v>0.8</v>
      </c>
      <c r="H38">
        <v>0.8</v>
      </c>
      <c r="I38">
        <v>0</v>
      </c>
      <c r="J38" s="105">
        <v>0</v>
      </c>
      <c r="K38" s="105">
        <v>0</v>
      </c>
      <c r="Y38"/>
      <c r="AC38"/>
      <c r="AG38"/>
    </row>
    <row r="39" spans="4:33" ht="15" customHeight="1" x14ac:dyDescent="0.15">
      <c r="D39">
        <v>38</v>
      </c>
      <c r="E39" s="181" t="s">
        <v>229</v>
      </c>
      <c r="F39">
        <v>0.98</v>
      </c>
      <c r="G39">
        <v>0.8</v>
      </c>
      <c r="H39">
        <v>0</v>
      </c>
      <c r="I39">
        <v>0</v>
      </c>
      <c r="J39" s="105">
        <v>0</v>
      </c>
      <c r="K39" s="105">
        <v>0</v>
      </c>
    </row>
    <row r="40" spans="4:33" ht="15" customHeight="1" x14ac:dyDescent="0.15">
      <c r="D40">
        <v>39</v>
      </c>
      <c r="E40" s="181" t="s">
        <v>230</v>
      </c>
      <c r="F40">
        <v>0.98</v>
      </c>
      <c r="G40">
        <v>0.8</v>
      </c>
      <c r="H40">
        <v>0</v>
      </c>
      <c r="I40">
        <v>0</v>
      </c>
      <c r="J40" s="105">
        <v>0</v>
      </c>
      <c r="K40" s="105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37" width="3.83203125" style="103" customWidth="1"/>
    <col min="38" max="40" width="2.33203125" style="103" customWidth="1"/>
    <col min="41" max="16384" width="10.83203125" style="103"/>
  </cols>
  <sheetData>
    <row r="1" spans="1:40" x14ac:dyDescent="0.15">
      <c r="A1" s="60" t="s">
        <v>118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</row>
    <row r="2" spans="1:40" customFormat="1" x14ac:dyDescent="0.15">
      <c r="A2" s="182" t="s">
        <v>192</v>
      </c>
      <c r="B2" s="103">
        <v>0</v>
      </c>
      <c r="C2" s="103">
        <v>0.8</v>
      </c>
      <c r="D2" s="103">
        <v>0</v>
      </c>
      <c r="E2" s="103">
        <v>0</v>
      </c>
      <c r="F2" s="103">
        <v>0.8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  <c r="AK2" s="103">
        <v>0</v>
      </c>
      <c r="AL2" s="103">
        <v>0</v>
      </c>
      <c r="AM2" s="103">
        <v>0</v>
      </c>
      <c r="AN2" s="103">
        <v>0</v>
      </c>
    </row>
    <row r="3" spans="1:40" customFormat="1" x14ac:dyDescent="0.15">
      <c r="A3" s="182" t="s">
        <v>193</v>
      </c>
      <c r="B3" s="103">
        <v>0</v>
      </c>
      <c r="C3" s="103">
        <v>0.8</v>
      </c>
      <c r="D3" s="103">
        <v>0</v>
      </c>
      <c r="E3" s="103">
        <v>0</v>
      </c>
      <c r="F3" s="103">
        <v>0.8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  <c r="AK3" s="103">
        <v>0</v>
      </c>
      <c r="AL3" s="103">
        <v>0</v>
      </c>
      <c r="AM3" s="103">
        <v>0</v>
      </c>
      <c r="AN3" s="103">
        <v>0</v>
      </c>
    </row>
    <row r="4" spans="1:40" customFormat="1" x14ac:dyDescent="0.15">
      <c r="A4" s="182" t="s">
        <v>194</v>
      </c>
      <c r="B4" s="103">
        <v>0</v>
      </c>
      <c r="C4" s="103">
        <v>0.8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  <c r="AK4" s="103">
        <v>0</v>
      </c>
      <c r="AL4" s="103">
        <v>0</v>
      </c>
      <c r="AM4" s="103">
        <v>0</v>
      </c>
      <c r="AN4" s="103">
        <v>0</v>
      </c>
    </row>
    <row r="5" spans="1:40" customFormat="1" x14ac:dyDescent="0.15">
      <c r="A5" s="182" t="s">
        <v>195</v>
      </c>
      <c r="B5" s="103">
        <v>0</v>
      </c>
      <c r="C5" s="103">
        <v>0.8</v>
      </c>
      <c r="D5" s="103">
        <v>0</v>
      </c>
      <c r="E5" s="103">
        <v>0</v>
      </c>
      <c r="F5" s="103">
        <v>0.8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  <c r="AK5" s="103">
        <v>0</v>
      </c>
      <c r="AL5" s="103">
        <v>0</v>
      </c>
      <c r="AM5" s="103">
        <v>0</v>
      </c>
      <c r="AN5" s="103">
        <v>0</v>
      </c>
    </row>
    <row r="6" spans="1:40" customFormat="1" x14ac:dyDescent="0.15">
      <c r="A6" s="182" t="s">
        <v>196</v>
      </c>
      <c r="B6" s="103">
        <v>0</v>
      </c>
      <c r="C6" s="103">
        <v>0</v>
      </c>
      <c r="D6" s="103">
        <v>0</v>
      </c>
      <c r="E6" s="103">
        <v>0</v>
      </c>
      <c r="F6" s="103">
        <v>0.8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0.8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</row>
    <row r="7" spans="1:40" customFormat="1" x14ac:dyDescent="0.15">
      <c r="A7" s="182" t="s">
        <v>197</v>
      </c>
      <c r="B7" s="103">
        <v>0</v>
      </c>
      <c r="C7" s="103">
        <v>0</v>
      </c>
      <c r="D7" s="103">
        <v>0</v>
      </c>
      <c r="E7" s="103">
        <v>0</v>
      </c>
      <c r="F7" s="103">
        <v>0.8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0.8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</row>
    <row r="8" spans="1:40" customFormat="1" x14ac:dyDescent="0.15">
      <c r="A8" s="182" t="s">
        <v>198</v>
      </c>
      <c r="B8" s="103">
        <v>0</v>
      </c>
      <c r="C8" s="103">
        <v>0</v>
      </c>
      <c r="D8" s="103">
        <v>0</v>
      </c>
      <c r="E8" s="103">
        <v>0</v>
      </c>
      <c r="F8" s="103">
        <v>0.8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0.8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</row>
    <row r="9" spans="1:40" customFormat="1" x14ac:dyDescent="0.15">
      <c r="A9" s="182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0.8</v>
      </c>
      <c r="G9" s="103">
        <v>0.8</v>
      </c>
      <c r="H9" s="103">
        <v>0</v>
      </c>
      <c r="I9" s="103">
        <v>0</v>
      </c>
      <c r="J9" s="103">
        <v>0.8</v>
      </c>
      <c r="K9" s="103">
        <v>0</v>
      </c>
      <c r="L9" s="103">
        <v>0</v>
      </c>
      <c r="M9" s="103">
        <v>0</v>
      </c>
      <c r="N9" s="103">
        <v>0</v>
      </c>
      <c r="O9" s="103">
        <v>0.8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</row>
    <row r="10" spans="1:40" customFormat="1" x14ac:dyDescent="0.15">
      <c r="A10" s="182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</row>
    <row r="11" spans="1:40" customFormat="1" x14ac:dyDescent="0.15">
      <c r="A11" s="182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0.8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0.8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</row>
    <row r="12" spans="1:40" customFormat="1" x14ac:dyDescent="0.15">
      <c r="A12" s="182" t="s">
        <v>202</v>
      </c>
      <c r="B12" s="103">
        <v>0</v>
      </c>
      <c r="C12" s="103">
        <v>0</v>
      </c>
      <c r="D12" s="103">
        <v>0</v>
      </c>
      <c r="E12" s="103">
        <v>0</v>
      </c>
      <c r="F12" s="103">
        <v>0.8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</row>
    <row r="13" spans="1:40" customFormat="1" x14ac:dyDescent="0.15">
      <c r="A13" s="182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0.8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</row>
    <row r="14" spans="1:40" customFormat="1" x14ac:dyDescent="0.15">
      <c r="A14" s="182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0.8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</row>
    <row r="15" spans="1:40" customFormat="1" x14ac:dyDescent="0.15">
      <c r="A15" s="182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0.8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0.8</v>
      </c>
      <c r="N15" s="103">
        <v>0</v>
      </c>
      <c r="O15" s="103">
        <v>0.8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</row>
    <row r="16" spans="1:40" customFormat="1" x14ac:dyDescent="0.15">
      <c r="A16" s="182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0.8</v>
      </c>
      <c r="G16" s="103">
        <v>0.8</v>
      </c>
      <c r="H16" s="103">
        <v>0.8</v>
      </c>
      <c r="I16" s="103">
        <v>0</v>
      </c>
      <c r="J16" s="103">
        <v>0.8</v>
      </c>
      <c r="K16" s="103">
        <v>0.8</v>
      </c>
      <c r="L16" s="103">
        <v>0.8</v>
      </c>
      <c r="M16" s="103">
        <v>0.8</v>
      </c>
      <c r="N16" s="103">
        <v>0</v>
      </c>
      <c r="O16" s="103">
        <v>0.8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</row>
    <row r="17" spans="1:40" customFormat="1" x14ac:dyDescent="0.15">
      <c r="A17" s="182" t="s">
        <v>207</v>
      </c>
      <c r="B17" s="103">
        <v>0.8</v>
      </c>
      <c r="C17" s="103">
        <v>0.8</v>
      </c>
      <c r="D17" s="103">
        <v>0.8</v>
      </c>
      <c r="E17" s="103">
        <v>0.8</v>
      </c>
      <c r="F17" s="103">
        <v>0.8</v>
      </c>
      <c r="G17" s="103">
        <v>0</v>
      </c>
      <c r="H17" s="103">
        <v>0.8</v>
      </c>
      <c r="I17" s="103">
        <v>0</v>
      </c>
      <c r="J17" s="103">
        <v>0.8</v>
      </c>
      <c r="K17" s="103">
        <v>0.8</v>
      </c>
      <c r="L17" s="103">
        <v>0</v>
      </c>
      <c r="M17" s="103">
        <v>0.8</v>
      </c>
      <c r="N17" s="103">
        <v>0.8</v>
      </c>
      <c r="O17" s="103">
        <v>0.8</v>
      </c>
      <c r="P17" s="103">
        <v>0.8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0.8</v>
      </c>
      <c r="AB17" s="103">
        <v>0.8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</row>
    <row r="18" spans="1:40" customFormat="1" x14ac:dyDescent="0.15">
      <c r="A18" s="182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0.8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</row>
    <row r="19" spans="1:40" customFormat="1" x14ac:dyDescent="0.15">
      <c r="A19" s="182" t="s">
        <v>209</v>
      </c>
      <c r="B19" s="103">
        <v>0.8</v>
      </c>
      <c r="C19" s="103">
        <v>0.8</v>
      </c>
      <c r="D19" s="103">
        <v>0.8</v>
      </c>
      <c r="E19" s="103">
        <v>0</v>
      </c>
      <c r="F19" s="103">
        <v>0</v>
      </c>
      <c r="G19" s="103">
        <v>0.8</v>
      </c>
      <c r="H19" s="103">
        <v>0.8</v>
      </c>
      <c r="I19" s="103">
        <v>0.8</v>
      </c>
      <c r="J19" s="103">
        <v>0.8</v>
      </c>
      <c r="K19" s="103">
        <v>0.8</v>
      </c>
      <c r="L19" s="103">
        <v>0</v>
      </c>
      <c r="M19" s="103">
        <v>0</v>
      </c>
      <c r="N19" s="103">
        <v>0.8</v>
      </c>
      <c r="O19" s="103">
        <v>0</v>
      </c>
      <c r="P19" s="103">
        <v>0.8</v>
      </c>
      <c r="Q19" s="103">
        <v>0</v>
      </c>
      <c r="R19" s="103">
        <v>0.8</v>
      </c>
      <c r="S19" s="103">
        <v>0.8</v>
      </c>
      <c r="T19" s="103">
        <v>0</v>
      </c>
      <c r="U19" s="103">
        <v>0.8</v>
      </c>
      <c r="V19" s="103">
        <v>0</v>
      </c>
      <c r="W19" s="103">
        <v>0.8</v>
      </c>
      <c r="X19" s="103">
        <v>0.8</v>
      </c>
      <c r="Y19" s="103">
        <v>0</v>
      </c>
      <c r="Z19" s="103">
        <v>0</v>
      </c>
      <c r="AA19" s="103">
        <v>0.8</v>
      </c>
      <c r="AB19" s="103">
        <v>0.8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</row>
    <row r="20" spans="1:40" customFormat="1" x14ac:dyDescent="0.15">
      <c r="A20" s="182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0.8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0.8</v>
      </c>
      <c r="S20" s="103">
        <v>0</v>
      </c>
      <c r="T20" s="103">
        <v>0.8</v>
      </c>
      <c r="U20" s="103">
        <v>0.8</v>
      </c>
      <c r="V20" s="103">
        <v>0.8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</row>
    <row r="21" spans="1:40" customFormat="1" x14ac:dyDescent="0.15">
      <c r="A21" s="182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0.8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0.8</v>
      </c>
      <c r="S21" s="103">
        <v>0</v>
      </c>
      <c r="T21" s="103">
        <v>0</v>
      </c>
      <c r="U21" s="103">
        <v>0</v>
      </c>
      <c r="V21" s="103">
        <v>0.8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</row>
    <row r="22" spans="1:40" customFormat="1" x14ac:dyDescent="0.15">
      <c r="A22" s="182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0.8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0.8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</row>
    <row r="23" spans="1:40" customFormat="1" x14ac:dyDescent="0.15">
      <c r="A23" s="182" t="s">
        <v>213</v>
      </c>
      <c r="B23" s="103">
        <v>0</v>
      </c>
      <c r="C23" s="103">
        <v>0</v>
      </c>
      <c r="D23" s="103">
        <v>0.8</v>
      </c>
      <c r="E23" s="103">
        <v>0</v>
      </c>
      <c r="F23" s="103">
        <v>0</v>
      </c>
      <c r="G23" s="103">
        <v>0</v>
      </c>
      <c r="H23" s="103">
        <v>0.8</v>
      </c>
      <c r="I23" s="103">
        <v>0</v>
      </c>
      <c r="J23" s="103">
        <v>0</v>
      </c>
      <c r="K23" s="103">
        <v>0.8</v>
      </c>
      <c r="L23" s="103">
        <v>0.8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0.8</v>
      </c>
      <c r="V23" s="103">
        <v>0.8</v>
      </c>
      <c r="W23" s="103">
        <v>0.8</v>
      </c>
      <c r="X23" s="103">
        <v>0.8</v>
      </c>
      <c r="Y23" s="103">
        <v>0</v>
      </c>
      <c r="Z23" s="103">
        <v>0</v>
      </c>
      <c r="AA23" s="103">
        <v>0</v>
      </c>
      <c r="AB23" s="103">
        <v>0</v>
      </c>
      <c r="AC23" s="103">
        <v>0.8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</row>
    <row r="24" spans="1:40" customFormat="1" x14ac:dyDescent="0.15">
      <c r="A24" s="182" t="s">
        <v>214</v>
      </c>
      <c r="B24" s="103">
        <v>0</v>
      </c>
      <c r="C24" s="103">
        <v>0.8</v>
      </c>
      <c r="D24" s="103">
        <v>0.8</v>
      </c>
      <c r="E24" s="103">
        <v>0</v>
      </c>
      <c r="F24" s="103">
        <v>0.8</v>
      </c>
      <c r="G24" s="103">
        <v>0</v>
      </c>
      <c r="H24" s="103">
        <v>0</v>
      </c>
      <c r="I24" s="103">
        <v>0</v>
      </c>
      <c r="J24" s="103">
        <v>0</v>
      </c>
      <c r="K24" s="103">
        <v>0.8</v>
      </c>
      <c r="L24" s="103">
        <v>0.8</v>
      </c>
      <c r="M24" s="103">
        <v>0.8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0.8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</row>
    <row r="25" spans="1:40" customFormat="1" x14ac:dyDescent="0.15">
      <c r="A25" s="182" t="s">
        <v>215</v>
      </c>
      <c r="B25" s="103">
        <v>0</v>
      </c>
      <c r="C25" s="103">
        <v>0.8</v>
      </c>
      <c r="D25" s="103">
        <v>0.8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  <c r="AB25" s="103">
        <v>0</v>
      </c>
      <c r="AC25" s="103">
        <v>0.8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</row>
    <row r="26" spans="1:40" customFormat="1" x14ac:dyDescent="0.15">
      <c r="A26" s="182" t="s">
        <v>216</v>
      </c>
      <c r="B26" s="103">
        <v>0</v>
      </c>
      <c r="C26" s="103">
        <v>0.8</v>
      </c>
      <c r="D26" s="103">
        <v>0.8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</row>
    <row r="27" spans="1:40" customFormat="1" x14ac:dyDescent="0.15">
      <c r="A27" s="182" t="s">
        <v>217</v>
      </c>
      <c r="B27" s="103">
        <v>0.8</v>
      </c>
      <c r="C27" s="103">
        <v>0.8</v>
      </c>
      <c r="D27" s="103">
        <v>0.8</v>
      </c>
      <c r="E27" s="103">
        <v>0.8</v>
      </c>
      <c r="F27" s="103">
        <v>0.8</v>
      </c>
      <c r="G27" s="103">
        <v>0.8</v>
      </c>
      <c r="H27" s="103">
        <v>0.8</v>
      </c>
      <c r="I27" s="103">
        <v>0.8</v>
      </c>
      <c r="J27" s="103">
        <v>0.8</v>
      </c>
      <c r="K27" s="103">
        <v>0.8</v>
      </c>
      <c r="L27" s="103">
        <v>0.8</v>
      </c>
      <c r="M27" s="103">
        <v>0.8</v>
      </c>
      <c r="N27" s="103">
        <v>0.8</v>
      </c>
      <c r="O27" s="103">
        <v>0.8</v>
      </c>
      <c r="P27" s="103">
        <v>0.8</v>
      </c>
      <c r="Q27" s="103">
        <v>0</v>
      </c>
      <c r="R27" s="103">
        <v>0.8</v>
      </c>
      <c r="S27" s="103">
        <v>0</v>
      </c>
      <c r="T27" s="103">
        <v>0.8</v>
      </c>
      <c r="U27" s="103">
        <v>0.8</v>
      </c>
      <c r="V27" s="103">
        <v>0.8</v>
      </c>
      <c r="W27" s="103">
        <v>0.8</v>
      </c>
      <c r="X27" s="103">
        <v>0.8</v>
      </c>
      <c r="Y27" s="103">
        <v>0</v>
      </c>
      <c r="Z27" s="103">
        <v>0</v>
      </c>
      <c r="AA27" s="103">
        <v>0.8</v>
      </c>
      <c r="AB27" s="103">
        <v>0.8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</row>
    <row r="28" spans="1:40" customFormat="1" x14ac:dyDescent="0.15">
      <c r="A28" s="182" t="s">
        <v>218</v>
      </c>
      <c r="B28" s="103">
        <v>0</v>
      </c>
      <c r="C28" s="103">
        <v>0.8</v>
      </c>
      <c r="D28" s="103">
        <v>0.8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0.8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</row>
    <row r="29" spans="1:40" customFormat="1" x14ac:dyDescent="0.15">
      <c r="A29" s="182" t="s">
        <v>219</v>
      </c>
      <c r="B29" s="103">
        <v>0</v>
      </c>
      <c r="C29" s="103">
        <v>0.8</v>
      </c>
      <c r="D29" s="103">
        <v>0.8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0.8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0.8</v>
      </c>
      <c r="X29" s="103">
        <v>0.8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</row>
    <row r="30" spans="1:40" customFormat="1" x14ac:dyDescent="0.15">
      <c r="A30" s="182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0</v>
      </c>
      <c r="W30" s="103">
        <v>0.8</v>
      </c>
      <c r="X30" s="103">
        <v>0.8</v>
      </c>
      <c r="Y30" s="103">
        <v>0</v>
      </c>
      <c r="Z30" s="103">
        <v>0.8</v>
      </c>
      <c r="AA30" s="103">
        <v>0</v>
      </c>
      <c r="AB30" s="103">
        <v>0</v>
      </c>
      <c r="AC30" s="103">
        <v>0.8</v>
      </c>
      <c r="AD30" s="103">
        <v>0.8</v>
      </c>
      <c r="AE30" s="103">
        <v>0.8</v>
      </c>
      <c r="AF30" s="103">
        <v>0.8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</row>
    <row r="31" spans="1:40" customFormat="1" x14ac:dyDescent="0.15">
      <c r="A31" s="182" t="s">
        <v>221</v>
      </c>
      <c r="B31" s="103">
        <v>0</v>
      </c>
      <c r="C31" s="103">
        <v>0.8</v>
      </c>
      <c r="D31" s="103">
        <v>0.8</v>
      </c>
      <c r="E31" s="103">
        <v>0</v>
      </c>
      <c r="F31" s="103">
        <v>0.8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0.8</v>
      </c>
      <c r="O31" s="103">
        <v>0.8</v>
      </c>
      <c r="P31" s="103">
        <v>0.8</v>
      </c>
      <c r="Q31" s="103">
        <v>0</v>
      </c>
      <c r="R31" s="103">
        <v>0</v>
      </c>
      <c r="S31" s="103">
        <v>0</v>
      </c>
      <c r="T31" s="103">
        <v>0.8</v>
      </c>
      <c r="U31" s="103">
        <v>0.8</v>
      </c>
      <c r="V31" s="103">
        <v>0</v>
      </c>
      <c r="W31" s="103">
        <v>0.8</v>
      </c>
      <c r="X31" s="103">
        <v>0.8</v>
      </c>
      <c r="Y31" s="103">
        <v>0.8</v>
      </c>
      <c r="Z31" s="103">
        <v>0.8</v>
      </c>
      <c r="AA31" s="103">
        <v>0</v>
      </c>
      <c r="AB31" s="103">
        <v>0</v>
      </c>
      <c r="AC31" s="103">
        <v>0.8</v>
      </c>
      <c r="AD31" s="103">
        <v>0</v>
      </c>
      <c r="AE31" s="103">
        <v>0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</row>
    <row r="32" spans="1:40" customFormat="1" x14ac:dyDescent="0.15">
      <c r="A32" s="182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0.8</v>
      </c>
      <c r="X32" s="103">
        <v>0.8</v>
      </c>
      <c r="Y32" s="103">
        <v>0.8</v>
      </c>
      <c r="Z32" s="103">
        <v>0.8</v>
      </c>
      <c r="AA32" s="103">
        <v>0</v>
      </c>
      <c r="AB32" s="103">
        <v>0</v>
      </c>
      <c r="AC32" s="103">
        <v>0.8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</row>
    <row r="33" spans="1:40" x14ac:dyDescent="0.15">
      <c r="A33" s="182" t="s">
        <v>223</v>
      </c>
      <c r="B33" s="103">
        <v>0</v>
      </c>
      <c r="C33" s="103">
        <v>0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0.8</v>
      </c>
      <c r="AE33" s="103">
        <v>0.8</v>
      </c>
      <c r="AF33" s="103">
        <v>0.8</v>
      </c>
      <c r="AG33" s="103">
        <v>0</v>
      </c>
      <c r="AH33" s="103">
        <v>0.8</v>
      </c>
      <c r="AI33" s="103">
        <v>0</v>
      </c>
      <c r="AJ33" s="103">
        <v>0.8</v>
      </c>
      <c r="AK33" s="103">
        <v>0</v>
      </c>
      <c r="AL33" s="103">
        <v>0</v>
      </c>
      <c r="AM33" s="103">
        <v>0</v>
      </c>
      <c r="AN33" s="103">
        <v>0</v>
      </c>
    </row>
    <row r="34" spans="1:40" x14ac:dyDescent="0.15">
      <c r="A34" s="182" t="s">
        <v>224</v>
      </c>
      <c r="B34" s="103">
        <v>0.8</v>
      </c>
      <c r="C34" s="103">
        <v>0</v>
      </c>
      <c r="D34" s="103">
        <v>0</v>
      </c>
      <c r="E34" s="103">
        <v>0.8</v>
      </c>
      <c r="F34" s="103">
        <v>0</v>
      </c>
      <c r="G34" s="103">
        <v>0.8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0.8</v>
      </c>
      <c r="O34" s="103">
        <v>0.8</v>
      </c>
      <c r="P34" s="103">
        <v>0.8</v>
      </c>
      <c r="Q34" s="103">
        <v>0.8</v>
      </c>
      <c r="R34" s="103">
        <v>0</v>
      </c>
      <c r="S34" s="103">
        <v>0.8</v>
      </c>
      <c r="T34" s="103">
        <v>0</v>
      </c>
      <c r="U34" s="103">
        <v>0</v>
      </c>
      <c r="V34" s="103">
        <v>0</v>
      </c>
      <c r="W34" s="103">
        <v>0</v>
      </c>
      <c r="X34" s="103">
        <v>0</v>
      </c>
      <c r="Y34" s="103">
        <v>0</v>
      </c>
      <c r="Z34" s="103">
        <v>0</v>
      </c>
      <c r="AA34" s="103">
        <v>0.8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0.8</v>
      </c>
      <c r="AI34" s="103">
        <v>0.8</v>
      </c>
      <c r="AJ34" s="103">
        <v>0.8</v>
      </c>
      <c r="AK34" s="103">
        <v>0.8</v>
      </c>
      <c r="AL34" s="103">
        <v>0</v>
      </c>
      <c r="AM34" s="103">
        <v>0</v>
      </c>
      <c r="AN34" s="103">
        <v>0</v>
      </c>
    </row>
    <row r="35" spans="1:40" x14ac:dyDescent="0.15">
      <c r="A35" s="182" t="s">
        <v>225</v>
      </c>
      <c r="B35" s="103">
        <v>0.8</v>
      </c>
      <c r="C35" s="103">
        <v>0</v>
      </c>
      <c r="D35" s="103">
        <v>0</v>
      </c>
      <c r="E35" s="103">
        <v>0.8</v>
      </c>
      <c r="F35" s="103">
        <v>0.8</v>
      </c>
      <c r="G35" s="103">
        <v>0.8</v>
      </c>
      <c r="H35" s="103">
        <v>0.8</v>
      </c>
      <c r="I35" s="103">
        <v>0.8</v>
      </c>
      <c r="J35" s="103">
        <v>0.8</v>
      </c>
      <c r="K35" s="103">
        <v>0.8</v>
      </c>
      <c r="L35" s="103">
        <v>0</v>
      </c>
      <c r="M35" s="103">
        <v>0</v>
      </c>
      <c r="N35" s="103">
        <v>0.8</v>
      </c>
      <c r="O35" s="103">
        <v>0.8</v>
      </c>
      <c r="P35" s="103">
        <v>0.8</v>
      </c>
      <c r="Q35" s="103">
        <v>0.8</v>
      </c>
      <c r="R35" s="103">
        <v>0.8</v>
      </c>
      <c r="S35" s="103">
        <v>0.8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0.8</v>
      </c>
      <c r="AB35" s="103">
        <v>0.8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0.8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</row>
    <row r="36" spans="1:40" x14ac:dyDescent="0.15">
      <c r="A36" s="182" t="s">
        <v>226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0.8</v>
      </c>
      <c r="T36" s="103">
        <v>0.8</v>
      </c>
      <c r="U36" s="103">
        <v>0.8</v>
      </c>
      <c r="V36" s="103">
        <v>0.8</v>
      </c>
      <c r="W36" s="103">
        <v>0.8</v>
      </c>
      <c r="X36" s="103">
        <v>0.8</v>
      </c>
      <c r="Y36" s="103">
        <v>0.8</v>
      </c>
      <c r="Z36" s="103">
        <v>0</v>
      </c>
      <c r="AA36" s="103">
        <v>0.8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0.8</v>
      </c>
      <c r="AK36" s="103">
        <v>0.8</v>
      </c>
      <c r="AL36" s="103">
        <v>0</v>
      </c>
      <c r="AM36" s="103">
        <v>0</v>
      </c>
      <c r="AN36" s="103">
        <v>0</v>
      </c>
    </row>
    <row r="37" spans="1:40" x14ac:dyDescent="0.15">
      <c r="A37" s="182" t="s">
        <v>227</v>
      </c>
      <c r="B37" s="103">
        <v>0</v>
      </c>
      <c r="C37" s="103">
        <v>0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0.8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0.8</v>
      </c>
      <c r="S37" s="103">
        <v>0.8</v>
      </c>
      <c r="T37" s="103">
        <v>0.8</v>
      </c>
      <c r="U37" s="103">
        <v>0.8</v>
      </c>
      <c r="V37" s="103">
        <v>0.8</v>
      </c>
      <c r="W37" s="103">
        <v>0.8</v>
      </c>
      <c r="X37" s="103">
        <v>0.8</v>
      </c>
      <c r="Y37" s="103">
        <v>0</v>
      </c>
      <c r="Z37" s="103">
        <v>0</v>
      </c>
      <c r="AA37" s="103">
        <v>0.8</v>
      </c>
      <c r="AB37" s="103">
        <v>0.8</v>
      </c>
      <c r="AC37" s="103">
        <v>0</v>
      </c>
      <c r="AD37" s="103">
        <v>0</v>
      </c>
      <c r="AE37" s="103">
        <v>0.8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0.8</v>
      </c>
      <c r="AL37" s="103">
        <v>0</v>
      </c>
      <c r="AM37" s="103">
        <v>0</v>
      </c>
      <c r="AN37" s="103">
        <v>0</v>
      </c>
    </row>
    <row r="38" spans="1:40" x14ac:dyDescent="0.15">
      <c r="A38" s="182" t="s">
        <v>228</v>
      </c>
      <c r="B38" s="103">
        <v>0</v>
      </c>
      <c r="C38" s="103">
        <v>0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0.8</v>
      </c>
      <c r="O38" s="103">
        <v>0</v>
      </c>
      <c r="P38" s="103">
        <v>0.8</v>
      </c>
      <c r="Q38" s="103">
        <v>0.8</v>
      </c>
      <c r="R38" s="103">
        <v>0</v>
      </c>
      <c r="S38" s="103">
        <v>0</v>
      </c>
      <c r="T38" s="103">
        <v>0</v>
      </c>
      <c r="U38" s="103">
        <v>0</v>
      </c>
      <c r="V38" s="103">
        <v>0</v>
      </c>
      <c r="W38" s="103">
        <v>0</v>
      </c>
      <c r="X38" s="103">
        <v>0</v>
      </c>
      <c r="Y38" s="103">
        <v>0</v>
      </c>
      <c r="Z38" s="103"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03">
        <v>0</v>
      </c>
      <c r="AH38" s="103">
        <v>0.8</v>
      </c>
      <c r="AI38" s="103">
        <v>0</v>
      </c>
      <c r="AJ38" s="103">
        <v>0</v>
      </c>
      <c r="AK38" s="103">
        <v>0</v>
      </c>
      <c r="AL38" s="103">
        <v>0</v>
      </c>
      <c r="AM38" s="103">
        <v>0</v>
      </c>
      <c r="AN38" s="103">
        <v>0</v>
      </c>
    </row>
    <row r="39" spans="1:40" x14ac:dyDescent="0.15">
      <c r="A39" s="182" t="s">
        <v>229</v>
      </c>
      <c r="B39" s="103">
        <v>0</v>
      </c>
      <c r="C39" s="103">
        <v>0</v>
      </c>
      <c r="D39" s="103">
        <v>0</v>
      </c>
      <c r="E39" s="103">
        <v>0.8</v>
      </c>
      <c r="F39" s="103">
        <v>0.8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103">
        <v>0</v>
      </c>
      <c r="O39" s="103">
        <v>0</v>
      </c>
      <c r="P39" s="103">
        <v>0.8</v>
      </c>
      <c r="Q39" s="103">
        <v>0.8</v>
      </c>
      <c r="R39" s="103">
        <v>0</v>
      </c>
      <c r="S39" s="103">
        <v>0.8</v>
      </c>
      <c r="T39" s="103">
        <v>0.8</v>
      </c>
      <c r="U39" s="103">
        <v>0.8</v>
      </c>
      <c r="V39" s="103">
        <v>0.8</v>
      </c>
      <c r="W39" s="103">
        <v>0.8</v>
      </c>
      <c r="X39" s="103">
        <v>0.8</v>
      </c>
      <c r="Y39" s="103">
        <v>0.8</v>
      </c>
      <c r="Z39" s="103">
        <v>0.8</v>
      </c>
      <c r="AA39" s="103">
        <v>0</v>
      </c>
      <c r="AB39" s="103">
        <v>0</v>
      </c>
      <c r="AC39" s="103">
        <v>0</v>
      </c>
      <c r="AD39" s="103">
        <v>0.8</v>
      </c>
      <c r="AE39" s="103">
        <v>0.8</v>
      </c>
      <c r="AF39" s="103">
        <v>0.8</v>
      </c>
      <c r="AG39" s="103">
        <v>0.8</v>
      </c>
      <c r="AH39" s="103">
        <v>0.8</v>
      </c>
      <c r="AI39" s="103">
        <v>0</v>
      </c>
      <c r="AJ39" s="103">
        <v>0.8</v>
      </c>
      <c r="AK39" s="103">
        <v>0.8</v>
      </c>
      <c r="AL39" s="103">
        <v>0</v>
      </c>
      <c r="AM39" s="103">
        <v>0</v>
      </c>
      <c r="AN39" s="103">
        <v>0</v>
      </c>
    </row>
    <row r="40" spans="1:40" x14ac:dyDescent="0.15">
      <c r="A40" s="182" t="s">
        <v>230</v>
      </c>
      <c r="B40" s="103">
        <v>0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0</v>
      </c>
      <c r="T40" s="103">
        <v>0</v>
      </c>
      <c r="U40" s="103">
        <v>0</v>
      </c>
      <c r="V40" s="103">
        <v>0</v>
      </c>
      <c r="W40" s="103">
        <v>0</v>
      </c>
      <c r="X40" s="103">
        <v>0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03">
        <v>0</v>
      </c>
      <c r="AH40" s="103">
        <v>0</v>
      </c>
      <c r="AI40" s="103">
        <v>0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</row>
    <row r="41" spans="1:40" x14ac:dyDescent="0.15">
      <c r="A41" s="182" t="s">
        <v>232</v>
      </c>
      <c r="B41" s="103">
        <v>0</v>
      </c>
      <c r="C41" s="103">
        <v>0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0</v>
      </c>
      <c r="Z41" s="103"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03">
        <v>0</v>
      </c>
      <c r="AH41" s="103">
        <v>0</v>
      </c>
      <c r="AI41" s="103">
        <v>0</v>
      </c>
      <c r="AJ41" s="103">
        <v>0</v>
      </c>
      <c r="AK41" s="103">
        <v>0</v>
      </c>
      <c r="AL41" s="103">
        <v>0</v>
      </c>
      <c r="AM41" s="103">
        <v>0</v>
      </c>
      <c r="AN41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40" width="2.33203125" style="103" customWidth="1"/>
    <col min="41" max="16384" width="10.83203125" style="103"/>
  </cols>
  <sheetData>
    <row r="1" spans="1:40" x14ac:dyDescent="0.15">
      <c r="A1" s="60" t="s">
        <v>139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  <c r="AK1" s="185" t="s">
        <v>227</v>
      </c>
      <c r="AL1" s="185" t="s">
        <v>228</v>
      </c>
      <c r="AM1" s="185" t="s">
        <v>229</v>
      </c>
      <c r="AN1" s="185" t="s">
        <v>230</v>
      </c>
    </row>
    <row r="2" spans="1:40" customFormat="1" x14ac:dyDescent="0.15">
      <c r="A2" s="184" t="s">
        <v>192</v>
      </c>
      <c r="B2" s="103">
        <v>0</v>
      </c>
      <c r="C2" s="103">
        <v>1</v>
      </c>
      <c r="D2" s="103">
        <v>0</v>
      </c>
      <c r="E2" s="103">
        <v>0</v>
      </c>
      <c r="F2" s="103">
        <v>1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  <c r="AK2" s="103">
        <v>0</v>
      </c>
      <c r="AL2" s="103">
        <v>0</v>
      </c>
      <c r="AM2" s="103">
        <v>0</v>
      </c>
      <c r="AN2" s="103">
        <v>0</v>
      </c>
    </row>
    <row r="3" spans="1:40" customFormat="1" x14ac:dyDescent="0.15">
      <c r="A3" s="184" t="s">
        <v>193</v>
      </c>
      <c r="B3" s="103">
        <v>0</v>
      </c>
      <c r="C3" s="103">
        <v>1</v>
      </c>
      <c r="D3" s="103">
        <v>0</v>
      </c>
      <c r="E3" s="103">
        <v>0</v>
      </c>
      <c r="F3" s="103">
        <v>1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  <c r="AK3" s="103">
        <v>0</v>
      </c>
      <c r="AL3" s="103">
        <v>0</v>
      </c>
      <c r="AM3" s="103">
        <v>0</v>
      </c>
      <c r="AN3" s="103">
        <v>0</v>
      </c>
    </row>
    <row r="4" spans="1:40" customFormat="1" x14ac:dyDescent="0.15">
      <c r="A4" s="184" t="s">
        <v>194</v>
      </c>
      <c r="B4" s="103">
        <v>0</v>
      </c>
      <c r="C4" s="103">
        <v>1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  <c r="AK4" s="103">
        <v>0</v>
      </c>
      <c r="AL4" s="103">
        <v>0</v>
      </c>
      <c r="AM4" s="103">
        <v>0</v>
      </c>
      <c r="AN4" s="103">
        <v>0</v>
      </c>
    </row>
    <row r="5" spans="1:40" customFormat="1" x14ac:dyDescent="0.15">
      <c r="A5" s="184" t="s">
        <v>195</v>
      </c>
      <c r="B5" s="103">
        <v>0</v>
      </c>
      <c r="C5" s="103">
        <v>1</v>
      </c>
      <c r="D5" s="103">
        <v>0</v>
      </c>
      <c r="E5" s="103">
        <v>0</v>
      </c>
      <c r="F5" s="103">
        <v>1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  <c r="AK5" s="103">
        <v>0</v>
      </c>
      <c r="AL5" s="103">
        <v>0</v>
      </c>
      <c r="AM5" s="103">
        <v>0</v>
      </c>
      <c r="AN5" s="103">
        <v>0</v>
      </c>
    </row>
    <row r="6" spans="1:40" customFormat="1" x14ac:dyDescent="0.15">
      <c r="A6" s="184" t="s">
        <v>196</v>
      </c>
      <c r="B6" s="103">
        <v>0</v>
      </c>
      <c r="C6" s="103">
        <v>0</v>
      </c>
      <c r="D6" s="103">
        <v>0</v>
      </c>
      <c r="E6" s="103">
        <v>0</v>
      </c>
      <c r="F6" s="103">
        <v>1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1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</row>
    <row r="7" spans="1:40" customFormat="1" x14ac:dyDescent="0.15">
      <c r="A7" s="184" t="s">
        <v>197</v>
      </c>
      <c r="B7" s="103">
        <v>0</v>
      </c>
      <c r="C7" s="103">
        <v>0</v>
      </c>
      <c r="D7" s="103">
        <v>0</v>
      </c>
      <c r="E7" s="103">
        <v>0</v>
      </c>
      <c r="F7" s="103">
        <v>1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1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</row>
    <row r="8" spans="1:40" customFormat="1" x14ac:dyDescent="0.15">
      <c r="A8" s="184" t="s">
        <v>198</v>
      </c>
      <c r="B8" s="103">
        <v>0</v>
      </c>
      <c r="C8" s="103">
        <v>0</v>
      </c>
      <c r="D8" s="103">
        <v>0</v>
      </c>
      <c r="E8" s="103">
        <v>0</v>
      </c>
      <c r="F8" s="103">
        <v>1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1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</row>
    <row r="9" spans="1:40" customFormat="1" x14ac:dyDescent="0.15">
      <c r="A9" s="184" t="s">
        <v>199</v>
      </c>
      <c r="B9" s="103">
        <v>0</v>
      </c>
      <c r="C9" s="103">
        <v>0</v>
      </c>
      <c r="D9" s="103">
        <v>0</v>
      </c>
      <c r="E9" s="103">
        <v>0</v>
      </c>
      <c r="F9" s="103">
        <v>1</v>
      </c>
      <c r="G9" s="103">
        <v>1</v>
      </c>
      <c r="H9" s="103">
        <v>0</v>
      </c>
      <c r="I9" s="103">
        <v>0</v>
      </c>
      <c r="J9" s="103">
        <v>1</v>
      </c>
      <c r="K9" s="103">
        <v>0</v>
      </c>
      <c r="L9" s="103">
        <v>0</v>
      </c>
      <c r="M9" s="103">
        <v>0</v>
      </c>
      <c r="N9" s="103">
        <v>0</v>
      </c>
      <c r="O9" s="103">
        <v>1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</row>
    <row r="10" spans="1:40" customFormat="1" x14ac:dyDescent="0.15">
      <c r="A10" s="184" t="s">
        <v>200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</row>
    <row r="11" spans="1:40" customFormat="1" x14ac:dyDescent="0.15">
      <c r="A11" s="184" t="s">
        <v>201</v>
      </c>
      <c r="B11" s="103">
        <v>0</v>
      </c>
      <c r="C11" s="103">
        <v>0</v>
      </c>
      <c r="D11" s="103">
        <v>0</v>
      </c>
      <c r="E11" s="103">
        <v>0</v>
      </c>
      <c r="F11" s="103">
        <v>1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1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</row>
    <row r="12" spans="1:40" customFormat="1" x14ac:dyDescent="0.15">
      <c r="A12" s="184" t="s">
        <v>202</v>
      </c>
      <c r="B12" s="103">
        <v>0</v>
      </c>
      <c r="C12" s="103">
        <v>0</v>
      </c>
      <c r="D12" s="103">
        <v>0</v>
      </c>
      <c r="E12" s="103">
        <v>0</v>
      </c>
      <c r="F12" s="103">
        <v>1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</row>
    <row r="13" spans="1:40" customFormat="1" x14ac:dyDescent="0.15">
      <c r="A13" s="184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1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</row>
    <row r="14" spans="1:40" customFormat="1" x14ac:dyDescent="0.15">
      <c r="A14" s="184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1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</row>
    <row r="15" spans="1:40" customFormat="1" x14ac:dyDescent="0.15">
      <c r="A15" s="184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1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1</v>
      </c>
      <c r="N15" s="103">
        <v>0</v>
      </c>
      <c r="O15" s="103">
        <v>1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</row>
    <row r="16" spans="1:40" customFormat="1" x14ac:dyDescent="0.15">
      <c r="A16" s="184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1</v>
      </c>
      <c r="G16" s="103">
        <v>1</v>
      </c>
      <c r="H16" s="103">
        <v>1</v>
      </c>
      <c r="I16" s="103">
        <v>0</v>
      </c>
      <c r="J16" s="103">
        <v>1</v>
      </c>
      <c r="K16" s="103">
        <v>1</v>
      </c>
      <c r="L16" s="103">
        <v>1</v>
      </c>
      <c r="M16" s="103">
        <v>1</v>
      </c>
      <c r="N16" s="103">
        <v>0</v>
      </c>
      <c r="O16" s="103">
        <v>1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</row>
    <row r="17" spans="1:40" customFormat="1" x14ac:dyDescent="0.15">
      <c r="A17" s="184" t="s">
        <v>207</v>
      </c>
      <c r="B17" s="103">
        <v>1</v>
      </c>
      <c r="C17" s="103">
        <v>1</v>
      </c>
      <c r="D17" s="103">
        <v>1</v>
      </c>
      <c r="E17" s="103">
        <v>1</v>
      </c>
      <c r="F17" s="103">
        <v>1</v>
      </c>
      <c r="G17" s="103">
        <v>0</v>
      </c>
      <c r="H17" s="103">
        <v>1</v>
      </c>
      <c r="I17" s="103">
        <v>0</v>
      </c>
      <c r="J17" s="103">
        <v>1</v>
      </c>
      <c r="K17" s="103">
        <v>1</v>
      </c>
      <c r="L17" s="103">
        <v>0</v>
      </c>
      <c r="M17" s="103">
        <v>1</v>
      </c>
      <c r="N17" s="103">
        <v>1</v>
      </c>
      <c r="O17" s="103">
        <v>1</v>
      </c>
      <c r="P17" s="103">
        <v>1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1</v>
      </c>
      <c r="AB17" s="103">
        <v>1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</row>
    <row r="18" spans="1:40" customFormat="1" x14ac:dyDescent="0.15">
      <c r="A18" s="184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1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</row>
    <row r="19" spans="1:40" customFormat="1" x14ac:dyDescent="0.15">
      <c r="A19" s="184" t="s">
        <v>209</v>
      </c>
      <c r="B19" s="103">
        <v>1</v>
      </c>
      <c r="C19" s="103">
        <v>1</v>
      </c>
      <c r="D19" s="103">
        <v>1</v>
      </c>
      <c r="E19" s="103">
        <v>0</v>
      </c>
      <c r="F19" s="103">
        <v>0</v>
      </c>
      <c r="G19" s="103">
        <v>1</v>
      </c>
      <c r="H19" s="103">
        <v>1</v>
      </c>
      <c r="I19" s="103">
        <v>1</v>
      </c>
      <c r="J19" s="103">
        <v>1</v>
      </c>
      <c r="K19" s="103">
        <v>1</v>
      </c>
      <c r="L19" s="103">
        <v>0</v>
      </c>
      <c r="M19" s="103">
        <v>0</v>
      </c>
      <c r="N19" s="103">
        <v>1</v>
      </c>
      <c r="O19" s="103">
        <v>0</v>
      </c>
      <c r="P19" s="103">
        <v>1</v>
      </c>
      <c r="Q19" s="103">
        <v>0</v>
      </c>
      <c r="R19" s="103">
        <v>1</v>
      </c>
      <c r="S19" s="103">
        <v>1</v>
      </c>
      <c r="T19" s="103">
        <v>0</v>
      </c>
      <c r="U19" s="103">
        <v>1</v>
      </c>
      <c r="V19" s="103">
        <v>0</v>
      </c>
      <c r="W19" s="103">
        <v>1</v>
      </c>
      <c r="X19" s="103">
        <v>1</v>
      </c>
      <c r="Y19" s="103">
        <v>0</v>
      </c>
      <c r="Z19" s="103">
        <v>0</v>
      </c>
      <c r="AA19" s="103">
        <v>1</v>
      </c>
      <c r="AB19" s="103">
        <v>1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</row>
    <row r="20" spans="1:40" customFormat="1" x14ac:dyDescent="0.15">
      <c r="A20" s="184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1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1</v>
      </c>
      <c r="S20" s="103">
        <v>0</v>
      </c>
      <c r="T20" s="103">
        <v>1</v>
      </c>
      <c r="U20" s="103">
        <v>1</v>
      </c>
      <c r="V20" s="103">
        <v>1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</row>
    <row r="21" spans="1:40" customFormat="1" x14ac:dyDescent="0.15">
      <c r="A21" s="184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1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1</v>
      </c>
      <c r="S21" s="103">
        <v>0</v>
      </c>
      <c r="T21" s="103">
        <v>0</v>
      </c>
      <c r="U21" s="103">
        <v>0</v>
      </c>
      <c r="V21" s="103">
        <v>1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</row>
    <row r="22" spans="1:40" customFormat="1" x14ac:dyDescent="0.15">
      <c r="A22" s="184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1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1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</row>
    <row r="23" spans="1:40" customFormat="1" x14ac:dyDescent="0.15">
      <c r="A23" s="184" t="s">
        <v>213</v>
      </c>
      <c r="B23" s="103">
        <v>0</v>
      </c>
      <c r="C23" s="103">
        <v>0</v>
      </c>
      <c r="D23" s="103">
        <v>1</v>
      </c>
      <c r="E23" s="103">
        <v>0</v>
      </c>
      <c r="F23" s="103">
        <v>0</v>
      </c>
      <c r="G23" s="103">
        <v>0</v>
      </c>
      <c r="H23" s="103">
        <v>1</v>
      </c>
      <c r="I23" s="103">
        <v>0</v>
      </c>
      <c r="J23" s="103">
        <v>0</v>
      </c>
      <c r="K23" s="103">
        <v>1</v>
      </c>
      <c r="L23" s="103">
        <v>1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1</v>
      </c>
      <c r="V23" s="103">
        <v>1</v>
      </c>
      <c r="W23" s="103">
        <v>1</v>
      </c>
      <c r="X23" s="103">
        <v>1</v>
      </c>
      <c r="Y23" s="103">
        <v>0</v>
      </c>
      <c r="Z23" s="103">
        <v>0</v>
      </c>
      <c r="AA23" s="103">
        <v>0</v>
      </c>
      <c r="AB23" s="103">
        <v>0</v>
      </c>
      <c r="AC23" s="103">
        <v>1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</row>
    <row r="24" spans="1:40" customFormat="1" x14ac:dyDescent="0.15">
      <c r="A24" s="184" t="s">
        <v>214</v>
      </c>
      <c r="B24" s="103">
        <v>0</v>
      </c>
      <c r="C24" s="103">
        <v>1</v>
      </c>
      <c r="D24" s="103">
        <v>1</v>
      </c>
      <c r="E24" s="103">
        <v>0</v>
      </c>
      <c r="F24" s="103">
        <v>1</v>
      </c>
      <c r="G24" s="103">
        <v>0</v>
      </c>
      <c r="H24" s="103">
        <v>0</v>
      </c>
      <c r="I24" s="103">
        <v>0</v>
      </c>
      <c r="J24" s="103">
        <v>0</v>
      </c>
      <c r="K24" s="103">
        <v>1</v>
      </c>
      <c r="L24" s="103">
        <v>1</v>
      </c>
      <c r="M24" s="103">
        <v>1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1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</row>
    <row r="25" spans="1:40" customFormat="1" x14ac:dyDescent="0.15">
      <c r="A25" s="184" t="s">
        <v>215</v>
      </c>
      <c r="B25" s="103">
        <v>0</v>
      </c>
      <c r="C25" s="103">
        <v>1</v>
      </c>
      <c r="D25" s="103">
        <v>1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  <c r="AB25" s="103">
        <v>0</v>
      </c>
      <c r="AC25" s="103">
        <v>1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</row>
    <row r="26" spans="1:40" customFormat="1" x14ac:dyDescent="0.15">
      <c r="A26" s="184" t="s">
        <v>216</v>
      </c>
      <c r="B26" s="103">
        <v>0</v>
      </c>
      <c r="C26" s="103">
        <v>1</v>
      </c>
      <c r="D26" s="103">
        <v>1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</row>
    <row r="27" spans="1:40" customFormat="1" x14ac:dyDescent="0.15">
      <c r="A27" s="184" t="s">
        <v>217</v>
      </c>
      <c r="B27" s="103">
        <v>1</v>
      </c>
      <c r="C27" s="103">
        <v>1</v>
      </c>
      <c r="D27" s="103">
        <v>1</v>
      </c>
      <c r="E27" s="103">
        <v>1</v>
      </c>
      <c r="F27" s="103">
        <v>1</v>
      </c>
      <c r="G27" s="103">
        <v>1</v>
      </c>
      <c r="H27" s="103">
        <v>1</v>
      </c>
      <c r="I27" s="103">
        <v>1</v>
      </c>
      <c r="J27" s="103">
        <v>1</v>
      </c>
      <c r="K27" s="103">
        <v>1</v>
      </c>
      <c r="L27" s="103">
        <v>1</v>
      </c>
      <c r="M27" s="103">
        <v>1</v>
      </c>
      <c r="N27" s="103">
        <v>1</v>
      </c>
      <c r="O27" s="103">
        <v>1</v>
      </c>
      <c r="P27" s="103">
        <v>1</v>
      </c>
      <c r="Q27" s="103">
        <v>0</v>
      </c>
      <c r="R27" s="103">
        <v>1</v>
      </c>
      <c r="S27" s="103">
        <v>0</v>
      </c>
      <c r="T27" s="103">
        <v>1</v>
      </c>
      <c r="U27" s="103">
        <v>1</v>
      </c>
      <c r="V27" s="103">
        <v>1</v>
      </c>
      <c r="W27" s="103">
        <v>1</v>
      </c>
      <c r="X27" s="103">
        <v>1</v>
      </c>
      <c r="Y27" s="103">
        <v>0</v>
      </c>
      <c r="Z27" s="103">
        <v>0</v>
      </c>
      <c r="AA27" s="103">
        <v>1</v>
      </c>
      <c r="AB27" s="103">
        <v>1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</row>
    <row r="28" spans="1:40" customFormat="1" x14ac:dyDescent="0.15">
      <c r="A28" s="184" t="s">
        <v>218</v>
      </c>
      <c r="B28" s="103">
        <v>0</v>
      </c>
      <c r="C28" s="103">
        <v>1</v>
      </c>
      <c r="D28" s="103">
        <v>1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1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</row>
    <row r="29" spans="1:40" customFormat="1" x14ac:dyDescent="0.15">
      <c r="A29" s="184" t="s">
        <v>219</v>
      </c>
      <c r="B29" s="103">
        <v>0</v>
      </c>
      <c r="C29" s="103">
        <v>1</v>
      </c>
      <c r="D29" s="103">
        <v>1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1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1</v>
      </c>
      <c r="X29" s="103">
        <v>1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</row>
    <row r="30" spans="1:40" customFormat="1" x14ac:dyDescent="0.15">
      <c r="A30" s="184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0</v>
      </c>
      <c r="W30" s="103">
        <v>1</v>
      </c>
      <c r="X30" s="103">
        <v>1</v>
      </c>
      <c r="Y30" s="103">
        <v>0</v>
      </c>
      <c r="Z30" s="103">
        <v>1</v>
      </c>
      <c r="AA30" s="103">
        <v>0</v>
      </c>
      <c r="AB30" s="103">
        <v>0</v>
      </c>
      <c r="AC30" s="103">
        <v>1</v>
      </c>
      <c r="AD30" s="103">
        <v>1</v>
      </c>
      <c r="AE30" s="103">
        <v>1</v>
      </c>
      <c r="AF30" s="103">
        <v>1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</row>
    <row r="31" spans="1:40" customFormat="1" x14ac:dyDescent="0.15">
      <c r="A31" s="184" t="s">
        <v>221</v>
      </c>
      <c r="B31" s="103">
        <v>0</v>
      </c>
      <c r="C31" s="103">
        <v>1</v>
      </c>
      <c r="D31" s="103">
        <v>1</v>
      </c>
      <c r="E31" s="103">
        <v>0</v>
      </c>
      <c r="F31" s="103">
        <v>1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1</v>
      </c>
      <c r="O31" s="103">
        <v>1</v>
      </c>
      <c r="P31" s="103">
        <v>1</v>
      </c>
      <c r="Q31" s="103">
        <v>0</v>
      </c>
      <c r="R31" s="103">
        <v>0</v>
      </c>
      <c r="S31" s="103">
        <v>0</v>
      </c>
      <c r="T31" s="103">
        <v>1</v>
      </c>
      <c r="U31" s="103">
        <v>1</v>
      </c>
      <c r="V31" s="103">
        <v>0</v>
      </c>
      <c r="W31" s="103">
        <v>1</v>
      </c>
      <c r="X31" s="103">
        <v>1</v>
      </c>
      <c r="Y31" s="103">
        <v>1</v>
      </c>
      <c r="Z31" s="103">
        <v>1</v>
      </c>
      <c r="AA31" s="103">
        <v>0</v>
      </c>
      <c r="AB31" s="103">
        <v>0</v>
      </c>
      <c r="AC31" s="103">
        <v>1</v>
      </c>
      <c r="AD31" s="103">
        <v>0</v>
      </c>
      <c r="AE31" s="103">
        <v>0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</row>
    <row r="32" spans="1:40" x14ac:dyDescent="0.15">
      <c r="A32" s="184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1</v>
      </c>
      <c r="X32" s="103">
        <v>1</v>
      </c>
      <c r="Y32" s="103">
        <v>1</v>
      </c>
      <c r="Z32" s="103">
        <v>1</v>
      </c>
      <c r="AA32" s="103">
        <v>0</v>
      </c>
      <c r="AB32" s="103">
        <v>0</v>
      </c>
      <c r="AC32" s="103">
        <v>1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</row>
    <row r="33" spans="1:40" x14ac:dyDescent="0.15">
      <c r="A33" s="184" t="s">
        <v>223</v>
      </c>
      <c r="B33" s="103">
        <v>0</v>
      </c>
      <c r="C33" s="103">
        <v>0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1</v>
      </c>
      <c r="AE33" s="103">
        <v>1</v>
      </c>
      <c r="AF33" s="103">
        <v>1</v>
      </c>
      <c r="AG33" s="103">
        <v>0</v>
      </c>
      <c r="AH33" s="103">
        <v>1</v>
      </c>
      <c r="AI33" s="103">
        <v>0</v>
      </c>
      <c r="AJ33" s="103">
        <v>1</v>
      </c>
      <c r="AK33" s="103">
        <v>0</v>
      </c>
      <c r="AL33" s="103">
        <v>0</v>
      </c>
      <c r="AM33" s="103">
        <v>0</v>
      </c>
      <c r="AN33" s="103">
        <v>0</v>
      </c>
    </row>
    <row r="34" spans="1:40" x14ac:dyDescent="0.15">
      <c r="A34" s="184" t="s">
        <v>224</v>
      </c>
      <c r="B34" s="103">
        <v>1</v>
      </c>
      <c r="C34" s="103">
        <v>0</v>
      </c>
      <c r="D34" s="103">
        <v>0</v>
      </c>
      <c r="E34" s="103">
        <v>1</v>
      </c>
      <c r="F34" s="103">
        <v>0</v>
      </c>
      <c r="G34" s="103">
        <v>1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1</v>
      </c>
      <c r="O34" s="103">
        <v>1</v>
      </c>
      <c r="P34" s="103">
        <v>1</v>
      </c>
      <c r="Q34" s="103">
        <v>1</v>
      </c>
      <c r="R34" s="103">
        <v>0</v>
      </c>
      <c r="S34" s="103">
        <v>1</v>
      </c>
      <c r="T34" s="103">
        <v>0</v>
      </c>
      <c r="U34" s="103">
        <v>0</v>
      </c>
      <c r="V34" s="103">
        <v>0</v>
      </c>
      <c r="W34" s="103">
        <v>0</v>
      </c>
      <c r="X34" s="103">
        <v>0</v>
      </c>
      <c r="Y34" s="103">
        <v>0</v>
      </c>
      <c r="Z34" s="103">
        <v>0</v>
      </c>
      <c r="AA34" s="103">
        <v>1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1</v>
      </c>
      <c r="AI34" s="103">
        <v>1</v>
      </c>
      <c r="AJ34" s="103">
        <v>1</v>
      </c>
      <c r="AK34" s="103">
        <v>1</v>
      </c>
      <c r="AL34" s="103">
        <v>0</v>
      </c>
      <c r="AM34" s="103">
        <v>0</v>
      </c>
      <c r="AN34" s="103">
        <v>0</v>
      </c>
    </row>
    <row r="35" spans="1:40" x14ac:dyDescent="0.15">
      <c r="A35" s="184" t="s">
        <v>225</v>
      </c>
      <c r="B35" s="103">
        <v>1</v>
      </c>
      <c r="C35" s="103">
        <v>0</v>
      </c>
      <c r="D35" s="103">
        <v>0</v>
      </c>
      <c r="E35" s="103">
        <v>1</v>
      </c>
      <c r="F35" s="103">
        <v>1</v>
      </c>
      <c r="G35" s="103">
        <v>1</v>
      </c>
      <c r="H35" s="103">
        <v>1</v>
      </c>
      <c r="I35" s="103">
        <v>1</v>
      </c>
      <c r="J35" s="103">
        <v>1</v>
      </c>
      <c r="K35" s="103">
        <v>1</v>
      </c>
      <c r="L35" s="103">
        <v>0</v>
      </c>
      <c r="M35" s="103">
        <v>0</v>
      </c>
      <c r="N35" s="103">
        <v>1</v>
      </c>
      <c r="O35" s="103">
        <v>1</v>
      </c>
      <c r="P35" s="103">
        <v>1</v>
      </c>
      <c r="Q35" s="103">
        <v>1</v>
      </c>
      <c r="R35" s="103">
        <v>1</v>
      </c>
      <c r="S35" s="103">
        <v>1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1</v>
      </c>
      <c r="AB35" s="103">
        <v>1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1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</row>
    <row r="36" spans="1:40" x14ac:dyDescent="0.15">
      <c r="A36" s="184" t="s">
        <v>226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1</v>
      </c>
      <c r="T36" s="103">
        <v>1</v>
      </c>
      <c r="U36" s="103">
        <v>1</v>
      </c>
      <c r="V36" s="103">
        <v>1</v>
      </c>
      <c r="W36" s="103">
        <v>1</v>
      </c>
      <c r="X36" s="103">
        <v>1</v>
      </c>
      <c r="Y36" s="103">
        <v>1</v>
      </c>
      <c r="Z36" s="103">
        <v>0</v>
      </c>
      <c r="AA36" s="103">
        <v>1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1</v>
      </c>
      <c r="AK36" s="103">
        <v>1</v>
      </c>
      <c r="AL36" s="103">
        <v>0</v>
      </c>
      <c r="AM36" s="103">
        <v>0</v>
      </c>
      <c r="AN36" s="103">
        <v>0</v>
      </c>
    </row>
    <row r="37" spans="1:40" x14ac:dyDescent="0.15">
      <c r="A37" s="184" t="s">
        <v>227</v>
      </c>
      <c r="B37" s="103">
        <v>0</v>
      </c>
      <c r="C37" s="103">
        <v>0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1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1</v>
      </c>
      <c r="S37" s="103">
        <v>1</v>
      </c>
      <c r="T37" s="103">
        <v>1</v>
      </c>
      <c r="U37" s="103">
        <v>1</v>
      </c>
      <c r="V37" s="103">
        <v>1</v>
      </c>
      <c r="W37" s="103">
        <v>1</v>
      </c>
      <c r="X37" s="103">
        <v>1</v>
      </c>
      <c r="Y37" s="103">
        <v>0</v>
      </c>
      <c r="Z37" s="103">
        <v>0</v>
      </c>
      <c r="AA37" s="103">
        <v>1</v>
      </c>
      <c r="AB37" s="103">
        <v>1</v>
      </c>
      <c r="AC37" s="103">
        <v>0</v>
      </c>
      <c r="AD37" s="103">
        <v>0</v>
      </c>
      <c r="AE37" s="103">
        <v>1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1</v>
      </c>
      <c r="AL37" s="103">
        <v>0</v>
      </c>
      <c r="AM37" s="103">
        <v>0</v>
      </c>
      <c r="AN37" s="103">
        <v>0</v>
      </c>
    </row>
    <row r="38" spans="1:40" x14ac:dyDescent="0.15">
      <c r="A38" s="184" t="s">
        <v>228</v>
      </c>
      <c r="B38" s="103">
        <v>0</v>
      </c>
      <c r="C38" s="103">
        <v>0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1</v>
      </c>
      <c r="O38" s="103">
        <v>0</v>
      </c>
      <c r="P38" s="103">
        <v>1</v>
      </c>
      <c r="Q38" s="103">
        <v>1</v>
      </c>
      <c r="R38" s="103">
        <v>0</v>
      </c>
      <c r="S38" s="103">
        <v>0</v>
      </c>
      <c r="T38" s="103">
        <v>0</v>
      </c>
      <c r="U38" s="103">
        <v>0</v>
      </c>
      <c r="V38" s="103">
        <v>0</v>
      </c>
      <c r="W38" s="103">
        <v>0</v>
      </c>
      <c r="X38" s="103">
        <v>0</v>
      </c>
      <c r="Y38" s="103">
        <v>0</v>
      </c>
      <c r="Z38" s="103"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03">
        <v>0</v>
      </c>
      <c r="AH38" s="103">
        <v>1</v>
      </c>
      <c r="AI38" s="103">
        <v>0</v>
      </c>
      <c r="AJ38" s="103">
        <v>0</v>
      </c>
      <c r="AK38" s="103">
        <v>0</v>
      </c>
      <c r="AL38" s="103">
        <v>0</v>
      </c>
      <c r="AM38" s="103">
        <v>0</v>
      </c>
      <c r="AN38" s="103">
        <v>0</v>
      </c>
    </row>
    <row r="39" spans="1:40" x14ac:dyDescent="0.15">
      <c r="A39" s="184" t="s">
        <v>229</v>
      </c>
      <c r="B39" s="103">
        <v>0</v>
      </c>
      <c r="C39" s="103">
        <v>0</v>
      </c>
      <c r="D39" s="103">
        <v>0</v>
      </c>
      <c r="E39" s="103">
        <v>1</v>
      </c>
      <c r="F39" s="103">
        <v>1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103">
        <v>0</v>
      </c>
      <c r="O39" s="103">
        <v>0</v>
      </c>
      <c r="P39" s="103">
        <v>1</v>
      </c>
      <c r="Q39" s="103">
        <v>1</v>
      </c>
      <c r="R39" s="103">
        <v>0</v>
      </c>
      <c r="S39" s="103">
        <v>1</v>
      </c>
      <c r="T39" s="103">
        <v>1</v>
      </c>
      <c r="U39" s="103">
        <v>1</v>
      </c>
      <c r="V39" s="103">
        <v>1</v>
      </c>
      <c r="W39" s="103">
        <v>1</v>
      </c>
      <c r="X39" s="103">
        <v>1</v>
      </c>
      <c r="Y39" s="103">
        <v>1</v>
      </c>
      <c r="Z39" s="103">
        <v>1</v>
      </c>
      <c r="AA39" s="103">
        <v>0</v>
      </c>
      <c r="AB39" s="103">
        <v>0</v>
      </c>
      <c r="AC39" s="103">
        <v>0</v>
      </c>
      <c r="AD39" s="103">
        <v>1</v>
      </c>
      <c r="AE39" s="103">
        <v>1</v>
      </c>
      <c r="AF39" s="103">
        <v>1</v>
      </c>
      <c r="AG39" s="103">
        <v>1</v>
      </c>
      <c r="AH39" s="103">
        <v>1</v>
      </c>
      <c r="AI39" s="103">
        <v>0</v>
      </c>
      <c r="AJ39" s="103">
        <v>1</v>
      </c>
      <c r="AK39" s="103">
        <v>1</v>
      </c>
      <c r="AL39" s="103">
        <v>0</v>
      </c>
      <c r="AM39" s="103">
        <v>0</v>
      </c>
      <c r="AN39" s="103">
        <v>0</v>
      </c>
    </row>
    <row r="40" spans="1:40" x14ac:dyDescent="0.15">
      <c r="A40" s="184" t="s">
        <v>230</v>
      </c>
      <c r="B40" s="103">
        <v>0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0</v>
      </c>
      <c r="T40" s="103">
        <v>0</v>
      </c>
      <c r="U40" s="103">
        <v>0</v>
      </c>
      <c r="V40" s="103">
        <v>0</v>
      </c>
      <c r="W40" s="103">
        <v>0</v>
      </c>
      <c r="X40" s="103">
        <v>0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03">
        <v>0</v>
      </c>
      <c r="AH40" s="103">
        <v>0</v>
      </c>
      <c r="AI40" s="103">
        <v>0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</row>
    <row r="41" spans="1:40" x14ac:dyDescent="0.15">
      <c r="A41" s="184" t="s">
        <v>232</v>
      </c>
      <c r="B41" s="103">
        <v>0</v>
      </c>
      <c r="C41" s="103">
        <v>0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0</v>
      </c>
      <c r="Z41" s="103"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03">
        <v>0</v>
      </c>
      <c r="AH41" s="103">
        <v>0</v>
      </c>
      <c r="AI41" s="103">
        <v>0</v>
      </c>
      <c r="AJ41" s="103">
        <v>0</v>
      </c>
      <c r="AK41" s="103">
        <v>0</v>
      </c>
      <c r="AL41" s="103">
        <v>0</v>
      </c>
      <c r="AM41" s="103">
        <v>0</v>
      </c>
      <c r="AN41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7" t="s">
        <v>231</v>
      </c>
    </row>
    <row r="2" spans="1:3" x14ac:dyDescent="0.15">
      <c r="A2">
        <v>1</v>
      </c>
      <c r="B2" s="186" t="s">
        <v>192</v>
      </c>
      <c r="C2">
        <v>0</v>
      </c>
    </row>
    <row r="3" spans="1:3" x14ac:dyDescent="0.15">
      <c r="A3">
        <v>2</v>
      </c>
      <c r="B3" s="186" t="s">
        <v>193</v>
      </c>
      <c r="C3">
        <v>0</v>
      </c>
    </row>
    <row r="4" spans="1:3" x14ac:dyDescent="0.15">
      <c r="A4">
        <v>3</v>
      </c>
      <c r="B4" s="186" t="s">
        <v>194</v>
      </c>
      <c r="C4">
        <v>0</v>
      </c>
    </row>
    <row r="5" spans="1:3" x14ac:dyDescent="0.15">
      <c r="A5">
        <v>4</v>
      </c>
      <c r="B5" s="186" t="s">
        <v>195</v>
      </c>
      <c r="C5">
        <v>0</v>
      </c>
    </row>
    <row r="6" spans="1:3" x14ac:dyDescent="0.15">
      <c r="A6">
        <v>5</v>
      </c>
      <c r="B6" s="186" t="s">
        <v>196</v>
      </c>
      <c r="C6">
        <v>0.8</v>
      </c>
    </row>
    <row r="7" spans="1:3" x14ac:dyDescent="0.15">
      <c r="A7">
        <v>6</v>
      </c>
      <c r="B7" s="186" t="s">
        <v>197</v>
      </c>
      <c r="C7">
        <v>0.8</v>
      </c>
    </row>
    <row r="8" spans="1:3" x14ac:dyDescent="0.15">
      <c r="A8">
        <v>7</v>
      </c>
      <c r="B8" s="186" t="s">
        <v>198</v>
      </c>
      <c r="C8">
        <v>0.8</v>
      </c>
    </row>
    <row r="9" spans="1:3" x14ac:dyDescent="0.15">
      <c r="A9">
        <v>8</v>
      </c>
      <c r="B9" s="186" t="s">
        <v>199</v>
      </c>
      <c r="C9">
        <v>0.8</v>
      </c>
    </row>
    <row r="10" spans="1:3" x14ac:dyDescent="0.15">
      <c r="A10">
        <v>9</v>
      </c>
      <c r="B10" s="186" t="s">
        <v>200</v>
      </c>
      <c r="C10">
        <v>0.8</v>
      </c>
    </row>
    <row r="11" spans="1:3" x14ac:dyDescent="0.15">
      <c r="A11">
        <v>10</v>
      </c>
      <c r="B11" s="186" t="s">
        <v>201</v>
      </c>
      <c r="C11">
        <v>0.8</v>
      </c>
    </row>
    <row r="12" spans="1:3" x14ac:dyDescent="0.15">
      <c r="A12">
        <v>11</v>
      </c>
      <c r="B12" s="186" t="s">
        <v>202</v>
      </c>
      <c r="C12">
        <v>0.8</v>
      </c>
    </row>
    <row r="13" spans="1:3" x14ac:dyDescent="0.15">
      <c r="A13">
        <v>12</v>
      </c>
      <c r="B13" s="186" t="s">
        <v>203</v>
      </c>
      <c r="C13">
        <v>0.8</v>
      </c>
    </row>
    <row r="14" spans="1:3" x14ac:dyDescent="0.15">
      <c r="A14">
        <v>13</v>
      </c>
      <c r="B14" s="186" t="s">
        <v>204</v>
      </c>
      <c r="C14">
        <v>0.8</v>
      </c>
    </row>
    <row r="15" spans="1:3" x14ac:dyDescent="0.15">
      <c r="A15">
        <v>14</v>
      </c>
      <c r="B15" s="186" t="s">
        <v>205</v>
      </c>
      <c r="C15">
        <v>0.8</v>
      </c>
    </row>
    <row r="16" spans="1:3" x14ac:dyDescent="0.15">
      <c r="A16">
        <v>15</v>
      </c>
      <c r="B16" s="186" t="s">
        <v>206</v>
      </c>
      <c r="C16">
        <v>0.8</v>
      </c>
    </row>
    <row r="17" spans="1:3" x14ac:dyDescent="0.15">
      <c r="A17">
        <v>16</v>
      </c>
      <c r="B17" s="186" t="s">
        <v>207</v>
      </c>
      <c r="C17">
        <v>0.8</v>
      </c>
    </row>
    <row r="18" spans="1:3" x14ac:dyDescent="0.15">
      <c r="A18">
        <v>17</v>
      </c>
      <c r="B18" s="186" t="s">
        <v>208</v>
      </c>
      <c r="C18">
        <v>0</v>
      </c>
    </row>
    <row r="19" spans="1:3" x14ac:dyDescent="0.15">
      <c r="A19">
        <v>18</v>
      </c>
      <c r="B19" s="186" t="s">
        <v>209</v>
      </c>
      <c r="C19">
        <v>0</v>
      </c>
    </row>
    <row r="20" spans="1:3" x14ac:dyDescent="0.15">
      <c r="A20">
        <v>19</v>
      </c>
      <c r="B20" s="186" t="s">
        <v>210</v>
      </c>
      <c r="C20">
        <v>0</v>
      </c>
    </row>
    <row r="21" spans="1:3" x14ac:dyDescent="0.15">
      <c r="A21">
        <v>20</v>
      </c>
      <c r="B21" s="186" t="s">
        <v>211</v>
      </c>
      <c r="C21">
        <v>0</v>
      </c>
    </row>
    <row r="22" spans="1:3" x14ac:dyDescent="0.15">
      <c r="A22">
        <v>21</v>
      </c>
      <c r="B22" s="186" t="s">
        <v>212</v>
      </c>
      <c r="C22">
        <v>0.8</v>
      </c>
    </row>
    <row r="23" spans="1:3" x14ac:dyDescent="0.15">
      <c r="A23">
        <v>22</v>
      </c>
      <c r="B23" s="186" t="s">
        <v>213</v>
      </c>
      <c r="C23">
        <v>0.8</v>
      </c>
    </row>
    <row r="24" spans="1:3" x14ac:dyDescent="0.15">
      <c r="A24">
        <v>23</v>
      </c>
      <c r="B24" s="186" t="s">
        <v>214</v>
      </c>
      <c r="C24">
        <v>0.8</v>
      </c>
    </row>
    <row r="25" spans="1:3" x14ac:dyDescent="0.15">
      <c r="A25">
        <v>24</v>
      </c>
      <c r="B25" s="186" t="s">
        <v>215</v>
      </c>
      <c r="C25">
        <v>0</v>
      </c>
    </row>
    <row r="26" spans="1:3" x14ac:dyDescent="0.15">
      <c r="A26">
        <v>25</v>
      </c>
      <c r="B26" s="186" t="s">
        <v>216</v>
      </c>
      <c r="C26">
        <v>0</v>
      </c>
    </row>
    <row r="27" spans="1:3" x14ac:dyDescent="0.15">
      <c r="A27">
        <v>26</v>
      </c>
      <c r="B27" s="186" t="s">
        <v>217</v>
      </c>
      <c r="C27">
        <v>0.8</v>
      </c>
    </row>
    <row r="28" spans="1:3" x14ac:dyDescent="0.15">
      <c r="A28">
        <v>27</v>
      </c>
      <c r="B28" s="186" t="s">
        <v>218</v>
      </c>
      <c r="C28">
        <v>0</v>
      </c>
    </row>
    <row r="29" spans="1:3" x14ac:dyDescent="0.15">
      <c r="A29">
        <v>28</v>
      </c>
      <c r="B29" s="186" t="s">
        <v>219</v>
      </c>
      <c r="C29">
        <v>0</v>
      </c>
    </row>
    <row r="30" spans="1:3" x14ac:dyDescent="0.15">
      <c r="A30">
        <v>29</v>
      </c>
      <c r="B30" s="186" t="s">
        <v>220</v>
      </c>
      <c r="C30">
        <v>0</v>
      </c>
    </row>
    <row r="31" spans="1:3" x14ac:dyDescent="0.15">
      <c r="A31">
        <v>30</v>
      </c>
      <c r="B31" s="186" t="s">
        <v>221</v>
      </c>
      <c r="C31">
        <v>0</v>
      </c>
    </row>
    <row r="32" spans="1:3" x14ac:dyDescent="0.15">
      <c r="A32">
        <v>31</v>
      </c>
      <c r="B32" s="186" t="s">
        <v>222</v>
      </c>
      <c r="C32">
        <v>0</v>
      </c>
    </row>
    <row r="33" spans="1:3" x14ac:dyDescent="0.15">
      <c r="A33">
        <v>32</v>
      </c>
      <c r="B33" s="186" t="s">
        <v>223</v>
      </c>
      <c r="C33">
        <v>0</v>
      </c>
    </row>
    <row r="34" spans="1:3" x14ac:dyDescent="0.15">
      <c r="A34">
        <v>33</v>
      </c>
      <c r="B34" s="186" t="s">
        <v>224</v>
      </c>
      <c r="C34">
        <v>0</v>
      </c>
    </row>
    <row r="35" spans="1:3" x14ac:dyDescent="0.15">
      <c r="A35">
        <v>34</v>
      </c>
      <c r="B35" s="186" t="s">
        <v>225</v>
      </c>
      <c r="C35">
        <v>0</v>
      </c>
    </row>
    <row r="36" spans="1:3" x14ac:dyDescent="0.15">
      <c r="A36">
        <v>35</v>
      </c>
      <c r="B36" s="186" t="s">
        <v>226</v>
      </c>
      <c r="C36">
        <v>0</v>
      </c>
    </row>
    <row r="37" spans="1:3" x14ac:dyDescent="0.15">
      <c r="A37">
        <v>36</v>
      </c>
      <c r="B37" s="186" t="s">
        <v>227</v>
      </c>
      <c r="C37">
        <v>0</v>
      </c>
    </row>
    <row r="38" spans="1:3" x14ac:dyDescent="0.15">
      <c r="A38">
        <v>37</v>
      </c>
      <c r="B38" s="186" t="s">
        <v>228</v>
      </c>
      <c r="C38">
        <v>0</v>
      </c>
    </row>
    <row r="39" spans="1:3" x14ac:dyDescent="0.15">
      <c r="A39">
        <v>38</v>
      </c>
      <c r="B39" s="186" t="s">
        <v>229</v>
      </c>
      <c r="C39">
        <v>0</v>
      </c>
    </row>
    <row r="40" spans="1:3" x14ac:dyDescent="0.15">
      <c r="A40">
        <v>39</v>
      </c>
      <c r="B40" s="186" t="s">
        <v>230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9" t="s">
        <v>231</v>
      </c>
    </row>
    <row r="2" spans="1:3" x14ac:dyDescent="0.15">
      <c r="A2">
        <v>1</v>
      </c>
      <c r="B2" s="188" t="s">
        <v>192</v>
      </c>
      <c r="C2">
        <v>0</v>
      </c>
    </row>
    <row r="3" spans="1:3" x14ac:dyDescent="0.15">
      <c r="A3">
        <v>2</v>
      </c>
      <c r="B3" s="188" t="s">
        <v>193</v>
      </c>
      <c r="C3">
        <v>0</v>
      </c>
    </row>
    <row r="4" spans="1:3" x14ac:dyDescent="0.15">
      <c r="A4">
        <v>3</v>
      </c>
      <c r="B4" s="188" t="s">
        <v>194</v>
      </c>
      <c r="C4">
        <v>0</v>
      </c>
    </row>
    <row r="5" spans="1:3" x14ac:dyDescent="0.15">
      <c r="A5">
        <v>4</v>
      </c>
      <c r="B5" s="188" t="s">
        <v>195</v>
      </c>
      <c r="C5">
        <v>0</v>
      </c>
    </row>
    <row r="6" spans="1:3" x14ac:dyDescent="0.15">
      <c r="A6">
        <v>5</v>
      </c>
      <c r="B6" s="188" t="s">
        <v>196</v>
      </c>
      <c r="C6">
        <v>0.8</v>
      </c>
    </row>
    <row r="7" spans="1:3" x14ac:dyDescent="0.15">
      <c r="A7">
        <v>6</v>
      </c>
      <c r="B7" s="188" t="s">
        <v>197</v>
      </c>
      <c r="C7">
        <v>0.8</v>
      </c>
    </row>
    <row r="8" spans="1:3" x14ac:dyDescent="0.15">
      <c r="A8">
        <v>7</v>
      </c>
      <c r="B8" s="188" t="s">
        <v>198</v>
      </c>
      <c r="C8">
        <v>0.8</v>
      </c>
    </row>
    <row r="9" spans="1:3" x14ac:dyDescent="0.15">
      <c r="A9">
        <v>8</v>
      </c>
      <c r="B9" s="188" t="s">
        <v>199</v>
      </c>
      <c r="C9">
        <v>0.8</v>
      </c>
    </row>
    <row r="10" spans="1:3" x14ac:dyDescent="0.15">
      <c r="A10">
        <v>9</v>
      </c>
      <c r="B10" s="188" t="s">
        <v>200</v>
      </c>
      <c r="C10">
        <v>0.8</v>
      </c>
    </row>
    <row r="11" spans="1:3" x14ac:dyDescent="0.15">
      <c r="A11">
        <v>10</v>
      </c>
      <c r="B11" s="188" t="s">
        <v>201</v>
      </c>
      <c r="C11">
        <v>0.8</v>
      </c>
    </row>
    <row r="12" spans="1:3" x14ac:dyDescent="0.15">
      <c r="A12">
        <v>11</v>
      </c>
      <c r="B12" s="188" t="s">
        <v>202</v>
      </c>
      <c r="C12">
        <v>0.8</v>
      </c>
    </row>
    <row r="13" spans="1:3" x14ac:dyDescent="0.15">
      <c r="A13">
        <v>12</v>
      </c>
      <c r="B13" s="188" t="s">
        <v>203</v>
      </c>
      <c r="C13">
        <v>0.8</v>
      </c>
    </row>
    <row r="14" spans="1:3" x14ac:dyDescent="0.15">
      <c r="A14">
        <v>13</v>
      </c>
      <c r="B14" s="188" t="s">
        <v>204</v>
      </c>
      <c r="C14">
        <v>0.8</v>
      </c>
    </row>
    <row r="15" spans="1:3" x14ac:dyDescent="0.15">
      <c r="A15">
        <v>14</v>
      </c>
      <c r="B15" s="188" t="s">
        <v>205</v>
      </c>
      <c r="C15">
        <v>0.8</v>
      </c>
    </row>
    <row r="16" spans="1:3" x14ac:dyDescent="0.15">
      <c r="A16">
        <v>15</v>
      </c>
      <c r="B16" s="188" t="s">
        <v>206</v>
      </c>
      <c r="C16">
        <v>0.8</v>
      </c>
    </row>
    <row r="17" spans="1:3" x14ac:dyDescent="0.15">
      <c r="A17">
        <v>16</v>
      </c>
      <c r="B17" s="188" t="s">
        <v>207</v>
      </c>
      <c r="C17">
        <v>0.8</v>
      </c>
    </row>
    <row r="18" spans="1:3" x14ac:dyDescent="0.15">
      <c r="A18">
        <v>17</v>
      </c>
      <c r="B18" s="188" t="s">
        <v>208</v>
      </c>
      <c r="C18">
        <v>0</v>
      </c>
    </row>
    <row r="19" spans="1:3" x14ac:dyDescent="0.15">
      <c r="A19">
        <v>18</v>
      </c>
      <c r="B19" s="188" t="s">
        <v>209</v>
      </c>
      <c r="C19">
        <v>0</v>
      </c>
    </row>
    <row r="20" spans="1:3" x14ac:dyDescent="0.15">
      <c r="A20">
        <v>19</v>
      </c>
      <c r="B20" s="188" t="s">
        <v>210</v>
      </c>
      <c r="C20">
        <v>0</v>
      </c>
    </row>
    <row r="21" spans="1:3" x14ac:dyDescent="0.15">
      <c r="A21">
        <v>20</v>
      </c>
      <c r="B21" s="188" t="s">
        <v>211</v>
      </c>
      <c r="C21">
        <v>0</v>
      </c>
    </row>
    <row r="22" spans="1:3" x14ac:dyDescent="0.15">
      <c r="A22">
        <v>21</v>
      </c>
      <c r="B22" s="188" t="s">
        <v>212</v>
      </c>
      <c r="C22">
        <v>0.8</v>
      </c>
    </row>
    <row r="23" spans="1:3" x14ac:dyDescent="0.15">
      <c r="A23">
        <v>22</v>
      </c>
      <c r="B23" s="188" t="s">
        <v>213</v>
      </c>
      <c r="C23">
        <v>0.8</v>
      </c>
    </row>
    <row r="24" spans="1:3" x14ac:dyDescent="0.15">
      <c r="A24">
        <v>23</v>
      </c>
      <c r="B24" s="188" t="s">
        <v>214</v>
      </c>
      <c r="C24">
        <v>0.8</v>
      </c>
    </row>
    <row r="25" spans="1:3" x14ac:dyDescent="0.15">
      <c r="A25">
        <v>24</v>
      </c>
      <c r="B25" s="188" t="s">
        <v>215</v>
      </c>
      <c r="C25">
        <v>0</v>
      </c>
    </row>
    <row r="26" spans="1:3" x14ac:dyDescent="0.15">
      <c r="A26">
        <v>25</v>
      </c>
      <c r="B26" s="188" t="s">
        <v>216</v>
      </c>
      <c r="C26">
        <v>0</v>
      </c>
    </row>
    <row r="27" spans="1:3" x14ac:dyDescent="0.15">
      <c r="A27">
        <v>26</v>
      </c>
      <c r="B27" s="188" t="s">
        <v>217</v>
      </c>
      <c r="C27">
        <v>0.8</v>
      </c>
    </row>
    <row r="28" spans="1:3" x14ac:dyDescent="0.15">
      <c r="A28">
        <v>27</v>
      </c>
      <c r="B28" s="188" t="s">
        <v>218</v>
      </c>
      <c r="C28">
        <v>0</v>
      </c>
    </row>
    <row r="29" spans="1:3" x14ac:dyDescent="0.15">
      <c r="A29">
        <v>28</v>
      </c>
      <c r="B29" s="188" t="s">
        <v>219</v>
      </c>
      <c r="C29">
        <v>0</v>
      </c>
    </row>
    <row r="30" spans="1:3" x14ac:dyDescent="0.15">
      <c r="A30">
        <v>29</v>
      </c>
      <c r="B30" s="188" t="s">
        <v>220</v>
      </c>
      <c r="C30">
        <v>0</v>
      </c>
    </row>
    <row r="31" spans="1:3" x14ac:dyDescent="0.15">
      <c r="A31">
        <v>30</v>
      </c>
      <c r="B31" s="188" t="s">
        <v>221</v>
      </c>
      <c r="C31">
        <v>0</v>
      </c>
    </row>
    <row r="32" spans="1:3" x14ac:dyDescent="0.15">
      <c r="A32">
        <v>31</v>
      </c>
      <c r="B32" s="188" t="s">
        <v>222</v>
      </c>
      <c r="C32">
        <v>0</v>
      </c>
    </row>
    <row r="33" spans="1:3" x14ac:dyDescent="0.15">
      <c r="A33">
        <v>32</v>
      </c>
      <c r="B33" s="188" t="s">
        <v>223</v>
      </c>
      <c r="C33">
        <v>0</v>
      </c>
    </row>
    <row r="34" spans="1:3" x14ac:dyDescent="0.15">
      <c r="A34">
        <v>33</v>
      </c>
      <c r="B34" s="188" t="s">
        <v>224</v>
      </c>
      <c r="C34">
        <v>0</v>
      </c>
    </row>
    <row r="35" spans="1:3" x14ac:dyDescent="0.15">
      <c r="A35">
        <v>34</v>
      </c>
      <c r="B35" s="188" t="s">
        <v>225</v>
      </c>
      <c r="C35">
        <v>0</v>
      </c>
    </row>
    <row r="36" spans="1:3" x14ac:dyDescent="0.15">
      <c r="A36">
        <v>35</v>
      </c>
      <c r="B36" s="188" t="s">
        <v>226</v>
      </c>
      <c r="C36">
        <v>0</v>
      </c>
    </row>
    <row r="37" spans="1:3" x14ac:dyDescent="0.15">
      <c r="A37">
        <v>36</v>
      </c>
      <c r="B37" s="188" t="s">
        <v>227</v>
      </c>
      <c r="C37">
        <v>0</v>
      </c>
    </row>
    <row r="38" spans="1:3" x14ac:dyDescent="0.15">
      <c r="A38">
        <v>37</v>
      </c>
      <c r="B38" s="188" t="s">
        <v>228</v>
      </c>
      <c r="C38">
        <v>0</v>
      </c>
    </row>
    <row r="39" spans="1:3" x14ac:dyDescent="0.15">
      <c r="A39">
        <v>38</v>
      </c>
      <c r="B39" s="188" t="s">
        <v>229</v>
      </c>
      <c r="C39">
        <v>0</v>
      </c>
    </row>
    <row r="40" spans="1:3" x14ac:dyDescent="0.15">
      <c r="A40">
        <v>39</v>
      </c>
      <c r="B40" s="188" t="s">
        <v>230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41">
        <v>1</v>
      </c>
      <c r="B2" s="141" t="s">
        <v>192</v>
      </c>
      <c r="C2" s="8">
        <v>4.0328483581542969</v>
      </c>
      <c r="D2" s="9">
        <v>2.4633940309286118E-2</v>
      </c>
      <c r="E2" s="9">
        <v>1.9999999552965164E-2</v>
      </c>
      <c r="F2" s="9">
        <v>4.394383430480957</v>
      </c>
      <c r="G2" s="9">
        <v>0.75492751598358154</v>
      </c>
      <c r="H2" s="9">
        <v>4.5512639917433262E-3</v>
      </c>
      <c r="I2">
        <v>0</v>
      </c>
      <c r="J2"/>
    </row>
    <row r="3" spans="1:10" ht="15" customHeight="1" x14ac:dyDescent="0.15">
      <c r="A3" s="142">
        <v>2</v>
      </c>
      <c r="B3" s="142" t="s">
        <v>193</v>
      </c>
      <c r="C3" s="8">
        <v>5.0158843994140625</v>
      </c>
      <c r="D3" s="9">
        <v>5.114378035068512E-2</v>
      </c>
      <c r="E3" s="9">
        <v>1.9999999552965164E-2</v>
      </c>
      <c r="F3" s="9">
        <v>6.689023494720459</v>
      </c>
      <c r="G3" s="9">
        <v>0.65678387880325317</v>
      </c>
      <c r="H3" s="9">
        <v>2.9899729415774345E-3</v>
      </c>
      <c r="I3">
        <v>0</v>
      </c>
      <c r="J3"/>
    </row>
    <row r="4" spans="1:10" ht="15" customHeight="1" x14ac:dyDescent="0.15">
      <c r="A4" s="143">
        <v>3</v>
      </c>
      <c r="B4" s="143" t="s">
        <v>194</v>
      </c>
      <c r="C4" s="8">
        <v>4.8781747817993164</v>
      </c>
      <c r="D4" s="9">
        <v>5.3609197493642569E-4</v>
      </c>
      <c r="E4" s="9">
        <v>1.9999999552965164E-2</v>
      </c>
      <c r="F4" s="9">
        <v>8.8056831359863281</v>
      </c>
      <c r="G4" s="9">
        <v>0.31906747817993164</v>
      </c>
      <c r="H4" s="9">
        <v>2.271260367706418E-3</v>
      </c>
      <c r="I4">
        <v>0</v>
      </c>
      <c r="J4"/>
    </row>
    <row r="5" spans="1:10" ht="15" customHeight="1" x14ac:dyDescent="0.15">
      <c r="A5" s="144">
        <v>4</v>
      </c>
      <c r="B5" s="144" t="s">
        <v>195</v>
      </c>
      <c r="C5" s="8">
        <v>4.0035734176635742</v>
      </c>
      <c r="D5" s="9">
        <v>2.0418499480001628E-4</v>
      </c>
      <c r="E5" s="9">
        <v>7.8490525484085083E-2</v>
      </c>
      <c r="F5" s="9">
        <v>72.778556823730469</v>
      </c>
      <c r="G5" s="9">
        <v>0.25490748882293701</v>
      </c>
      <c r="H5" s="9">
        <v>1.0784842306748033E-3</v>
      </c>
      <c r="I5">
        <v>0</v>
      </c>
      <c r="J5"/>
    </row>
    <row r="6" spans="1:10" ht="15" customHeight="1" x14ac:dyDescent="0.15">
      <c r="A6" s="145">
        <v>5</v>
      </c>
      <c r="B6" s="145" t="s">
        <v>196</v>
      </c>
      <c r="C6" s="8">
        <v>4.7267422676086426</v>
      </c>
      <c r="D6" s="9">
        <v>6.6429781727492809E-3</v>
      </c>
      <c r="E6" s="9">
        <v>0.38999998569488525</v>
      </c>
      <c r="F6" s="9">
        <v>10</v>
      </c>
      <c r="G6" s="9">
        <v>0.90000003576278687</v>
      </c>
      <c r="H6" s="9">
        <v>3.8999997079372406E-2</v>
      </c>
      <c r="I6">
        <v>1.7308329697698355E-3</v>
      </c>
      <c r="J6"/>
    </row>
    <row r="7" spans="1:10" ht="15" customHeight="1" x14ac:dyDescent="0.15">
      <c r="A7" s="146">
        <v>6</v>
      </c>
      <c r="B7" s="146" t="s">
        <v>197</v>
      </c>
      <c r="C7" s="8">
        <v>4.5615143775939941</v>
      </c>
      <c r="D7" s="9">
        <v>1.5141899893933441E-5</v>
      </c>
      <c r="E7" s="9">
        <v>1.0499999523162842</v>
      </c>
      <c r="F7" s="9">
        <v>15.529999732971191</v>
      </c>
      <c r="G7" s="9">
        <v>0.76240599155426025</v>
      </c>
      <c r="H7" s="9">
        <v>6.7611075937747955E-2</v>
      </c>
      <c r="I7">
        <v>5.2996801969129592E-6</v>
      </c>
      <c r="J7"/>
    </row>
    <row r="8" spans="1:10" ht="15" customHeight="1" x14ac:dyDescent="0.15">
      <c r="A8" s="147">
        <v>7</v>
      </c>
      <c r="B8" s="147" t="s">
        <v>198</v>
      </c>
      <c r="C8" s="8">
        <v>4.3102884292602539</v>
      </c>
      <c r="D8" s="9">
        <v>2.0295958966016769E-3</v>
      </c>
      <c r="E8" s="9">
        <v>0.5</v>
      </c>
      <c r="F8" s="9">
        <v>4</v>
      </c>
      <c r="G8" s="9">
        <v>0.97708231210708618</v>
      </c>
      <c r="H8" s="9">
        <v>0.125</v>
      </c>
      <c r="I8">
        <v>7.3065399192273617E-4</v>
      </c>
      <c r="J8"/>
    </row>
    <row r="9" spans="1:10" ht="15" customHeight="1" x14ac:dyDescent="0.15">
      <c r="A9" s="148">
        <v>8</v>
      </c>
      <c r="B9" s="148" t="s">
        <v>199</v>
      </c>
      <c r="C9" s="8">
        <v>4.2843871116638184</v>
      </c>
      <c r="D9" s="9">
        <v>4.6335399383679032E-4</v>
      </c>
      <c r="E9" s="9">
        <v>1.3500000238418579</v>
      </c>
      <c r="F9" s="9">
        <v>19.610000610351562</v>
      </c>
      <c r="G9" s="9">
        <v>0.84286206960678101</v>
      </c>
      <c r="H9" s="9">
        <v>6.8842425942420959E-2</v>
      </c>
      <c r="I9">
        <v>1.6217399388551712E-4</v>
      </c>
      <c r="J9"/>
    </row>
    <row r="10" spans="1:10" ht="15" customHeight="1" x14ac:dyDescent="0.15">
      <c r="A10" s="149">
        <v>9</v>
      </c>
      <c r="B10" s="149" t="s">
        <v>200</v>
      </c>
      <c r="C10" s="8">
        <v>4.5910153388977051</v>
      </c>
      <c r="D10" s="9">
        <v>1.7764800475106313E-7</v>
      </c>
      <c r="E10" s="9">
        <v>0.80000001192092896</v>
      </c>
      <c r="F10" s="9">
        <v>9.6000003814697266</v>
      </c>
      <c r="G10" s="9">
        <v>0.6249992847442627</v>
      </c>
      <c r="H10" s="9">
        <v>8.3333328366279602E-2</v>
      </c>
      <c r="I10">
        <v>8.8823902899548557E-8</v>
      </c>
      <c r="J10"/>
    </row>
    <row r="11" spans="1:10" ht="15" customHeight="1" x14ac:dyDescent="0.15">
      <c r="A11" s="150">
        <v>10</v>
      </c>
      <c r="B11" s="150" t="s">
        <v>201</v>
      </c>
      <c r="C11" s="8">
        <v>4.3949217796325684</v>
      </c>
      <c r="D11" s="9">
        <v>2.6943676173686981E-2</v>
      </c>
      <c r="E11" s="9">
        <v>0.75</v>
      </c>
      <c r="F11" s="9">
        <v>17.159999847412109</v>
      </c>
      <c r="G11" s="9">
        <v>0.55723506212234497</v>
      </c>
      <c r="H11" s="9">
        <v>4.3706294149160385E-2</v>
      </c>
      <c r="I11">
        <v>9.4302874058485031E-3</v>
      </c>
      <c r="J11"/>
    </row>
    <row r="12" spans="1:10" ht="15" customHeight="1" x14ac:dyDescent="0.15">
      <c r="A12" s="151">
        <v>11</v>
      </c>
      <c r="B12" s="151" t="s">
        <v>202</v>
      </c>
      <c r="C12" s="8">
        <v>4.867609977722168</v>
      </c>
      <c r="D12" s="9">
        <v>5.9135498304385692E-5</v>
      </c>
      <c r="E12" s="9">
        <v>0.69999998807907104</v>
      </c>
      <c r="F12" s="9">
        <v>4</v>
      </c>
      <c r="G12" s="9">
        <v>0.73033243417739868</v>
      </c>
      <c r="H12" s="9">
        <v>0.17499999701976776</v>
      </c>
      <c r="I12">
        <v>2.956770003947895E-5</v>
      </c>
      <c r="J12"/>
    </row>
    <row r="13" spans="1:10" ht="15" customHeight="1" x14ac:dyDescent="0.15">
      <c r="A13" s="152">
        <v>12</v>
      </c>
      <c r="B13" s="152" t="s">
        <v>203</v>
      </c>
      <c r="C13" s="8">
        <v>5.0148262977600098</v>
      </c>
      <c r="D13" s="9">
        <v>5.0582100811880082E-5</v>
      </c>
      <c r="E13" s="9">
        <v>0.40393579006195068</v>
      </c>
      <c r="F13" s="9">
        <v>4.69036865234375</v>
      </c>
      <c r="G13" s="9">
        <v>0.52764010429382324</v>
      </c>
      <c r="H13" s="9">
        <v>8.6120262742042542E-2</v>
      </c>
      <c r="I13">
        <v>1.0116399607795756E-5</v>
      </c>
      <c r="J13"/>
    </row>
    <row r="14" spans="1:10" ht="15" customHeight="1" x14ac:dyDescent="0.15">
      <c r="A14" s="153">
        <v>13</v>
      </c>
      <c r="B14" s="153" t="s">
        <v>204</v>
      </c>
      <c r="C14" s="8">
        <v>4.0772128105163574</v>
      </c>
      <c r="D14" s="9">
        <v>6.4902282319962978E-3</v>
      </c>
      <c r="E14" s="9">
        <v>0.1120000034570694</v>
      </c>
      <c r="F14" s="9">
        <v>1.7999999523162842</v>
      </c>
      <c r="G14" s="9">
        <v>0.10000001639127731</v>
      </c>
      <c r="H14" s="9">
        <v>6.2222227454185486E-2</v>
      </c>
      <c r="I14">
        <v>6.2300900935952086E-6</v>
      </c>
      <c r="J14"/>
    </row>
    <row r="15" spans="1:10" ht="15" customHeight="1" x14ac:dyDescent="0.15">
      <c r="A15" s="154">
        <v>14</v>
      </c>
      <c r="B15" s="154" t="s">
        <v>205</v>
      </c>
      <c r="C15" s="8">
        <v>4.3406658172607422</v>
      </c>
      <c r="D15" s="9">
        <v>1.3777227140963078E-2</v>
      </c>
      <c r="E15" s="9">
        <v>0.68999999761581421</v>
      </c>
      <c r="F15" s="9">
        <v>8.9376926422119141</v>
      </c>
      <c r="G15" s="9">
        <v>0.90000003576278687</v>
      </c>
      <c r="H15" s="9">
        <v>7.7201135456562042E-2</v>
      </c>
      <c r="I15">
        <v>6.6106399754062295E-4</v>
      </c>
      <c r="J15"/>
    </row>
    <row r="16" spans="1:10" ht="15" customHeight="1" x14ac:dyDescent="0.15">
      <c r="A16" s="155">
        <v>15</v>
      </c>
      <c r="B16" s="155" t="s">
        <v>206</v>
      </c>
      <c r="C16" s="8">
        <v>3.916334867477417</v>
      </c>
      <c r="D16" s="9">
        <v>0.11296773701906204</v>
      </c>
      <c r="E16" s="9">
        <v>1.0800000429153442</v>
      </c>
      <c r="F16" s="9">
        <v>7.6708331108093262</v>
      </c>
      <c r="G16" s="9">
        <v>0.89999997615814209</v>
      </c>
      <c r="H16" s="9">
        <v>0.14079305529594421</v>
      </c>
      <c r="I16">
        <v>1.5909081324934959E-2</v>
      </c>
      <c r="J16"/>
    </row>
    <row r="17" spans="1:10" ht="15" customHeight="1" x14ac:dyDescent="0.15">
      <c r="A17" s="156">
        <v>16</v>
      </c>
      <c r="B17" s="156" t="s">
        <v>207</v>
      </c>
      <c r="C17" s="8">
        <v>3.1649620532989502</v>
      </c>
      <c r="D17" s="9">
        <v>0.85927635431289673</v>
      </c>
      <c r="E17" s="9">
        <v>2.0533332824707031</v>
      </c>
      <c r="F17" s="9">
        <v>12.54888916015625</v>
      </c>
      <c r="G17" s="9">
        <v>0.89999997615814209</v>
      </c>
      <c r="H17" s="9">
        <v>0.16362670063972473</v>
      </c>
      <c r="I17">
        <v>1.7234300685231574E-5</v>
      </c>
      <c r="J17"/>
    </row>
    <row r="18" spans="1:10" ht="15" customHeight="1" x14ac:dyDescent="0.15">
      <c r="A18" s="157">
        <v>17</v>
      </c>
      <c r="B18" s="157" t="s">
        <v>208</v>
      </c>
      <c r="C18" s="8">
        <v>4.3336663246154785</v>
      </c>
      <c r="D18" s="9">
        <v>6.3801752503422904E-7</v>
      </c>
      <c r="E18" s="9">
        <v>0.15000000596046448</v>
      </c>
      <c r="F18" s="9">
        <v>3.5499999523162842</v>
      </c>
      <c r="G18" s="9">
        <v>0.89999997615814209</v>
      </c>
      <c r="H18" s="9">
        <v>4.22535240650177E-2</v>
      </c>
      <c r="I18">
        <v>0</v>
      </c>
      <c r="J18"/>
    </row>
    <row r="19" spans="1:10" ht="15" customHeight="1" x14ac:dyDescent="0.15">
      <c r="A19" s="158">
        <v>18</v>
      </c>
      <c r="B19" s="158" t="s">
        <v>209</v>
      </c>
      <c r="C19" s="8">
        <v>3.2091591358184814</v>
      </c>
      <c r="D19" s="9">
        <v>1.7243694067001343</v>
      </c>
      <c r="E19" s="9">
        <v>1.9800000190734863</v>
      </c>
      <c r="F19" s="9">
        <v>18.25</v>
      </c>
      <c r="G19" s="9">
        <v>0.70573174953460693</v>
      </c>
      <c r="H19" s="9">
        <v>0.1084931492805481</v>
      </c>
      <c r="I19">
        <v>0</v>
      </c>
      <c r="J19"/>
    </row>
    <row r="20" spans="1:10" ht="15" customHeight="1" x14ac:dyDescent="0.15">
      <c r="A20" s="159">
        <v>19</v>
      </c>
      <c r="B20" s="159" t="s">
        <v>210</v>
      </c>
      <c r="C20" s="8">
        <v>3.1609382629394531</v>
      </c>
      <c r="D20" s="9">
        <v>6.288842111825943E-2</v>
      </c>
      <c r="E20" s="9">
        <v>1.0399999618530273</v>
      </c>
      <c r="F20" s="9">
        <v>3.6500000953674316</v>
      </c>
      <c r="G20" s="9">
        <v>0.89999997615814209</v>
      </c>
      <c r="H20" s="9">
        <v>0.284931480884552</v>
      </c>
      <c r="I20">
        <v>0</v>
      </c>
      <c r="J20"/>
    </row>
    <row r="21" spans="1:10" ht="15" customHeight="1" x14ac:dyDescent="0.15">
      <c r="A21" s="160">
        <v>20</v>
      </c>
      <c r="B21" s="160" t="s">
        <v>211</v>
      </c>
      <c r="C21" s="8">
        <v>3.570134162902832</v>
      </c>
      <c r="D21" s="9">
        <v>6.9548524916172028E-2</v>
      </c>
      <c r="E21" s="9">
        <v>0.18999999761581421</v>
      </c>
      <c r="F21" s="9">
        <v>0.28999999165534973</v>
      </c>
      <c r="G21" s="9">
        <v>0.89999991655349731</v>
      </c>
      <c r="H21" s="9">
        <v>0.65517240762710571</v>
      </c>
      <c r="I21">
        <v>0</v>
      </c>
      <c r="J21"/>
    </row>
    <row r="22" spans="1:10" ht="15" customHeight="1" x14ac:dyDescent="0.15">
      <c r="A22" s="161">
        <v>21</v>
      </c>
      <c r="B22" s="161" t="s">
        <v>212</v>
      </c>
      <c r="C22" s="8">
        <v>3.1477475166320801</v>
      </c>
      <c r="D22" s="9">
        <v>2.3168588057160378E-2</v>
      </c>
      <c r="E22" s="9">
        <v>0.27000001072883606</v>
      </c>
      <c r="F22" s="9">
        <v>0.49000000953674316</v>
      </c>
      <c r="G22" s="9">
        <v>0.90000003576278687</v>
      </c>
      <c r="H22" s="9">
        <v>0.55102044343948364</v>
      </c>
      <c r="I22">
        <v>6.6165300086140633E-4</v>
      </c>
      <c r="J22"/>
    </row>
    <row r="23" spans="1:10" ht="15" customHeight="1" x14ac:dyDescent="0.15">
      <c r="A23" s="162">
        <v>22</v>
      </c>
      <c r="B23" s="162" t="s">
        <v>213</v>
      </c>
      <c r="C23" s="8">
        <v>3.6693317890167236</v>
      </c>
      <c r="D23" s="9">
        <v>8.1102080643177032E-2</v>
      </c>
      <c r="E23" s="9">
        <v>0.34535714983940125</v>
      </c>
      <c r="F23" s="9">
        <v>0.62792205810546875</v>
      </c>
      <c r="G23" s="9">
        <v>0.89999991655349731</v>
      </c>
      <c r="H23" s="9">
        <v>0.55000001192092896</v>
      </c>
      <c r="I23">
        <v>1.6019999980926514E-2</v>
      </c>
      <c r="J23"/>
    </row>
    <row r="24" spans="1:10" ht="15" customHeight="1" x14ac:dyDescent="0.15">
      <c r="A24" s="163">
        <v>23</v>
      </c>
      <c r="B24" s="163" t="s">
        <v>214</v>
      </c>
      <c r="C24" s="8">
        <v>3.853487491607666</v>
      </c>
      <c r="D24" s="9">
        <v>5.3246002644300461E-2</v>
      </c>
      <c r="E24" s="9">
        <v>0.17464286088943481</v>
      </c>
      <c r="F24" s="9">
        <v>0.31753247976303101</v>
      </c>
      <c r="G24" s="9">
        <v>0.6890716552734375</v>
      </c>
      <c r="H24" s="9">
        <v>0.55000001192092896</v>
      </c>
      <c r="I24">
        <v>5.5818292312324047E-3</v>
      </c>
      <c r="J24"/>
    </row>
    <row r="25" spans="1:10" ht="15" customHeight="1" x14ac:dyDescent="0.15">
      <c r="A25" s="164">
        <v>24</v>
      </c>
      <c r="B25" s="164" t="s">
        <v>215</v>
      </c>
      <c r="C25" s="8">
        <v>3.1890676021575928</v>
      </c>
      <c r="D25" s="9">
        <v>0.12143007665872574</v>
      </c>
      <c r="E25" s="9">
        <v>0.37777778506278992</v>
      </c>
      <c r="F25" s="9">
        <v>0.68686866760253906</v>
      </c>
      <c r="G25" s="9">
        <v>0.4475453794002533</v>
      </c>
      <c r="H25" s="9">
        <v>0.55000001192092896</v>
      </c>
      <c r="I25">
        <v>0</v>
      </c>
      <c r="J25"/>
    </row>
    <row r="26" spans="1:10" ht="15" customHeight="1" x14ac:dyDescent="0.15">
      <c r="A26" s="165">
        <v>25</v>
      </c>
      <c r="B26" s="165" t="s">
        <v>216</v>
      </c>
      <c r="C26" s="8">
        <v>2.8614718914031982</v>
      </c>
      <c r="D26" s="9">
        <v>0.18963053822517395</v>
      </c>
      <c r="E26" s="9">
        <v>0.20916666090488434</v>
      </c>
      <c r="F26" s="9">
        <v>0.3803030252456665</v>
      </c>
      <c r="G26" s="9">
        <v>0.46663248538970947</v>
      </c>
      <c r="H26" s="9">
        <v>0.55000001192092896</v>
      </c>
      <c r="I26">
        <v>0</v>
      </c>
      <c r="J26"/>
    </row>
    <row r="27" spans="1:10" ht="15" customHeight="1" x14ac:dyDescent="0.15">
      <c r="A27" s="166">
        <v>26</v>
      </c>
      <c r="B27" s="166" t="s">
        <v>217</v>
      </c>
      <c r="C27" s="8">
        <v>3.8995578289031982</v>
      </c>
      <c r="D27" s="9">
        <v>0.29346516728401184</v>
      </c>
      <c r="E27" s="9">
        <v>4.5999999046325684</v>
      </c>
      <c r="F27" s="9">
        <v>36.5</v>
      </c>
      <c r="G27" s="9">
        <v>0.89999997615814209</v>
      </c>
      <c r="H27" s="9">
        <v>0.12602739036083221</v>
      </c>
      <c r="I27">
        <v>1.6251100169029087E-4</v>
      </c>
      <c r="J27"/>
    </row>
    <row r="28" spans="1:10" ht="15" customHeight="1" x14ac:dyDescent="0.15">
      <c r="A28" s="167">
        <v>27</v>
      </c>
      <c r="B28" s="167" t="s">
        <v>218</v>
      </c>
      <c r="C28" s="8">
        <v>4.4151697158813477</v>
      </c>
      <c r="D28" s="9">
        <v>8.0385521054267883E-2</v>
      </c>
      <c r="E28" s="9">
        <v>4.5999999046325684</v>
      </c>
      <c r="F28" s="9">
        <v>36.5</v>
      </c>
      <c r="G28" s="9">
        <v>0.89999997615814209</v>
      </c>
      <c r="H28" s="9">
        <v>0.12602739036083221</v>
      </c>
      <c r="I28">
        <v>0</v>
      </c>
      <c r="J28"/>
    </row>
    <row r="29" spans="1:10" ht="15" customHeight="1" x14ac:dyDescent="0.15">
      <c r="A29" s="168">
        <v>28</v>
      </c>
      <c r="B29" s="168" t="s">
        <v>219</v>
      </c>
      <c r="C29" s="8">
        <v>3.7243731021881104</v>
      </c>
      <c r="D29" s="9">
        <v>8.790518157184124E-3</v>
      </c>
      <c r="E29" s="9">
        <v>1.1499999761581421</v>
      </c>
      <c r="F29" s="9">
        <v>2.2999999523162842</v>
      </c>
      <c r="G29" s="9">
        <v>0.89999997615814209</v>
      </c>
      <c r="H29" s="9">
        <v>0.5</v>
      </c>
      <c r="I29">
        <v>0</v>
      </c>
      <c r="J29"/>
    </row>
    <row r="30" spans="1:10" ht="15" customHeight="1" x14ac:dyDescent="0.15">
      <c r="A30" s="169">
        <v>29</v>
      </c>
      <c r="B30" s="169" t="s">
        <v>220</v>
      </c>
      <c r="C30" s="8">
        <v>2.5647289752960205</v>
      </c>
      <c r="D30" s="9">
        <v>1.2339999675750732</v>
      </c>
      <c r="E30" s="9">
        <v>2.25</v>
      </c>
      <c r="F30" s="9">
        <v>22.649999618530273</v>
      </c>
      <c r="G30" s="9">
        <v>0.25912797451019287</v>
      </c>
      <c r="H30" s="9">
        <v>9.9337749183177948E-2</v>
      </c>
      <c r="I30">
        <v>0</v>
      </c>
      <c r="J30"/>
    </row>
    <row r="31" spans="1:10" ht="15" customHeight="1" x14ac:dyDescent="0.15">
      <c r="A31" s="170">
        <v>30</v>
      </c>
      <c r="B31" s="170" t="s">
        <v>221</v>
      </c>
      <c r="C31" s="8">
        <v>2.5782225131988525</v>
      </c>
      <c r="D31" s="9">
        <v>0.54500001668930054</v>
      </c>
      <c r="E31" s="9">
        <v>1</v>
      </c>
      <c r="F31" s="9">
        <v>9.8500003814697266</v>
      </c>
      <c r="G31" s="9">
        <v>0.23078860342502594</v>
      </c>
      <c r="H31" s="9">
        <v>0.10152284055948257</v>
      </c>
      <c r="I31">
        <v>0</v>
      </c>
      <c r="J31"/>
    </row>
    <row r="32" spans="1:10" ht="15" customHeight="1" x14ac:dyDescent="0.15">
      <c r="A32" s="198">
        <v>31</v>
      </c>
      <c r="B32" s="198" t="s">
        <v>222</v>
      </c>
      <c r="C32" s="8">
        <v>2.4782364368438721</v>
      </c>
      <c r="D32" s="9">
        <v>0.49300000071525574</v>
      </c>
      <c r="E32" s="9">
        <v>1.1000000238418579</v>
      </c>
      <c r="F32" s="9">
        <v>6.6999998092651367</v>
      </c>
      <c r="G32" s="9">
        <v>0.11212773621082306</v>
      </c>
      <c r="H32" s="9">
        <v>0.16417911648750305</v>
      </c>
      <c r="I32">
        <v>0</v>
      </c>
      <c r="J32"/>
    </row>
    <row r="33" spans="1:10" ht="15" customHeight="1" x14ac:dyDescent="0.15">
      <c r="A33" s="199">
        <v>32</v>
      </c>
      <c r="B33" s="199" t="s">
        <v>223</v>
      </c>
      <c r="C33" s="8">
        <v>2</v>
      </c>
      <c r="D33" s="9">
        <v>28.166999816894531</v>
      </c>
      <c r="E33" s="9">
        <v>18.450000762939453</v>
      </c>
      <c r="F33" s="9">
        <v>25</v>
      </c>
      <c r="G33" s="9">
        <v>0.64686858654022217</v>
      </c>
      <c r="H33" s="9">
        <v>0.73800003528594971</v>
      </c>
      <c r="I33">
        <v>0</v>
      </c>
      <c r="J33"/>
    </row>
    <row r="34" spans="1:10" ht="15" customHeight="1" x14ac:dyDescent="0.15">
      <c r="A34" s="200">
        <v>33</v>
      </c>
      <c r="B34" s="200" t="s">
        <v>224</v>
      </c>
      <c r="C34" s="8">
        <v>2.0606060028076172</v>
      </c>
      <c r="D34" s="9">
        <v>90</v>
      </c>
      <c r="E34" s="9">
        <v>17.299999237060547</v>
      </c>
      <c r="F34" s="9">
        <v>57.700000762939453</v>
      </c>
      <c r="G34" s="9">
        <v>0.3241637647151947</v>
      </c>
      <c r="H34" s="9">
        <v>0.29982668161392212</v>
      </c>
      <c r="I34">
        <v>0</v>
      </c>
      <c r="J34"/>
    </row>
    <row r="35" spans="1:10" ht="15" customHeight="1" x14ac:dyDescent="0.15">
      <c r="A35" s="201">
        <v>34</v>
      </c>
      <c r="B35" s="201" t="s">
        <v>225</v>
      </c>
      <c r="C35" s="8">
        <v>3.0707070827484131</v>
      </c>
      <c r="D35" s="9">
        <v>7.3773174285888672</v>
      </c>
      <c r="E35" s="9">
        <v>8.6999998092651367</v>
      </c>
      <c r="F35" s="9">
        <v>29</v>
      </c>
      <c r="G35" s="9">
        <v>0.23035505414009094</v>
      </c>
      <c r="H35" s="9">
        <v>0.29999998211860657</v>
      </c>
      <c r="I35">
        <v>0</v>
      </c>
      <c r="J35"/>
    </row>
    <row r="36" spans="1:10" ht="15" customHeight="1" x14ac:dyDescent="0.15">
      <c r="A36" s="202">
        <v>35</v>
      </c>
      <c r="B36" s="202" t="s">
        <v>226</v>
      </c>
      <c r="C36" s="8">
        <v>2.2480869293212891</v>
      </c>
      <c r="D36" s="9">
        <v>20</v>
      </c>
      <c r="E36" s="9">
        <v>17.299999237060547</v>
      </c>
      <c r="F36" s="9">
        <v>57.700000762939453</v>
      </c>
      <c r="G36" s="9">
        <v>0.12341413646936417</v>
      </c>
      <c r="H36" s="9">
        <v>0.29982668161392212</v>
      </c>
      <c r="I36">
        <v>0</v>
      </c>
      <c r="J36"/>
    </row>
    <row r="37" spans="1:10" ht="15" customHeight="1" x14ac:dyDescent="0.15">
      <c r="A37" s="203">
        <v>36</v>
      </c>
      <c r="B37" s="203" t="s">
        <v>227</v>
      </c>
      <c r="C37" s="8">
        <v>2.9997186660766602</v>
      </c>
      <c r="D37" s="9">
        <v>1.3922642469406128</v>
      </c>
      <c r="E37" s="9">
        <v>8.6999998092651367</v>
      </c>
      <c r="F37" s="9">
        <v>29</v>
      </c>
      <c r="G37" s="9">
        <v>0.13848528265953064</v>
      </c>
      <c r="H37" s="9">
        <v>0.29999998211860657</v>
      </c>
      <c r="I37">
        <v>0</v>
      </c>
      <c r="J37"/>
    </row>
    <row r="38" spans="1:10" ht="15" customHeight="1" x14ac:dyDescent="0.15">
      <c r="A38" s="204">
        <v>37</v>
      </c>
      <c r="B38" s="204" t="s">
        <v>228</v>
      </c>
      <c r="C38" s="8">
        <v>1</v>
      </c>
      <c r="D38" s="9">
        <v>13.5</v>
      </c>
      <c r="E38" s="9">
        <v>259.27444458007812</v>
      </c>
      <c r="F38" s="10"/>
      <c r="G38" s="9">
        <v>0.89769220352172852</v>
      </c>
      <c r="H38" s="10"/>
      <c r="I38">
        <v>0</v>
      </c>
      <c r="J38"/>
    </row>
    <row r="39" spans="1:10" ht="15" customHeight="1" x14ac:dyDescent="0.15">
      <c r="A39" s="205">
        <v>38</v>
      </c>
      <c r="B39" s="205" t="s">
        <v>229</v>
      </c>
      <c r="C39" s="8">
        <v>1</v>
      </c>
      <c r="D39" s="10"/>
      <c r="E39" s="10"/>
      <c r="F39" s="10"/>
      <c r="G39" s="7">
        <v>0.97389525175094604</v>
      </c>
      <c r="H39" s="10"/>
      <c r="I39">
        <v>0</v>
      </c>
      <c r="J39"/>
    </row>
    <row r="40" spans="1:10" ht="15" customHeight="1" x14ac:dyDescent="0.15">
      <c r="A40" s="206">
        <v>39</v>
      </c>
      <c r="B40" s="206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07">
        <v>40</v>
      </c>
      <c r="B41" s="207" t="s">
        <v>231</v>
      </c>
      <c r="C41" s="8">
        <v>4.950678825378418</v>
      </c>
      <c r="D41" s="10"/>
      <c r="E41" s="10"/>
      <c r="F41" s="10"/>
      <c r="G41" s="10"/>
      <c r="H41" s="10"/>
      <c r="I41">
        <v>5.1118623465299606E-2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4.9014496617019176E-3</v>
      </c>
      <c r="D2"/>
      <c r="E2"/>
      <c r="F2" s="230">
        <v>1.3750198297202587E-2</v>
      </c>
      <c r="G2"/>
      <c r="H2"/>
      <c r="I2" s="101">
        <v>1.3483515940606594E-3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6.8643223494291306E-3</v>
      </c>
      <c r="D3"/>
      <c r="E3"/>
      <c r="F3" s="231">
        <v>6.6229277290403843E-3</v>
      </c>
      <c r="G3"/>
      <c r="H3"/>
      <c r="I3" s="229">
        <v>6.5127499401569366E-3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1.3618649914860725E-2</v>
      </c>
      <c r="D4"/>
      <c r="E4"/>
      <c r="F4" s="223">
        <v>6.3813491724431515E-3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7.8490525484085083E-2</v>
      </c>
      <c r="C5">
        <v>5.8482702821493149E-2</v>
      </c>
      <c r="D5"/>
      <c r="E5"/>
      <c r="F5" s="224">
        <v>1.6754366457462311E-2</v>
      </c>
      <c r="G5"/>
      <c r="H5"/>
      <c r="I5" s="62">
        <v>3.2534576021134853E-3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0.38999998569488525</v>
      </c>
      <c r="C6">
        <v>3.8999985903501511E-2</v>
      </c>
      <c r="D6" s="208">
        <v>0.26055076718330383</v>
      </c>
      <c r="E6"/>
      <c r="F6"/>
      <c r="G6"/>
      <c r="H6"/>
      <c r="I6" s="232">
        <v>9.0041570365428925E-2</v>
      </c>
      <c r="J6"/>
      <c r="K6"/>
      <c r="L6"/>
      <c r="M6"/>
      <c r="N6"/>
      <c r="O6"/>
      <c r="P6" s="13">
        <v>4.076682380400598E-4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1.0499999523162842</v>
      </c>
      <c r="C7">
        <v>0.2494736909866333</v>
      </c>
      <c r="D7" s="209">
        <v>0.3500010073184967</v>
      </c>
      <c r="E7"/>
      <c r="F7"/>
      <c r="G7"/>
      <c r="H7"/>
      <c r="I7" s="62">
        <v>4.3892104178667068E-2</v>
      </c>
      <c r="J7"/>
      <c r="K7"/>
      <c r="L7"/>
      <c r="M7"/>
      <c r="N7"/>
      <c r="O7"/>
      <c r="P7"/>
      <c r="Q7"/>
      <c r="R7" s="225">
        <v>0.40663310885429382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</v>
      </c>
      <c r="C8">
        <v>1.1458843946456909E-2</v>
      </c>
      <c r="D8" s="210">
        <v>0.35999974608421326</v>
      </c>
      <c r="E8"/>
      <c r="F8"/>
      <c r="G8"/>
      <c r="H8"/>
      <c r="I8" s="227">
        <v>9.8192125558853149E-2</v>
      </c>
      <c r="J8"/>
      <c r="K8"/>
      <c r="L8"/>
      <c r="M8"/>
      <c r="N8"/>
      <c r="O8"/>
      <c r="P8"/>
      <c r="Q8"/>
      <c r="R8" s="140">
        <v>3.034927137196064E-2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1.3500000238418579</v>
      </c>
      <c r="C9">
        <v>0.21213620901107788</v>
      </c>
      <c r="D9" s="211">
        <v>0.35000020265579224</v>
      </c>
      <c r="E9"/>
      <c r="F9"/>
      <c r="G9"/>
      <c r="H9"/>
      <c r="I9" s="228">
        <v>0.57347184419631958</v>
      </c>
      <c r="J9" s="140">
        <v>8.1396929919719696E-2</v>
      </c>
      <c r="K9"/>
      <c r="L9"/>
      <c r="M9" s="11">
        <v>1.115333434427157E-4</v>
      </c>
      <c r="N9"/>
      <c r="O9"/>
      <c r="P9"/>
      <c r="Q9"/>
      <c r="R9" s="226">
        <v>0.13288323581218719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0.80000001192092896</v>
      </c>
      <c r="C10">
        <v>0.30000057816505432</v>
      </c>
      <c r="D10" s="212">
        <v>0.49999943375587463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0.75</v>
      </c>
      <c r="C11">
        <v>0.33207368850708008</v>
      </c>
      <c r="D11" s="213">
        <v>0.35000002384185791</v>
      </c>
      <c r="E11"/>
      <c r="F11"/>
      <c r="G11"/>
      <c r="H11"/>
      <c r="I11" s="233">
        <v>6.0052283108234406E-2</v>
      </c>
      <c r="J11"/>
      <c r="K11"/>
      <c r="L11"/>
      <c r="M11"/>
      <c r="N11"/>
      <c r="O11"/>
      <c r="P11"/>
      <c r="Q11"/>
      <c r="R11" s="14">
        <v>7.8739896416664124E-3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0.69999998807907104</v>
      </c>
      <c r="C12">
        <v>0.18876729905605316</v>
      </c>
      <c r="D12" s="214">
        <v>0.49999916553497314</v>
      </c>
      <c r="E12"/>
      <c r="F12"/>
      <c r="G12"/>
      <c r="H12"/>
      <c r="I12" s="15">
        <v>1.1233541183173656E-2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0.40393579006195068</v>
      </c>
      <c r="C13">
        <v>0.19080306589603424</v>
      </c>
      <c r="D13" s="215">
        <v>0.19999960064888</v>
      </c>
      <c r="E13"/>
      <c r="F13"/>
      <c r="G13"/>
      <c r="H13"/>
      <c r="I13" s="222">
        <v>1.3133125379681587E-2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0.1120000034570694</v>
      </c>
      <c r="C14">
        <v>0.10080000013113022</v>
      </c>
      <c r="D14" s="21">
        <v>9.599184850230813E-4</v>
      </c>
      <c r="E14"/>
      <c r="F14"/>
      <c r="G14"/>
      <c r="H14"/>
      <c r="I14" s="64">
        <v>1.0240083560347557E-2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0.68999999761581421</v>
      </c>
      <c r="C15">
        <v>6.8999975919723511E-2</v>
      </c>
      <c r="D15" s="216">
        <v>4.7982368618249893E-2</v>
      </c>
      <c r="E15"/>
      <c r="F15"/>
      <c r="G15"/>
      <c r="H15"/>
      <c r="I15" s="240">
        <v>0.47809910774230957</v>
      </c>
      <c r="J15"/>
      <c r="K15"/>
      <c r="L15"/>
      <c r="M15"/>
      <c r="N15"/>
      <c r="O15"/>
      <c r="P15" s="21">
        <v>5.5362628772854805E-3</v>
      </c>
      <c r="Q15"/>
      <c r="R15" s="133">
        <v>8.9382238686084747E-2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1.0800000429153442</v>
      </c>
      <c r="C16">
        <v>0.10800003260374069</v>
      </c>
      <c r="D16" s="217">
        <v>0.14082853496074677</v>
      </c>
      <c r="E16"/>
      <c r="F16"/>
      <c r="G16"/>
      <c r="H16"/>
      <c r="I16" s="26">
        <v>3.9128884673118591E-2</v>
      </c>
      <c r="J16" s="11">
        <v>3.3386162249371409E-4</v>
      </c>
      <c r="K16" s="22">
        <v>5.5943024344742298E-3</v>
      </c>
      <c r="L16"/>
      <c r="M16" s="11">
        <v>1.5249020179908257E-6</v>
      </c>
      <c r="N16" s="246">
        <v>0.61391866207122803</v>
      </c>
      <c r="O16" s="11">
        <v>4.5692489948123693E-4</v>
      </c>
      <c r="P16" s="11">
        <v>7.2546460432931781E-4</v>
      </c>
      <c r="Q16"/>
      <c r="R16" s="244">
        <v>0.17101188004016876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2.0533332824707031</v>
      </c>
      <c r="C17">
        <v>0.20533338189125061</v>
      </c>
      <c r="D17" s="11">
        <v>2.0056761059095152E-5</v>
      </c>
      <c r="E17" s="21">
        <v>1.7961986362934113E-2</v>
      </c>
      <c r="F17" s="22">
        <v>1.2727592140436172E-2</v>
      </c>
      <c r="G17" s="11">
        <v>2.1455563910421915E-5</v>
      </c>
      <c r="H17" s="13">
        <v>3.3581617753952742E-3</v>
      </c>
      <c r="I17" s="22">
        <v>1.0575152933597565E-2</v>
      </c>
      <c r="J17"/>
      <c r="K17" s="13">
        <v>5.827627144753933E-3</v>
      </c>
      <c r="L17"/>
      <c r="M17" s="11">
        <v>2.8066716595276375E-7</v>
      </c>
      <c r="N17" s="16">
        <v>2.6903644204139709E-2</v>
      </c>
      <c r="O17"/>
      <c r="P17" s="11">
        <v>1.550671186123509E-5</v>
      </c>
      <c r="Q17" s="11">
        <v>1.0347032221034169E-3</v>
      </c>
      <c r="R17" s="24">
        <v>6.3799068331718445E-2</v>
      </c>
      <c r="S17" s="134">
        <v>0.24718604981899261</v>
      </c>
      <c r="T17"/>
      <c r="U17"/>
      <c r="V17"/>
      <c r="W17"/>
      <c r="X17"/>
      <c r="Y17"/>
      <c r="Z17"/>
      <c r="AA17"/>
      <c r="AB17"/>
      <c r="AC17"/>
      <c r="AD17" s="251">
        <v>0.88967418670654297</v>
      </c>
      <c r="AE17" s="250">
        <v>0.56889456510543823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0.15000000596046448</v>
      </c>
      <c r="C18">
        <v>1.5000004321336746E-2</v>
      </c>
      <c r="D18"/>
      <c r="E18"/>
      <c r="F18"/>
      <c r="G18"/>
      <c r="H18"/>
      <c r="I18"/>
      <c r="J18"/>
      <c r="K18"/>
      <c r="L18"/>
      <c r="M18" s="221">
        <v>0.13500000536441803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1.9800000190734863</v>
      </c>
      <c r="C19">
        <v>0.58265113830566406</v>
      </c>
      <c r="D19"/>
      <c r="E19" s="13">
        <v>2.5201833341270685E-3</v>
      </c>
      <c r="F19" s="12">
        <v>7.8604165464639664E-3</v>
      </c>
      <c r="G19" s="11">
        <v>1.8249370623379946E-4</v>
      </c>
      <c r="H19"/>
      <c r="I19"/>
      <c r="J19" s="11">
        <v>4.3744214053731412E-5</v>
      </c>
      <c r="K19" s="11">
        <v>3.9233587449416518E-4</v>
      </c>
      <c r="L19" s="13">
        <v>3.1987193506211042E-3</v>
      </c>
      <c r="M19" s="11">
        <v>1.9980026877419732E-7</v>
      </c>
      <c r="N19" s="62">
        <v>8.0285929143428802E-2</v>
      </c>
      <c r="O19"/>
      <c r="P19"/>
      <c r="Q19" s="11">
        <v>5.1560642896220088E-4</v>
      </c>
      <c r="R19"/>
      <c r="S19" s="12">
        <v>9.2266164720058441E-3</v>
      </c>
      <c r="T19"/>
      <c r="U19" s="11">
        <v>7.136910653571249E-7</v>
      </c>
      <c r="V19" s="14">
        <v>1.8250031396746635E-2</v>
      </c>
      <c r="W19"/>
      <c r="X19" s="11">
        <v>5.8482604799792171E-4</v>
      </c>
      <c r="Y19"/>
      <c r="Z19" s="11">
        <v>1.5214935410767794E-3</v>
      </c>
      <c r="AA19" s="11">
        <v>6.8462820490822196E-4</v>
      </c>
      <c r="AB19"/>
      <c r="AC19"/>
      <c r="AD19" s="253">
        <v>0.93177288770675659</v>
      </c>
      <c r="AE19" s="102">
        <v>0.34030804038047791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1.0399999618530273</v>
      </c>
      <c r="C20">
        <v>0.104000024497509</v>
      </c>
      <c r="D20"/>
      <c r="E20"/>
      <c r="F20"/>
      <c r="G20"/>
      <c r="H20"/>
      <c r="I20"/>
      <c r="J20"/>
      <c r="K20"/>
      <c r="L20"/>
      <c r="M20"/>
      <c r="N20" s="245">
        <v>0.83988314867019653</v>
      </c>
      <c r="O20"/>
      <c r="P20"/>
      <c r="Q20"/>
      <c r="R20"/>
      <c r="S20"/>
      <c r="T20"/>
      <c r="U20" s="11">
        <v>1.0110649100170122E-6</v>
      </c>
      <c r="V20"/>
      <c r="W20" s="26">
        <v>3.6499820649623871E-2</v>
      </c>
      <c r="X20" s="23">
        <v>2.9529478400945663E-2</v>
      </c>
      <c r="Y20" s="139">
        <v>3.0086489394307137E-2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0.18999999761581421</v>
      </c>
      <c r="C21">
        <v>1.9000016152858734E-2</v>
      </c>
      <c r="D21"/>
      <c r="E21"/>
      <c r="F21"/>
      <c r="G21"/>
      <c r="H21"/>
      <c r="I21"/>
      <c r="J21"/>
      <c r="K21"/>
      <c r="L21"/>
      <c r="M21"/>
      <c r="N21" s="241">
        <v>0.1437937319278717</v>
      </c>
      <c r="O21"/>
      <c r="P21"/>
      <c r="Q21"/>
      <c r="R21"/>
      <c r="S21"/>
      <c r="T21"/>
      <c r="U21" s="11">
        <v>9.1424328729772242E-7</v>
      </c>
      <c r="V21"/>
      <c r="W21"/>
      <c r="X21"/>
      <c r="Y21" s="234">
        <v>2.7205348014831543E-2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0.27000001072883606</v>
      </c>
      <c r="C22">
        <v>2.699999138712883E-2</v>
      </c>
      <c r="D22" s="218">
        <v>2.8558192774653435E-2</v>
      </c>
      <c r="E22"/>
      <c r="F22"/>
      <c r="G22"/>
      <c r="H22"/>
      <c r="I22" s="239">
        <v>0.21443907916545868</v>
      </c>
      <c r="J22"/>
      <c r="K22"/>
      <c r="L22"/>
      <c r="M22"/>
      <c r="N22"/>
      <c r="O22"/>
      <c r="P22"/>
      <c r="Q22"/>
      <c r="R22"/>
      <c r="S22"/>
      <c r="T22"/>
      <c r="U22" s="11">
        <v>2.7444173156254692E-6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0.34535714983940125</v>
      </c>
      <c r="C23">
        <v>3.4535743296146393E-2</v>
      </c>
      <c r="D23" s="219">
        <v>0.19752883911132812</v>
      </c>
      <c r="E23"/>
      <c r="F23"/>
      <c r="G23" s="12">
        <v>1.5411139465868473E-3</v>
      </c>
      <c r="H23"/>
      <c r="I23"/>
      <c r="J23"/>
      <c r="K23" s="16">
        <v>4.7226357273757458E-3</v>
      </c>
      <c r="L23"/>
      <c r="M23"/>
      <c r="N23" s="20">
        <v>6.7643276415765285E-3</v>
      </c>
      <c r="O23" s="11">
        <v>3.0734710162505507E-4</v>
      </c>
      <c r="P23"/>
      <c r="Q23"/>
      <c r="R23"/>
      <c r="S23"/>
      <c r="T23"/>
      <c r="U23"/>
      <c r="V23"/>
      <c r="W23"/>
      <c r="X23" s="11">
        <v>1.2434410746209323E-4</v>
      </c>
      <c r="Y23" s="11">
        <v>6.9989509938750416E-5</v>
      </c>
      <c r="Z23" s="236">
        <v>2.8192343190312386E-2</v>
      </c>
      <c r="AA23" s="237">
        <v>4.664115235209465E-2</v>
      </c>
      <c r="AB23"/>
      <c r="AC23"/>
      <c r="AD23"/>
      <c r="AE23"/>
      <c r="AF23" s="235">
        <v>2.4929312989115715E-2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0.17464286088943481</v>
      </c>
      <c r="C24">
        <v>5.4301414638757706E-2</v>
      </c>
      <c r="D24" s="220">
        <v>0.10483095049858093</v>
      </c>
      <c r="E24"/>
      <c r="F24" s="18">
        <v>3.2124563585966825E-3</v>
      </c>
      <c r="G24" s="16">
        <v>2.3473601322621107E-3</v>
      </c>
      <c r="H24"/>
      <c r="I24" s="26">
        <v>6.2380395829677582E-3</v>
      </c>
      <c r="J24"/>
      <c r="K24"/>
      <c r="L24"/>
      <c r="M24"/>
      <c r="N24" s="13">
        <v>3.0909391352906823E-4</v>
      </c>
      <c r="O24" s="22">
        <v>1.0942652588710189E-3</v>
      </c>
      <c r="P24" s="11">
        <v>5.086074088467285E-5</v>
      </c>
      <c r="Q24"/>
      <c r="R24"/>
      <c r="S24"/>
      <c r="T24"/>
      <c r="U24"/>
      <c r="V24"/>
      <c r="W24"/>
      <c r="X24"/>
      <c r="Y24"/>
      <c r="Z24"/>
      <c r="AA24" s="16">
        <v>2.2584178950637579E-3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0.37777778506278992</v>
      </c>
      <c r="C25">
        <v>0.20870508253574371</v>
      </c>
      <c r="D25"/>
      <c r="E25"/>
      <c r="F25" s="242">
        <v>0.1513933390378952</v>
      </c>
      <c r="G25" s="13">
        <v>1.0292964288964868E-3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9">
        <v>1.6650069504976273E-2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0.20916666090488434</v>
      </c>
      <c r="C26">
        <v>0.11156269907951355</v>
      </c>
      <c r="D26"/>
      <c r="E26"/>
      <c r="F26" s="243">
        <v>9.6944853663444519E-2</v>
      </c>
      <c r="G26" s="12">
        <v>6.5911089768633246E-4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4.5999999046325684</v>
      </c>
      <c r="C27">
        <v>0.46000009775161743</v>
      </c>
      <c r="D27" s="11">
        <v>5.5376591626554728E-4</v>
      </c>
      <c r="E27" s="13">
        <v>9.9180303514003754E-3</v>
      </c>
      <c r="F27" s="72">
        <v>0.29706078767776489</v>
      </c>
      <c r="G27" s="13">
        <v>5.5344603024423122E-3</v>
      </c>
      <c r="H27" s="13">
        <v>1.337757520377636E-2</v>
      </c>
      <c r="I27" s="25">
        <v>0.1179291307926178</v>
      </c>
      <c r="J27" s="11">
        <v>1.1423831165302545E-4</v>
      </c>
      <c r="K27" s="11">
        <v>2.5310891214758158E-3</v>
      </c>
      <c r="L27" s="13">
        <v>4.8425975255668163E-3</v>
      </c>
      <c r="M27" s="11">
        <v>2.0545085135381669E-6</v>
      </c>
      <c r="N27" s="65">
        <v>0.2340625524520874</v>
      </c>
      <c r="O27" s="11">
        <v>3.4665947896428406E-4</v>
      </c>
      <c r="P27" s="11">
        <v>2.0540585683193058E-4</v>
      </c>
      <c r="Q27" s="11">
        <v>3.3616635482758284E-3</v>
      </c>
      <c r="R27" s="14">
        <v>4.40247543156147E-2</v>
      </c>
      <c r="S27" s="62">
        <v>0.19110807776451111</v>
      </c>
      <c r="T27"/>
      <c r="U27" s="11">
        <v>1.5848643215576885E-6</v>
      </c>
      <c r="V27"/>
      <c r="W27" s="13">
        <v>7.821766659617424E-3</v>
      </c>
      <c r="X27" s="11">
        <v>1.4744355576112866E-4</v>
      </c>
      <c r="Y27" s="11">
        <v>3.868462226819247E-4</v>
      </c>
      <c r="Z27" s="11">
        <v>1.8734571058303118E-3</v>
      </c>
      <c r="AA27" s="11">
        <v>4.47833351790905E-3</v>
      </c>
      <c r="AB27"/>
      <c r="AC27"/>
      <c r="AD27" s="70">
        <v>0.36499971151351929</v>
      </c>
      <c r="AE27" s="252">
        <v>2.835317850112915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4.5999999046325684</v>
      </c>
      <c r="C28">
        <v>0.46000009775161743</v>
      </c>
      <c r="D28"/>
      <c r="E28"/>
      <c r="F28" s="248">
        <v>2.2952127456665039</v>
      </c>
      <c r="G28" s="12">
        <v>2.0439252257347107E-2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247">
        <v>1.824347972869873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1.1499999761581421</v>
      </c>
      <c r="C29">
        <v>0.11500002443790436</v>
      </c>
      <c r="D29"/>
      <c r="E29"/>
      <c r="F29" s="238">
        <v>0.47264298796653748</v>
      </c>
      <c r="G29" s="24">
        <v>3.5287559032440186E-2</v>
      </c>
      <c r="H29"/>
      <c r="I29"/>
      <c r="J29"/>
      <c r="K29"/>
      <c r="L29"/>
      <c r="M29"/>
      <c r="N29" s="135">
        <v>0.52435010671615601</v>
      </c>
      <c r="O29"/>
      <c r="P29"/>
      <c r="Q29"/>
      <c r="R29"/>
      <c r="S29"/>
      <c r="T29"/>
      <c r="U29"/>
      <c r="V29"/>
      <c r="W29"/>
      <c r="X29"/>
      <c r="Y29"/>
      <c r="Z29" s="11">
        <v>9.8515047284308821E-5</v>
      </c>
      <c r="AA29" s="13">
        <v>2.6208343915641308E-3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2.25</v>
      </c>
      <c r="C30">
        <v>1.6669620275497437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1">
        <v>9.0898960479535162E-5</v>
      </c>
      <c r="AA30" s="11">
        <v>1.8394730432191864E-5</v>
      </c>
      <c r="AB30"/>
      <c r="AC30" s="11">
        <v>1.6144118853844702E-4</v>
      </c>
      <c r="AD30"/>
      <c r="AE30"/>
      <c r="AF30" s="13">
        <v>4.9152816645801067E-3</v>
      </c>
      <c r="AG30" s="136">
        <v>0.22650064527988434</v>
      </c>
      <c r="AH30" s="249">
        <v>0.21751421689987183</v>
      </c>
      <c r="AI30" s="63">
        <v>0.13383711874485016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</v>
      </c>
      <c r="C31">
        <v>0.76921141147613525</v>
      </c>
      <c r="D31"/>
      <c r="E31"/>
      <c r="F31" s="21">
        <v>7.6234433799982071E-3</v>
      </c>
      <c r="G31" s="11">
        <v>5.6916684843599796E-4</v>
      </c>
      <c r="H31"/>
      <c r="I31" s="11">
        <v>3.6026741145178676E-4</v>
      </c>
      <c r="J31"/>
      <c r="K31"/>
      <c r="L31"/>
      <c r="M31"/>
      <c r="N31"/>
      <c r="O31"/>
      <c r="P31"/>
      <c r="Q31" s="13">
        <v>1.3576117344200611E-3</v>
      </c>
      <c r="R31" s="11">
        <v>3.2292003743350506E-4</v>
      </c>
      <c r="S31" s="62">
        <v>4.1372153908014297E-2</v>
      </c>
      <c r="T31"/>
      <c r="U31"/>
      <c r="V31"/>
      <c r="W31" s="24">
        <v>3.1645294278860092E-2</v>
      </c>
      <c r="X31" s="12">
        <v>3.4074534196406603E-3</v>
      </c>
      <c r="Y31"/>
      <c r="Z31" s="61">
        <v>2.1298270672559738E-2</v>
      </c>
      <c r="AA31" s="12">
        <v>4.8829587176442146E-3</v>
      </c>
      <c r="AB31" s="136">
        <v>0.10020353645086288</v>
      </c>
      <c r="AC31" s="22">
        <v>6.6162450239062309E-3</v>
      </c>
      <c r="AD31"/>
      <c r="AE31"/>
      <c r="AF31" s="17">
        <v>1.1129279620945454E-2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1.1000000238418579</v>
      </c>
      <c r="C32">
        <v>0.97665953636169434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16">
        <v>1.5556628815829754E-2</v>
      </c>
      <c r="AA32" s="22">
        <v>7.0120668970048428E-3</v>
      </c>
      <c r="AB32" s="16">
        <v>1.5557443723082542E-2</v>
      </c>
      <c r="AC32" s="67">
        <v>7.701227068901062E-2</v>
      </c>
      <c r="AD32"/>
      <c r="AE32"/>
      <c r="AF32" s="21">
        <v>8.2021057605743408E-3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18.450000762939453</v>
      </c>
      <c r="C33">
        <v>6.5152750015258789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139">
        <v>0.5448533296585083</v>
      </c>
      <c r="AH33" s="12">
        <v>7.6234608888626099E-2</v>
      </c>
      <c r="AI33" s="13">
        <v>4.6907372772693634E-2</v>
      </c>
      <c r="AJ33"/>
      <c r="AK33" s="256">
        <v>9.2182340621948242</v>
      </c>
      <c r="AL33"/>
      <c r="AM33" s="255">
        <v>2.0484964847564697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17.299999237060547</v>
      </c>
      <c r="C34">
        <v>11.69196605682373</v>
      </c>
      <c r="D34"/>
      <c r="E34" s="11">
        <v>9.4238304882310331E-5</v>
      </c>
      <c r="F34"/>
      <c r="G34"/>
      <c r="H34" s="11">
        <v>1.9686362065840513E-5</v>
      </c>
      <c r="I34"/>
      <c r="J34" s="9">
        <v>5.3214233020071333E-9</v>
      </c>
      <c r="K34"/>
      <c r="L34"/>
      <c r="M34"/>
      <c r="N34"/>
      <c r="O34"/>
      <c r="P34"/>
      <c r="Q34" s="11">
        <v>3.3831662449301803E-7</v>
      </c>
      <c r="R34" s="11">
        <v>9.7773054221761413E-6</v>
      </c>
      <c r="S34" s="11">
        <v>6.1982811894267797E-4</v>
      </c>
      <c r="T34" s="22">
        <v>9.3786850571632385E-2</v>
      </c>
      <c r="U34"/>
      <c r="V34" s="15">
        <v>0.2716967761516571</v>
      </c>
      <c r="W34"/>
      <c r="X34"/>
      <c r="Y34"/>
      <c r="Z34"/>
      <c r="AA34"/>
      <c r="AB34"/>
      <c r="AC34"/>
      <c r="AD34" s="13">
        <v>2.2690391167998314E-2</v>
      </c>
      <c r="AE34"/>
      <c r="AF34"/>
      <c r="AG34"/>
      <c r="AH34"/>
      <c r="AI34"/>
      <c r="AJ34"/>
      <c r="AK34" s="222">
        <v>0.57700002193450928</v>
      </c>
      <c r="AL34" s="237">
        <v>2.3533642292022705</v>
      </c>
      <c r="AM34" s="133">
        <v>2.2438888549804688</v>
      </c>
      <c r="AN34" s="13">
        <v>4.4861845672130585E-2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8.6999998092651367</v>
      </c>
      <c r="C35">
        <v>6.6959109306335449</v>
      </c>
      <c r="D35"/>
      <c r="E35" s="13">
        <v>1.044809352606535E-2</v>
      </c>
      <c r="F35"/>
      <c r="G35"/>
      <c r="H35" s="11">
        <v>6.7189859692007303E-4</v>
      </c>
      <c r="I35" s="11">
        <v>2.2156814520712942E-4</v>
      </c>
      <c r="J35" s="11">
        <v>6.81649498801562E-6</v>
      </c>
      <c r="K35" s="11">
        <v>9.1704336227849126E-5</v>
      </c>
      <c r="L35" s="11">
        <v>2.9136126977391541E-4</v>
      </c>
      <c r="M35" s="11">
        <v>2.8020709308407277E-8</v>
      </c>
      <c r="N35" s="13">
        <v>1.2578303925693035E-2</v>
      </c>
      <c r="O35"/>
      <c r="P35"/>
      <c r="Q35" s="11">
        <v>1.0681484127417207E-3</v>
      </c>
      <c r="R35" s="11">
        <v>4.5339195057749748E-3</v>
      </c>
      <c r="S35" s="22">
        <v>5.9455376118421555E-2</v>
      </c>
      <c r="T35" s="23">
        <v>0.23627263307571411</v>
      </c>
      <c r="U35" s="11">
        <v>4.6167979661504432E-8</v>
      </c>
      <c r="V35" s="63">
        <v>0.51345783472061157</v>
      </c>
      <c r="W35"/>
      <c r="X35"/>
      <c r="Y35"/>
      <c r="Z35"/>
      <c r="AA35"/>
      <c r="AB35"/>
      <c r="AC35"/>
      <c r="AD35" s="254">
        <v>0.76237362623214722</v>
      </c>
      <c r="AE35" s="16">
        <v>0.11261752247810364</v>
      </c>
      <c r="AF35"/>
      <c r="AG35"/>
      <c r="AH35"/>
      <c r="AI35"/>
      <c r="AJ35"/>
      <c r="AK35"/>
      <c r="AL35" s="222">
        <v>0.28999999165534973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17.299999237060547</v>
      </c>
      <c r="C36">
        <v>15.164935111999512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21">
        <v>0.13549184799194336</v>
      </c>
      <c r="W36" s="11">
        <v>1.0702552972361445E-3</v>
      </c>
      <c r="X36" s="11">
        <v>1.9276648527011275E-4</v>
      </c>
      <c r="Y36" s="11">
        <v>2.5543326955812518E-6</v>
      </c>
      <c r="Z36" s="11">
        <v>4.5591994421556592E-4</v>
      </c>
      <c r="AA36" s="11">
        <v>8.3017905126325786E-5</v>
      </c>
      <c r="AB36" s="11">
        <v>6.6100401454605162E-5</v>
      </c>
      <c r="AC36"/>
      <c r="AD36" s="11">
        <v>7.5538097880780697E-3</v>
      </c>
      <c r="AE36"/>
      <c r="AF36"/>
      <c r="AG36"/>
      <c r="AH36"/>
      <c r="AI36"/>
      <c r="AJ36"/>
      <c r="AK36"/>
      <c r="AL36"/>
      <c r="AM36" s="222">
        <v>0.57700002193450928</v>
      </c>
      <c r="AN36" s="236">
        <v>1.4131481647491455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8.6999998092651367</v>
      </c>
      <c r="C37">
        <v>7.4951777458190918</v>
      </c>
      <c r="D37"/>
      <c r="E37"/>
      <c r="F37"/>
      <c r="G37"/>
      <c r="H37"/>
      <c r="I37"/>
      <c r="J37"/>
      <c r="K37"/>
      <c r="L37"/>
      <c r="M37"/>
      <c r="N37" s="11">
        <v>1.4098753454163671E-3</v>
      </c>
      <c r="O37"/>
      <c r="P37"/>
      <c r="Q37"/>
      <c r="R37"/>
      <c r="S37"/>
      <c r="T37"/>
      <c r="U37" s="11">
        <v>2.7181606299109262E-8</v>
      </c>
      <c r="V37" s="222">
        <v>0.2951987087726593</v>
      </c>
      <c r="W37" s="21">
        <v>7.2171211242675781E-2</v>
      </c>
      <c r="X37" s="11">
        <v>6.2972074374556541E-3</v>
      </c>
      <c r="Y37" s="11">
        <v>1.3182604452595115E-3</v>
      </c>
      <c r="Z37" s="13">
        <v>1.0884386487305164E-2</v>
      </c>
      <c r="AA37" s="11">
        <v>1.0767002822831273E-3</v>
      </c>
      <c r="AB37"/>
      <c r="AC37"/>
      <c r="AD37" s="26">
        <v>0.29856616258621216</v>
      </c>
      <c r="AE37" s="12">
        <v>3.5110980272293091E-2</v>
      </c>
      <c r="AF37"/>
      <c r="AG37"/>
      <c r="AH37" s="61">
        <v>0.1927884966135025</v>
      </c>
      <c r="AI37"/>
      <c r="AJ37"/>
      <c r="AK37"/>
      <c r="AL37"/>
      <c r="AM37"/>
      <c r="AN37" s="222">
        <v>0.28999999165534973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259.27444458007812</v>
      </c>
      <c r="C38">
        <v>26.525796890258789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">
        <v>1.9797787899733521E-5</v>
      </c>
      <c r="R38"/>
      <c r="S38" s="11">
        <v>2.4231465067714453E-3</v>
      </c>
      <c r="T38" s="11">
        <v>2.2860856726765633E-2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257">
        <v>232.72334289550781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0.97389525175094604</v>
      </c>
      <c r="D39"/>
      <c r="E39"/>
      <c r="F39"/>
      <c r="G39"/>
      <c r="H39" s="9">
        <v>1.3202661648392677E-3</v>
      </c>
      <c r="I39" s="9">
        <v>1.4796061441302299E-3</v>
      </c>
      <c r="J39"/>
      <c r="K39"/>
      <c r="L39"/>
      <c r="M39"/>
      <c r="N39"/>
      <c r="O39"/>
      <c r="P39"/>
      <c r="Q39"/>
      <c r="R39"/>
      <c r="S39" s="9">
        <v>3.2495845109224319E-2</v>
      </c>
      <c r="T39" s="9">
        <v>0.29046732187271118</v>
      </c>
      <c r="U39"/>
      <c r="V39" s="9">
        <v>7.678629457950592E-2</v>
      </c>
      <c r="W39" s="9">
        <v>8.5818715393543243E-2</v>
      </c>
      <c r="X39" s="9">
        <v>2.7704304084181786E-3</v>
      </c>
      <c r="Y39" s="9">
        <v>5.5627692490816116E-3</v>
      </c>
      <c r="Z39" s="9">
        <v>1.8035670509561896E-3</v>
      </c>
      <c r="AA39" s="9">
        <v>1.1862938990816474E-3</v>
      </c>
      <c r="AB39" s="9">
        <v>1.9803754985332489E-2</v>
      </c>
      <c r="AC39" s="9">
        <v>3.0344950035214424E-2</v>
      </c>
      <c r="AD39"/>
      <c r="AE39"/>
      <c r="AF39"/>
      <c r="AG39" s="9">
        <v>12.323713302612305</v>
      </c>
      <c r="AH39" s="9">
        <v>2.6841251850128174</v>
      </c>
      <c r="AI39" s="9">
        <v>1.8167049884796143</v>
      </c>
      <c r="AJ39" s="9">
        <v>704.17498779296875</v>
      </c>
      <c r="AK39" s="9">
        <v>1739.655029296875</v>
      </c>
      <c r="AL39"/>
      <c r="AM39" s="9">
        <v>882.80999755859375</v>
      </c>
      <c r="AN39" s="9">
        <v>7.6713757514953613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90" t="s">
        <v>192</v>
      </c>
      <c r="E5">
        <v>4</v>
      </c>
      <c r="F5">
        <v>3.13</v>
      </c>
      <c r="G5">
        <v>4</v>
      </c>
      <c r="H5" s="191" t="s">
        <v>192</v>
      </c>
      <c r="J5" s="54"/>
      <c r="K5" s="55"/>
    </row>
    <row r="6" spans="1:12" ht="14" thickBot="1" x14ac:dyDescent="0.2">
      <c r="A6" s="38" t="s">
        <v>121</v>
      </c>
      <c r="D6" s="190" t="s">
        <v>193</v>
      </c>
      <c r="E6">
        <v>5</v>
      </c>
      <c r="F6">
        <v>3.13</v>
      </c>
      <c r="G6">
        <v>5</v>
      </c>
      <c r="H6" s="191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90" t="s">
        <v>194</v>
      </c>
      <c r="E7">
        <v>6</v>
      </c>
      <c r="F7">
        <v>3.13</v>
      </c>
      <c r="G7">
        <v>6</v>
      </c>
      <c r="H7" s="191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90" t="s">
        <v>195</v>
      </c>
      <c r="E8">
        <v>7</v>
      </c>
      <c r="F8">
        <v>3.13</v>
      </c>
      <c r="G8">
        <v>7</v>
      </c>
      <c r="H8" s="191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90" t="s">
        <v>196</v>
      </c>
      <c r="E9">
        <v>8</v>
      </c>
      <c r="F9">
        <v>3.12</v>
      </c>
      <c r="G9">
        <v>8</v>
      </c>
      <c r="H9" s="191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90" t="s">
        <v>197</v>
      </c>
      <c r="E10">
        <v>9</v>
      </c>
      <c r="F10">
        <v>3.12</v>
      </c>
      <c r="G10">
        <v>9</v>
      </c>
      <c r="H10" s="191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90" t="s">
        <v>198</v>
      </c>
      <c r="E11">
        <v>10</v>
      </c>
      <c r="F11">
        <v>3.12</v>
      </c>
      <c r="G11">
        <v>10</v>
      </c>
      <c r="H11" s="191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90" t="s">
        <v>199</v>
      </c>
      <c r="E12">
        <v>11</v>
      </c>
      <c r="F12">
        <v>3.12</v>
      </c>
      <c r="G12">
        <v>11</v>
      </c>
      <c r="H12" s="191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90" t="s">
        <v>200</v>
      </c>
      <c r="E13">
        <v>12</v>
      </c>
      <c r="F13">
        <v>3.12</v>
      </c>
      <c r="G13">
        <v>12</v>
      </c>
      <c r="H13" s="191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90" t="s">
        <v>201</v>
      </c>
      <c r="E14">
        <v>13</v>
      </c>
      <c r="F14">
        <v>3.12</v>
      </c>
      <c r="G14">
        <v>13</v>
      </c>
      <c r="H14" s="191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90" t="s">
        <v>202</v>
      </c>
      <c r="E15">
        <v>14</v>
      </c>
      <c r="F15">
        <v>3.12</v>
      </c>
      <c r="G15">
        <v>14</v>
      </c>
      <c r="H15" s="191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90" t="s">
        <v>203</v>
      </c>
      <c r="E16">
        <v>15</v>
      </c>
      <c r="F16">
        <v>3.12</v>
      </c>
      <c r="G16">
        <v>15</v>
      </c>
      <c r="H16" s="191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90" t="s">
        <v>204</v>
      </c>
      <c r="E17">
        <v>16</v>
      </c>
      <c r="F17">
        <v>3</v>
      </c>
      <c r="G17">
        <v>16</v>
      </c>
      <c r="H17" s="191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90" t="s">
        <v>205</v>
      </c>
      <c r="E18">
        <v>17</v>
      </c>
      <c r="F18">
        <v>3.12</v>
      </c>
      <c r="G18">
        <v>17</v>
      </c>
      <c r="H18" s="191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90" t="s">
        <v>206</v>
      </c>
      <c r="E19">
        <v>18</v>
      </c>
      <c r="F19">
        <v>3.12</v>
      </c>
      <c r="G19">
        <v>18</v>
      </c>
      <c r="H19" s="191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90" t="s">
        <v>207</v>
      </c>
      <c r="E20">
        <v>19</v>
      </c>
      <c r="F20">
        <v>3.12</v>
      </c>
      <c r="G20">
        <v>19</v>
      </c>
      <c r="H20" s="191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90" t="s">
        <v>208</v>
      </c>
      <c r="E21">
        <v>20</v>
      </c>
      <c r="F21">
        <v>3.12</v>
      </c>
      <c r="G21">
        <v>20</v>
      </c>
      <c r="H21" s="191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90" t="s">
        <v>209</v>
      </c>
      <c r="E22">
        <v>21</v>
      </c>
      <c r="F22">
        <v>3.12</v>
      </c>
      <c r="G22">
        <v>21</v>
      </c>
      <c r="H22" s="191" t="s">
        <v>209</v>
      </c>
    </row>
    <row r="23" spans="1:12" x14ac:dyDescent="0.15">
      <c r="A23" s="33" t="s">
        <v>129</v>
      </c>
      <c r="B23" s="41">
        <v>4</v>
      </c>
      <c r="C23" s="35"/>
      <c r="D23" s="190" t="s">
        <v>210</v>
      </c>
      <c r="E23">
        <v>22</v>
      </c>
      <c r="F23">
        <v>3.12</v>
      </c>
      <c r="G23">
        <v>22</v>
      </c>
      <c r="H23" s="191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90" t="s">
        <v>211</v>
      </c>
      <c r="E24">
        <v>23</v>
      </c>
      <c r="F24">
        <v>3.12</v>
      </c>
      <c r="G24">
        <v>23</v>
      </c>
      <c r="H24" s="191" t="s">
        <v>211</v>
      </c>
    </row>
    <row r="25" spans="1:12" x14ac:dyDescent="0.15">
      <c r="A25" s="33" t="s">
        <v>70</v>
      </c>
      <c r="B25" s="41">
        <v>4.2</v>
      </c>
      <c r="C25" s="35"/>
      <c r="D25" s="190" t="s">
        <v>212</v>
      </c>
      <c r="E25">
        <v>24</v>
      </c>
      <c r="F25">
        <v>3.12</v>
      </c>
      <c r="G25">
        <v>24</v>
      </c>
      <c r="H25" s="191" t="s">
        <v>212</v>
      </c>
    </row>
    <row r="26" spans="1:12" x14ac:dyDescent="0.15">
      <c r="A26" s="33" t="s">
        <v>123</v>
      </c>
      <c r="B26" s="41">
        <v>4.3</v>
      </c>
      <c r="C26" s="35"/>
      <c r="D26" s="190" t="s">
        <v>213</v>
      </c>
      <c r="E26">
        <v>25</v>
      </c>
      <c r="F26">
        <v>3.2</v>
      </c>
      <c r="G26">
        <v>25</v>
      </c>
      <c r="H26" s="191" t="s">
        <v>213</v>
      </c>
    </row>
    <row r="27" spans="1:12" x14ac:dyDescent="0.15">
      <c r="A27" s="33" t="s">
        <v>125</v>
      </c>
      <c r="B27" s="41">
        <v>6.1</v>
      </c>
      <c r="D27" s="190" t="s">
        <v>214</v>
      </c>
      <c r="E27">
        <v>26</v>
      </c>
      <c r="F27">
        <v>3.2</v>
      </c>
      <c r="G27">
        <v>26</v>
      </c>
      <c r="H27" s="191" t="s">
        <v>214</v>
      </c>
    </row>
    <row r="28" spans="1:12" x14ac:dyDescent="0.15">
      <c r="A28" s="33" t="s">
        <v>124</v>
      </c>
      <c r="B28" s="41">
        <v>6.2</v>
      </c>
      <c r="D28" s="190" t="s">
        <v>215</v>
      </c>
      <c r="E28">
        <v>27</v>
      </c>
      <c r="F28">
        <v>3.2</v>
      </c>
      <c r="G28">
        <v>27</v>
      </c>
      <c r="H28" s="191" t="s">
        <v>215</v>
      </c>
    </row>
    <row r="29" spans="1:12" x14ac:dyDescent="0.15">
      <c r="A29" s="33" t="s">
        <v>44</v>
      </c>
      <c r="B29" s="41">
        <v>5</v>
      </c>
      <c r="D29" s="190" t="s">
        <v>216</v>
      </c>
      <c r="E29">
        <v>28</v>
      </c>
      <c r="F29">
        <v>3.2</v>
      </c>
      <c r="G29">
        <v>28</v>
      </c>
      <c r="H29" s="191" t="s">
        <v>216</v>
      </c>
    </row>
    <row r="30" spans="1:12" x14ac:dyDescent="0.15">
      <c r="A30" s="33" t="s">
        <v>73</v>
      </c>
      <c r="B30" s="41">
        <v>7</v>
      </c>
      <c r="D30" s="190" t="s">
        <v>217</v>
      </c>
      <c r="E30">
        <v>29</v>
      </c>
      <c r="F30">
        <v>3.12</v>
      </c>
      <c r="G30">
        <v>29</v>
      </c>
      <c r="H30" s="191" t="s">
        <v>217</v>
      </c>
    </row>
    <row r="31" spans="1:12" x14ac:dyDescent="0.15">
      <c r="A31" s="33" t="s">
        <v>169</v>
      </c>
      <c r="B31" s="41">
        <v>3.14</v>
      </c>
      <c r="D31" s="190" t="s">
        <v>218</v>
      </c>
      <c r="E31">
        <v>30</v>
      </c>
      <c r="F31">
        <v>3.12</v>
      </c>
      <c r="G31">
        <v>30</v>
      </c>
      <c r="H31" s="191" t="s">
        <v>218</v>
      </c>
    </row>
    <row r="32" spans="1:12" ht="12" customHeight="1" thickBot="1" x14ac:dyDescent="0.2">
      <c r="A32" s="39" t="s">
        <v>170</v>
      </c>
      <c r="B32" s="42">
        <v>9</v>
      </c>
      <c r="D32" s="190" t="s">
        <v>219</v>
      </c>
      <c r="E32">
        <v>31</v>
      </c>
      <c r="F32">
        <v>3.21</v>
      </c>
      <c r="G32">
        <v>31</v>
      </c>
      <c r="H32" s="191" t="s">
        <v>219</v>
      </c>
    </row>
    <row r="33" spans="4:8" customFormat="1" ht="12" customHeight="1" x14ac:dyDescent="0.15">
      <c r="D33" s="190" t="s">
        <v>220</v>
      </c>
      <c r="E33">
        <v>32</v>
      </c>
      <c r="F33">
        <v>3.21</v>
      </c>
      <c r="G33">
        <v>32</v>
      </c>
      <c r="H33" s="191" t="s">
        <v>220</v>
      </c>
    </row>
    <row r="34" spans="4:8" customFormat="1" ht="12" customHeight="1" x14ac:dyDescent="0.15">
      <c r="D34" s="190" t="s">
        <v>221</v>
      </c>
      <c r="E34">
        <v>33</v>
      </c>
      <c r="F34">
        <v>3.21</v>
      </c>
      <c r="G34">
        <v>33</v>
      </c>
      <c r="H34" s="191" t="s">
        <v>221</v>
      </c>
    </row>
    <row r="35" spans="4:8" customFormat="1" x14ac:dyDescent="0.15">
      <c r="D35" s="190" t="s">
        <v>222</v>
      </c>
      <c r="E35">
        <v>34</v>
      </c>
      <c r="F35">
        <v>3.2</v>
      </c>
      <c r="G35">
        <v>34</v>
      </c>
      <c r="H35" s="191" t="s">
        <v>222</v>
      </c>
    </row>
    <row r="36" spans="4:8" customFormat="1" x14ac:dyDescent="0.15">
      <c r="D36" s="190" t="s">
        <v>223</v>
      </c>
      <c r="E36">
        <v>35</v>
      </c>
      <c r="F36">
        <v>9</v>
      </c>
      <c r="G36">
        <v>35</v>
      </c>
      <c r="H36" s="191" t="s">
        <v>223</v>
      </c>
    </row>
    <row r="37" spans="4:8" customFormat="1" ht="12" customHeight="1" x14ac:dyDescent="0.15">
      <c r="D37" s="190" t="s">
        <v>224</v>
      </c>
      <c r="E37">
        <v>36</v>
      </c>
      <c r="F37">
        <v>3.11</v>
      </c>
      <c r="G37">
        <v>36</v>
      </c>
      <c r="H37" s="191" t="s">
        <v>224</v>
      </c>
    </row>
    <row r="38" spans="4:8" customFormat="1" x14ac:dyDescent="0.15">
      <c r="D38" s="190" t="s">
        <v>225</v>
      </c>
      <c r="E38">
        <v>37</v>
      </c>
      <c r="F38">
        <v>3.11</v>
      </c>
      <c r="G38">
        <v>37</v>
      </c>
      <c r="H38" s="191" t="s">
        <v>225</v>
      </c>
    </row>
    <row r="39" spans="4:8" customFormat="1" x14ac:dyDescent="0.15">
      <c r="D39" s="190" t="s">
        <v>226</v>
      </c>
      <c r="E39">
        <v>38</v>
      </c>
      <c r="F39">
        <v>3.11</v>
      </c>
      <c r="G39">
        <v>38</v>
      </c>
      <c r="H39" s="191" t="s">
        <v>226</v>
      </c>
    </row>
    <row r="40" spans="4:8" customFormat="1" x14ac:dyDescent="0.15">
      <c r="D40" s="190" t="s">
        <v>227</v>
      </c>
      <c r="E40">
        <v>39</v>
      </c>
      <c r="F40">
        <v>3.11</v>
      </c>
      <c r="G40">
        <v>39</v>
      </c>
      <c r="H40" s="191" t="s">
        <v>227</v>
      </c>
    </row>
    <row r="41" spans="4:8" customFormat="1" x14ac:dyDescent="0.15">
      <c r="D41" s="190" t="s">
        <v>228</v>
      </c>
      <c r="E41">
        <v>40</v>
      </c>
      <c r="F41">
        <v>2</v>
      </c>
      <c r="G41">
        <v>40</v>
      </c>
      <c r="H41" s="191" t="s">
        <v>228</v>
      </c>
    </row>
    <row r="42" spans="4:8" customFormat="1" x14ac:dyDescent="0.15">
      <c r="D42" s="190" t="s">
        <v>229</v>
      </c>
      <c r="E42">
        <v>41</v>
      </c>
      <c r="F42">
        <v>4.0999999999999996</v>
      </c>
      <c r="G42">
        <v>41</v>
      </c>
      <c r="H42" s="191" t="s">
        <v>229</v>
      </c>
    </row>
    <row r="43" spans="4:8" customFormat="1" x14ac:dyDescent="0.15">
      <c r="D43" s="190" t="s">
        <v>230</v>
      </c>
      <c r="E43">
        <v>42</v>
      </c>
      <c r="F43">
        <v>4.3</v>
      </c>
      <c r="G43">
        <v>42</v>
      </c>
      <c r="H43" s="191" t="s">
        <v>230</v>
      </c>
    </row>
    <row r="44" spans="4:8" customFormat="1" x14ac:dyDescent="0.15">
      <c r="D44" s="190" t="s">
        <v>231</v>
      </c>
      <c r="E44">
        <v>43</v>
      </c>
      <c r="F44">
        <v>5</v>
      </c>
      <c r="G44">
        <v>43</v>
      </c>
      <c r="H44" s="191" t="s">
        <v>231</v>
      </c>
    </row>
    <row r="45" spans="4:8" customFormat="1" x14ac:dyDescent="0.15">
      <c r="D45" s="190" t="s">
        <v>138</v>
      </c>
      <c r="E45">
        <v>44</v>
      </c>
      <c r="F45">
        <v>6.1</v>
      </c>
      <c r="G45">
        <v>44</v>
      </c>
      <c r="H45" s="191" t="s">
        <v>138</v>
      </c>
    </row>
    <row r="46" spans="4:8" customFormat="1" x14ac:dyDescent="0.15">
      <c r="D46" s="190" t="s">
        <v>45</v>
      </c>
      <c r="E46">
        <v>45</v>
      </c>
      <c r="F46">
        <v>6.2</v>
      </c>
      <c r="G46">
        <v>45</v>
      </c>
      <c r="H46" s="191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4.83203125" style="77" customWidth="1"/>
    <col min="3" max="3" width="13.1640625" style="77" customWidth="1"/>
    <col min="4" max="4" width="39.6640625" style="77" customWidth="1"/>
    <col min="5" max="5" width="8.16406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8" customWidth="1"/>
    <col min="17" max="17" width="2.33203125" style="77" customWidth="1"/>
    <col min="18" max="18" width="2.33203125" style="69" customWidth="1"/>
    <col min="19" max="16384" width="11.5" style="77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9" t="s">
        <v>48</v>
      </c>
      <c r="L1" s="69"/>
      <c r="M1" s="79" t="s">
        <v>119</v>
      </c>
      <c r="N1" s="69"/>
      <c r="O1" s="79" t="s">
        <v>49</v>
      </c>
      <c r="P1" s="71"/>
      <c r="Q1" s="79" t="s">
        <v>50</v>
      </c>
      <c r="R1" s="66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4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4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92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8">
        <v>0</v>
      </c>
      <c r="Q6" s="77">
        <v>0</v>
      </c>
      <c r="R6" s="69">
        <v>1</v>
      </c>
      <c r="S6"/>
      <c r="T6"/>
    </row>
    <row r="7" spans="1:23" ht="15" customHeight="1" thickBot="1" x14ac:dyDescent="0.2">
      <c r="F7" s="192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8">
        <v>0</v>
      </c>
      <c r="Q7" s="77">
        <v>0</v>
      </c>
      <c r="R7" s="69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93" t="s">
        <v>228</v>
      </c>
      <c r="D8" s="81" t="s">
        <v>160</v>
      </c>
      <c r="F8" s="192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8">
        <v>0</v>
      </c>
      <c r="Q8" s="77">
        <v>0</v>
      </c>
      <c r="R8" s="69">
        <v>1</v>
      </c>
      <c r="S8"/>
      <c r="T8"/>
      <c r="W8"/>
    </row>
    <row r="9" spans="1:23" ht="15" customHeight="1" x14ac:dyDescent="0.15">
      <c r="A9" s="118" t="s">
        <v>168</v>
      </c>
      <c r="B9" s="88"/>
      <c r="C9" s="76"/>
      <c r="D9" s="81" t="s">
        <v>160</v>
      </c>
      <c r="F9" s="192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8">
        <v>0</v>
      </c>
      <c r="Q9" s="77">
        <v>0</v>
      </c>
      <c r="R9" s="69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92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8">
        <v>0</v>
      </c>
      <c r="Q10" s="77">
        <v>0</v>
      </c>
      <c r="R10" s="69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92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8">
        <v>0</v>
      </c>
      <c r="Q11" s="77">
        <v>0</v>
      </c>
      <c r="R11" s="69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92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8">
        <v>0</v>
      </c>
      <c r="Q12" s="77">
        <v>0</v>
      </c>
      <c r="R12" s="69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92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8">
        <v>0</v>
      </c>
      <c r="Q13" s="77">
        <v>0</v>
      </c>
      <c r="R13" s="69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92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8">
        <v>0</v>
      </c>
      <c r="Q14" s="77">
        <v>0</v>
      </c>
      <c r="R14" s="69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92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8">
        <v>0</v>
      </c>
      <c r="Q15" s="77">
        <v>0</v>
      </c>
      <c r="R15" s="69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92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8">
        <v>0</v>
      </c>
      <c r="Q16" s="77">
        <v>0</v>
      </c>
      <c r="R16" s="69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92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8">
        <v>0</v>
      </c>
      <c r="Q17" s="77">
        <v>0</v>
      </c>
      <c r="R17" s="69">
        <v>1</v>
      </c>
      <c r="S17"/>
      <c r="T17"/>
    </row>
    <row r="18" spans="1:20" ht="15" customHeight="1" thickBot="1" x14ac:dyDescent="0.2">
      <c r="B18" s="89"/>
      <c r="F18" s="192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8">
        <v>0</v>
      </c>
      <c r="Q18" s="77">
        <v>0</v>
      </c>
      <c r="R18" s="69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94" t="s">
        <v>228</v>
      </c>
      <c r="D19" s="81" t="s">
        <v>160</v>
      </c>
      <c r="F19" s="192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8">
        <v>0</v>
      </c>
      <c r="Q19" s="77">
        <v>0</v>
      </c>
      <c r="R19" s="69">
        <v>1</v>
      </c>
      <c r="S19"/>
      <c r="T19"/>
    </row>
    <row r="20" spans="1:20" ht="15" customHeight="1" x14ac:dyDescent="0.15">
      <c r="A20" s="118" t="s">
        <v>168</v>
      </c>
      <c r="B20" s="88"/>
      <c r="C20" s="76"/>
      <c r="D20" s="81" t="s">
        <v>160</v>
      </c>
      <c r="F20" s="192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8">
        <v>0</v>
      </c>
      <c r="Q20" s="77">
        <v>0</v>
      </c>
      <c r="R20" s="69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92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8">
        <v>0</v>
      </c>
      <c r="Q21" s="77">
        <v>0</v>
      </c>
      <c r="R21" s="69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92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8">
        <v>0</v>
      </c>
      <c r="Q22" s="77">
        <v>0</v>
      </c>
      <c r="R22" s="69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92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8">
        <v>0</v>
      </c>
      <c r="Q23" s="77">
        <v>0</v>
      </c>
      <c r="R23" s="69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92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8">
        <v>0</v>
      </c>
      <c r="Q24" s="77">
        <v>0</v>
      </c>
      <c r="R24" s="69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92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8">
        <v>0</v>
      </c>
      <c r="Q25" s="77">
        <v>0</v>
      </c>
      <c r="R25" s="69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92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8">
        <v>0</v>
      </c>
      <c r="Q26" s="77">
        <v>0</v>
      </c>
      <c r="R26" s="69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92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8">
        <v>0</v>
      </c>
      <c r="Q27" s="77">
        <v>0</v>
      </c>
      <c r="R27" s="69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92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8">
        <v>0</v>
      </c>
      <c r="Q28" s="77">
        <v>0</v>
      </c>
      <c r="R28" s="69">
        <v>1</v>
      </c>
      <c r="S28"/>
      <c r="T28"/>
    </row>
    <row r="29" spans="1:20" ht="15" customHeight="1" x14ac:dyDescent="0.15">
      <c r="F29" s="192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1</v>
      </c>
      <c r="L29" s="77">
        <v>0</v>
      </c>
      <c r="M29" s="77">
        <v>1</v>
      </c>
      <c r="N29" s="77">
        <v>0</v>
      </c>
      <c r="O29" s="77">
        <v>1</v>
      </c>
      <c r="P29" s="68">
        <v>0</v>
      </c>
      <c r="Q29" s="77">
        <v>0</v>
      </c>
      <c r="R29" s="69">
        <v>1</v>
      </c>
      <c r="S29"/>
      <c r="T29"/>
    </row>
    <row r="30" spans="1:20" ht="15" customHeight="1" x14ac:dyDescent="0.15">
      <c r="F30" s="192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1</v>
      </c>
      <c r="L30" s="77">
        <v>0</v>
      </c>
      <c r="M30" s="77">
        <v>1</v>
      </c>
      <c r="N30" s="77">
        <v>0</v>
      </c>
      <c r="O30" s="77">
        <v>1</v>
      </c>
      <c r="P30" s="68">
        <v>0</v>
      </c>
      <c r="Q30" s="77">
        <v>0</v>
      </c>
      <c r="R30" s="69">
        <v>1</v>
      </c>
      <c r="S30"/>
      <c r="T30"/>
    </row>
    <row r="31" spans="1:20" ht="15" customHeight="1" x14ac:dyDescent="0.15">
      <c r="A31" s="119"/>
      <c r="B31" s="130" t="s">
        <v>17</v>
      </c>
      <c r="C31" s="130" t="s">
        <v>1</v>
      </c>
      <c r="D31" s="130" t="s">
        <v>161</v>
      </c>
      <c r="E31" s="131" t="s">
        <v>163</v>
      </c>
      <c r="F31" s="192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1</v>
      </c>
      <c r="L31" s="77">
        <v>0</v>
      </c>
      <c r="M31" s="77">
        <v>1</v>
      </c>
      <c r="N31" s="77">
        <v>0</v>
      </c>
      <c r="O31" s="77">
        <v>1</v>
      </c>
      <c r="P31" s="68">
        <v>0</v>
      </c>
      <c r="Q31" s="77">
        <v>0</v>
      </c>
      <c r="R31" s="69">
        <v>1</v>
      </c>
      <c r="S31"/>
      <c r="T31"/>
    </row>
    <row r="32" spans="1:20" ht="15" customHeight="1" x14ac:dyDescent="0.15">
      <c r="A32" s="195" t="s">
        <v>228</v>
      </c>
      <c r="B32" s="89">
        <v>13.5</v>
      </c>
      <c r="C32" s="89">
        <v>259.27444500000001</v>
      </c>
      <c r="D32" s="89">
        <v>3500.2050075000002</v>
      </c>
      <c r="E32" s="121">
        <v>1</v>
      </c>
      <c r="F32" s="192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1</v>
      </c>
      <c r="L32" s="77">
        <v>0</v>
      </c>
      <c r="M32" s="77">
        <v>1</v>
      </c>
      <c r="N32" s="77">
        <v>0</v>
      </c>
      <c r="O32" s="77">
        <v>1</v>
      </c>
      <c r="P32" s="68">
        <v>0</v>
      </c>
      <c r="Q32" s="77">
        <v>0</v>
      </c>
      <c r="R32" s="69">
        <v>1</v>
      </c>
      <c r="S32"/>
      <c r="T32"/>
    </row>
    <row r="33" spans="1:20" ht="15" customHeight="1" x14ac:dyDescent="0.15">
      <c r="A33" s="120"/>
      <c r="B33" s="89"/>
      <c r="C33" s="89"/>
      <c r="D33" s="89"/>
      <c r="E33" s="121"/>
      <c r="F33" s="192" t="s">
        <v>219</v>
      </c>
      <c r="G33" s="77">
        <v>0</v>
      </c>
      <c r="H33" s="77">
        <v>0</v>
      </c>
      <c r="I33" s="77">
        <v>0</v>
      </c>
      <c r="J33" s="77">
        <v>0</v>
      </c>
      <c r="K33" s="77">
        <v>1</v>
      </c>
      <c r="L33" s="77">
        <v>0</v>
      </c>
      <c r="M33" s="77">
        <v>1</v>
      </c>
      <c r="N33" s="77">
        <v>0</v>
      </c>
      <c r="O33" s="77">
        <v>1</v>
      </c>
      <c r="P33" s="68">
        <v>0</v>
      </c>
      <c r="Q33" s="77">
        <v>0</v>
      </c>
      <c r="R33" s="69">
        <v>1</v>
      </c>
      <c r="S33"/>
      <c r="T33"/>
    </row>
    <row r="34" spans="1:20" ht="15" customHeight="1" x14ac:dyDescent="0.15">
      <c r="A34" s="122"/>
      <c r="B34" s="89"/>
      <c r="C34" s="89"/>
      <c r="D34" s="89"/>
      <c r="E34" s="121"/>
      <c r="F34" s="192" t="s">
        <v>220</v>
      </c>
      <c r="G34" s="77">
        <v>0</v>
      </c>
      <c r="H34" s="77">
        <v>0</v>
      </c>
      <c r="I34" s="77">
        <v>0</v>
      </c>
      <c r="J34" s="77">
        <v>0</v>
      </c>
      <c r="K34" s="77">
        <v>1</v>
      </c>
      <c r="L34" s="77">
        <v>0</v>
      </c>
      <c r="M34" s="77">
        <v>1</v>
      </c>
      <c r="N34" s="77">
        <v>0</v>
      </c>
      <c r="O34" s="77">
        <v>1</v>
      </c>
      <c r="P34" s="68">
        <v>0</v>
      </c>
      <c r="Q34" s="77">
        <v>0</v>
      </c>
      <c r="R34" s="69">
        <v>1</v>
      </c>
      <c r="S34"/>
      <c r="T34"/>
    </row>
    <row r="35" spans="1:20" ht="15" customHeight="1" x14ac:dyDescent="0.15">
      <c r="A35" s="123"/>
      <c r="B35" s="89"/>
      <c r="C35" s="89"/>
      <c r="D35" s="89"/>
      <c r="E35" s="121"/>
      <c r="F35" s="192" t="s">
        <v>221</v>
      </c>
      <c r="G35" s="77">
        <v>0</v>
      </c>
      <c r="H35" s="77">
        <v>0</v>
      </c>
      <c r="I35" s="77">
        <v>0</v>
      </c>
      <c r="J35" s="77">
        <v>0</v>
      </c>
      <c r="K35" s="77">
        <v>1</v>
      </c>
      <c r="L35" s="77">
        <v>0</v>
      </c>
      <c r="M35" s="77">
        <v>1</v>
      </c>
      <c r="N35" s="77">
        <v>0</v>
      </c>
      <c r="O35" s="77">
        <v>1</v>
      </c>
      <c r="P35" s="68">
        <v>0</v>
      </c>
      <c r="Q35" s="77">
        <v>0</v>
      </c>
      <c r="R35" s="69">
        <v>1</v>
      </c>
      <c r="S35"/>
      <c r="T35"/>
    </row>
    <row r="36" spans="1:20" ht="15" customHeight="1" x14ac:dyDescent="0.15">
      <c r="A36" s="124"/>
      <c r="B36" s="89"/>
      <c r="C36" s="89"/>
      <c r="D36" s="89"/>
      <c r="E36" s="121"/>
      <c r="F36" s="192" t="s">
        <v>222</v>
      </c>
      <c r="G36" s="77">
        <v>0</v>
      </c>
      <c r="H36" s="77">
        <v>0</v>
      </c>
      <c r="I36" s="77">
        <v>0</v>
      </c>
      <c r="J36" s="77">
        <v>0</v>
      </c>
      <c r="K36" s="77">
        <v>1</v>
      </c>
      <c r="L36" s="77">
        <v>0</v>
      </c>
      <c r="M36" s="77">
        <v>1</v>
      </c>
      <c r="N36" s="77">
        <v>0</v>
      </c>
      <c r="O36" s="77">
        <v>1</v>
      </c>
      <c r="P36" s="68">
        <v>0</v>
      </c>
      <c r="Q36" s="77">
        <v>0</v>
      </c>
      <c r="R36" s="69">
        <v>1</v>
      </c>
      <c r="S36"/>
      <c r="T36"/>
    </row>
    <row r="37" spans="1:20" ht="15" customHeight="1" x14ac:dyDescent="0.15">
      <c r="A37" s="124"/>
      <c r="B37" s="89"/>
      <c r="C37" s="89"/>
      <c r="D37" s="89"/>
      <c r="E37" s="121"/>
      <c r="F37" s="192" t="s">
        <v>223</v>
      </c>
      <c r="G37" s="77">
        <v>0</v>
      </c>
      <c r="H37" s="77">
        <v>0</v>
      </c>
      <c r="I37" s="77">
        <v>0</v>
      </c>
      <c r="J37" s="77">
        <v>0</v>
      </c>
      <c r="K37" s="77">
        <v>1</v>
      </c>
      <c r="L37" s="77">
        <v>0</v>
      </c>
      <c r="M37" s="77">
        <v>1</v>
      </c>
      <c r="N37" s="77">
        <v>0</v>
      </c>
      <c r="O37" s="77">
        <v>1</v>
      </c>
      <c r="P37" s="68">
        <v>0</v>
      </c>
      <c r="Q37" s="77">
        <v>0</v>
      </c>
      <c r="R37" s="69">
        <v>1</v>
      </c>
      <c r="S37"/>
      <c r="T37"/>
    </row>
    <row r="38" spans="1:20" ht="15" customHeight="1" x14ac:dyDescent="0.15">
      <c r="A38" s="125"/>
      <c r="B38" s="89"/>
      <c r="C38" s="89"/>
      <c r="D38" s="89"/>
      <c r="E38" s="121"/>
      <c r="F38" s="192" t="s">
        <v>224</v>
      </c>
      <c r="G38" s="77">
        <v>0</v>
      </c>
      <c r="H38" s="77">
        <v>0</v>
      </c>
      <c r="I38" s="77">
        <v>0</v>
      </c>
      <c r="J38" s="77">
        <v>0</v>
      </c>
      <c r="K38" s="77">
        <v>1</v>
      </c>
      <c r="L38" s="77">
        <v>0</v>
      </c>
      <c r="M38" s="77">
        <v>1</v>
      </c>
      <c r="N38" s="77">
        <v>0</v>
      </c>
      <c r="O38" s="77">
        <v>1</v>
      </c>
      <c r="P38" s="68">
        <v>0</v>
      </c>
      <c r="Q38" s="77">
        <v>0</v>
      </c>
      <c r="R38" s="69">
        <v>1</v>
      </c>
      <c r="S38"/>
      <c r="T38"/>
    </row>
    <row r="39" spans="1:20" ht="15" customHeight="1" x14ac:dyDescent="0.15">
      <c r="A39" s="125"/>
      <c r="B39" s="89"/>
      <c r="C39" s="89"/>
      <c r="D39" s="89"/>
      <c r="E39" s="121"/>
      <c r="F39" s="192" t="s">
        <v>225</v>
      </c>
      <c r="G39" s="77">
        <v>0</v>
      </c>
      <c r="H39" s="77">
        <v>0</v>
      </c>
      <c r="I39" s="77">
        <v>0</v>
      </c>
      <c r="J39" s="77">
        <v>0</v>
      </c>
      <c r="K39" s="77">
        <v>1</v>
      </c>
      <c r="L39" s="77">
        <v>0</v>
      </c>
      <c r="M39" s="77">
        <v>1</v>
      </c>
      <c r="N39" s="77">
        <v>0</v>
      </c>
      <c r="O39" s="77">
        <v>1</v>
      </c>
      <c r="P39" s="68">
        <v>0</v>
      </c>
      <c r="Q39" s="77">
        <v>0</v>
      </c>
      <c r="R39" s="69">
        <v>1</v>
      </c>
      <c r="S39"/>
      <c r="T39"/>
    </row>
    <row r="40" spans="1:20" ht="15" customHeight="1" x14ac:dyDescent="0.15">
      <c r="A40" s="125"/>
      <c r="B40" s="89"/>
      <c r="C40" s="89"/>
      <c r="D40" s="89"/>
      <c r="E40" s="121"/>
      <c r="F40" s="192" t="s">
        <v>226</v>
      </c>
      <c r="G40" s="77">
        <v>0</v>
      </c>
      <c r="H40" s="77">
        <v>0</v>
      </c>
      <c r="I40" s="77">
        <v>0</v>
      </c>
      <c r="J40" s="77">
        <v>0</v>
      </c>
      <c r="K40" s="77">
        <v>1</v>
      </c>
      <c r="L40" s="77">
        <v>0</v>
      </c>
      <c r="M40" s="77">
        <v>1</v>
      </c>
      <c r="N40" s="77">
        <v>0</v>
      </c>
      <c r="O40" s="77">
        <v>1</v>
      </c>
      <c r="P40" s="68">
        <v>0</v>
      </c>
      <c r="Q40" s="77">
        <v>0</v>
      </c>
      <c r="R40" s="69">
        <v>1</v>
      </c>
      <c r="S40"/>
      <c r="T40"/>
    </row>
    <row r="41" spans="1:20" ht="15" customHeight="1" thickBot="1" x14ac:dyDescent="0.2">
      <c r="A41" s="125"/>
      <c r="B41" s="89"/>
      <c r="C41" s="89"/>
      <c r="D41" s="90"/>
      <c r="E41" s="126"/>
      <c r="F41" s="192" t="s">
        <v>227</v>
      </c>
      <c r="G41" s="77">
        <v>0</v>
      </c>
      <c r="H41" s="77">
        <v>0</v>
      </c>
      <c r="I41" s="77">
        <v>0</v>
      </c>
      <c r="J41" s="77">
        <v>0</v>
      </c>
      <c r="K41" s="77">
        <v>1</v>
      </c>
      <c r="L41" s="77">
        <v>0</v>
      </c>
      <c r="M41" s="77">
        <v>1</v>
      </c>
      <c r="N41" s="77">
        <v>0</v>
      </c>
      <c r="O41" s="77">
        <v>1</v>
      </c>
      <c r="P41" s="68">
        <v>0</v>
      </c>
      <c r="Q41" s="77">
        <v>0</v>
      </c>
      <c r="R41" s="69">
        <v>1</v>
      </c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3500.2050075000002</v>
      </c>
      <c r="E42" s="129">
        <f>SUM(E32:E41)</f>
        <v>1</v>
      </c>
      <c r="F42" s="192" t="s">
        <v>228</v>
      </c>
      <c r="G42" s="77">
        <v>0</v>
      </c>
      <c r="H42" s="77">
        <v>0</v>
      </c>
      <c r="I42" s="77">
        <v>0</v>
      </c>
      <c r="J42" s="77">
        <v>0</v>
      </c>
      <c r="K42" s="77">
        <v>0</v>
      </c>
      <c r="L42" s="77">
        <v>0</v>
      </c>
      <c r="M42" s="77">
        <v>1</v>
      </c>
      <c r="N42" s="77">
        <v>0</v>
      </c>
      <c r="O42" s="77">
        <v>0</v>
      </c>
      <c r="P42" s="68">
        <v>0</v>
      </c>
      <c r="Q42" s="77">
        <v>0</v>
      </c>
      <c r="R42" s="69">
        <v>1</v>
      </c>
      <c r="S42"/>
      <c r="T42"/>
    </row>
    <row r="43" spans="1:20" ht="15" customHeight="1" x14ac:dyDescent="0.15">
      <c r="A43" s="77"/>
      <c r="F43" s="192" t="s">
        <v>229</v>
      </c>
      <c r="G43" s="77">
        <v>0</v>
      </c>
      <c r="H43" s="77">
        <v>0</v>
      </c>
      <c r="I43" s="77">
        <v>0</v>
      </c>
      <c r="J43" s="77">
        <v>0</v>
      </c>
      <c r="K43" s="77">
        <v>0</v>
      </c>
      <c r="L43" s="77">
        <v>1</v>
      </c>
      <c r="M43" s="77">
        <v>0</v>
      </c>
      <c r="N43" s="77">
        <v>1</v>
      </c>
      <c r="O43" s="77">
        <v>0</v>
      </c>
      <c r="P43" s="68">
        <v>1</v>
      </c>
      <c r="Q43" s="77">
        <v>0</v>
      </c>
      <c r="R43" s="69">
        <v>1</v>
      </c>
      <c r="S43"/>
      <c r="T43"/>
    </row>
    <row r="44" spans="1:20" ht="15" customHeight="1" x14ac:dyDescent="0.15">
      <c r="A44" s="77"/>
      <c r="F44" s="192" t="s">
        <v>230</v>
      </c>
      <c r="G44" s="77">
        <v>0</v>
      </c>
      <c r="H44" s="77">
        <v>0</v>
      </c>
      <c r="I44" s="77">
        <v>0</v>
      </c>
      <c r="J44" s="77">
        <v>0</v>
      </c>
      <c r="K44" s="77">
        <v>0</v>
      </c>
      <c r="L44" s="77">
        <v>1</v>
      </c>
      <c r="M44" s="77">
        <v>0</v>
      </c>
      <c r="N44" s="77">
        <v>1</v>
      </c>
      <c r="O44" s="77">
        <v>0</v>
      </c>
      <c r="P44" s="68">
        <v>1</v>
      </c>
      <c r="Q44" s="77">
        <v>0</v>
      </c>
      <c r="R44" s="69">
        <v>1</v>
      </c>
    </row>
    <row r="45" spans="1:20" ht="15" customHeight="1" x14ac:dyDescent="0.15">
      <c r="A45" s="77"/>
      <c r="F45" s="192" t="s">
        <v>231</v>
      </c>
      <c r="G45" s="77">
        <v>0</v>
      </c>
      <c r="H45" s="77">
        <v>0</v>
      </c>
      <c r="I45" s="77">
        <v>0</v>
      </c>
      <c r="J45" s="77">
        <v>0</v>
      </c>
      <c r="K45" s="77">
        <v>0</v>
      </c>
      <c r="L45" s="77">
        <v>1</v>
      </c>
      <c r="M45" s="77">
        <v>0</v>
      </c>
      <c r="N45" s="77">
        <v>0</v>
      </c>
      <c r="O45" s="77">
        <v>0</v>
      </c>
      <c r="P45" s="68">
        <v>0</v>
      </c>
      <c r="Q45" s="77">
        <v>0</v>
      </c>
      <c r="R45" s="69">
        <v>1</v>
      </c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4" customWidth="1"/>
    <col min="3" max="5" width="7.83203125" style="104" customWidth="1"/>
    <col min="6" max="8" width="8.83203125" style="6"/>
    <col min="9" max="9" width="13.33203125" style="6" customWidth="1"/>
    <col min="10" max="10" width="14.1640625" style="6" customWidth="1"/>
    <col min="11" max="11" width="13.83203125" style="6" customWidth="1"/>
    <col min="12" max="12" width="8.5" style="6" customWidth="1"/>
    <col min="13" max="13" width="13.5" style="6" customWidth="1"/>
    <col min="14" max="14" width="8.5" style="6" customWidth="1"/>
    <col min="15" max="15" width="6.83203125" style="6" customWidth="1"/>
    <col min="16" max="17" width="8.5" style="6" customWidth="1"/>
    <col min="18" max="18" width="7" style="6" customWidth="1"/>
    <col min="19" max="19" width="9.33203125" style="6" customWidth="1"/>
    <col min="20" max="20" width="8.6640625" style="6" customWidth="1"/>
    <col min="21" max="21" width="13.1640625" style="6" customWidth="1"/>
    <col min="22" max="22" width="11.1640625" style="6" customWidth="1"/>
    <col min="23" max="23" width="11.6640625" style="6" customWidth="1"/>
    <col min="24" max="24" width="12" style="6" customWidth="1"/>
    <col min="25" max="25" width="12.5" style="6" customWidth="1"/>
    <col min="26" max="26" width="13.33203125" style="6" customWidth="1"/>
    <col min="27" max="27" width="15.1640625" style="6" customWidth="1"/>
    <col min="28" max="29" width="14.33203125" style="6" customWidth="1"/>
    <col min="30" max="30" width="14.6640625" style="6" customWidth="1"/>
    <col min="31" max="31" width="13.83203125" style="6" customWidth="1"/>
    <col min="32" max="32" width="15.33203125" style="6" customWidth="1"/>
    <col min="33" max="33" width="14.5" style="6" customWidth="1"/>
    <col min="34" max="34" width="10.5" style="6" customWidth="1"/>
    <col min="35" max="35" width="9.5" style="6" customWidth="1"/>
    <col min="36" max="37" width="11.83203125" style="6" customWidth="1"/>
    <col min="38" max="38" width="13" style="6" customWidth="1"/>
    <col min="39" max="39" width="12.5" customWidth="1"/>
    <col min="40" max="40" width="11.83203125" customWidth="1"/>
    <col min="41" max="41" width="14.1640625" customWidth="1"/>
    <col min="42" max="42" width="13.33203125" customWidth="1"/>
    <col min="43" max="43" width="14.5" customWidth="1"/>
    <col min="44" max="44" width="13.5" customWidth="1"/>
    <col min="45" max="45" width="13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7" t="s">
        <v>192</v>
      </c>
      <c r="J1" s="197" t="s">
        <v>193</v>
      </c>
      <c r="K1" s="197" t="s">
        <v>194</v>
      </c>
      <c r="L1" s="197" t="s">
        <v>195</v>
      </c>
      <c r="M1" s="197" t="s">
        <v>196</v>
      </c>
      <c r="N1" s="197" t="s">
        <v>197</v>
      </c>
      <c r="O1" s="197" t="s">
        <v>198</v>
      </c>
      <c r="P1" s="197" t="s">
        <v>199</v>
      </c>
      <c r="Q1" s="197" t="s">
        <v>200</v>
      </c>
      <c r="R1" s="197" t="s">
        <v>201</v>
      </c>
      <c r="S1" s="197" t="s">
        <v>202</v>
      </c>
      <c r="T1" s="197" t="s">
        <v>203</v>
      </c>
      <c r="U1" s="197" t="s">
        <v>204</v>
      </c>
      <c r="V1" s="197" t="s">
        <v>205</v>
      </c>
      <c r="W1" s="197" t="s">
        <v>206</v>
      </c>
      <c r="X1" s="197" t="s">
        <v>207</v>
      </c>
      <c r="Y1" s="197" t="s">
        <v>208</v>
      </c>
      <c r="Z1" s="197" t="s">
        <v>209</v>
      </c>
      <c r="AA1" s="197" t="s">
        <v>210</v>
      </c>
      <c r="AB1" s="197" t="s">
        <v>211</v>
      </c>
      <c r="AC1" s="197" t="s">
        <v>212</v>
      </c>
      <c r="AD1" s="197" t="s">
        <v>213</v>
      </c>
      <c r="AE1" s="197" t="s">
        <v>214</v>
      </c>
      <c r="AF1" s="197" t="s">
        <v>215</v>
      </c>
      <c r="AG1" s="197" t="s">
        <v>216</v>
      </c>
      <c r="AH1" s="197" t="s">
        <v>217</v>
      </c>
      <c r="AI1" s="197" t="s">
        <v>218</v>
      </c>
      <c r="AJ1" s="197" t="s">
        <v>219</v>
      </c>
      <c r="AK1" s="197" t="s">
        <v>220</v>
      </c>
      <c r="AL1" s="197" t="s">
        <v>221</v>
      </c>
      <c r="AM1" s="197" t="s">
        <v>222</v>
      </c>
      <c r="AN1" s="197" t="s">
        <v>223</v>
      </c>
      <c r="AO1" s="197" t="s">
        <v>224</v>
      </c>
      <c r="AP1" s="197" t="s">
        <v>225</v>
      </c>
      <c r="AQ1" s="197" t="s">
        <v>226</v>
      </c>
      <c r="AR1" s="197" t="s">
        <v>227</v>
      </c>
      <c r="AS1" s="197" t="s">
        <v>228</v>
      </c>
      <c r="AT1" s="197" t="s">
        <v>229</v>
      </c>
      <c r="AU1" s="197" t="s">
        <v>230</v>
      </c>
      <c r="AV1" s="197" t="s">
        <v>231</v>
      </c>
    </row>
    <row r="2" spans="1:48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196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196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196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196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196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196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196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196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196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196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196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196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6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6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6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6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6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6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6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6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6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6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6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6" t="s">
        <v>215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6" t="s">
        <v>216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6" t="s">
        <v>217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6" t="s">
        <v>218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6" t="s">
        <v>219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6" t="s">
        <v>220</v>
      </c>
      <c r="B33" s="10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6" t="s">
        <v>221</v>
      </c>
      <c r="B34" s="10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6" t="s">
        <v>222</v>
      </c>
      <c r="B35" s="10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6" t="s">
        <v>223</v>
      </c>
      <c r="B36" s="104">
        <v>0</v>
      </c>
      <c r="C36"/>
      <c r="D36"/>
    </row>
    <row r="37" spans="1:38" ht="15" customHeight="1" x14ac:dyDescent="0.15">
      <c r="A37" s="196" t="s">
        <v>224</v>
      </c>
      <c r="B37" s="104">
        <v>0</v>
      </c>
      <c r="C37"/>
      <c r="D37"/>
    </row>
    <row r="38" spans="1:38" ht="15" customHeight="1" x14ac:dyDescent="0.15">
      <c r="A38" s="196" t="s">
        <v>225</v>
      </c>
      <c r="B38" s="10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6" t="s">
        <v>226</v>
      </c>
      <c r="B39" s="104">
        <v>0</v>
      </c>
      <c r="C39"/>
      <c r="D39"/>
    </row>
    <row r="40" spans="1:38" ht="15" customHeight="1" x14ac:dyDescent="0.15">
      <c r="A40" s="196" t="s">
        <v>227</v>
      </c>
      <c r="B40" s="104">
        <v>0</v>
      </c>
      <c r="C40"/>
      <c r="D40"/>
    </row>
    <row r="41" spans="1:38" ht="15" customHeight="1" x14ac:dyDescent="0.15">
      <c r="A41" s="196" t="s">
        <v>228</v>
      </c>
      <c r="B41" s="104">
        <v>0</v>
      </c>
      <c r="C41"/>
      <c r="D41"/>
    </row>
    <row r="42" spans="1:38" ht="15" customHeight="1" x14ac:dyDescent="0.15">
      <c r="A42" s="196" t="s">
        <v>229</v>
      </c>
      <c r="B42" s="104">
        <v>0</v>
      </c>
    </row>
    <row r="43" spans="1:38" ht="15" customHeight="1" x14ac:dyDescent="0.15">
      <c r="A43" s="196" t="s">
        <v>230</v>
      </c>
      <c r="B43" s="104">
        <v>0</v>
      </c>
    </row>
    <row r="44" spans="1:38" ht="15" customHeight="1" x14ac:dyDescent="0.15">
      <c r="A44" s="196" t="s">
        <v>231</v>
      </c>
      <c r="B44" s="104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2022-10-24T04:17:06Z</dcterms:modified>
</cp:coreProperties>
</file>