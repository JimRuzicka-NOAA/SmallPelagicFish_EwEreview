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2_ECOTRAN_versions/ECOTRAN_Atlantic/Atlantic_ECOTRAN_K-path_versions/"/>
    </mc:Choice>
  </mc:AlternateContent>
  <xr:revisionPtr revIDLastSave="0" documentId="13_ncr:1_{7204F3C5-C5F4-8847-B972-A9B79AD92DA6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Main!$C$2:$N$23</definedName>
    <definedName name="matDetritus">Detritus!$C$2:$E$23</definedName>
    <definedName name="matDiet">Diets!$B$2:$T$23</definedName>
    <definedName name="matDiscards">Discards!$C$2:$C$22</definedName>
    <definedName name="matFishery">Fishing!$C$2:$C$22</definedName>
    <definedName name="matFishing">Fishing!#REF!</definedName>
    <definedName name="matMort">Mortalities!$A$1:$Y$22</definedName>
    <definedName name="matOut">MainOutputs!$A$2:$I$23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" i="1"/>
  <c r="E42" i="86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<sst xmlns="http://schemas.openxmlformats.org/spreadsheetml/2006/main" count="741" uniqueCount="220">
  <si>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</si>
  <si>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</si>
  <si>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</si>
  <si>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</si>
  <si>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</si>
  <si>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</si>
  <si>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</si>
  <si>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</si>
  <si>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</si>
  <si>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</si>
  <si>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</si>
  <si>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</si>
  <si>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</si>
  <si>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</si>
  <si>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</si>
  <si>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</si>
  <si>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</si>
  <si>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</si>
  <si>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</si>
  <si>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</si>
  <si>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</si>
  <si>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</si>
  <si>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</si>
  <si>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</si>
  <si>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</si>
  <si>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</si>
  <si>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</si>
  <si>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</si>
  <si>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</si>
  <si>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</si>
  <si>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</si>
  <si>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</si>
  <si>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</si>
  <si>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</si>
  <si>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</si>
  <si>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</si>
  <si>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</si>
  <si>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</si>
  <si>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</si>
  <si>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</si>
  <si>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</si>
  <si>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</si>
  <si>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</si>
  <si>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</si>
  <si>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</si>
  <si>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</si>
  <si>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</si>
  <si>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</si>
  <si>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</si>
  <si>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</si>
  <si>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</si>
  <si>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</si>
  <si>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</si>
  <si>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</si>
  <si>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</si>
  <si>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</si>
  <si>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</si>
  <si>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</si>
  <si>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</si>
  <si>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</si>
  <si>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</si>
  <si>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</si>
  <si>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</si>
  <si>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</si>
  <si>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</si>
  <si>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</si>
  <si>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</si>
  <si>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</si>
  <si>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</si>
  <si>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</si>
  <si>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</si>
  <si>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</si>
  <si>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</si>
  <si>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</si>
  <si>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</si>
  <si>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</si>
  <si>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</si>
  <si>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</si>
  <si>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</si>
  <si>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</si>
  <si>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</si>
  <si>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</si>
  <si>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</si>
  <si>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</si>
  <si>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</si>
  <si>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</si>
  <si>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</si>
  <si>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</si>
  <si>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</si>
  <si>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</si>
  <si>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</si>
  <si>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</si>
  <si>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</si>
  <si>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</si>
  <si>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</si>
  <si>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</si>
  <si>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</si>
  <si>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</si>
  <si>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</si>
  <si>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</si>
  <si>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</si>
  <si>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</si>
  <si>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</si>
  <si>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</si>
  <si>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</si>
  <si>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</si>
  <si>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</si>
  <si>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</si>
  <si>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</si>
  <si>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</si>
  <si>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</si>
  <si>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</si>
  <si>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</si>
  <si>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</si>
  <si>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</si>
  <si>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</si>
  <si>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</si>
  <si>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</si>
  <si>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</si>
  <si>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</si>
  <si>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</si>
  <si>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</si>
  <si>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</si>
  <si>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</si>
  <si>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</si>
  <si>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</si>
  <si>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</si>
  <si>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</si>
  <si>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</si>
  <si>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</si>
  <si>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</si>
  <si>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</si>
  <si>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</si>
  <si>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</si>
  <si>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</si>
  <si>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</si>
  <si>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</si>
  <si>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</si>
  <si>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</si>
  <si>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</si>
  <si>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</si>
  <si>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</si>
  <si>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</si>
  <si>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</si>
  <si>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</si>
  <si>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</si>
  <si>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</si>
  <si>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</si>
  <si>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</si>
  <si>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</si>
  <si>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</si>
  <si>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</si>
  <si>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</si>
  <si>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</si>
  <si>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</si>
  <si>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</si>
  <si>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</si>
  <si>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</si>
  <si>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</si>
  <si>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</si>
  <si>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</si>
  <si>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</si>
  <si>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</si>
  <si>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</si>
  <si>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</si>
  <si>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</si>
  <si>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</si>
  <si>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</si>
  <si>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</si>
  <si>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</si>
  <si>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</si>
  <si>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</si>
  <si>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</si>
  <si>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</si>
  <si>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</si>
  <si>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</si>
  <si>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</si>
  <si>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</si>
  <si>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</si>
  <si>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</si>
  <si>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</si>
  <si>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</si>
  <si>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</si>
  <si>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</si>
  <si>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</si>
  <si>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Barra Del Chuy</t>
  </si>
  <si>
    <t>Uruguay</t>
  </si>
  <si>
    <t>BOX(-53.417459735738 -33.7899848798177,-53.360863830797 -33.7431983278187)</t>
  </si>
  <si>
    <t>beach</t>
  </si>
  <si>
    <t>WetWeight</t>
  </si>
  <si>
    <t>; 06/07/2009 03:18:13 p.m.; 06/07/2009 03:26:59 p.m.; 06/07/2009 04:53:41 p.m.</t>
  </si>
  <si>
    <t>Lercari D.,Bergamino L.,Defeo O.(2010). Trophic models in sandy beaches with contrasting morphodynamics: comparing ecosystem structure and biomass flow Ecological Modelling. pp 2751-2759</t>
  </si>
  <si>
    <t>Birds</t>
  </si>
  <si>
    <t>Fishes</t>
  </si>
  <si>
    <t>Olivancillaria vesica auricularia</t>
  </si>
  <si>
    <t>Olivella formicacorsii</t>
  </si>
  <si>
    <t>Buccinanops duartei</t>
  </si>
  <si>
    <t>Carabide</t>
  </si>
  <si>
    <t>Phoxocephalopsis sp.</t>
  </si>
  <si>
    <t>Atlantorchestoidea brasiliensis</t>
  </si>
  <si>
    <t>Macrochiridiotea giambiagiae</t>
  </si>
  <si>
    <t>Euzonus furciferus</t>
  </si>
  <si>
    <t>Hemipodus olivieri</t>
  </si>
  <si>
    <t>Scolelepis gaucha</t>
  </si>
  <si>
    <t>Excirolana braziliensis</t>
  </si>
  <si>
    <t>Excirolana armata</t>
  </si>
  <si>
    <t>Mesodesma mactroides</t>
  </si>
  <si>
    <t>Emerita brasiliensis</t>
  </si>
  <si>
    <t>Donax hanleyanus</t>
  </si>
  <si>
    <t>Zooplankton</t>
  </si>
  <si>
    <t>Phytoplankton</t>
  </si>
  <si>
    <t>Detritus</t>
  </si>
  <si>
    <t>detritus_TerminalBenthic</t>
  </si>
  <si>
    <t>Import</t>
  </si>
  <si>
    <t>export</t>
  </si>
  <si>
    <t>sum</t>
  </si>
  <si>
    <t>TOTAL</t>
  </si>
  <si>
    <t>dummy fleet</t>
  </si>
  <si>
    <t>&lt;&lt;--no fleet in model; Jruz added dummy model</t>
  </si>
  <si>
    <t>F dummy fleet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</si>
</sst>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  <font>
      <sz val="10"/>
      <name val="Arial"/>
      <family val="2"/>
    </font>
  </fonts>
  <fills count="68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13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6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EFF00"/>
        <bgColor indexed="64"/>
      </patternFill>
    </fill>
    <fill>
      <patternFill patternType="solid">
        <fgColor rgb="FF10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rgb="FF24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AA5"/>
        <bgColor indexed="64"/>
      </patternFill>
    </fill>
    <fill>
      <patternFill patternType="solid">
        <fgColor rgb="FF6969B6"/>
        <bgColor indexed="64"/>
      </patternFill>
    </fill>
    <fill>
      <patternFill patternType="solid">
        <fgColor rgb="FF53A135"/>
        <bgColor indexed="64"/>
      </patternFill>
    </fill>
    <fill>
      <patternFill patternType="solid">
        <fgColor rgb="FF61FF00"/>
        <bgColor indexed="64"/>
      </patternFill>
    </fill>
    <fill>
      <patternFill patternType="solid">
        <fgColor rgb="FF19FF00"/>
        <bgColor indexed="64"/>
      </patternFill>
    </fill>
    <fill>
      <patternFill patternType="solid">
        <fgColor rgb="FFFF7200"/>
        <bgColor indexed="64"/>
      </patternFill>
    </fill>
    <fill>
      <patternFill patternType="solid">
        <fgColor rgb="FF17FF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1FF00"/>
        <bgColor indexed="64"/>
      </patternFill>
    </fill>
    <fill>
      <patternFill patternType="solid">
        <fgColor rgb="FF68FF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91FF00"/>
        <bgColor indexed="64"/>
      </patternFill>
    </fill>
    <fill>
      <patternFill patternType="solid">
        <fgColor rgb="FF8BFF00"/>
        <bgColor indexed="64"/>
      </patternFill>
    </fill>
    <fill>
      <patternFill patternType="solid">
        <fgColor rgb="FFD1FF00"/>
        <bgColor indexed="64"/>
      </patternFill>
    </fill>
    <fill>
      <patternFill patternType="solid">
        <fgColor rgb="FF2A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D8FF00"/>
        <bgColor indexed="64"/>
      </patternFill>
    </fill>
    <fill>
      <patternFill patternType="solid">
        <fgColor rgb="FF70FF00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93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20" borderId="2" xfId="0" applyFont="1" applyFill="1" applyBorder="1" applyAlignment="1">
      <alignment horizontal="center"/>
    </xf>
    <xf numFmtId="0" fontId="1" fillId="20" borderId="4" xfId="0" applyFont="1" applyFill="1" applyBorder="1" applyAlignment="1">
      <alignment horizontal="center"/>
    </xf>
    <xf numFmtId="0" fontId="1" fillId="20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0" fillId="20" borderId="8" xfId="0" applyFill="1" applyBorder="1"/>
    <xf numFmtId="0" fontId="0" fillId="20" borderId="9" xfId="0" applyFill="1" applyBorder="1"/>
    <xf numFmtId="0" fontId="0" fillId="20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6" borderId="0" xfId="0" applyFill="1"/>
    <xf numFmtId="0" fontId="0" fillId="27" borderId="0" xfId="0" applyFill="1"/>
    <xf numFmtId="0" fontId="1" fillId="0" borderId="0" xfId="0" applyFont="1" applyAlignment="1">
      <alignment horizontal="center"/>
    </xf>
    <xf numFmtId="0" fontId="0" fillId="28" borderId="0" xfId="0" applyFill="1"/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0" fillId="30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9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9" borderId="3" xfId="0" applyNumberFormat="1" applyFont="1" applyFill="1" applyBorder="1"/>
    <xf numFmtId="0" fontId="0" fillId="29" borderId="2" xfId="0" applyFont="1" applyFill="1" applyBorder="1"/>
    <xf numFmtId="0" fontId="0" fillId="29" borderId="3" xfId="0" applyFont="1" applyFill="1" applyBorder="1"/>
    <xf numFmtId="0" fontId="0" fillId="29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5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4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20" borderId="2" xfId="0" applyFill="1" applyBorder="1" applyAlignment="1">
      <alignment horizontal="center"/>
    </xf>
    <xf numFmtId="0" fontId="0" fillId="20" borderId="4" xfId="0" applyFill="1" applyBorder="1" applyAlignment="1">
      <alignment horizontal="center"/>
    </xf>
    <xf numFmtId="0" fontId="0" fillId="20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13" fillId="0" borderId="52" xfId="0" applyNumberFormat="1" applyFont="1" applyBorder="1"/>
    <xf numFmtId="49" fontId="0" fillId="0" borderId="52" xfId="0" applyNumberFormat="1" applyFont="1" applyFill="1" applyBorder="1"/>
    <xf numFmtId="0" fontId="0" fillId="0" borderId="52" xfId="0" applyFont="1" applyFill="1" applyBorder="1"/>
    <xf numFmtId="0" fontId="0" fillId="53" borderId="0" xfId="0" applyFill="1"/>
    <xf numFmtId="0" fontId="0" fillId="54" borderId="0" xfId="0" applyFill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6"/>
  <sheetViews>
    <sheetView zoomScale="125" zoomScaleNormal="125" zoomScalePageLayoutView="125" workbookViewId="0">
      <selection activeCell="B14" sqref="B14"/>
    </sheetView>
  </sheetViews>
  <sheetFormatPr baseColWidth="10" defaultColWidth="8.83203125" defaultRowHeight="13" x14ac:dyDescent="0.15"/>
  <cols>
    <col min="2" max="2" width="16" customWidth="1"/>
    <col min="3" max="3" width="163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7" t="s">
        <v>164</v>
      </c>
    </row>
    <row r="6" spans="2:4" ht="14" thickBot="1" x14ac:dyDescent="0.2">
      <c r="B6" s="41" t="s">
        <v>141</v>
      </c>
    </row>
    <row r="7" spans="2:4" x14ac:dyDescent="0.15">
      <c r="B7" s="57" t="s">
        <v>143</v>
      </c>
    </row>
    <row r="8" spans="2:4" x14ac:dyDescent="0.15">
      <c r="B8" s="57" t="s">
        <v>142</v>
      </c>
    </row>
    <row r="9" spans="2:4" x14ac:dyDescent="0.15">
      <c r="B9" s="57" t="s">
        <v>144</v>
      </c>
    </row>
    <row r="10" spans="2:4" x14ac:dyDescent="0.15">
      <c r="B10" s="57" t="s">
        <v>147</v>
      </c>
    </row>
    <row r="11" spans="2:4" x14ac:dyDescent="0.15">
      <c r="B11" s="57" t="s">
        <v>151</v>
      </c>
    </row>
    <row r="12" spans="2:4" x14ac:dyDescent="0.15">
      <c r="B12" s="57" t="s">
        <v>153</v>
      </c>
    </row>
    <row r="13" spans="2:4" x14ac:dyDescent="0.15">
      <c r="B13" s="57" t="s">
        <v>165</v>
      </c>
    </row>
    <row r="15" spans="2:4" ht="14" thickBot="1" x14ac:dyDescent="0.2"/>
    <row r="16" spans="2:4" ht="14" thickBot="1" x14ac:dyDescent="0.2">
      <c r="B16" s="42" t="s">
        <v>137</v>
      </c>
      <c r="C16" s="43"/>
      <c r="D16" s="25">
        <v>41373</v>
      </c>
    </row>
    <row r="17" spans="2:4" x14ac:dyDescent="0.15">
      <c r="B17" s="44" t="s">
        <v>58</v>
      </c>
      <c r="C17" s="28">
        <v>0</v>
      </c>
    </row>
    <row r="18" spans="2:4" x14ac:dyDescent="0.15">
      <c r="B18" s="44" t="s">
        <v>59</v>
      </c>
      <c r="C18" s="28">
        <v>1</v>
      </c>
    </row>
    <row r="19" spans="2:4" x14ac:dyDescent="0.15">
      <c r="B19" s="44" t="s">
        <v>60</v>
      </c>
      <c r="C19" s="28">
        <v>2</v>
      </c>
    </row>
    <row r="20" spans="2:4" ht="14" thickBot="1" x14ac:dyDescent="0.2">
      <c r="B20" s="45" t="s">
        <v>44</v>
      </c>
      <c r="C20" s="29">
        <v>3</v>
      </c>
    </row>
    <row r="21" spans="2:4" x14ac:dyDescent="0.15">
      <c r="B21" s="46" t="s">
        <v>140</v>
      </c>
    </row>
    <row r="22" spans="2:4" ht="14" thickBot="1" x14ac:dyDescent="0.2"/>
    <row r="23" spans="2:4" ht="14" thickBot="1" x14ac:dyDescent="0.2">
      <c r="B23" s="42" t="s">
        <v>65</v>
      </c>
      <c r="C23" s="43"/>
      <c r="D23" s="25" t="s">
        <v>148</v>
      </c>
    </row>
    <row r="24" spans="2:4" x14ac:dyDescent="0.15">
      <c r="B24" s="48" t="s">
        <v>38</v>
      </c>
      <c r="C24" s="26">
        <v>1</v>
      </c>
    </row>
    <row r="25" spans="2:4" x14ac:dyDescent="0.15">
      <c r="B25" s="44" t="s">
        <v>40</v>
      </c>
      <c r="C25" s="28">
        <v>1.1000000000000001</v>
      </c>
    </row>
    <row r="26" spans="2:4" x14ac:dyDescent="0.15">
      <c r="B26" s="44" t="s">
        <v>41</v>
      </c>
      <c r="C26" s="28">
        <v>1.2</v>
      </c>
    </row>
    <row r="27" spans="2:4" x14ac:dyDescent="0.15">
      <c r="B27" s="44"/>
      <c r="C27" s="28"/>
    </row>
    <row r="28" spans="2:4" x14ac:dyDescent="0.15">
      <c r="B28" s="44" t="s">
        <v>42</v>
      </c>
      <c r="C28" s="28">
        <v>2.1</v>
      </c>
    </row>
    <row r="29" spans="2:4" x14ac:dyDescent="0.15">
      <c r="B29" s="44" t="s">
        <v>43</v>
      </c>
      <c r="C29" s="28">
        <v>2.2000000000000002</v>
      </c>
    </row>
    <row r="30" spans="2:4" x14ac:dyDescent="0.15">
      <c r="B30" s="44" t="s">
        <v>67</v>
      </c>
      <c r="C30" s="28">
        <v>2.2999999999999998</v>
      </c>
    </row>
    <row r="31" spans="2:4" x14ac:dyDescent="0.15">
      <c r="B31" s="44"/>
      <c r="C31" s="28"/>
    </row>
    <row r="32" spans="2:4" x14ac:dyDescent="0.15">
      <c r="B32" s="44" t="s">
        <v>62</v>
      </c>
      <c r="C32" s="28">
        <v>3.11</v>
      </c>
    </row>
    <row r="33" spans="2:3" x14ac:dyDescent="0.15">
      <c r="B33" s="44" t="s">
        <v>61</v>
      </c>
      <c r="C33" s="28">
        <v>3.12</v>
      </c>
    </row>
    <row r="34" spans="2:3" x14ac:dyDescent="0.15">
      <c r="B34" s="44" t="s">
        <v>68</v>
      </c>
      <c r="C34" s="28">
        <v>3.13</v>
      </c>
    </row>
    <row r="35" spans="2:3" x14ac:dyDescent="0.15">
      <c r="B35" s="44"/>
      <c r="C35" s="28"/>
    </row>
    <row r="36" spans="2:3" x14ac:dyDescent="0.15">
      <c r="B36" s="44" t="s">
        <v>66</v>
      </c>
      <c r="C36" s="28">
        <v>3.21</v>
      </c>
    </row>
    <row r="37" spans="2:3" x14ac:dyDescent="0.15">
      <c r="B37" s="44" t="s">
        <v>63</v>
      </c>
      <c r="C37" s="28">
        <v>3.22</v>
      </c>
    </row>
    <row r="38" spans="2:3" x14ac:dyDescent="0.15">
      <c r="B38" s="44" t="s">
        <v>69</v>
      </c>
      <c r="C38" s="28">
        <v>3.23</v>
      </c>
    </row>
    <row r="39" spans="2:3" x14ac:dyDescent="0.15">
      <c r="B39" s="44"/>
      <c r="C39" s="28"/>
    </row>
    <row r="40" spans="2:3" x14ac:dyDescent="0.15">
      <c r="B40" s="44" t="s">
        <v>64</v>
      </c>
      <c r="C40" s="28">
        <v>8</v>
      </c>
    </row>
    <row r="41" spans="2:3" x14ac:dyDescent="0.15">
      <c r="B41" s="44"/>
      <c r="C41" s="28"/>
    </row>
    <row r="42" spans="2:3" x14ac:dyDescent="0.15">
      <c r="B42" s="44" t="s">
        <v>71</v>
      </c>
      <c r="C42" s="28">
        <v>4.0999999999999996</v>
      </c>
    </row>
    <row r="43" spans="2:3" x14ac:dyDescent="0.15">
      <c r="B43" s="44" t="s">
        <v>70</v>
      </c>
      <c r="C43" s="28">
        <v>4.2</v>
      </c>
    </row>
    <row r="44" spans="2:3" x14ac:dyDescent="0.15">
      <c r="B44" s="44" t="s">
        <v>72</v>
      </c>
      <c r="C44" s="28">
        <v>4.3</v>
      </c>
    </row>
    <row r="45" spans="2:3" x14ac:dyDescent="0.15">
      <c r="B45" s="27"/>
      <c r="C45" s="28"/>
    </row>
    <row r="46" spans="2:3" x14ac:dyDescent="0.15">
      <c r="B46" s="44" t="s">
        <v>138</v>
      </c>
      <c r="C46" s="28">
        <v>6.1</v>
      </c>
    </row>
    <row r="47" spans="2:3" x14ac:dyDescent="0.15">
      <c r="B47" s="44" t="s">
        <v>45</v>
      </c>
      <c r="C47" s="28">
        <v>6.2</v>
      </c>
    </row>
    <row r="48" spans="2:3" x14ac:dyDescent="0.15">
      <c r="B48" s="44"/>
      <c r="C48" s="28"/>
    </row>
    <row r="49" spans="2:3" x14ac:dyDescent="0.15">
      <c r="B49" s="44" t="s">
        <v>44</v>
      </c>
      <c r="C49" s="28">
        <v>5</v>
      </c>
    </row>
    <row r="50" spans="2:3" x14ac:dyDescent="0.15">
      <c r="B50" s="44"/>
      <c r="C50" s="28"/>
    </row>
    <row r="51" spans="2:3" ht="14" thickBot="1" x14ac:dyDescent="0.2">
      <c r="B51" s="45" t="s">
        <v>73</v>
      </c>
      <c r="C51" s="29">
        <v>7</v>
      </c>
    </row>
    <row r="53" spans="2:3" x14ac:dyDescent="0.15">
      <c r="B53" s="149" t="s">
        <v>171</v>
      </c>
      <c r="C53">
        <v>568</v>
      </c>
    </row>
    <row r="54" spans="2:3" x14ac:dyDescent="0.15">
      <c r="B54" s="149" t="s">
        <v>172</v>
      </c>
      <c r="C54" s="149" t="s">
        <v>185</v>
      </c>
    </row>
    <row r="55" spans="2:3" x14ac:dyDescent="0.15">
      <c r="B55" s="149" t="s">
        <v>173</v>
      </c>
      <c r="C55" s="149" t="s">
        <v>186</v>
      </c>
    </row>
    <row r="56" spans="2:3" x14ac:dyDescent="0.15">
      <c r="B56" s="149" t="s">
        <v>174</v>
      </c>
      <c r="C56">
        <v>7</v>
      </c>
    </row>
    <row r="57" spans="2:3" x14ac:dyDescent="0.15">
      <c r="B57" s="149" t="s">
        <v>175</v>
      </c>
      <c r="C57" s="149" t="s">
        <v>187</v>
      </c>
    </row>
    <row r="58" spans="2:3" x14ac:dyDescent="0.15">
      <c r="B58" s="149" t="s">
        <v>176</v>
      </c>
      <c r="C58" s="149" t="s">
        <v>188</v>
      </c>
    </row>
    <row r="59" spans="2:3" x14ac:dyDescent="0.15">
      <c r="B59" s="149" t="s">
        <v>177</v>
      </c>
      <c r="C59" s="149" t="s">
        <v>189</v>
      </c>
    </row>
    <row r="60" spans="2:3" x14ac:dyDescent="0.15">
      <c r="B60" s="149" t="s">
        <v>178</v>
      </c>
      <c r="C60" s="149" t="s">
        <v>190</v>
      </c>
    </row>
    <row r="61" spans="2:3" x14ac:dyDescent="0.15">
      <c r="B61" s="149" t="s">
        <v>179</v>
      </c>
      <c r="C61">
        <v>20</v>
      </c>
    </row>
    <row r="62" spans="2:3" x14ac:dyDescent="0.15">
      <c r="B62" s="149" t="s">
        <v>180</v>
      </c>
      <c r="C62">
        <v>0</v>
      </c>
    </row>
    <row r="63" spans="2:3" x14ac:dyDescent="0.15">
      <c r="B63" s="149" t="s">
        <v>181</v>
      </c>
      <c r="C63">
        <v>1992</v>
      </c>
    </row>
    <row r="64" spans="2:3" x14ac:dyDescent="0.15">
      <c r="B64" s="149" t="s">
        <v>182</v>
      </c>
      <c r="C64">
        <v>15</v>
      </c>
    </row>
    <row r="65" spans="2:3" x14ac:dyDescent="0.15">
      <c r="B65" s="149" t="s">
        <v>183</v>
      </c>
      <c r="C65" s="149" t="s">
        <v>191</v>
      </c>
    </row>
    <row r="66" spans="2:3" x14ac:dyDescent="0.15">
      <c r="B66" s="149" t="s">
        <v>184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7" sqref="Q7"/>
    </sheetView>
  </sheetViews>
  <sheetFormatPr baseColWidth="10" defaultColWidth="8.83203125" defaultRowHeight="15" customHeight="1" x14ac:dyDescent="0.15"/>
  <cols>
    <col min="1" max="1" width="22.5" style="71" customWidth="1"/>
    <col min="2" max="3" width="10.5" style="71" customWidth="1"/>
    <col min="4" max="4" width="14.33203125" style="71" customWidth="1"/>
    <col min="5" max="5" width="26.5" style="71" bestFit="1" customWidth="1"/>
    <col min="6" max="6" width="2.33203125" style="71" bestFit="1" customWidth="1"/>
    <col min="7" max="7" width="13.83203125" style="71" bestFit="1" customWidth="1"/>
    <col min="8" max="8" width="11.83203125" style="71" customWidth="1"/>
    <col min="9" max="9" width="10.83203125" style="71" customWidth="1"/>
    <col min="10" max="11" width="13.83203125" style="71" customWidth="1"/>
    <col min="12" max="12" width="2.33203125" style="71" customWidth="1"/>
    <col min="13" max="13" width="3.83203125" style="71" customWidth="1"/>
    <col min="14" max="14" width="2.33203125" style="71" customWidth="1"/>
    <col min="16" max="25" width="8.83203125" style="71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1"/>
  </cols>
  <sheetData>
    <row r="1" spans="1:46" s="88" customFormat="1" ht="15" customHeight="1" x14ac:dyDescent="0.15">
      <c r="A1" s="67" t="s">
        <v>18</v>
      </c>
      <c r="C1" s="68" t="s">
        <v>8</v>
      </c>
      <c r="D1" s="67" t="s">
        <v>23</v>
      </c>
      <c r="E1" s="67" t="s">
        <v>0</v>
      </c>
      <c r="F1" s="67" t="s">
        <v>7</v>
      </c>
      <c r="G1" s="69" t="s">
        <v>13</v>
      </c>
      <c r="H1" s="67" t="s">
        <v>1</v>
      </c>
      <c r="I1" s="67" t="s">
        <v>2</v>
      </c>
      <c r="J1" s="67" t="s">
        <v>14</v>
      </c>
      <c r="K1" s="67" t="s">
        <v>3</v>
      </c>
      <c r="L1" s="67" t="s">
        <v>4</v>
      </c>
      <c r="M1" s="67" t="s">
        <v>5</v>
      </c>
      <c r="N1" s="67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8">
        <v>1</v>
      </c>
      <c r="D2"/>
      <c r="E2" s="150" t="s">
        <v>192</v>
      </c>
      <c r="F2" s="71">
        <v>0</v>
      </c>
      <c r="G2" s="71">
        <v>3.7989139999999998E-2</v>
      </c>
      <c r="H2" s="71">
        <v>0.20667955299999999</v>
      </c>
      <c r="I2" s="6">
        <v>97.503364599999998</v>
      </c>
      <c r="J2" s="6">
        <v>0</v>
      </c>
      <c r="K2" s="6">
        <v>2.1197171899999998E-3</v>
      </c>
      <c r="L2" s="6">
        <v>0</v>
      </c>
      <c r="M2" s="71">
        <v>0.2</v>
      </c>
      <c r="N2" s="71">
        <v>0</v>
      </c>
    </row>
    <row r="3" spans="1:46" ht="15" customHeight="1" x14ac:dyDescent="0.15">
      <c r="A3" s="1" t="s">
        <v>9</v>
      </c>
      <c r="B3" s="4">
        <v>19</v>
      </c>
      <c r="C3" s="71">
        <v>2</v>
      </c>
      <c r="D3"/>
      <c r="E3" s="150" t="s">
        <v>193</v>
      </c>
      <c r="F3" s="71">
        <v>0</v>
      </c>
      <c r="G3" s="71">
        <v>1.2209599</v>
      </c>
      <c r="H3" s="71">
        <v>1.1306427699999999</v>
      </c>
      <c r="I3" s="71">
        <v>5.05837059</v>
      </c>
      <c r="J3" s="71">
        <v>0.271857142</v>
      </c>
      <c r="K3" s="71">
        <v>0.22351916099999999</v>
      </c>
      <c r="L3" s="71">
        <v>0</v>
      </c>
      <c r="M3" s="71">
        <v>0.2</v>
      </c>
      <c r="N3" s="71">
        <v>0</v>
      </c>
    </row>
    <row r="4" spans="1:46" ht="15" customHeight="1" x14ac:dyDescent="0.15">
      <c r="A4" s="1" t="s">
        <v>10</v>
      </c>
      <c r="B4" s="4">
        <v>2</v>
      </c>
      <c r="C4" s="71">
        <v>3</v>
      </c>
      <c r="D4"/>
      <c r="E4" s="150" t="s">
        <v>194</v>
      </c>
      <c r="F4" s="71">
        <v>0</v>
      </c>
      <c r="G4" s="71">
        <v>5.0756135000000002</v>
      </c>
      <c r="H4" s="71">
        <v>0.54428940000000003</v>
      </c>
      <c r="I4" s="71">
        <v>1.2743420599999999</v>
      </c>
      <c r="J4" s="71">
        <v>6.7923353099999997E-3</v>
      </c>
      <c r="K4" s="71">
        <v>0.42711406899999999</v>
      </c>
      <c r="L4" s="71">
        <v>0</v>
      </c>
      <c r="M4" s="71">
        <v>0.2</v>
      </c>
      <c r="N4" s="71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71">
        <v>4</v>
      </c>
      <c r="D5"/>
      <c r="E5" s="150" t="s">
        <v>195</v>
      </c>
      <c r="F5" s="71">
        <v>0</v>
      </c>
      <c r="G5" s="71">
        <v>0.20463727400000001</v>
      </c>
      <c r="H5" s="71">
        <v>1.8968832499999999</v>
      </c>
      <c r="I5" s="71">
        <v>9.5671560000000007</v>
      </c>
      <c r="J5" s="71">
        <v>4.8340620000000001E-2</v>
      </c>
      <c r="K5" s="71">
        <v>0.19827033599999999</v>
      </c>
      <c r="L5" s="71">
        <v>0</v>
      </c>
      <c r="M5" s="71">
        <v>0.2</v>
      </c>
      <c r="N5" s="71">
        <v>0</v>
      </c>
      <c r="P5" s="63"/>
      <c r="Q5" s="63"/>
      <c r="R5" s="63"/>
    </row>
    <row r="6" spans="1:46" ht="15" customHeight="1" thickBot="1" x14ac:dyDescent="0.2">
      <c r="B6" s="1"/>
      <c r="C6" s="71">
        <v>5</v>
      </c>
      <c r="D6"/>
      <c r="E6" s="150" t="s">
        <v>196</v>
      </c>
      <c r="F6" s="71">
        <v>0</v>
      </c>
      <c r="G6" s="71">
        <v>0.83528279999999999</v>
      </c>
      <c r="H6" s="71">
        <v>0.81219629999999998</v>
      </c>
      <c r="I6" s="71">
        <v>2.66849566</v>
      </c>
      <c r="J6" s="71">
        <v>2.7659414300000001E-2</v>
      </c>
      <c r="K6" s="71">
        <v>0.30436486000000001</v>
      </c>
      <c r="L6" s="71">
        <v>0</v>
      </c>
      <c r="M6" s="71">
        <v>0.2</v>
      </c>
      <c r="N6" s="71">
        <v>0</v>
      </c>
      <c r="P6" s="63"/>
      <c r="Q6" s="63"/>
      <c r="R6" s="63"/>
      <c r="W6" s="31" t="s">
        <v>31</v>
      </c>
      <c r="X6" s="47">
        <f>MAX(MainOutputs!G:G)</f>
        <v>0.80748957395553589</v>
      </c>
    </row>
    <row r="7" spans="1:46" ht="15" customHeight="1" x14ac:dyDescent="0.15">
      <c r="A7" s="2" t="s">
        <v>27</v>
      </c>
      <c r="B7" s="71">
        <f ca="1">COUNTIF(OFFSET(cornerDiets,1,1,NumLiving+NumDead+1,NumLiving+NumDead),"&gt;0")+NumLiving+NumDead+1</f>
        <v>86</v>
      </c>
      <c r="C7" s="71">
        <v>6</v>
      </c>
      <c r="D7"/>
      <c r="E7" s="150" t="s">
        <v>197</v>
      </c>
      <c r="F7" s="71">
        <v>0</v>
      </c>
      <c r="G7" s="71">
        <v>6.7069595699999996E-3</v>
      </c>
      <c r="H7" s="71">
        <v>9.5890389999999996</v>
      </c>
      <c r="I7" s="71">
        <v>225.00739999999999</v>
      </c>
      <c r="J7" s="71">
        <v>5.8353482700000004E-3</v>
      </c>
      <c r="K7" s="71">
        <v>4.2616550000000003E-2</v>
      </c>
      <c r="L7" s="71">
        <v>0</v>
      </c>
      <c r="M7" s="71">
        <v>0.2</v>
      </c>
      <c r="N7" s="71">
        <v>0</v>
      </c>
      <c r="P7" s="63"/>
      <c r="Q7" s="63"/>
      <c r="R7" s="63"/>
    </row>
    <row r="8" spans="1:46" ht="15" customHeight="1" x14ac:dyDescent="0.15">
      <c r="A8" s="2" t="s">
        <v>28</v>
      </c>
      <c r="B8" s="71">
        <f ca="1">COUNTIF(OFFSET(cornerFishing,1,2,NumLiving+NumDead,NumGears),"&gt;0")+NumDead*COUNTIF(OFFSET(cornerDiscards,1,2,NumLiving+NumDead,NumGears),"&gt;0")+NumLiving+NumDead+1</f>
        <v>22</v>
      </c>
      <c r="C8" s="71">
        <v>7</v>
      </c>
      <c r="D8"/>
      <c r="E8" s="150" t="s">
        <v>198</v>
      </c>
      <c r="F8" s="71">
        <v>0</v>
      </c>
      <c r="G8" s="71">
        <v>3.3635108299999998E-3</v>
      </c>
      <c r="H8" s="71">
        <v>9.9039129999999993</v>
      </c>
      <c r="I8" s="71">
        <v>454.94749999999999</v>
      </c>
      <c r="J8" s="71">
        <v>5.5100929999999999E-2</v>
      </c>
      <c r="K8" s="71">
        <v>2.1769352299999999E-2</v>
      </c>
      <c r="L8" s="71">
        <v>0</v>
      </c>
      <c r="M8" s="71">
        <v>0.2</v>
      </c>
      <c r="N8" s="71">
        <v>0</v>
      </c>
      <c r="P8" s="63"/>
      <c r="Q8" s="63"/>
      <c r="R8" s="63"/>
    </row>
    <row r="9" spans="1:46" ht="15" customHeight="1" x14ac:dyDescent="0.15">
      <c r="B9" s="1"/>
      <c r="C9" s="71">
        <v>8</v>
      </c>
      <c r="D9"/>
      <c r="E9" s="150" t="s">
        <v>199</v>
      </c>
      <c r="F9" s="71">
        <v>0</v>
      </c>
      <c r="G9" s="71">
        <v>0.23887527</v>
      </c>
      <c r="H9" s="71">
        <v>2.32296038</v>
      </c>
      <c r="I9" s="71">
        <v>121.02744300000001</v>
      </c>
      <c r="J9" s="71">
        <v>0.132313922</v>
      </c>
      <c r="K9" s="71">
        <v>1.9193666099999999E-2</v>
      </c>
      <c r="L9" s="71">
        <v>0</v>
      </c>
      <c r="M9" s="71">
        <v>0.2</v>
      </c>
      <c r="N9" s="71">
        <v>0</v>
      </c>
      <c r="P9" s="63"/>
      <c r="Q9" s="63"/>
      <c r="R9" s="63"/>
    </row>
    <row r="10" spans="1:46" ht="15" customHeight="1" x14ac:dyDescent="0.15">
      <c r="B10" s="1"/>
      <c r="C10" s="71">
        <v>9</v>
      </c>
      <c r="D10"/>
      <c r="E10" s="150" t="s">
        <v>200</v>
      </c>
      <c r="F10" s="71">
        <v>0</v>
      </c>
      <c r="G10" s="71">
        <v>4.264042E-3</v>
      </c>
      <c r="H10" s="71">
        <v>9.2404349999999997</v>
      </c>
      <c r="I10" s="71">
        <v>293.92752100000001</v>
      </c>
      <c r="J10" s="71">
        <v>0.77641415599999997</v>
      </c>
      <c r="K10" s="71">
        <v>3.1437800000000002E-2</v>
      </c>
      <c r="L10" s="71">
        <v>0</v>
      </c>
      <c r="M10" s="71">
        <v>0.2</v>
      </c>
      <c r="N10" s="71">
        <v>0</v>
      </c>
    </row>
    <row r="11" spans="1:46" ht="15" customHeight="1" x14ac:dyDescent="0.15">
      <c r="C11" s="71">
        <v>10</v>
      </c>
      <c r="D11"/>
      <c r="E11" s="150" t="s">
        <v>201</v>
      </c>
      <c r="F11" s="71">
        <v>0</v>
      </c>
      <c r="G11" s="71">
        <v>0.15392857800000001</v>
      </c>
      <c r="H11" s="71">
        <v>2.020486</v>
      </c>
      <c r="I11" s="71">
        <v>77.010086099999995</v>
      </c>
      <c r="J11" s="71">
        <v>0.48917487300000001</v>
      </c>
      <c r="K11" s="71">
        <v>2.62366422E-2</v>
      </c>
      <c r="L11" s="71">
        <v>0</v>
      </c>
      <c r="M11" s="71">
        <v>0.2</v>
      </c>
      <c r="N11" s="71">
        <v>0</v>
      </c>
    </row>
    <row r="12" spans="1:46" ht="15" customHeight="1" x14ac:dyDescent="0.15">
      <c r="C12" s="71">
        <v>11</v>
      </c>
      <c r="D12"/>
      <c r="E12" s="150" t="s">
        <v>202</v>
      </c>
      <c r="F12" s="71">
        <v>0</v>
      </c>
      <c r="G12" s="71">
        <v>0.17838129999999999</v>
      </c>
      <c r="H12" s="71">
        <v>4.0370936400000001</v>
      </c>
      <c r="I12" s="71">
        <v>71.748275800000002</v>
      </c>
      <c r="J12" s="71">
        <v>0.20390620000000001</v>
      </c>
      <c r="K12" s="71">
        <v>5.62674664E-2</v>
      </c>
      <c r="L12" s="71">
        <v>0</v>
      </c>
      <c r="M12" s="71">
        <v>0.2</v>
      </c>
      <c r="N12" s="71">
        <v>0</v>
      </c>
    </row>
    <row r="13" spans="1:46" ht="15" customHeight="1" x14ac:dyDescent="0.15">
      <c r="C13" s="71">
        <v>12</v>
      </c>
      <c r="D13"/>
      <c r="E13" s="150" t="s">
        <v>203</v>
      </c>
      <c r="F13" s="71">
        <v>0</v>
      </c>
      <c r="G13" s="71">
        <v>5.0505972500000003E-3</v>
      </c>
      <c r="H13" s="71">
        <v>5.7399950000000004</v>
      </c>
      <c r="I13" s="71">
        <v>108.554794</v>
      </c>
      <c r="J13" s="71">
        <v>0.20334350000000001</v>
      </c>
      <c r="K13" s="71">
        <v>5.2876476200000001E-2</v>
      </c>
      <c r="L13" s="71">
        <v>0</v>
      </c>
      <c r="M13" s="71">
        <v>0.2</v>
      </c>
      <c r="N13" s="71">
        <v>0</v>
      </c>
    </row>
    <row r="14" spans="1:46" ht="15" customHeight="1" x14ac:dyDescent="0.15">
      <c r="C14" s="71">
        <v>13</v>
      </c>
      <c r="D14"/>
      <c r="E14" s="150" t="s">
        <v>204</v>
      </c>
      <c r="F14" s="71">
        <v>0</v>
      </c>
      <c r="G14" s="71">
        <v>2.80639715E-2</v>
      </c>
      <c r="H14" s="71">
        <v>0.95343420000000001</v>
      </c>
      <c r="I14" s="71">
        <v>172.07149999999999</v>
      </c>
      <c r="J14" s="71">
        <v>0.14025801399999999</v>
      </c>
      <c r="K14" s="71">
        <v>5.5409190000000001E-3</v>
      </c>
      <c r="L14" s="71">
        <v>0</v>
      </c>
      <c r="M14" s="71">
        <v>0.2</v>
      </c>
      <c r="N14" s="71">
        <v>0</v>
      </c>
    </row>
    <row r="15" spans="1:46" ht="15" customHeight="1" x14ac:dyDescent="0.15">
      <c r="C15" s="71">
        <v>14</v>
      </c>
      <c r="D15"/>
      <c r="E15" s="150" t="s">
        <v>205</v>
      </c>
      <c r="F15" s="71">
        <v>0</v>
      </c>
      <c r="G15" s="71">
        <v>0.54700979999999999</v>
      </c>
      <c r="H15" s="71">
        <v>2.39290929</v>
      </c>
      <c r="I15" s="71">
        <v>183.948746</v>
      </c>
      <c r="J15" s="71">
        <v>0.80748960000000003</v>
      </c>
      <c r="K15" s="71">
        <v>1.3008565600000001E-2</v>
      </c>
      <c r="L15" s="71">
        <v>0</v>
      </c>
      <c r="M15" s="71">
        <v>0.2</v>
      </c>
      <c r="N15" s="71">
        <v>0</v>
      </c>
    </row>
    <row r="16" spans="1:46" ht="15" customHeight="1" x14ac:dyDescent="0.15">
      <c r="C16" s="71">
        <v>15</v>
      </c>
      <c r="D16"/>
      <c r="E16" s="150" t="s">
        <v>206</v>
      </c>
      <c r="F16" s="71">
        <v>0</v>
      </c>
      <c r="G16" s="71">
        <v>3.73004866</v>
      </c>
      <c r="H16" s="71">
        <v>2.8024529999999999</v>
      </c>
      <c r="I16" s="71">
        <v>8.1172869999999993</v>
      </c>
      <c r="J16" s="71">
        <v>0.64694714499999995</v>
      </c>
      <c r="K16" s="71">
        <v>0.34524506300000002</v>
      </c>
      <c r="L16" s="71">
        <v>0</v>
      </c>
      <c r="M16" s="71">
        <v>0.2</v>
      </c>
      <c r="N16" s="71">
        <v>0</v>
      </c>
    </row>
    <row r="17" spans="1:22" ht="15" customHeight="1" x14ac:dyDescent="0.15">
      <c r="C17" s="71">
        <v>16</v>
      </c>
      <c r="D17"/>
      <c r="E17" s="150" t="s">
        <v>207</v>
      </c>
      <c r="F17" s="71">
        <v>0</v>
      </c>
      <c r="G17" s="71">
        <v>18.1820412</v>
      </c>
      <c r="H17" s="71">
        <v>2.76453471</v>
      </c>
      <c r="I17" s="71">
        <v>15.5813007</v>
      </c>
      <c r="J17" s="71">
        <v>0.26633489999999999</v>
      </c>
      <c r="K17" s="71">
        <v>0.17742644299999999</v>
      </c>
      <c r="L17" s="71">
        <v>0</v>
      </c>
      <c r="M17" s="71">
        <v>0.2</v>
      </c>
      <c r="N17" s="71">
        <v>0</v>
      </c>
      <c r="V17" s="1" t="s">
        <v>30</v>
      </c>
    </row>
    <row r="18" spans="1:22" ht="15" customHeight="1" x14ac:dyDescent="0.15">
      <c r="C18" s="71">
        <v>17</v>
      </c>
      <c r="D18"/>
      <c r="E18" s="150" t="s">
        <v>208</v>
      </c>
      <c r="F18" s="71">
        <v>0</v>
      </c>
      <c r="G18" s="71">
        <v>14.4435673</v>
      </c>
      <c r="H18" s="71">
        <v>1.4075149300000001</v>
      </c>
      <c r="I18" s="71">
        <v>7.16990471</v>
      </c>
      <c r="J18" s="71">
        <v>0.220186412</v>
      </c>
      <c r="K18" s="71">
        <v>0.19630873200000001</v>
      </c>
      <c r="L18" s="71">
        <v>0</v>
      </c>
      <c r="M18" s="71">
        <v>0.2</v>
      </c>
      <c r="N18" s="71">
        <v>0</v>
      </c>
      <c r="V18" s="1"/>
    </row>
    <row r="19" spans="1:22" ht="15" customHeight="1" x14ac:dyDescent="0.15">
      <c r="C19" s="71">
        <v>18</v>
      </c>
      <c r="D19"/>
      <c r="E19" s="150" t="s">
        <v>209</v>
      </c>
      <c r="F19" s="71">
        <v>0</v>
      </c>
      <c r="G19" s="71">
        <v>2.5831027</v>
      </c>
      <c r="H19" s="71">
        <v>115.7514</v>
      </c>
      <c r="I19" s="71">
        <v>353.32330000000002</v>
      </c>
      <c r="J19" s="71">
        <v>1.00120921E-2</v>
      </c>
      <c r="K19" s="71">
        <v>0.3276076</v>
      </c>
      <c r="L19" s="71">
        <v>0</v>
      </c>
      <c r="M19" s="71">
        <v>0.2</v>
      </c>
      <c r="N19" s="71">
        <v>0</v>
      </c>
    </row>
    <row r="20" spans="1:22" ht="15" customHeight="1" thickBot="1" x14ac:dyDescent="0.2">
      <c r="C20" s="71">
        <v>19</v>
      </c>
      <c r="D20"/>
      <c r="E20" s="150" t="s">
        <v>210</v>
      </c>
      <c r="F20" s="71">
        <v>1</v>
      </c>
      <c r="G20" s="71">
        <v>43.356483500000003</v>
      </c>
      <c r="H20" s="71">
        <v>462.116241</v>
      </c>
      <c r="I20" s="71">
        <v>0</v>
      </c>
      <c r="J20" s="71">
        <v>5.1827427000000002E-2</v>
      </c>
      <c r="K20" s="71">
        <v>0</v>
      </c>
      <c r="L20" s="71">
        <v>0</v>
      </c>
      <c r="M20" s="71">
        <v>0</v>
      </c>
      <c r="N20" s="71">
        <v>0</v>
      </c>
    </row>
    <row r="21" spans="1:22" ht="15" customHeight="1" thickBot="1" x14ac:dyDescent="0.2">
      <c r="A21" s="42" t="s">
        <v>137</v>
      </c>
      <c r="B21" s="89"/>
      <c r="C21" s="71">
        <v>20</v>
      </c>
      <c r="D21"/>
      <c r="E21" s="150" t="s">
        <v>211</v>
      </c>
      <c r="F21" s="71">
        <v>2</v>
      </c>
      <c r="G21" s="71">
        <v>597</v>
      </c>
      <c r="H21" s="71">
        <v>0</v>
      </c>
      <c r="I21" s="71">
        <v>0</v>
      </c>
      <c r="J21" s="71">
        <v>6.8444766099999998E-2</v>
      </c>
      <c r="K21" s="71">
        <v>0</v>
      </c>
      <c r="L21" s="71">
        <v>0</v>
      </c>
      <c r="M21" s="71">
        <v>0</v>
      </c>
      <c r="N21" s="71">
        <v>0</v>
      </c>
    </row>
    <row r="22" spans="1:22" ht="15" customHeight="1" x14ac:dyDescent="0.15">
      <c r="A22" s="90" t="s">
        <v>58</v>
      </c>
      <c r="B22" s="91">
        <v>0</v>
      </c>
      <c r="C22" s="71">
        <v>21</v>
      </c>
      <c r="D22"/>
      <c r="E22" s="150" t="s">
        <v>212</v>
      </c>
      <c r="F22" s="71">
        <v>2</v>
      </c>
      <c r="G22" s="71">
        <v>5</v>
      </c>
      <c r="H22" s="71">
        <v>0</v>
      </c>
      <c r="I22" s="71">
        <v>0</v>
      </c>
      <c r="J22" s="71">
        <v>0</v>
      </c>
      <c r="K22" s="71">
        <v>0</v>
      </c>
      <c r="L22" s="71">
        <v>0</v>
      </c>
      <c r="M22" s="71">
        <v>0</v>
      </c>
      <c r="N22" s="71">
        <v>0</v>
      </c>
    </row>
    <row r="23" spans="1:22" ht="15" customHeight="1" x14ac:dyDescent="0.15">
      <c r="A23" s="90" t="s">
        <v>59</v>
      </c>
      <c r="B23" s="91">
        <v>1</v>
      </c>
      <c r="C23" s="177">
        <v>22</v>
      </c>
      <c r="D23"/>
      <c r="E23" s="176" t="s">
        <v>217</v>
      </c>
      <c r="F23" s="71">
        <v>3</v>
      </c>
      <c r="G23"/>
      <c r="H23"/>
      <c r="I23"/>
      <c r="J23"/>
      <c r="K23"/>
      <c r="L23"/>
      <c r="M23"/>
      <c r="N23"/>
      <c r="P23" s="56" t="s">
        <v>218</v>
      </c>
    </row>
    <row r="24" spans="1:22" ht="15" customHeight="1" x14ac:dyDescent="0.15">
      <c r="A24" s="90" t="s">
        <v>60</v>
      </c>
      <c r="B24" s="91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2" t="s">
        <v>44</v>
      </c>
      <c r="B25" s="93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4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6.5" style="126" bestFit="1" customWidth="1"/>
    <col min="2" max="3" width="15.83203125" style="126" bestFit="1" customWidth="1"/>
    <col min="4" max="4" width="14.83203125" style="126" bestFit="1" customWidth="1"/>
    <col min="5" max="5" width="15.83203125" style="126" bestFit="1" customWidth="1"/>
    <col min="6" max="6" width="5.83203125" style="126" bestFit="1" customWidth="1"/>
    <col min="7" max="7" width="12.83203125" style="126" bestFit="1" customWidth="1"/>
    <col min="8" max="11" width="2.33203125" style="126" bestFit="1" customWidth="1"/>
    <col min="12" max="12" width="13.83203125" style="126" bestFit="1" customWidth="1"/>
    <col min="13" max="15" width="2.33203125" style="126" bestFit="1" customWidth="1"/>
    <col min="16" max="18" width="13.83203125" style="126" bestFit="1" customWidth="1"/>
    <col min="19" max="19" width="5.83203125" style="126" bestFit="1" customWidth="1"/>
    <col min="20" max="22" width="2.33203125" style="126" bestFit="1" customWidth="1"/>
    <col min="23" max="29" width="9" style="126" bestFit="1" customWidth="1"/>
    <col min="30" max="16384" width="8.83203125" style="126"/>
  </cols>
  <sheetData>
    <row r="1" spans="1:34" x14ac:dyDescent="0.15">
      <c r="A1" s="125" t="s">
        <v>19</v>
      </c>
      <c r="B1" s="152" t="s">
        <v>192</v>
      </c>
      <c r="C1" s="152" t="s">
        <v>193</v>
      </c>
      <c r="D1" s="152" t="s">
        <v>194</v>
      </c>
      <c r="E1" s="152" t="s">
        <v>195</v>
      </c>
      <c r="F1" s="152" t="s">
        <v>196</v>
      </c>
      <c r="G1" s="152" t="s">
        <v>197</v>
      </c>
      <c r="H1" s="152" t="s">
        <v>198</v>
      </c>
      <c r="I1" s="152" t="s">
        <v>199</v>
      </c>
      <c r="J1" s="152" t="s">
        <v>200</v>
      </c>
      <c r="K1" s="152" t="s">
        <v>201</v>
      </c>
      <c r="L1" s="152" t="s">
        <v>202</v>
      </c>
      <c r="M1" s="152" t="s">
        <v>203</v>
      </c>
      <c r="N1" s="152" t="s">
        <v>204</v>
      </c>
      <c r="O1" s="152" t="s">
        <v>205</v>
      </c>
      <c r="P1" s="152" t="s">
        <v>206</v>
      </c>
      <c r="Q1" s="152" t="s">
        <v>207</v>
      </c>
      <c r="R1" s="152" t="s">
        <v>208</v>
      </c>
      <c r="S1" s="152" t="s">
        <v>209</v>
      </c>
      <c r="T1" s="152" t="s">
        <v>210</v>
      </c>
      <c r="U1" s="152" t="s">
        <v>211</v>
      </c>
      <c r="V1" s="152" t="s">
        <v>212</v>
      </c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1" t="s">
        <v>192</v>
      </c>
      <c r="B2" s="126">
        <v>0</v>
      </c>
      <c r="C2" s="126">
        <v>0</v>
      </c>
      <c r="D2" s="126">
        <v>0</v>
      </c>
      <c r="E2" s="126">
        <v>0</v>
      </c>
      <c r="F2" s="126">
        <v>0</v>
      </c>
      <c r="G2" s="126">
        <v>0</v>
      </c>
      <c r="H2" s="126">
        <v>0</v>
      </c>
      <c r="I2" s="126">
        <v>0</v>
      </c>
      <c r="J2" s="126">
        <v>0</v>
      </c>
      <c r="K2" s="126">
        <v>0</v>
      </c>
      <c r="L2" s="126">
        <v>0</v>
      </c>
      <c r="M2" s="126">
        <v>0</v>
      </c>
      <c r="N2" s="126">
        <v>0</v>
      </c>
      <c r="O2" s="126">
        <v>0</v>
      </c>
      <c r="P2" s="126">
        <v>0</v>
      </c>
      <c r="Q2" s="126">
        <v>0</v>
      </c>
      <c r="R2" s="126">
        <v>0</v>
      </c>
      <c r="S2" s="126">
        <v>0</v>
      </c>
      <c r="T2" s="126">
        <v>0</v>
      </c>
      <c r="U2" s="126">
        <v>0</v>
      </c>
      <c r="V2" s="126">
        <v>0</v>
      </c>
    </row>
    <row r="3" spans="1:34" customFormat="1" x14ac:dyDescent="0.15">
      <c r="A3" s="151" t="s">
        <v>193</v>
      </c>
      <c r="B3" s="126">
        <v>0.10131844089180903</v>
      </c>
      <c r="C3" s="126">
        <v>0</v>
      </c>
      <c r="D3" s="126">
        <v>0</v>
      </c>
      <c r="E3" s="126">
        <v>0</v>
      </c>
      <c r="F3" s="126">
        <v>0</v>
      </c>
      <c r="G3" s="126">
        <v>0</v>
      </c>
      <c r="H3" s="126">
        <v>0</v>
      </c>
      <c r="I3" s="126">
        <v>0</v>
      </c>
      <c r="J3" s="126">
        <v>0</v>
      </c>
      <c r="K3" s="126">
        <v>0</v>
      </c>
      <c r="L3" s="126">
        <v>0</v>
      </c>
      <c r="M3" s="126">
        <v>0</v>
      </c>
      <c r="N3" s="126">
        <v>0</v>
      </c>
      <c r="O3" s="126">
        <v>0</v>
      </c>
      <c r="P3" s="126">
        <v>0</v>
      </c>
      <c r="Q3" s="126">
        <v>0</v>
      </c>
      <c r="R3" s="126">
        <v>0</v>
      </c>
      <c r="S3" s="126">
        <v>0</v>
      </c>
      <c r="T3" s="126">
        <v>0</v>
      </c>
      <c r="U3" s="126">
        <v>0</v>
      </c>
      <c r="V3" s="126">
        <v>0</v>
      </c>
    </row>
    <row r="4" spans="1:34" customFormat="1" x14ac:dyDescent="0.15">
      <c r="A4" s="151" t="s">
        <v>194</v>
      </c>
      <c r="B4" s="126">
        <v>5.0659220445904507E-3</v>
      </c>
      <c r="C4" s="126">
        <v>0</v>
      </c>
      <c r="D4" s="126">
        <v>0</v>
      </c>
      <c r="E4" s="126">
        <v>0</v>
      </c>
      <c r="F4" s="126">
        <v>0</v>
      </c>
      <c r="G4" s="126">
        <v>0</v>
      </c>
      <c r="H4" s="126">
        <v>0</v>
      </c>
      <c r="I4" s="126">
        <v>0</v>
      </c>
      <c r="J4" s="126">
        <v>0</v>
      </c>
      <c r="K4" s="126">
        <v>0</v>
      </c>
      <c r="L4" s="126">
        <v>0</v>
      </c>
      <c r="M4" s="126">
        <v>0</v>
      </c>
      <c r="N4" s="126">
        <v>0</v>
      </c>
      <c r="O4" s="126">
        <v>0</v>
      </c>
      <c r="P4" s="126">
        <v>0</v>
      </c>
      <c r="Q4" s="126">
        <v>0</v>
      </c>
      <c r="R4" s="126">
        <v>0</v>
      </c>
      <c r="S4" s="126">
        <v>0</v>
      </c>
      <c r="T4" s="126">
        <v>0</v>
      </c>
      <c r="U4" s="126">
        <v>0</v>
      </c>
      <c r="V4" s="126">
        <v>0</v>
      </c>
    </row>
    <row r="5" spans="1:34" customFormat="1" x14ac:dyDescent="0.15">
      <c r="A5" s="151" t="s">
        <v>195</v>
      </c>
      <c r="B5" s="126">
        <v>5.0659220445904507E-3</v>
      </c>
      <c r="C5" s="126">
        <v>0</v>
      </c>
      <c r="D5" s="126">
        <v>0</v>
      </c>
      <c r="E5" s="126">
        <v>0</v>
      </c>
      <c r="F5" s="126">
        <v>0</v>
      </c>
      <c r="G5" s="126">
        <v>0</v>
      </c>
      <c r="H5" s="126">
        <v>0</v>
      </c>
      <c r="I5" s="126">
        <v>0</v>
      </c>
      <c r="J5" s="126">
        <v>0</v>
      </c>
      <c r="K5" s="126">
        <v>0</v>
      </c>
      <c r="L5" s="126">
        <v>0</v>
      </c>
      <c r="M5" s="126">
        <v>0</v>
      </c>
      <c r="N5" s="126">
        <v>0</v>
      </c>
      <c r="O5" s="126">
        <v>0</v>
      </c>
      <c r="P5" s="126">
        <v>0</v>
      </c>
      <c r="Q5" s="126">
        <v>0</v>
      </c>
      <c r="R5" s="126">
        <v>0</v>
      </c>
      <c r="S5" s="126">
        <v>0</v>
      </c>
      <c r="T5" s="126">
        <v>0</v>
      </c>
      <c r="U5" s="126">
        <v>0</v>
      </c>
      <c r="V5" s="126">
        <v>0</v>
      </c>
    </row>
    <row r="6" spans="1:34" customFormat="1" x14ac:dyDescent="0.15">
      <c r="A6" s="151" t="s">
        <v>196</v>
      </c>
      <c r="B6" s="126">
        <v>5.0659220445904507E-3</v>
      </c>
      <c r="C6" s="126">
        <v>0</v>
      </c>
      <c r="D6" s="126">
        <v>0</v>
      </c>
      <c r="E6" s="126">
        <v>0</v>
      </c>
      <c r="F6" s="126">
        <v>0</v>
      </c>
      <c r="G6" s="126">
        <v>0</v>
      </c>
      <c r="H6" s="126">
        <v>0</v>
      </c>
      <c r="I6" s="126">
        <v>0</v>
      </c>
      <c r="J6" s="126">
        <v>0</v>
      </c>
      <c r="K6" s="126">
        <v>0</v>
      </c>
      <c r="L6" s="126">
        <v>0</v>
      </c>
      <c r="M6" s="126">
        <v>0</v>
      </c>
      <c r="N6" s="126">
        <v>0</v>
      </c>
      <c r="O6" s="126">
        <v>0</v>
      </c>
      <c r="P6" s="126">
        <v>0</v>
      </c>
      <c r="Q6" s="126">
        <v>0</v>
      </c>
      <c r="R6" s="126">
        <v>0</v>
      </c>
      <c r="S6" s="126">
        <v>0</v>
      </c>
      <c r="T6" s="126">
        <v>0</v>
      </c>
      <c r="U6" s="126">
        <v>0</v>
      </c>
      <c r="V6" s="126">
        <v>0</v>
      </c>
    </row>
    <row r="7" spans="1:34" customFormat="1" x14ac:dyDescent="0.15">
      <c r="A7" s="151" t="s">
        <v>197</v>
      </c>
      <c r="B7" s="126">
        <v>1.0131844089180903E-4</v>
      </c>
      <c r="C7" s="126">
        <v>0</v>
      </c>
      <c r="D7" s="126">
        <v>0</v>
      </c>
      <c r="E7" s="126">
        <v>0</v>
      </c>
      <c r="F7" s="126">
        <v>0</v>
      </c>
      <c r="G7" s="126">
        <v>0</v>
      </c>
      <c r="H7" s="126">
        <v>0</v>
      </c>
      <c r="I7" s="126">
        <v>0</v>
      </c>
      <c r="J7" s="126">
        <v>0</v>
      </c>
      <c r="K7" s="126">
        <v>0</v>
      </c>
      <c r="L7" s="126">
        <v>0</v>
      </c>
      <c r="M7" s="126">
        <v>0</v>
      </c>
      <c r="N7" s="126">
        <v>0</v>
      </c>
      <c r="O7" s="126">
        <v>0</v>
      </c>
      <c r="P7" s="126">
        <v>0</v>
      </c>
      <c r="Q7" s="126">
        <v>0</v>
      </c>
      <c r="R7" s="126">
        <v>0</v>
      </c>
      <c r="S7" s="126">
        <v>0</v>
      </c>
      <c r="T7" s="126">
        <v>0</v>
      </c>
      <c r="U7" s="126">
        <v>0</v>
      </c>
      <c r="V7" s="126">
        <v>0</v>
      </c>
    </row>
    <row r="8" spans="1:34" customFormat="1" x14ac:dyDescent="0.15">
      <c r="A8" s="151" t="s">
        <v>198</v>
      </c>
      <c r="B8" s="126">
        <v>0</v>
      </c>
      <c r="C8" s="126">
        <v>2.9719843773222962E-4</v>
      </c>
      <c r="D8" s="126">
        <v>0</v>
      </c>
      <c r="E8" s="126">
        <v>0</v>
      </c>
      <c r="F8" s="126">
        <v>0</v>
      </c>
      <c r="G8" s="126">
        <v>0</v>
      </c>
      <c r="H8" s="126">
        <v>0</v>
      </c>
      <c r="I8" s="126">
        <v>0</v>
      </c>
      <c r="J8" s="126">
        <v>0</v>
      </c>
      <c r="K8" s="126">
        <v>0</v>
      </c>
      <c r="L8" s="126">
        <v>0</v>
      </c>
      <c r="M8" s="126">
        <v>0</v>
      </c>
      <c r="N8" s="126">
        <v>0</v>
      </c>
      <c r="O8" s="126">
        <v>0</v>
      </c>
      <c r="P8" s="126">
        <v>0</v>
      </c>
      <c r="Q8" s="126">
        <v>0</v>
      </c>
      <c r="R8" s="126">
        <v>0</v>
      </c>
      <c r="S8" s="126">
        <v>0</v>
      </c>
      <c r="T8" s="126">
        <v>0</v>
      </c>
      <c r="U8" s="126">
        <v>0</v>
      </c>
      <c r="V8" s="126">
        <v>0</v>
      </c>
    </row>
    <row r="9" spans="1:34" customFormat="1" x14ac:dyDescent="0.15">
      <c r="A9" s="151" t="s">
        <v>199</v>
      </c>
      <c r="B9" s="126">
        <v>0</v>
      </c>
      <c r="C9" s="126">
        <v>1.1887937509289185E-2</v>
      </c>
      <c r="D9" s="126">
        <v>0</v>
      </c>
      <c r="E9" s="126">
        <v>0</v>
      </c>
      <c r="F9" s="126">
        <v>0</v>
      </c>
      <c r="G9" s="126">
        <v>0</v>
      </c>
      <c r="H9" s="126">
        <v>0</v>
      </c>
      <c r="I9" s="126">
        <v>0</v>
      </c>
      <c r="J9" s="126">
        <v>0</v>
      </c>
      <c r="K9" s="126">
        <v>0</v>
      </c>
      <c r="L9" s="126">
        <v>0</v>
      </c>
      <c r="M9" s="126">
        <v>0</v>
      </c>
      <c r="N9" s="126">
        <v>0</v>
      </c>
      <c r="O9" s="126">
        <v>0</v>
      </c>
      <c r="P9" s="126">
        <v>0</v>
      </c>
      <c r="Q9" s="126">
        <v>0</v>
      </c>
      <c r="R9" s="126">
        <v>0</v>
      </c>
      <c r="S9" s="126">
        <v>0</v>
      </c>
      <c r="T9" s="126">
        <v>0</v>
      </c>
      <c r="U9" s="126">
        <v>0</v>
      </c>
      <c r="V9" s="126">
        <v>0</v>
      </c>
    </row>
    <row r="10" spans="1:34" customFormat="1" x14ac:dyDescent="0.15">
      <c r="A10" s="151" t="s">
        <v>200</v>
      </c>
      <c r="B10" s="126">
        <v>0</v>
      </c>
      <c r="C10" s="126">
        <v>4.9533072955371604E-3</v>
      </c>
      <c r="D10" s="126">
        <v>0</v>
      </c>
      <c r="E10" s="126">
        <v>0</v>
      </c>
      <c r="F10" s="126">
        <v>0</v>
      </c>
      <c r="G10" s="126">
        <v>0</v>
      </c>
      <c r="H10" s="126">
        <v>0</v>
      </c>
      <c r="I10" s="126">
        <v>0</v>
      </c>
      <c r="J10" s="126">
        <v>0</v>
      </c>
      <c r="K10" s="126">
        <v>0</v>
      </c>
      <c r="L10" s="126">
        <v>0</v>
      </c>
      <c r="M10" s="126">
        <v>0</v>
      </c>
      <c r="N10" s="126">
        <v>0</v>
      </c>
      <c r="O10" s="126">
        <v>0</v>
      </c>
      <c r="P10" s="126">
        <v>0</v>
      </c>
      <c r="Q10" s="126">
        <v>0</v>
      </c>
      <c r="R10" s="126">
        <v>0</v>
      </c>
      <c r="S10" s="126">
        <v>0</v>
      </c>
      <c r="T10" s="126">
        <v>0</v>
      </c>
      <c r="U10" s="126">
        <v>0</v>
      </c>
      <c r="V10" s="126">
        <v>0</v>
      </c>
    </row>
    <row r="11" spans="1:34" customFormat="1" x14ac:dyDescent="0.15">
      <c r="A11" s="151" t="s">
        <v>201</v>
      </c>
      <c r="B11" s="126">
        <v>0</v>
      </c>
      <c r="C11" s="126">
        <v>2.377587501857837E-2</v>
      </c>
      <c r="D11" s="126">
        <v>0</v>
      </c>
      <c r="E11" s="126">
        <v>2.7056636554610779E-3</v>
      </c>
      <c r="F11" s="126">
        <v>0</v>
      </c>
      <c r="G11" s="126">
        <v>0</v>
      </c>
      <c r="H11" s="126">
        <v>0</v>
      </c>
      <c r="I11" s="126">
        <v>0</v>
      </c>
      <c r="J11" s="126">
        <v>0</v>
      </c>
      <c r="K11" s="126">
        <v>0</v>
      </c>
      <c r="L11" s="126">
        <v>0</v>
      </c>
      <c r="M11" s="126">
        <v>0</v>
      </c>
      <c r="N11" s="126">
        <v>0</v>
      </c>
      <c r="O11" s="126">
        <v>0</v>
      </c>
      <c r="P11" s="126">
        <v>0</v>
      </c>
      <c r="Q11" s="126">
        <v>0</v>
      </c>
      <c r="R11" s="126">
        <v>0</v>
      </c>
      <c r="S11" s="126">
        <v>0</v>
      </c>
      <c r="T11" s="126">
        <v>0</v>
      </c>
      <c r="U11" s="126">
        <v>0</v>
      </c>
      <c r="V11" s="126">
        <v>0</v>
      </c>
    </row>
    <row r="12" spans="1:34" customFormat="1" x14ac:dyDescent="0.15">
      <c r="A12" s="151" t="s">
        <v>202</v>
      </c>
      <c r="B12" s="126">
        <v>0</v>
      </c>
      <c r="C12" s="126">
        <v>2.377587501857837E-2</v>
      </c>
      <c r="D12" s="126">
        <v>0</v>
      </c>
      <c r="E12" s="126">
        <v>0</v>
      </c>
      <c r="F12" s="126">
        <v>0</v>
      </c>
      <c r="G12" s="126">
        <v>0</v>
      </c>
      <c r="H12" s="126">
        <v>0</v>
      </c>
      <c r="I12" s="126">
        <v>0</v>
      </c>
      <c r="J12" s="126">
        <v>0</v>
      </c>
      <c r="K12" s="126">
        <v>0</v>
      </c>
      <c r="L12" s="126">
        <v>0</v>
      </c>
      <c r="M12" s="126">
        <v>0</v>
      </c>
      <c r="N12" s="126">
        <v>0</v>
      </c>
      <c r="O12" s="126">
        <v>0</v>
      </c>
      <c r="P12" s="126">
        <v>0</v>
      </c>
      <c r="Q12" s="126">
        <v>0</v>
      </c>
      <c r="R12" s="126">
        <v>0</v>
      </c>
      <c r="S12" s="126">
        <v>0</v>
      </c>
      <c r="T12" s="126">
        <v>0</v>
      </c>
      <c r="U12" s="126">
        <v>0</v>
      </c>
      <c r="V12" s="126">
        <v>0</v>
      </c>
    </row>
    <row r="13" spans="1:34" customFormat="1" x14ac:dyDescent="0.15">
      <c r="A13" s="151" t="s">
        <v>203</v>
      </c>
      <c r="B13" s="126">
        <v>0</v>
      </c>
      <c r="C13" s="126">
        <v>8.9159531319668876E-4</v>
      </c>
      <c r="D13" s="126">
        <v>0</v>
      </c>
      <c r="E13" s="126">
        <v>1.9841532938678487E-4</v>
      </c>
      <c r="F13" s="126">
        <v>0</v>
      </c>
      <c r="G13" s="126">
        <v>0</v>
      </c>
      <c r="H13" s="126">
        <v>0</v>
      </c>
      <c r="I13" s="126">
        <v>0</v>
      </c>
      <c r="J13" s="126">
        <v>0</v>
      </c>
      <c r="K13" s="126">
        <v>0</v>
      </c>
      <c r="L13" s="126">
        <v>0</v>
      </c>
      <c r="M13" s="126">
        <v>0</v>
      </c>
      <c r="N13" s="126">
        <v>0</v>
      </c>
      <c r="O13" s="126">
        <v>0</v>
      </c>
      <c r="P13" s="126">
        <v>0</v>
      </c>
      <c r="Q13" s="126">
        <v>0</v>
      </c>
      <c r="R13" s="126">
        <v>0</v>
      </c>
      <c r="S13" s="126">
        <v>0</v>
      </c>
      <c r="T13" s="126">
        <v>0</v>
      </c>
      <c r="U13" s="126">
        <v>0</v>
      </c>
      <c r="V13" s="126">
        <v>0</v>
      </c>
    </row>
    <row r="14" spans="1:34" customFormat="1" x14ac:dyDescent="0.15">
      <c r="A14" s="151" t="s">
        <v>204</v>
      </c>
      <c r="B14" s="126">
        <v>1.0131844089180902E-3</v>
      </c>
      <c r="C14" s="126">
        <v>0</v>
      </c>
      <c r="D14" s="126">
        <v>0</v>
      </c>
      <c r="E14" s="126">
        <v>0</v>
      </c>
      <c r="F14" s="126">
        <v>0</v>
      </c>
      <c r="G14" s="126">
        <v>0</v>
      </c>
      <c r="H14" s="126">
        <v>0</v>
      </c>
      <c r="I14" s="126">
        <v>0</v>
      </c>
      <c r="J14" s="126">
        <v>0</v>
      </c>
      <c r="K14" s="126">
        <v>0</v>
      </c>
      <c r="L14" s="126">
        <v>0</v>
      </c>
      <c r="M14" s="126">
        <v>0</v>
      </c>
      <c r="N14" s="126">
        <v>0</v>
      </c>
      <c r="O14" s="126">
        <v>0</v>
      </c>
      <c r="P14" s="126">
        <v>0</v>
      </c>
      <c r="Q14" s="126">
        <v>0</v>
      </c>
      <c r="R14" s="126">
        <v>0</v>
      </c>
      <c r="S14" s="126">
        <v>0</v>
      </c>
      <c r="T14" s="126">
        <v>0</v>
      </c>
      <c r="U14" s="126">
        <v>0</v>
      </c>
      <c r="V14" s="126">
        <v>0</v>
      </c>
    </row>
    <row r="15" spans="1:34" customFormat="1" x14ac:dyDescent="0.15">
      <c r="A15" s="151" t="s">
        <v>205</v>
      </c>
      <c r="B15" s="126">
        <v>1.1145028498098994E-2</v>
      </c>
      <c r="C15" s="126">
        <v>6.0430349005553358E-2</v>
      </c>
      <c r="D15" s="126">
        <v>8.991008893006993E-3</v>
      </c>
      <c r="E15" s="126">
        <v>2.4350972845078638E-2</v>
      </c>
      <c r="F15" s="126">
        <v>0</v>
      </c>
      <c r="G15" s="126">
        <v>0</v>
      </c>
      <c r="H15" s="126">
        <v>0</v>
      </c>
      <c r="I15" s="126">
        <v>0</v>
      </c>
      <c r="J15" s="126">
        <v>0</v>
      </c>
      <c r="K15" s="126">
        <v>0</v>
      </c>
      <c r="L15" s="126">
        <v>4.1928720783018895E-2</v>
      </c>
      <c r="M15" s="126">
        <v>0</v>
      </c>
      <c r="N15" s="126">
        <v>0</v>
      </c>
      <c r="O15" s="126">
        <v>0</v>
      </c>
      <c r="P15" s="126">
        <v>0</v>
      </c>
      <c r="Q15" s="126">
        <v>0</v>
      </c>
      <c r="R15" s="126">
        <v>0</v>
      </c>
      <c r="S15" s="126">
        <v>0</v>
      </c>
      <c r="T15" s="126">
        <v>0</v>
      </c>
      <c r="U15" s="126">
        <v>0</v>
      </c>
      <c r="V15" s="126">
        <v>0</v>
      </c>
    </row>
    <row r="16" spans="1:34" customFormat="1" x14ac:dyDescent="0.15">
      <c r="A16" s="151" t="s">
        <v>206</v>
      </c>
      <c r="B16" s="126">
        <v>0.23100604523332458</v>
      </c>
      <c r="C16" s="126">
        <v>0.12086069801110672</v>
      </c>
      <c r="D16" s="126">
        <v>0.6843156918566432</v>
      </c>
      <c r="E16" s="126">
        <v>0.12085298275066458</v>
      </c>
      <c r="F16" s="126">
        <v>0.115</v>
      </c>
      <c r="G16" s="126">
        <v>0</v>
      </c>
      <c r="H16" s="126">
        <v>0</v>
      </c>
      <c r="I16" s="126">
        <v>0</v>
      </c>
      <c r="J16" s="126">
        <v>0</v>
      </c>
      <c r="K16" s="126">
        <v>0</v>
      </c>
      <c r="L16" s="126">
        <v>1.8867923577358552E-2</v>
      </c>
      <c r="M16" s="126">
        <v>0</v>
      </c>
      <c r="N16" s="126">
        <v>0</v>
      </c>
      <c r="O16" s="126">
        <v>0</v>
      </c>
      <c r="P16" s="126">
        <v>0</v>
      </c>
      <c r="Q16" s="126">
        <v>0</v>
      </c>
      <c r="R16" s="126">
        <v>0</v>
      </c>
      <c r="S16" s="126">
        <v>0</v>
      </c>
      <c r="T16" s="126">
        <v>0</v>
      </c>
      <c r="U16" s="126">
        <v>0</v>
      </c>
      <c r="V16" s="126">
        <v>0</v>
      </c>
    </row>
    <row r="17" spans="1:22" customFormat="1" x14ac:dyDescent="0.15">
      <c r="A17" s="151" t="s">
        <v>207</v>
      </c>
      <c r="B17" s="126">
        <v>0.23100604523332458</v>
      </c>
      <c r="C17" s="126">
        <v>6.0430349005553358E-2</v>
      </c>
      <c r="D17" s="126">
        <v>2.6973025579020992E-2</v>
      </c>
      <c r="E17" s="126">
        <v>0.36436271841092621</v>
      </c>
      <c r="F17" s="126">
        <v>0.115</v>
      </c>
      <c r="G17" s="126">
        <v>0</v>
      </c>
      <c r="H17" s="126">
        <v>0</v>
      </c>
      <c r="I17" s="126">
        <v>0</v>
      </c>
      <c r="J17" s="126">
        <v>0</v>
      </c>
      <c r="K17" s="126">
        <v>0</v>
      </c>
      <c r="L17" s="126">
        <v>0.86058700423396206</v>
      </c>
      <c r="M17" s="126">
        <v>0</v>
      </c>
      <c r="N17" s="126">
        <v>0</v>
      </c>
      <c r="O17" s="126">
        <v>0</v>
      </c>
      <c r="P17" s="126">
        <v>0</v>
      </c>
      <c r="Q17" s="126">
        <v>0</v>
      </c>
      <c r="R17" s="126">
        <v>0</v>
      </c>
      <c r="S17" s="126">
        <v>0</v>
      </c>
      <c r="T17" s="126">
        <v>0</v>
      </c>
      <c r="U17" s="126">
        <v>0</v>
      </c>
      <c r="V17" s="126">
        <v>0</v>
      </c>
    </row>
    <row r="18" spans="1:22" customFormat="1" x14ac:dyDescent="0.15">
      <c r="A18" s="151" t="s">
        <v>208</v>
      </c>
      <c r="B18" s="126">
        <v>0.23100604523332458</v>
      </c>
      <c r="C18" s="126">
        <v>0.12086069801110672</v>
      </c>
      <c r="D18" s="126">
        <v>0.27972027367132873</v>
      </c>
      <c r="E18" s="126">
        <v>0.24170596640251357</v>
      </c>
      <c r="F18" s="126">
        <v>0.115</v>
      </c>
      <c r="G18" s="126">
        <v>0</v>
      </c>
      <c r="H18" s="126">
        <v>0</v>
      </c>
      <c r="I18" s="126">
        <v>0</v>
      </c>
      <c r="J18" s="126">
        <v>0</v>
      </c>
      <c r="K18" s="126">
        <v>0</v>
      </c>
      <c r="L18" s="126">
        <v>2.6205450501886808E-2</v>
      </c>
      <c r="M18" s="126">
        <v>0</v>
      </c>
      <c r="N18" s="126">
        <v>0</v>
      </c>
      <c r="O18" s="126">
        <v>0</v>
      </c>
      <c r="P18" s="126">
        <v>0</v>
      </c>
      <c r="Q18" s="126">
        <v>0</v>
      </c>
      <c r="R18" s="126">
        <v>0</v>
      </c>
      <c r="S18" s="126">
        <v>0</v>
      </c>
      <c r="T18" s="126">
        <v>0</v>
      </c>
      <c r="U18" s="126">
        <v>0</v>
      </c>
      <c r="V18" s="126">
        <v>0</v>
      </c>
    </row>
    <row r="19" spans="1:22" customFormat="1" x14ac:dyDescent="0.15">
      <c r="A19" s="151" t="s">
        <v>209</v>
      </c>
      <c r="B19" s="126">
        <v>0</v>
      </c>
      <c r="C19" s="126">
        <v>0.2694599426395719</v>
      </c>
      <c r="D19" s="126">
        <v>0</v>
      </c>
      <c r="E19" s="126">
        <v>0</v>
      </c>
      <c r="F19" s="126">
        <v>0</v>
      </c>
      <c r="G19" s="126">
        <v>0</v>
      </c>
      <c r="H19" s="126">
        <v>0</v>
      </c>
      <c r="I19" s="126">
        <v>0</v>
      </c>
      <c r="J19" s="126">
        <v>0</v>
      </c>
      <c r="K19" s="126">
        <v>0</v>
      </c>
      <c r="L19" s="126">
        <v>0</v>
      </c>
      <c r="M19" s="126">
        <v>0</v>
      </c>
      <c r="N19" s="126">
        <v>0</v>
      </c>
      <c r="O19" s="126">
        <v>0</v>
      </c>
      <c r="P19" s="126">
        <v>9.9900103996003746E-4</v>
      </c>
      <c r="Q19" s="126">
        <v>9.9900103996003746E-4</v>
      </c>
      <c r="R19" s="126">
        <v>9.9900103996003746E-4</v>
      </c>
      <c r="S19" s="126">
        <v>1E-3</v>
      </c>
      <c r="T19" s="126">
        <v>0</v>
      </c>
      <c r="U19" s="126">
        <v>0</v>
      </c>
      <c r="V19" s="126">
        <v>0</v>
      </c>
    </row>
    <row r="20" spans="1:22" customFormat="1" x14ac:dyDescent="0.15">
      <c r="A20" s="151" t="s">
        <v>210</v>
      </c>
      <c r="B20" s="126">
        <v>0</v>
      </c>
      <c r="C20" s="126">
        <v>0</v>
      </c>
      <c r="D20" s="126">
        <v>0</v>
      </c>
      <c r="E20" s="126">
        <v>0</v>
      </c>
      <c r="F20" s="126">
        <v>0</v>
      </c>
      <c r="G20" s="126">
        <v>0</v>
      </c>
      <c r="H20" s="126">
        <v>0</v>
      </c>
      <c r="I20" s="126">
        <v>0</v>
      </c>
      <c r="J20" s="126">
        <v>0</v>
      </c>
      <c r="K20" s="126">
        <v>0</v>
      </c>
      <c r="L20" s="126">
        <v>0</v>
      </c>
      <c r="M20" s="126">
        <v>0</v>
      </c>
      <c r="N20" s="126">
        <v>0</v>
      </c>
      <c r="O20" s="126">
        <v>0</v>
      </c>
      <c r="P20" s="126">
        <v>0.73900075558605449</v>
      </c>
      <c r="Q20" s="126">
        <v>0.73900075558605449</v>
      </c>
      <c r="R20" s="126">
        <v>0.73900075558605449</v>
      </c>
      <c r="S20" s="126">
        <v>0.8</v>
      </c>
      <c r="T20" s="126">
        <v>0</v>
      </c>
      <c r="U20" s="126">
        <v>0</v>
      </c>
      <c r="V20" s="126">
        <v>0</v>
      </c>
    </row>
    <row r="21" spans="1:22" customFormat="1" x14ac:dyDescent="0.15">
      <c r="A21" s="151" t="s">
        <v>211</v>
      </c>
      <c r="B21" s="126">
        <v>0</v>
      </c>
      <c r="C21" s="126">
        <v>0</v>
      </c>
      <c r="D21" s="126">
        <v>0</v>
      </c>
      <c r="E21" s="126">
        <v>0</v>
      </c>
      <c r="F21" s="126">
        <v>0.65500000000000003</v>
      </c>
      <c r="G21" s="126">
        <v>0.17165159594405921</v>
      </c>
      <c r="H21" s="126">
        <v>1</v>
      </c>
      <c r="I21" s="126">
        <v>1</v>
      </c>
      <c r="J21" s="126">
        <v>1</v>
      </c>
      <c r="K21" s="126">
        <v>1</v>
      </c>
      <c r="L21" s="126">
        <v>5.2410900903773615E-2</v>
      </c>
      <c r="M21" s="126">
        <v>1</v>
      </c>
      <c r="N21" s="126">
        <v>1</v>
      </c>
      <c r="O21" s="126">
        <v>1</v>
      </c>
      <c r="P21" s="126">
        <v>0.26000024337398536</v>
      </c>
      <c r="Q21" s="126">
        <v>0.26000024337398536</v>
      </c>
      <c r="R21" s="126">
        <v>0.26000024337398536</v>
      </c>
      <c r="S21" s="126">
        <v>0.19900000000000001</v>
      </c>
      <c r="T21" s="126">
        <v>0</v>
      </c>
      <c r="U21" s="126">
        <v>0</v>
      </c>
      <c r="V21" s="126">
        <v>0</v>
      </c>
    </row>
    <row r="22" spans="1:22" customFormat="1" x14ac:dyDescent="0.15">
      <c r="A22" s="151" t="s">
        <v>212</v>
      </c>
      <c r="B22" s="126">
        <v>0</v>
      </c>
      <c r="C22" s="126">
        <v>0</v>
      </c>
      <c r="D22" s="126">
        <v>0</v>
      </c>
      <c r="E22" s="126">
        <v>0</v>
      </c>
      <c r="F22" s="126">
        <v>0</v>
      </c>
      <c r="G22" s="126">
        <v>0</v>
      </c>
      <c r="H22" s="126">
        <v>0</v>
      </c>
      <c r="I22" s="126">
        <v>0</v>
      </c>
      <c r="J22" s="126">
        <v>0</v>
      </c>
      <c r="K22" s="126">
        <v>0</v>
      </c>
      <c r="L22" s="126">
        <v>0</v>
      </c>
      <c r="M22" s="126">
        <v>0</v>
      </c>
      <c r="N22" s="126">
        <v>0</v>
      </c>
      <c r="O22" s="126">
        <v>0</v>
      </c>
      <c r="P22" s="126">
        <v>0</v>
      </c>
      <c r="Q22" s="126">
        <v>0</v>
      </c>
      <c r="R22" s="126">
        <v>0</v>
      </c>
      <c r="S22" s="126">
        <v>0</v>
      </c>
      <c r="T22" s="126">
        <v>0</v>
      </c>
      <c r="U22" s="126">
        <v>0</v>
      </c>
      <c r="V22" s="126">
        <v>0</v>
      </c>
    </row>
    <row r="23" spans="1:22" customFormat="1" x14ac:dyDescent="0.15">
      <c r="A23" s="151" t="s">
        <v>213</v>
      </c>
      <c r="B23" s="126">
        <v>0.17820612592653695</v>
      </c>
      <c r="C23" s="126">
        <v>0.30237617473419587</v>
      </c>
      <c r="D23" s="126">
        <v>0</v>
      </c>
      <c r="E23" s="126">
        <v>0.24582328060596922</v>
      </c>
      <c r="F23" s="126">
        <v>0</v>
      </c>
      <c r="G23" s="126">
        <v>0.82834840405594079</v>
      </c>
      <c r="H23" s="126">
        <v>0</v>
      </c>
      <c r="I23" s="126">
        <v>0</v>
      </c>
      <c r="J23" s="126">
        <v>0</v>
      </c>
      <c r="K23" s="126">
        <v>0</v>
      </c>
      <c r="L23" s="126">
        <v>0</v>
      </c>
      <c r="M23" s="126">
        <v>0</v>
      </c>
      <c r="N23" s="126">
        <v>0</v>
      </c>
      <c r="O23" s="126">
        <v>0</v>
      </c>
      <c r="P23" s="126">
        <v>0</v>
      </c>
      <c r="Q23" s="126">
        <v>0</v>
      </c>
      <c r="R23" s="126">
        <v>0</v>
      </c>
      <c r="S23" s="126">
        <v>0</v>
      </c>
      <c r="T23" s="126">
        <v>0</v>
      </c>
      <c r="U23" s="126">
        <v>0</v>
      </c>
      <c r="V23" s="126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23" sqref="B23"/>
    </sheetView>
  </sheetViews>
  <sheetFormatPr baseColWidth="10" defaultColWidth="8.83203125" defaultRowHeight="13" x14ac:dyDescent="0.15"/>
  <cols>
    <col min="1" max="1" width="3.33203125" customWidth="1"/>
    <col min="2" max="2" width="26.5" customWidth="1"/>
    <col min="3" max="4" width="19.83203125" style="97" customWidth="1"/>
    <col min="5" max="6" width="19.83203125" style="96" customWidth="1"/>
    <col min="7" max="8" width="8.83203125" style="97"/>
  </cols>
  <sheetData>
    <row r="1" spans="1:8" ht="70" x14ac:dyDescent="0.15">
      <c r="A1" s="5" t="s">
        <v>20</v>
      </c>
      <c r="B1" s="1" t="s">
        <v>0</v>
      </c>
      <c r="C1" s="154" t="s">
        <v>211</v>
      </c>
      <c r="D1" s="154" t="s">
        <v>212</v>
      </c>
      <c r="E1" s="154" t="s">
        <v>214</v>
      </c>
      <c r="F1" s="154" t="s">
        <v>215</v>
      </c>
      <c r="G1"/>
      <c r="H1"/>
    </row>
    <row r="2" spans="1:8" x14ac:dyDescent="0.15">
      <c r="A2">
        <v>1</v>
      </c>
      <c r="B2" s="153" t="s">
        <v>192</v>
      </c>
      <c r="C2" s="97">
        <v>1</v>
      </c>
      <c r="D2" s="97">
        <v>0</v>
      </c>
      <c r="E2" s="96">
        <v>0</v>
      </c>
      <c r="F2" s="96">
        <f>SUM(C2:E2)</f>
        <v>1</v>
      </c>
      <c r="G2"/>
      <c r="H2"/>
    </row>
    <row r="3" spans="1:8" x14ac:dyDescent="0.15">
      <c r="A3">
        <v>2</v>
      </c>
      <c r="B3" s="153" t="s">
        <v>193</v>
      </c>
      <c r="C3" s="97">
        <v>1</v>
      </c>
      <c r="D3" s="97">
        <v>0</v>
      </c>
      <c r="E3" s="96">
        <v>0</v>
      </c>
      <c r="F3" s="96">
        <f t="shared" ref="F3:F23" si="0">SUM(C3:E3)</f>
        <v>1</v>
      </c>
      <c r="G3"/>
      <c r="H3"/>
    </row>
    <row r="4" spans="1:8" x14ac:dyDescent="0.15">
      <c r="A4">
        <v>3</v>
      </c>
      <c r="B4" s="153" t="s">
        <v>194</v>
      </c>
      <c r="C4" s="97">
        <v>0</v>
      </c>
      <c r="D4" s="97">
        <v>0</v>
      </c>
      <c r="E4" s="96">
        <v>1</v>
      </c>
      <c r="F4" s="96">
        <f t="shared" si="0"/>
        <v>1</v>
      </c>
      <c r="G4"/>
      <c r="H4"/>
    </row>
    <row r="5" spans="1:8" x14ac:dyDescent="0.15">
      <c r="A5">
        <v>4</v>
      </c>
      <c r="B5" s="153" t="s">
        <v>195</v>
      </c>
      <c r="C5" s="97">
        <v>1</v>
      </c>
      <c r="D5" s="97">
        <v>0</v>
      </c>
      <c r="E5" s="96">
        <v>0</v>
      </c>
      <c r="F5" s="96">
        <f t="shared" si="0"/>
        <v>1</v>
      </c>
      <c r="G5"/>
      <c r="H5"/>
    </row>
    <row r="6" spans="1:8" x14ac:dyDescent="0.15">
      <c r="A6">
        <v>5</v>
      </c>
      <c r="B6" s="153" t="s">
        <v>196</v>
      </c>
      <c r="C6" s="97">
        <v>0</v>
      </c>
      <c r="D6" s="97">
        <v>0</v>
      </c>
      <c r="E6" s="96">
        <v>1</v>
      </c>
      <c r="F6" s="96">
        <f t="shared" si="0"/>
        <v>1</v>
      </c>
      <c r="G6"/>
      <c r="H6"/>
    </row>
    <row r="7" spans="1:8" x14ac:dyDescent="0.15">
      <c r="A7">
        <v>6</v>
      </c>
      <c r="B7" s="153" t="s">
        <v>197</v>
      </c>
      <c r="C7" s="97">
        <v>1</v>
      </c>
      <c r="D7" s="97">
        <v>0</v>
      </c>
      <c r="E7" s="96">
        <v>0</v>
      </c>
      <c r="F7" s="96">
        <f t="shared" si="0"/>
        <v>1</v>
      </c>
      <c r="G7"/>
      <c r="H7"/>
    </row>
    <row r="8" spans="1:8" x14ac:dyDescent="0.15">
      <c r="A8">
        <v>7</v>
      </c>
      <c r="B8" s="153" t="s">
        <v>198</v>
      </c>
      <c r="C8" s="97">
        <v>1</v>
      </c>
      <c r="D8" s="97">
        <v>0</v>
      </c>
      <c r="E8" s="96">
        <v>0</v>
      </c>
      <c r="F8" s="96">
        <f t="shared" si="0"/>
        <v>1</v>
      </c>
      <c r="G8"/>
      <c r="H8"/>
    </row>
    <row r="9" spans="1:8" x14ac:dyDescent="0.15">
      <c r="A9">
        <v>8</v>
      </c>
      <c r="B9" s="153" t="s">
        <v>199</v>
      </c>
      <c r="C9" s="97">
        <v>1</v>
      </c>
      <c r="D9" s="97">
        <v>0</v>
      </c>
      <c r="E9" s="96">
        <v>0</v>
      </c>
      <c r="F9" s="96">
        <f t="shared" si="0"/>
        <v>1</v>
      </c>
      <c r="G9"/>
      <c r="H9"/>
    </row>
    <row r="10" spans="1:8" x14ac:dyDescent="0.15">
      <c r="A10">
        <v>9</v>
      </c>
      <c r="B10" s="153" t="s">
        <v>200</v>
      </c>
      <c r="C10" s="97">
        <v>1</v>
      </c>
      <c r="D10" s="97">
        <v>0</v>
      </c>
      <c r="E10" s="96">
        <v>0</v>
      </c>
      <c r="F10" s="96">
        <f t="shared" si="0"/>
        <v>1</v>
      </c>
      <c r="G10"/>
      <c r="H10"/>
    </row>
    <row r="11" spans="1:8" x14ac:dyDescent="0.15">
      <c r="A11">
        <v>10</v>
      </c>
      <c r="B11" s="153" t="s">
        <v>201</v>
      </c>
      <c r="C11" s="97">
        <v>1</v>
      </c>
      <c r="D11" s="97">
        <v>0</v>
      </c>
      <c r="E11" s="96">
        <v>0</v>
      </c>
      <c r="F11" s="96">
        <f t="shared" si="0"/>
        <v>1</v>
      </c>
      <c r="G11"/>
      <c r="H11"/>
    </row>
    <row r="12" spans="1:8" x14ac:dyDescent="0.15">
      <c r="A12">
        <v>11</v>
      </c>
      <c r="B12" s="153" t="s">
        <v>202</v>
      </c>
      <c r="C12" s="97">
        <v>1</v>
      </c>
      <c r="D12" s="97">
        <v>0</v>
      </c>
      <c r="E12" s="96">
        <v>0</v>
      </c>
      <c r="F12" s="96">
        <f t="shared" si="0"/>
        <v>1</v>
      </c>
      <c r="G12"/>
      <c r="H12"/>
    </row>
    <row r="13" spans="1:8" x14ac:dyDescent="0.15">
      <c r="A13">
        <v>12</v>
      </c>
      <c r="B13" s="153" t="s">
        <v>203</v>
      </c>
      <c r="C13" s="97">
        <v>1</v>
      </c>
      <c r="D13" s="97">
        <v>0</v>
      </c>
      <c r="E13" s="96">
        <v>0</v>
      </c>
      <c r="F13" s="96">
        <f t="shared" si="0"/>
        <v>1</v>
      </c>
      <c r="G13"/>
      <c r="H13"/>
    </row>
    <row r="14" spans="1:8" x14ac:dyDescent="0.15">
      <c r="A14">
        <v>13</v>
      </c>
      <c r="B14" s="153" t="s">
        <v>204</v>
      </c>
      <c r="C14" s="97">
        <v>1</v>
      </c>
      <c r="D14" s="97">
        <v>0</v>
      </c>
      <c r="E14" s="96">
        <v>0</v>
      </c>
      <c r="F14" s="96">
        <f t="shared" si="0"/>
        <v>1</v>
      </c>
      <c r="G14"/>
      <c r="H14"/>
    </row>
    <row r="15" spans="1:8" x14ac:dyDescent="0.15">
      <c r="A15">
        <v>14</v>
      </c>
      <c r="B15" s="153" t="s">
        <v>205</v>
      </c>
      <c r="C15" s="97">
        <v>1</v>
      </c>
      <c r="D15" s="97">
        <v>0</v>
      </c>
      <c r="E15" s="96">
        <v>0</v>
      </c>
      <c r="F15" s="96">
        <f t="shared" si="0"/>
        <v>1</v>
      </c>
      <c r="G15"/>
      <c r="H15"/>
    </row>
    <row r="16" spans="1:8" x14ac:dyDescent="0.15">
      <c r="A16">
        <v>15</v>
      </c>
      <c r="B16" s="153" t="s">
        <v>206</v>
      </c>
      <c r="C16" s="97">
        <v>1</v>
      </c>
      <c r="D16" s="97">
        <v>0</v>
      </c>
      <c r="E16" s="96">
        <v>0</v>
      </c>
      <c r="F16" s="96">
        <f t="shared" si="0"/>
        <v>1</v>
      </c>
      <c r="G16"/>
      <c r="H16"/>
    </row>
    <row r="17" spans="1:8" ht="15" customHeight="1" x14ac:dyDescent="0.15">
      <c r="A17">
        <v>16</v>
      </c>
      <c r="B17" s="153" t="s">
        <v>207</v>
      </c>
      <c r="C17" s="97">
        <v>1</v>
      </c>
      <c r="D17" s="97">
        <v>0</v>
      </c>
      <c r="E17" s="96">
        <v>0</v>
      </c>
      <c r="F17" s="96">
        <f t="shared" si="0"/>
        <v>1</v>
      </c>
      <c r="G17"/>
      <c r="H17"/>
    </row>
    <row r="18" spans="1:8" ht="15" customHeight="1" x14ac:dyDescent="0.15">
      <c r="A18">
        <v>17</v>
      </c>
      <c r="B18" s="153" t="s">
        <v>208</v>
      </c>
      <c r="C18" s="97">
        <v>1</v>
      </c>
      <c r="D18" s="97">
        <v>0</v>
      </c>
      <c r="E18" s="96">
        <v>0</v>
      </c>
      <c r="F18" s="96">
        <f t="shared" si="0"/>
        <v>1</v>
      </c>
      <c r="G18"/>
      <c r="H18"/>
    </row>
    <row r="19" spans="1:8" ht="15" customHeight="1" x14ac:dyDescent="0.15">
      <c r="A19">
        <v>18</v>
      </c>
      <c r="B19" s="153" t="s">
        <v>209</v>
      </c>
      <c r="C19" s="97">
        <v>1</v>
      </c>
      <c r="D19" s="97">
        <v>0</v>
      </c>
      <c r="E19" s="96">
        <v>0</v>
      </c>
      <c r="F19" s="96">
        <f t="shared" si="0"/>
        <v>1</v>
      </c>
      <c r="G19"/>
      <c r="H19"/>
    </row>
    <row r="20" spans="1:8" ht="15" customHeight="1" x14ac:dyDescent="0.15">
      <c r="A20">
        <v>19</v>
      </c>
      <c r="B20" s="153" t="s">
        <v>210</v>
      </c>
      <c r="C20" s="97">
        <v>1</v>
      </c>
      <c r="D20" s="97">
        <v>0</v>
      </c>
      <c r="E20" s="96">
        <v>0</v>
      </c>
      <c r="F20" s="96">
        <f t="shared" si="0"/>
        <v>1</v>
      </c>
      <c r="G20"/>
      <c r="H20"/>
    </row>
    <row r="21" spans="1:8" ht="15" customHeight="1" x14ac:dyDescent="0.15">
      <c r="A21">
        <v>20</v>
      </c>
      <c r="B21" s="153" t="s">
        <v>211</v>
      </c>
      <c r="C21" s="97">
        <v>0</v>
      </c>
      <c r="D21" s="97">
        <v>1</v>
      </c>
      <c r="E21" s="96">
        <v>0</v>
      </c>
      <c r="F21" s="96">
        <f t="shared" si="0"/>
        <v>1</v>
      </c>
      <c r="G21"/>
      <c r="H21"/>
    </row>
    <row r="22" spans="1:8" ht="15" customHeight="1" x14ac:dyDescent="0.15">
      <c r="A22">
        <v>21</v>
      </c>
      <c r="B22" s="153" t="s">
        <v>212</v>
      </c>
      <c r="C22" s="97">
        <v>0</v>
      </c>
      <c r="D22" s="97">
        <v>0</v>
      </c>
      <c r="E22" s="96">
        <v>1</v>
      </c>
      <c r="F22" s="96">
        <f t="shared" si="0"/>
        <v>1</v>
      </c>
      <c r="G22"/>
      <c r="H22"/>
    </row>
    <row r="23" spans="1:8" ht="15" customHeight="1" x14ac:dyDescent="0.15">
      <c r="A23">
        <v>22</v>
      </c>
      <c r="B23" s="176" t="s">
        <v>217</v>
      </c>
      <c r="C23" s="97">
        <v>1</v>
      </c>
      <c r="D23" s="97">
        <v>0</v>
      </c>
      <c r="E23" s="96">
        <v>0</v>
      </c>
      <c r="F23" s="96">
        <f t="shared" si="0"/>
        <v>1</v>
      </c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7"/>
      <c r="F36" s="97"/>
      <c r="G36"/>
      <c r="H36"/>
    </row>
    <row r="37" spans="3:8" ht="15" customHeight="1" x14ac:dyDescent="0.15">
      <c r="C37"/>
      <c r="D37"/>
      <c r="E37" s="97"/>
      <c r="F37" s="97"/>
      <c r="G37"/>
      <c r="H37"/>
    </row>
    <row r="38" spans="3:8" ht="15" customHeight="1" x14ac:dyDescent="0.15">
      <c r="C38"/>
      <c r="D38"/>
      <c r="E38" s="97"/>
      <c r="F38" s="97"/>
      <c r="G38"/>
      <c r="H38"/>
    </row>
    <row r="39" spans="3:8" ht="15" customHeight="1" x14ac:dyDescent="0.15">
      <c r="C39"/>
      <c r="D39"/>
      <c r="E39" s="97"/>
      <c r="F39" s="97"/>
      <c r="G39"/>
      <c r="H39"/>
    </row>
    <row r="40" spans="3:8" ht="15" customHeight="1" x14ac:dyDescent="0.15">
      <c r="C40"/>
      <c r="D40"/>
      <c r="E40" s="97"/>
      <c r="F40" s="97"/>
      <c r="G40"/>
      <c r="H40"/>
    </row>
    <row r="41" spans="3:8" ht="15" customHeight="1" x14ac:dyDescent="0.15">
      <c r="C41"/>
      <c r="D41"/>
      <c r="E41" s="97"/>
      <c r="F41" s="97"/>
      <c r="G41"/>
      <c r="H41"/>
    </row>
    <row r="42" spans="3:8" ht="15" customHeight="1" x14ac:dyDescent="0.15">
      <c r="C42"/>
      <c r="D42"/>
      <c r="E42" s="97"/>
      <c r="F42" s="97"/>
      <c r="G42"/>
      <c r="H42"/>
    </row>
    <row r="43" spans="3:8" ht="15" customHeight="1" x14ac:dyDescent="0.15">
      <c r="C43"/>
      <c r="D43"/>
      <c r="E43" s="97"/>
      <c r="F43" s="97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7"/>
      <c r="F46" s="97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" sqref="F1"/>
    </sheetView>
  </sheetViews>
  <sheetFormatPr baseColWidth="10" defaultColWidth="8.83203125" defaultRowHeight="13" x14ac:dyDescent="0.15"/>
  <cols>
    <col min="1" max="1" width="3.33203125" customWidth="1"/>
    <col min="2" max="2" width="26.5" bestFit="1" customWidth="1"/>
    <col min="3" max="4" width="2.33203125" bestFit="1" customWidth="1"/>
    <col min="5" max="5" width="12.1640625" bestFit="1" customWidth="1"/>
  </cols>
  <sheetData>
    <row r="1" spans="1:5" s="98" customFormat="1" ht="112" x14ac:dyDescent="0.15">
      <c r="A1" s="5" t="s">
        <v>21</v>
      </c>
      <c r="B1" s="3" t="s">
        <v>0</v>
      </c>
      <c r="C1" s="176" t="s">
        <v>217</v>
      </c>
      <c r="D1" s="156" t="s">
        <v>216</v>
      </c>
      <c r="E1"/>
    </row>
    <row r="2" spans="1:5" ht="15" customHeight="1" x14ac:dyDescent="0.15">
      <c r="A2">
        <v>1</v>
      </c>
      <c r="B2" s="155" t="s">
        <v>192</v>
      </c>
      <c r="C2">
        <v>0</v>
      </c>
      <c r="D2">
        <v>0</v>
      </c>
    </row>
    <row r="3" spans="1:5" ht="15" customHeight="1" x14ac:dyDescent="0.15">
      <c r="A3">
        <v>2</v>
      </c>
      <c r="B3" s="155" t="s">
        <v>193</v>
      </c>
      <c r="C3">
        <v>0</v>
      </c>
      <c r="D3">
        <v>0</v>
      </c>
    </row>
    <row r="4" spans="1:5" ht="15" customHeight="1" x14ac:dyDescent="0.15">
      <c r="A4">
        <v>3</v>
      </c>
      <c r="B4" s="155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55" t="s">
        <v>195</v>
      </c>
      <c r="C5">
        <v>0</v>
      </c>
      <c r="D5">
        <v>0</v>
      </c>
    </row>
    <row r="6" spans="1:5" ht="15" customHeight="1" x14ac:dyDescent="0.15">
      <c r="A6">
        <v>5</v>
      </c>
      <c r="B6" s="155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55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55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55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55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55" t="s">
        <v>201</v>
      </c>
      <c r="C11">
        <v>0</v>
      </c>
      <c r="D11">
        <v>0</v>
      </c>
    </row>
    <row r="12" spans="1:5" ht="15" customHeight="1" x14ac:dyDescent="0.15">
      <c r="A12">
        <v>11</v>
      </c>
      <c r="B12" s="155" t="s">
        <v>202</v>
      </c>
      <c r="C12">
        <v>0</v>
      </c>
      <c r="D12">
        <v>0</v>
      </c>
    </row>
    <row r="13" spans="1:5" ht="15" customHeight="1" x14ac:dyDescent="0.15">
      <c r="A13">
        <v>12</v>
      </c>
      <c r="B13" s="155" t="s">
        <v>203</v>
      </c>
      <c r="C13">
        <v>0</v>
      </c>
      <c r="D13">
        <v>0</v>
      </c>
    </row>
    <row r="14" spans="1:5" ht="15" customHeight="1" x14ac:dyDescent="0.15">
      <c r="A14">
        <v>13</v>
      </c>
      <c r="B14" s="155" t="s">
        <v>204</v>
      </c>
      <c r="C14">
        <v>0</v>
      </c>
      <c r="D14">
        <v>0</v>
      </c>
    </row>
    <row r="15" spans="1:5" ht="15" customHeight="1" x14ac:dyDescent="0.15">
      <c r="A15">
        <v>14</v>
      </c>
      <c r="B15" s="155" t="s">
        <v>205</v>
      </c>
      <c r="C15">
        <v>0</v>
      </c>
      <c r="D15">
        <v>0</v>
      </c>
    </row>
    <row r="16" spans="1:5" ht="15" customHeight="1" x14ac:dyDescent="0.15">
      <c r="A16">
        <v>15</v>
      </c>
      <c r="B16" s="155" t="s">
        <v>206</v>
      </c>
      <c r="C16">
        <v>0</v>
      </c>
      <c r="D16">
        <v>0</v>
      </c>
    </row>
    <row r="17" spans="1:4" ht="15" customHeight="1" x14ac:dyDescent="0.15">
      <c r="A17">
        <v>16</v>
      </c>
      <c r="B17" s="155" t="s">
        <v>207</v>
      </c>
      <c r="C17">
        <v>0</v>
      </c>
      <c r="D17">
        <v>0</v>
      </c>
    </row>
    <row r="18" spans="1:4" ht="15" customHeight="1" x14ac:dyDescent="0.15">
      <c r="A18">
        <v>17</v>
      </c>
      <c r="B18" s="155" t="s">
        <v>208</v>
      </c>
      <c r="C18">
        <v>0</v>
      </c>
      <c r="D18">
        <v>0</v>
      </c>
    </row>
    <row r="19" spans="1:4" ht="15" customHeight="1" x14ac:dyDescent="0.15">
      <c r="A19">
        <v>18</v>
      </c>
      <c r="B19" s="155" t="s">
        <v>209</v>
      </c>
      <c r="C19">
        <v>0</v>
      </c>
      <c r="D19">
        <v>0</v>
      </c>
    </row>
    <row r="20" spans="1:4" ht="15" customHeight="1" x14ac:dyDescent="0.15">
      <c r="A20">
        <v>19</v>
      </c>
      <c r="B20" s="155" t="s">
        <v>210</v>
      </c>
      <c r="C20">
        <v>0</v>
      </c>
      <c r="D20">
        <v>0</v>
      </c>
    </row>
    <row r="21" spans="1:4" ht="15" customHeight="1" x14ac:dyDescent="0.15">
      <c r="A21">
        <v>20</v>
      </c>
      <c r="B21" s="155" t="s">
        <v>211</v>
      </c>
      <c r="C21">
        <v>0</v>
      </c>
      <c r="D21">
        <v>0</v>
      </c>
    </row>
    <row r="22" spans="1:4" ht="15" customHeight="1" x14ac:dyDescent="0.15">
      <c r="A22">
        <v>21</v>
      </c>
      <c r="B22" s="155" t="s">
        <v>212</v>
      </c>
      <c r="C22">
        <v>0</v>
      </c>
      <c r="D22">
        <v>0</v>
      </c>
    </row>
    <row r="23" spans="1:4" ht="15" customHeight="1" x14ac:dyDescent="0.15"/>
    <row r="24" spans="1:4" ht="15" customHeight="1" x14ac:dyDescent="0.15"/>
    <row r="25" spans="1:4" ht="15" customHeight="1" x14ac:dyDescent="0.15"/>
    <row r="26" spans="1:4" ht="15" customHeight="1" x14ac:dyDescent="0.15"/>
    <row r="27" spans="1:4" ht="15" customHeight="1" x14ac:dyDescent="0.15"/>
    <row r="28" spans="1:4" ht="15" customHeight="1" x14ac:dyDescent="0.15"/>
    <row r="29" spans="1:4" ht="15" customHeight="1" x14ac:dyDescent="0.15"/>
    <row r="30" spans="1:4" ht="15" customHeight="1" x14ac:dyDescent="0.15"/>
    <row r="31" spans="1:4" ht="15" customHeight="1" x14ac:dyDescent="0.15"/>
    <row r="32" spans="1:4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22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F1" sqref="F1"/>
    </sheetView>
  </sheetViews>
  <sheetFormatPr baseColWidth="10" defaultColWidth="8.83203125" defaultRowHeight="13" x14ac:dyDescent="0.15"/>
  <cols>
    <col min="1" max="1" width="3.33203125" customWidth="1"/>
    <col min="2" max="2" width="26.5" bestFit="1" customWidth="1"/>
    <col min="3" max="4" width="2.33203125" bestFit="1" customWidth="1"/>
    <col min="5" max="5" width="12.1640625" bestFit="1" customWidth="1"/>
  </cols>
  <sheetData>
    <row r="1" spans="1:4" s="98" customFormat="1" ht="112" x14ac:dyDescent="0.15">
      <c r="A1" s="5" t="s">
        <v>22</v>
      </c>
      <c r="B1" s="3" t="s">
        <v>0</v>
      </c>
      <c r="C1" s="176" t="s">
        <v>217</v>
      </c>
      <c r="D1" s="158" t="s">
        <v>216</v>
      </c>
    </row>
    <row r="2" spans="1:4" x14ac:dyDescent="0.15">
      <c r="A2">
        <v>1</v>
      </c>
      <c r="B2" s="157" t="s">
        <v>192</v>
      </c>
      <c r="C2">
        <v>0</v>
      </c>
      <c r="D2">
        <v>0</v>
      </c>
    </row>
    <row r="3" spans="1:4" x14ac:dyDescent="0.15">
      <c r="A3">
        <v>2</v>
      </c>
      <c r="B3" s="157" t="s">
        <v>193</v>
      </c>
      <c r="C3">
        <v>0</v>
      </c>
      <c r="D3">
        <v>0</v>
      </c>
    </row>
    <row r="4" spans="1:4" x14ac:dyDescent="0.15">
      <c r="A4">
        <v>3</v>
      </c>
      <c r="B4" s="157" t="s">
        <v>194</v>
      </c>
      <c r="C4">
        <v>0</v>
      </c>
      <c r="D4">
        <v>0</v>
      </c>
    </row>
    <row r="5" spans="1:4" x14ac:dyDescent="0.15">
      <c r="A5">
        <v>4</v>
      </c>
      <c r="B5" s="157" t="s">
        <v>195</v>
      </c>
      <c r="C5">
        <v>0</v>
      </c>
      <c r="D5">
        <v>0</v>
      </c>
    </row>
    <row r="6" spans="1:4" x14ac:dyDescent="0.15">
      <c r="A6">
        <v>5</v>
      </c>
      <c r="B6" s="157" t="s">
        <v>196</v>
      </c>
      <c r="C6">
        <v>0</v>
      </c>
      <c r="D6">
        <v>0</v>
      </c>
    </row>
    <row r="7" spans="1:4" x14ac:dyDescent="0.15">
      <c r="A7">
        <v>6</v>
      </c>
      <c r="B7" s="157" t="s">
        <v>197</v>
      </c>
      <c r="C7">
        <v>0</v>
      </c>
      <c r="D7">
        <v>0</v>
      </c>
    </row>
    <row r="8" spans="1:4" x14ac:dyDescent="0.15">
      <c r="A8">
        <v>7</v>
      </c>
      <c r="B8" s="157" t="s">
        <v>198</v>
      </c>
      <c r="C8">
        <v>0</v>
      </c>
      <c r="D8">
        <v>0</v>
      </c>
    </row>
    <row r="9" spans="1:4" x14ac:dyDescent="0.15">
      <c r="A9">
        <v>8</v>
      </c>
      <c r="B9" s="157" t="s">
        <v>199</v>
      </c>
      <c r="C9">
        <v>0</v>
      </c>
      <c r="D9">
        <v>0</v>
      </c>
    </row>
    <row r="10" spans="1:4" x14ac:dyDescent="0.15">
      <c r="A10">
        <v>9</v>
      </c>
      <c r="B10" s="157" t="s">
        <v>200</v>
      </c>
      <c r="C10">
        <v>0</v>
      </c>
      <c r="D10">
        <v>0</v>
      </c>
    </row>
    <row r="11" spans="1:4" x14ac:dyDescent="0.15">
      <c r="A11">
        <v>10</v>
      </c>
      <c r="B11" s="157" t="s">
        <v>201</v>
      </c>
      <c r="C11">
        <v>0</v>
      </c>
      <c r="D11">
        <v>0</v>
      </c>
    </row>
    <row r="12" spans="1:4" x14ac:dyDescent="0.15">
      <c r="A12">
        <v>11</v>
      </c>
      <c r="B12" s="157" t="s">
        <v>202</v>
      </c>
      <c r="C12">
        <v>0</v>
      </c>
      <c r="D12">
        <v>0</v>
      </c>
    </row>
    <row r="13" spans="1:4" x14ac:dyDescent="0.15">
      <c r="A13">
        <v>12</v>
      </c>
      <c r="B13" s="157" t="s">
        <v>203</v>
      </c>
      <c r="C13">
        <v>0</v>
      </c>
      <c r="D13">
        <v>0</v>
      </c>
    </row>
    <row r="14" spans="1:4" x14ac:dyDescent="0.15">
      <c r="A14">
        <v>13</v>
      </c>
      <c r="B14" s="157" t="s">
        <v>204</v>
      </c>
      <c r="C14">
        <v>0</v>
      </c>
      <c r="D14">
        <v>0</v>
      </c>
    </row>
    <row r="15" spans="1:4" x14ac:dyDescent="0.15">
      <c r="A15">
        <v>14</v>
      </c>
      <c r="B15" s="157" t="s">
        <v>205</v>
      </c>
      <c r="C15">
        <v>0</v>
      </c>
      <c r="D15">
        <v>0</v>
      </c>
    </row>
    <row r="16" spans="1:4" x14ac:dyDescent="0.15">
      <c r="A16">
        <v>15</v>
      </c>
      <c r="B16" s="157" t="s">
        <v>206</v>
      </c>
      <c r="C16">
        <v>0</v>
      </c>
      <c r="D16">
        <v>0</v>
      </c>
    </row>
    <row r="17" spans="1:4" x14ac:dyDescent="0.15">
      <c r="A17">
        <v>16</v>
      </c>
      <c r="B17" s="157" t="s">
        <v>207</v>
      </c>
      <c r="C17">
        <v>0</v>
      </c>
      <c r="D17">
        <v>0</v>
      </c>
    </row>
    <row r="18" spans="1:4" x14ac:dyDescent="0.15">
      <c r="A18">
        <v>17</v>
      </c>
      <c r="B18" s="157" t="s">
        <v>208</v>
      </c>
      <c r="C18">
        <v>0</v>
      </c>
      <c r="D18">
        <v>0</v>
      </c>
    </row>
    <row r="19" spans="1:4" x14ac:dyDescent="0.15">
      <c r="A19">
        <v>18</v>
      </c>
      <c r="B19" s="157" t="s">
        <v>209</v>
      </c>
      <c r="C19">
        <v>0</v>
      </c>
      <c r="D19">
        <v>0</v>
      </c>
    </row>
    <row r="20" spans="1:4" x14ac:dyDescent="0.15">
      <c r="A20">
        <v>19</v>
      </c>
      <c r="B20" s="157" t="s">
        <v>210</v>
      </c>
      <c r="C20">
        <v>0</v>
      </c>
      <c r="D20">
        <v>0</v>
      </c>
    </row>
    <row r="21" spans="1:4" x14ac:dyDescent="0.15">
      <c r="A21">
        <v>20</v>
      </c>
      <c r="B21" s="157" t="s">
        <v>211</v>
      </c>
      <c r="C21">
        <v>0</v>
      </c>
      <c r="D21">
        <v>0</v>
      </c>
    </row>
    <row r="22" spans="1:4" x14ac:dyDescent="0.15">
      <c r="A22">
        <v>21</v>
      </c>
      <c r="B22" s="157" t="s">
        <v>212</v>
      </c>
      <c r="C22">
        <v>0</v>
      </c>
      <c r="D22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26.5" bestFit="1" customWidth="1"/>
    <col min="6" max="6" width="4.83203125" bestFit="1" customWidth="1"/>
    <col min="7" max="9" width="3.83203125" bestFit="1" customWidth="1"/>
    <col min="10" max="11" width="4.83203125" style="97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99" customFormat="1" ht="14" thickBot="1" x14ac:dyDescent="0.2">
      <c r="D1" s="100" t="s">
        <v>8</v>
      </c>
      <c r="E1" s="100" t="s">
        <v>0</v>
      </c>
      <c r="F1" s="101" t="s">
        <v>99</v>
      </c>
      <c r="G1" s="102" t="s">
        <v>84</v>
      </c>
      <c r="H1" s="102" t="s">
        <v>85</v>
      </c>
      <c r="I1" s="102" t="s">
        <v>86</v>
      </c>
      <c r="J1" s="102" t="s">
        <v>87</v>
      </c>
      <c r="K1" s="102" t="s">
        <v>88</v>
      </c>
      <c r="L1" s="103" t="s">
        <v>89</v>
      </c>
      <c r="M1" s="103" t="s">
        <v>93</v>
      </c>
      <c r="N1" s="103" t="s">
        <v>92</v>
      </c>
      <c r="O1" s="103" t="s">
        <v>90</v>
      </c>
      <c r="P1" s="103" t="s">
        <v>91</v>
      </c>
      <c r="Q1" s="104" t="s">
        <v>94</v>
      </c>
      <c r="R1" s="104" t="s">
        <v>95</v>
      </c>
      <c r="S1" s="104" t="s">
        <v>96</v>
      </c>
      <c r="T1" s="104" t="s">
        <v>97</v>
      </c>
      <c r="U1" s="104" t="s">
        <v>98</v>
      </c>
      <c r="V1" s="102" t="s">
        <v>100</v>
      </c>
      <c r="W1" s="102" t="s">
        <v>101</v>
      </c>
      <c r="X1" s="102" t="s">
        <v>102</v>
      </c>
      <c r="Y1" s="102" t="s">
        <v>134</v>
      </c>
      <c r="Z1" s="103" t="s">
        <v>103</v>
      </c>
      <c r="AA1" s="103" t="s">
        <v>104</v>
      </c>
      <c r="AB1" s="103" t="s">
        <v>105</v>
      </c>
      <c r="AC1" s="105" t="s">
        <v>135</v>
      </c>
      <c r="AD1" s="104" t="s">
        <v>106</v>
      </c>
      <c r="AE1" s="104" t="s">
        <v>107</v>
      </c>
      <c r="AF1" s="104" t="s">
        <v>108</v>
      </c>
      <c r="AG1" s="104" t="s">
        <v>136</v>
      </c>
      <c r="AH1" s="102" t="s">
        <v>109</v>
      </c>
      <c r="AI1" s="102" t="s">
        <v>111</v>
      </c>
      <c r="AJ1" s="102" t="s">
        <v>110</v>
      </c>
      <c r="AK1" s="103" t="s">
        <v>115</v>
      </c>
      <c r="AL1" s="103" t="s">
        <v>116</v>
      </c>
      <c r="AM1" s="103" t="s">
        <v>117</v>
      </c>
      <c r="AN1" s="104" t="s">
        <v>112</v>
      </c>
      <c r="AO1" s="104" t="s">
        <v>113</v>
      </c>
      <c r="AP1" s="104" t="s">
        <v>114</v>
      </c>
    </row>
    <row r="2" spans="1:42" x14ac:dyDescent="0.15">
      <c r="A2" s="106" t="s">
        <v>74</v>
      </c>
      <c r="B2" s="107">
        <v>1</v>
      </c>
      <c r="D2">
        <v>1</v>
      </c>
      <c r="E2" s="159" t="s">
        <v>192</v>
      </c>
      <c r="F2">
        <v>0.98</v>
      </c>
      <c r="G2">
        <v>0.8</v>
      </c>
      <c r="H2">
        <v>0.8</v>
      </c>
      <c r="I2">
        <v>0.8</v>
      </c>
      <c r="J2" s="97">
        <v>0.25</v>
      </c>
      <c r="K2" s="97">
        <v>0.05</v>
      </c>
    </row>
    <row r="3" spans="1:42" x14ac:dyDescent="0.15">
      <c r="A3" s="106" t="s">
        <v>75</v>
      </c>
      <c r="B3" s="108">
        <v>1</v>
      </c>
      <c r="D3">
        <v>2</v>
      </c>
      <c r="E3" s="159" t="s">
        <v>193</v>
      </c>
      <c r="F3">
        <v>0.98</v>
      </c>
      <c r="G3">
        <v>0.8</v>
      </c>
      <c r="H3">
        <v>0.8</v>
      </c>
      <c r="I3">
        <v>0.8</v>
      </c>
      <c r="J3" s="97">
        <v>0.25</v>
      </c>
      <c r="K3" s="97">
        <v>0.05</v>
      </c>
    </row>
    <row r="4" spans="1:42" x14ac:dyDescent="0.15">
      <c r="A4" s="106" t="s">
        <v>76</v>
      </c>
      <c r="B4" s="108">
        <v>1</v>
      </c>
      <c r="D4">
        <v>3</v>
      </c>
      <c r="E4" s="159" t="s">
        <v>194</v>
      </c>
      <c r="F4">
        <v>0.98</v>
      </c>
      <c r="G4">
        <v>0.8</v>
      </c>
      <c r="H4">
        <v>0.8</v>
      </c>
      <c r="I4">
        <v>0.8</v>
      </c>
      <c r="J4" s="97">
        <v>0.25</v>
      </c>
      <c r="K4" s="97">
        <v>0.05</v>
      </c>
    </row>
    <row r="5" spans="1:42" x14ac:dyDescent="0.15">
      <c r="A5" s="106" t="s">
        <v>77</v>
      </c>
      <c r="B5" s="108">
        <v>1</v>
      </c>
      <c r="D5">
        <v>4</v>
      </c>
      <c r="E5" s="159" t="s">
        <v>195</v>
      </c>
      <c r="F5">
        <v>0.98</v>
      </c>
      <c r="G5">
        <v>0.8</v>
      </c>
      <c r="H5">
        <v>0.8</v>
      </c>
      <c r="I5">
        <v>0.8</v>
      </c>
      <c r="J5" s="97">
        <v>0.25</v>
      </c>
      <c r="K5" s="97">
        <v>0.05</v>
      </c>
    </row>
    <row r="6" spans="1:42" x14ac:dyDescent="0.15">
      <c r="A6" s="106" t="s">
        <v>78</v>
      </c>
      <c r="B6" s="108">
        <v>1</v>
      </c>
      <c r="D6">
        <v>5</v>
      </c>
      <c r="E6" s="159" t="s">
        <v>196</v>
      </c>
      <c r="F6">
        <v>0.98</v>
      </c>
      <c r="G6">
        <v>0.8</v>
      </c>
      <c r="H6">
        <v>0.8</v>
      </c>
      <c r="I6">
        <v>0.8</v>
      </c>
      <c r="J6" s="97">
        <v>0.25</v>
      </c>
      <c r="K6" s="97">
        <v>0.05</v>
      </c>
    </row>
    <row r="7" spans="1:42" x14ac:dyDescent="0.15">
      <c r="A7" s="106" t="s">
        <v>79</v>
      </c>
      <c r="B7" s="108">
        <v>1</v>
      </c>
      <c r="D7">
        <v>6</v>
      </c>
      <c r="E7" s="159" t="s">
        <v>197</v>
      </c>
      <c r="F7">
        <v>0.98</v>
      </c>
      <c r="G7">
        <v>0.8</v>
      </c>
      <c r="H7">
        <v>0.8</v>
      </c>
      <c r="I7">
        <v>0.8</v>
      </c>
      <c r="J7" s="97">
        <v>0.25</v>
      </c>
      <c r="K7" s="97">
        <v>0.05</v>
      </c>
    </row>
    <row r="8" spans="1:42" x14ac:dyDescent="0.15">
      <c r="A8" s="106" t="s">
        <v>80</v>
      </c>
      <c r="B8" s="108">
        <v>1</v>
      </c>
      <c r="D8">
        <v>7</v>
      </c>
      <c r="E8" s="159" t="s">
        <v>198</v>
      </c>
      <c r="F8">
        <v>0.98</v>
      </c>
      <c r="G8">
        <v>0.8</v>
      </c>
      <c r="H8">
        <v>0.8</v>
      </c>
      <c r="I8">
        <v>0.8</v>
      </c>
      <c r="J8" s="97">
        <v>0.25</v>
      </c>
      <c r="K8" s="97">
        <v>0.05</v>
      </c>
    </row>
    <row r="9" spans="1:42" x14ac:dyDescent="0.15">
      <c r="A9" s="106" t="s">
        <v>81</v>
      </c>
      <c r="B9" s="108">
        <v>0.1</v>
      </c>
      <c r="C9" s="56" t="s">
        <v>150</v>
      </c>
      <c r="D9">
        <v>8</v>
      </c>
      <c r="E9" s="159" t="s">
        <v>199</v>
      </c>
      <c r="F9">
        <v>0.98</v>
      </c>
      <c r="G9">
        <v>0.8</v>
      </c>
      <c r="H9">
        <v>0.8</v>
      </c>
      <c r="I9">
        <v>0.8</v>
      </c>
      <c r="J9" s="97">
        <v>0.25</v>
      </c>
      <c r="K9" s="97">
        <v>0.05</v>
      </c>
    </row>
    <row r="10" spans="1:42" ht="14" thickBot="1" x14ac:dyDescent="0.2">
      <c r="A10" s="106" t="s">
        <v>149</v>
      </c>
      <c r="B10" s="109">
        <f>1/3</f>
        <v>0.33333333333333331</v>
      </c>
      <c r="C10" s="56" t="s">
        <v>150</v>
      </c>
      <c r="D10">
        <v>9</v>
      </c>
      <c r="E10" s="159" t="s">
        <v>200</v>
      </c>
      <c r="F10">
        <v>0.98</v>
      </c>
      <c r="G10">
        <v>0.8</v>
      </c>
      <c r="H10">
        <v>0.8</v>
      </c>
      <c r="I10">
        <v>0.8</v>
      </c>
      <c r="J10" s="97">
        <v>0.25</v>
      </c>
      <c r="K10" s="97">
        <v>0.05</v>
      </c>
    </row>
    <row r="11" spans="1:42" x14ac:dyDescent="0.15">
      <c r="D11">
        <v>10</v>
      </c>
      <c r="E11" s="159" t="s">
        <v>201</v>
      </c>
      <c r="F11">
        <v>0.98</v>
      </c>
      <c r="G11">
        <v>0.8</v>
      </c>
      <c r="H11">
        <v>0.8</v>
      </c>
      <c r="I11">
        <v>0.8</v>
      </c>
      <c r="J11" s="97">
        <v>0.25</v>
      </c>
      <c r="K11" s="97">
        <v>0.05</v>
      </c>
    </row>
    <row r="12" spans="1:42" x14ac:dyDescent="0.15">
      <c r="D12">
        <v>11</v>
      </c>
      <c r="E12" s="159" t="s">
        <v>202</v>
      </c>
      <c r="F12">
        <v>0.98</v>
      </c>
      <c r="G12">
        <v>0.8</v>
      </c>
      <c r="H12">
        <v>0.8</v>
      </c>
      <c r="I12">
        <v>0.8</v>
      </c>
      <c r="J12" s="97">
        <v>0.25</v>
      </c>
      <c r="K12" s="97">
        <v>0.05</v>
      </c>
    </row>
    <row r="13" spans="1:42" x14ac:dyDescent="0.15">
      <c r="D13">
        <v>12</v>
      </c>
      <c r="E13" s="159" t="s">
        <v>203</v>
      </c>
      <c r="F13">
        <v>0.98</v>
      </c>
      <c r="G13">
        <v>0.8</v>
      </c>
      <c r="H13">
        <v>0.8</v>
      </c>
      <c r="I13">
        <v>0.8</v>
      </c>
      <c r="J13" s="97">
        <v>0.25</v>
      </c>
      <c r="K13" s="97">
        <v>0.05</v>
      </c>
    </row>
    <row r="14" spans="1:42" x14ac:dyDescent="0.15">
      <c r="D14">
        <v>13</v>
      </c>
      <c r="E14" s="159" t="s">
        <v>204</v>
      </c>
      <c r="F14">
        <v>0.98</v>
      </c>
      <c r="G14">
        <v>0.8</v>
      </c>
      <c r="H14">
        <v>0.8</v>
      </c>
      <c r="I14">
        <v>0.8</v>
      </c>
      <c r="J14" s="97">
        <v>0.25</v>
      </c>
      <c r="K14" s="97">
        <v>0.05</v>
      </c>
    </row>
    <row r="15" spans="1:42" x14ac:dyDescent="0.15">
      <c r="D15">
        <v>14</v>
      </c>
      <c r="E15" s="159" t="s">
        <v>205</v>
      </c>
      <c r="F15">
        <v>0.98</v>
      </c>
      <c r="G15">
        <v>0.8</v>
      </c>
      <c r="H15">
        <v>0.8</v>
      </c>
      <c r="I15">
        <v>0.8</v>
      </c>
      <c r="J15" s="97">
        <v>0.25</v>
      </c>
      <c r="K15" s="97">
        <v>0.05</v>
      </c>
    </row>
    <row r="16" spans="1:42" x14ac:dyDescent="0.15">
      <c r="D16">
        <v>15</v>
      </c>
      <c r="E16" s="159" t="s">
        <v>206</v>
      </c>
      <c r="F16">
        <v>0.98</v>
      </c>
      <c r="G16">
        <v>0.8</v>
      </c>
      <c r="H16">
        <v>0.8</v>
      </c>
      <c r="I16">
        <v>0.8</v>
      </c>
      <c r="J16" s="97">
        <v>0.25</v>
      </c>
      <c r="K16" s="97">
        <v>0.05</v>
      </c>
    </row>
    <row r="17" spans="4:33" ht="15" customHeight="1" x14ac:dyDescent="0.15">
      <c r="D17">
        <v>16</v>
      </c>
      <c r="E17" s="159" t="s">
        <v>207</v>
      </c>
      <c r="F17">
        <v>0.98</v>
      </c>
      <c r="G17">
        <v>0.8</v>
      </c>
      <c r="H17">
        <v>0.8</v>
      </c>
      <c r="I17">
        <v>0.8</v>
      </c>
      <c r="J17" s="97">
        <v>0.25</v>
      </c>
      <c r="K17" s="97">
        <v>0.05</v>
      </c>
    </row>
    <row r="18" spans="4:33" ht="15" customHeight="1" x14ac:dyDescent="0.15">
      <c r="D18">
        <v>17</v>
      </c>
      <c r="E18" s="159" t="s">
        <v>208</v>
      </c>
      <c r="F18">
        <v>0.98</v>
      </c>
      <c r="G18">
        <v>0.8</v>
      </c>
      <c r="H18">
        <v>0.8</v>
      </c>
      <c r="I18">
        <v>0.8</v>
      </c>
      <c r="J18" s="97">
        <v>0.25</v>
      </c>
      <c r="K18" s="97">
        <v>0.05</v>
      </c>
    </row>
    <row r="19" spans="4:33" ht="15" customHeight="1" x14ac:dyDescent="0.15">
      <c r="D19">
        <v>18</v>
      </c>
      <c r="E19" s="159" t="s">
        <v>209</v>
      </c>
      <c r="F19">
        <v>0.98</v>
      </c>
      <c r="G19">
        <v>0.8</v>
      </c>
      <c r="H19">
        <v>0.8</v>
      </c>
      <c r="I19">
        <v>0.8</v>
      </c>
      <c r="J19" s="97">
        <v>0.25</v>
      </c>
      <c r="K19" s="97">
        <v>0.05</v>
      </c>
    </row>
    <row r="20" spans="4:33" ht="15" customHeight="1" x14ac:dyDescent="0.15">
      <c r="D20">
        <v>19</v>
      </c>
      <c r="E20" s="159" t="s">
        <v>210</v>
      </c>
      <c r="F20">
        <v>0.98</v>
      </c>
      <c r="G20">
        <v>0.8</v>
      </c>
      <c r="H20">
        <v>0.8</v>
      </c>
      <c r="I20">
        <v>0</v>
      </c>
      <c r="J20" s="97">
        <v>0</v>
      </c>
      <c r="K20" s="97">
        <v>0</v>
      </c>
    </row>
    <row r="21" spans="4:33" ht="15" customHeight="1" x14ac:dyDescent="0.15">
      <c r="D21">
        <v>20</v>
      </c>
      <c r="E21" s="159" t="s">
        <v>211</v>
      </c>
      <c r="F21">
        <v>0.98</v>
      </c>
      <c r="G21">
        <v>0.8</v>
      </c>
      <c r="H21">
        <v>0</v>
      </c>
      <c r="I21">
        <v>0</v>
      </c>
      <c r="J21" s="97">
        <v>0</v>
      </c>
      <c r="K21" s="97">
        <v>0</v>
      </c>
    </row>
    <row r="22" spans="4:33" ht="15" customHeight="1" x14ac:dyDescent="0.15">
      <c r="D22">
        <v>21</v>
      </c>
      <c r="E22" s="159" t="s">
        <v>212</v>
      </c>
      <c r="F22">
        <v>0.98</v>
      </c>
      <c r="G22">
        <v>0.8</v>
      </c>
      <c r="H22">
        <v>0</v>
      </c>
      <c r="I22">
        <v>0</v>
      </c>
      <c r="J22" s="97">
        <v>0</v>
      </c>
      <c r="K22" s="97">
        <v>0</v>
      </c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6.5" style="95" bestFit="1" customWidth="1"/>
    <col min="2" max="19" width="3.83203125" style="95" customWidth="1"/>
    <col min="20" max="22" width="2.33203125" style="95" customWidth="1"/>
    <col min="23" max="16384" width="10.83203125" style="95"/>
  </cols>
  <sheetData>
    <row r="1" spans="1:30" x14ac:dyDescent="0.15">
      <c r="A1" s="58" t="s">
        <v>118</v>
      </c>
      <c r="B1" s="161" t="s">
        <v>192</v>
      </c>
      <c r="C1" s="161" t="s">
        <v>193</v>
      </c>
      <c r="D1" s="161" t="s">
        <v>194</v>
      </c>
      <c r="E1" s="161" t="s">
        <v>195</v>
      </c>
      <c r="F1" s="161" t="s">
        <v>196</v>
      </c>
      <c r="G1" s="161" t="s">
        <v>197</v>
      </c>
      <c r="H1" s="161" t="s">
        <v>198</v>
      </c>
      <c r="I1" s="161" t="s">
        <v>199</v>
      </c>
      <c r="J1" s="161" t="s">
        <v>200</v>
      </c>
      <c r="K1" s="161" t="s">
        <v>201</v>
      </c>
      <c r="L1" s="161" t="s">
        <v>202</v>
      </c>
      <c r="M1" s="161" t="s">
        <v>203</v>
      </c>
      <c r="N1" s="161" t="s">
        <v>204</v>
      </c>
      <c r="O1" s="161" t="s">
        <v>205</v>
      </c>
      <c r="P1" s="161" t="s">
        <v>206</v>
      </c>
      <c r="Q1" s="161" t="s">
        <v>207</v>
      </c>
      <c r="R1" s="161" t="s">
        <v>208</v>
      </c>
      <c r="S1" s="161" t="s">
        <v>209</v>
      </c>
      <c r="T1" s="161" t="s">
        <v>210</v>
      </c>
      <c r="U1" s="161" t="s">
        <v>211</v>
      </c>
      <c r="V1" s="161" t="s">
        <v>212</v>
      </c>
      <c r="W1"/>
      <c r="X1"/>
      <c r="Y1"/>
      <c r="Z1"/>
      <c r="AA1"/>
      <c r="AB1"/>
      <c r="AC1"/>
      <c r="AD1"/>
    </row>
    <row r="2" spans="1:30" customFormat="1" x14ac:dyDescent="0.15">
      <c r="A2" s="160" t="s">
        <v>192</v>
      </c>
      <c r="B2" s="95">
        <v>0</v>
      </c>
      <c r="C2" s="95">
        <v>0</v>
      </c>
      <c r="D2" s="95">
        <v>0</v>
      </c>
      <c r="E2" s="95">
        <v>0</v>
      </c>
      <c r="F2" s="95">
        <v>0</v>
      </c>
      <c r="G2" s="95">
        <v>0</v>
      </c>
      <c r="H2" s="95">
        <v>0</v>
      </c>
      <c r="I2" s="95">
        <v>0</v>
      </c>
      <c r="J2" s="95">
        <v>0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0</v>
      </c>
      <c r="R2" s="95">
        <v>0</v>
      </c>
      <c r="S2" s="95">
        <v>0</v>
      </c>
      <c r="T2" s="95">
        <v>0</v>
      </c>
      <c r="U2" s="95">
        <v>0</v>
      </c>
      <c r="V2" s="95">
        <v>0</v>
      </c>
    </row>
    <row r="3" spans="1:30" customFormat="1" x14ac:dyDescent="0.15">
      <c r="A3" s="160" t="s">
        <v>193</v>
      </c>
      <c r="B3" s="95">
        <v>0.8</v>
      </c>
      <c r="C3" s="95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0</v>
      </c>
      <c r="P3" s="95">
        <v>0</v>
      </c>
      <c r="Q3" s="95">
        <v>0</v>
      </c>
      <c r="R3" s="95">
        <v>0</v>
      </c>
      <c r="S3" s="95">
        <v>0</v>
      </c>
      <c r="T3" s="95">
        <v>0</v>
      </c>
      <c r="U3" s="95">
        <v>0</v>
      </c>
      <c r="V3" s="95">
        <v>0</v>
      </c>
    </row>
    <row r="4" spans="1:30" customFormat="1" x14ac:dyDescent="0.15">
      <c r="A4" s="160" t="s">
        <v>194</v>
      </c>
      <c r="B4" s="95">
        <v>0.8</v>
      </c>
      <c r="C4" s="95">
        <v>0</v>
      </c>
      <c r="D4" s="95">
        <v>0</v>
      </c>
      <c r="E4" s="95">
        <v>0</v>
      </c>
      <c r="F4" s="95">
        <v>0</v>
      </c>
      <c r="G4" s="95">
        <v>0</v>
      </c>
      <c r="H4" s="95">
        <v>0</v>
      </c>
      <c r="I4" s="95">
        <v>0</v>
      </c>
      <c r="J4" s="95">
        <v>0</v>
      </c>
      <c r="K4" s="95">
        <v>0</v>
      </c>
      <c r="L4" s="95">
        <v>0</v>
      </c>
      <c r="M4" s="95">
        <v>0</v>
      </c>
      <c r="N4" s="95">
        <v>0</v>
      </c>
      <c r="O4" s="95">
        <v>0</v>
      </c>
      <c r="P4" s="95">
        <v>0</v>
      </c>
      <c r="Q4" s="95">
        <v>0</v>
      </c>
      <c r="R4" s="95">
        <v>0</v>
      </c>
      <c r="S4" s="95">
        <v>0</v>
      </c>
      <c r="T4" s="95">
        <v>0</v>
      </c>
      <c r="U4" s="95">
        <v>0</v>
      </c>
      <c r="V4" s="95">
        <v>0</v>
      </c>
    </row>
    <row r="5" spans="1:30" customFormat="1" x14ac:dyDescent="0.15">
      <c r="A5" s="160" t="s">
        <v>195</v>
      </c>
      <c r="B5" s="95">
        <v>0.8</v>
      </c>
      <c r="C5" s="95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5">
        <v>0</v>
      </c>
      <c r="L5" s="95">
        <v>0</v>
      </c>
      <c r="M5" s="95">
        <v>0</v>
      </c>
      <c r="N5" s="95">
        <v>0</v>
      </c>
      <c r="O5" s="95">
        <v>0</v>
      </c>
      <c r="P5" s="95">
        <v>0</v>
      </c>
      <c r="Q5" s="95">
        <v>0</v>
      </c>
      <c r="R5" s="95">
        <v>0</v>
      </c>
      <c r="S5" s="95">
        <v>0</v>
      </c>
      <c r="T5" s="95">
        <v>0</v>
      </c>
      <c r="U5" s="95">
        <v>0</v>
      </c>
      <c r="V5" s="95">
        <v>0</v>
      </c>
    </row>
    <row r="6" spans="1:30" customFormat="1" x14ac:dyDescent="0.15">
      <c r="A6" s="160" t="s">
        <v>196</v>
      </c>
      <c r="B6" s="95">
        <v>0.8</v>
      </c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</row>
    <row r="7" spans="1:30" customFormat="1" x14ac:dyDescent="0.15">
      <c r="A7" s="160" t="s">
        <v>197</v>
      </c>
      <c r="B7" s="95">
        <v>0.8</v>
      </c>
      <c r="C7" s="95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</row>
    <row r="8" spans="1:30" customFormat="1" x14ac:dyDescent="0.15">
      <c r="A8" s="160" t="s">
        <v>198</v>
      </c>
      <c r="B8" s="95">
        <v>0</v>
      </c>
      <c r="C8" s="95">
        <v>0.8</v>
      </c>
      <c r="D8" s="95">
        <v>0</v>
      </c>
      <c r="E8" s="95">
        <v>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</row>
    <row r="9" spans="1:30" customFormat="1" x14ac:dyDescent="0.15">
      <c r="A9" s="160" t="s">
        <v>199</v>
      </c>
      <c r="B9" s="95">
        <v>0</v>
      </c>
      <c r="C9" s="95">
        <v>0.8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</row>
    <row r="10" spans="1:30" customFormat="1" x14ac:dyDescent="0.15">
      <c r="A10" s="160" t="s">
        <v>200</v>
      </c>
      <c r="B10" s="95">
        <v>0</v>
      </c>
      <c r="C10" s="95">
        <v>0.8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</row>
    <row r="11" spans="1:30" customFormat="1" x14ac:dyDescent="0.15">
      <c r="A11" s="160" t="s">
        <v>201</v>
      </c>
      <c r="B11" s="95">
        <v>0</v>
      </c>
      <c r="C11" s="95">
        <v>0.8</v>
      </c>
      <c r="D11" s="95">
        <v>0</v>
      </c>
      <c r="E11" s="95">
        <v>0.8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</row>
    <row r="12" spans="1:30" customFormat="1" x14ac:dyDescent="0.15">
      <c r="A12" s="160" t="s">
        <v>202</v>
      </c>
      <c r="B12" s="95">
        <v>0</v>
      </c>
      <c r="C12" s="95">
        <v>0.8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</row>
    <row r="13" spans="1:30" customFormat="1" x14ac:dyDescent="0.15">
      <c r="A13" s="160" t="s">
        <v>203</v>
      </c>
      <c r="B13" s="95">
        <v>0</v>
      </c>
      <c r="C13" s="95">
        <v>0.8</v>
      </c>
      <c r="D13" s="95">
        <v>0</v>
      </c>
      <c r="E13" s="95">
        <v>0.8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</row>
    <row r="14" spans="1:30" customFormat="1" x14ac:dyDescent="0.15">
      <c r="A14" s="160" t="s">
        <v>204</v>
      </c>
      <c r="B14" s="95">
        <v>0.8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</row>
    <row r="15" spans="1:30" customFormat="1" x14ac:dyDescent="0.15">
      <c r="A15" s="160" t="s">
        <v>205</v>
      </c>
      <c r="B15" s="95">
        <v>0.8</v>
      </c>
      <c r="C15" s="95">
        <v>0.8</v>
      </c>
      <c r="D15" s="95">
        <v>0.8</v>
      </c>
      <c r="E15" s="95">
        <v>0.8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0.8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</row>
    <row r="16" spans="1:30" customFormat="1" x14ac:dyDescent="0.15">
      <c r="A16" s="160" t="s">
        <v>206</v>
      </c>
      <c r="B16" s="95">
        <v>0.8</v>
      </c>
      <c r="C16" s="95">
        <v>0.8</v>
      </c>
      <c r="D16" s="95">
        <v>0.8</v>
      </c>
      <c r="E16" s="95">
        <v>0.8</v>
      </c>
      <c r="F16" s="95">
        <v>0.8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0.8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</row>
    <row r="17" spans="1:22" customFormat="1" x14ac:dyDescent="0.15">
      <c r="A17" s="160" t="s">
        <v>207</v>
      </c>
      <c r="B17" s="95">
        <v>0.8</v>
      </c>
      <c r="C17" s="95">
        <v>0.8</v>
      </c>
      <c r="D17" s="95">
        <v>0.8</v>
      </c>
      <c r="E17" s="95">
        <v>0.8</v>
      </c>
      <c r="F17" s="95">
        <v>0.8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0.8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</row>
    <row r="18" spans="1:22" customFormat="1" x14ac:dyDescent="0.15">
      <c r="A18" s="160" t="s">
        <v>208</v>
      </c>
      <c r="B18" s="95">
        <v>0.8</v>
      </c>
      <c r="C18" s="95">
        <v>0.8</v>
      </c>
      <c r="D18" s="95">
        <v>0.8</v>
      </c>
      <c r="E18" s="95">
        <v>0.8</v>
      </c>
      <c r="F18" s="95">
        <v>0.8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0.8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</row>
    <row r="19" spans="1:22" customFormat="1" x14ac:dyDescent="0.15">
      <c r="A19" s="160" t="s">
        <v>209</v>
      </c>
      <c r="B19" s="95">
        <v>0</v>
      </c>
      <c r="C19" s="95">
        <v>0.8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5">
        <v>0</v>
      </c>
      <c r="L19" s="95">
        <v>0</v>
      </c>
      <c r="M19" s="95">
        <v>0</v>
      </c>
      <c r="N19" s="95">
        <v>0</v>
      </c>
      <c r="O19" s="95">
        <v>0</v>
      </c>
      <c r="P19" s="95">
        <v>0.8</v>
      </c>
      <c r="Q19" s="95">
        <v>0.8</v>
      </c>
      <c r="R19" s="95">
        <v>0.8</v>
      </c>
      <c r="S19" s="95">
        <v>0.8</v>
      </c>
      <c r="T19" s="95">
        <v>0</v>
      </c>
      <c r="U19" s="95">
        <v>0</v>
      </c>
      <c r="V19" s="95">
        <v>0</v>
      </c>
    </row>
    <row r="20" spans="1:22" customFormat="1" x14ac:dyDescent="0.15">
      <c r="A20" s="160" t="s">
        <v>210</v>
      </c>
      <c r="B20" s="95">
        <v>0</v>
      </c>
      <c r="C20" s="95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</v>
      </c>
      <c r="M20" s="95">
        <v>0</v>
      </c>
      <c r="N20" s="95">
        <v>0</v>
      </c>
      <c r="O20" s="95">
        <v>0</v>
      </c>
      <c r="P20" s="95">
        <v>0.8</v>
      </c>
      <c r="Q20" s="95">
        <v>0.8</v>
      </c>
      <c r="R20" s="95">
        <v>0.8</v>
      </c>
      <c r="S20" s="95">
        <v>0.8</v>
      </c>
      <c r="T20" s="95">
        <v>0</v>
      </c>
      <c r="U20" s="95">
        <v>0</v>
      </c>
      <c r="V20" s="95">
        <v>0</v>
      </c>
    </row>
    <row r="21" spans="1:22" customFormat="1" x14ac:dyDescent="0.15">
      <c r="A21" s="160" t="s">
        <v>211</v>
      </c>
      <c r="B21" s="95">
        <v>0</v>
      </c>
      <c r="C21" s="95">
        <v>0</v>
      </c>
      <c r="D21" s="95">
        <v>0</v>
      </c>
      <c r="E21" s="95">
        <v>0</v>
      </c>
      <c r="F21" s="95">
        <v>0.8</v>
      </c>
      <c r="G21" s="95">
        <v>0.8</v>
      </c>
      <c r="H21" s="95">
        <v>0.8</v>
      </c>
      <c r="I21" s="95">
        <v>0.8</v>
      </c>
      <c r="J21" s="95">
        <v>0.8</v>
      </c>
      <c r="K21" s="95">
        <v>0.8</v>
      </c>
      <c r="L21" s="95">
        <v>0.8</v>
      </c>
      <c r="M21" s="95">
        <v>0.8</v>
      </c>
      <c r="N21" s="95">
        <v>0.8</v>
      </c>
      <c r="O21" s="95">
        <v>0.8</v>
      </c>
      <c r="P21" s="95">
        <v>0.8</v>
      </c>
      <c r="Q21" s="95">
        <v>0.8</v>
      </c>
      <c r="R21" s="95">
        <v>0.8</v>
      </c>
      <c r="S21" s="95">
        <v>0.8</v>
      </c>
      <c r="T21" s="95">
        <v>0</v>
      </c>
      <c r="U21" s="95">
        <v>0</v>
      </c>
      <c r="V21" s="95">
        <v>0</v>
      </c>
    </row>
    <row r="22" spans="1:22" customFormat="1" x14ac:dyDescent="0.15">
      <c r="A22" s="160" t="s">
        <v>212</v>
      </c>
      <c r="B22" s="95">
        <v>0</v>
      </c>
      <c r="C22" s="95">
        <v>0</v>
      </c>
      <c r="D22" s="95">
        <v>0</v>
      </c>
      <c r="E22" s="95">
        <v>0</v>
      </c>
      <c r="F22" s="95">
        <v>0</v>
      </c>
      <c r="G22" s="95">
        <v>0</v>
      </c>
      <c r="H22" s="95">
        <v>0</v>
      </c>
      <c r="I22" s="95">
        <v>0</v>
      </c>
      <c r="J22" s="95">
        <v>0</v>
      </c>
      <c r="K22" s="95">
        <v>0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</row>
    <row r="23" spans="1:22" customFormat="1" x14ac:dyDescent="0.15">
      <c r="A23" s="160" t="s">
        <v>213</v>
      </c>
      <c r="B23" s="95">
        <v>0.8</v>
      </c>
      <c r="C23" s="95">
        <v>0.8</v>
      </c>
      <c r="D23" s="95">
        <v>0</v>
      </c>
      <c r="E23" s="95">
        <v>0.8</v>
      </c>
      <c r="F23" s="95">
        <v>0</v>
      </c>
      <c r="G23" s="95">
        <v>0.8</v>
      </c>
      <c r="H23" s="95">
        <v>0</v>
      </c>
      <c r="I23" s="95">
        <v>0</v>
      </c>
      <c r="J23" s="95">
        <v>0</v>
      </c>
      <c r="K23" s="95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  <row r="32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6.5" style="95" bestFit="1" customWidth="1"/>
    <col min="2" max="22" width="2.33203125" style="95" customWidth="1"/>
    <col min="23" max="16384" width="10.83203125" style="95"/>
  </cols>
  <sheetData>
    <row r="1" spans="1:31" x14ac:dyDescent="0.15">
      <c r="A1" s="58" t="s">
        <v>139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 s="163" t="s">
        <v>208</v>
      </c>
      <c r="S1" s="163" t="s">
        <v>209</v>
      </c>
      <c r="T1" s="163" t="s">
        <v>210</v>
      </c>
      <c r="U1" s="163" t="s">
        <v>211</v>
      </c>
      <c r="V1" s="163" t="s">
        <v>212</v>
      </c>
      <c r="W1"/>
      <c r="X1"/>
      <c r="Y1"/>
      <c r="Z1"/>
      <c r="AA1"/>
      <c r="AB1"/>
      <c r="AC1"/>
      <c r="AD1"/>
      <c r="AE1"/>
    </row>
    <row r="2" spans="1:31" customFormat="1" x14ac:dyDescent="0.15">
      <c r="A2" s="162" t="s">
        <v>192</v>
      </c>
      <c r="B2" s="95">
        <v>0</v>
      </c>
      <c r="C2" s="95">
        <v>0</v>
      </c>
      <c r="D2" s="95">
        <v>0</v>
      </c>
      <c r="E2" s="95">
        <v>0</v>
      </c>
      <c r="F2" s="95">
        <v>0</v>
      </c>
      <c r="G2" s="95">
        <v>0</v>
      </c>
      <c r="H2" s="95">
        <v>0</v>
      </c>
      <c r="I2" s="95">
        <v>0</v>
      </c>
      <c r="J2" s="95">
        <v>0</v>
      </c>
      <c r="K2" s="95">
        <v>0</v>
      </c>
      <c r="L2" s="95">
        <v>0</v>
      </c>
      <c r="M2" s="95">
        <v>0</v>
      </c>
      <c r="N2" s="95">
        <v>0</v>
      </c>
      <c r="O2" s="95">
        <v>0</v>
      </c>
      <c r="P2" s="95">
        <v>0</v>
      </c>
      <c r="Q2" s="95">
        <v>0</v>
      </c>
      <c r="R2" s="95">
        <v>0</v>
      </c>
      <c r="S2" s="95">
        <v>0</v>
      </c>
      <c r="T2" s="95">
        <v>0</v>
      </c>
      <c r="U2" s="95">
        <v>0</v>
      </c>
      <c r="V2" s="95">
        <v>0</v>
      </c>
    </row>
    <row r="3" spans="1:31" customFormat="1" x14ac:dyDescent="0.15">
      <c r="A3" s="162" t="s">
        <v>193</v>
      </c>
      <c r="B3" s="95">
        <v>1</v>
      </c>
      <c r="C3" s="95">
        <v>0</v>
      </c>
      <c r="D3" s="95">
        <v>0</v>
      </c>
      <c r="E3" s="95">
        <v>0</v>
      </c>
      <c r="F3" s="95">
        <v>0</v>
      </c>
      <c r="G3" s="95">
        <v>0</v>
      </c>
      <c r="H3" s="95">
        <v>0</v>
      </c>
      <c r="I3" s="95">
        <v>0</v>
      </c>
      <c r="J3" s="95">
        <v>0</v>
      </c>
      <c r="K3" s="95">
        <v>0</v>
      </c>
      <c r="L3" s="95">
        <v>0</v>
      </c>
      <c r="M3" s="95">
        <v>0</v>
      </c>
      <c r="N3" s="95">
        <v>0</v>
      </c>
      <c r="O3" s="95">
        <v>0</v>
      </c>
      <c r="P3" s="95">
        <v>0</v>
      </c>
      <c r="Q3" s="95">
        <v>0</v>
      </c>
      <c r="R3" s="95">
        <v>0</v>
      </c>
      <c r="S3" s="95">
        <v>0</v>
      </c>
      <c r="T3" s="95">
        <v>0</v>
      </c>
      <c r="U3" s="95">
        <v>0</v>
      </c>
      <c r="V3" s="95">
        <v>0</v>
      </c>
    </row>
    <row r="4" spans="1:31" customFormat="1" x14ac:dyDescent="0.15">
      <c r="A4" s="162" t="s">
        <v>194</v>
      </c>
      <c r="B4" s="95">
        <v>1</v>
      </c>
      <c r="C4" s="95">
        <v>0</v>
      </c>
      <c r="D4" s="95">
        <v>0</v>
      </c>
      <c r="E4" s="95">
        <v>0</v>
      </c>
      <c r="F4" s="95">
        <v>0</v>
      </c>
      <c r="G4" s="95">
        <v>0</v>
      </c>
      <c r="H4" s="95">
        <v>0</v>
      </c>
      <c r="I4" s="95">
        <v>0</v>
      </c>
      <c r="J4" s="95">
        <v>0</v>
      </c>
      <c r="K4" s="95">
        <v>0</v>
      </c>
      <c r="L4" s="95">
        <v>0</v>
      </c>
      <c r="M4" s="95">
        <v>0</v>
      </c>
      <c r="N4" s="95">
        <v>0</v>
      </c>
      <c r="O4" s="95">
        <v>0</v>
      </c>
      <c r="P4" s="95">
        <v>0</v>
      </c>
      <c r="Q4" s="95">
        <v>0</v>
      </c>
      <c r="R4" s="95">
        <v>0</v>
      </c>
      <c r="S4" s="95">
        <v>0</v>
      </c>
      <c r="T4" s="95">
        <v>0</v>
      </c>
      <c r="U4" s="95">
        <v>0</v>
      </c>
      <c r="V4" s="95">
        <v>0</v>
      </c>
    </row>
    <row r="5" spans="1:31" customFormat="1" x14ac:dyDescent="0.15">
      <c r="A5" s="162" t="s">
        <v>195</v>
      </c>
      <c r="B5" s="95">
        <v>1</v>
      </c>
      <c r="C5" s="95">
        <v>0</v>
      </c>
      <c r="D5" s="95">
        <v>0</v>
      </c>
      <c r="E5" s="95">
        <v>0</v>
      </c>
      <c r="F5" s="95">
        <v>0</v>
      </c>
      <c r="G5" s="95">
        <v>0</v>
      </c>
      <c r="H5" s="95">
        <v>0</v>
      </c>
      <c r="I5" s="95">
        <v>0</v>
      </c>
      <c r="J5" s="95">
        <v>0</v>
      </c>
      <c r="K5" s="95">
        <v>0</v>
      </c>
      <c r="L5" s="95">
        <v>0</v>
      </c>
      <c r="M5" s="95">
        <v>0</v>
      </c>
      <c r="N5" s="95">
        <v>0</v>
      </c>
      <c r="O5" s="95">
        <v>0</v>
      </c>
      <c r="P5" s="95">
        <v>0</v>
      </c>
      <c r="Q5" s="95">
        <v>0</v>
      </c>
      <c r="R5" s="95">
        <v>0</v>
      </c>
      <c r="S5" s="95">
        <v>0</v>
      </c>
      <c r="T5" s="95">
        <v>0</v>
      </c>
      <c r="U5" s="95">
        <v>0</v>
      </c>
      <c r="V5" s="95">
        <v>0</v>
      </c>
    </row>
    <row r="6" spans="1:31" customFormat="1" x14ac:dyDescent="0.15">
      <c r="A6" s="162" t="s">
        <v>196</v>
      </c>
      <c r="B6" s="95">
        <v>1</v>
      </c>
      <c r="C6" s="95">
        <v>0</v>
      </c>
      <c r="D6" s="95">
        <v>0</v>
      </c>
      <c r="E6" s="95">
        <v>0</v>
      </c>
      <c r="F6" s="95">
        <v>0</v>
      </c>
      <c r="G6" s="95">
        <v>0</v>
      </c>
      <c r="H6" s="95">
        <v>0</v>
      </c>
      <c r="I6" s="95">
        <v>0</v>
      </c>
      <c r="J6" s="95">
        <v>0</v>
      </c>
      <c r="K6" s="95">
        <v>0</v>
      </c>
      <c r="L6" s="95">
        <v>0</v>
      </c>
      <c r="M6" s="95">
        <v>0</v>
      </c>
      <c r="N6" s="95">
        <v>0</v>
      </c>
      <c r="O6" s="95">
        <v>0</v>
      </c>
      <c r="P6" s="95">
        <v>0</v>
      </c>
      <c r="Q6" s="95">
        <v>0</v>
      </c>
      <c r="R6" s="95">
        <v>0</v>
      </c>
      <c r="S6" s="95">
        <v>0</v>
      </c>
      <c r="T6" s="95">
        <v>0</v>
      </c>
      <c r="U6" s="95">
        <v>0</v>
      </c>
      <c r="V6" s="95">
        <v>0</v>
      </c>
    </row>
    <row r="7" spans="1:31" customFormat="1" x14ac:dyDescent="0.15">
      <c r="A7" s="162" t="s">
        <v>197</v>
      </c>
      <c r="B7" s="95">
        <v>1</v>
      </c>
      <c r="C7" s="95">
        <v>0</v>
      </c>
      <c r="D7" s="95">
        <v>0</v>
      </c>
      <c r="E7" s="95">
        <v>0</v>
      </c>
      <c r="F7" s="95">
        <v>0</v>
      </c>
      <c r="G7" s="95">
        <v>0</v>
      </c>
      <c r="H7" s="95">
        <v>0</v>
      </c>
      <c r="I7" s="95">
        <v>0</v>
      </c>
      <c r="J7" s="95">
        <v>0</v>
      </c>
      <c r="K7" s="95">
        <v>0</v>
      </c>
      <c r="L7" s="95">
        <v>0</v>
      </c>
      <c r="M7" s="95">
        <v>0</v>
      </c>
      <c r="N7" s="95">
        <v>0</v>
      </c>
      <c r="O7" s="95">
        <v>0</v>
      </c>
      <c r="P7" s="95">
        <v>0</v>
      </c>
      <c r="Q7" s="95">
        <v>0</v>
      </c>
      <c r="R7" s="95">
        <v>0</v>
      </c>
      <c r="S7" s="95">
        <v>0</v>
      </c>
      <c r="T7" s="95">
        <v>0</v>
      </c>
      <c r="U7" s="95">
        <v>0</v>
      </c>
      <c r="V7" s="95">
        <v>0</v>
      </c>
    </row>
    <row r="8" spans="1:31" customFormat="1" x14ac:dyDescent="0.15">
      <c r="A8" s="162" t="s">
        <v>198</v>
      </c>
      <c r="B8" s="95">
        <v>0</v>
      </c>
      <c r="C8" s="95">
        <v>1</v>
      </c>
      <c r="D8" s="95">
        <v>0</v>
      </c>
      <c r="E8" s="95">
        <v>0</v>
      </c>
      <c r="F8" s="95">
        <v>0</v>
      </c>
      <c r="G8" s="95">
        <v>0</v>
      </c>
      <c r="H8" s="95">
        <v>0</v>
      </c>
      <c r="I8" s="95">
        <v>0</v>
      </c>
      <c r="J8" s="95">
        <v>0</v>
      </c>
      <c r="K8" s="95">
        <v>0</v>
      </c>
      <c r="L8" s="95">
        <v>0</v>
      </c>
      <c r="M8" s="95">
        <v>0</v>
      </c>
      <c r="N8" s="95">
        <v>0</v>
      </c>
      <c r="O8" s="95">
        <v>0</v>
      </c>
      <c r="P8" s="95">
        <v>0</v>
      </c>
      <c r="Q8" s="95">
        <v>0</v>
      </c>
      <c r="R8" s="95">
        <v>0</v>
      </c>
      <c r="S8" s="95">
        <v>0</v>
      </c>
      <c r="T8" s="95">
        <v>0</v>
      </c>
      <c r="U8" s="95">
        <v>0</v>
      </c>
      <c r="V8" s="95">
        <v>0</v>
      </c>
    </row>
    <row r="9" spans="1:31" customFormat="1" x14ac:dyDescent="0.15">
      <c r="A9" s="162" t="s">
        <v>199</v>
      </c>
      <c r="B9" s="95">
        <v>0</v>
      </c>
      <c r="C9" s="95">
        <v>1</v>
      </c>
      <c r="D9" s="95">
        <v>0</v>
      </c>
      <c r="E9" s="95">
        <v>0</v>
      </c>
      <c r="F9" s="95">
        <v>0</v>
      </c>
      <c r="G9" s="95">
        <v>0</v>
      </c>
      <c r="H9" s="95">
        <v>0</v>
      </c>
      <c r="I9" s="95">
        <v>0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0</v>
      </c>
      <c r="P9" s="95">
        <v>0</v>
      </c>
      <c r="Q9" s="95">
        <v>0</v>
      </c>
      <c r="R9" s="95">
        <v>0</v>
      </c>
      <c r="S9" s="95">
        <v>0</v>
      </c>
      <c r="T9" s="95">
        <v>0</v>
      </c>
      <c r="U9" s="95">
        <v>0</v>
      </c>
      <c r="V9" s="95">
        <v>0</v>
      </c>
    </row>
    <row r="10" spans="1:31" customFormat="1" x14ac:dyDescent="0.15">
      <c r="A10" s="162" t="s">
        <v>200</v>
      </c>
      <c r="B10" s="95">
        <v>0</v>
      </c>
      <c r="C10" s="95">
        <v>1</v>
      </c>
      <c r="D10" s="95">
        <v>0</v>
      </c>
      <c r="E10" s="95">
        <v>0</v>
      </c>
      <c r="F10" s="95">
        <v>0</v>
      </c>
      <c r="G10" s="95">
        <v>0</v>
      </c>
      <c r="H10" s="95">
        <v>0</v>
      </c>
      <c r="I10" s="95">
        <v>0</v>
      </c>
      <c r="J10" s="95">
        <v>0</v>
      </c>
      <c r="K10" s="95">
        <v>0</v>
      </c>
      <c r="L10" s="95">
        <v>0</v>
      </c>
      <c r="M10" s="95">
        <v>0</v>
      </c>
      <c r="N10" s="95">
        <v>0</v>
      </c>
      <c r="O10" s="95">
        <v>0</v>
      </c>
      <c r="P10" s="95">
        <v>0</v>
      </c>
      <c r="Q10" s="95">
        <v>0</v>
      </c>
      <c r="R10" s="95">
        <v>0</v>
      </c>
      <c r="S10" s="95">
        <v>0</v>
      </c>
      <c r="T10" s="95">
        <v>0</v>
      </c>
      <c r="U10" s="95">
        <v>0</v>
      </c>
      <c r="V10" s="95">
        <v>0</v>
      </c>
    </row>
    <row r="11" spans="1:31" customFormat="1" x14ac:dyDescent="0.15">
      <c r="A11" s="162" t="s">
        <v>201</v>
      </c>
      <c r="B11" s="95">
        <v>0</v>
      </c>
      <c r="C11" s="95">
        <v>1</v>
      </c>
      <c r="D11" s="95">
        <v>0</v>
      </c>
      <c r="E11" s="95">
        <v>1</v>
      </c>
      <c r="F11" s="95">
        <v>0</v>
      </c>
      <c r="G11" s="95">
        <v>0</v>
      </c>
      <c r="H11" s="95">
        <v>0</v>
      </c>
      <c r="I11" s="95">
        <v>0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>
        <v>0</v>
      </c>
      <c r="Q11" s="95">
        <v>0</v>
      </c>
      <c r="R11" s="95">
        <v>0</v>
      </c>
      <c r="S11" s="95">
        <v>0</v>
      </c>
      <c r="T11" s="95">
        <v>0</v>
      </c>
      <c r="U11" s="95">
        <v>0</v>
      </c>
      <c r="V11" s="95">
        <v>0</v>
      </c>
    </row>
    <row r="12" spans="1:31" customFormat="1" x14ac:dyDescent="0.15">
      <c r="A12" s="162" t="s">
        <v>202</v>
      </c>
      <c r="B12" s="95">
        <v>0</v>
      </c>
      <c r="C12" s="95">
        <v>1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>
        <v>0</v>
      </c>
      <c r="Q12" s="95">
        <v>0</v>
      </c>
      <c r="R12" s="95">
        <v>0</v>
      </c>
      <c r="S12" s="95">
        <v>0</v>
      </c>
      <c r="T12" s="95">
        <v>0</v>
      </c>
      <c r="U12" s="95">
        <v>0</v>
      </c>
      <c r="V12" s="95">
        <v>0</v>
      </c>
    </row>
    <row r="13" spans="1:31" customFormat="1" x14ac:dyDescent="0.15">
      <c r="A13" s="162" t="s">
        <v>203</v>
      </c>
      <c r="B13" s="95">
        <v>0</v>
      </c>
      <c r="C13" s="95">
        <v>1</v>
      </c>
      <c r="D13" s="95">
        <v>0</v>
      </c>
      <c r="E13" s="95">
        <v>1</v>
      </c>
      <c r="F13" s="95">
        <v>0</v>
      </c>
      <c r="G13" s="95">
        <v>0</v>
      </c>
      <c r="H13" s="95">
        <v>0</v>
      </c>
      <c r="I13" s="95">
        <v>0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>
        <v>0</v>
      </c>
      <c r="Q13" s="95">
        <v>0</v>
      </c>
      <c r="R13" s="95">
        <v>0</v>
      </c>
      <c r="S13" s="95">
        <v>0</v>
      </c>
      <c r="T13" s="95">
        <v>0</v>
      </c>
      <c r="U13" s="95">
        <v>0</v>
      </c>
      <c r="V13" s="95">
        <v>0</v>
      </c>
    </row>
    <row r="14" spans="1:31" customFormat="1" x14ac:dyDescent="0.15">
      <c r="A14" s="162" t="s">
        <v>204</v>
      </c>
      <c r="B14" s="95">
        <v>1</v>
      </c>
      <c r="C14" s="95">
        <v>0</v>
      </c>
      <c r="D14" s="95">
        <v>0</v>
      </c>
      <c r="E14" s="95">
        <v>0</v>
      </c>
      <c r="F14" s="95">
        <v>0</v>
      </c>
      <c r="G14" s="95">
        <v>0</v>
      </c>
      <c r="H14" s="95">
        <v>0</v>
      </c>
      <c r="I14" s="95">
        <v>0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>
        <v>0</v>
      </c>
      <c r="Q14" s="95">
        <v>0</v>
      </c>
      <c r="R14" s="95">
        <v>0</v>
      </c>
      <c r="S14" s="95">
        <v>0</v>
      </c>
      <c r="T14" s="95">
        <v>0</v>
      </c>
      <c r="U14" s="95">
        <v>0</v>
      </c>
      <c r="V14" s="95">
        <v>0</v>
      </c>
    </row>
    <row r="15" spans="1:31" customFormat="1" x14ac:dyDescent="0.15">
      <c r="A15" s="162" t="s">
        <v>205</v>
      </c>
      <c r="B15" s="95">
        <v>1</v>
      </c>
      <c r="C15" s="95">
        <v>1</v>
      </c>
      <c r="D15" s="95">
        <v>1</v>
      </c>
      <c r="E15" s="95">
        <v>1</v>
      </c>
      <c r="F15" s="95">
        <v>0</v>
      </c>
      <c r="G15" s="95">
        <v>0</v>
      </c>
      <c r="H15" s="95">
        <v>0</v>
      </c>
      <c r="I15" s="95">
        <v>0</v>
      </c>
      <c r="J15" s="95">
        <v>0</v>
      </c>
      <c r="K15" s="95">
        <v>0</v>
      </c>
      <c r="L15" s="95">
        <v>1</v>
      </c>
      <c r="M15" s="95">
        <v>0</v>
      </c>
      <c r="N15" s="95">
        <v>0</v>
      </c>
      <c r="O15" s="95">
        <v>0</v>
      </c>
      <c r="P15" s="95">
        <v>0</v>
      </c>
      <c r="Q15" s="95">
        <v>0</v>
      </c>
      <c r="R15" s="95">
        <v>0</v>
      </c>
      <c r="S15" s="95">
        <v>0</v>
      </c>
      <c r="T15" s="95">
        <v>0</v>
      </c>
      <c r="U15" s="95">
        <v>0</v>
      </c>
      <c r="V15" s="95">
        <v>0</v>
      </c>
    </row>
    <row r="16" spans="1:31" customFormat="1" x14ac:dyDescent="0.15">
      <c r="A16" s="162" t="s">
        <v>206</v>
      </c>
      <c r="B16" s="95">
        <v>1</v>
      </c>
      <c r="C16" s="95">
        <v>1</v>
      </c>
      <c r="D16" s="95">
        <v>1</v>
      </c>
      <c r="E16" s="95">
        <v>1</v>
      </c>
      <c r="F16" s="95">
        <v>1</v>
      </c>
      <c r="G16" s="95">
        <v>0</v>
      </c>
      <c r="H16" s="95">
        <v>0</v>
      </c>
      <c r="I16" s="95">
        <v>0</v>
      </c>
      <c r="J16" s="95">
        <v>0</v>
      </c>
      <c r="K16" s="95">
        <v>0</v>
      </c>
      <c r="L16" s="95">
        <v>1</v>
      </c>
      <c r="M16" s="95">
        <v>0</v>
      </c>
      <c r="N16" s="95">
        <v>0</v>
      </c>
      <c r="O16" s="95">
        <v>0</v>
      </c>
      <c r="P16" s="95">
        <v>0</v>
      </c>
      <c r="Q16" s="95">
        <v>0</v>
      </c>
      <c r="R16" s="95">
        <v>0</v>
      </c>
      <c r="S16" s="95">
        <v>0</v>
      </c>
      <c r="T16" s="95">
        <v>0</v>
      </c>
      <c r="U16" s="95">
        <v>0</v>
      </c>
      <c r="V16" s="95">
        <v>0</v>
      </c>
    </row>
    <row r="17" spans="1:22" customFormat="1" x14ac:dyDescent="0.15">
      <c r="A17" s="162" t="s">
        <v>207</v>
      </c>
      <c r="B17" s="95">
        <v>1</v>
      </c>
      <c r="C17" s="95">
        <v>1</v>
      </c>
      <c r="D17" s="95">
        <v>1</v>
      </c>
      <c r="E17" s="95">
        <v>1</v>
      </c>
      <c r="F17" s="95">
        <v>1</v>
      </c>
      <c r="G17" s="95">
        <v>0</v>
      </c>
      <c r="H17" s="95">
        <v>0</v>
      </c>
      <c r="I17" s="95">
        <v>0</v>
      </c>
      <c r="J17" s="95">
        <v>0</v>
      </c>
      <c r="K17" s="95">
        <v>0</v>
      </c>
      <c r="L17" s="95">
        <v>1</v>
      </c>
      <c r="M17" s="95">
        <v>0</v>
      </c>
      <c r="N17" s="95">
        <v>0</v>
      </c>
      <c r="O17" s="95">
        <v>0</v>
      </c>
      <c r="P17" s="95">
        <v>0</v>
      </c>
      <c r="Q17" s="95">
        <v>0</v>
      </c>
      <c r="R17" s="95">
        <v>0</v>
      </c>
      <c r="S17" s="95">
        <v>0</v>
      </c>
      <c r="T17" s="95">
        <v>0</v>
      </c>
      <c r="U17" s="95">
        <v>0</v>
      </c>
      <c r="V17" s="95">
        <v>0</v>
      </c>
    </row>
    <row r="18" spans="1:22" customFormat="1" x14ac:dyDescent="0.15">
      <c r="A18" s="162" t="s">
        <v>208</v>
      </c>
      <c r="B18" s="95">
        <v>1</v>
      </c>
      <c r="C18" s="95">
        <v>1</v>
      </c>
      <c r="D18" s="95">
        <v>1</v>
      </c>
      <c r="E18" s="95">
        <v>1</v>
      </c>
      <c r="F18" s="95">
        <v>1</v>
      </c>
      <c r="G18" s="95">
        <v>0</v>
      </c>
      <c r="H18" s="95">
        <v>0</v>
      </c>
      <c r="I18" s="95">
        <v>0</v>
      </c>
      <c r="J18" s="95">
        <v>0</v>
      </c>
      <c r="K18" s="95">
        <v>0</v>
      </c>
      <c r="L18" s="95">
        <v>1</v>
      </c>
      <c r="M18" s="95">
        <v>0</v>
      </c>
      <c r="N18" s="95">
        <v>0</v>
      </c>
      <c r="O18" s="95">
        <v>0</v>
      </c>
      <c r="P18" s="95">
        <v>0</v>
      </c>
      <c r="Q18" s="95">
        <v>0</v>
      </c>
      <c r="R18" s="95">
        <v>0</v>
      </c>
      <c r="S18" s="95">
        <v>0</v>
      </c>
      <c r="T18" s="95">
        <v>0</v>
      </c>
      <c r="U18" s="95">
        <v>0</v>
      </c>
      <c r="V18" s="95">
        <v>0</v>
      </c>
    </row>
    <row r="19" spans="1:22" customFormat="1" x14ac:dyDescent="0.15">
      <c r="A19" s="162" t="s">
        <v>209</v>
      </c>
      <c r="B19" s="95">
        <v>0</v>
      </c>
      <c r="C19" s="95">
        <v>1</v>
      </c>
      <c r="D19" s="95">
        <v>0</v>
      </c>
      <c r="E19" s="95">
        <v>0</v>
      </c>
      <c r="F19" s="95">
        <v>0</v>
      </c>
      <c r="G19" s="95">
        <v>0</v>
      </c>
      <c r="H19" s="95">
        <v>0</v>
      </c>
      <c r="I19" s="95">
        <v>0</v>
      </c>
      <c r="J19" s="95">
        <v>0</v>
      </c>
      <c r="K19" s="95">
        <v>0</v>
      </c>
      <c r="L19" s="95">
        <v>0</v>
      </c>
      <c r="M19" s="95">
        <v>0</v>
      </c>
      <c r="N19" s="95">
        <v>0</v>
      </c>
      <c r="O19" s="95">
        <v>0</v>
      </c>
      <c r="P19" s="95">
        <v>1</v>
      </c>
      <c r="Q19" s="95">
        <v>1</v>
      </c>
      <c r="R19" s="95">
        <v>1</v>
      </c>
      <c r="S19" s="95">
        <v>1</v>
      </c>
      <c r="T19" s="95">
        <v>0</v>
      </c>
      <c r="U19" s="95">
        <v>0</v>
      </c>
      <c r="V19" s="95">
        <v>0</v>
      </c>
    </row>
    <row r="20" spans="1:22" customFormat="1" x14ac:dyDescent="0.15">
      <c r="A20" s="162" t="s">
        <v>210</v>
      </c>
      <c r="B20" s="95">
        <v>0</v>
      </c>
      <c r="C20" s="95">
        <v>0</v>
      </c>
      <c r="D20" s="95">
        <v>0</v>
      </c>
      <c r="E20" s="95">
        <v>0</v>
      </c>
      <c r="F20" s="95">
        <v>0</v>
      </c>
      <c r="G20" s="95">
        <v>0</v>
      </c>
      <c r="H20" s="95">
        <v>0</v>
      </c>
      <c r="I20" s="95">
        <v>0</v>
      </c>
      <c r="J20" s="95">
        <v>0</v>
      </c>
      <c r="K20" s="95">
        <v>0</v>
      </c>
      <c r="L20" s="95">
        <v>0</v>
      </c>
      <c r="M20" s="95">
        <v>0</v>
      </c>
      <c r="N20" s="95">
        <v>0</v>
      </c>
      <c r="O20" s="95">
        <v>0</v>
      </c>
      <c r="P20" s="95">
        <v>1</v>
      </c>
      <c r="Q20" s="95">
        <v>1</v>
      </c>
      <c r="R20" s="95">
        <v>1</v>
      </c>
      <c r="S20" s="95">
        <v>1</v>
      </c>
      <c r="T20" s="95">
        <v>0</v>
      </c>
      <c r="U20" s="95">
        <v>0</v>
      </c>
      <c r="V20" s="95">
        <v>0</v>
      </c>
    </row>
    <row r="21" spans="1:22" customFormat="1" x14ac:dyDescent="0.15">
      <c r="A21" s="162" t="s">
        <v>211</v>
      </c>
      <c r="B21" s="95">
        <v>0</v>
      </c>
      <c r="C21" s="95">
        <v>0</v>
      </c>
      <c r="D21" s="95">
        <v>0</v>
      </c>
      <c r="E21" s="95">
        <v>0</v>
      </c>
      <c r="F21" s="95">
        <v>1</v>
      </c>
      <c r="G21" s="95">
        <v>1</v>
      </c>
      <c r="H21" s="95">
        <v>1</v>
      </c>
      <c r="I21" s="95">
        <v>1</v>
      </c>
      <c r="J21" s="95">
        <v>1</v>
      </c>
      <c r="K21" s="95">
        <v>1</v>
      </c>
      <c r="L21" s="95">
        <v>1</v>
      </c>
      <c r="M21" s="95">
        <v>1</v>
      </c>
      <c r="N21" s="95">
        <v>1</v>
      </c>
      <c r="O21" s="95">
        <v>1</v>
      </c>
      <c r="P21" s="95">
        <v>1</v>
      </c>
      <c r="Q21" s="95">
        <v>1</v>
      </c>
      <c r="R21" s="95">
        <v>1</v>
      </c>
      <c r="S21" s="95">
        <v>1</v>
      </c>
      <c r="T21" s="95">
        <v>0</v>
      </c>
      <c r="U21" s="95">
        <v>0</v>
      </c>
      <c r="V21" s="95">
        <v>0</v>
      </c>
    </row>
    <row r="22" spans="1:22" customFormat="1" x14ac:dyDescent="0.15">
      <c r="A22" s="162" t="s">
        <v>212</v>
      </c>
      <c r="B22" s="95">
        <v>0</v>
      </c>
      <c r="C22" s="95">
        <v>0</v>
      </c>
      <c r="D22" s="95">
        <v>0</v>
      </c>
      <c r="E22" s="95">
        <v>0</v>
      </c>
      <c r="F22" s="95">
        <v>0</v>
      </c>
      <c r="G22" s="95">
        <v>0</v>
      </c>
      <c r="H22" s="95">
        <v>0</v>
      </c>
      <c r="I22" s="95">
        <v>0</v>
      </c>
      <c r="J22" s="95">
        <v>0</v>
      </c>
      <c r="K22" s="95">
        <v>0</v>
      </c>
      <c r="L22" s="95">
        <v>0</v>
      </c>
      <c r="M22" s="95">
        <v>0</v>
      </c>
      <c r="N22" s="95">
        <v>0</v>
      </c>
      <c r="O22" s="95">
        <v>0</v>
      </c>
      <c r="P22" s="95">
        <v>0</v>
      </c>
      <c r="Q22" s="95">
        <v>0</v>
      </c>
      <c r="R22" s="95">
        <v>0</v>
      </c>
      <c r="S22" s="95">
        <v>0</v>
      </c>
      <c r="T22" s="95">
        <v>0</v>
      </c>
      <c r="U22" s="95">
        <v>0</v>
      </c>
      <c r="V22" s="95">
        <v>0</v>
      </c>
    </row>
    <row r="23" spans="1:22" customFormat="1" x14ac:dyDescent="0.15">
      <c r="A23" s="162" t="s">
        <v>213</v>
      </c>
      <c r="B23" s="95">
        <v>1</v>
      </c>
      <c r="C23" s="95">
        <v>1</v>
      </c>
      <c r="D23" s="95">
        <v>0</v>
      </c>
      <c r="E23" s="95">
        <v>1</v>
      </c>
      <c r="F23" s="95">
        <v>0</v>
      </c>
      <c r="G23" s="95">
        <v>1</v>
      </c>
      <c r="H23" s="95">
        <v>0</v>
      </c>
      <c r="I23" s="95">
        <v>0</v>
      </c>
      <c r="J23" s="95">
        <v>0</v>
      </c>
      <c r="K23" s="95">
        <v>0</v>
      </c>
      <c r="L23" s="95">
        <v>0</v>
      </c>
      <c r="M23" s="95">
        <v>0</v>
      </c>
      <c r="N23" s="95">
        <v>0</v>
      </c>
      <c r="O23" s="95">
        <v>0</v>
      </c>
      <c r="P23" s="95">
        <v>0</v>
      </c>
      <c r="Q23" s="95">
        <v>0</v>
      </c>
      <c r="R23" s="95">
        <v>0</v>
      </c>
      <c r="S23" s="95">
        <v>0</v>
      </c>
      <c r="T23" s="95">
        <v>0</v>
      </c>
      <c r="U23" s="95">
        <v>0</v>
      </c>
      <c r="V23" s="95">
        <v>0</v>
      </c>
    </row>
    <row r="24" spans="1:22" customFormat="1" x14ac:dyDescent="0.15"/>
    <row r="25" spans="1:22" customFormat="1" x14ac:dyDescent="0.15"/>
    <row r="26" spans="1:22" customFormat="1" x14ac:dyDescent="0.15"/>
    <row r="27" spans="1:22" customFormat="1" x14ac:dyDescent="0.15"/>
    <row r="28" spans="1:22" customFormat="1" x14ac:dyDescent="0.15"/>
    <row r="29" spans="1:22" customFormat="1" x14ac:dyDescent="0.15"/>
    <row r="30" spans="1:22" customFormat="1" x14ac:dyDescent="0.15"/>
    <row r="31" spans="1:2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D1" sqref="D1"/>
    </sheetView>
  </sheetViews>
  <sheetFormatPr baseColWidth="10" defaultRowHeight="13" x14ac:dyDescent="0.15"/>
  <cols>
    <col min="1" max="1" width="3.33203125" customWidth="1"/>
    <col min="2" max="2" width="26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83</v>
      </c>
      <c r="B1" s="3" t="s">
        <v>0</v>
      </c>
      <c r="C1" s="176" t="s">
        <v>217</v>
      </c>
    </row>
    <row r="2" spans="1:3" x14ac:dyDescent="0.15">
      <c r="A2">
        <v>1</v>
      </c>
      <c r="B2" s="164" t="s">
        <v>192</v>
      </c>
      <c r="C2">
        <v>0</v>
      </c>
    </row>
    <row r="3" spans="1:3" x14ac:dyDescent="0.15">
      <c r="A3">
        <v>2</v>
      </c>
      <c r="B3" s="164" t="s">
        <v>193</v>
      </c>
      <c r="C3">
        <v>0</v>
      </c>
    </row>
    <row r="4" spans="1:3" x14ac:dyDescent="0.15">
      <c r="A4">
        <v>3</v>
      </c>
      <c r="B4" s="164" t="s">
        <v>194</v>
      </c>
      <c r="C4">
        <v>0</v>
      </c>
    </row>
    <row r="5" spans="1:3" x14ac:dyDescent="0.15">
      <c r="A5">
        <v>4</v>
      </c>
      <c r="B5" s="164" t="s">
        <v>195</v>
      </c>
      <c r="C5">
        <v>0</v>
      </c>
    </row>
    <row r="6" spans="1:3" x14ac:dyDescent="0.15">
      <c r="A6">
        <v>5</v>
      </c>
      <c r="B6" s="164" t="s">
        <v>196</v>
      </c>
      <c r="C6">
        <v>0</v>
      </c>
    </row>
    <row r="7" spans="1:3" x14ac:dyDescent="0.15">
      <c r="A7">
        <v>6</v>
      </c>
      <c r="B7" s="164" t="s">
        <v>197</v>
      </c>
      <c r="C7">
        <v>0</v>
      </c>
    </row>
    <row r="8" spans="1:3" x14ac:dyDescent="0.15">
      <c r="A8">
        <v>7</v>
      </c>
      <c r="B8" s="164" t="s">
        <v>198</v>
      </c>
      <c r="C8">
        <v>0</v>
      </c>
    </row>
    <row r="9" spans="1:3" x14ac:dyDescent="0.15">
      <c r="A9">
        <v>8</v>
      </c>
      <c r="B9" s="164" t="s">
        <v>199</v>
      </c>
      <c r="C9">
        <v>0</v>
      </c>
    </row>
    <row r="10" spans="1:3" x14ac:dyDescent="0.15">
      <c r="A10">
        <v>9</v>
      </c>
      <c r="B10" s="164" t="s">
        <v>200</v>
      </c>
      <c r="C10">
        <v>0</v>
      </c>
    </row>
    <row r="11" spans="1:3" x14ac:dyDescent="0.15">
      <c r="A11">
        <v>10</v>
      </c>
      <c r="B11" s="164" t="s">
        <v>201</v>
      </c>
      <c r="C11">
        <v>0</v>
      </c>
    </row>
    <row r="12" spans="1:3" x14ac:dyDescent="0.15">
      <c r="A12">
        <v>11</v>
      </c>
      <c r="B12" s="164" t="s">
        <v>202</v>
      </c>
      <c r="C12">
        <v>0</v>
      </c>
    </row>
    <row r="13" spans="1:3" x14ac:dyDescent="0.15">
      <c r="A13">
        <v>12</v>
      </c>
      <c r="B13" s="164" t="s">
        <v>203</v>
      </c>
      <c r="C13">
        <v>0</v>
      </c>
    </row>
    <row r="14" spans="1:3" x14ac:dyDescent="0.15">
      <c r="A14">
        <v>13</v>
      </c>
      <c r="B14" s="164" t="s">
        <v>204</v>
      </c>
      <c r="C14">
        <v>0</v>
      </c>
    </row>
    <row r="15" spans="1:3" x14ac:dyDescent="0.15">
      <c r="A15">
        <v>14</v>
      </c>
      <c r="B15" s="164" t="s">
        <v>205</v>
      </c>
      <c r="C15">
        <v>0</v>
      </c>
    </row>
    <row r="16" spans="1:3" x14ac:dyDescent="0.15">
      <c r="A16">
        <v>15</v>
      </c>
      <c r="B16" s="164" t="s">
        <v>206</v>
      </c>
      <c r="C16">
        <v>0</v>
      </c>
    </row>
    <row r="17" spans="1:3" x14ac:dyDescent="0.15">
      <c r="A17">
        <v>16</v>
      </c>
      <c r="B17" s="164" t="s">
        <v>207</v>
      </c>
      <c r="C17">
        <v>0</v>
      </c>
    </row>
    <row r="18" spans="1:3" x14ac:dyDescent="0.15">
      <c r="A18">
        <v>17</v>
      </c>
      <c r="B18" s="164" t="s">
        <v>208</v>
      </c>
      <c r="C18">
        <v>0</v>
      </c>
    </row>
    <row r="19" spans="1:3" x14ac:dyDescent="0.15">
      <c r="A19">
        <v>18</v>
      </c>
      <c r="B19" s="164" t="s">
        <v>209</v>
      </c>
      <c r="C19">
        <v>0</v>
      </c>
    </row>
    <row r="20" spans="1:3" x14ac:dyDescent="0.15">
      <c r="A20">
        <v>19</v>
      </c>
      <c r="B20" s="164" t="s">
        <v>210</v>
      </c>
      <c r="C20">
        <v>0</v>
      </c>
    </row>
    <row r="21" spans="1:3" x14ac:dyDescent="0.15">
      <c r="A21">
        <v>20</v>
      </c>
      <c r="B21" s="164" t="s">
        <v>211</v>
      </c>
      <c r="C21">
        <v>0</v>
      </c>
    </row>
    <row r="22" spans="1:3" x14ac:dyDescent="0.15">
      <c r="A22">
        <v>21</v>
      </c>
      <c r="B22" s="164" t="s">
        <v>212</v>
      </c>
      <c r="C22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22"/>
  <sheetViews>
    <sheetView workbookViewId="0">
      <selection activeCell="D1" sqref="D1"/>
    </sheetView>
  </sheetViews>
  <sheetFormatPr baseColWidth="10" defaultRowHeight="13" x14ac:dyDescent="0.15"/>
  <cols>
    <col min="1" max="1" width="3.33203125" customWidth="1"/>
    <col min="2" max="2" width="26.5" bestFit="1" customWidth="1"/>
    <col min="3" max="3" width="16" bestFit="1" customWidth="1"/>
    <col min="4" max="4" width="16.33203125" bestFit="1" customWidth="1"/>
  </cols>
  <sheetData>
    <row r="1" spans="1:3" ht="112" x14ac:dyDescent="0.15">
      <c r="A1" s="5" t="s">
        <v>82</v>
      </c>
      <c r="B1" s="3" t="s">
        <v>0</v>
      </c>
      <c r="C1" s="176" t="s">
        <v>217</v>
      </c>
    </row>
    <row r="2" spans="1:3" x14ac:dyDescent="0.15">
      <c r="A2">
        <v>1</v>
      </c>
      <c r="B2" s="165" t="s">
        <v>192</v>
      </c>
      <c r="C2">
        <v>0</v>
      </c>
    </row>
    <row r="3" spans="1:3" x14ac:dyDescent="0.15">
      <c r="A3">
        <v>2</v>
      </c>
      <c r="B3" s="165" t="s">
        <v>193</v>
      </c>
      <c r="C3">
        <v>0</v>
      </c>
    </row>
    <row r="4" spans="1:3" x14ac:dyDescent="0.15">
      <c r="A4">
        <v>3</v>
      </c>
      <c r="B4" s="165" t="s">
        <v>194</v>
      </c>
      <c r="C4">
        <v>0</v>
      </c>
    </row>
    <row r="5" spans="1:3" x14ac:dyDescent="0.15">
      <c r="A5">
        <v>4</v>
      </c>
      <c r="B5" s="165" t="s">
        <v>195</v>
      </c>
      <c r="C5">
        <v>0</v>
      </c>
    </row>
    <row r="6" spans="1:3" x14ac:dyDescent="0.15">
      <c r="A6">
        <v>5</v>
      </c>
      <c r="B6" s="165" t="s">
        <v>196</v>
      </c>
      <c r="C6">
        <v>0</v>
      </c>
    </row>
    <row r="7" spans="1:3" x14ac:dyDescent="0.15">
      <c r="A7">
        <v>6</v>
      </c>
      <c r="B7" s="165" t="s">
        <v>197</v>
      </c>
      <c r="C7">
        <v>0</v>
      </c>
    </row>
    <row r="8" spans="1:3" x14ac:dyDescent="0.15">
      <c r="A8">
        <v>7</v>
      </c>
      <c r="B8" s="165" t="s">
        <v>198</v>
      </c>
      <c r="C8">
        <v>0</v>
      </c>
    </row>
    <row r="9" spans="1:3" x14ac:dyDescent="0.15">
      <c r="A9">
        <v>8</v>
      </c>
      <c r="B9" s="165" t="s">
        <v>199</v>
      </c>
      <c r="C9">
        <v>0</v>
      </c>
    </row>
    <row r="10" spans="1:3" x14ac:dyDescent="0.15">
      <c r="A10">
        <v>9</v>
      </c>
      <c r="B10" s="165" t="s">
        <v>200</v>
      </c>
      <c r="C10">
        <v>0</v>
      </c>
    </row>
    <row r="11" spans="1:3" x14ac:dyDescent="0.15">
      <c r="A11">
        <v>10</v>
      </c>
      <c r="B11" s="165" t="s">
        <v>201</v>
      </c>
      <c r="C11">
        <v>0</v>
      </c>
    </row>
    <row r="12" spans="1:3" x14ac:dyDescent="0.15">
      <c r="A12">
        <v>11</v>
      </c>
      <c r="B12" s="165" t="s">
        <v>202</v>
      </c>
      <c r="C12">
        <v>0</v>
      </c>
    </row>
    <row r="13" spans="1:3" x14ac:dyDescent="0.15">
      <c r="A13">
        <v>12</v>
      </c>
      <c r="B13" s="165" t="s">
        <v>203</v>
      </c>
      <c r="C13">
        <v>0</v>
      </c>
    </row>
    <row r="14" spans="1:3" x14ac:dyDescent="0.15">
      <c r="A14">
        <v>13</v>
      </c>
      <c r="B14" s="165" t="s">
        <v>204</v>
      </c>
      <c r="C14">
        <v>0</v>
      </c>
    </row>
    <row r="15" spans="1:3" x14ac:dyDescent="0.15">
      <c r="A15">
        <v>14</v>
      </c>
      <c r="B15" s="165" t="s">
        <v>205</v>
      </c>
      <c r="C15">
        <v>0</v>
      </c>
    </row>
    <row r="16" spans="1:3" x14ac:dyDescent="0.15">
      <c r="A16">
        <v>15</v>
      </c>
      <c r="B16" s="165" t="s">
        <v>206</v>
      </c>
      <c r="C16">
        <v>0</v>
      </c>
    </row>
    <row r="17" spans="1:3" x14ac:dyDescent="0.15">
      <c r="A17">
        <v>16</v>
      </c>
      <c r="B17" s="165" t="s">
        <v>207</v>
      </c>
      <c r="C17">
        <v>0</v>
      </c>
    </row>
    <row r="18" spans="1:3" x14ac:dyDescent="0.15">
      <c r="A18">
        <v>17</v>
      </c>
      <c r="B18" s="165" t="s">
        <v>208</v>
      </c>
      <c r="C18">
        <v>0</v>
      </c>
    </row>
    <row r="19" spans="1:3" x14ac:dyDescent="0.15">
      <c r="A19">
        <v>18</v>
      </c>
      <c r="B19" s="165" t="s">
        <v>209</v>
      </c>
      <c r="C19">
        <v>0</v>
      </c>
    </row>
    <row r="20" spans="1:3" x14ac:dyDescent="0.15">
      <c r="A20">
        <v>19</v>
      </c>
      <c r="B20" s="165" t="s">
        <v>210</v>
      </c>
      <c r="C20">
        <v>0</v>
      </c>
    </row>
    <row r="21" spans="1:3" x14ac:dyDescent="0.15">
      <c r="A21">
        <v>20</v>
      </c>
      <c r="B21" s="165" t="s">
        <v>211</v>
      </c>
      <c r="C21">
        <v>0</v>
      </c>
    </row>
    <row r="22" spans="1:3" x14ac:dyDescent="0.15">
      <c r="A22">
        <v>21</v>
      </c>
      <c r="B22" s="165" t="s">
        <v>212</v>
      </c>
      <c r="C22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F28" sqref="F28"/>
    </sheetView>
  </sheetViews>
  <sheetFormatPr baseColWidth="10" defaultColWidth="8.83203125" defaultRowHeight="15" customHeight="1" x14ac:dyDescent="0.15"/>
  <cols>
    <col min="1" max="1" width="8.83203125" style="71"/>
    <col min="2" max="2" width="41.83203125" style="71" bestFit="1" customWidth="1"/>
    <col min="3" max="3" width="9.33203125" style="71" bestFit="1" customWidth="1"/>
    <col min="4" max="4" width="13" style="71" bestFit="1" customWidth="1"/>
    <col min="5" max="6" width="9.33203125" style="71" bestFit="1" customWidth="1"/>
    <col min="7" max="7" width="9.33203125" style="87" bestFit="1" customWidth="1"/>
    <col min="8" max="8" width="9.33203125" style="71" bestFit="1" customWidth="1"/>
    <col min="9" max="9" width="11" style="71" customWidth="1"/>
    <col min="10" max="10" width="8.83203125" style="71"/>
    <col min="15" max="16384" width="8.83203125" style="71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30" t="s">
        <v>14</v>
      </c>
      <c r="H1" s="1" t="s">
        <v>26</v>
      </c>
      <c r="I1" s="1" t="s">
        <v>24</v>
      </c>
    </row>
    <row r="2" spans="1:10" ht="15" customHeight="1" x14ac:dyDescent="0.15">
      <c r="A2" s="127">
        <v>1</v>
      </c>
      <c r="B2" s="127" t="s">
        <v>192</v>
      </c>
      <c r="C2" s="8">
        <v>3.1426887512207031</v>
      </c>
      <c r="D2" s="9">
        <v>3.7989139556884766E-2</v>
      </c>
      <c r="E2" s="9">
        <v>0.20667955279350281</v>
      </c>
      <c r="F2" s="9">
        <v>97.503364562988281</v>
      </c>
      <c r="G2" s="7">
        <v>0</v>
      </c>
      <c r="H2" s="9">
        <v>2.119717188179493E-3</v>
      </c>
      <c r="I2">
        <v>0</v>
      </c>
      <c r="J2"/>
    </row>
    <row r="3" spans="1:10" ht="15" customHeight="1" x14ac:dyDescent="0.15">
      <c r="A3" s="128">
        <v>2</v>
      </c>
      <c r="B3" s="128" t="s">
        <v>193</v>
      </c>
      <c r="C3" s="8">
        <v>3.0331454277038574</v>
      </c>
      <c r="D3" s="9">
        <v>1.2209599018096924</v>
      </c>
      <c r="E3" s="9">
        <v>1.1306427717208862</v>
      </c>
      <c r="F3" s="9">
        <v>5.0583705902099609</v>
      </c>
      <c r="G3" s="9">
        <v>0.27185717225074768</v>
      </c>
      <c r="H3" s="9">
        <v>0.22351916134357452</v>
      </c>
      <c r="I3">
        <v>0</v>
      </c>
      <c r="J3"/>
    </row>
    <row r="4" spans="1:10" ht="15" customHeight="1" x14ac:dyDescent="0.15">
      <c r="A4" s="129">
        <v>3</v>
      </c>
      <c r="B4" s="129" t="s">
        <v>194</v>
      </c>
      <c r="C4" s="8">
        <v>3.0009911060333252</v>
      </c>
      <c r="D4" s="9">
        <v>5.0756134986877441</v>
      </c>
      <c r="E4" s="9">
        <v>0.54428941011428833</v>
      </c>
      <c r="F4" s="9">
        <v>1.2743420600891113</v>
      </c>
      <c r="G4" s="9">
        <v>6.7923362366855145E-3</v>
      </c>
      <c r="H4" s="9">
        <v>0.42711406946182251</v>
      </c>
      <c r="I4">
        <v>0</v>
      </c>
      <c r="J4"/>
    </row>
    <row r="5" spans="1:10" ht="15" customHeight="1" x14ac:dyDescent="0.15">
      <c r="A5" s="130">
        <v>4</v>
      </c>
      <c r="B5" s="130" t="s">
        <v>195</v>
      </c>
      <c r="C5" s="8">
        <v>3.0009639263153076</v>
      </c>
      <c r="D5" s="9">
        <v>0.20463727414608002</v>
      </c>
      <c r="E5" s="9">
        <v>1.8968832492828369</v>
      </c>
      <c r="F5" s="9">
        <v>9.5671558380126953</v>
      </c>
      <c r="G5" s="9">
        <v>4.8340622335672379E-2</v>
      </c>
      <c r="H5" s="9">
        <v>0.19827033579349518</v>
      </c>
      <c r="I5">
        <v>0</v>
      </c>
      <c r="J5"/>
    </row>
    <row r="6" spans="1:10" ht="15" customHeight="1" x14ac:dyDescent="0.15">
      <c r="A6" s="131">
        <v>5</v>
      </c>
      <c r="B6" s="131" t="s">
        <v>196</v>
      </c>
      <c r="C6" s="8">
        <v>2.3453447818756104</v>
      </c>
      <c r="D6" s="9">
        <v>0.83528280258178711</v>
      </c>
      <c r="E6" s="9">
        <v>0.81219631433486938</v>
      </c>
      <c r="F6" s="9">
        <v>2.6684956550598145</v>
      </c>
      <c r="G6" s="9">
        <v>2.7659418061375618E-2</v>
      </c>
      <c r="H6" s="9">
        <v>0.30436486005783081</v>
      </c>
      <c r="I6">
        <v>0</v>
      </c>
      <c r="J6"/>
    </row>
    <row r="7" spans="1:10" ht="15" customHeight="1" x14ac:dyDescent="0.15">
      <c r="A7" s="132">
        <v>6</v>
      </c>
      <c r="B7" s="132" t="s">
        <v>197</v>
      </c>
      <c r="C7" s="8">
        <v>2</v>
      </c>
      <c r="D7" s="9">
        <v>6.706959567964077E-3</v>
      </c>
      <c r="E7" s="9">
        <v>9.5890388488769531</v>
      </c>
      <c r="F7" s="9">
        <v>225.00740051269531</v>
      </c>
      <c r="G7" s="9">
        <v>5.8353482745587826E-3</v>
      </c>
      <c r="H7" s="9">
        <v>4.2616549879312515E-2</v>
      </c>
      <c r="I7">
        <v>0</v>
      </c>
      <c r="J7"/>
    </row>
    <row r="8" spans="1:10" ht="15" customHeight="1" x14ac:dyDescent="0.15">
      <c r="A8" s="133">
        <v>7</v>
      </c>
      <c r="B8" s="133" t="s">
        <v>198</v>
      </c>
      <c r="C8" s="8">
        <v>2</v>
      </c>
      <c r="D8" s="9">
        <v>3.3635108266025782E-3</v>
      </c>
      <c r="E8" s="9">
        <v>9.9039125442504883</v>
      </c>
      <c r="F8" s="9">
        <v>454.947509765625</v>
      </c>
      <c r="G8" s="9">
        <v>5.5100932717323303E-2</v>
      </c>
      <c r="H8" s="9">
        <v>2.176935225725174E-2</v>
      </c>
      <c r="I8">
        <v>0</v>
      </c>
      <c r="J8"/>
    </row>
    <row r="9" spans="1:10" ht="15" customHeight="1" x14ac:dyDescent="0.15">
      <c r="A9" s="134">
        <v>8</v>
      </c>
      <c r="B9" s="134" t="s">
        <v>199</v>
      </c>
      <c r="C9" s="8">
        <v>2</v>
      </c>
      <c r="D9" s="9">
        <v>0.23887526988983154</v>
      </c>
      <c r="E9" s="9">
        <v>2.322960376739502</v>
      </c>
      <c r="F9" s="9">
        <v>121.02744293212891</v>
      </c>
      <c r="G9" s="9">
        <v>0.13231393694877625</v>
      </c>
      <c r="H9" s="9">
        <v>1.9193666055798531E-2</v>
      </c>
      <c r="I9">
        <v>0</v>
      </c>
      <c r="J9"/>
    </row>
    <row r="10" spans="1:10" ht="15" customHeight="1" x14ac:dyDescent="0.15">
      <c r="A10" s="135">
        <v>9</v>
      </c>
      <c r="B10" s="135" t="s">
        <v>200</v>
      </c>
      <c r="C10" s="8">
        <v>2</v>
      </c>
      <c r="D10" s="9">
        <v>4.2640417814254761E-3</v>
      </c>
      <c r="E10" s="9">
        <v>9.2404346466064453</v>
      </c>
      <c r="F10" s="9">
        <v>293.92752075195312</v>
      </c>
      <c r="G10" s="9">
        <v>0.77641415596008301</v>
      </c>
      <c r="H10" s="9">
        <v>3.1437799334526062E-2</v>
      </c>
      <c r="I10">
        <v>0</v>
      </c>
      <c r="J10"/>
    </row>
    <row r="11" spans="1:10" ht="15" customHeight="1" x14ac:dyDescent="0.15">
      <c r="A11" s="136">
        <v>10</v>
      </c>
      <c r="B11" s="136" t="s">
        <v>201</v>
      </c>
      <c r="C11" s="8">
        <v>2</v>
      </c>
      <c r="D11" s="9">
        <v>0.15392857789993286</v>
      </c>
      <c r="E11" s="9">
        <v>2.0204861164093018</v>
      </c>
      <c r="F11" s="9">
        <v>77.010086059570312</v>
      </c>
      <c r="G11" s="9">
        <v>0.48917490243911743</v>
      </c>
      <c r="H11" s="9">
        <v>2.6236642152070999E-2</v>
      </c>
      <c r="I11">
        <v>0</v>
      </c>
      <c r="J11"/>
    </row>
    <row r="12" spans="1:10" ht="15" customHeight="1" x14ac:dyDescent="0.15">
      <c r="A12" s="137">
        <v>11</v>
      </c>
      <c r="B12" s="137" t="s">
        <v>202</v>
      </c>
      <c r="C12" s="8">
        <v>2.9484946727752686</v>
      </c>
      <c r="D12" s="9">
        <v>0.1783812940120697</v>
      </c>
      <c r="E12" s="9">
        <v>4.0370936393737793</v>
      </c>
      <c r="F12" s="9">
        <v>71.748275756835938</v>
      </c>
      <c r="G12" s="9">
        <v>0.20390620827674866</v>
      </c>
      <c r="H12" s="9">
        <v>5.6267466396093369E-2</v>
      </c>
      <c r="I12">
        <v>0</v>
      </c>
      <c r="J12"/>
    </row>
    <row r="13" spans="1:10" ht="15" customHeight="1" x14ac:dyDescent="0.15">
      <c r="A13" s="138">
        <v>12</v>
      </c>
      <c r="B13" s="138" t="s">
        <v>203</v>
      </c>
      <c r="C13" s="8">
        <v>2</v>
      </c>
      <c r="D13" s="9">
        <v>5.0505972467362881E-3</v>
      </c>
      <c r="E13" s="9">
        <v>5.739995002746582</v>
      </c>
      <c r="F13" s="9">
        <v>108.55479431152344</v>
      </c>
      <c r="G13" s="9">
        <v>0.20334351062774658</v>
      </c>
      <c r="H13" s="9">
        <v>5.287647619843483E-2</v>
      </c>
      <c r="I13">
        <v>0</v>
      </c>
      <c r="J13"/>
    </row>
    <row r="14" spans="1:10" ht="15" customHeight="1" x14ac:dyDescent="0.15">
      <c r="A14" s="139">
        <v>13</v>
      </c>
      <c r="B14" s="139" t="s">
        <v>204</v>
      </c>
      <c r="C14" s="8">
        <v>2</v>
      </c>
      <c r="D14" s="9">
        <v>2.8063971549272537E-2</v>
      </c>
      <c r="E14" s="9">
        <v>0.95343422889709473</v>
      </c>
      <c r="F14" s="9">
        <v>172.07150268554688</v>
      </c>
      <c r="G14" s="9">
        <v>0.14025802910327911</v>
      </c>
      <c r="H14" s="9">
        <v>5.5409190244972706E-3</v>
      </c>
      <c r="I14">
        <v>0</v>
      </c>
      <c r="J14"/>
    </row>
    <row r="15" spans="1:10" ht="15" customHeight="1" x14ac:dyDescent="0.15">
      <c r="A15" s="140">
        <v>14</v>
      </c>
      <c r="B15" s="140" t="s">
        <v>205</v>
      </c>
      <c r="C15" s="8">
        <v>2</v>
      </c>
      <c r="D15" s="9">
        <v>0.54700982570648193</v>
      </c>
      <c r="E15" s="9">
        <v>2.3929092884063721</v>
      </c>
      <c r="F15" s="9">
        <v>183.94874572753906</v>
      </c>
      <c r="G15" s="9">
        <v>0.80748957395553589</v>
      </c>
      <c r="H15" s="9">
        <v>1.300856564193964E-2</v>
      </c>
      <c r="I15">
        <v>0</v>
      </c>
      <c r="J15"/>
    </row>
    <row r="16" spans="1:10" ht="15" customHeight="1" x14ac:dyDescent="0.15">
      <c r="A16" s="141">
        <v>15</v>
      </c>
      <c r="B16" s="141" t="s">
        <v>206</v>
      </c>
      <c r="C16" s="8">
        <v>2.000999927520752</v>
      </c>
      <c r="D16" s="9">
        <v>3.730048656463623</v>
      </c>
      <c r="E16" s="9">
        <v>2.8024530410766602</v>
      </c>
      <c r="F16" s="9">
        <v>8.1172866821289062</v>
      </c>
      <c r="G16" s="9">
        <v>0.64694714546203613</v>
      </c>
      <c r="H16" s="9">
        <v>0.34524506330490112</v>
      </c>
      <c r="I16">
        <v>0</v>
      </c>
      <c r="J16"/>
    </row>
    <row r="17" spans="1:10" ht="15" customHeight="1" x14ac:dyDescent="0.15">
      <c r="A17" s="142">
        <v>16</v>
      </c>
      <c r="B17" s="142" t="s">
        <v>207</v>
      </c>
      <c r="C17" s="8">
        <v>2.000999927520752</v>
      </c>
      <c r="D17" s="9">
        <v>18.182041168212891</v>
      </c>
      <c r="E17" s="9">
        <v>2.7645347118377686</v>
      </c>
      <c r="F17" s="9">
        <v>15.581300735473633</v>
      </c>
      <c r="G17" s="9">
        <v>0.26633483171463013</v>
      </c>
      <c r="H17" s="9">
        <v>0.17742644250392914</v>
      </c>
      <c r="I17">
        <v>0</v>
      </c>
      <c r="J17"/>
    </row>
    <row r="18" spans="1:10" ht="15" customHeight="1" x14ac:dyDescent="0.15">
      <c r="A18" s="143">
        <v>17</v>
      </c>
      <c r="B18" s="143" t="s">
        <v>208</v>
      </c>
      <c r="C18" s="8">
        <v>2.000999927520752</v>
      </c>
      <c r="D18" s="9">
        <v>14.443567276000977</v>
      </c>
      <c r="E18" s="9">
        <v>1.4075149297714233</v>
      </c>
      <c r="F18" s="9">
        <v>7.1699047088623047</v>
      </c>
      <c r="G18" s="9">
        <v>0.22018641233444214</v>
      </c>
      <c r="H18" s="9">
        <v>0.19630873203277588</v>
      </c>
      <c r="I18">
        <v>0</v>
      </c>
      <c r="J18"/>
    </row>
    <row r="19" spans="1:10" ht="15" customHeight="1" x14ac:dyDescent="0.15">
      <c r="A19" s="144">
        <v>18</v>
      </c>
      <c r="B19" s="144" t="s">
        <v>209</v>
      </c>
      <c r="C19" s="8">
        <v>2.0010008811950684</v>
      </c>
      <c r="D19" s="9">
        <v>2.5831027030944824</v>
      </c>
      <c r="E19" s="9">
        <v>115.75140380859375</v>
      </c>
      <c r="F19" s="9">
        <v>353.32330322265625</v>
      </c>
      <c r="G19" s="9">
        <v>1.0012093000113964E-2</v>
      </c>
      <c r="H19" s="9">
        <v>0.32760760188102722</v>
      </c>
      <c r="I19">
        <v>0</v>
      </c>
      <c r="J19"/>
    </row>
    <row r="20" spans="1:10" ht="15" customHeight="1" x14ac:dyDescent="0.15">
      <c r="A20" s="145">
        <v>19</v>
      </c>
      <c r="B20" s="145" t="s">
        <v>210</v>
      </c>
      <c r="C20" s="8">
        <v>1</v>
      </c>
      <c r="D20" s="9">
        <v>43.356483459472656</v>
      </c>
      <c r="E20" s="9">
        <v>462.11624145507812</v>
      </c>
      <c r="F20" s="10"/>
      <c r="G20" s="9">
        <v>5.1827426999807358E-2</v>
      </c>
      <c r="H20" s="10"/>
      <c r="I20">
        <v>0</v>
      </c>
      <c r="J20"/>
    </row>
    <row r="21" spans="1:10" ht="15" customHeight="1" x14ac:dyDescent="0.15">
      <c r="A21" s="146">
        <v>20</v>
      </c>
      <c r="B21" s="146" t="s">
        <v>211</v>
      </c>
      <c r="C21" s="8">
        <v>1</v>
      </c>
      <c r="D21" s="9">
        <v>597</v>
      </c>
      <c r="E21" s="10"/>
      <c r="F21" s="10"/>
      <c r="G21" s="9">
        <v>2.2489933297038078E-2</v>
      </c>
      <c r="H21" s="10"/>
      <c r="I21">
        <v>0</v>
      </c>
      <c r="J21"/>
    </row>
    <row r="22" spans="1:10" ht="15" customHeight="1" x14ac:dyDescent="0.15">
      <c r="A22" s="147">
        <v>21</v>
      </c>
      <c r="B22" s="147" t="s">
        <v>212</v>
      </c>
      <c r="C22" s="8">
        <v>1</v>
      </c>
      <c r="D22" s="9">
        <v>5</v>
      </c>
      <c r="E22" s="10"/>
      <c r="F22" s="10"/>
      <c r="G22" s="7">
        <v>0</v>
      </c>
      <c r="H22" s="10"/>
      <c r="I22">
        <v>0</v>
      </c>
      <c r="J22"/>
    </row>
    <row r="23" spans="1:10" ht="15" customHeight="1" x14ac:dyDescent="0.15">
      <c r="A23" s="148">
        <v>22</v>
      </c>
      <c r="B23" s="148" t="s">
        <v>217</v>
      </c>
      <c r="C23" s="8">
        <v>1</v>
      </c>
      <c r="D23" s="10"/>
      <c r="E23" s="10"/>
      <c r="F23" s="10"/>
      <c r="G23" s="10"/>
      <c r="H23" s="10"/>
      <c r="I23">
        <v>0</v>
      </c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1" bestFit="1" customWidth="1"/>
    <col min="2" max="4" width="9.5" style="71" bestFit="1" customWidth="1"/>
    <col min="5" max="7" width="9" style="71" bestFit="1" customWidth="1"/>
    <col min="8" max="16" width="12.6640625" style="71" bestFit="1" customWidth="1"/>
    <col min="17" max="17" width="12.33203125" style="71" bestFit="1" customWidth="1"/>
    <col min="18" max="18" width="8.83203125" style="71"/>
    <col min="19" max="21" width="9.33203125" style="71" bestFit="1" customWidth="1"/>
    <col min="22" max="23" width="8.83203125" style="71"/>
    <col min="24" max="24" width="9.33203125" style="71" bestFit="1" customWidth="1"/>
    <col min="25" max="27" width="8.83203125" style="71"/>
    <col min="28" max="58" width="9" style="71" bestFit="1" customWidth="1"/>
    <col min="59" max="59" width="12.33203125" style="71" bestFit="1" customWidth="1"/>
    <col min="60" max="60" width="9" style="71" bestFit="1" customWidth="1"/>
    <col min="61" max="61" width="11.33203125" style="71" bestFit="1" customWidth="1"/>
    <col min="62" max="77" width="9" style="71" bestFit="1" customWidth="1"/>
    <col min="78" max="78" width="12.33203125" style="71" bestFit="1" customWidth="1"/>
    <col min="79" max="79" width="9" style="71" bestFit="1" customWidth="1"/>
    <col min="80" max="80" width="12.33203125" style="71" bestFit="1" customWidth="1"/>
    <col min="81" max="107" width="9" style="71" bestFit="1" customWidth="1"/>
    <col min="108" max="108" width="11.33203125" style="71" bestFit="1" customWidth="1"/>
    <col min="109" max="124" width="9" style="71" bestFit="1" customWidth="1"/>
    <col min="125" max="125" width="10.33203125" style="71" bestFit="1" customWidth="1"/>
    <col min="126" max="129" width="9.33203125" style="71" bestFit="1" customWidth="1"/>
    <col min="130" max="130" width="9" style="71" bestFit="1" customWidth="1"/>
    <col min="131" max="134" width="9.33203125" style="71" bestFit="1" customWidth="1"/>
    <col min="135" max="165" width="9" style="71" bestFit="1" customWidth="1"/>
    <col min="166" max="166" width="12.33203125" style="71" bestFit="1" customWidth="1"/>
    <col min="167" max="170" width="9" style="71" bestFit="1" customWidth="1"/>
    <col min="171" max="176" width="8.83203125" style="71"/>
    <col min="177" max="177" width="13.83203125" style="71" bestFit="1" customWidth="1"/>
    <col min="178" max="16384" width="8.83203125" style="71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219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 t="s">
        <v>200</v>
      </c>
      <c r="N1" t="s">
        <v>201</v>
      </c>
      <c r="O1" t="s">
        <v>202</v>
      </c>
      <c r="P1" t="s">
        <v>203</v>
      </c>
      <c r="Q1" t="s">
        <v>204</v>
      </c>
      <c r="R1" t="s">
        <v>205</v>
      </c>
      <c r="S1" t="s">
        <v>206</v>
      </c>
      <c r="T1" t="s">
        <v>207</v>
      </c>
      <c r="U1" t="s">
        <v>208</v>
      </c>
      <c r="V1" t="s">
        <v>209</v>
      </c>
      <c r="W1" t="s">
        <v>210</v>
      </c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0.20667955279350281</v>
      </c>
      <c r="C2">
        <v>0.20667955279350281</v>
      </c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1.1306427717208862</v>
      </c>
      <c r="C3">
        <v>0.82326942682266235</v>
      </c>
      <c r="D3"/>
      <c r="E3" s="187">
        <v>0.30737334489822388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0.54428941011428833</v>
      </c>
      <c r="C4">
        <v>0.54059243202209473</v>
      </c>
      <c r="D4"/>
      <c r="E4" s="21">
        <v>3.6969964858144522E-3</v>
      </c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1.8968832492828369</v>
      </c>
      <c r="C5">
        <v>1.8051867485046387</v>
      </c>
      <c r="D5"/>
      <c r="E5" s="179">
        <v>9.1696515679359436E-2</v>
      </c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0.81219631433486938</v>
      </c>
      <c r="C6">
        <v>0.78973144292831421</v>
      </c>
      <c r="D6"/>
      <c r="E6" s="22">
        <v>2.2464876994490623E-2</v>
      </c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9.5890388488769531</v>
      </c>
      <c r="C7">
        <v>9.5330839157104492</v>
      </c>
      <c r="D7"/>
      <c r="E7" s="21">
        <v>5.595538392663002E-2</v>
      </c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9.9039125442504883</v>
      </c>
      <c r="C8">
        <v>9.3581981658935547</v>
      </c>
      <c r="D8"/>
      <c r="E8"/>
      <c r="F8" s="59">
        <v>0.54571479558944702</v>
      </c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2.322960376739502</v>
      </c>
      <c r="C9">
        <v>2.0156004428863525</v>
      </c>
      <c r="D9"/>
      <c r="E9"/>
      <c r="F9" s="182">
        <v>0.30736002326011658</v>
      </c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9.2404346466064453</v>
      </c>
      <c r="C10">
        <v>2.0660302639007568</v>
      </c>
      <c r="D10"/>
      <c r="E10"/>
      <c r="F10" s="180">
        <v>7.1744041442871094</v>
      </c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2.0204861164093018</v>
      </c>
      <c r="C11">
        <v>1.0321149826049805</v>
      </c>
      <c r="D11"/>
      <c r="E11"/>
      <c r="F11" s="183">
        <v>0.95395815372467041</v>
      </c>
      <c r="G11"/>
      <c r="H11" s="19">
        <v>3.4412972629070282E-2</v>
      </c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4.0370936393737793</v>
      </c>
      <c r="C12">
        <v>3.2139050960540771</v>
      </c>
      <c r="D12"/>
      <c r="E12"/>
      <c r="F12" s="184">
        <v>0.82318848371505737</v>
      </c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5.739995002746582</v>
      </c>
      <c r="C13">
        <v>4.5728044509887695</v>
      </c>
      <c r="D13"/>
      <c r="E13"/>
      <c r="F13" s="178">
        <v>1.0902776718139648</v>
      </c>
      <c r="G13"/>
      <c r="H13" s="17">
        <v>7.6913066208362579E-2</v>
      </c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0.95343422889709473</v>
      </c>
      <c r="C14">
        <v>0.81970739364624023</v>
      </c>
      <c r="D14"/>
      <c r="E14" s="66">
        <v>0.1337268054485321</v>
      </c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2.3929092884063721</v>
      </c>
      <c r="C15">
        <v>0.46065998077392578</v>
      </c>
      <c r="D15"/>
      <c r="E15" s="23">
        <v>7.5468398630619049E-2</v>
      </c>
      <c r="F15" s="186">
        <v>0.68229472637176514</v>
      </c>
      <c r="G15" s="181">
        <v>0.10631336271762848</v>
      </c>
      <c r="H15" s="13">
        <v>8.7154299020767212E-2</v>
      </c>
      <c r="I15"/>
      <c r="J15"/>
      <c r="K15"/>
      <c r="L15"/>
      <c r="M15"/>
      <c r="N15"/>
      <c r="O15" s="188">
        <v>0.98101860284805298</v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>
        <v>2.8024530410766602</v>
      </c>
      <c r="C16">
        <v>0.9894140362739563</v>
      </c>
      <c r="D16"/>
      <c r="E16" s="189">
        <v>0.22939710319042206</v>
      </c>
      <c r="F16" s="62">
        <v>0.200116366147995</v>
      </c>
      <c r="G16" s="191">
        <v>1.1866334676742554</v>
      </c>
      <c r="H16" s="185">
        <v>6.3432306051254272E-2</v>
      </c>
      <c r="I16" s="24">
        <v>6.8720042705535889E-2</v>
      </c>
      <c r="J16"/>
      <c r="K16"/>
      <c r="L16"/>
      <c r="M16"/>
      <c r="N16"/>
      <c r="O16" s="185">
        <v>6.47396519780159E-2</v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>
        <v>2.7645347118377686</v>
      </c>
      <c r="C17">
        <v>2.028242826461792</v>
      </c>
      <c r="D17"/>
      <c r="E17" s="19">
        <v>4.7060851007699966E-2</v>
      </c>
      <c r="F17" s="20">
        <v>2.0526953041553497E-2</v>
      </c>
      <c r="G17" s="12">
        <v>9.5953671261668205E-3</v>
      </c>
      <c r="H17" s="17">
        <v>3.923366591334343E-2</v>
      </c>
      <c r="I17" s="21">
        <v>1.4097927138209343E-2</v>
      </c>
      <c r="J17"/>
      <c r="K17"/>
      <c r="L17"/>
      <c r="M17"/>
      <c r="N17"/>
      <c r="O17" s="192">
        <v>0.60577714443206787</v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 t="s">
        <v>208</v>
      </c>
      <c r="B18">
        <v>1.4075149297714233</v>
      </c>
      <c r="C18">
        <v>1.0975992679595947</v>
      </c>
      <c r="D18"/>
      <c r="E18" s="60">
        <v>5.9241760522127151E-2</v>
      </c>
      <c r="F18" s="13">
        <v>5.168001726269722E-2</v>
      </c>
      <c r="G18" s="190">
        <v>0.12526336312294006</v>
      </c>
      <c r="H18" s="185">
        <v>3.2762762159109116E-2</v>
      </c>
      <c r="I18" s="18">
        <v>1.7746938392519951E-2</v>
      </c>
      <c r="J18"/>
      <c r="K18"/>
      <c r="L18"/>
      <c r="M18"/>
      <c r="N18"/>
      <c r="O18" s="16">
        <v>2.3220838978886604E-2</v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 t="s">
        <v>209</v>
      </c>
      <c r="B19">
        <v>115.75140380859375</v>
      </c>
      <c r="C19">
        <v>114.59249114990234</v>
      </c>
      <c r="D19"/>
      <c r="E19"/>
      <c r="F19" s="21">
        <v>0.64426505565643311</v>
      </c>
      <c r="G19"/>
      <c r="H19"/>
      <c r="I19"/>
      <c r="J19"/>
      <c r="K19"/>
      <c r="L19"/>
      <c r="M19"/>
      <c r="N19"/>
      <c r="O19"/>
      <c r="P19"/>
      <c r="Q19"/>
      <c r="R19"/>
      <c r="S19" s="11">
        <v>1.1709806509315968E-2</v>
      </c>
      <c r="T19" s="11">
        <v>0.10956470668315887</v>
      </c>
      <c r="U19" s="11">
        <v>4.0050890296697617E-2</v>
      </c>
      <c r="V19" s="12">
        <v>0.3533233106136322</v>
      </c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 t="s">
        <v>210</v>
      </c>
      <c r="B20">
        <v>462.11624145507812</v>
      </c>
      <c r="C20">
        <v>438.16595458984375</v>
      </c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 s="14">
        <v>0.51607906818389893</v>
      </c>
      <c r="T20" s="15">
        <v>4.8287773132324219</v>
      </c>
      <c r="U20" s="12">
        <v>1.7651381492614746</v>
      </c>
      <c r="V20" s="13">
        <v>16.840301513671875</v>
      </c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 t="s">
        <v>211</v>
      </c>
      <c r="B21"/>
      <c r="C21">
        <v>2.2489933297038078E-2</v>
      </c>
      <c r="D21"/>
      <c r="E21"/>
      <c r="F21"/>
      <c r="G21"/>
      <c r="H21"/>
      <c r="I21" s="9">
        <v>1.4599611759185791</v>
      </c>
      <c r="J21" s="9">
        <v>0.25904211401939392</v>
      </c>
      <c r="K21" s="9">
        <v>1.5302208662033081</v>
      </c>
      <c r="L21" s="9">
        <v>28.910463333129883</v>
      </c>
      <c r="M21" s="9">
        <v>1.253319263458252</v>
      </c>
      <c r="N21" s="9">
        <v>11.854053497314453</v>
      </c>
      <c r="O21" s="9">
        <v>0.67078351974487305</v>
      </c>
      <c r="P21" s="9">
        <v>0.54826653003692627</v>
      </c>
      <c r="Q21" s="9">
        <v>4.8290095329284668</v>
      </c>
      <c r="R21" s="9">
        <v>100.62177276611328</v>
      </c>
      <c r="S21" s="9">
        <v>7.8722553253173828</v>
      </c>
      <c r="T21" s="9">
        <v>73.658035278320312</v>
      </c>
      <c r="U21" s="9">
        <v>26.92536735534668</v>
      </c>
      <c r="V21" s="9">
        <v>181.62139892578125</v>
      </c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 t="s">
        <v>212</v>
      </c>
      <c r="B22"/>
      <c r="C22">
        <v>0</v>
      </c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D30" sqref="D30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6.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6.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9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7" t="s">
        <v>166</v>
      </c>
    </row>
    <row r="2" spans="1:12" x14ac:dyDescent="0.15">
      <c r="A2" s="1" t="s">
        <v>37</v>
      </c>
      <c r="B2" s="34">
        <v>3</v>
      </c>
      <c r="C2" s="32"/>
      <c r="D2" t="s">
        <v>38</v>
      </c>
      <c r="E2">
        <v>1</v>
      </c>
      <c r="F2">
        <v>1</v>
      </c>
      <c r="G2">
        <v>1</v>
      </c>
      <c r="H2" t="s">
        <v>38</v>
      </c>
      <c r="J2" s="50"/>
      <c r="K2" s="51"/>
      <c r="L2" s="57" t="s">
        <v>167</v>
      </c>
    </row>
    <row r="3" spans="1:12" ht="14" thickBot="1" x14ac:dyDescent="0.2">
      <c r="A3" s="1" t="s">
        <v>39</v>
      </c>
      <c r="B3" s="35">
        <v>0</v>
      </c>
      <c r="C3" s="32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2"/>
      <c r="K3" s="53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2"/>
      <c r="K4" s="53"/>
    </row>
    <row r="5" spans="1:12" x14ac:dyDescent="0.15">
      <c r="D5" s="166" t="s">
        <v>192</v>
      </c>
      <c r="E5">
        <v>4</v>
      </c>
      <c r="F5">
        <v>3.16</v>
      </c>
      <c r="G5">
        <v>4</v>
      </c>
      <c r="H5" s="167" t="s">
        <v>192</v>
      </c>
      <c r="J5" s="52"/>
      <c r="K5" s="53"/>
    </row>
    <row r="6" spans="1:12" ht="14" thickBot="1" x14ac:dyDescent="0.2">
      <c r="A6" s="36" t="s">
        <v>121</v>
      </c>
      <c r="D6" s="166" t="s">
        <v>193</v>
      </c>
      <c r="E6">
        <v>5</v>
      </c>
      <c r="F6">
        <v>0</v>
      </c>
      <c r="G6">
        <v>5</v>
      </c>
      <c r="H6" s="167" t="s">
        <v>193</v>
      </c>
      <c r="J6" s="52"/>
      <c r="K6" s="53"/>
    </row>
    <row r="7" spans="1:12" x14ac:dyDescent="0.15">
      <c r="A7" s="31" t="s">
        <v>126</v>
      </c>
      <c r="B7" s="38">
        <v>1</v>
      </c>
      <c r="C7" s="33"/>
      <c r="D7" s="166" t="s">
        <v>194</v>
      </c>
      <c r="E7">
        <v>6</v>
      </c>
      <c r="F7">
        <v>0</v>
      </c>
      <c r="G7">
        <v>6</v>
      </c>
      <c r="H7" s="167" t="s">
        <v>194</v>
      </c>
      <c r="J7" s="52"/>
      <c r="K7" s="53"/>
    </row>
    <row r="8" spans="1:12" x14ac:dyDescent="0.15">
      <c r="A8" s="31" t="s">
        <v>38</v>
      </c>
      <c r="B8" s="39">
        <v>1</v>
      </c>
      <c r="C8" s="33"/>
      <c r="D8" s="166" t="s">
        <v>195</v>
      </c>
      <c r="E8">
        <v>7</v>
      </c>
      <c r="F8">
        <v>0</v>
      </c>
      <c r="G8">
        <v>7</v>
      </c>
      <c r="H8" s="167" t="s">
        <v>195</v>
      </c>
      <c r="J8" s="52"/>
      <c r="K8" s="53"/>
    </row>
    <row r="9" spans="1:12" x14ac:dyDescent="0.15">
      <c r="A9" s="31" t="s">
        <v>40</v>
      </c>
      <c r="B9" s="39">
        <v>1.1000000000000001</v>
      </c>
      <c r="C9" s="33"/>
      <c r="D9" s="166" t="s">
        <v>196</v>
      </c>
      <c r="E9">
        <v>8</v>
      </c>
      <c r="F9">
        <v>0</v>
      </c>
      <c r="G9">
        <v>8</v>
      </c>
      <c r="H9" s="167" t="s">
        <v>196</v>
      </c>
      <c r="J9" s="52"/>
      <c r="K9" s="53"/>
    </row>
    <row r="10" spans="1:12" x14ac:dyDescent="0.15">
      <c r="A10" s="31" t="s">
        <v>41</v>
      </c>
      <c r="B10" s="39">
        <v>1.2</v>
      </c>
      <c r="C10" s="33"/>
      <c r="D10" s="166" t="s">
        <v>197</v>
      </c>
      <c r="E10">
        <v>9</v>
      </c>
      <c r="F10">
        <v>0</v>
      </c>
      <c r="G10">
        <v>9</v>
      </c>
      <c r="H10" s="167" t="s">
        <v>197</v>
      </c>
      <c r="J10" s="52"/>
      <c r="K10" s="53"/>
    </row>
    <row r="11" spans="1:12" ht="12" customHeight="1" x14ac:dyDescent="0.15">
      <c r="A11" s="37" t="s">
        <v>127</v>
      </c>
      <c r="B11" s="39">
        <v>2</v>
      </c>
      <c r="C11" s="33"/>
      <c r="D11" s="166" t="s">
        <v>198</v>
      </c>
      <c r="E11">
        <v>10</v>
      </c>
      <c r="F11">
        <v>0</v>
      </c>
      <c r="G11">
        <v>10</v>
      </c>
      <c r="H11" s="167" t="s">
        <v>198</v>
      </c>
      <c r="J11" s="52"/>
      <c r="K11" s="53"/>
    </row>
    <row r="12" spans="1:12" x14ac:dyDescent="0.15">
      <c r="A12" s="31" t="s">
        <v>42</v>
      </c>
      <c r="B12" s="39">
        <v>2.1</v>
      </c>
      <c r="C12" s="33"/>
      <c r="D12" s="166" t="s">
        <v>199</v>
      </c>
      <c r="E12">
        <v>11</v>
      </c>
      <c r="F12">
        <v>0</v>
      </c>
      <c r="G12">
        <v>11</v>
      </c>
      <c r="H12" s="167" t="s">
        <v>199</v>
      </c>
      <c r="J12" s="52"/>
      <c r="K12" s="53"/>
    </row>
    <row r="13" spans="1:12" x14ac:dyDescent="0.15">
      <c r="A13" s="31" t="s">
        <v>43</v>
      </c>
      <c r="B13" s="39">
        <v>2.2000000000000002</v>
      </c>
      <c r="C13" s="33"/>
      <c r="D13" s="166" t="s">
        <v>200</v>
      </c>
      <c r="E13">
        <v>12</v>
      </c>
      <c r="F13">
        <v>0</v>
      </c>
      <c r="G13">
        <v>12</v>
      </c>
      <c r="H13" s="167" t="s">
        <v>200</v>
      </c>
      <c r="J13" s="52"/>
      <c r="K13" s="53"/>
    </row>
    <row r="14" spans="1:12" x14ac:dyDescent="0.15">
      <c r="A14" s="31" t="s">
        <v>67</v>
      </c>
      <c r="B14" s="39">
        <v>2.2999999999999998</v>
      </c>
      <c r="C14" s="33"/>
      <c r="D14" s="166" t="s">
        <v>201</v>
      </c>
      <c r="E14">
        <v>13</v>
      </c>
      <c r="F14">
        <v>0</v>
      </c>
      <c r="G14">
        <v>13</v>
      </c>
      <c r="H14" s="167" t="s">
        <v>201</v>
      </c>
      <c r="J14" s="52"/>
      <c r="K14" s="53"/>
    </row>
    <row r="15" spans="1:12" x14ac:dyDescent="0.15">
      <c r="A15" s="37" t="s">
        <v>128</v>
      </c>
      <c r="B15" s="39">
        <v>3</v>
      </c>
      <c r="C15" s="33"/>
      <c r="D15" s="166" t="s">
        <v>202</v>
      </c>
      <c r="E15">
        <v>14</v>
      </c>
      <c r="F15">
        <v>0</v>
      </c>
      <c r="G15">
        <v>14</v>
      </c>
      <c r="H15" s="167" t="s">
        <v>202</v>
      </c>
      <c r="J15" s="52"/>
      <c r="K15" s="53"/>
    </row>
    <row r="16" spans="1:12" x14ac:dyDescent="0.15">
      <c r="A16" s="31" t="s">
        <v>62</v>
      </c>
      <c r="B16" s="39">
        <v>3.11</v>
      </c>
      <c r="C16" s="33"/>
      <c r="D16" s="166" t="s">
        <v>203</v>
      </c>
      <c r="E16">
        <v>15</v>
      </c>
      <c r="F16">
        <v>0</v>
      </c>
      <c r="G16">
        <v>15</v>
      </c>
      <c r="H16" s="167" t="s">
        <v>203</v>
      </c>
      <c r="J16" s="52"/>
      <c r="K16" s="53"/>
    </row>
    <row r="17" spans="1:12" x14ac:dyDescent="0.15">
      <c r="A17" s="31" t="s">
        <v>61</v>
      </c>
      <c r="B17" s="39">
        <v>3.12</v>
      </c>
      <c r="C17" s="33"/>
      <c r="D17" s="166" t="s">
        <v>204</v>
      </c>
      <c r="E17">
        <v>16</v>
      </c>
      <c r="F17">
        <v>0</v>
      </c>
      <c r="G17">
        <v>16</v>
      </c>
      <c r="H17" s="167" t="s">
        <v>204</v>
      </c>
      <c r="J17" s="52"/>
      <c r="K17" s="53"/>
    </row>
    <row r="18" spans="1:12" x14ac:dyDescent="0.15">
      <c r="A18" s="31" t="s">
        <v>68</v>
      </c>
      <c r="B18" s="39">
        <v>3.13</v>
      </c>
      <c r="C18" s="33"/>
      <c r="D18" s="166" t="s">
        <v>205</v>
      </c>
      <c r="E18">
        <v>17</v>
      </c>
      <c r="F18">
        <v>0</v>
      </c>
      <c r="G18">
        <v>17</v>
      </c>
      <c r="H18" s="167" t="s">
        <v>205</v>
      </c>
      <c r="J18" s="52"/>
      <c r="K18" s="53"/>
    </row>
    <row r="19" spans="1:12" x14ac:dyDescent="0.15">
      <c r="A19" s="31" t="s">
        <v>66</v>
      </c>
      <c r="B19" s="39">
        <v>3.21</v>
      </c>
      <c r="C19" s="33"/>
      <c r="D19" s="166" t="s">
        <v>206</v>
      </c>
      <c r="E19">
        <v>18</v>
      </c>
      <c r="F19">
        <v>0</v>
      </c>
      <c r="G19">
        <v>18</v>
      </c>
      <c r="H19" s="167" t="s">
        <v>206</v>
      </c>
      <c r="J19" s="52"/>
      <c r="K19" s="53"/>
    </row>
    <row r="20" spans="1:12" x14ac:dyDescent="0.15">
      <c r="A20" s="31" t="s">
        <v>63</v>
      </c>
      <c r="B20" s="39">
        <v>3.22</v>
      </c>
      <c r="C20" s="33"/>
      <c r="D20" s="166" t="s">
        <v>207</v>
      </c>
      <c r="E20">
        <v>19</v>
      </c>
      <c r="F20">
        <v>0</v>
      </c>
      <c r="G20">
        <v>19</v>
      </c>
      <c r="H20" s="167" t="s">
        <v>207</v>
      </c>
      <c r="J20" s="52"/>
      <c r="K20" s="53"/>
    </row>
    <row r="21" spans="1:12" ht="14" thickBot="1" x14ac:dyDescent="0.2">
      <c r="A21" s="31" t="s">
        <v>69</v>
      </c>
      <c r="B21" s="39">
        <v>3.23</v>
      </c>
      <c r="C21" s="33"/>
      <c r="D21" s="166" t="s">
        <v>208</v>
      </c>
      <c r="E21">
        <v>20</v>
      </c>
      <c r="F21">
        <v>0</v>
      </c>
      <c r="G21">
        <v>20</v>
      </c>
      <c r="H21" s="167" t="s">
        <v>208</v>
      </c>
      <c r="J21" s="54"/>
      <c r="K21" s="55"/>
      <c r="L21" s="57" t="s">
        <v>152</v>
      </c>
    </row>
    <row r="22" spans="1:12" x14ac:dyDescent="0.15">
      <c r="A22" s="31" t="s">
        <v>64</v>
      </c>
      <c r="B22" s="39">
        <v>8</v>
      </c>
      <c r="C22" s="33"/>
      <c r="D22" s="166" t="s">
        <v>209</v>
      </c>
      <c r="E22">
        <v>21</v>
      </c>
      <c r="F22">
        <v>3.11</v>
      </c>
      <c r="G22">
        <v>21</v>
      </c>
      <c r="H22" s="167" t="s">
        <v>209</v>
      </c>
    </row>
    <row r="23" spans="1:12" x14ac:dyDescent="0.15">
      <c r="A23" s="31" t="s">
        <v>129</v>
      </c>
      <c r="B23" s="39">
        <v>4</v>
      </c>
      <c r="C23" s="33"/>
      <c r="D23" s="166" t="s">
        <v>210</v>
      </c>
      <c r="E23">
        <v>22</v>
      </c>
      <c r="F23">
        <v>2.1</v>
      </c>
      <c r="G23">
        <v>22</v>
      </c>
      <c r="H23" s="167" t="s">
        <v>210</v>
      </c>
    </row>
    <row r="24" spans="1:12" x14ac:dyDescent="0.15">
      <c r="A24" s="31" t="s">
        <v>122</v>
      </c>
      <c r="B24" s="39">
        <v>4.0999999999999996</v>
      </c>
      <c r="C24" s="33"/>
      <c r="D24" s="166" t="s">
        <v>211</v>
      </c>
      <c r="E24">
        <v>23</v>
      </c>
      <c r="F24">
        <v>4.0999999999999996</v>
      </c>
      <c r="G24">
        <v>23</v>
      </c>
      <c r="H24" s="167" t="s">
        <v>211</v>
      </c>
    </row>
    <row r="25" spans="1:12" x14ac:dyDescent="0.15">
      <c r="A25" s="31" t="s">
        <v>70</v>
      </c>
      <c r="B25" s="39">
        <v>4.2</v>
      </c>
      <c r="C25" s="33"/>
      <c r="D25" s="166" t="s">
        <v>212</v>
      </c>
      <c r="E25">
        <v>24</v>
      </c>
      <c r="F25">
        <v>4.3</v>
      </c>
      <c r="G25">
        <v>24</v>
      </c>
      <c r="H25" s="167" t="s">
        <v>212</v>
      </c>
    </row>
    <row r="26" spans="1:12" x14ac:dyDescent="0.15">
      <c r="A26" s="31" t="s">
        <v>123</v>
      </c>
      <c r="B26" s="39">
        <v>4.3</v>
      </c>
      <c r="C26" s="33"/>
      <c r="D26" s="176" t="s">
        <v>217</v>
      </c>
      <c r="E26">
        <v>25</v>
      </c>
      <c r="F26">
        <v>5</v>
      </c>
      <c r="G26">
        <v>25</v>
      </c>
      <c r="H26" s="176" t="s">
        <v>217</v>
      </c>
    </row>
    <row r="27" spans="1:12" x14ac:dyDescent="0.15">
      <c r="A27" s="31" t="s">
        <v>125</v>
      </c>
      <c r="B27" s="39">
        <v>6.1</v>
      </c>
      <c r="D27" s="166" t="s">
        <v>138</v>
      </c>
      <c r="E27">
        <v>26</v>
      </c>
      <c r="F27">
        <v>6.1</v>
      </c>
      <c r="G27">
        <v>26</v>
      </c>
      <c r="H27" s="167" t="s">
        <v>138</v>
      </c>
    </row>
    <row r="28" spans="1:12" x14ac:dyDescent="0.15">
      <c r="A28" s="31" t="s">
        <v>124</v>
      </c>
      <c r="B28" s="39">
        <v>6.2</v>
      </c>
      <c r="D28" s="166" t="s">
        <v>45</v>
      </c>
      <c r="E28">
        <v>27</v>
      </c>
      <c r="F28">
        <v>6.2</v>
      </c>
      <c r="G28">
        <v>27</v>
      </c>
      <c r="H28" s="167" t="s">
        <v>45</v>
      </c>
    </row>
    <row r="29" spans="1:12" x14ac:dyDescent="0.15">
      <c r="A29" s="31" t="s">
        <v>44</v>
      </c>
      <c r="B29" s="39">
        <v>5</v>
      </c>
    </row>
    <row r="30" spans="1:12" x14ac:dyDescent="0.15">
      <c r="A30" s="31" t="s">
        <v>73</v>
      </c>
      <c r="B30" s="39">
        <v>7</v>
      </c>
    </row>
    <row r="31" spans="1:12" x14ac:dyDescent="0.15">
      <c r="A31" s="31" t="s">
        <v>169</v>
      </c>
      <c r="B31" s="39">
        <v>3.14</v>
      </c>
    </row>
    <row r="32" spans="1:12" ht="12" customHeight="1" thickBot="1" x14ac:dyDescent="0.2">
      <c r="A32" s="37" t="s">
        <v>170</v>
      </c>
      <c r="B32" s="40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9" activePane="bottomLeft" state="frozen"/>
      <selection pane="bottomLeft" activeCell="C45" sqref="C45"/>
    </sheetView>
  </sheetViews>
  <sheetFormatPr baseColWidth="10" defaultColWidth="11.5" defaultRowHeight="15" customHeight="1" x14ac:dyDescent="0.15"/>
  <cols>
    <col min="1" max="1" width="40.1640625" style="72" bestFit="1" customWidth="1"/>
    <col min="2" max="2" width="10.83203125" style="71" customWidth="1"/>
    <col min="3" max="3" width="13.1640625" style="71" customWidth="1"/>
    <col min="4" max="4" width="39.6640625" style="71" customWidth="1"/>
    <col min="5" max="5" width="8.1640625" style="71" customWidth="1"/>
    <col min="6" max="6" width="26.5" style="71" bestFit="1" customWidth="1"/>
    <col min="7" max="9" width="2.33203125" style="71" customWidth="1"/>
    <col min="10" max="10" width="2.33203125" style="71" bestFit="1" customWidth="1"/>
    <col min="11" max="15" width="2.33203125" style="71" customWidth="1"/>
    <col min="16" max="16" width="2.33203125" style="63" customWidth="1"/>
    <col min="17" max="17" width="2.33203125" style="71" customWidth="1"/>
    <col min="18" max="18" width="2.33203125" style="64" customWidth="1"/>
    <col min="19" max="16384" width="11.5" style="71"/>
  </cols>
  <sheetData>
    <row r="1" spans="1:23" ht="15" customHeight="1" thickBot="1" x14ac:dyDescent="0.2">
      <c r="F1" s="1"/>
      <c r="G1" s="61" t="s">
        <v>46</v>
      </c>
      <c r="H1" s="61" t="s">
        <v>47</v>
      </c>
      <c r="I1" s="61" t="s">
        <v>120</v>
      </c>
      <c r="J1" s="61" t="s">
        <v>132</v>
      </c>
      <c r="K1" s="73" t="s">
        <v>48</v>
      </c>
      <c r="L1" s="64"/>
      <c r="M1" s="73" t="s">
        <v>119</v>
      </c>
      <c r="N1" s="64"/>
      <c r="O1" s="73" t="s">
        <v>49</v>
      </c>
      <c r="P1" s="65"/>
      <c r="Q1" s="73" t="s">
        <v>50</v>
      </c>
      <c r="R1" s="61" t="s">
        <v>154</v>
      </c>
    </row>
    <row r="2" spans="1:23" ht="15" customHeight="1" x14ac:dyDescent="0.15">
      <c r="A2" s="73" t="s">
        <v>51</v>
      </c>
      <c r="B2" s="74">
        <v>0.5</v>
      </c>
      <c r="C2" s="72" t="s">
        <v>52</v>
      </c>
      <c r="D2" s="75"/>
      <c r="F2" s="1"/>
      <c r="G2" s="76"/>
      <c r="H2" s="76"/>
      <c r="I2" s="76" t="s">
        <v>133</v>
      </c>
      <c r="J2" s="76" t="s">
        <v>133</v>
      </c>
      <c r="K2" s="76" t="s">
        <v>52</v>
      </c>
      <c r="L2" s="76" t="s">
        <v>53</v>
      </c>
      <c r="M2" s="76" t="s">
        <v>52</v>
      </c>
      <c r="N2" s="76" t="s">
        <v>53</v>
      </c>
      <c r="O2" s="76" t="s">
        <v>52</v>
      </c>
      <c r="P2" s="77" t="s">
        <v>53</v>
      </c>
      <c r="Q2" s="76"/>
      <c r="R2" s="78" t="s">
        <v>155</v>
      </c>
    </row>
    <row r="3" spans="1:23" ht="15" customHeight="1" thickBot="1" x14ac:dyDescent="0.2">
      <c r="A3" s="73" t="s">
        <v>54</v>
      </c>
      <c r="B3" s="79">
        <v>0.5</v>
      </c>
      <c r="C3" s="72" t="s">
        <v>53</v>
      </c>
      <c r="D3" s="75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4">
        <v>0</v>
      </c>
      <c r="R3" s="33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4">
        <v>0</v>
      </c>
      <c r="R4" s="96">
        <v>0</v>
      </c>
    </row>
    <row r="5" spans="1:23" ht="15" customHeight="1" x14ac:dyDescent="0.15">
      <c r="A5" s="73" t="s">
        <v>55</v>
      </c>
      <c r="B5" s="80">
        <v>0.5</v>
      </c>
      <c r="C5" s="72" t="s">
        <v>52</v>
      </c>
      <c r="D5" s="75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4">
        <v>0</v>
      </c>
      <c r="R5" s="96">
        <v>0</v>
      </c>
    </row>
    <row r="6" spans="1:23" ht="15" customHeight="1" thickBot="1" x14ac:dyDescent="0.2">
      <c r="A6" s="73"/>
      <c r="B6" s="81">
        <v>0.5</v>
      </c>
      <c r="C6" s="72" t="s">
        <v>53</v>
      </c>
      <c r="D6" s="75"/>
      <c r="F6" s="168" t="s">
        <v>192</v>
      </c>
      <c r="G6" s="71">
        <v>0</v>
      </c>
      <c r="H6" s="71">
        <v>0</v>
      </c>
      <c r="I6" s="71">
        <v>0</v>
      </c>
      <c r="J6" s="71">
        <v>0</v>
      </c>
      <c r="K6" s="71">
        <v>1</v>
      </c>
      <c r="L6" s="71">
        <v>0</v>
      </c>
      <c r="M6" s="71">
        <v>1</v>
      </c>
      <c r="N6" s="71">
        <v>0</v>
      </c>
      <c r="O6" s="71">
        <v>1</v>
      </c>
      <c r="P6" s="63">
        <v>0</v>
      </c>
      <c r="Q6" s="71">
        <v>0</v>
      </c>
      <c r="R6" s="64">
        <v>1</v>
      </c>
      <c r="S6"/>
      <c r="T6"/>
    </row>
    <row r="7" spans="1:23" ht="15" customHeight="1" thickBot="1" x14ac:dyDescent="0.2">
      <c r="F7" s="168" t="s">
        <v>193</v>
      </c>
      <c r="G7" s="71">
        <v>0</v>
      </c>
      <c r="H7" s="71">
        <v>0</v>
      </c>
      <c r="I7" s="71">
        <v>0</v>
      </c>
      <c r="J7" s="71">
        <v>0</v>
      </c>
      <c r="K7" s="71">
        <v>1</v>
      </c>
      <c r="L7" s="71">
        <v>0</v>
      </c>
      <c r="M7" s="71">
        <v>1</v>
      </c>
      <c r="N7" s="71">
        <v>0</v>
      </c>
      <c r="O7" s="71">
        <v>1</v>
      </c>
      <c r="P7" s="63">
        <v>0</v>
      </c>
      <c r="Q7" s="71">
        <v>0</v>
      </c>
      <c r="R7" s="64">
        <v>1</v>
      </c>
      <c r="S7"/>
      <c r="T7"/>
    </row>
    <row r="8" spans="1:23" ht="15" customHeight="1" x14ac:dyDescent="0.15">
      <c r="A8" s="73" t="s">
        <v>56</v>
      </c>
      <c r="B8" s="80">
        <v>1</v>
      </c>
      <c r="C8" s="169" t="s">
        <v>210</v>
      </c>
      <c r="D8" s="75" t="s">
        <v>160</v>
      </c>
      <c r="F8" s="168" t="s">
        <v>194</v>
      </c>
      <c r="G8" s="71">
        <v>0</v>
      </c>
      <c r="H8" s="71">
        <v>0</v>
      </c>
      <c r="I8" s="71">
        <v>0</v>
      </c>
      <c r="J8" s="71">
        <v>0</v>
      </c>
      <c r="K8" s="71">
        <v>0</v>
      </c>
      <c r="L8" s="71">
        <v>1</v>
      </c>
      <c r="M8" s="71">
        <v>0</v>
      </c>
      <c r="N8" s="71">
        <v>1</v>
      </c>
      <c r="O8" s="71">
        <v>0</v>
      </c>
      <c r="P8" s="63">
        <v>1</v>
      </c>
      <c r="Q8" s="71">
        <v>0</v>
      </c>
      <c r="R8" s="64">
        <v>1</v>
      </c>
      <c r="S8"/>
      <c r="T8"/>
      <c r="W8"/>
    </row>
    <row r="9" spans="1:23" ht="15" customHeight="1" x14ac:dyDescent="0.15">
      <c r="A9" s="110" t="s">
        <v>168</v>
      </c>
      <c r="B9" s="82"/>
      <c r="C9" s="70"/>
      <c r="D9" s="75" t="s">
        <v>160</v>
      </c>
      <c r="F9" s="168" t="s">
        <v>195</v>
      </c>
      <c r="G9" s="71">
        <v>0</v>
      </c>
      <c r="H9" s="71">
        <v>0</v>
      </c>
      <c r="I9" s="71">
        <v>0</v>
      </c>
      <c r="J9" s="71">
        <v>0</v>
      </c>
      <c r="K9" s="71">
        <v>1</v>
      </c>
      <c r="L9" s="71">
        <v>0</v>
      </c>
      <c r="M9" s="71">
        <v>1</v>
      </c>
      <c r="N9" s="71">
        <v>0</v>
      </c>
      <c r="O9" s="71">
        <v>1</v>
      </c>
      <c r="P9" s="63">
        <v>0</v>
      </c>
      <c r="Q9" s="71">
        <v>0</v>
      </c>
      <c r="R9" s="64">
        <v>1</v>
      </c>
      <c r="S9"/>
      <c r="T9"/>
      <c r="W9"/>
    </row>
    <row r="10" spans="1:23" ht="15" customHeight="1" x14ac:dyDescent="0.15">
      <c r="B10" s="82"/>
      <c r="C10" s="70"/>
      <c r="D10" s="75" t="s">
        <v>160</v>
      </c>
      <c r="F10" s="168" t="s">
        <v>196</v>
      </c>
      <c r="G10" s="71">
        <v>0</v>
      </c>
      <c r="H10" s="71">
        <v>0</v>
      </c>
      <c r="I10" s="71">
        <v>0</v>
      </c>
      <c r="J10" s="71">
        <v>0</v>
      </c>
      <c r="K10" s="71">
        <v>0</v>
      </c>
      <c r="L10" s="71">
        <v>1</v>
      </c>
      <c r="M10" s="71">
        <v>0</v>
      </c>
      <c r="N10" s="71">
        <v>1</v>
      </c>
      <c r="O10" s="71">
        <v>0</v>
      </c>
      <c r="P10" s="63">
        <v>1</v>
      </c>
      <c r="Q10" s="71">
        <v>0</v>
      </c>
      <c r="R10" s="64">
        <v>1</v>
      </c>
      <c r="S10"/>
      <c r="T10"/>
      <c r="W10"/>
    </row>
    <row r="11" spans="1:23" ht="15" customHeight="1" x14ac:dyDescent="0.15">
      <c r="A11" s="73"/>
      <c r="B11" s="82"/>
      <c r="C11" s="85"/>
      <c r="D11" s="75" t="s">
        <v>160</v>
      </c>
      <c r="F11" s="168" t="s">
        <v>197</v>
      </c>
      <c r="G11" s="71">
        <v>0</v>
      </c>
      <c r="H11" s="71">
        <v>0</v>
      </c>
      <c r="I11" s="71">
        <v>0</v>
      </c>
      <c r="J11" s="71">
        <v>0</v>
      </c>
      <c r="K11" s="71">
        <v>1</v>
      </c>
      <c r="L11" s="71">
        <v>0</v>
      </c>
      <c r="M11" s="71">
        <v>1</v>
      </c>
      <c r="N11" s="71">
        <v>0</v>
      </c>
      <c r="O11" s="71">
        <v>1</v>
      </c>
      <c r="P11" s="63">
        <v>0</v>
      </c>
      <c r="Q11" s="71">
        <v>0</v>
      </c>
      <c r="R11" s="64">
        <v>1</v>
      </c>
      <c r="S11"/>
      <c r="T11"/>
      <c r="W11"/>
    </row>
    <row r="12" spans="1:23" ht="15" customHeight="1" x14ac:dyDescent="0.15">
      <c r="B12" s="82"/>
      <c r="C12" s="86"/>
      <c r="D12" s="75" t="s">
        <v>160</v>
      </c>
      <c r="F12" s="168" t="s">
        <v>198</v>
      </c>
      <c r="G12" s="71">
        <v>0</v>
      </c>
      <c r="H12" s="71">
        <v>0</v>
      </c>
      <c r="I12" s="71">
        <v>0</v>
      </c>
      <c r="J12" s="71">
        <v>0</v>
      </c>
      <c r="K12" s="71">
        <v>1</v>
      </c>
      <c r="L12" s="71">
        <v>0</v>
      </c>
      <c r="M12" s="71">
        <v>1</v>
      </c>
      <c r="N12" s="71">
        <v>0</v>
      </c>
      <c r="O12" s="71">
        <v>1</v>
      </c>
      <c r="P12" s="63">
        <v>0</v>
      </c>
      <c r="Q12" s="71">
        <v>0</v>
      </c>
      <c r="R12" s="64">
        <v>1</v>
      </c>
      <c r="S12"/>
      <c r="T12"/>
      <c r="W12"/>
    </row>
    <row r="13" spans="1:23" ht="15" customHeight="1" x14ac:dyDescent="0.15">
      <c r="B13" s="82"/>
      <c r="C13" s="86"/>
      <c r="D13" s="75" t="s">
        <v>160</v>
      </c>
      <c r="F13" s="168" t="s">
        <v>199</v>
      </c>
      <c r="G13" s="71">
        <v>0</v>
      </c>
      <c r="H13" s="71">
        <v>0</v>
      </c>
      <c r="I13" s="71">
        <v>0</v>
      </c>
      <c r="J13" s="71">
        <v>0</v>
      </c>
      <c r="K13" s="71">
        <v>1</v>
      </c>
      <c r="L13" s="71">
        <v>0</v>
      </c>
      <c r="M13" s="71">
        <v>1</v>
      </c>
      <c r="N13" s="71">
        <v>0</v>
      </c>
      <c r="O13" s="71">
        <v>1</v>
      </c>
      <c r="P13" s="63">
        <v>0</v>
      </c>
      <c r="Q13" s="71">
        <v>0</v>
      </c>
      <c r="R13" s="64">
        <v>1</v>
      </c>
      <c r="S13"/>
      <c r="T13"/>
      <c r="W13"/>
    </row>
    <row r="14" spans="1:23" ht="15" customHeight="1" x14ac:dyDescent="0.15">
      <c r="B14" s="82"/>
      <c r="C14" s="70"/>
      <c r="D14" s="75" t="s">
        <v>160</v>
      </c>
      <c r="F14" s="168" t="s">
        <v>200</v>
      </c>
      <c r="G14" s="71">
        <v>0</v>
      </c>
      <c r="H14" s="71">
        <v>0</v>
      </c>
      <c r="I14" s="71">
        <v>0</v>
      </c>
      <c r="J14" s="71">
        <v>0</v>
      </c>
      <c r="K14" s="71">
        <v>1</v>
      </c>
      <c r="L14" s="71">
        <v>0</v>
      </c>
      <c r="M14" s="71">
        <v>1</v>
      </c>
      <c r="N14" s="71">
        <v>0</v>
      </c>
      <c r="O14" s="71">
        <v>1</v>
      </c>
      <c r="P14" s="63">
        <v>0</v>
      </c>
      <c r="Q14" s="71">
        <v>0</v>
      </c>
      <c r="R14" s="64">
        <v>1</v>
      </c>
      <c r="S14"/>
      <c r="T14"/>
      <c r="W14"/>
    </row>
    <row r="15" spans="1:23" ht="15" customHeight="1" x14ac:dyDescent="0.15">
      <c r="B15" s="82"/>
      <c r="C15" s="70"/>
      <c r="D15" s="75" t="s">
        <v>160</v>
      </c>
      <c r="F15" s="168" t="s">
        <v>201</v>
      </c>
      <c r="G15" s="71">
        <v>0</v>
      </c>
      <c r="H15" s="71">
        <v>0</v>
      </c>
      <c r="I15" s="71">
        <v>0</v>
      </c>
      <c r="J15" s="71">
        <v>0</v>
      </c>
      <c r="K15" s="71">
        <v>1</v>
      </c>
      <c r="L15" s="71">
        <v>0</v>
      </c>
      <c r="M15" s="71">
        <v>1</v>
      </c>
      <c r="N15" s="71">
        <v>0</v>
      </c>
      <c r="O15" s="71">
        <v>1</v>
      </c>
      <c r="P15" s="63">
        <v>0</v>
      </c>
      <c r="Q15" s="71">
        <v>0</v>
      </c>
      <c r="R15" s="64">
        <v>1</v>
      </c>
      <c r="S15"/>
      <c r="T15"/>
      <c r="W15"/>
    </row>
    <row r="16" spans="1:23" ht="15" customHeight="1" x14ac:dyDescent="0.15">
      <c r="B16" s="82"/>
      <c r="C16" s="70"/>
      <c r="D16" s="75" t="s">
        <v>160</v>
      </c>
      <c r="F16" s="168" t="s">
        <v>202</v>
      </c>
      <c r="G16" s="71">
        <v>0</v>
      </c>
      <c r="H16" s="71">
        <v>0</v>
      </c>
      <c r="I16" s="71">
        <v>0</v>
      </c>
      <c r="J16" s="71">
        <v>0</v>
      </c>
      <c r="K16" s="71">
        <v>1</v>
      </c>
      <c r="L16" s="71">
        <v>0</v>
      </c>
      <c r="M16" s="71">
        <v>1</v>
      </c>
      <c r="N16" s="71">
        <v>0</v>
      </c>
      <c r="O16" s="71">
        <v>1</v>
      </c>
      <c r="P16" s="63">
        <v>0</v>
      </c>
      <c r="Q16" s="71">
        <v>0</v>
      </c>
      <c r="R16" s="64">
        <v>1</v>
      </c>
      <c r="S16"/>
      <c r="T16"/>
    </row>
    <row r="17" spans="1:20" ht="15" customHeight="1" thickBot="1" x14ac:dyDescent="0.2">
      <c r="B17" s="81"/>
      <c r="C17" s="70"/>
      <c r="D17" s="75" t="s">
        <v>160</v>
      </c>
      <c r="F17" s="168" t="s">
        <v>203</v>
      </c>
      <c r="G17" s="71">
        <v>0</v>
      </c>
      <c r="H17" s="71">
        <v>0</v>
      </c>
      <c r="I17" s="71">
        <v>0</v>
      </c>
      <c r="J17" s="71">
        <v>0</v>
      </c>
      <c r="K17" s="71">
        <v>1</v>
      </c>
      <c r="L17" s="71">
        <v>0</v>
      </c>
      <c r="M17" s="71">
        <v>1</v>
      </c>
      <c r="N17" s="71">
        <v>0</v>
      </c>
      <c r="O17" s="71">
        <v>1</v>
      </c>
      <c r="P17" s="63">
        <v>0</v>
      </c>
      <c r="Q17" s="71">
        <v>0</v>
      </c>
      <c r="R17" s="64">
        <v>1</v>
      </c>
      <c r="S17"/>
      <c r="T17"/>
    </row>
    <row r="18" spans="1:20" ht="15" customHeight="1" thickBot="1" x14ac:dyDescent="0.2">
      <c r="B18" s="83"/>
      <c r="F18" s="168" t="s">
        <v>204</v>
      </c>
      <c r="G18" s="71">
        <v>0</v>
      </c>
      <c r="H18" s="71">
        <v>0</v>
      </c>
      <c r="I18" s="71">
        <v>0</v>
      </c>
      <c r="J18" s="71">
        <v>0</v>
      </c>
      <c r="K18" s="71">
        <v>1</v>
      </c>
      <c r="L18" s="71">
        <v>0</v>
      </c>
      <c r="M18" s="71">
        <v>1</v>
      </c>
      <c r="N18" s="71">
        <v>0</v>
      </c>
      <c r="O18" s="71">
        <v>1</v>
      </c>
      <c r="P18" s="63">
        <v>0</v>
      </c>
      <c r="Q18" s="71">
        <v>0</v>
      </c>
      <c r="R18" s="64">
        <v>1</v>
      </c>
      <c r="S18"/>
      <c r="T18"/>
    </row>
    <row r="19" spans="1:20" ht="15" customHeight="1" x14ac:dyDescent="0.15">
      <c r="A19" s="73" t="s">
        <v>57</v>
      </c>
      <c r="B19" s="80">
        <v>1</v>
      </c>
      <c r="C19" s="170" t="s">
        <v>210</v>
      </c>
      <c r="D19" s="75" t="s">
        <v>160</v>
      </c>
      <c r="F19" s="168" t="s">
        <v>205</v>
      </c>
      <c r="G19" s="71">
        <v>0</v>
      </c>
      <c r="H19" s="71">
        <v>0</v>
      </c>
      <c r="I19" s="71">
        <v>0</v>
      </c>
      <c r="J19" s="71">
        <v>0</v>
      </c>
      <c r="K19" s="71">
        <v>1</v>
      </c>
      <c r="L19" s="71">
        <v>0</v>
      </c>
      <c r="M19" s="71">
        <v>1</v>
      </c>
      <c r="N19" s="71">
        <v>0</v>
      </c>
      <c r="O19" s="71">
        <v>1</v>
      </c>
      <c r="P19" s="63">
        <v>0</v>
      </c>
      <c r="Q19" s="71">
        <v>0</v>
      </c>
      <c r="R19" s="64">
        <v>1</v>
      </c>
      <c r="S19"/>
      <c r="T19"/>
    </row>
    <row r="20" spans="1:20" ht="15" customHeight="1" x14ac:dyDescent="0.15">
      <c r="A20" s="110" t="s">
        <v>168</v>
      </c>
      <c r="B20" s="82"/>
      <c r="C20" s="70"/>
      <c r="D20" s="75" t="s">
        <v>160</v>
      </c>
      <c r="F20" s="168" t="s">
        <v>206</v>
      </c>
      <c r="G20" s="71">
        <v>0</v>
      </c>
      <c r="H20" s="71">
        <v>0</v>
      </c>
      <c r="I20" s="71">
        <v>0</v>
      </c>
      <c r="J20" s="71">
        <v>0</v>
      </c>
      <c r="K20" s="71">
        <v>1</v>
      </c>
      <c r="L20" s="71">
        <v>0</v>
      </c>
      <c r="M20" s="71">
        <v>1</v>
      </c>
      <c r="N20" s="71">
        <v>0</v>
      </c>
      <c r="O20" s="71">
        <v>1</v>
      </c>
      <c r="P20" s="63">
        <v>0</v>
      </c>
      <c r="Q20" s="71">
        <v>0</v>
      </c>
      <c r="R20" s="64">
        <v>1</v>
      </c>
      <c r="S20"/>
      <c r="T20"/>
    </row>
    <row r="21" spans="1:20" ht="15" customHeight="1" x14ac:dyDescent="0.15">
      <c r="B21" s="82"/>
      <c r="C21" s="70"/>
      <c r="D21" s="75" t="s">
        <v>160</v>
      </c>
      <c r="F21" s="168" t="s">
        <v>207</v>
      </c>
      <c r="G21" s="71">
        <v>0</v>
      </c>
      <c r="H21" s="71">
        <v>0</v>
      </c>
      <c r="I21" s="71">
        <v>0</v>
      </c>
      <c r="J21" s="71">
        <v>0</v>
      </c>
      <c r="K21" s="71">
        <v>1</v>
      </c>
      <c r="L21" s="71">
        <v>0</v>
      </c>
      <c r="M21" s="71">
        <v>1</v>
      </c>
      <c r="N21" s="71">
        <v>0</v>
      </c>
      <c r="O21" s="71">
        <v>1</v>
      </c>
      <c r="P21" s="63">
        <v>0</v>
      </c>
      <c r="Q21" s="71">
        <v>0</v>
      </c>
      <c r="R21" s="64">
        <v>1</v>
      </c>
      <c r="S21"/>
      <c r="T21"/>
    </row>
    <row r="22" spans="1:20" ht="15" customHeight="1" x14ac:dyDescent="0.15">
      <c r="A22" s="71"/>
      <c r="B22" s="82"/>
      <c r="C22" s="85"/>
      <c r="D22" s="75" t="s">
        <v>160</v>
      </c>
      <c r="F22" s="168" t="s">
        <v>208</v>
      </c>
      <c r="G22" s="71">
        <v>0</v>
      </c>
      <c r="H22" s="71">
        <v>0</v>
      </c>
      <c r="I22" s="71">
        <v>0</v>
      </c>
      <c r="J22" s="71">
        <v>0</v>
      </c>
      <c r="K22" s="71">
        <v>1</v>
      </c>
      <c r="L22" s="71">
        <v>0</v>
      </c>
      <c r="M22" s="71">
        <v>1</v>
      </c>
      <c r="N22" s="71">
        <v>0</v>
      </c>
      <c r="O22" s="71">
        <v>1</v>
      </c>
      <c r="P22" s="63">
        <v>0</v>
      </c>
      <c r="Q22" s="71">
        <v>0</v>
      </c>
      <c r="R22" s="64">
        <v>1</v>
      </c>
      <c r="S22"/>
      <c r="T22"/>
    </row>
    <row r="23" spans="1:20" ht="15" customHeight="1" x14ac:dyDescent="0.15">
      <c r="A23" s="71"/>
      <c r="B23" s="82"/>
      <c r="C23" s="86"/>
      <c r="D23" s="75" t="s">
        <v>160</v>
      </c>
      <c r="F23" s="168" t="s">
        <v>209</v>
      </c>
      <c r="G23" s="71">
        <v>0</v>
      </c>
      <c r="H23" s="71">
        <v>0</v>
      </c>
      <c r="I23" s="71">
        <v>0</v>
      </c>
      <c r="J23" s="71">
        <v>0</v>
      </c>
      <c r="K23" s="71">
        <v>1</v>
      </c>
      <c r="L23" s="71">
        <v>0</v>
      </c>
      <c r="M23" s="71">
        <v>1</v>
      </c>
      <c r="N23" s="71">
        <v>0</v>
      </c>
      <c r="O23" s="71">
        <v>1</v>
      </c>
      <c r="P23" s="63">
        <v>0</v>
      </c>
      <c r="Q23" s="71">
        <v>0</v>
      </c>
      <c r="R23" s="64">
        <v>1</v>
      </c>
      <c r="S23"/>
      <c r="T23"/>
    </row>
    <row r="24" spans="1:20" ht="15" customHeight="1" x14ac:dyDescent="0.15">
      <c r="A24" s="71"/>
      <c r="B24" s="82"/>
      <c r="C24" s="86"/>
      <c r="D24" s="75" t="s">
        <v>160</v>
      </c>
      <c r="F24" s="168" t="s">
        <v>210</v>
      </c>
      <c r="G24" s="71">
        <v>0</v>
      </c>
      <c r="H24" s="71">
        <v>0</v>
      </c>
      <c r="I24" s="71">
        <v>0</v>
      </c>
      <c r="J24" s="71">
        <v>0</v>
      </c>
      <c r="K24" s="71">
        <v>0</v>
      </c>
      <c r="L24" s="71">
        <v>0</v>
      </c>
      <c r="M24" s="71">
        <v>1</v>
      </c>
      <c r="N24" s="71">
        <v>0</v>
      </c>
      <c r="O24" s="71">
        <v>0</v>
      </c>
      <c r="P24" s="63">
        <v>0</v>
      </c>
      <c r="Q24" s="71">
        <v>0</v>
      </c>
      <c r="R24" s="64">
        <v>1</v>
      </c>
      <c r="S24"/>
      <c r="T24"/>
    </row>
    <row r="25" spans="1:20" ht="15" customHeight="1" x14ac:dyDescent="0.15">
      <c r="A25" s="71"/>
      <c r="B25" s="82"/>
      <c r="C25" s="70"/>
      <c r="D25" s="75" t="s">
        <v>160</v>
      </c>
      <c r="F25" s="168" t="s">
        <v>211</v>
      </c>
      <c r="G25" s="71">
        <v>0</v>
      </c>
      <c r="H25" s="71">
        <v>0</v>
      </c>
      <c r="I25" s="71">
        <v>0</v>
      </c>
      <c r="J25" s="71">
        <v>0</v>
      </c>
      <c r="K25" s="71">
        <v>0</v>
      </c>
      <c r="L25" s="71">
        <v>1</v>
      </c>
      <c r="M25" s="71">
        <v>0</v>
      </c>
      <c r="N25" s="71">
        <v>1</v>
      </c>
      <c r="O25" s="71">
        <v>0</v>
      </c>
      <c r="P25" s="63">
        <v>1</v>
      </c>
      <c r="Q25" s="71">
        <v>0</v>
      </c>
      <c r="R25" s="64">
        <v>1</v>
      </c>
      <c r="S25"/>
      <c r="T25"/>
    </row>
    <row r="26" spans="1:20" ht="15" customHeight="1" x14ac:dyDescent="0.15">
      <c r="B26" s="82"/>
      <c r="C26" s="70"/>
      <c r="D26" s="75" t="s">
        <v>160</v>
      </c>
      <c r="F26" s="168" t="s">
        <v>212</v>
      </c>
      <c r="G26" s="71">
        <v>0</v>
      </c>
      <c r="H26" s="71">
        <v>0</v>
      </c>
      <c r="I26" s="71">
        <v>0</v>
      </c>
      <c r="J26" s="71">
        <v>0</v>
      </c>
      <c r="K26" s="71">
        <v>0</v>
      </c>
      <c r="L26" s="71">
        <v>1</v>
      </c>
      <c r="M26" s="71">
        <v>0</v>
      </c>
      <c r="N26" s="71">
        <v>1</v>
      </c>
      <c r="O26" s="71">
        <v>0</v>
      </c>
      <c r="P26" s="63">
        <v>1</v>
      </c>
      <c r="Q26" s="71">
        <v>0</v>
      </c>
      <c r="R26" s="64">
        <v>1</v>
      </c>
      <c r="S26"/>
      <c r="T26"/>
    </row>
    <row r="27" spans="1:20" ht="15" customHeight="1" x14ac:dyDescent="0.15">
      <c r="B27" s="82"/>
      <c r="C27" s="70"/>
      <c r="D27" s="75" t="s">
        <v>160</v>
      </c>
      <c r="F27" s="174" t="s">
        <v>217</v>
      </c>
      <c r="G27">
        <v>0</v>
      </c>
      <c r="H27">
        <v>0</v>
      </c>
      <c r="I27">
        <v>0</v>
      </c>
      <c r="J27">
        <v>0</v>
      </c>
      <c r="K27">
        <v>0</v>
      </c>
      <c r="L27">
        <v>1</v>
      </c>
      <c r="M27">
        <v>0</v>
      </c>
      <c r="N27">
        <v>0</v>
      </c>
      <c r="O27">
        <v>0</v>
      </c>
      <c r="P27">
        <v>0</v>
      </c>
      <c r="Q27">
        <v>0</v>
      </c>
      <c r="R27" s="97">
        <v>1</v>
      </c>
      <c r="S27"/>
      <c r="T27"/>
    </row>
    <row r="28" spans="1:20" ht="15" customHeight="1" thickBot="1" x14ac:dyDescent="0.2">
      <c r="B28" s="81"/>
      <c r="C28" s="70"/>
      <c r="D28" s="75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1"/>
      <c r="B31" s="122" t="s">
        <v>17</v>
      </c>
      <c r="C31" s="122" t="s">
        <v>1</v>
      </c>
      <c r="D31" s="122" t="s">
        <v>161</v>
      </c>
      <c r="E31" s="123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1" t="s">
        <v>210</v>
      </c>
      <c r="B32" s="83">
        <v>43.356483500000003</v>
      </c>
      <c r="C32" s="83">
        <v>462.116241</v>
      </c>
      <c r="D32" s="83">
        <v>20035.735177998526</v>
      </c>
      <c r="E32" s="113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2"/>
      <c r="B33" s="83"/>
      <c r="C33" s="83"/>
      <c r="D33" s="83"/>
      <c r="E33" s="11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4"/>
      <c r="B34" s="83"/>
      <c r="C34" s="83"/>
      <c r="D34" s="83"/>
      <c r="E34" s="113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5"/>
      <c r="B35" s="83"/>
      <c r="C35" s="83"/>
      <c r="D35" s="83"/>
      <c r="E35" s="113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6"/>
      <c r="B36" s="83"/>
      <c r="C36" s="83"/>
      <c r="D36" s="83"/>
      <c r="E36" s="113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6"/>
      <c r="B37" s="83"/>
      <c r="C37" s="83"/>
      <c r="D37" s="83"/>
      <c r="E37" s="113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7"/>
      <c r="B38" s="83"/>
      <c r="C38" s="83"/>
      <c r="D38" s="83"/>
      <c r="E38" s="113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7"/>
      <c r="B39" s="83"/>
      <c r="C39" s="83"/>
      <c r="D39" s="83"/>
      <c r="E39" s="113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7"/>
      <c r="B40" s="83"/>
      <c r="C40" s="83"/>
      <c r="D40" s="83"/>
      <c r="E40" s="113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7"/>
      <c r="B41" s="83"/>
      <c r="C41" s="83"/>
      <c r="D41" s="84"/>
      <c r="E41" s="118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19"/>
      <c r="B42" s="120"/>
      <c r="C42" s="120" t="s">
        <v>162</v>
      </c>
      <c r="D42" s="120">
        <f>SUM(D32:D41)</f>
        <v>20035.735177998526</v>
      </c>
      <c r="E42" s="121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1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1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1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1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1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1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1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1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1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1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1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1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1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1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1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1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1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1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1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1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1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1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1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1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1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1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1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1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1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1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1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1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1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1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1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1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1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1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1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1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1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1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1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1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1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1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1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1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1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1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1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1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1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1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1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1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1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1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1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1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1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1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1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1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1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1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1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1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1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1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1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1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1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1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1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1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1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1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1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1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1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1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1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1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1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1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1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1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1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1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1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1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1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1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1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1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1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1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1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1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1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1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1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1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1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1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1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1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1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1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1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1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1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1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1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1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1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1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1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1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1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1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1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1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1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1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1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1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Y2" activePane="bottomRight" state="frozen"/>
      <selection pane="topRight" activeCell="B1" sqref="B1"/>
      <selection pane="bottomLeft" activeCell="A2" sqref="A2"/>
      <selection pane="bottomRight" activeCell="A29" sqref="A29"/>
    </sheetView>
  </sheetViews>
  <sheetFormatPr baseColWidth="10" defaultColWidth="8.83203125" defaultRowHeight="13" x14ac:dyDescent="0.15"/>
  <cols>
    <col min="1" max="1" width="26.5" bestFit="1" customWidth="1"/>
    <col min="2" max="2" width="2.33203125" style="96" customWidth="1"/>
    <col min="3" max="5" width="7.83203125" style="96" customWidth="1"/>
    <col min="6" max="8" width="8.83203125" style="6"/>
    <col min="9" max="9" width="5.5" style="6" customWidth="1"/>
    <col min="10" max="10" width="6.83203125" style="6" customWidth="1"/>
    <col min="11" max="11" width="26.33203125" style="6" customWidth="1"/>
    <col min="12" max="13" width="18.1640625" style="6" customWidth="1"/>
    <col min="14" max="14" width="8.5" style="6" customWidth="1"/>
    <col min="15" max="15" width="19.5" style="6" customWidth="1"/>
    <col min="16" max="16" width="26.5" style="6" customWidth="1"/>
    <col min="17" max="17" width="25.33203125" style="6" customWidth="1"/>
    <col min="18" max="18" width="16.5" style="6" customWidth="1"/>
    <col min="19" max="19" width="16.1640625" style="6" customWidth="1"/>
    <col min="20" max="20" width="16.5" style="6" customWidth="1"/>
    <col min="21" max="21" width="19.83203125" style="6" customWidth="1"/>
    <col min="22" max="22" width="16.33203125" style="6" customWidth="1"/>
    <col min="23" max="23" width="21.1640625" style="6" customWidth="1"/>
    <col min="24" max="24" width="17.5" style="6" customWidth="1"/>
    <col min="25" max="25" width="16.5" style="6" customWidth="1"/>
    <col min="26" max="26" width="11.33203125" style="6" customWidth="1"/>
    <col min="27" max="27" width="13.1640625" style="6" customWidth="1"/>
    <col min="28" max="28" width="7.6640625" style="6" customWidth="1"/>
    <col min="29" max="29" width="21.6640625" style="6" customWidth="1"/>
    <col min="30" max="38" width="8.83203125" style="6"/>
    <col min="81" max="81" width="22.1640625" bestFit="1" customWidth="1"/>
  </cols>
  <sheetData>
    <row r="1" spans="1:38" x14ac:dyDescent="0.15">
      <c r="A1" s="4" t="s">
        <v>156</v>
      </c>
      <c r="B1" s="32" t="s">
        <v>157</v>
      </c>
      <c r="C1" s="32" t="s">
        <v>17</v>
      </c>
      <c r="D1" s="32" t="s">
        <v>158</v>
      </c>
      <c r="E1" s="32" t="s">
        <v>159</v>
      </c>
      <c r="F1"/>
      <c r="G1"/>
      <c r="H1"/>
      <c r="I1" s="173" t="s">
        <v>192</v>
      </c>
      <c r="J1" s="173" t="s">
        <v>193</v>
      </c>
      <c r="K1" s="173" t="s">
        <v>194</v>
      </c>
      <c r="L1" s="173" t="s">
        <v>195</v>
      </c>
      <c r="M1" s="173" t="s">
        <v>196</v>
      </c>
      <c r="N1" s="173" t="s">
        <v>197</v>
      </c>
      <c r="O1" s="173" t="s">
        <v>198</v>
      </c>
      <c r="P1" s="173" t="s">
        <v>199</v>
      </c>
      <c r="Q1" s="173" t="s">
        <v>200</v>
      </c>
      <c r="R1" s="173" t="s">
        <v>201</v>
      </c>
      <c r="S1" s="173" t="s">
        <v>202</v>
      </c>
      <c r="T1" s="173" t="s">
        <v>203</v>
      </c>
      <c r="U1" s="173" t="s">
        <v>204</v>
      </c>
      <c r="V1" s="173" t="s">
        <v>205</v>
      </c>
      <c r="W1" s="173" t="s">
        <v>206</v>
      </c>
      <c r="X1" s="173" t="s">
        <v>207</v>
      </c>
      <c r="Y1" s="173" t="s">
        <v>208</v>
      </c>
      <c r="Z1" s="173" t="s">
        <v>209</v>
      </c>
      <c r="AA1" s="173" t="s">
        <v>210</v>
      </c>
      <c r="AB1" s="173" t="s">
        <v>211</v>
      </c>
      <c r="AC1" s="173" t="s">
        <v>212</v>
      </c>
      <c r="AD1" s="175" t="s">
        <v>217</v>
      </c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6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6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6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2" t="s">
        <v>192</v>
      </c>
      <c r="B5" s="96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2" t="s">
        <v>193</v>
      </c>
      <c r="B6" s="96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2" t="s">
        <v>194</v>
      </c>
      <c r="B7" s="96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2" t="s">
        <v>195</v>
      </c>
      <c r="B8" s="96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2" t="s">
        <v>196</v>
      </c>
      <c r="B9" s="96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2" t="s">
        <v>197</v>
      </c>
      <c r="B10" s="96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2" t="s">
        <v>198</v>
      </c>
      <c r="B11" s="96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2" t="s">
        <v>199</v>
      </c>
      <c r="B12" s="96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2" t="s">
        <v>200</v>
      </c>
      <c r="B13" s="96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2" t="s">
        <v>201</v>
      </c>
      <c r="B14" s="96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2" t="s">
        <v>202</v>
      </c>
      <c r="B15" s="96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2" t="s">
        <v>203</v>
      </c>
      <c r="B16" s="96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2" t="s">
        <v>204</v>
      </c>
      <c r="B17" s="96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2" t="s">
        <v>205</v>
      </c>
      <c r="B18" s="96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2" t="s">
        <v>206</v>
      </c>
      <c r="B19" s="96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2" t="s">
        <v>207</v>
      </c>
      <c r="B20" s="96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2" t="s">
        <v>208</v>
      </c>
      <c r="B21" s="96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2" t="s">
        <v>209</v>
      </c>
      <c r="B22" s="96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2" t="s">
        <v>210</v>
      </c>
      <c r="B23" s="96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A24" s="172" t="s">
        <v>211</v>
      </c>
      <c r="B24" s="96">
        <v>0</v>
      </c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A25" s="172" t="s">
        <v>212</v>
      </c>
      <c r="B25" s="96">
        <v>0</v>
      </c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A26" s="174" t="s">
        <v>217</v>
      </c>
      <c r="B26" s="96">
        <v>0</v>
      </c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2023-08-14T21:57:31Z</dcterms:modified>
</cp:coreProperties>
</file>