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028BC953-2B85-BE4C-8E98-685534256E00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Main!$C$2:$N$34</definedName>
    <definedName name="matDetritus">Detritus!$C$2:$F$34</definedName>
    <definedName name="matDiet">Diets!$B$2:$AD$34</definedName>
    <definedName name="matDiscards">Discards!$C$2:$C$33</definedName>
    <definedName name="matFishery">Fishing!$C$2:$C$33</definedName>
    <definedName name="matFishing">Fishing!#REF!</definedName>
    <definedName name="matMort">Mortalities!$A$1:$AJ$33</definedName>
    <definedName name="matOut">MainOutputs!$A$2:$I$34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<sst xmlns="http://schemas.openxmlformats.org/spreadsheetml/2006/main" count="974" uniqueCount="230">
  <si>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</si>
  <si>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</si>
  <si>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</si>
  <si>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</si>
  <si>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</si>
  <si>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</si>
  <si>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</si>
  <si>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</si>
  <si>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</si>
  <si>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</si>
  <si>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</si>
  <si>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</si>
  <si>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</si>
  <si>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</si>
  <si>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</si>
  <si>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</si>
  <si>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</si>
  <si>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</si>
  <si>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</si>
  <si>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</si>
  <si>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</si>
  <si>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</si>
  <si>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</si>
  <si>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</si>
  <si>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</si>
  <si>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</si>
  <si>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</si>
  <si>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</si>
  <si>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</si>
  <si>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</si>
  <si>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</si>
  <si>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</si>
  <si>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</si>
  <si>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</si>
  <si>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</si>
  <si>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</si>
  <si>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</si>
  <si>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</si>
  <si>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</si>
  <si>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</si>
  <si>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</si>
  <si>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</si>
  <si>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</si>
  <si>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</si>
  <si>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</si>
  <si>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</si>
  <si>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</si>
  <si>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</si>
  <si>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</si>
  <si>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</si>
  <si>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</si>
  <si>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</si>
  <si>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</si>
  <si>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</si>
  <si>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</si>
  <si>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</si>
  <si>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</si>
  <si>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</si>
  <si>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</si>
  <si>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</si>
  <si>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</si>
  <si>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</si>
  <si>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</si>
  <si>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</si>
  <si>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</si>
  <si>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</si>
  <si>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</si>
  <si>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</si>
  <si>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</si>
  <si>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</si>
  <si>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</si>
  <si>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</si>
  <si>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</si>
  <si>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</si>
  <si>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</si>
  <si>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</si>
  <si>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</si>
  <si>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</si>
  <si>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</si>
  <si>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</si>
  <si>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</si>
  <si>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</si>
  <si>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</si>
  <si>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</si>
  <si>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</si>
  <si>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</si>
  <si>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</si>
  <si>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</si>
  <si>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</si>
  <si>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</si>
  <si>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</si>
  <si>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</si>
  <si>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</si>
  <si>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</si>
  <si>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</si>
  <si>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</si>
  <si>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</si>
  <si>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</si>
  <si>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</si>
  <si>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</si>
  <si>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</si>
  <si>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</si>
  <si>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</si>
  <si>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</si>
  <si>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</si>
  <si>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</si>
  <si>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</si>
  <si>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</si>
  <si>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</si>
  <si>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</si>
  <si>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</si>
  <si>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</si>
  <si>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</si>
  <si>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</si>
  <si>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</si>
  <si>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</si>
  <si>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</si>
  <si>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</si>
  <si>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</si>
  <si>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</si>
  <si>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</si>
  <si>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</si>
  <si>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</si>
  <si>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</si>
  <si>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</si>
  <si>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</si>
  <si>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</si>
  <si>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</si>
  <si>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</si>
  <si>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</si>
  <si>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</si>
  <si>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</si>
  <si>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</si>
  <si>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</si>
  <si>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</si>
  <si>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</si>
  <si>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</si>
  <si>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</si>
  <si>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</si>
  <si>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</si>
  <si>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</si>
  <si>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</si>
  <si>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</si>
  <si>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</si>
  <si>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</si>
  <si>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</si>
  <si>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</si>
  <si>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</si>
  <si>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</si>
  <si>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</si>
  <si>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</si>
  <si>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</si>
  <si>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</si>
  <si>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</si>
  <si>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</si>
  <si>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</si>
  <si>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</si>
  <si>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</si>
  <si>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</si>
  <si>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</si>
  <si>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</si>
  <si>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</si>
  <si>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</si>
  <si>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</si>
  <si>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</si>
  <si>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</si>
  <si>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</si>
  <si>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</si>
  <si>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</si>
  <si>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</si>
  <si>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</si>
  <si>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</si>
  <si>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</si>
  <si>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</si>
  <si>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</si>
  <si>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</si>
  <si>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</si>
  <si>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</si>
  <si>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</si>
  <si>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</si>
  <si>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</si>
  <si>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</si>
  <si>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</si>
  <si>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</si>
  <si>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</si>
  <si>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Gulf of Maine</t>
  </si>
  <si>
    <t>United States of America</t>
  </si>
  <si>
    <t>BOX(-71.0929104694449 41.2948636766018,-65.1608026480813 44.5264322070168)</t>
  </si>
  <si>
    <t>continental shelf</t>
  </si>
  <si>
    <t>WetWeight</t>
  </si>
  <si>
    <t>; 7/20/2006 4:02:44 PM</t>
  </si>
  <si>
    <t>Link J.S.,Griswold C.A.,Methratta E.T.,Gunnard J.(2006). Documentation for the Energy Modeling and Analysis eXercise (EMAX) Northeast Fisheries Science Center Reference Document</t>
  </si>
  <si>
    <t>Phytoplankton- Primary Producers</t>
  </si>
  <si>
    <t>Bacteria</t>
  </si>
  <si>
    <t>Microzooplankton</t>
  </si>
  <si>
    <t>Small copepods</t>
  </si>
  <si>
    <t>Large Copepods</t>
  </si>
  <si>
    <t>Gelatinous Zooplankton</t>
  </si>
  <si>
    <t>Micronekton</t>
  </si>
  <si>
    <t>Macrobenthos- polychaetes</t>
  </si>
  <si>
    <t>Macrobenthos- crustaceans</t>
  </si>
  <si>
    <t>Macrobenthos- molluscs</t>
  </si>
  <si>
    <t>Macrobenthos- other</t>
  </si>
  <si>
    <t>Megabenthos- filterers</t>
  </si>
  <si>
    <t>Megabenthos- other</t>
  </si>
  <si>
    <t>Shrimp et al.</t>
  </si>
  <si>
    <t>Larval-juv fish- all</t>
  </si>
  <si>
    <t>Small Pelagics- commercial</t>
  </si>
  <si>
    <t>Small Pelagics- other</t>
  </si>
  <si>
    <t>Small Pelagics- squid</t>
  </si>
  <si>
    <t>Small Pelagics- anadromous</t>
  </si>
  <si>
    <t>Medium Pelagics- (piscivores &amp;amp; other)</t>
  </si>
  <si>
    <t>Demersals- benthivores</t>
  </si>
  <si>
    <t>Demersals- omnivores</t>
  </si>
  <si>
    <t>Demersals- piscivores</t>
  </si>
  <si>
    <t>Sharks- pelagics</t>
  </si>
  <si>
    <t>HMS</t>
  </si>
  <si>
    <t>Pinnipeds</t>
  </si>
  <si>
    <t>Baleen Whales</t>
  </si>
  <si>
    <t>Odontocetes</t>
  </si>
  <si>
    <t>Sea Birds</t>
  </si>
  <si>
    <t>Discard</t>
  </si>
  <si>
    <t>Detritus-POC</t>
  </si>
  <si>
    <t>detritus_TerminalBenthic</t>
  </si>
  <si>
    <t>Landings</t>
  </si>
  <si>
    <t>Import</t>
  </si>
  <si>
    <t>export</t>
  </si>
  <si>
    <t>sum</t>
  </si>
  <si>
    <t>TOTAL</t>
  </si>
  <si>
    <t>F Landings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</si>
</sst>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44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AD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FF3C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FF9700"/>
        <bgColor indexed="64"/>
      </patternFill>
    </fill>
    <fill>
      <patternFill patternType="solid">
        <fgColor rgb="FFFF64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CE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EEFF00"/>
        <bgColor indexed="64"/>
      </patternFill>
    </fill>
    <fill>
      <patternFill patternType="solid">
        <fgColor rgb="FFDF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FFC2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CD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CB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FF9A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88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67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3" borderId="2" xfId="0" applyFont="1" applyFill="1" applyBorder="1" applyAlignment="1">
      <alignment horizontal="center"/>
    </xf>
    <xf numFmtId="0" fontId="1" fillId="23" borderId="4" xfId="0" applyFont="1" applyFill="1" applyBorder="1" applyAlignment="1">
      <alignment horizontal="center"/>
    </xf>
    <xf numFmtId="0" fontId="1" fillId="23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3" borderId="5" xfId="0" applyFill="1" applyBorder="1"/>
    <xf numFmtId="0" fontId="0" fillId="23" borderId="6" xfId="0" applyFill="1" applyBorder="1"/>
    <xf numFmtId="0" fontId="0" fillId="23" borderId="7" xfId="0" applyFill="1" applyBorder="1"/>
    <xf numFmtId="0" fontId="0" fillId="23" borderId="8" xfId="0" applyFill="1" applyBorder="1"/>
    <xf numFmtId="0" fontId="0" fillId="23" borderId="9" xfId="0" applyFill="1" applyBorder="1"/>
    <xf numFmtId="0" fontId="0" fillId="23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3" borderId="0" xfId="0" applyFill="1"/>
    <xf numFmtId="0" fontId="0" fillId="34" borderId="0" xfId="0" applyFill="1"/>
    <xf numFmtId="0" fontId="0" fillId="0" borderId="0" xfId="0" applyFont="1" applyFill="1" applyAlignment="1">
      <alignment horizontal="center"/>
    </xf>
    <xf numFmtId="0" fontId="0" fillId="35" borderId="0" xfId="0" applyFill="1"/>
    <xf numFmtId="0" fontId="0" fillId="36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2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2" borderId="3" xfId="0" applyNumberFormat="1" applyFont="1" applyFill="1" applyBorder="1"/>
    <xf numFmtId="0" fontId="0" fillId="32" borderId="2" xfId="0" applyFont="1" applyFill="1" applyBorder="1"/>
    <xf numFmtId="0" fontId="0" fillId="32" borderId="3" xfId="0" applyFont="1" applyFill="1" applyBorder="1"/>
    <xf numFmtId="0" fontId="0" fillId="32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0" borderId="0" xfId="0" applyBorder="1"/>
    <xf numFmtId="0" fontId="0" fillId="40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3" borderId="2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3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5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0" t="s">
        <v>164</v>
      </c>
    </row>
    <row r="6" spans="2:4" ht="14" thickBot="1" x14ac:dyDescent="0.2">
      <c r="B6" s="44" t="s">
        <v>141</v>
      </c>
    </row>
    <row r="7" spans="2:4" x14ac:dyDescent="0.15">
      <c r="B7" s="60" t="s">
        <v>143</v>
      </c>
    </row>
    <row r="8" spans="2:4" x14ac:dyDescent="0.15">
      <c r="B8" s="60" t="s">
        <v>142</v>
      </c>
    </row>
    <row r="9" spans="2:4" x14ac:dyDescent="0.15">
      <c r="B9" s="60" t="s">
        <v>144</v>
      </c>
    </row>
    <row r="10" spans="2:4" x14ac:dyDescent="0.15">
      <c r="B10" s="60" t="s">
        <v>147</v>
      </c>
    </row>
    <row r="11" spans="2:4" x14ac:dyDescent="0.15">
      <c r="B11" s="60" t="s">
        <v>151</v>
      </c>
    </row>
    <row r="12" spans="2:4" x14ac:dyDescent="0.15">
      <c r="B12" s="60" t="s">
        <v>153</v>
      </c>
    </row>
    <row r="13" spans="2:4" x14ac:dyDescent="0.15">
      <c r="B13" s="60" t="s">
        <v>165</v>
      </c>
    </row>
    <row r="15" spans="2:4" ht="14" thickBot="1" x14ac:dyDescent="0.2"/>
    <row r="16" spans="2:4" ht="14" thickBot="1" x14ac:dyDescent="0.2">
      <c r="B16" s="45" t="s">
        <v>137</v>
      </c>
      <c r="C16" s="46"/>
      <c r="D16" s="28">
        <v>41373</v>
      </c>
    </row>
    <row r="17" spans="2:4" x14ac:dyDescent="0.15">
      <c r="B17" s="47" t="s">
        <v>58</v>
      </c>
      <c r="C17" s="31">
        <v>0</v>
      </c>
    </row>
    <row r="18" spans="2:4" x14ac:dyDescent="0.15">
      <c r="B18" s="47" t="s">
        <v>59</v>
      </c>
      <c r="C18" s="31">
        <v>1</v>
      </c>
    </row>
    <row r="19" spans="2:4" x14ac:dyDescent="0.15">
      <c r="B19" s="47" t="s">
        <v>60</v>
      </c>
      <c r="C19" s="31">
        <v>2</v>
      </c>
    </row>
    <row r="20" spans="2:4" ht="14" thickBot="1" x14ac:dyDescent="0.2">
      <c r="B20" s="48" t="s">
        <v>44</v>
      </c>
      <c r="C20" s="32">
        <v>3</v>
      </c>
    </row>
    <row r="21" spans="2:4" x14ac:dyDescent="0.15">
      <c r="B21" s="49" t="s">
        <v>140</v>
      </c>
    </row>
    <row r="22" spans="2:4" ht="14" thickBot="1" x14ac:dyDescent="0.2"/>
    <row r="23" spans="2:4" ht="14" thickBot="1" x14ac:dyDescent="0.2">
      <c r="B23" s="45" t="s">
        <v>65</v>
      </c>
      <c r="C23" s="46"/>
      <c r="D23" s="28" t="s">
        <v>148</v>
      </c>
    </row>
    <row r="24" spans="2:4" x14ac:dyDescent="0.15">
      <c r="B24" s="51" t="s">
        <v>38</v>
      </c>
      <c r="C24" s="29">
        <v>1</v>
      </c>
    </row>
    <row r="25" spans="2:4" x14ac:dyDescent="0.15">
      <c r="B25" s="47" t="s">
        <v>40</v>
      </c>
      <c r="C25" s="31">
        <v>1.1000000000000001</v>
      </c>
    </row>
    <row r="26" spans="2:4" x14ac:dyDescent="0.15">
      <c r="B26" s="47" t="s">
        <v>41</v>
      </c>
      <c r="C26" s="31">
        <v>1.2</v>
      </c>
    </row>
    <row r="27" spans="2:4" x14ac:dyDescent="0.15">
      <c r="B27" s="47"/>
      <c r="C27" s="31"/>
    </row>
    <row r="28" spans="2:4" x14ac:dyDescent="0.15">
      <c r="B28" s="47" t="s">
        <v>42</v>
      </c>
      <c r="C28" s="31">
        <v>2.1</v>
      </c>
    </row>
    <row r="29" spans="2:4" x14ac:dyDescent="0.15">
      <c r="B29" s="47" t="s">
        <v>43</v>
      </c>
      <c r="C29" s="31">
        <v>2.2000000000000002</v>
      </c>
    </row>
    <row r="30" spans="2:4" x14ac:dyDescent="0.15">
      <c r="B30" s="47" t="s">
        <v>67</v>
      </c>
      <c r="C30" s="31">
        <v>2.2999999999999998</v>
      </c>
    </row>
    <row r="31" spans="2:4" x14ac:dyDescent="0.15">
      <c r="B31" s="47"/>
      <c r="C31" s="31"/>
    </row>
    <row r="32" spans="2:4" x14ac:dyDescent="0.15">
      <c r="B32" s="47" t="s">
        <v>62</v>
      </c>
      <c r="C32" s="31">
        <v>3.11</v>
      </c>
    </row>
    <row r="33" spans="2:3" x14ac:dyDescent="0.15">
      <c r="B33" s="47" t="s">
        <v>61</v>
      </c>
      <c r="C33" s="31">
        <v>3.12</v>
      </c>
    </row>
    <row r="34" spans="2:3" x14ac:dyDescent="0.15">
      <c r="B34" s="47" t="s">
        <v>68</v>
      </c>
      <c r="C34" s="31">
        <v>3.13</v>
      </c>
    </row>
    <row r="35" spans="2:3" x14ac:dyDescent="0.15">
      <c r="B35" s="47"/>
      <c r="C35" s="31"/>
    </row>
    <row r="36" spans="2:3" x14ac:dyDescent="0.15">
      <c r="B36" s="47" t="s">
        <v>66</v>
      </c>
      <c r="C36" s="31">
        <v>3.21</v>
      </c>
    </row>
    <row r="37" spans="2:3" x14ac:dyDescent="0.15">
      <c r="B37" s="47" t="s">
        <v>63</v>
      </c>
      <c r="C37" s="31">
        <v>3.22</v>
      </c>
    </row>
    <row r="38" spans="2:3" x14ac:dyDescent="0.15">
      <c r="B38" s="47" t="s">
        <v>69</v>
      </c>
      <c r="C38" s="31">
        <v>3.23</v>
      </c>
    </row>
    <row r="39" spans="2:3" x14ac:dyDescent="0.15">
      <c r="B39" s="47"/>
      <c r="C39" s="31"/>
    </row>
    <row r="40" spans="2:3" x14ac:dyDescent="0.15">
      <c r="B40" s="47" t="s">
        <v>64</v>
      </c>
      <c r="C40" s="31">
        <v>8</v>
      </c>
    </row>
    <row r="41" spans="2:3" x14ac:dyDescent="0.15">
      <c r="B41" s="47"/>
      <c r="C41" s="31"/>
    </row>
    <row r="42" spans="2:3" x14ac:dyDescent="0.15">
      <c r="B42" s="47" t="s">
        <v>71</v>
      </c>
      <c r="C42" s="31">
        <v>4.0999999999999996</v>
      </c>
    </row>
    <row r="43" spans="2:3" x14ac:dyDescent="0.15">
      <c r="B43" s="47" t="s">
        <v>70</v>
      </c>
      <c r="C43" s="31">
        <v>4.2</v>
      </c>
    </row>
    <row r="44" spans="2:3" x14ac:dyDescent="0.15">
      <c r="B44" s="47" t="s">
        <v>72</v>
      </c>
      <c r="C44" s="31">
        <v>4.3</v>
      </c>
    </row>
    <row r="45" spans="2:3" x14ac:dyDescent="0.15">
      <c r="B45" s="30"/>
      <c r="C45" s="31"/>
    </row>
    <row r="46" spans="2:3" x14ac:dyDescent="0.15">
      <c r="B46" s="47" t="s">
        <v>138</v>
      </c>
      <c r="C46" s="31">
        <v>6.1</v>
      </c>
    </row>
    <row r="47" spans="2:3" x14ac:dyDescent="0.15">
      <c r="B47" s="47" t="s">
        <v>45</v>
      </c>
      <c r="C47" s="31">
        <v>6.2</v>
      </c>
    </row>
    <row r="48" spans="2:3" x14ac:dyDescent="0.15">
      <c r="B48" s="47"/>
      <c r="C48" s="31"/>
    </row>
    <row r="49" spans="2:4" x14ac:dyDescent="0.15">
      <c r="B49" s="47" t="s">
        <v>44</v>
      </c>
      <c r="C49" s="31">
        <v>5</v>
      </c>
    </row>
    <row r="50" spans="2:4" x14ac:dyDescent="0.15">
      <c r="B50" s="47"/>
      <c r="C50" s="31"/>
    </row>
    <row r="51" spans="2:4" ht="14" thickBot="1" x14ac:dyDescent="0.2">
      <c r="B51" s="48" t="s">
        <v>73</v>
      </c>
      <c r="C51" s="32">
        <v>7</v>
      </c>
    </row>
    <row r="53" spans="2:4" x14ac:dyDescent="0.15">
      <c r="B53" s="172" t="s">
        <v>171</v>
      </c>
      <c r="C53" s="104">
        <v>704</v>
      </c>
      <c r="D53" s="104"/>
    </row>
    <row r="54" spans="2:4" x14ac:dyDescent="0.15">
      <c r="B54" s="172" t="s">
        <v>172</v>
      </c>
      <c r="C54" s="172" t="s">
        <v>185</v>
      </c>
      <c r="D54" s="104"/>
    </row>
    <row r="55" spans="2:4" x14ac:dyDescent="0.15">
      <c r="B55" s="172" t="s">
        <v>173</v>
      </c>
      <c r="C55" s="172" t="s">
        <v>186</v>
      </c>
      <c r="D55" s="104"/>
    </row>
    <row r="56" spans="2:4" x14ac:dyDescent="0.15">
      <c r="B56" s="172" t="s">
        <v>174</v>
      </c>
      <c r="C56" s="104">
        <v>79128</v>
      </c>
      <c r="D56" s="104"/>
    </row>
    <row r="57" spans="2:4" x14ac:dyDescent="0.15">
      <c r="B57" s="172" t="s">
        <v>175</v>
      </c>
      <c r="C57" s="172" t="s">
        <v>187</v>
      </c>
      <c r="D57" s="104"/>
    </row>
    <row r="58" spans="2:4" x14ac:dyDescent="0.15">
      <c r="B58" s="172" t="s">
        <v>176</v>
      </c>
      <c r="C58" s="172" t="s">
        <v>188</v>
      </c>
      <c r="D58" s="104"/>
    </row>
    <row r="59" spans="2:4" x14ac:dyDescent="0.15">
      <c r="B59" s="172" t="s">
        <v>177</v>
      </c>
      <c r="C59" s="172" t="s">
        <v>189</v>
      </c>
      <c r="D59" s="104"/>
    </row>
    <row r="60" spans="2:4" x14ac:dyDescent="0.15">
      <c r="B60" s="172" t="s">
        <v>178</v>
      </c>
      <c r="C60" s="172" t="s">
        <v>190</v>
      </c>
      <c r="D60" s="104"/>
    </row>
    <row r="61" spans="2:4" x14ac:dyDescent="0.15">
      <c r="B61" s="172" t="s">
        <v>179</v>
      </c>
      <c r="C61" s="104">
        <v>31</v>
      </c>
      <c r="D61" s="104"/>
    </row>
    <row r="62" spans="2:4" x14ac:dyDescent="0.15">
      <c r="B62" s="172" t="s">
        <v>180</v>
      </c>
      <c r="C62" s="104">
        <v>1</v>
      </c>
      <c r="D62" s="104"/>
    </row>
    <row r="63" spans="2:4" x14ac:dyDescent="0.15">
      <c r="B63" s="172" t="s">
        <v>181</v>
      </c>
      <c r="C63" s="104">
        <v>1996</v>
      </c>
      <c r="D63" s="104"/>
    </row>
    <row r="64" spans="2:4" x14ac:dyDescent="0.15">
      <c r="B64" s="172" t="s">
        <v>182</v>
      </c>
      <c r="C64" s="104">
        <v>4</v>
      </c>
      <c r="D64" s="104"/>
    </row>
    <row r="65" spans="2:4" x14ac:dyDescent="0.15">
      <c r="B65" s="172" t="s">
        <v>183</v>
      </c>
      <c r="C65" s="172" t="s">
        <v>191</v>
      </c>
      <c r="D65" s="104"/>
    </row>
    <row r="66" spans="2:4" x14ac:dyDescent="0.15">
      <c r="B66" s="172" t="s">
        <v>184</v>
      </c>
      <c r="D66" s="104"/>
    </row>
    <row r="67" spans="2:4" x14ac:dyDescent="0.15">
      <c r="B67" s="104"/>
      <c r="C67" s="104"/>
      <c r="D67" s="104"/>
    </row>
    <row r="68" spans="2:4" x14ac:dyDescent="0.15">
      <c r="B68" s="104"/>
      <c r="C68" s="104"/>
      <c r="D68" s="104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topLeftCell="D1"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77" customWidth="1"/>
    <col min="2" max="3" width="3.33203125" style="77" customWidth="1"/>
    <col min="4" max="4" width="14.33203125" style="77" customWidth="1"/>
    <col min="5" max="5" width="36.6640625" style="77" bestFit="1" customWidth="1"/>
    <col min="6" max="6" width="2.33203125" style="77" bestFit="1" customWidth="1"/>
    <col min="7" max="7" width="13.83203125" style="77" bestFit="1" customWidth="1"/>
    <col min="8" max="8" width="12.83203125" style="77" customWidth="1"/>
    <col min="9" max="9" width="10.83203125" style="77" customWidth="1"/>
    <col min="10" max="10" width="11.83203125" style="77" customWidth="1"/>
    <col min="11" max="11" width="12.83203125" style="77" customWidth="1"/>
    <col min="12" max="12" width="8.83203125" style="77" customWidth="1"/>
    <col min="13" max="13" width="4.83203125" style="77" customWidth="1"/>
    <col min="14" max="14" width="2.33203125" style="77" customWidth="1"/>
    <col min="16" max="25" width="8.83203125" style="77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7"/>
  </cols>
  <sheetData>
    <row r="1" spans="1:46" s="94" customFormat="1" ht="15" customHeight="1" x14ac:dyDescent="0.15">
      <c r="A1" s="73" t="s">
        <v>18</v>
      </c>
      <c r="C1" s="74" t="s">
        <v>8</v>
      </c>
      <c r="D1" s="73" t="s">
        <v>23</v>
      </c>
      <c r="E1" s="73" t="s">
        <v>0</v>
      </c>
      <c r="F1" s="73" t="s">
        <v>7</v>
      </c>
      <c r="G1" s="75" t="s">
        <v>13</v>
      </c>
      <c r="H1" s="73" t="s">
        <v>1</v>
      </c>
      <c r="I1" s="73" t="s">
        <v>2</v>
      </c>
      <c r="J1" s="73" t="s">
        <v>14</v>
      </c>
      <c r="K1" s="73" t="s">
        <v>3</v>
      </c>
      <c r="L1" s="73" t="s">
        <v>4</v>
      </c>
      <c r="M1" s="73" t="s">
        <v>5</v>
      </c>
      <c r="N1" s="73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4">
        <v>1</v>
      </c>
      <c r="D2"/>
      <c r="E2" s="173" t="s">
        <v>192</v>
      </c>
      <c r="F2" s="77">
        <v>1</v>
      </c>
      <c r="G2" s="77">
        <v>22.125797299999999</v>
      </c>
      <c r="H2" s="77">
        <v>163.14317299999999</v>
      </c>
      <c r="I2" s="6">
        <v>0</v>
      </c>
      <c r="J2" s="6">
        <v>0.87985919999999995</v>
      </c>
      <c r="K2" s="6">
        <v>0</v>
      </c>
      <c r="L2" s="6">
        <v>0</v>
      </c>
      <c r="M2" s="77">
        <v>0</v>
      </c>
      <c r="N2" s="77">
        <v>0</v>
      </c>
    </row>
    <row r="3" spans="1:46" ht="15" customHeight="1" x14ac:dyDescent="0.15">
      <c r="A3" s="1" t="s">
        <v>9</v>
      </c>
      <c r="B3" s="4">
        <v>29</v>
      </c>
      <c r="C3" s="77">
        <v>2</v>
      </c>
      <c r="D3"/>
      <c r="E3" s="173" t="s">
        <v>193</v>
      </c>
      <c r="F3" s="77">
        <v>0</v>
      </c>
      <c r="G3" s="77">
        <v>5.4839599999999997</v>
      </c>
      <c r="H3" s="77">
        <v>91.25</v>
      </c>
      <c r="I3" s="77">
        <v>380.20830000000001</v>
      </c>
      <c r="J3" s="77">
        <v>0.88329493999999997</v>
      </c>
      <c r="K3" s="77">
        <v>0.24000001000000001</v>
      </c>
      <c r="L3" s="77">
        <v>0</v>
      </c>
      <c r="M3" s="77">
        <v>0.2</v>
      </c>
      <c r="N3" s="77">
        <v>0</v>
      </c>
    </row>
    <row r="4" spans="1:46" ht="15" customHeight="1" x14ac:dyDescent="0.15">
      <c r="A4" s="1" t="s">
        <v>10</v>
      </c>
      <c r="B4" s="4">
        <v>3</v>
      </c>
      <c r="C4" s="77">
        <v>3</v>
      </c>
      <c r="D4"/>
      <c r="E4" s="173" t="s">
        <v>194</v>
      </c>
      <c r="F4" s="77">
        <v>0</v>
      </c>
      <c r="G4" s="77">
        <v>4.8846182799999998</v>
      </c>
      <c r="H4" s="77">
        <v>72</v>
      </c>
      <c r="I4" s="77">
        <v>242.42420000000001</v>
      </c>
      <c r="J4" s="77">
        <v>0.94134885099999999</v>
      </c>
      <c r="K4" s="77">
        <v>0.29700005099999999</v>
      </c>
      <c r="L4" s="77">
        <v>0</v>
      </c>
      <c r="M4" s="77">
        <v>0.1</v>
      </c>
      <c r="N4" s="77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7">
        <v>4</v>
      </c>
      <c r="D5"/>
      <c r="E5" s="173" t="s">
        <v>195</v>
      </c>
      <c r="F5" s="77">
        <v>0</v>
      </c>
      <c r="G5" s="77">
        <v>10.402923599999999</v>
      </c>
      <c r="H5" s="77">
        <v>30.918087</v>
      </c>
      <c r="I5" s="77">
        <v>127.75</v>
      </c>
      <c r="J5" s="77">
        <v>0.91189026799999995</v>
      </c>
      <c r="K5" s="77">
        <v>0.24202024899999999</v>
      </c>
      <c r="L5" s="77">
        <v>0</v>
      </c>
      <c r="M5" s="77">
        <v>0.25</v>
      </c>
      <c r="N5" s="77">
        <v>0</v>
      </c>
      <c r="P5" s="66"/>
      <c r="Q5" s="66"/>
      <c r="R5" s="66"/>
    </row>
    <row r="6" spans="1:46" ht="15" customHeight="1" thickBot="1" x14ac:dyDescent="0.2">
      <c r="B6" s="1"/>
      <c r="C6" s="77">
        <v>5</v>
      </c>
      <c r="D6"/>
      <c r="E6" s="173" t="s">
        <v>196</v>
      </c>
      <c r="F6" s="77">
        <v>0</v>
      </c>
      <c r="G6" s="77">
        <v>11.955080000000001</v>
      </c>
      <c r="H6" s="77">
        <v>35</v>
      </c>
      <c r="I6" s="77">
        <v>109.5</v>
      </c>
      <c r="J6" s="77">
        <v>0.74511134599999995</v>
      </c>
      <c r="K6" s="77">
        <v>0.31963469999999999</v>
      </c>
      <c r="L6" s="77">
        <v>0</v>
      </c>
      <c r="M6" s="77">
        <v>0.25</v>
      </c>
      <c r="N6" s="77">
        <v>0</v>
      </c>
      <c r="P6" s="66"/>
      <c r="Q6" s="66"/>
      <c r="R6" s="66"/>
      <c r="W6" s="34" t="s">
        <v>31</v>
      </c>
      <c r="X6" s="50">
        <f>MAX(MainOutputs!G:G)</f>
        <v>0.99526971578598022</v>
      </c>
    </row>
    <row r="7" spans="1:46" ht="15" customHeight="1" x14ac:dyDescent="0.15">
      <c r="A7" s="2" t="s">
        <v>27</v>
      </c>
      <c r="B7" s="77">
        <f ca="1">COUNTIF(OFFSET(cornerDiets,1,1,NumLiving+NumDead+1,NumLiving+NumDead),"&gt;0")+NumLiving+NumDead+1</f>
        <v>319</v>
      </c>
      <c r="C7" s="77">
        <v>6</v>
      </c>
      <c r="D7"/>
      <c r="E7" s="173" t="s">
        <v>197</v>
      </c>
      <c r="F7" s="77">
        <v>0</v>
      </c>
      <c r="G7" s="77">
        <v>1.28304</v>
      </c>
      <c r="H7" s="77">
        <v>35</v>
      </c>
      <c r="I7" s="77">
        <v>146</v>
      </c>
      <c r="J7" s="77">
        <v>0.91168119999999997</v>
      </c>
      <c r="K7" s="77">
        <v>0.23972602200000001</v>
      </c>
      <c r="L7" s="77">
        <v>0</v>
      </c>
      <c r="M7" s="77">
        <v>0.35</v>
      </c>
      <c r="N7" s="77">
        <v>0</v>
      </c>
      <c r="P7" s="66"/>
      <c r="Q7" s="66"/>
      <c r="R7" s="66"/>
    </row>
    <row r="8" spans="1:46" ht="15" customHeight="1" x14ac:dyDescent="0.15">
      <c r="A8" s="2" t="s">
        <v>28</v>
      </c>
      <c r="B8" s="77">
        <f ca="1">COUNTIF(OFFSET(cornerFishing,1,2,NumLiving+NumDead,NumGears),"&gt;0")+NumDead*COUNTIF(OFFSET(cornerDiscards,1,2,NumLiving+NumDead,NumGears),"&gt;0")+NumLiving+NumDead+1</f>
        <v>115</v>
      </c>
      <c r="C8" s="77">
        <v>7</v>
      </c>
      <c r="D8"/>
      <c r="E8" s="173" t="s">
        <v>198</v>
      </c>
      <c r="F8" s="77">
        <v>0</v>
      </c>
      <c r="G8" s="77">
        <v>4.8735074999999997</v>
      </c>
      <c r="H8" s="77">
        <v>14.25</v>
      </c>
      <c r="I8" s="77">
        <v>36.5</v>
      </c>
      <c r="J8" s="77">
        <v>0.88153619999999999</v>
      </c>
      <c r="K8" s="77">
        <v>0.39041095999999997</v>
      </c>
      <c r="L8" s="77">
        <v>0</v>
      </c>
      <c r="M8" s="77">
        <v>0.25</v>
      </c>
      <c r="N8" s="77">
        <v>0</v>
      </c>
      <c r="P8" s="66"/>
      <c r="Q8" s="66"/>
      <c r="R8" s="66"/>
    </row>
    <row r="9" spans="1:46" ht="15" customHeight="1" x14ac:dyDescent="0.15">
      <c r="B9" s="1"/>
      <c r="C9" s="77">
        <v>8</v>
      </c>
      <c r="D9"/>
      <c r="E9" s="173" t="s">
        <v>199</v>
      </c>
      <c r="F9" s="77">
        <v>0</v>
      </c>
      <c r="G9" s="77">
        <v>18.942215000000001</v>
      </c>
      <c r="H9" s="77">
        <v>2.5499999999999998</v>
      </c>
      <c r="I9" s="77">
        <v>17.5</v>
      </c>
      <c r="J9" s="77">
        <v>0.89999989999999996</v>
      </c>
      <c r="K9" s="77">
        <v>0.145714283</v>
      </c>
      <c r="L9" s="77">
        <v>0</v>
      </c>
      <c r="M9" s="77">
        <v>0.5</v>
      </c>
      <c r="N9" s="77">
        <v>0</v>
      </c>
      <c r="P9" s="66"/>
      <c r="Q9" s="66"/>
      <c r="R9" s="66"/>
    </row>
    <row r="10" spans="1:46" ht="15" customHeight="1" x14ac:dyDescent="0.15">
      <c r="B10" s="1"/>
      <c r="C10" s="77">
        <v>9</v>
      </c>
      <c r="D10"/>
      <c r="E10" s="173" t="s">
        <v>200</v>
      </c>
      <c r="F10" s="77">
        <v>0</v>
      </c>
      <c r="G10" s="77">
        <v>4.0399330000000004</v>
      </c>
      <c r="H10" s="77">
        <v>3.2999997099999998</v>
      </c>
      <c r="I10" s="77">
        <v>21</v>
      </c>
      <c r="J10" s="77">
        <v>0.88618034099999998</v>
      </c>
      <c r="K10" s="77">
        <v>0.157142848</v>
      </c>
      <c r="L10" s="77">
        <v>0</v>
      </c>
      <c r="M10" s="77">
        <v>0.5</v>
      </c>
      <c r="N10" s="77">
        <v>0</v>
      </c>
    </row>
    <row r="11" spans="1:46" ht="15" customHeight="1" x14ac:dyDescent="0.15">
      <c r="C11" s="77">
        <v>10</v>
      </c>
      <c r="D11"/>
      <c r="E11" s="173" t="s">
        <v>201</v>
      </c>
      <c r="F11" s="77">
        <v>0</v>
      </c>
      <c r="G11" s="77">
        <v>9.8660130000000006</v>
      </c>
      <c r="H11" s="77">
        <v>2.2399997699999998</v>
      </c>
      <c r="I11" s="77">
        <v>13.72</v>
      </c>
      <c r="J11" s="77">
        <v>0.86405690000000002</v>
      </c>
      <c r="K11" s="77">
        <v>0.16326528800000001</v>
      </c>
      <c r="L11" s="77">
        <v>0</v>
      </c>
      <c r="M11" s="77">
        <v>0.6</v>
      </c>
      <c r="N11" s="77">
        <v>0</v>
      </c>
    </row>
    <row r="12" spans="1:46" ht="15" customHeight="1" x14ac:dyDescent="0.15">
      <c r="C12" s="77">
        <v>11</v>
      </c>
      <c r="D12"/>
      <c r="E12" s="173" t="s">
        <v>202</v>
      </c>
      <c r="F12" s="77">
        <v>0</v>
      </c>
      <c r="G12" s="77">
        <v>24.9363232</v>
      </c>
      <c r="H12" s="77">
        <v>2.04</v>
      </c>
      <c r="I12" s="77">
        <v>11.7766047</v>
      </c>
      <c r="J12" s="77">
        <v>0.88694566500000005</v>
      </c>
      <c r="K12" s="77">
        <v>0.17322479199999999</v>
      </c>
      <c r="L12" s="77">
        <v>0</v>
      </c>
      <c r="M12" s="77">
        <v>0.5</v>
      </c>
      <c r="N12" s="77">
        <v>0</v>
      </c>
    </row>
    <row r="13" spans="1:46" ht="15" customHeight="1" x14ac:dyDescent="0.15">
      <c r="C13" s="77">
        <v>12</v>
      </c>
      <c r="D13"/>
      <c r="E13" s="173" t="s">
        <v>203</v>
      </c>
      <c r="F13" s="77">
        <v>0</v>
      </c>
      <c r="G13" s="77">
        <v>2.8793854699999999</v>
      </c>
      <c r="H13" s="77">
        <v>0.86399990000000004</v>
      </c>
      <c r="I13" s="77">
        <v>10</v>
      </c>
      <c r="J13" s="77">
        <v>0.88238059999999996</v>
      </c>
      <c r="K13" s="77">
        <v>8.6399989999999996E-2</v>
      </c>
      <c r="L13" s="77">
        <v>0</v>
      </c>
      <c r="M13" s="77">
        <v>0.7</v>
      </c>
      <c r="N13" s="77">
        <v>0</v>
      </c>
    </row>
    <row r="14" spans="1:46" ht="15" customHeight="1" x14ac:dyDescent="0.15">
      <c r="C14" s="77">
        <v>13</v>
      </c>
      <c r="D14"/>
      <c r="E14" s="173" t="s">
        <v>204</v>
      </c>
      <c r="F14" s="77">
        <v>0</v>
      </c>
      <c r="G14" s="77">
        <v>3.5048400000000002</v>
      </c>
      <c r="H14" s="77">
        <v>1.6799998300000001</v>
      </c>
      <c r="I14" s="77">
        <v>11.030482299999999</v>
      </c>
      <c r="J14" s="77">
        <v>0.88890755200000005</v>
      </c>
      <c r="K14" s="77">
        <v>0.1523052</v>
      </c>
      <c r="L14" s="77">
        <v>0</v>
      </c>
      <c r="M14" s="77">
        <v>0.3</v>
      </c>
      <c r="N14" s="77">
        <v>0</v>
      </c>
    </row>
    <row r="15" spans="1:46" ht="15" customHeight="1" x14ac:dyDescent="0.15">
      <c r="C15" s="77">
        <v>14</v>
      </c>
      <c r="D15"/>
      <c r="E15" s="173" t="s">
        <v>205</v>
      </c>
      <c r="F15" s="77">
        <v>0</v>
      </c>
      <c r="G15" s="77">
        <v>0.39600000000000002</v>
      </c>
      <c r="H15" s="77">
        <v>2</v>
      </c>
      <c r="I15" s="77">
        <v>5</v>
      </c>
      <c r="J15" s="77">
        <v>0.80240219999999995</v>
      </c>
      <c r="K15" s="77">
        <v>0.4</v>
      </c>
      <c r="L15" s="77">
        <v>0</v>
      </c>
      <c r="M15" s="77">
        <v>0.3</v>
      </c>
      <c r="N15" s="77">
        <v>0</v>
      </c>
    </row>
    <row r="16" spans="1:46" ht="15" customHeight="1" x14ac:dyDescent="0.15">
      <c r="C16" s="77">
        <v>15</v>
      </c>
      <c r="D16"/>
      <c r="E16" s="173" t="s">
        <v>206</v>
      </c>
      <c r="F16" s="77">
        <v>0</v>
      </c>
      <c r="G16" s="77">
        <v>0.206537634</v>
      </c>
      <c r="H16" s="77">
        <v>15</v>
      </c>
      <c r="I16" s="77">
        <v>45</v>
      </c>
      <c r="J16" s="77">
        <v>0.89723140000000001</v>
      </c>
      <c r="K16" s="77">
        <v>0.333333343</v>
      </c>
      <c r="L16" s="77">
        <v>0</v>
      </c>
      <c r="M16" s="77">
        <v>0.15</v>
      </c>
      <c r="N16" s="77">
        <v>0</v>
      </c>
    </row>
    <row r="17" spans="1:22" ht="15" customHeight="1" x14ac:dyDescent="0.15">
      <c r="C17" s="77">
        <v>16</v>
      </c>
      <c r="D17"/>
      <c r="E17" s="173" t="s">
        <v>207</v>
      </c>
      <c r="F17" s="77">
        <v>0</v>
      </c>
      <c r="G17" s="77">
        <v>5.7142734500000003</v>
      </c>
      <c r="H17" s="77">
        <v>0.52</v>
      </c>
      <c r="I17" s="77">
        <v>1.8823840599999999</v>
      </c>
      <c r="J17" s="77">
        <v>0.86740980000000001</v>
      </c>
      <c r="K17" s="77">
        <v>0.27624541499999999</v>
      </c>
      <c r="L17" s="77">
        <v>0</v>
      </c>
      <c r="M17" s="77">
        <v>0.15</v>
      </c>
      <c r="N17" s="77">
        <v>0</v>
      </c>
      <c r="V17" s="1" t="s">
        <v>30</v>
      </c>
    </row>
    <row r="18" spans="1:22" ht="15" customHeight="1" x14ac:dyDescent="0.15">
      <c r="C18" s="77">
        <v>17</v>
      </c>
      <c r="D18"/>
      <c r="E18" s="173" t="s">
        <v>208</v>
      </c>
      <c r="F18" s="77">
        <v>0</v>
      </c>
      <c r="G18" s="77">
        <v>1.2404508599999999</v>
      </c>
      <c r="H18" s="77">
        <v>0.42</v>
      </c>
      <c r="I18" s="77">
        <v>2</v>
      </c>
      <c r="J18" s="77">
        <v>0.89022420000000002</v>
      </c>
      <c r="K18" s="77">
        <v>0.21</v>
      </c>
      <c r="L18" s="77">
        <v>0</v>
      </c>
      <c r="M18" s="77">
        <v>0.35</v>
      </c>
      <c r="N18" s="77">
        <v>0</v>
      </c>
      <c r="V18" s="1"/>
    </row>
    <row r="19" spans="1:22" ht="15" customHeight="1" x14ac:dyDescent="0.15">
      <c r="C19" s="77">
        <v>18</v>
      </c>
      <c r="D19"/>
      <c r="E19" s="173" t="s">
        <v>209</v>
      </c>
      <c r="F19" s="77">
        <v>0</v>
      </c>
      <c r="G19" s="77">
        <v>0.27480778099999997</v>
      </c>
      <c r="H19" s="77">
        <v>1.4</v>
      </c>
      <c r="I19" s="77">
        <v>2</v>
      </c>
      <c r="J19" s="77">
        <v>0.86710480000000001</v>
      </c>
      <c r="K19" s="77">
        <v>0.7</v>
      </c>
      <c r="L19" s="77">
        <v>0</v>
      </c>
      <c r="M19" s="77">
        <v>0.15</v>
      </c>
      <c r="N19" s="77">
        <v>0</v>
      </c>
    </row>
    <row r="20" spans="1:22" ht="15" customHeight="1" thickBot="1" x14ac:dyDescent="0.2">
      <c r="C20" s="77">
        <v>19</v>
      </c>
      <c r="D20"/>
      <c r="E20" s="173" t="s">
        <v>210</v>
      </c>
      <c r="F20" s="77">
        <v>0</v>
      </c>
      <c r="G20" s="77">
        <v>0.15273557600000001</v>
      </c>
      <c r="H20" s="77">
        <v>0.43679997300000001</v>
      </c>
      <c r="I20" s="77">
        <v>2</v>
      </c>
      <c r="J20" s="77">
        <v>0.89251630000000004</v>
      </c>
      <c r="K20" s="77">
        <v>0.21839998699999999</v>
      </c>
      <c r="L20" s="77">
        <v>0</v>
      </c>
      <c r="M20" s="77">
        <v>0.15</v>
      </c>
      <c r="N20" s="77">
        <v>0</v>
      </c>
    </row>
    <row r="21" spans="1:22" ht="15" customHeight="1" thickBot="1" x14ac:dyDescent="0.2">
      <c r="A21" s="45" t="s">
        <v>137</v>
      </c>
      <c r="B21" s="95"/>
      <c r="C21" s="77">
        <v>20</v>
      </c>
      <c r="D21"/>
      <c r="E21" s="173" t="s">
        <v>211</v>
      </c>
      <c r="F21" s="77">
        <v>0</v>
      </c>
      <c r="G21" s="77">
        <v>2.29286049E-2</v>
      </c>
      <c r="H21" s="77">
        <v>0.64899980000000002</v>
      </c>
      <c r="I21" s="77">
        <v>1.4279999999999999</v>
      </c>
      <c r="J21" s="77">
        <v>0.90275830000000001</v>
      </c>
      <c r="K21" s="77">
        <v>0.45448166099999998</v>
      </c>
      <c r="L21" s="77">
        <v>0</v>
      </c>
      <c r="M21" s="77">
        <v>0.15</v>
      </c>
      <c r="N21" s="77">
        <v>0</v>
      </c>
    </row>
    <row r="22" spans="1:22" ht="15" customHeight="1" x14ac:dyDescent="0.15">
      <c r="A22" s="96" t="s">
        <v>58</v>
      </c>
      <c r="B22" s="97">
        <v>0</v>
      </c>
      <c r="C22" s="77">
        <v>21</v>
      </c>
      <c r="D22"/>
      <c r="E22" s="173" t="s">
        <v>212</v>
      </c>
      <c r="F22" s="77">
        <v>0</v>
      </c>
      <c r="G22" s="77">
        <v>2.9808735799999999</v>
      </c>
      <c r="H22" s="77">
        <v>0.45900000000000002</v>
      </c>
      <c r="I22" s="77">
        <v>0.9</v>
      </c>
      <c r="J22" s="77">
        <v>0.85167723900000003</v>
      </c>
      <c r="K22" s="77">
        <v>0.51</v>
      </c>
      <c r="L22" s="77">
        <v>0</v>
      </c>
      <c r="M22" s="77">
        <v>0.3</v>
      </c>
      <c r="N22" s="77">
        <v>0</v>
      </c>
    </row>
    <row r="23" spans="1:22" ht="15" customHeight="1" x14ac:dyDescent="0.15">
      <c r="A23" s="96" t="s">
        <v>59</v>
      </c>
      <c r="B23" s="97">
        <v>1</v>
      </c>
      <c r="C23" s="77">
        <v>22</v>
      </c>
      <c r="D23"/>
      <c r="E23" s="173" t="s">
        <v>213</v>
      </c>
      <c r="F23" s="77">
        <v>0</v>
      </c>
      <c r="G23" s="77">
        <v>0.39971631800000001</v>
      </c>
      <c r="H23" s="77">
        <v>0.54</v>
      </c>
      <c r="I23" s="77">
        <v>0.9</v>
      </c>
      <c r="J23" s="77">
        <v>0.84592900000000004</v>
      </c>
      <c r="K23" s="77">
        <v>0.6</v>
      </c>
      <c r="L23" s="77">
        <v>0</v>
      </c>
      <c r="M23" s="77">
        <v>0.35</v>
      </c>
      <c r="N23" s="77">
        <v>0</v>
      </c>
    </row>
    <row r="24" spans="1:22" ht="15" customHeight="1" x14ac:dyDescent="0.15">
      <c r="A24" s="96" t="s">
        <v>60</v>
      </c>
      <c r="B24" s="97">
        <v>2</v>
      </c>
      <c r="C24" s="77">
        <v>23</v>
      </c>
      <c r="D24"/>
      <c r="E24" s="173" t="s">
        <v>214</v>
      </c>
      <c r="F24" s="77">
        <v>0</v>
      </c>
      <c r="G24" s="77">
        <v>4.0060896899999996</v>
      </c>
      <c r="H24" s="77">
        <v>0.55000000000000004</v>
      </c>
      <c r="I24" s="77">
        <v>1.0143</v>
      </c>
      <c r="J24" s="77">
        <v>0.81139689999999998</v>
      </c>
      <c r="K24" s="77">
        <v>0.54224589999999995</v>
      </c>
      <c r="L24" s="77">
        <v>0</v>
      </c>
      <c r="M24" s="77">
        <v>0.15</v>
      </c>
      <c r="N24" s="77">
        <v>0</v>
      </c>
    </row>
    <row r="25" spans="1:22" ht="15" customHeight="1" thickBot="1" x14ac:dyDescent="0.2">
      <c r="A25" s="98" t="s">
        <v>44</v>
      </c>
      <c r="B25" s="99">
        <v>3</v>
      </c>
      <c r="C25" s="77">
        <v>24</v>
      </c>
      <c r="D25"/>
      <c r="E25" s="173" t="s">
        <v>215</v>
      </c>
      <c r="F25" s="77">
        <v>0</v>
      </c>
      <c r="G25" s="77">
        <v>2.9559080000000001E-3</v>
      </c>
      <c r="H25" s="77">
        <v>0.15</v>
      </c>
      <c r="I25" s="77">
        <v>0.62302599999999997</v>
      </c>
      <c r="J25" s="77">
        <v>0.84300136599999997</v>
      </c>
      <c r="K25" s="77">
        <v>0.240760416</v>
      </c>
      <c r="L25" s="77">
        <v>0</v>
      </c>
      <c r="M25" s="77">
        <v>0.15</v>
      </c>
      <c r="N25" s="77">
        <v>0</v>
      </c>
    </row>
    <row r="26" spans="1:22" ht="15" customHeight="1" x14ac:dyDescent="0.15">
      <c r="A26" s="100" t="s">
        <v>140</v>
      </c>
      <c r="C26" s="77">
        <v>25</v>
      </c>
      <c r="D26"/>
      <c r="E26" s="173" t="s">
        <v>216</v>
      </c>
      <c r="F26" s="77">
        <v>0</v>
      </c>
      <c r="G26" s="77">
        <v>5.8691359999999996E-3</v>
      </c>
      <c r="H26" s="77">
        <v>0.5</v>
      </c>
      <c r="I26" s="77">
        <v>2.3616001600000001</v>
      </c>
      <c r="J26" s="77">
        <v>0.81142440000000005</v>
      </c>
      <c r="K26" s="77">
        <v>0.21172085400000001</v>
      </c>
      <c r="L26" s="77">
        <v>0</v>
      </c>
      <c r="M26" s="77">
        <v>0.15</v>
      </c>
      <c r="N26" s="77">
        <v>0</v>
      </c>
    </row>
    <row r="27" spans="1:22" ht="15" customHeight="1" x14ac:dyDescent="0.15">
      <c r="C27" s="77">
        <v>26</v>
      </c>
      <c r="D27"/>
      <c r="E27" s="173" t="s">
        <v>217</v>
      </c>
      <c r="F27" s="77">
        <v>0</v>
      </c>
      <c r="G27" s="77">
        <v>6.3E-2</v>
      </c>
      <c r="H27" s="77">
        <v>6.7337220000000003E-2</v>
      </c>
      <c r="I27" s="77">
        <v>4.8499999999999996</v>
      </c>
      <c r="J27" s="77">
        <v>0.28651872299999998</v>
      </c>
      <c r="K27" s="77">
        <v>1.38839632E-2</v>
      </c>
      <c r="L27" s="77">
        <v>0</v>
      </c>
      <c r="M27" s="77">
        <v>0.2</v>
      </c>
      <c r="N27" s="77">
        <v>0</v>
      </c>
    </row>
    <row r="28" spans="1:22" ht="15" customHeight="1" x14ac:dyDescent="0.15">
      <c r="C28" s="77">
        <v>27</v>
      </c>
      <c r="D28"/>
      <c r="E28" s="173" t="s">
        <v>218</v>
      </c>
      <c r="F28" s="77">
        <v>0</v>
      </c>
      <c r="G28" s="77">
        <v>0.60199999999999998</v>
      </c>
      <c r="H28" s="77">
        <v>4.20076177E-2</v>
      </c>
      <c r="I28" s="77">
        <v>2.2999999999999998</v>
      </c>
      <c r="J28" s="77">
        <v>1.6836340000000002E-2</v>
      </c>
      <c r="K28" s="77">
        <v>1.8264181899999999E-2</v>
      </c>
      <c r="L28" s="77">
        <v>0</v>
      </c>
      <c r="M28" s="77">
        <v>0.2</v>
      </c>
      <c r="N28" s="77">
        <v>0</v>
      </c>
    </row>
    <row r="29" spans="1:22" customFormat="1" ht="15" customHeight="1" x14ac:dyDescent="0.15">
      <c r="C29" s="77">
        <v>28</v>
      </c>
      <c r="E29" s="173" t="s">
        <v>219</v>
      </c>
      <c r="F29" s="77">
        <v>0</v>
      </c>
      <c r="G29" s="77">
        <v>3.3599999999999998E-2</v>
      </c>
      <c r="H29" s="77">
        <v>0.04</v>
      </c>
      <c r="I29" s="77">
        <v>8.5</v>
      </c>
      <c r="J29" s="77">
        <v>0.53762399999999999</v>
      </c>
      <c r="K29" s="77">
        <v>4.7058819999999998E-3</v>
      </c>
      <c r="L29" s="77">
        <v>0</v>
      </c>
      <c r="M29" s="77">
        <v>0.2</v>
      </c>
      <c r="N29" s="77">
        <v>0</v>
      </c>
    </row>
    <row r="30" spans="1:22" customFormat="1" ht="15" customHeight="1" x14ac:dyDescent="0.15">
      <c r="C30" s="77">
        <v>29</v>
      </c>
      <c r="E30" s="173" t="s">
        <v>220</v>
      </c>
      <c r="F30" s="77">
        <v>0</v>
      </c>
      <c r="G30" s="77">
        <v>3.4999998800000001E-3</v>
      </c>
      <c r="H30" s="77">
        <v>0.27500000000000002</v>
      </c>
      <c r="I30" s="77">
        <v>5.3619275100000001</v>
      </c>
      <c r="J30" s="77">
        <v>0.124985427</v>
      </c>
      <c r="K30" s="77">
        <v>5.12875281E-2</v>
      </c>
      <c r="L30" s="77">
        <v>0</v>
      </c>
      <c r="M30" s="77">
        <v>0.15</v>
      </c>
      <c r="N30" s="77">
        <v>0</v>
      </c>
    </row>
    <row r="31" spans="1:22" customFormat="1" ht="15" customHeight="1" x14ac:dyDescent="0.15">
      <c r="C31" s="77">
        <v>30</v>
      </c>
      <c r="E31" s="173" t="s">
        <v>221</v>
      </c>
      <c r="F31" s="77">
        <v>2</v>
      </c>
      <c r="G31" s="77">
        <v>0.44208332900000002</v>
      </c>
      <c r="H31" s="77">
        <v>0</v>
      </c>
      <c r="I31" s="77">
        <v>0</v>
      </c>
      <c r="J31" s="77">
        <v>0.31638359999999999</v>
      </c>
      <c r="K31" s="77">
        <v>0</v>
      </c>
      <c r="L31" s="77">
        <v>0.76346099999999995</v>
      </c>
      <c r="M31" s="77">
        <v>0.2</v>
      </c>
      <c r="N31" s="77">
        <v>0</v>
      </c>
    </row>
    <row r="32" spans="1:22" customFormat="1" ht="15" customHeight="1" x14ac:dyDescent="0.15">
      <c r="C32" s="77">
        <v>31</v>
      </c>
      <c r="E32" s="173" t="s">
        <v>222</v>
      </c>
      <c r="F32" s="77">
        <v>2</v>
      </c>
      <c r="G32" s="77">
        <v>81.333335899999994</v>
      </c>
      <c r="H32" s="77">
        <v>0</v>
      </c>
      <c r="I32" s="77">
        <v>0</v>
      </c>
      <c r="J32" s="77">
        <v>0.99526990000000004</v>
      </c>
      <c r="K32" s="77">
        <v>0</v>
      </c>
      <c r="L32" s="77">
        <v>0</v>
      </c>
      <c r="M32" s="77">
        <v>0</v>
      </c>
      <c r="N32" s="77">
        <v>0</v>
      </c>
    </row>
    <row r="33" spans="3:14" customFormat="1" ht="15" customHeight="1" x14ac:dyDescent="0.15">
      <c r="C33" s="77">
        <v>32</v>
      </c>
      <c r="E33" s="173" t="s">
        <v>223</v>
      </c>
      <c r="F33" s="77">
        <v>2</v>
      </c>
      <c r="G33" s="77">
        <v>5</v>
      </c>
      <c r="H33" s="77">
        <v>0</v>
      </c>
      <c r="I33" s="77">
        <v>0</v>
      </c>
      <c r="J33" s="77">
        <v>0</v>
      </c>
      <c r="K33" s="77">
        <v>0</v>
      </c>
      <c r="L33" s="77">
        <v>0</v>
      </c>
      <c r="M33" s="77">
        <v>0</v>
      </c>
      <c r="N33" s="77">
        <v>0</v>
      </c>
    </row>
    <row r="34" spans="3:14" customFormat="1" ht="15" customHeight="1" x14ac:dyDescent="0.15">
      <c r="C34" s="77">
        <v>33</v>
      </c>
      <c r="E34" s="173" t="s">
        <v>224</v>
      </c>
      <c r="F34" s="77">
        <v>3</v>
      </c>
      <c r="G34" s="77">
        <v>0</v>
      </c>
      <c r="H34" s="77">
        <v>0</v>
      </c>
      <c r="I34" s="77">
        <v>0</v>
      </c>
      <c r="J34" s="77">
        <v>0</v>
      </c>
      <c r="K34" s="77">
        <v>0</v>
      </c>
      <c r="L34" s="77">
        <v>0</v>
      </c>
      <c r="M34" s="77">
        <v>0</v>
      </c>
      <c r="N34" s="77">
        <v>0</v>
      </c>
    </row>
    <row r="35" spans="3:14" customFormat="1" ht="15" customHeight="1" x14ac:dyDescent="0.15"/>
    <row r="36" spans="3:14" customFormat="1" ht="15" customHeight="1" x14ac:dyDescent="0.15"/>
    <row r="37" spans="3:14" customFormat="1" ht="15" customHeight="1" x14ac:dyDescent="0.15"/>
    <row r="38" spans="3:14" customFormat="1" ht="15" customHeight="1" x14ac:dyDescent="0.15"/>
    <row r="39" spans="3:14" customFormat="1" ht="15" customHeight="1" x14ac:dyDescent="0.15"/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6.6640625" style="139" bestFit="1" customWidth="1"/>
    <col min="2" max="2" width="2.33203125" style="139" bestFit="1" customWidth="1"/>
    <col min="3" max="3" width="11.83203125" style="139" bestFit="1" customWidth="1"/>
    <col min="4" max="5" width="13.83203125" style="139" bestFit="1" customWidth="1"/>
    <col min="6" max="6" width="14.83203125" style="139" bestFit="1" customWidth="1"/>
    <col min="7" max="7" width="15.83203125" style="139" bestFit="1" customWidth="1"/>
    <col min="8" max="8" width="13.83203125" style="139" bestFit="1" customWidth="1"/>
    <col min="9" max="12" width="15.83203125" style="139" bestFit="1" customWidth="1"/>
    <col min="13" max="13" width="13.83203125" style="139" bestFit="1" customWidth="1"/>
    <col min="14" max="14" width="15.83203125" style="139" bestFit="1" customWidth="1"/>
    <col min="15" max="17" width="14.83203125" style="139" bestFit="1" customWidth="1"/>
    <col min="18" max="18" width="15.83203125" style="139" bestFit="1" customWidth="1"/>
    <col min="19" max="24" width="14.83203125" style="139" bestFit="1" customWidth="1"/>
    <col min="25" max="26" width="13.83203125" style="139" bestFit="1" customWidth="1"/>
    <col min="27" max="28" width="15.83203125" style="139" bestFit="1" customWidth="1"/>
    <col min="29" max="29" width="15.5" style="139" bestFit="1" customWidth="1"/>
    <col min="30" max="30" width="15.83203125" style="139" customWidth="1"/>
    <col min="31" max="33" width="2.33203125" style="139" customWidth="1"/>
    <col min="34" max="16384" width="8.83203125" style="139"/>
  </cols>
  <sheetData>
    <row r="1" spans="1:34" x14ac:dyDescent="0.15">
      <c r="A1" s="138" t="s">
        <v>19</v>
      </c>
      <c r="B1" s="175" t="s">
        <v>192</v>
      </c>
      <c r="C1" s="175" t="s">
        <v>193</v>
      </c>
      <c r="D1" s="175" t="s">
        <v>194</v>
      </c>
      <c r="E1" s="175" t="s">
        <v>195</v>
      </c>
      <c r="F1" s="175" t="s">
        <v>196</v>
      </c>
      <c r="G1" s="175" t="s">
        <v>197</v>
      </c>
      <c r="H1" s="175" t="s">
        <v>198</v>
      </c>
      <c r="I1" s="175" t="s">
        <v>199</v>
      </c>
      <c r="J1" s="175" t="s">
        <v>200</v>
      </c>
      <c r="K1" s="175" t="s">
        <v>201</v>
      </c>
      <c r="L1" s="175" t="s">
        <v>202</v>
      </c>
      <c r="M1" s="175" t="s">
        <v>203</v>
      </c>
      <c r="N1" s="175" t="s">
        <v>204</v>
      </c>
      <c r="O1" s="175" t="s">
        <v>205</v>
      </c>
      <c r="P1" s="175" t="s">
        <v>206</v>
      </c>
      <c r="Q1" s="175" t="s">
        <v>207</v>
      </c>
      <c r="R1" s="175" t="s">
        <v>208</v>
      </c>
      <c r="S1" s="175" t="s">
        <v>209</v>
      </c>
      <c r="T1" s="175" t="s">
        <v>210</v>
      </c>
      <c r="U1" s="175" t="s">
        <v>211</v>
      </c>
      <c r="V1" s="175" t="s">
        <v>212</v>
      </c>
      <c r="W1" s="175" t="s">
        <v>213</v>
      </c>
      <c r="X1" s="175" t="s">
        <v>214</v>
      </c>
      <c r="Y1" s="175" t="s">
        <v>215</v>
      </c>
      <c r="Z1" s="175" t="s">
        <v>216</v>
      </c>
      <c r="AA1" s="175" t="s">
        <v>217</v>
      </c>
      <c r="AB1" s="175" t="s">
        <v>218</v>
      </c>
      <c r="AC1" s="175" t="s">
        <v>219</v>
      </c>
      <c r="AD1" s="175" t="s">
        <v>220</v>
      </c>
      <c r="AE1" s="175" t="s">
        <v>221</v>
      </c>
      <c r="AF1" s="175" t="s">
        <v>222</v>
      </c>
      <c r="AG1" s="175" t="s">
        <v>223</v>
      </c>
      <c r="AH1"/>
    </row>
    <row r="2" spans="1:34" customFormat="1" x14ac:dyDescent="0.15">
      <c r="A2" s="174" t="s">
        <v>192</v>
      </c>
      <c r="B2" s="139">
        <v>0</v>
      </c>
      <c r="C2" s="139">
        <v>0.43051934200000003</v>
      </c>
      <c r="D2" s="139">
        <v>0.21174250931667044</v>
      </c>
      <c r="E2" s="139">
        <v>0.72405865518936263</v>
      </c>
      <c r="F2" s="139">
        <v>0.63178922077893229</v>
      </c>
      <c r="G2" s="139">
        <v>8.602892469928565E-2</v>
      </c>
      <c r="H2" s="139">
        <v>0.18239998960320059</v>
      </c>
      <c r="I2" s="139">
        <v>0.12410005580984544</v>
      </c>
      <c r="J2" s="139">
        <v>0.13517134704539857</v>
      </c>
      <c r="K2" s="139">
        <v>0.40001631720559927</v>
      </c>
      <c r="L2" s="139">
        <v>0.20082836199999954</v>
      </c>
      <c r="M2" s="139">
        <v>0.79099006053693033</v>
      </c>
      <c r="N2" s="139">
        <v>0</v>
      </c>
      <c r="O2" s="139">
        <v>7.5484189959993384E-2</v>
      </c>
      <c r="P2" s="139">
        <v>5.8911903145895624E-2</v>
      </c>
      <c r="Q2" s="139">
        <v>1.1217658435270434E-2</v>
      </c>
      <c r="R2" s="139">
        <v>0.16566935358681564</v>
      </c>
      <c r="S2" s="139">
        <v>0</v>
      </c>
      <c r="T2" s="139">
        <v>1.1777095806440034E-2</v>
      </c>
      <c r="U2" s="139">
        <v>0</v>
      </c>
      <c r="V2" s="139">
        <v>0</v>
      </c>
      <c r="W2" s="139">
        <v>0</v>
      </c>
      <c r="X2" s="139">
        <v>0</v>
      </c>
      <c r="Y2" s="139">
        <v>0</v>
      </c>
      <c r="Z2" s="139">
        <v>0</v>
      </c>
      <c r="AA2" s="139">
        <v>0</v>
      </c>
      <c r="AB2" s="139">
        <v>0</v>
      </c>
      <c r="AC2" s="139">
        <v>0</v>
      </c>
      <c r="AD2" s="139">
        <v>0</v>
      </c>
      <c r="AE2" s="139">
        <v>0</v>
      </c>
      <c r="AF2" s="139">
        <v>0</v>
      </c>
      <c r="AG2" s="139">
        <v>0</v>
      </c>
    </row>
    <row r="3" spans="1:34" customFormat="1" x14ac:dyDescent="0.15">
      <c r="A3" s="174" t="s">
        <v>193</v>
      </c>
      <c r="B3" s="139">
        <v>0</v>
      </c>
      <c r="C3" s="139">
        <v>0</v>
      </c>
      <c r="D3" s="139">
        <v>0.19716627267531603</v>
      </c>
      <c r="E3" s="139">
        <v>0</v>
      </c>
      <c r="F3" s="139">
        <v>0</v>
      </c>
      <c r="G3" s="139">
        <v>2.0006730874252407E-2</v>
      </c>
      <c r="H3" s="139">
        <v>0</v>
      </c>
      <c r="I3" s="139">
        <v>0.29547614478531925</v>
      </c>
      <c r="J3" s="139">
        <v>0.13746240018176206</v>
      </c>
      <c r="K3" s="139">
        <v>0.19512990512468201</v>
      </c>
      <c r="L3" s="139">
        <v>0.20082836199999954</v>
      </c>
      <c r="M3" s="139">
        <v>0.11880993883166957</v>
      </c>
      <c r="N3" s="139">
        <v>0.14183955340709678</v>
      </c>
      <c r="O3" s="139">
        <v>0.44731366576292375</v>
      </c>
      <c r="P3" s="139">
        <v>0</v>
      </c>
      <c r="Q3" s="139">
        <v>0</v>
      </c>
      <c r="R3" s="139">
        <v>0</v>
      </c>
      <c r="S3" s="139">
        <v>0</v>
      </c>
      <c r="T3" s="139">
        <v>0</v>
      </c>
      <c r="U3" s="139">
        <v>0</v>
      </c>
      <c r="V3" s="139">
        <v>0</v>
      </c>
      <c r="W3" s="139">
        <v>0</v>
      </c>
      <c r="X3" s="139">
        <v>0</v>
      </c>
      <c r="Y3" s="139">
        <v>0</v>
      </c>
      <c r="Z3" s="139">
        <v>0</v>
      </c>
      <c r="AA3" s="139">
        <v>0</v>
      </c>
      <c r="AB3" s="139">
        <v>0</v>
      </c>
      <c r="AC3" s="139">
        <v>0</v>
      </c>
      <c r="AD3" s="139">
        <v>0</v>
      </c>
      <c r="AE3" s="139">
        <v>0</v>
      </c>
      <c r="AF3" s="139">
        <v>0</v>
      </c>
      <c r="AG3" s="139">
        <v>0</v>
      </c>
    </row>
    <row r="4" spans="1:34" customFormat="1" x14ac:dyDescent="0.15">
      <c r="A4" s="174" t="s">
        <v>194</v>
      </c>
      <c r="B4" s="139">
        <v>0</v>
      </c>
      <c r="C4" s="139">
        <v>0</v>
      </c>
      <c r="D4" s="139">
        <v>9.702543426911911E-2</v>
      </c>
      <c r="E4" s="139">
        <v>0.11337341462425105</v>
      </c>
      <c r="F4" s="139">
        <v>4.2879731062961744E-2</v>
      </c>
      <c r="G4" s="139">
        <v>5.0016823385631078E-2</v>
      </c>
      <c r="H4" s="139">
        <v>0</v>
      </c>
      <c r="I4" s="139">
        <v>0</v>
      </c>
      <c r="J4" s="139">
        <v>0</v>
      </c>
      <c r="K4" s="139">
        <v>0</v>
      </c>
      <c r="L4" s="139">
        <v>0</v>
      </c>
      <c r="M4" s="139">
        <v>0</v>
      </c>
      <c r="N4" s="139">
        <v>0</v>
      </c>
      <c r="O4" s="139">
        <v>0</v>
      </c>
      <c r="P4" s="139">
        <v>0</v>
      </c>
      <c r="Q4" s="139">
        <v>0</v>
      </c>
      <c r="R4" s="139">
        <v>0</v>
      </c>
      <c r="S4" s="139">
        <v>0</v>
      </c>
      <c r="T4" s="139">
        <v>0</v>
      </c>
      <c r="U4" s="139">
        <v>0</v>
      </c>
      <c r="V4" s="139">
        <v>0</v>
      </c>
      <c r="W4" s="139">
        <v>0</v>
      </c>
      <c r="X4" s="139">
        <v>0</v>
      </c>
      <c r="Y4" s="139">
        <v>0</v>
      </c>
      <c r="Z4" s="139">
        <v>0</v>
      </c>
      <c r="AA4" s="139">
        <v>0</v>
      </c>
      <c r="AB4" s="139">
        <v>0</v>
      </c>
      <c r="AC4" s="139">
        <v>0</v>
      </c>
      <c r="AD4" s="139">
        <v>0</v>
      </c>
      <c r="AE4" s="139">
        <v>0</v>
      </c>
      <c r="AF4" s="139">
        <v>0</v>
      </c>
      <c r="AG4" s="139">
        <v>0</v>
      </c>
    </row>
    <row r="5" spans="1:34" customFormat="1" x14ac:dyDescent="0.15">
      <c r="A5" s="174" t="s">
        <v>195</v>
      </c>
      <c r="B5" s="139">
        <v>0</v>
      </c>
      <c r="C5" s="139">
        <v>0</v>
      </c>
      <c r="D5" s="139">
        <v>0</v>
      </c>
      <c r="E5" s="139">
        <v>3.1999993742400798E-2</v>
      </c>
      <c r="F5" s="139">
        <v>0.10973282797205602</v>
      </c>
      <c r="G5" s="139">
        <v>0.33011109462516414</v>
      </c>
      <c r="H5" s="139">
        <v>0.22080004441439746</v>
      </c>
      <c r="I5" s="139">
        <v>0</v>
      </c>
      <c r="J5" s="139">
        <v>5.4532730445788118E-3</v>
      </c>
      <c r="K5" s="139">
        <v>0</v>
      </c>
      <c r="L5" s="139">
        <v>0</v>
      </c>
      <c r="M5" s="139">
        <v>0</v>
      </c>
      <c r="N5" s="139">
        <v>0</v>
      </c>
      <c r="O5" s="139">
        <v>0</v>
      </c>
      <c r="P5" s="139">
        <v>0.4305101859892439</v>
      </c>
      <c r="Q5" s="139">
        <v>0.11931508558423859</v>
      </c>
      <c r="R5" s="139">
        <v>8.079781808947753E-2</v>
      </c>
      <c r="S5" s="139">
        <v>0</v>
      </c>
      <c r="T5" s="139">
        <v>5.6130425560513682E-2</v>
      </c>
      <c r="U5" s="139">
        <v>0</v>
      </c>
      <c r="V5" s="139">
        <v>0</v>
      </c>
      <c r="W5" s="139">
        <v>0</v>
      </c>
      <c r="X5" s="139">
        <v>0</v>
      </c>
      <c r="Y5" s="139">
        <v>0</v>
      </c>
      <c r="Z5" s="139">
        <v>0</v>
      </c>
      <c r="AA5" s="139">
        <v>0</v>
      </c>
      <c r="AB5" s="139">
        <v>3.1406721122790277E-2</v>
      </c>
      <c r="AC5" s="139">
        <v>0</v>
      </c>
      <c r="AD5" s="139">
        <v>0</v>
      </c>
      <c r="AE5" s="139">
        <v>0</v>
      </c>
      <c r="AF5" s="139">
        <v>0</v>
      </c>
      <c r="AG5" s="139">
        <v>0</v>
      </c>
    </row>
    <row r="6" spans="1:34" customFormat="1" x14ac:dyDescent="0.15">
      <c r="A6" s="174" t="s">
        <v>196</v>
      </c>
      <c r="B6" s="139">
        <v>0</v>
      </c>
      <c r="C6" s="139">
        <v>0</v>
      </c>
      <c r="D6" s="139">
        <v>0</v>
      </c>
      <c r="E6" s="139">
        <v>0</v>
      </c>
      <c r="F6" s="139">
        <v>0.12763657266223596</v>
      </c>
      <c r="G6" s="139">
        <v>0.3601211941365427</v>
      </c>
      <c r="H6" s="139">
        <v>0.36639997911520117</v>
      </c>
      <c r="I6" s="139">
        <v>0</v>
      </c>
      <c r="J6" s="139">
        <v>2.7492483836352642E-2</v>
      </c>
      <c r="K6" s="139">
        <v>0</v>
      </c>
      <c r="L6" s="139">
        <v>0</v>
      </c>
      <c r="M6" s="139">
        <v>0</v>
      </c>
      <c r="N6" s="139">
        <v>0</v>
      </c>
      <c r="O6" s="139">
        <v>0</v>
      </c>
      <c r="P6" s="139">
        <v>0.24924271330956088</v>
      </c>
      <c r="Q6" s="139">
        <v>0.43442924394773325</v>
      </c>
      <c r="R6" s="139">
        <v>0.67639506772067404</v>
      </c>
      <c r="S6" s="139">
        <v>0.10060367047988339</v>
      </c>
      <c r="T6" s="139">
        <v>0.9020878234723253</v>
      </c>
      <c r="U6" s="139">
        <v>0</v>
      </c>
      <c r="V6" s="139">
        <v>0</v>
      </c>
      <c r="W6" s="139">
        <v>0</v>
      </c>
      <c r="X6" s="139">
        <v>0</v>
      </c>
      <c r="Y6" s="139">
        <v>3.3406450875249002E-2</v>
      </c>
      <c r="Z6" s="139">
        <v>0</v>
      </c>
      <c r="AA6" s="139">
        <v>0</v>
      </c>
      <c r="AB6" s="139">
        <v>0.52110571862952948</v>
      </c>
      <c r="AC6" s="139">
        <v>0</v>
      </c>
      <c r="AD6" s="139">
        <v>3.4274512854415712E-2</v>
      </c>
      <c r="AE6" s="139">
        <v>0</v>
      </c>
      <c r="AF6" s="139">
        <v>0</v>
      </c>
      <c r="AG6" s="139">
        <v>0</v>
      </c>
    </row>
    <row r="7" spans="1:34" customFormat="1" x14ac:dyDescent="0.15">
      <c r="A7" s="174" t="s">
        <v>197</v>
      </c>
      <c r="B7" s="139">
        <v>0</v>
      </c>
      <c r="C7" s="139">
        <v>0</v>
      </c>
      <c r="D7" s="139">
        <v>0</v>
      </c>
      <c r="E7" s="139">
        <v>0</v>
      </c>
      <c r="F7" s="139">
        <v>2.3926038249594963E-2</v>
      </c>
      <c r="G7" s="139">
        <v>4.8673036607510482E-2</v>
      </c>
      <c r="H7" s="139">
        <v>0</v>
      </c>
      <c r="I7" s="139">
        <v>0</v>
      </c>
      <c r="J7" s="139">
        <v>0</v>
      </c>
      <c r="K7" s="139">
        <v>0</v>
      </c>
      <c r="L7" s="139">
        <v>0</v>
      </c>
      <c r="M7" s="139">
        <v>0</v>
      </c>
      <c r="N7" s="139">
        <v>0</v>
      </c>
      <c r="O7" s="139">
        <v>0</v>
      </c>
      <c r="P7" s="139">
        <v>0</v>
      </c>
      <c r="Q7" s="139">
        <v>1.9231983317901765E-2</v>
      </c>
      <c r="R7" s="139">
        <v>2.1777012180314456E-2</v>
      </c>
      <c r="S7" s="139">
        <v>0</v>
      </c>
      <c r="T7" s="139">
        <v>0</v>
      </c>
      <c r="U7" s="139">
        <v>1.9609417692148204E-2</v>
      </c>
      <c r="V7" s="139">
        <v>8.9613602919629189E-3</v>
      </c>
      <c r="W7" s="139">
        <v>8.3144382325773522E-2</v>
      </c>
      <c r="X7" s="139">
        <v>4.3084479667387821E-2</v>
      </c>
      <c r="Y7" s="139">
        <v>0</v>
      </c>
      <c r="Z7" s="139">
        <v>9.4376223557983627E-2</v>
      </c>
      <c r="AA7" s="139">
        <v>0</v>
      </c>
      <c r="AB7" s="139">
        <v>4.986681178273852E-3</v>
      </c>
      <c r="AC7" s="139">
        <v>9.8039226024873166E-3</v>
      </c>
      <c r="AD7" s="139">
        <v>0</v>
      </c>
      <c r="AE7" s="139">
        <v>0</v>
      </c>
      <c r="AF7" s="139">
        <v>0</v>
      </c>
      <c r="AG7" s="139">
        <v>0</v>
      </c>
    </row>
    <row r="8" spans="1:34" customFormat="1" x14ac:dyDescent="0.15">
      <c r="A8" s="174" t="s">
        <v>198</v>
      </c>
      <c r="B8" s="139">
        <v>0</v>
      </c>
      <c r="C8" s="139">
        <v>0</v>
      </c>
      <c r="D8" s="139">
        <v>0</v>
      </c>
      <c r="E8" s="139">
        <v>0</v>
      </c>
      <c r="F8" s="139">
        <v>0</v>
      </c>
      <c r="G8" s="139">
        <v>0</v>
      </c>
      <c r="H8" s="139">
        <v>4.6399997355200145E-2</v>
      </c>
      <c r="I8" s="139">
        <v>5.9095242657065922E-2</v>
      </c>
      <c r="J8" s="139">
        <v>5.3839440904523521E-2</v>
      </c>
      <c r="K8" s="139">
        <v>3.4147739046819905E-2</v>
      </c>
      <c r="L8" s="139">
        <v>6.733657118235406E-2</v>
      </c>
      <c r="M8" s="139">
        <v>0</v>
      </c>
      <c r="N8" s="139">
        <v>0</v>
      </c>
      <c r="O8" s="139">
        <v>0.15096837291998674</v>
      </c>
      <c r="P8" s="139">
        <v>6.7975278829879887E-2</v>
      </c>
      <c r="Q8" s="139">
        <v>0.21721462147386653</v>
      </c>
      <c r="R8" s="139">
        <v>4.4319187037237001E-2</v>
      </c>
      <c r="S8" s="139">
        <v>0.5030184423994245</v>
      </c>
      <c r="T8" s="139">
        <v>2.034225922930559E-2</v>
      </c>
      <c r="U8" s="139">
        <v>0</v>
      </c>
      <c r="V8" s="139">
        <v>6.1477388042671548E-2</v>
      </c>
      <c r="W8" s="139">
        <v>3.2897201163588338E-2</v>
      </c>
      <c r="X8" s="139">
        <v>2.2038849829860079E-2</v>
      </c>
      <c r="Y8" s="139">
        <v>0</v>
      </c>
      <c r="Z8" s="139">
        <v>0</v>
      </c>
      <c r="AA8" s="139">
        <v>8.0303781271289149E-2</v>
      </c>
      <c r="AB8" s="139">
        <v>0.32526896562836549</v>
      </c>
      <c r="AC8" s="139">
        <v>3.2537421999544965E-2</v>
      </c>
      <c r="AD8" s="139">
        <v>0.14052561170311348</v>
      </c>
      <c r="AE8" s="139">
        <v>0</v>
      </c>
      <c r="AF8" s="139">
        <v>0</v>
      </c>
      <c r="AG8" s="139">
        <v>0</v>
      </c>
    </row>
    <row r="9" spans="1:34" customFormat="1" x14ac:dyDescent="0.15">
      <c r="A9" s="174" t="s">
        <v>199</v>
      </c>
      <c r="B9" s="139">
        <v>0</v>
      </c>
      <c r="C9" s="139">
        <v>0</v>
      </c>
      <c r="D9" s="139">
        <v>0</v>
      </c>
      <c r="E9" s="139">
        <v>0</v>
      </c>
      <c r="F9" s="139">
        <v>0</v>
      </c>
      <c r="G9" s="139">
        <v>0</v>
      </c>
      <c r="H9" s="139">
        <v>0</v>
      </c>
      <c r="I9" s="139">
        <v>2.6724558650641349E-2</v>
      </c>
      <c r="J9" s="139">
        <v>0.13517131704539678</v>
      </c>
      <c r="K9" s="139">
        <v>0</v>
      </c>
      <c r="L9" s="139">
        <v>6.5614240384773675E-2</v>
      </c>
      <c r="M9" s="139">
        <v>0</v>
      </c>
      <c r="N9" s="139">
        <v>7.9193772460629697E-2</v>
      </c>
      <c r="O9" s="139">
        <v>0</v>
      </c>
      <c r="P9" s="139">
        <v>2.0964424319500255E-2</v>
      </c>
      <c r="Q9" s="139">
        <v>1.1217658435270434E-2</v>
      </c>
      <c r="R9" s="139">
        <v>0</v>
      </c>
      <c r="S9" s="139">
        <v>0</v>
      </c>
      <c r="T9" s="139">
        <v>1.5531979004142094E-3</v>
      </c>
      <c r="U9" s="139">
        <v>0</v>
      </c>
      <c r="V9" s="139">
        <v>0.14714257737426489</v>
      </c>
      <c r="W9" s="139">
        <v>0.16636583164443378</v>
      </c>
      <c r="X9" s="139">
        <v>1.1019424414930043E-2</v>
      </c>
      <c r="Y9" s="139">
        <v>0</v>
      </c>
      <c r="Z9" s="139">
        <v>0</v>
      </c>
      <c r="AA9" s="139">
        <v>0</v>
      </c>
      <c r="AB9" s="139">
        <v>0</v>
      </c>
      <c r="AC9" s="139">
        <v>0</v>
      </c>
      <c r="AD9" s="139">
        <v>0</v>
      </c>
      <c r="AE9" s="139">
        <v>0</v>
      </c>
      <c r="AF9" s="139">
        <v>0</v>
      </c>
      <c r="AG9" s="139">
        <v>0</v>
      </c>
    </row>
    <row r="10" spans="1:34" customFormat="1" x14ac:dyDescent="0.15">
      <c r="A10" s="174" t="s">
        <v>200</v>
      </c>
      <c r="B10" s="139">
        <v>0</v>
      </c>
      <c r="C10" s="139">
        <v>0</v>
      </c>
      <c r="D10" s="139">
        <v>0</v>
      </c>
      <c r="E10" s="139">
        <v>0</v>
      </c>
      <c r="F10" s="139">
        <v>3.2796085500671172E-4</v>
      </c>
      <c r="G10" s="139">
        <v>0</v>
      </c>
      <c r="H10" s="139">
        <v>0</v>
      </c>
      <c r="I10" s="139">
        <v>4.90485274342853E-3</v>
      </c>
      <c r="J10" s="139">
        <v>3.3109774970693812E-2</v>
      </c>
      <c r="K10" s="139">
        <v>0</v>
      </c>
      <c r="L10" s="139">
        <v>9.9385231223511634E-3</v>
      </c>
      <c r="M10" s="139">
        <v>0</v>
      </c>
      <c r="N10" s="139">
        <v>6.6255002058609166E-2</v>
      </c>
      <c r="O10" s="139">
        <v>8.1525539956791449E-3</v>
      </c>
      <c r="P10" s="139">
        <v>1.2746362680655767E-2</v>
      </c>
      <c r="Q10" s="139">
        <v>5.4564705213502956E-2</v>
      </c>
      <c r="R10" s="139">
        <v>7.2162457224905199E-4</v>
      </c>
      <c r="S10" s="139">
        <v>0.15090550271982484</v>
      </c>
      <c r="T10" s="139">
        <v>2.170788876483927E-3</v>
      </c>
      <c r="U10" s="139">
        <v>1.2263627632550048E-2</v>
      </c>
      <c r="V10" s="139">
        <v>0.18443214942801583</v>
      </c>
      <c r="W10" s="139">
        <v>0.16636583164443378</v>
      </c>
      <c r="X10" s="139">
        <v>1.1019424414930043E-2</v>
      </c>
      <c r="Y10" s="139">
        <v>1.113548249174964E-2</v>
      </c>
      <c r="Z10" s="139">
        <v>0</v>
      </c>
      <c r="AA10" s="139">
        <v>0</v>
      </c>
      <c r="AB10" s="139">
        <v>4.5745731635409903E-2</v>
      </c>
      <c r="AC10" s="139">
        <v>0</v>
      </c>
      <c r="AD10" s="139">
        <v>0</v>
      </c>
      <c r="AE10" s="139">
        <v>0</v>
      </c>
      <c r="AF10" s="139">
        <v>0</v>
      </c>
      <c r="AG10" s="139">
        <v>0</v>
      </c>
    </row>
    <row r="11" spans="1:34" customFormat="1" x14ac:dyDescent="0.15">
      <c r="A11" s="174" t="s">
        <v>201</v>
      </c>
      <c r="B11" s="139">
        <v>0</v>
      </c>
      <c r="C11" s="139">
        <v>0</v>
      </c>
      <c r="D11" s="139">
        <v>0</v>
      </c>
      <c r="E11" s="139">
        <v>0</v>
      </c>
      <c r="F11" s="139">
        <v>0</v>
      </c>
      <c r="G11" s="139">
        <v>0</v>
      </c>
      <c r="H11" s="139">
        <v>0</v>
      </c>
      <c r="I11" s="139">
        <v>6.3930649689968564E-4</v>
      </c>
      <c r="J11" s="139">
        <v>2.196812950754307E-2</v>
      </c>
      <c r="K11" s="139">
        <v>4.2864181601118441E-3</v>
      </c>
      <c r="L11" s="139">
        <v>2.239664377148259E-2</v>
      </c>
      <c r="M11" s="139">
        <v>0</v>
      </c>
      <c r="N11" s="139">
        <v>0.2375813493818901</v>
      </c>
      <c r="O11" s="139">
        <v>0</v>
      </c>
      <c r="P11" s="139">
        <v>5.0000002670000133E-3</v>
      </c>
      <c r="Q11" s="139">
        <v>8.0365113864589461E-3</v>
      </c>
      <c r="R11" s="139">
        <v>7.2132027221858547E-4</v>
      </c>
      <c r="S11" s="139">
        <v>0</v>
      </c>
      <c r="T11" s="139">
        <v>0</v>
      </c>
      <c r="U11" s="139">
        <v>0</v>
      </c>
      <c r="V11" s="139">
        <v>0.12295477628534308</v>
      </c>
      <c r="W11" s="139">
        <v>0.16636583164443378</v>
      </c>
      <c r="X11" s="139">
        <v>3.3058279744790087E-2</v>
      </c>
      <c r="Y11" s="139">
        <v>0</v>
      </c>
      <c r="Z11" s="139">
        <v>0</v>
      </c>
      <c r="AA11" s="139">
        <v>0</v>
      </c>
      <c r="AB11" s="139">
        <v>1.3505979882838781E-2</v>
      </c>
      <c r="AC11" s="139">
        <v>0</v>
      </c>
      <c r="AD11" s="139">
        <v>0</v>
      </c>
      <c r="AE11" s="139">
        <v>0</v>
      </c>
      <c r="AF11" s="139">
        <v>0</v>
      </c>
      <c r="AG11" s="139">
        <v>0</v>
      </c>
    </row>
    <row r="12" spans="1:34" customFormat="1" x14ac:dyDescent="0.15">
      <c r="A12" s="174" t="s">
        <v>202</v>
      </c>
      <c r="B12" s="139">
        <v>0</v>
      </c>
      <c r="C12" s="139">
        <v>0</v>
      </c>
      <c r="D12" s="139">
        <v>0</v>
      </c>
      <c r="E12" s="139">
        <v>0</v>
      </c>
      <c r="F12" s="139">
        <v>1.7481590521064316E-3</v>
      </c>
      <c r="G12" s="139">
        <v>0</v>
      </c>
      <c r="H12" s="139">
        <v>0</v>
      </c>
      <c r="I12" s="139">
        <v>2.1063185692547053E-2</v>
      </c>
      <c r="J12" s="139">
        <v>0.13462878101310505</v>
      </c>
      <c r="K12" s="139">
        <v>2.2337001189249486E-2</v>
      </c>
      <c r="L12" s="139">
        <v>3.6316720817619705E-2</v>
      </c>
      <c r="M12" s="139">
        <v>0</v>
      </c>
      <c r="N12" s="139">
        <v>0.2375813493818901</v>
      </c>
      <c r="O12" s="139">
        <v>0.10483914594443525</v>
      </c>
      <c r="P12" s="139">
        <v>2.0964424319500255E-2</v>
      </c>
      <c r="Q12" s="139">
        <v>1.1217658435270434E-2</v>
      </c>
      <c r="R12" s="139">
        <v>2.2120855214740019E-3</v>
      </c>
      <c r="S12" s="139">
        <v>1.6767274113313534E-2</v>
      </c>
      <c r="T12" s="139">
        <v>0</v>
      </c>
      <c r="U12" s="139">
        <v>1.2263627632550048E-2</v>
      </c>
      <c r="V12" s="139">
        <v>0.18443214942801583</v>
      </c>
      <c r="W12" s="139">
        <v>0.11091055476295582</v>
      </c>
      <c r="X12" s="139">
        <v>0.10919249915703391</v>
      </c>
      <c r="Y12" s="139">
        <v>1.113548249174964E-2</v>
      </c>
      <c r="Z12" s="139">
        <v>0</v>
      </c>
      <c r="AA12" s="139">
        <v>0</v>
      </c>
      <c r="AB12" s="139">
        <v>2.5886452725440684E-2</v>
      </c>
      <c r="AC12" s="139">
        <v>0</v>
      </c>
      <c r="AD12" s="139">
        <v>0</v>
      </c>
      <c r="AE12" s="139">
        <v>0</v>
      </c>
      <c r="AF12" s="139">
        <v>0</v>
      </c>
      <c r="AG12" s="139">
        <v>0</v>
      </c>
    </row>
    <row r="13" spans="1:34" customFormat="1" x14ac:dyDescent="0.15">
      <c r="A13" s="174" t="s">
        <v>203</v>
      </c>
      <c r="B13" s="139">
        <v>0</v>
      </c>
      <c r="C13" s="139">
        <v>0</v>
      </c>
      <c r="D13" s="139">
        <v>0</v>
      </c>
      <c r="E13" s="139">
        <v>0</v>
      </c>
      <c r="F13" s="139">
        <v>0</v>
      </c>
      <c r="G13" s="139">
        <v>0</v>
      </c>
      <c r="H13" s="139">
        <v>0</v>
      </c>
      <c r="I13" s="139">
        <v>1.0531593996273702E-3</v>
      </c>
      <c r="J13" s="139">
        <v>4.7998687356881871E-3</v>
      </c>
      <c r="K13" s="139">
        <v>2.9845480425155536E-3</v>
      </c>
      <c r="L13" s="139">
        <v>1.1457715305861719E-3</v>
      </c>
      <c r="M13" s="139">
        <v>0</v>
      </c>
      <c r="N13" s="139">
        <v>9.7416483026827542E-3</v>
      </c>
      <c r="O13" s="139">
        <v>0</v>
      </c>
      <c r="P13" s="139">
        <v>0</v>
      </c>
      <c r="Q13" s="139">
        <v>0</v>
      </c>
      <c r="R13" s="139">
        <v>0</v>
      </c>
      <c r="S13" s="139">
        <v>0</v>
      </c>
      <c r="T13" s="139">
        <v>0</v>
      </c>
      <c r="U13" s="139">
        <v>0</v>
      </c>
      <c r="V13" s="139">
        <v>5.24069558593264E-2</v>
      </c>
      <c r="W13" s="139">
        <v>4.0416561069551417E-2</v>
      </c>
      <c r="X13" s="139">
        <v>1.1019424414930043E-2</v>
      </c>
      <c r="Y13" s="139">
        <v>0</v>
      </c>
      <c r="Z13" s="139">
        <v>0</v>
      </c>
      <c r="AA13" s="139">
        <v>0</v>
      </c>
      <c r="AB13" s="139">
        <v>0</v>
      </c>
      <c r="AC13" s="139">
        <v>0</v>
      </c>
      <c r="AD13" s="139">
        <v>0</v>
      </c>
      <c r="AE13" s="139">
        <v>0</v>
      </c>
      <c r="AF13" s="139">
        <v>0</v>
      </c>
      <c r="AG13" s="139">
        <v>0</v>
      </c>
    </row>
    <row r="14" spans="1:34" customFormat="1" x14ac:dyDescent="0.15">
      <c r="A14" s="174" t="s">
        <v>204</v>
      </c>
      <c r="B14" s="139">
        <v>0</v>
      </c>
      <c r="C14" s="139">
        <v>0</v>
      </c>
      <c r="D14" s="139">
        <v>0</v>
      </c>
      <c r="E14" s="139">
        <v>0</v>
      </c>
      <c r="F14" s="139">
        <v>0</v>
      </c>
      <c r="G14" s="139">
        <v>0</v>
      </c>
      <c r="H14" s="139">
        <v>0</v>
      </c>
      <c r="I14" s="139">
        <v>1.4042119528364055E-3</v>
      </c>
      <c r="J14" s="139">
        <v>4.4216312631754923E-3</v>
      </c>
      <c r="K14" s="139">
        <v>7.3566187210222017E-4</v>
      </c>
      <c r="L14" s="139">
        <v>6.267367902305262E-3</v>
      </c>
      <c r="M14" s="139">
        <v>0</v>
      </c>
      <c r="N14" s="139">
        <v>4.1542777190775634E-2</v>
      </c>
      <c r="O14" s="139">
        <v>0</v>
      </c>
      <c r="P14" s="139">
        <v>0</v>
      </c>
      <c r="Q14" s="139">
        <v>0</v>
      </c>
      <c r="R14" s="139">
        <v>0</v>
      </c>
      <c r="S14" s="139">
        <v>0</v>
      </c>
      <c r="T14" s="139">
        <v>0</v>
      </c>
      <c r="U14" s="139">
        <v>0.19417404993204271</v>
      </c>
      <c r="V14" s="139">
        <v>9.574348243530742E-2</v>
      </c>
      <c r="W14" s="139">
        <v>0.11091055476295582</v>
      </c>
      <c r="X14" s="139">
        <v>2.2038849829860079E-2</v>
      </c>
      <c r="Y14" s="139">
        <v>0</v>
      </c>
      <c r="Z14" s="139">
        <v>0</v>
      </c>
      <c r="AA14" s="139">
        <v>0</v>
      </c>
      <c r="AB14" s="139">
        <v>4.1208548073205595E-3</v>
      </c>
      <c r="AC14" s="139">
        <v>0</v>
      </c>
      <c r="AD14" s="139">
        <v>0</v>
      </c>
      <c r="AE14" s="139">
        <v>0</v>
      </c>
      <c r="AF14" s="139">
        <v>0</v>
      </c>
      <c r="AG14" s="139">
        <v>0</v>
      </c>
    </row>
    <row r="15" spans="1:34" customFormat="1" x14ac:dyDescent="0.15">
      <c r="A15" s="174" t="s">
        <v>205</v>
      </c>
      <c r="B15" s="139">
        <v>0</v>
      </c>
      <c r="C15" s="139">
        <v>0</v>
      </c>
      <c r="D15" s="139">
        <v>0</v>
      </c>
      <c r="E15" s="139">
        <v>0</v>
      </c>
      <c r="F15" s="139">
        <v>0</v>
      </c>
      <c r="G15" s="139">
        <v>0</v>
      </c>
      <c r="H15" s="139">
        <v>0</v>
      </c>
      <c r="I15" s="139">
        <v>0</v>
      </c>
      <c r="J15" s="139">
        <v>0</v>
      </c>
      <c r="K15" s="139">
        <v>0</v>
      </c>
      <c r="L15" s="139">
        <v>0</v>
      </c>
      <c r="M15" s="139">
        <v>0</v>
      </c>
      <c r="N15" s="139">
        <v>0</v>
      </c>
      <c r="O15" s="139">
        <v>1.2583815293330579E-3</v>
      </c>
      <c r="P15" s="139">
        <v>0</v>
      </c>
      <c r="Q15" s="139">
        <v>0</v>
      </c>
      <c r="R15" s="139">
        <v>0</v>
      </c>
      <c r="S15" s="139">
        <v>2.361985499091758E-2</v>
      </c>
      <c r="T15" s="139">
        <v>0</v>
      </c>
      <c r="U15" s="139">
        <v>1.720621430536582E-2</v>
      </c>
      <c r="V15" s="139">
        <v>1.6960888659920181E-2</v>
      </c>
      <c r="W15" s="139">
        <v>3.0242747208594437E-3</v>
      </c>
      <c r="X15" s="139">
        <v>0.12078284406755645</v>
      </c>
      <c r="Y15" s="139">
        <v>0</v>
      </c>
      <c r="Z15" s="139">
        <v>0</v>
      </c>
      <c r="AA15" s="139">
        <v>0</v>
      </c>
      <c r="AB15" s="139">
        <v>0</v>
      </c>
      <c r="AC15" s="139">
        <v>0</v>
      </c>
      <c r="AD15" s="139">
        <v>2.1573062896626253E-2</v>
      </c>
      <c r="AE15" s="139">
        <v>0</v>
      </c>
      <c r="AF15" s="139">
        <v>0</v>
      </c>
      <c r="AG15" s="139">
        <v>0</v>
      </c>
    </row>
    <row r="16" spans="1:34" customFormat="1" x14ac:dyDescent="0.15">
      <c r="A16" s="174" t="s">
        <v>206</v>
      </c>
      <c r="B16" s="139">
        <v>0</v>
      </c>
      <c r="C16" s="139">
        <v>0</v>
      </c>
      <c r="D16" s="139">
        <v>0</v>
      </c>
      <c r="E16" s="139">
        <v>0</v>
      </c>
      <c r="F16" s="139">
        <v>0</v>
      </c>
      <c r="G16" s="139">
        <v>4.0595623939026111E-3</v>
      </c>
      <c r="H16" s="139">
        <v>0</v>
      </c>
      <c r="I16" s="139">
        <v>0</v>
      </c>
      <c r="J16" s="139">
        <v>0</v>
      </c>
      <c r="K16" s="139">
        <v>0</v>
      </c>
      <c r="L16" s="139">
        <v>0</v>
      </c>
      <c r="M16" s="139">
        <v>0</v>
      </c>
      <c r="N16" s="139">
        <v>0</v>
      </c>
      <c r="O16" s="139">
        <v>0</v>
      </c>
      <c r="P16" s="139">
        <v>7.4772803992867717E-2</v>
      </c>
      <c r="Q16" s="139">
        <v>0.10809740764896479</v>
      </c>
      <c r="R16" s="139">
        <v>7.3865310195394846E-3</v>
      </c>
      <c r="S16" s="139">
        <v>0.16767272313313386</v>
      </c>
      <c r="T16" s="139">
        <v>5.9384091545174079E-3</v>
      </c>
      <c r="U16" s="139">
        <v>1.2263627632550048E-2</v>
      </c>
      <c r="V16" s="139">
        <v>0</v>
      </c>
      <c r="W16" s="139">
        <v>1.1279040858944531E-2</v>
      </c>
      <c r="X16" s="139">
        <v>1.1019424414930043E-2</v>
      </c>
      <c r="Y16" s="139">
        <v>0</v>
      </c>
      <c r="Z16" s="139">
        <v>0</v>
      </c>
      <c r="AA16" s="139">
        <v>0</v>
      </c>
      <c r="AB16" s="139">
        <v>0</v>
      </c>
      <c r="AC16" s="139">
        <v>0</v>
      </c>
      <c r="AD16" s="139">
        <v>0</v>
      </c>
      <c r="AE16" s="139">
        <v>0</v>
      </c>
      <c r="AF16" s="139">
        <v>0</v>
      </c>
      <c r="AG16" s="139">
        <v>0</v>
      </c>
    </row>
    <row r="17" spans="1:33" customFormat="1" x14ac:dyDescent="0.15">
      <c r="A17" s="174" t="s">
        <v>207</v>
      </c>
      <c r="B17" s="139">
        <v>0</v>
      </c>
      <c r="C17" s="139">
        <v>0</v>
      </c>
      <c r="D17" s="139">
        <v>0</v>
      </c>
      <c r="E17" s="139">
        <v>0</v>
      </c>
      <c r="F17" s="139">
        <v>0</v>
      </c>
      <c r="G17" s="139">
        <v>3.5853099416243415E-4</v>
      </c>
      <c r="H17" s="139">
        <v>0</v>
      </c>
      <c r="I17" s="139">
        <v>0</v>
      </c>
      <c r="J17" s="139">
        <v>0</v>
      </c>
      <c r="K17" s="139">
        <v>0</v>
      </c>
      <c r="L17" s="139">
        <v>0</v>
      </c>
      <c r="M17" s="139">
        <v>0</v>
      </c>
      <c r="N17" s="139">
        <v>0</v>
      </c>
      <c r="O17" s="139">
        <v>0</v>
      </c>
      <c r="P17" s="139">
        <v>0</v>
      </c>
      <c r="Q17" s="139">
        <v>0</v>
      </c>
      <c r="R17" s="139">
        <v>0</v>
      </c>
      <c r="S17" s="139">
        <v>7.5355001551673084E-3</v>
      </c>
      <c r="T17" s="139">
        <v>0</v>
      </c>
      <c r="U17" s="139">
        <v>0.36382084899898531</v>
      </c>
      <c r="V17" s="139">
        <v>4.8290271184585662E-2</v>
      </c>
      <c r="W17" s="139">
        <v>4.3653778470756258E-2</v>
      </c>
      <c r="X17" s="139">
        <v>0.27047684591191873</v>
      </c>
      <c r="Y17" s="139">
        <v>0.23384513612674254</v>
      </c>
      <c r="Z17" s="139">
        <v>0.18019010679316702</v>
      </c>
      <c r="AA17" s="139">
        <v>0.48290770764491187</v>
      </c>
      <c r="AB17" s="139">
        <v>7.4871660076661845E-3</v>
      </c>
      <c r="AC17" s="139">
        <v>0.27315731678652772</v>
      </c>
      <c r="AD17" s="139">
        <v>0.31189834697520624</v>
      </c>
      <c r="AE17" s="139">
        <v>0</v>
      </c>
      <c r="AF17" s="139">
        <v>0</v>
      </c>
      <c r="AG17" s="139">
        <v>0</v>
      </c>
    </row>
    <row r="18" spans="1:33" customFormat="1" x14ac:dyDescent="0.15">
      <c r="A18" s="174" t="s">
        <v>208</v>
      </c>
      <c r="B18" s="139">
        <v>0</v>
      </c>
      <c r="C18" s="139">
        <v>0</v>
      </c>
      <c r="D18" s="139">
        <v>0</v>
      </c>
      <c r="E18" s="139">
        <v>0</v>
      </c>
      <c r="F18" s="139">
        <v>0</v>
      </c>
      <c r="G18" s="139">
        <v>4.5490214659332871E-4</v>
      </c>
      <c r="H18" s="139">
        <v>0</v>
      </c>
      <c r="I18" s="139">
        <v>0</v>
      </c>
      <c r="J18" s="139">
        <v>0</v>
      </c>
      <c r="K18" s="139">
        <v>0</v>
      </c>
      <c r="L18" s="139">
        <v>0</v>
      </c>
      <c r="M18" s="139">
        <v>0</v>
      </c>
      <c r="N18" s="139">
        <v>0</v>
      </c>
      <c r="O18" s="139">
        <v>0</v>
      </c>
      <c r="P18" s="139">
        <v>0</v>
      </c>
      <c r="Q18" s="139">
        <v>0</v>
      </c>
      <c r="R18" s="139">
        <v>0</v>
      </c>
      <c r="S18" s="139">
        <v>7.5570686369853162E-3</v>
      </c>
      <c r="T18" s="139">
        <v>0</v>
      </c>
      <c r="U18" s="139">
        <v>3.6790866197650235E-2</v>
      </c>
      <c r="V18" s="139">
        <v>2.0156522107433184E-3</v>
      </c>
      <c r="W18" s="139">
        <v>1.8798403364907372E-3</v>
      </c>
      <c r="X18" s="139">
        <v>5.6098896566916523E-2</v>
      </c>
      <c r="Y18" s="139">
        <v>5.5677411458748167E-2</v>
      </c>
      <c r="Z18" s="139">
        <v>0.70063192641382366</v>
      </c>
      <c r="AA18" s="139">
        <v>0.16060756354257832</v>
      </c>
      <c r="AB18" s="139">
        <v>3.2277366853915865E-3</v>
      </c>
      <c r="AC18" s="139">
        <v>0.24728439819654116</v>
      </c>
      <c r="AD18" s="139">
        <v>0.26848384035960271</v>
      </c>
      <c r="AE18" s="139">
        <v>0</v>
      </c>
      <c r="AF18" s="139">
        <v>0</v>
      </c>
      <c r="AG18" s="139">
        <v>0</v>
      </c>
    </row>
    <row r="19" spans="1:33" customFormat="1" x14ac:dyDescent="0.15">
      <c r="A19" s="174" t="s">
        <v>209</v>
      </c>
      <c r="B19" s="139">
        <v>0</v>
      </c>
      <c r="C19" s="139">
        <v>0</v>
      </c>
      <c r="D19" s="139">
        <v>0</v>
      </c>
      <c r="E19" s="139">
        <v>0</v>
      </c>
      <c r="F19" s="139">
        <v>0</v>
      </c>
      <c r="G19" s="139">
        <v>9.1832602604790745E-5</v>
      </c>
      <c r="H19" s="139">
        <v>0</v>
      </c>
      <c r="I19" s="139">
        <v>0</v>
      </c>
      <c r="J19" s="139">
        <v>0</v>
      </c>
      <c r="K19" s="139">
        <v>0</v>
      </c>
      <c r="L19" s="139">
        <v>0</v>
      </c>
      <c r="M19" s="139">
        <v>0</v>
      </c>
      <c r="N19" s="139">
        <v>0</v>
      </c>
      <c r="O19" s="139">
        <v>0</v>
      </c>
      <c r="P19" s="139">
        <v>0</v>
      </c>
      <c r="Q19" s="139">
        <v>0</v>
      </c>
      <c r="R19" s="139">
        <v>0</v>
      </c>
      <c r="S19" s="139">
        <v>2.131235409641833E-2</v>
      </c>
      <c r="T19" s="139">
        <v>0</v>
      </c>
      <c r="U19" s="139">
        <v>2.5911452057487013E-2</v>
      </c>
      <c r="V19" s="139">
        <v>3.6267017134542965E-3</v>
      </c>
      <c r="W19" s="139">
        <v>1.6915149338731718E-3</v>
      </c>
      <c r="X19" s="139">
        <v>4.41350262592776E-2</v>
      </c>
      <c r="Y19" s="139">
        <v>0.17816772066799424</v>
      </c>
      <c r="Z19" s="139">
        <v>2.4801743235025719E-2</v>
      </c>
      <c r="AA19" s="139">
        <v>0</v>
      </c>
      <c r="AB19" s="139">
        <v>2.9480092853913318E-3</v>
      </c>
      <c r="AC19" s="139">
        <v>0.33058028431538156</v>
      </c>
      <c r="AD19" s="139">
        <v>3.1822620750219681E-2</v>
      </c>
      <c r="AE19" s="139">
        <v>0</v>
      </c>
      <c r="AF19" s="139">
        <v>0</v>
      </c>
      <c r="AG19" s="139">
        <v>0</v>
      </c>
    </row>
    <row r="20" spans="1:33" customFormat="1" x14ac:dyDescent="0.15">
      <c r="A20" s="174" t="s">
        <v>210</v>
      </c>
      <c r="B20" s="139">
        <v>0</v>
      </c>
      <c r="C20" s="139">
        <v>0</v>
      </c>
      <c r="D20" s="139">
        <v>0</v>
      </c>
      <c r="E20" s="139">
        <v>0</v>
      </c>
      <c r="F20" s="139">
        <v>0</v>
      </c>
      <c r="G20" s="139">
        <v>4.3721163088136397E-5</v>
      </c>
      <c r="H20" s="139">
        <v>0</v>
      </c>
      <c r="I20" s="139">
        <v>0</v>
      </c>
      <c r="J20" s="139">
        <v>0</v>
      </c>
      <c r="K20" s="139">
        <v>0</v>
      </c>
      <c r="L20" s="139">
        <v>0</v>
      </c>
      <c r="M20" s="139">
        <v>0</v>
      </c>
      <c r="N20" s="139">
        <v>0</v>
      </c>
      <c r="O20" s="139">
        <v>0</v>
      </c>
      <c r="P20" s="139">
        <v>0</v>
      </c>
      <c r="Q20" s="139">
        <v>0</v>
      </c>
      <c r="R20" s="139">
        <v>0</v>
      </c>
      <c r="S20" s="139">
        <v>1.0076092749313858E-3</v>
      </c>
      <c r="T20" s="139">
        <v>0</v>
      </c>
      <c r="U20" s="139">
        <v>1.9251737594115442E-2</v>
      </c>
      <c r="V20" s="139">
        <v>0</v>
      </c>
      <c r="W20" s="139">
        <v>0</v>
      </c>
      <c r="X20" s="139">
        <v>1.6042443376152338E-3</v>
      </c>
      <c r="Y20" s="139">
        <v>2.2270965083499281E-2</v>
      </c>
      <c r="Z20" s="139">
        <v>0</v>
      </c>
      <c r="AA20" s="139">
        <v>5.8467710925602323E-2</v>
      </c>
      <c r="AB20" s="139">
        <v>8.0400252874309039E-4</v>
      </c>
      <c r="AC20" s="139">
        <v>6.7904791273000658E-3</v>
      </c>
      <c r="AD20" s="139">
        <v>2.0179869380599704E-2</v>
      </c>
      <c r="AE20" s="139">
        <v>0</v>
      </c>
      <c r="AF20" s="139">
        <v>0</v>
      </c>
      <c r="AG20" s="139">
        <v>0</v>
      </c>
    </row>
    <row r="21" spans="1:33" customFormat="1" x14ac:dyDescent="0.15">
      <c r="A21" s="174" t="s">
        <v>211</v>
      </c>
      <c r="B21" s="139">
        <v>0</v>
      </c>
      <c r="C21" s="139">
        <v>0</v>
      </c>
      <c r="D21" s="139">
        <v>0</v>
      </c>
      <c r="E21" s="139">
        <v>0</v>
      </c>
      <c r="F21" s="139">
        <v>0</v>
      </c>
      <c r="G21" s="139">
        <v>0</v>
      </c>
      <c r="H21" s="139">
        <v>0</v>
      </c>
      <c r="I21" s="139">
        <v>0</v>
      </c>
      <c r="J21" s="139">
        <v>0</v>
      </c>
      <c r="K21" s="139">
        <v>0</v>
      </c>
      <c r="L21" s="139">
        <v>0</v>
      </c>
      <c r="M21" s="139">
        <v>0</v>
      </c>
      <c r="N21" s="139">
        <v>0</v>
      </c>
      <c r="O21" s="139">
        <v>0</v>
      </c>
      <c r="P21" s="139">
        <v>0</v>
      </c>
      <c r="Q21" s="139">
        <v>0</v>
      </c>
      <c r="R21" s="139">
        <v>0</v>
      </c>
      <c r="S21" s="139">
        <v>0</v>
      </c>
      <c r="T21" s="139">
        <v>0</v>
      </c>
      <c r="U21" s="139">
        <v>7.21882196029648E-4</v>
      </c>
      <c r="V21" s="139">
        <v>0</v>
      </c>
      <c r="W21" s="139">
        <v>0</v>
      </c>
      <c r="X21" s="139">
        <v>0</v>
      </c>
      <c r="Y21" s="139">
        <v>3.1213000817780619E-2</v>
      </c>
      <c r="Z21" s="139">
        <v>0</v>
      </c>
      <c r="AA21" s="139">
        <v>5.9508317842076172E-4</v>
      </c>
      <c r="AB21" s="139">
        <v>0</v>
      </c>
      <c r="AC21" s="139">
        <v>8.2709271382790735E-5</v>
      </c>
      <c r="AD21" s="139">
        <v>3.5309424840604213E-4</v>
      </c>
      <c r="AE21" s="139">
        <v>0</v>
      </c>
      <c r="AF21" s="139">
        <v>0</v>
      </c>
      <c r="AG21" s="139">
        <v>0</v>
      </c>
    </row>
    <row r="22" spans="1:33" customFormat="1" x14ac:dyDescent="0.15">
      <c r="A22" s="174" t="s">
        <v>212</v>
      </c>
      <c r="B22" s="139">
        <v>0</v>
      </c>
      <c r="C22" s="139">
        <v>0</v>
      </c>
      <c r="D22" s="139">
        <v>0</v>
      </c>
      <c r="E22" s="139">
        <v>0</v>
      </c>
      <c r="F22" s="139">
        <v>0</v>
      </c>
      <c r="G22" s="139">
        <v>0</v>
      </c>
      <c r="H22" s="139">
        <v>0</v>
      </c>
      <c r="I22" s="139">
        <v>0</v>
      </c>
      <c r="J22" s="139">
        <v>1.6078663557002055E-3</v>
      </c>
      <c r="K22" s="139">
        <v>0</v>
      </c>
      <c r="L22" s="139">
        <v>1.8182209719854042E-3</v>
      </c>
      <c r="M22" s="139">
        <v>0</v>
      </c>
      <c r="N22" s="139">
        <v>2.8989376500728917E-3</v>
      </c>
      <c r="O22" s="139">
        <v>0</v>
      </c>
      <c r="P22" s="139">
        <v>0</v>
      </c>
      <c r="Q22" s="139">
        <v>1.8191553738406854E-3</v>
      </c>
      <c r="R22" s="139">
        <v>0</v>
      </c>
      <c r="S22" s="139">
        <v>0</v>
      </c>
      <c r="T22" s="139">
        <v>0</v>
      </c>
      <c r="U22" s="139">
        <v>0.12161426133112156</v>
      </c>
      <c r="V22" s="139">
        <v>3.7289560653751802E-2</v>
      </c>
      <c r="W22" s="139">
        <v>1.2218959472190042E-2</v>
      </c>
      <c r="X22" s="139">
        <v>1.1019424414930043E-2</v>
      </c>
      <c r="Y22" s="139">
        <v>5.5677411458748167E-2</v>
      </c>
      <c r="Z22" s="139">
        <v>0</v>
      </c>
      <c r="AA22" s="139">
        <v>8.0303781271289149E-2</v>
      </c>
      <c r="AB22" s="139">
        <v>0</v>
      </c>
      <c r="AC22" s="139">
        <v>0</v>
      </c>
      <c r="AD22" s="139">
        <v>0</v>
      </c>
      <c r="AE22" s="139">
        <v>0</v>
      </c>
      <c r="AF22" s="139">
        <v>0</v>
      </c>
      <c r="AG22" s="139">
        <v>0</v>
      </c>
    </row>
    <row r="23" spans="1:33" customFormat="1" x14ac:dyDescent="0.15">
      <c r="A23" s="174" t="s">
        <v>213</v>
      </c>
      <c r="B23" s="139">
        <v>0</v>
      </c>
      <c r="C23" s="139">
        <v>0</v>
      </c>
      <c r="D23" s="139">
        <v>0</v>
      </c>
      <c r="E23" s="139">
        <v>0</v>
      </c>
      <c r="F23" s="139">
        <v>0</v>
      </c>
      <c r="G23" s="139">
        <v>0</v>
      </c>
      <c r="H23" s="139">
        <v>0</v>
      </c>
      <c r="I23" s="139">
        <v>0</v>
      </c>
      <c r="J23" s="139">
        <v>3.1404741869210239E-4</v>
      </c>
      <c r="K23" s="139">
        <v>0</v>
      </c>
      <c r="L23" s="139">
        <v>1.1592528168291129E-4</v>
      </c>
      <c r="M23" s="139">
        <v>0</v>
      </c>
      <c r="N23" s="139">
        <v>8.6363279583393459E-4</v>
      </c>
      <c r="O23" s="139">
        <v>0</v>
      </c>
      <c r="P23" s="139">
        <v>0</v>
      </c>
      <c r="Q23" s="139">
        <v>1.8191553738406854E-3</v>
      </c>
      <c r="R23" s="139">
        <v>0</v>
      </c>
      <c r="S23" s="139">
        <v>0</v>
      </c>
      <c r="T23" s="139">
        <v>0</v>
      </c>
      <c r="U23" s="139">
        <v>4.2494125466282312E-2</v>
      </c>
      <c r="V23" s="139">
        <v>6.0469565222299633E-3</v>
      </c>
      <c r="W23" s="139">
        <v>9.3991991324539215E-3</v>
      </c>
      <c r="X23" s="139">
        <v>4.0070642390654639E-3</v>
      </c>
      <c r="Y23" s="139">
        <v>8.9083862333997177E-2</v>
      </c>
      <c r="Z23" s="139">
        <v>0</v>
      </c>
      <c r="AA23" s="139">
        <v>5.6510590894619156E-2</v>
      </c>
      <c r="AB23" s="139">
        <v>0</v>
      </c>
      <c r="AC23" s="139">
        <v>1.5868716875191362E-2</v>
      </c>
      <c r="AD23" s="139">
        <v>1.3226177701489306E-2</v>
      </c>
      <c r="AE23" s="139">
        <v>0</v>
      </c>
      <c r="AF23" s="139">
        <v>0</v>
      </c>
      <c r="AG23" s="139">
        <v>0</v>
      </c>
    </row>
    <row r="24" spans="1:33" customFormat="1" x14ac:dyDescent="0.15">
      <c r="A24" s="174" t="s">
        <v>214</v>
      </c>
      <c r="B24" s="139">
        <v>0</v>
      </c>
      <c r="C24" s="139">
        <v>0</v>
      </c>
      <c r="D24" s="139">
        <v>0</v>
      </c>
      <c r="E24" s="139">
        <v>0</v>
      </c>
      <c r="F24" s="139">
        <v>0</v>
      </c>
      <c r="G24" s="139">
        <v>0</v>
      </c>
      <c r="H24" s="139">
        <v>0</v>
      </c>
      <c r="I24" s="139">
        <v>0</v>
      </c>
      <c r="J24" s="139">
        <v>0</v>
      </c>
      <c r="K24" s="139">
        <v>0</v>
      </c>
      <c r="L24" s="139">
        <v>1.2252532073927058E-3</v>
      </c>
      <c r="M24" s="139">
        <v>0</v>
      </c>
      <c r="N24" s="139">
        <v>1.6565359514702286E-3</v>
      </c>
      <c r="O24" s="139">
        <v>0</v>
      </c>
      <c r="P24" s="139">
        <v>0</v>
      </c>
      <c r="Q24" s="139">
        <v>1.8191553738406854E-3</v>
      </c>
      <c r="R24" s="139">
        <v>0</v>
      </c>
      <c r="S24" s="139">
        <v>0</v>
      </c>
      <c r="T24" s="139">
        <v>0</v>
      </c>
      <c r="U24" s="139">
        <v>0.12161426133112156</v>
      </c>
      <c r="V24" s="139">
        <v>4.0313044214866367E-3</v>
      </c>
      <c r="W24" s="139">
        <v>5.6395204794722599E-3</v>
      </c>
      <c r="X24" s="139">
        <v>0.21838499831406782</v>
      </c>
      <c r="Y24" s="139">
        <v>7.7948382042247591E-2</v>
      </c>
      <c r="Z24" s="139">
        <v>0</v>
      </c>
      <c r="AA24" s="139">
        <v>8.0303781271289149E-2</v>
      </c>
      <c r="AB24" s="139">
        <v>0</v>
      </c>
      <c r="AC24" s="139">
        <v>8.199430503885341E-2</v>
      </c>
      <c r="AD24" s="139">
        <v>2.8562112378681285E-2</v>
      </c>
      <c r="AE24" s="139">
        <v>0</v>
      </c>
      <c r="AF24" s="139">
        <v>0</v>
      </c>
      <c r="AG24" s="139">
        <v>0</v>
      </c>
    </row>
    <row r="25" spans="1:33" customFormat="1" x14ac:dyDescent="0.15">
      <c r="A25" s="174" t="s">
        <v>215</v>
      </c>
      <c r="B25" s="139">
        <v>0</v>
      </c>
      <c r="C25" s="139">
        <v>0</v>
      </c>
      <c r="D25" s="139">
        <v>0</v>
      </c>
      <c r="E25" s="139">
        <v>0</v>
      </c>
      <c r="F25" s="139">
        <v>0</v>
      </c>
      <c r="G25" s="139">
        <v>0</v>
      </c>
      <c r="H25" s="139">
        <v>0</v>
      </c>
      <c r="I25" s="139">
        <v>0</v>
      </c>
      <c r="J25" s="139">
        <v>0</v>
      </c>
      <c r="K25" s="139">
        <v>0</v>
      </c>
      <c r="L25" s="139">
        <v>0</v>
      </c>
      <c r="M25" s="139">
        <v>0</v>
      </c>
      <c r="N25" s="139">
        <v>0</v>
      </c>
      <c r="O25" s="139">
        <v>0</v>
      </c>
      <c r="P25" s="139">
        <v>0</v>
      </c>
      <c r="Q25" s="139">
        <v>0</v>
      </c>
      <c r="R25" s="139">
        <v>0</v>
      </c>
      <c r="S25" s="139">
        <v>0</v>
      </c>
      <c r="T25" s="139">
        <v>0</v>
      </c>
      <c r="U25" s="139">
        <v>0</v>
      </c>
      <c r="V25" s="139">
        <v>0</v>
      </c>
      <c r="W25" s="139">
        <v>0</v>
      </c>
      <c r="X25" s="139">
        <v>0</v>
      </c>
      <c r="Y25" s="139">
        <v>3.3406450875249002E-2</v>
      </c>
      <c r="Z25" s="139">
        <v>0</v>
      </c>
      <c r="AA25" s="139">
        <v>0</v>
      </c>
      <c r="AB25" s="139">
        <v>0</v>
      </c>
      <c r="AC25" s="139">
        <v>0</v>
      </c>
      <c r="AD25" s="139">
        <v>0</v>
      </c>
      <c r="AE25" s="139">
        <v>0</v>
      </c>
      <c r="AF25" s="139">
        <v>0</v>
      </c>
      <c r="AG25" s="139">
        <v>0</v>
      </c>
    </row>
    <row r="26" spans="1:33" customFormat="1" x14ac:dyDescent="0.15">
      <c r="A26" s="174" t="s">
        <v>216</v>
      </c>
      <c r="B26" s="139">
        <v>0</v>
      </c>
      <c r="C26" s="139">
        <v>0</v>
      </c>
      <c r="D26" s="139">
        <v>0</v>
      </c>
      <c r="E26" s="139">
        <v>0</v>
      </c>
      <c r="F26" s="139">
        <v>0</v>
      </c>
      <c r="G26" s="139">
        <v>0</v>
      </c>
      <c r="H26" s="139">
        <v>0</v>
      </c>
      <c r="I26" s="139">
        <v>0</v>
      </c>
      <c r="J26" s="139">
        <v>0</v>
      </c>
      <c r="K26" s="139">
        <v>0</v>
      </c>
      <c r="L26" s="139">
        <v>0</v>
      </c>
      <c r="M26" s="139">
        <v>0</v>
      </c>
      <c r="N26" s="139">
        <v>0</v>
      </c>
      <c r="O26" s="139">
        <v>0</v>
      </c>
      <c r="P26" s="139">
        <v>0</v>
      </c>
      <c r="Q26" s="139">
        <v>0</v>
      </c>
      <c r="R26" s="139">
        <v>0</v>
      </c>
      <c r="S26" s="139">
        <v>0</v>
      </c>
      <c r="T26" s="139">
        <v>0</v>
      </c>
      <c r="U26" s="139">
        <v>0</v>
      </c>
      <c r="V26" s="139">
        <v>0</v>
      </c>
      <c r="W26" s="139">
        <v>0</v>
      </c>
      <c r="X26" s="139">
        <v>0</v>
      </c>
      <c r="Y26" s="139">
        <v>1.113548249174964E-2</v>
      </c>
      <c r="Z26" s="139">
        <v>0</v>
      </c>
      <c r="AA26" s="139">
        <v>0</v>
      </c>
      <c r="AB26" s="139">
        <v>0</v>
      </c>
      <c r="AC26" s="139">
        <v>0</v>
      </c>
      <c r="AD26" s="139">
        <v>0</v>
      </c>
      <c r="AE26" s="139">
        <v>0</v>
      </c>
      <c r="AF26" s="139">
        <v>0</v>
      </c>
      <c r="AG26" s="139">
        <v>0</v>
      </c>
    </row>
    <row r="27" spans="1:33" customFormat="1" x14ac:dyDescent="0.15">
      <c r="A27" s="174" t="s">
        <v>217</v>
      </c>
      <c r="B27" s="139">
        <v>0</v>
      </c>
      <c r="C27" s="139">
        <v>0</v>
      </c>
      <c r="D27" s="139">
        <v>0</v>
      </c>
      <c r="E27" s="139">
        <v>0</v>
      </c>
      <c r="F27" s="139">
        <v>0</v>
      </c>
      <c r="G27" s="139">
        <v>0</v>
      </c>
      <c r="H27" s="139">
        <v>0</v>
      </c>
      <c r="I27" s="139">
        <v>0</v>
      </c>
      <c r="J27" s="139">
        <v>0</v>
      </c>
      <c r="K27" s="139">
        <v>0</v>
      </c>
      <c r="L27" s="139">
        <v>0</v>
      </c>
      <c r="M27" s="139">
        <v>0</v>
      </c>
      <c r="N27" s="139">
        <v>0</v>
      </c>
      <c r="O27" s="139">
        <v>0</v>
      </c>
      <c r="P27" s="139">
        <v>0</v>
      </c>
      <c r="Q27" s="139">
        <v>0</v>
      </c>
      <c r="R27" s="139">
        <v>0</v>
      </c>
      <c r="S27" s="139">
        <v>0</v>
      </c>
      <c r="T27" s="139">
        <v>0</v>
      </c>
      <c r="U27" s="139">
        <v>0</v>
      </c>
      <c r="V27" s="139">
        <v>0</v>
      </c>
      <c r="W27" s="139">
        <v>0</v>
      </c>
      <c r="X27" s="139">
        <v>0</v>
      </c>
      <c r="Y27" s="139">
        <v>3.3406450875249002E-2</v>
      </c>
      <c r="Z27" s="139">
        <v>0</v>
      </c>
      <c r="AA27" s="139">
        <v>0</v>
      </c>
      <c r="AB27" s="139">
        <v>0</v>
      </c>
      <c r="AC27" s="139">
        <v>0</v>
      </c>
      <c r="AD27" s="139">
        <v>0</v>
      </c>
      <c r="AE27" s="139">
        <v>0</v>
      </c>
      <c r="AF27" s="139">
        <v>0</v>
      </c>
      <c r="AG27" s="139">
        <v>0</v>
      </c>
    </row>
    <row r="28" spans="1:33" customFormat="1" x14ac:dyDescent="0.15">
      <c r="A28" s="174" t="s">
        <v>218</v>
      </c>
      <c r="B28" s="139">
        <v>0</v>
      </c>
      <c r="C28" s="139">
        <v>0</v>
      </c>
      <c r="D28" s="139">
        <v>0</v>
      </c>
      <c r="E28" s="139">
        <v>0</v>
      </c>
      <c r="F28" s="139">
        <v>0</v>
      </c>
      <c r="G28" s="139">
        <v>0</v>
      </c>
      <c r="H28" s="139">
        <v>0</v>
      </c>
      <c r="I28" s="139">
        <v>0</v>
      </c>
      <c r="J28" s="139">
        <v>0</v>
      </c>
      <c r="K28" s="139">
        <v>0</v>
      </c>
      <c r="L28" s="139">
        <v>0</v>
      </c>
      <c r="M28" s="139">
        <v>0</v>
      </c>
      <c r="N28" s="139">
        <v>0</v>
      </c>
      <c r="O28" s="139">
        <v>0</v>
      </c>
      <c r="P28" s="139">
        <v>0</v>
      </c>
      <c r="Q28" s="139">
        <v>0</v>
      </c>
      <c r="R28" s="139">
        <v>0</v>
      </c>
      <c r="S28" s="139">
        <v>0</v>
      </c>
      <c r="T28" s="139">
        <v>0</v>
      </c>
      <c r="U28" s="139">
        <v>0</v>
      </c>
      <c r="V28" s="139">
        <v>0</v>
      </c>
      <c r="W28" s="139">
        <v>0</v>
      </c>
      <c r="X28" s="139">
        <v>0</v>
      </c>
      <c r="Y28" s="139">
        <v>1.113548249174964E-2</v>
      </c>
      <c r="Z28" s="139">
        <v>0</v>
      </c>
      <c r="AA28" s="139">
        <v>0</v>
      </c>
      <c r="AB28" s="139">
        <v>0</v>
      </c>
      <c r="AC28" s="139">
        <v>0</v>
      </c>
      <c r="AD28" s="139">
        <v>0</v>
      </c>
      <c r="AE28" s="139">
        <v>0</v>
      </c>
      <c r="AF28" s="139">
        <v>0</v>
      </c>
      <c r="AG28" s="139">
        <v>0</v>
      </c>
    </row>
    <row r="29" spans="1:33" customFormat="1" x14ac:dyDescent="0.15">
      <c r="A29" s="174" t="s">
        <v>219</v>
      </c>
      <c r="B29" s="139">
        <v>0</v>
      </c>
      <c r="C29" s="139">
        <v>0</v>
      </c>
      <c r="D29" s="139">
        <v>0</v>
      </c>
      <c r="E29" s="139">
        <v>0</v>
      </c>
      <c r="F29" s="139">
        <v>0</v>
      </c>
      <c r="G29" s="139">
        <v>0</v>
      </c>
      <c r="H29" s="139">
        <v>0</v>
      </c>
      <c r="I29" s="139">
        <v>0</v>
      </c>
      <c r="J29" s="139">
        <v>0</v>
      </c>
      <c r="K29" s="139">
        <v>0</v>
      </c>
      <c r="L29" s="139">
        <v>0</v>
      </c>
      <c r="M29" s="139">
        <v>0</v>
      </c>
      <c r="N29" s="139">
        <v>0</v>
      </c>
      <c r="O29" s="139">
        <v>0</v>
      </c>
      <c r="P29" s="139">
        <v>0</v>
      </c>
      <c r="Q29" s="139">
        <v>0</v>
      </c>
      <c r="R29" s="139">
        <v>0</v>
      </c>
      <c r="S29" s="139">
        <v>0</v>
      </c>
      <c r="T29" s="139">
        <v>0</v>
      </c>
      <c r="U29" s="139">
        <v>0</v>
      </c>
      <c r="V29" s="139">
        <v>0</v>
      </c>
      <c r="W29" s="139">
        <v>0</v>
      </c>
      <c r="X29" s="139">
        <v>0</v>
      </c>
      <c r="Y29" s="139">
        <v>2.2270965083499281E-2</v>
      </c>
      <c r="Z29" s="139">
        <v>0</v>
      </c>
      <c r="AA29" s="139">
        <v>0</v>
      </c>
      <c r="AB29" s="139">
        <v>0</v>
      </c>
      <c r="AC29" s="139">
        <v>1.900445786789425E-3</v>
      </c>
      <c r="AD29" s="139">
        <v>0</v>
      </c>
      <c r="AE29" s="139">
        <v>0</v>
      </c>
      <c r="AF29" s="139">
        <v>0</v>
      </c>
      <c r="AG29" s="139">
        <v>0</v>
      </c>
    </row>
    <row r="30" spans="1:33" customFormat="1" x14ac:dyDescent="0.15">
      <c r="A30" s="174" t="s">
        <v>220</v>
      </c>
      <c r="B30" s="139">
        <v>0</v>
      </c>
      <c r="C30" s="139">
        <v>0</v>
      </c>
      <c r="D30" s="139">
        <v>0</v>
      </c>
      <c r="E30" s="139">
        <v>0</v>
      </c>
      <c r="F30" s="139">
        <v>0</v>
      </c>
      <c r="G30" s="139">
        <v>0</v>
      </c>
      <c r="H30" s="139">
        <v>0</v>
      </c>
      <c r="I30" s="139">
        <v>0</v>
      </c>
      <c r="J30" s="139">
        <v>0</v>
      </c>
      <c r="K30" s="139">
        <v>0</v>
      </c>
      <c r="L30" s="139">
        <v>0</v>
      </c>
      <c r="M30" s="139">
        <v>0</v>
      </c>
      <c r="N30" s="139">
        <v>0</v>
      </c>
      <c r="O30" s="139">
        <v>0</v>
      </c>
      <c r="P30" s="139">
        <v>0</v>
      </c>
      <c r="Q30" s="139">
        <v>0</v>
      </c>
      <c r="R30" s="139">
        <v>0</v>
      </c>
      <c r="S30" s="139">
        <v>0</v>
      </c>
      <c r="T30" s="139">
        <v>0</v>
      </c>
      <c r="U30" s="139">
        <v>0</v>
      </c>
      <c r="V30" s="139">
        <v>0</v>
      </c>
      <c r="W30" s="139">
        <v>0</v>
      </c>
      <c r="X30" s="139">
        <v>0</v>
      </c>
      <c r="Y30" s="139">
        <v>3.3406450875249002E-2</v>
      </c>
      <c r="Z30" s="139">
        <v>0</v>
      </c>
      <c r="AA30" s="139">
        <v>0</v>
      </c>
      <c r="AB30" s="139">
        <v>0</v>
      </c>
      <c r="AC30" s="139">
        <v>0</v>
      </c>
      <c r="AD30" s="139">
        <v>0</v>
      </c>
      <c r="AE30" s="139">
        <v>0</v>
      </c>
      <c r="AF30" s="139">
        <v>0</v>
      </c>
      <c r="AG30" s="139">
        <v>0</v>
      </c>
    </row>
    <row r="31" spans="1:33" customFormat="1" x14ac:dyDescent="0.15">
      <c r="A31" s="174" t="s">
        <v>221</v>
      </c>
      <c r="B31" s="139">
        <v>0</v>
      </c>
      <c r="C31" s="139">
        <v>0</v>
      </c>
      <c r="D31" s="139">
        <v>0</v>
      </c>
      <c r="E31" s="139">
        <v>0</v>
      </c>
      <c r="F31" s="139">
        <v>0</v>
      </c>
      <c r="G31" s="139">
        <v>0</v>
      </c>
      <c r="H31" s="139">
        <v>0</v>
      </c>
      <c r="I31" s="139">
        <v>5.9095271457070284E-3</v>
      </c>
      <c r="J31" s="139">
        <v>6.8731209590881604E-3</v>
      </c>
      <c r="K31" s="139">
        <v>5.8538975737405016E-3</v>
      </c>
      <c r="L31" s="139">
        <v>9.4507433764691434E-3</v>
      </c>
      <c r="M31" s="139">
        <v>0</v>
      </c>
      <c r="N31" s="139">
        <v>3.9005888011951949E-2</v>
      </c>
      <c r="O31" s="139">
        <v>7.5484189959993384E-2</v>
      </c>
      <c r="P31" s="139">
        <v>0</v>
      </c>
      <c r="Q31" s="139">
        <v>0</v>
      </c>
      <c r="R31" s="139">
        <v>0</v>
      </c>
      <c r="S31" s="139">
        <v>0</v>
      </c>
      <c r="T31" s="139">
        <v>0</v>
      </c>
      <c r="U31" s="139">
        <v>0</v>
      </c>
      <c r="V31" s="139">
        <v>1.209391274445995E-2</v>
      </c>
      <c r="W31" s="139">
        <v>2.2558081717889061E-2</v>
      </c>
      <c r="X31" s="139">
        <v>0</v>
      </c>
      <c r="Y31" s="139">
        <v>0</v>
      </c>
      <c r="Z31" s="139">
        <v>0</v>
      </c>
      <c r="AA31" s="139">
        <v>0</v>
      </c>
      <c r="AB31" s="139">
        <v>0</v>
      </c>
      <c r="AC31" s="139">
        <v>0</v>
      </c>
      <c r="AD31" s="139">
        <v>0.12910075075163963</v>
      </c>
      <c r="AE31" s="139">
        <v>0</v>
      </c>
      <c r="AF31" s="139">
        <v>0</v>
      </c>
      <c r="AG31" s="139">
        <v>0</v>
      </c>
    </row>
    <row r="32" spans="1:33" customFormat="1" x14ac:dyDescent="0.15">
      <c r="A32" s="174" t="s">
        <v>222</v>
      </c>
      <c r="B32" s="139">
        <v>0</v>
      </c>
      <c r="C32" s="139">
        <v>0.56948065800000003</v>
      </c>
      <c r="D32" s="139">
        <v>0.49406578373889454</v>
      </c>
      <c r="E32" s="139">
        <v>0.13056793644398568</v>
      </c>
      <c r="F32" s="139">
        <v>6.1959489367105706E-2</v>
      </c>
      <c r="G32" s="139">
        <v>0.10003364637126218</v>
      </c>
      <c r="H32" s="139">
        <v>0.18399998951200058</v>
      </c>
      <c r="I32" s="139">
        <v>0.45962975466608186</v>
      </c>
      <c r="J32" s="139">
        <v>0.29768651771830157</v>
      </c>
      <c r="K32" s="139">
        <v>0.33450851178517926</v>
      </c>
      <c r="L32" s="139">
        <v>0.37671729445099816</v>
      </c>
      <c r="M32" s="139">
        <v>9.0200000631400004E-2</v>
      </c>
      <c r="N32" s="139">
        <v>0.14183955340709678</v>
      </c>
      <c r="O32" s="139">
        <v>0.13649949992765525</v>
      </c>
      <c r="P32" s="139">
        <v>5.8911903145895624E-2</v>
      </c>
      <c r="Q32" s="139">
        <v>0</v>
      </c>
      <c r="R32" s="139">
        <v>0</v>
      </c>
      <c r="S32" s="139">
        <v>0</v>
      </c>
      <c r="T32" s="139">
        <v>0</v>
      </c>
      <c r="U32" s="139">
        <v>0</v>
      </c>
      <c r="V32" s="139">
        <v>1.209391274445995E-2</v>
      </c>
      <c r="W32" s="139">
        <v>1.1279040858944531E-2</v>
      </c>
      <c r="X32" s="139">
        <v>0</v>
      </c>
      <c r="Y32" s="139">
        <v>5.5677411458748167E-2</v>
      </c>
      <c r="Z32" s="139">
        <v>0</v>
      </c>
      <c r="AA32" s="139">
        <v>0</v>
      </c>
      <c r="AB32" s="139">
        <v>1.3505979882838781E-2</v>
      </c>
      <c r="AC32" s="139">
        <v>0</v>
      </c>
      <c r="AD32" s="139">
        <v>0</v>
      </c>
      <c r="AE32" s="139">
        <v>0</v>
      </c>
      <c r="AF32" s="139">
        <v>0</v>
      </c>
      <c r="AG32" s="139">
        <v>0</v>
      </c>
    </row>
    <row r="33" spans="1:33" customFormat="1" x14ac:dyDescent="0.15">
      <c r="A33" s="174" t="s">
        <v>223</v>
      </c>
      <c r="B33" s="139">
        <v>0</v>
      </c>
      <c r="C33" s="139">
        <v>0</v>
      </c>
      <c r="D33" s="139">
        <v>0</v>
      </c>
      <c r="E33" s="139">
        <v>0</v>
      </c>
      <c r="F33" s="139">
        <v>0</v>
      </c>
      <c r="G33" s="139">
        <v>0</v>
      </c>
      <c r="H33" s="139">
        <v>0</v>
      </c>
      <c r="I33" s="139">
        <v>0</v>
      </c>
      <c r="J33" s="139">
        <v>0</v>
      </c>
      <c r="K33" s="139">
        <v>0</v>
      </c>
      <c r="L33" s="139">
        <v>0</v>
      </c>
      <c r="M33" s="139">
        <v>0</v>
      </c>
      <c r="N33" s="139">
        <v>0</v>
      </c>
      <c r="O33" s="139">
        <v>0</v>
      </c>
      <c r="P33" s="139">
        <v>0</v>
      </c>
      <c r="Q33" s="139">
        <v>0</v>
      </c>
      <c r="R33" s="139">
        <v>0</v>
      </c>
      <c r="S33" s="139">
        <v>0</v>
      </c>
      <c r="T33" s="139">
        <v>0</v>
      </c>
      <c r="U33" s="139">
        <v>0</v>
      </c>
      <c r="V33" s="139">
        <v>0</v>
      </c>
      <c r="W33" s="139">
        <v>0</v>
      </c>
      <c r="X33" s="139">
        <v>0</v>
      </c>
      <c r="Y33" s="139">
        <v>0</v>
      </c>
      <c r="Z33" s="139">
        <v>0</v>
      </c>
      <c r="AA33" s="139">
        <v>0</v>
      </c>
      <c r="AB33" s="139">
        <v>0</v>
      </c>
      <c r="AC33" s="139">
        <v>0</v>
      </c>
      <c r="AD33" s="139">
        <v>0</v>
      </c>
      <c r="AE33" s="139">
        <v>0</v>
      </c>
      <c r="AF33" s="139">
        <v>0</v>
      </c>
      <c r="AG33" s="139">
        <v>0</v>
      </c>
    </row>
    <row r="34" spans="1:33" customFormat="1" x14ac:dyDescent="0.15">
      <c r="A34" s="174" t="s">
        <v>225</v>
      </c>
      <c r="B34" s="139">
        <v>0</v>
      </c>
      <c r="C34" s="139">
        <v>0</v>
      </c>
      <c r="D34" s="139">
        <v>0</v>
      </c>
      <c r="E34" s="139">
        <v>0</v>
      </c>
      <c r="F34" s="139">
        <v>0</v>
      </c>
      <c r="G34" s="139">
        <v>0</v>
      </c>
      <c r="H34" s="139">
        <v>0</v>
      </c>
      <c r="I34" s="139">
        <v>0</v>
      </c>
      <c r="J34" s="139">
        <v>0</v>
      </c>
      <c r="K34" s="139">
        <v>0</v>
      </c>
      <c r="L34" s="139">
        <v>0</v>
      </c>
      <c r="M34" s="139">
        <v>0</v>
      </c>
      <c r="N34" s="139">
        <v>0</v>
      </c>
      <c r="O34" s="139">
        <v>0</v>
      </c>
      <c r="P34" s="139">
        <v>0</v>
      </c>
      <c r="Q34" s="139">
        <v>0</v>
      </c>
      <c r="R34" s="139">
        <v>0</v>
      </c>
      <c r="S34" s="139">
        <v>0</v>
      </c>
      <c r="T34" s="139">
        <v>0</v>
      </c>
      <c r="U34" s="139">
        <v>0</v>
      </c>
      <c r="V34" s="139">
        <v>0</v>
      </c>
      <c r="W34" s="139">
        <v>0</v>
      </c>
      <c r="X34" s="139">
        <v>0</v>
      </c>
      <c r="Y34" s="139">
        <v>0</v>
      </c>
      <c r="Z34" s="139">
        <v>0</v>
      </c>
      <c r="AA34" s="139">
        <v>0</v>
      </c>
      <c r="AB34" s="139">
        <v>0</v>
      </c>
      <c r="AC34" s="139">
        <v>0</v>
      </c>
      <c r="AD34" s="139">
        <v>0</v>
      </c>
      <c r="AE34" s="139">
        <v>0</v>
      </c>
      <c r="AF34" s="139">
        <v>0</v>
      </c>
      <c r="AG34" s="139">
        <v>0</v>
      </c>
    </row>
    <row r="35" spans="1:33" customFormat="1" x14ac:dyDescent="0.15"/>
    <row r="36" spans="1:33" customFormat="1" x14ac:dyDescent="0.15"/>
    <row r="37" spans="1:33" customFormat="1" x14ac:dyDescent="0.15"/>
    <row r="38" spans="1:33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2" activePane="bottomRight" state="frozen"/>
      <selection pane="topRight" activeCell="C1" sqref="C1"/>
      <selection pane="bottomLeft" activeCell="A2" sqref="A2"/>
      <selection pane="bottomRight" activeCell="D38" sqref="D38"/>
    </sheetView>
  </sheetViews>
  <sheetFormatPr baseColWidth="10" defaultColWidth="8.83203125" defaultRowHeight="13" x14ac:dyDescent="0.15"/>
  <cols>
    <col min="1" max="1" width="3.33203125" customWidth="1"/>
    <col min="2" max="2" width="36.6640625" customWidth="1"/>
    <col min="3" max="4" width="19" style="107" customWidth="1"/>
    <col min="5" max="6" width="19" style="106" customWidth="1"/>
    <col min="7" max="7" width="19" style="107" customWidth="1"/>
    <col min="8" max="8" width="8.83203125" style="107"/>
  </cols>
  <sheetData>
    <row r="1" spans="1:8" ht="70" x14ac:dyDescent="0.15">
      <c r="A1" s="5" t="s">
        <v>20</v>
      </c>
      <c r="B1" s="1" t="s">
        <v>0</v>
      </c>
      <c r="C1" s="177" t="s">
        <v>221</v>
      </c>
      <c r="D1" s="177" t="s">
        <v>222</v>
      </c>
      <c r="E1" s="177" t="s">
        <v>223</v>
      </c>
      <c r="F1" s="177" t="s">
        <v>226</v>
      </c>
      <c r="G1" s="177" t="s">
        <v>227</v>
      </c>
      <c r="H1"/>
    </row>
    <row r="2" spans="1:8" x14ac:dyDescent="0.15">
      <c r="A2">
        <v>1</v>
      </c>
      <c r="B2" s="176" t="s">
        <v>192</v>
      </c>
      <c r="C2" s="107">
        <v>0.01</v>
      </c>
      <c r="D2" s="107">
        <v>0.99</v>
      </c>
      <c r="E2" s="106">
        <v>0</v>
      </c>
      <c r="F2" s="106">
        <v>0</v>
      </c>
      <c r="G2" s="107">
        <v>1</v>
      </c>
      <c r="H2"/>
    </row>
    <row r="3" spans="1:8" x14ac:dyDescent="0.15">
      <c r="A3">
        <v>2</v>
      </c>
      <c r="B3" s="176" t="s">
        <v>193</v>
      </c>
      <c r="C3" s="107">
        <v>0.01</v>
      </c>
      <c r="D3" s="107">
        <v>0.99</v>
      </c>
      <c r="E3" s="106">
        <v>0</v>
      </c>
      <c r="F3" s="106">
        <v>0</v>
      </c>
      <c r="G3" s="107">
        <v>1</v>
      </c>
      <c r="H3"/>
    </row>
    <row r="4" spans="1:8" x14ac:dyDescent="0.15">
      <c r="A4">
        <v>3</v>
      </c>
      <c r="B4" s="176" t="s">
        <v>194</v>
      </c>
      <c r="C4" s="107">
        <v>0.01</v>
      </c>
      <c r="D4" s="107">
        <v>0.99</v>
      </c>
      <c r="E4" s="106">
        <v>0</v>
      </c>
      <c r="F4" s="106">
        <v>0</v>
      </c>
      <c r="G4" s="107">
        <v>1</v>
      </c>
      <c r="H4"/>
    </row>
    <row r="5" spans="1:8" x14ac:dyDescent="0.15">
      <c r="A5">
        <v>4</v>
      </c>
      <c r="B5" s="176" t="s">
        <v>195</v>
      </c>
      <c r="C5" s="107">
        <v>0.01</v>
      </c>
      <c r="D5" s="107">
        <v>0.99</v>
      </c>
      <c r="E5" s="106">
        <v>0</v>
      </c>
      <c r="F5" s="106">
        <v>0</v>
      </c>
      <c r="G5" s="107">
        <v>1</v>
      </c>
      <c r="H5"/>
    </row>
    <row r="6" spans="1:8" x14ac:dyDescent="0.15">
      <c r="A6">
        <v>5</v>
      </c>
      <c r="B6" s="176" t="s">
        <v>196</v>
      </c>
      <c r="C6" s="107">
        <v>0.01</v>
      </c>
      <c r="D6" s="107">
        <v>0.99</v>
      </c>
      <c r="E6" s="106">
        <v>0</v>
      </c>
      <c r="F6" s="106">
        <v>0</v>
      </c>
      <c r="G6" s="107">
        <v>1</v>
      </c>
      <c r="H6"/>
    </row>
    <row r="7" spans="1:8" x14ac:dyDescent="0.15">
      <c r="A7">
        <v>6</v>
      </c>
      <c r="B7" s="176" t="s">
        <v>197</v>
      </c>
      <c r="C7" s="107">
        <v>0.01</v>
      </c>
      <c r="D7" s="107">
        <v>0.99</v>
      </c>
      <c r="E7" s="106">
        <v>0</v>
      </c>
      <c r="F7" s="106">
        <v>0</v>
      </c>
      <c r="G7" s="107">
        <v>1</v>
      </c>
      <c r="H7"/>
    </row>
    <row r="8" spans="1:8" x14ac:dyDescent="0.15">
      <c r="A8">
        <v>7</v>
      </c>
      <c r="B8" s="176" t="s">
        <v>198</v>
      </c>
      <c r="C8" s="107">
        <v>0.01</v>
      </c>
      <c r="D8" s="107">
        <v>0.99</v>
      </c>
      <c r="E8" s="106">
        <v>0</v>
      </c>
      <c r="F8" s="106">
        <v>0</v>
      </c>
      <c r="G8" s="107">
        <v>1</v>
      </c>
      <c r="H8"/>
    </row>
    <row r="9" spans="1:8" x14ac:dyDescent="0.15">
      <c r="A9">
        <v>8</v>
      </c>
      <c r="B9" s="176" t="s">
        <v>199</v>
      </c>
      <c r="C9" s="107">
        <v>0.01</v>
      </c>
      <c r="D9" s="107">
        <v>0.99</v>
      </c>
      <c r="E9" s="106">
        <v>0</v>
      </c>
      <c r="F9" s="106">
        <v>0</v>
      </c>
      <c r="G9" s="107">
        <v>1</v>
      </c>
      <c r="H9"/>
    </row>
    <row r="10" spans="1:8" x14ac:dyDescent="0.15">
      <c r="A10">
        <v>9</v>
      </c>
      <c r="B10" s="176" t="s">
        <v>200</v>
      </c>
      <c r="C10" s="107">
        <v>0.01</v>
      </c>
      <c r="D10" s="107">
        <v>0.99</v>
      </c>
      <c r="E10" s="106">
        <v>0</v>
      </c>
      <c r="F10" s="106">
        <v>0</v>
      </c>
      <c r="G10" s="107">
        <v>1</v>
      </c>
      <c r="H10"/>
    </row>
    <row r="11" spans="1:8" x14ac:dyDescent="0.15">
      <c r="A11">
        <v>10</v>
      </c>
      <c r="B11" s="176" t="s">
        <v>201</v>
      </c>
      <c r="C11" s="107">
        <v>0.01</v>
      </c>
      <c r="D11" s="107">
        <v>0.99</v>
      </c>
      <c r="E11" s="106">
        <v>0</v>
      </c>
      <c r="F11" s="106">
        <v>0</v>
      </c>
      <c r="G11" s="107">
        <v>1</v>
      </c>
      <c r="H11"/>
    </row>
    <row r="12" spans="1:8" x14ac:dyDescent="0.15">
      <c r="A12">
        <v>11</v>
      </c>
      <c r="B12" s="176" t="s">
        <v>202</v>
      </c>
      <c r="C12" s="107">
        <v>0.01</v>
      </c>
      <c r="D12" s="107">
        <v>0.99</v>
      </c>
      <c r="E12" s="106">
        <v>0</v>
      </c>
      <c r="F12" s="106">
        <v>0</v>
      </c>
      <c r="G12" s="107">
        <v>1</v>
      </c>
      <c r="H12"/>
    </row>
    <row r="13" spans="1:8" x14ac:dyDescent="0.15">
      <c r="A13">
        <v>12</v>
      </c>
      <c r="B13" s="176" t="s">
        <v>203</v>
      </c>
      <c r="C13" s="107">
        <v>0.01</v>
      </c>
      <c r="D13" s="107">
        <v>0.99</v>
      </c>
      <c r="E13" s="106">
        <v>0</v>
      </c>
      <c r="F13" s="106">
        <v>0</v>
      </c>
      <c r="G13" s="107">
        <v>1</v>
      </c>
      <c r="H13"/>
    </row>
    <row r="14" spans="1:8" x14ac:dyDescent="0.15">
      <c r="A14">
        <v>13</v>
      </c>
      <c r="B14" s="176" t="s">
        <v>204</v>
      </c>
      <c r="C14" s="107">
        <v>0.01</v>
      </c>
      <c r="D14" s="107">
        <v>0.99</v>
      </c>
      <c r="E14" s="106">
        <v>0</v>
      </c>
      <c r="F14" s="106">
        <v>0</v>
      </c>
      <c r="G14" s="107">
        <v>1</v>
      </c>
      <c r="H14"/>
    </row>
    <row r="15" spans="1:8" x14ac:dyDescent="0.15">
      <c r="A15">
        <v>14</v>
      </c>
      <c r="B15" s="176" t="s">
        <v>205</v>
      </c>
      <c r="C15" s="107">
        <v>0.01</v>
      </c>
      <c r="D15" s="107">
        <v>0.99</v>
      </c>
      <c r="E15" s="106">
        <v>0</v>
      </c>
      <c r="F15" s="106">
        <v>0</v>
      </c>
      <c r="G15" s="107">
        <v>1</v>
      </c>
      <c r="H15"/>
    </row>
    <row r="16" spans="1:8" x14ac:dyDescent="0.15">
      <c r="A16">
        <v>15</v>
      </c>
      <c r="B16" s="176" t="s">
        <v>206</v>
      </c>
      <c r="C16" s="107">
        <v>0.01</v>
      </c>
      <c r="D16" s="107">
        <v>0.99</v>
      </c>
      <c r="E16" s="106">
        <v>0</v>
      </c>
      <c r="F16" s="106">
        <v>0</v>
      </c>
      <c r="G16" s="107">
        <v>1</v>
      </c>
      <c r="H16"/>
    </row>
    <row r="17" spans="1:8" ht="15" customHeight="1" x14ac:dyDescent="0.15">
      <c r="A17">
        <v>16</v>
      </c>
      <c r="B17" s="176" t="s">
        <v>207</v>
      </c>
      <c r="C17" s="107">
        <v>0.01</v>
      </c>
      <c r="D17" s="107">
        <v>0.99</v>
      </c>
      <c r="E17" s="106">
        <v>0</v>
      </c>
      <c r="F17" s="106">
        <v>0</v>
      </c>
      <c r="G17" s="107">
        <v>1</v>
      </c>
      <c r="H17"/>
    </row>
    <row r="18" spans="1:8" ht="15" customHeight="1" x14ac:dyDescent="0.15">
      <c r="A18">
        <v>17</v>
      </c>
      <c r="B18" s="176" t="s">
        <v>208</v>
      </c>
      <c r="C18" s="107">
        <v>0.01</v>
      </c>
      <c r="D18" s="107">
        <v>0.99</v>
      </c>
      <c r="E18" s="106">
        <v>0</v>
      </c>
      <c r="F18" s="106">
        <v>0</v>
      </c>
      <c r="G18" s="107">
        <v>1</v>
      </c>
      <c r="H18"/>
    </row>
    <row r="19" spans="1:8" ht="15" customHeight="1" x14ac:dyDescent="0.15">
      <c r="A19">
        <v>18</v>
      </c>
      <c r="B19" s="176" t="s">
        <v>209</v>
      </c>
      <c r="C19" s="107">
        <v>0.01</v>
      </c>
      <c r="D19" s="107">
        <v>0.99</v>
      </c>
      <c r="E19" s="106">
        <v>0</v>
      </c>
      <c r="F19" s="106">
        <v>0</v>
      </c>
      <c r="G19" s="107">
        <v>1</v>
      </c>
      <c r="H19"/>
    </row>
    <row r="20" spans="1:8" ht="15" customHeight="1" x14ac:dyDescent="0.15">
      <c r="A20">
        <v>19</v>
      </c>
      <c r="B20" s="176" t="s">
        <v>210</v>
      </c>
      <c r="C20" s="107">
        <v>0.01</v>
      </c>
      <c r="D20" s="107">
        <v>0.99</v>
      </c>
      <c r="E20" s="106">
        <v>0</v>
      </c>
      <c r="F20" s="106">
        <v>0</v>
      </c>
      <c r="G20" s="107">
        <v>1</v>
      </c>
      <c r="H20"/>
    </row>
    <row r="21" spans="1:8" ht="15" customHeight="1" x14ac:dyDescent="0.15">
      <c r="A21">
        <v>20</v>
      </c>
      <c r="B21" s="176" t="s">
        <v>211</v>
      </c>
      <c r="C21" s="107">
        <v>0.01</v>
      </c>
      <c r="D21" s="107">
        <v>0.99</v>
      </c>
      <c r="E21" s="106">
        <v>0</v>
      </c>
      <c r="F21" s="106">
        <v>0</v>
      </c>
      <c r="G21" s="107">
        <v>1</v>
      </c>
      <c r="H21"/>
    </row>
    <row r="22" spans="1:8" ht="15" customHeight="1" x14ac:dyDescent="0.15">
      <c r="A22">
        <v>21</v>
      </c>
      <c r="B22" s="176" t="s">
        <v>212</v>
      </c>
      <c r="C22" s="107">
        <v>0.01</v>
      </c>
      <c r="D22" s="107">
        <v>0.99</v>
      </c>
      <c r="E22" s="106">
        <v>0</v>
      </c>
      <c r="F22" s="106">
        <v>0</v>
      </c>
      <c r="G22" s="107">
        <v>1</v>
      </c>
      <c r="H22"/>
    </row>
    <row r="23" spans="1:8" ht="15" customHeight="1" x14ac:dyDescent="0.15">
      <c r="A23">
        <v>22</v>
      </c>
      <c r="B23" s="176" t="s">
        <v>213</v>
      </c>
      <c r="C23" s="107">
        <v>0.01</v>
      </c>
      <c r="D23" s="107">
        <v>0.99</v>
      </c>
      <c r="E23" s="106">
        <v>0</v>
      </c>
      <c r="F23" s="106">
        <v>0</v>
      </c>
      <c r="G23" s="107">
        <v>1</v>
      </c>
      <c r="H23"/>
    </row>
    <row r="24" spans="1:8" ht="15" customHeight="1" x14ac:dyDescent="0.15">
      <c r="A24">
        <v>23</v>
      </c>
      <c r="B24" s="176" t="s">
        <v>214</v>
      </c>
      <c r="C24" s="107">
        <v>0.01</v>
      </c>
      <c r="D24" s="107">
        <v>0.99</v>
      </c>
      <c r="E24" s="106">
        <v>0</v>
      </c>
      <c r="F24" s="106">
        <v>0</v>
      </c>
      <c r="G24" s="107">
        <v>1</v>
      </c>
      <c r="H24"/>
    </row>
    <row r="25" spans="1:8" ht="15" customHeight="1" x14ac:dyDescent="0.15">
      <c r="A25">
        <v>24</v>
      </c>
      <c r="B25" s="176" t="s">
        <v>215</v>
      </c>
      <c r="C25" s="107">
        <v>0.01</v>
      </c>
      <c r="D25" s="107">
        <v>0.99</v>
      </c>
      <c r="E25" s="106">
        <v>0</v>
      </c>
      <c r="F25" s="106">
        <v>0</v>
      </c>
      <c r="G25" s="107">
        <v>1</v>
      </c>
      <c r="H25"/>
    </row>
    <row r="26" spans="1:8" ht="15" customHeight="1" x14ac:dyDescent="0.15">
      <c r="A26">
        <v>25</v>
      </c>
      <c r="B26" s="176" t="s">
        <v>216</v>
      </c>
      <c r="C26" s="107">
        <v>0.01</v>
      </c>
      <c r="D26" s="107">
        <v>0.99</v>
      </c>
      <c r="E26" s="106">
        <v>0</v>
      </c>
      <c r="F26" s="106">
        <v>0</v>
      </c>
      <c r="G26" s="107">
        <v>1</v>
      </c>
      <c r="H26"/>
    </row>
    <row r="27" spans="1:8" ht="15" customHeight="1" x14ac:dyDescent="0.15">
      <c r="A27">
        <v>26</v>
      </c>
      <c r="B27" s="176" t="s">
        <v>217</v>
      </c>
      <c r="C27" s="107">
        <v>0.01</v>
      </c>
      <c r="D27" s="107">
        <v>0.99</v>
      </c>
      <c r="E27" s="106">
        <v>0</v>
      </c>
      <c r="F27" s="106">
        <v>0</v>
      </c>
      <c r="G27" s="107">
        <v>1</v>
      </c>
      <c r="H27"/>
    </row>
    <row r="28" spans="1:8" ht="15" customHeight="1" x14ac:dyDescent="0.15">
      <c r="A28">
        <v>27</v>
      </c>
      <c r="B28" s="176" t="s">
        <v>218</v>
      </c>
      <c r="C28" s="107">
        <v>0.01</v>
      </c>
      <c r="D28" s="107">
        <v>0.99</v>
      </c>
      <c r="E28" s="106">
        <v>0</v>
      </c>
      <c r="F28" s="106">
        <v>0</v>
      </c>
      <c r="G28" s="107">
        <v>1</v>
      </c>
      <c r="H28"/>
    </row>
    <row r="29" spans="1:8" ht="15" customHeight="1" x14ac:dyDescent="0.15">
      <c r="A29">
        <v>28</v>
      </c>
      <c r="B29" s="176" t="s">
        <v>219</v>
      </c>
      <c r="C29" s="107">
        <v>0.01</v>
      </c>
      <c r="D29" s="107">
        <v>0.99</v>
      </c>
      <c r="E29" s="106">
        <v>0</v>
      </c>
      <c r="F29" s="106">
        <v>0</v>
      </c>
      <c r="G29" s="107">
        <v>1</v>
      </c>
      <c r="H29"/>
    </row>
    <row r="30" spans="1:8" ht="15" customHeight="1" x14ac:dyDescent="0.15">
      <c r="A30">
        <v>29</v>
      </c>
      <c r="B30" s="176" t="s">
        <v>220</v>
      </c>
      <c r="C30" s="107">
        <v>0.01</v>
      </c>
      <c r="D30" s="107">
        <v>0.99</v>
      </c>
      <c r="E30" s="106">
        <v>0</v>
      </c>
      <c r="F30" s="106">
        <v>0</v>
      </c>
      <c r="G30" s="107">
        <v>1</v>
      </c>
      <c r="H30"/>
    </row>
    <row r="31" spans="1:8" ht="15" customHeight="1" x14ac:dyDescent="0.15">
      <c r="A31">
        <v>30</v>
      </c>
      <c r="B31" s="176" t="s">
        <v>221</v>
      </c>
      <c r="C31" s="107">
        <v>0.01</v>
      </c>
      <c r="D31" s="107">
        <v>1E-3</v>
      </c>
      <c r="E31" s="106">
        <v>0</v>
      </c>
      <c r="F31" s="106">
        <v>0.98899999999999999</v>
      </c>
      <c r="G31" s="107">
        <v>1</v>
      </c>
      <c r="H31"/>
    </row>
    <row r="32" spans="1:8" ht="15" customHeight="1" x14ac:dyDescent="0.15">
      <c r="A32">
        <v>31</v>
      </c>
      <c r="B32" s="176" t="s">
        <v>222</v>
      </c>
      <c r="C32" s="107">
        <v>0</v>
      </c>
      <c r="D32" s="107">
        <v>0</v>
      </c>
      <c r="E32" s="106">
        <v>1</v>
      </c>
      <c r="F32" s="106">
        <v>0</v>
      </c>
      <c r="G32" s="107">
        <v>1</v>
      </c>
    </row>
    <row r="33" spans="1:8" ht="15" customHeight="1" x14ac:dyDescent="0.15">
      <c r="A33">
        <v>32</v>
      </c>
      <c r="B33" s="176" t="s">
        <v>223</v>
      </c>
      <c r="C33" s="107">
        <v>0</v>
      </c>
      <c r="D33" s="107">
        <v>0</v>
      </c>
      <c r="E33" s="106">
        <v>0</v>
      </c>
      <c r="F33" s="106">
        <v>1</v>
      </c>
      <c r="G33" s="107">
        <v>1</v>
      </c>
    </row>
    <row r="34" spans="1:8" ht="15" customHeight="1" x14ac:dyDescent="0.15">
      <c r="A34">
        <v>33</v>
      </c>
      <c r="B34" s="176" t="s">
        <v>224</v>
      </c>
      <c r="C34" s="107">
        <v>1</v>
      </c>
      <c r="D34" s="107">
        <v>0</v>
      </c>
      <c r="E34" s="106">
        <v>0</v>
      </c>
      <c r="F34" s="106">
        <v>0</v>
      </c>
      <c r="G34" s="107">
        <v>1</v>
      </c>
    </row>
    <row r="35" spans="1:8" ht="15" customHeight="1" x14ac:dyDescent="0.15"/>
    <row r="36" spans="1:8" ht="15" customHeight="1" x14ac:dyDescent="0.15">
      <c r="C36"/>
      <c r="D36"/>
      <c r="E36" s="107"/>
      <c r="F36" s="107"/>
      <c r="G36"/>
      <c r="H36"/>
    </row>
    <row r="37" spans="1:8" ht="15" customHeight="1" x14ac:dyDescent="0.15">
      <c r="C37"/>
      <c r="D37"/>
      <c r="E37" s="107"/>
      <c r="F37" s="107"/>
      <c r="G37"/>
      <c r="H37"/>
    </row>
    <row r="38" spans="1:8" ht="15" customHeight="1" x14ac:dyDescent="0.15">
      <c r="C38"/>
      <c r="D38"/>
      <c r="E38" s="107"/>
      <c r="F38" s="107"/>
      <c r="G38"/>
      <c r="H38"/>
    </row>
    <row r="39" spans="1:8" ht="15" customHeight="1" x14ac:dyDescent="0.15">
      <c r="C39"/>
      <c r="D39"/>
      <c r="E39" s="107"/>
      <c r="F39" s="107"/>
      <c r="G39"/>
      <c r="H39"/>
    </row>
    <row r="40" spans="1:8" ht="15" customHeight="1" x14ac:dyDescent="0.15">
      <c r="C40"/>
      <c r="D40"/>
      <c r="E40" s="107"/>
      <c r="F40" s="107"/>
      <c r="G40"/>
      <c r="H40"/>
    </row>
    <row r="41" spans="1:8" ht="15" customHeight="1" x14ac:dyDescent="0.15">
      <c r="C41"/>
      <c r="D41"/>
      <c r="E41" s="107"/>
      <c r="F41" s="107"/>
      <c r="G41"/>
      <c r="H41"/>
    </row>
    <row r="42" spans="1:8" ht="15" customHeight="1" x14ac:dyDescent="0.15">
      <c r="C42"/>
      <c r="D42"/>
      <c r="E42" s="107"/>
      <c r="F42" s="107"/>
      <c r="G42"/>
      <c r="H42"/>
    </row>
    <row r="43" spans="1:8" ht="15" customHeight="1" x14ac:dyDescent="0.15">
      <c r="C43"/>
      <c r="D43"/>
      <c r="E43" s="107"/>
      <c r="F43" s="107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7"/>
      <c r="F46" s="107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6.6640625" bestFit="1" customWidth="1"/>
    <col min="3" max="4" width="12.83203125" bestFit="1" customWidth="1"/>
    <col min="5" max="5" width="12.1640625" bestFit="1" customWidth="1"/>
  </cols>
  <sheetData>
    <row r="1" spans="1:5" s="108" customFormat="1" ht="112" x14ac:dyDescent="0.15">
      <c r="A1" s="5" t="s">
        <v>21</v>
      </c>
      <c r="B1" s="3" t="s">
        <v>0</v>
      </c>
      <c r="C1" s="179" t="s">
        <v>224</v>
      </c>
      <c r="D1" s="179" t="s">
        <v>228</v>
      </c>
      <c r="E1"/>
    </row>
    <row r="2" spans="1:5" ht="15" customHeight="1" x14ac:dyDescent="0.15">
      <c r="A2">
        <v>1</v>
      </c>
      <c r="B2" s="178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78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78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78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78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78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78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78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78" t="s">
        <v>200</v>
      </c>
      <c r="C10">
        <v>0</v>
      </c>
      <c r="D10">
        <v>0</v>
      </c>
    </row>
    <row r="11" spans="1:5" ht="15" customHeight="1" x14ac:dyDescent="0.15">
      <c r="A11">
        <v>10</v>
      </c>
      <c r="B11" s="178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78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78" t="s">
        <v>203</v>
      </c>
      <c r="C13">
        <v>9.1692860000000001E-2</v>
      </c>
      <c r="D13">
        <v>9.1692860000000001E-2</v>
      </c>
    </row>
    <row r="14" spans="1:5" ht="15" customHeight="1" x14ac:dyDescent="0.15">
      <c r="A14">
        <v>13</v>
      </c>
      <c r="B14" s="178" t="s">
        <v>204</v>
      </c>
      <c r="C14">
        <v>0.34526970000000001</v>
      </c>
      <c r="D14">
        <v>0.34526970000000001</v>
      </c>
    </row>
    <row r="15" spans="1:5" ht="15" customHeight="1" x14ac:dyDescent="0.15">
      <c r="A15">
        <v>14</v>
      </c>
      <c r="B15" s="178" t="s">
        <v>205</v>
      </c>
      <c r="C15">
        <v>6.2228325799999998E-2</v>
      </c>
      <c r="D15">
        <v>6.2228325799999998E-2</v>
      </c>
    </row>
    <row r="16" spans="1:5" ht="15" customHeight="1" x14ac:dyDescent="0.15">
      <c r="A16">
        <v>15</v>
      </c>
      <c r="B16" s="178" t="s">
        <v>206</v>
      </c>
      <c r="C16">
        <v>0</v>
      </c>
      <c r="D16">
        <v>0</v>
      </c>
    </row>
    <row r="17" spans="1:4" ht="15" customHeight="1" x14ac:dyDescent="0.15">
      <c r="A17">
        <v>16</v>
      </c>
      <c r="B17" s="178" t="s">
        <v>207</v>
      </c>
      <c r="C17">
        <v>0.87416475999999999</v>
      </c>
      <c r="D17">
        <v>0.87416475999999999</v>
      </c>
    </row>
    <row r="18" spans="1:4" ht="15" customHeight="1" x14ac:dyDescent="0.15">
      <c r="A18">
        <v>17</v>
      </c>
      <c r="B18" s="178" t="s">
        <v>208</v>
      </c>
      <c r="C18">
        <v>1.5076799999999999E-5</v>
      </c>
      <c r="D18">
        <v>1.5076799999999999E-5</v>
      </c>
    </row>
    <row r="19" spans="1:4" ht="15" customHeight="1" x14ac:dyDescent="0.15">
      <c r="A19">
        <v>18</v>
      </c>
      <c r="B19" s="178" t="s">
        <v>209</v>
      </c>
      <c r="C19">
        <v>1.38358688E-2</v>
      </c>
      <c r="D19">
        <v>1.38358688E-2</v>
      </c>
    </row>
    <row r="20" spans="1:4" ht="15" customHeight="1" x14ac:dyDescent="0.15">
      <c r="A20">
        <v>19</v>
      </c>
      <c r="B20" s="178" t="s">
        <v>210</v>
      </c>
      <c r="C20">
        <v>5.6116630000000002E-3</v>
      </c>
      <c r="D20">
        <v>5.6116630000000002E-3</v>
      </c>
    </row>
    <row r="21" spans="1:4" ht="15" customHeight="1" x14ac:dyDescent="0.15">
      <c r="A21">
        <v>20</v>
      </c>
      <c r="B21" s="178" t="s">
        <v>211</v>
      </c>
      <c r="C21">
        <v>1.01065189E-2</v>
      </c>
      <c r="D21">
        <v>1.01065189E-2</v>
      </c>
    </row>
    <row r="22" spans="1:4" ht="15" customHeight="1" x14ac:dyDescent="0.15">
      <c r="A22">
        <v>21</v>
      </c>
      <c r="B22" s="178" t="s">
        <v>212</v>
      </c>
      <c r="C22">
        <v>0.14247629000000001</v>
      </c>
      <c r="D22">
        <v>0.14247629000000001</v>
      </c>
    </row>
    <row r="23" spans="1:4" ht="15" customHeight="1" x14ac:dyDescent="0.15">
      <c r="A23">
        <v>22</v>
      </c>
      <c r="B23" s="178" t="s">
        <v>213</v>
      </c>
      <c r="C23">
        <v>7.1847960000000002E-3</v>
      </c>
      <c r="D23">
        <v>7.1847960000000002E-3</v>
      </c>
    </row>
    <row r="24" spans="1:4" ht="15" customHeight="1" x14ac:dyDescent="0.15">
      <c r="A24">
        <v>23</v>
      </c>
      <c r="B24" s="178" t="s">
        <v>214</v>
      </c>
      <c r="C24">
        <v>0.30117475999999999</v>
      </c>
      <c r="D24">
        <v>0.30117475999999999</v>
      </c>
    </row>
    <row r="25" spans="1:4" ht="15" customHeight="1" x14ac:dyDescent="0.15">
      <c r="A25">
        <v>24</v>
      </c>
      <c r="B25" s="178" t="s">
        <v>215</v>
      </c>
      <c r="C25">
        <v>2.4019500000000001E-4</v>
      </c>
      <c r="D25">
        <v>2.4019500000000001E-4</v>
      </c>
    </row>
    <row r="26" spans="1:4" ht="15" customHeight="1" x14ac:dyDescent="0.15">
      <c r="A26">
        <v>25</v>
      </c>
      <c r="B26" s="178" t="s">
        <v>216</v>
      </c>
      <c r="C26">
        <v>1.8159020000000001E-3</v>
      </c>
      <c r="D26">
        <v>1.8159020000000001E-3</v>
      </c>
    </row>
    <row r="27" spans="1:4" ht="15" customHeight="1" x14ac:dyDescent="0.15">
      <c r="A27">
        <v>26</v>
      </c>
      <c r="B27" s="178" t="s">
        <v>217</v>
      </c>
      <c r="C27">
        <v>0</v>
      </c>
      <c r="D27">
        <v>0</v>
      </c>
    </row>
    <row r="28" spans="1:4" ht="15" customHeight="1" x14ac:dyDescent="0.15">
      <c r="A28">
        <v>27</v>
      </c>
      <c r="B28" s="178" t="s">
        <v>218</v>
      </c>
      <c r="C28">
        <v>0</v>
      </c>
      <c r="D28">
        <v>0</v>
      </c>
    </row>
    <row r="29" spans="1:4" ht="15" customHeight="1" x14ac:dyDescent="0.15">
      <c r="A29">
        <v>28</v>
      </c>
      <c r="B29" s="178" t="s">
        <v>219</v>
      </c>
      <c r="C29">
        <v>0</v>
      </c>
      <c r="D29">
        <v>0</v>
      </c>
    </row>
    <row r="30" spans="1:4" ht="15" customHeight="1" x14ac:dyDescent="0.15">
      <c r="A30">
        <v>29</v>
      </c>
      <c r="B30" s="178" t="s">
        <v>220</v>
      </c>
      <c r="C30">
        <v>0</v>
      </c>
      <c r="D30">
        <v>0</v>
      </c>
    </row>
    <row r="31" spans="1:4" ht="15" customHeight="1" x14ac:dyDescent="0.15">
      <c r="A31">
        <v>30</v>
      </c>
      <c r="B31" s="178" t="s">
        <v>221</v>
      </c>
      <c r="C31">
        <v>0</v>
      </c>
      <c r="D31">
        <v>0</v>
      </c>
    </row>
    <row r="32" spans="1:4" ht="15" customHeight="1" x14ac:dyDescent="0.15">
      <c r="A32">
        <v>31</v>
      </c>
      <c r="B32" s="178" t="s">
        <v>222</v>
      </c>
      <c r="C32">
        <v>0</v>
      </c>
      <c r="D32">
        <v>0</v>
      </c>
    </row>
    <row r="33" spans="1:4" ht="15" customHeight="1" x14ac:dyDescent="0.15">
      <c r="A33">
        <v>32</v>
      </c>
      <c r="B33" s="178" t="s">
        <v>223</v>
      </c>
      <c r="C33">
        <v>0</v>
      </c>
      <c r="D33">
        <v>0</v>
      </c>
    </row>
    <row r="34" spans="1:4" ht="15" customHeight="1" x14ac:dyDescent="0.15"/>
    <row r="35" spans="1:4" ht="15" customHeight="1" x14ac:dyDescent="0.15"/>
    <row r="36" spans="1:4" ht="15" customHeight="1" x14ac:dyDescent="0.15"/>
    <row r="37" spans="1:4" ht="15" customHeight="1" x14ac:dyDescent="0.15"/>
    <row r="38" spans="1:4" ht="15" customHeight="1" x14ac:dyDescent="0.15"/>
    <row r="39" spans="1:4" ht="15" customHeight="1" x14ac:dyDescent="0.15"/>
    <row r="40" spans="1:4" ht="15" customHeight="1" x14ac:dyDescent="0.15"/>
    <row r="41" spans="1:4" ht="15" customHeight="1" x14ac:dyDescent="0.15"/>
    <row r="42" spans="1:4" ht="15" customHeight="1" x14ac:dyDescent="0.15"/>
    <row r="43" spans="1:4" ht="15" customHeight="1" x14ac:dyDescent="0.15"/>
    <row r="44" spans="1:4" ht="15" customHeight="1" x14ac:dyDescent="0.15"/>
    <row r="45" spans="1:4" ht="15" customHeight="1" x14ac:dyDescent="0.15"/>
    <row r="46" spans="1:4" ht="15" customHeight="1" x14ac:dyDescent="0.15"/>
    <row r="47" spans="1:4" ht="15" customHeight="1" x14ac:dyDescent="0.15"/>
    <row r="48" spans="1:4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33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6.6640625" bestFit="1" customWidth="1"/>
    <col min="3" max="4" width="12.83203125" bestFit="1" customWidth="1"/>
    <col min="5" max="5" width="12.1640625" bestFit="1" customWidth="1"/>
  </cols>
  <sheetData>
    <row r="1" spans="1:4" s="108" customFormat="1" ht="112" x14ac:dyDescent="0.15">
      <c r="A1" s="5" t="s">
        <v>22</v>
      </c>
      <c r="B1" s="3" t="s">
        <v>0</v>
      </c>
      <c r="C1" s="181" t="s">
        <v>224</v>
      </c>
      <c r="D1" s="181" t="s">
        <v>228</v>
      </c>
    </row>
    <row r="2" spans="1:4" x14ac:dyDescent="0.15">
      <c r="A2">
        <v>1</v>
      </c>
      <c r="B2" s="180" t="s">
        <v>192</v>
      </c>
      <c r="C2">
        <v>0</v>
      </c>
      <c r="D2">
        <v>0</v>
      </c>
    </row>
    <row r="3" spans="1:4" x14ac:dyDescent="0.15">
      <c r="A3">
        <v>2</v>
      </c>
      <c r="B3" s="180" t="s">
        <v>193</v>
      </c>
      <c r="C3">
        <v>0</v>
      </c>
      <c r="D3">
        <v>0</v>
      </c>
    </row>
    <row r="4" spans="1:4" x14ac:dyDescent="0.15">
      <c r="A4">
        <v>3</v>
      </c>
      <c r="B4" s="180" t="s">
        <v>194</v>
      </c>
      <c r="C4">
        <v>0</v>
      </c>
      <c r="D4">
        <v>0</v>
      </c>
    </row>
    <row r="5" spans="1:4" x14ac:dyDescent="0.15">
      <c r="A5">
        <v>4</v>
      </c>
      <c r="B5" s="180" t="s">
        <v>195</v>
      </c>
      <c r="C5">
        <v>0</v>
      </c>
      <c r="D5">
        <v>0</v>
      </c>
    </row>
    <row r="6" spans="1:4" x14ac:dyDescent="0.15">
      <c r="A6">
        <v>5</v>
      </c>
      <c r="B6" s="180" t="s">
        <v>196</v>
      </c>
      <c r="C6">
        <v>0</v>
      </c>
      <c r="D6">
        <v>0</v>
      </c>
    </row>
    <row r="7" spans="1:4" x14ac:dyDescent="0.15">
      <c r="A7">
        <v>6</v>
      </c>
      <c r="B7" s="180" t="s">
        <v>197</v>
      </c>
      <c r="C7">
        <v>6.3585899999999995E-7</v>
      </c>
      <c r="D7">
        <v>6.3585899999999995E-7</v>
      </c>
    </row>
    <row r="8" spans="1:4" x14ac:dyDescent="0.15">
      <c r="A8">
        <v>7</v>
      </c>
      <c r="B8" s="180" t="s">
        <v>198</v>
      </c>
      <c r="C8">
        <v>0</v>
      </c>
      <c r="D8">
        <v>0</v>
      </c>
    </row>
    <row r="9" spans="1:4" x14ac:dyDescent="0.15">
      <c r="A9">
        <v>8</v>
      </c>
      <c r="B9" s="180" t="s">
        <v>199</v>
      </c>
      <c r="C9">
        <v>1.3491600000000001E-4</v>
      </c>
      <c r="D9">
        <v>1.3491600000000001E-4</v>
      </c>
    </row>
    <row r="10" spans="1:4" x14ac:dyDescent="0.15">
      <c r="A10">
        <v>9</v>
      </c>
      <c r="B10" s="180" t="s">
        <v>200</v>
      </c>
      <c r="C10">
        <v>1.8349700000000002E-5</v>
      </c>
      <c r="D10">
        <v>1.8349700000000002E-5</v>
      </c>
    </row>
    <row r="11" spans="1:4" x14ac:dyDescent="0.15">
      <c r="A11">
        <v>10</v>
      </c>
      <c r="B11" s="180" t="s">
        <v>201</v>
      </c>
      <c r="C11">
        <v>1.88968E-4</v>
      </c>
      <c r="D11">
        <v>1.88968E-4</v>
      </c>
    </row>
    <row r="12" spans="1:4" x14ac:dyDescent="0.15">
      <c r="A12">
        <v>11</v>
      </c>
      <c r="B12" s="180" t="s">
        <v>202</v>
      </c>
      <c r="C12">
        <v>7.2391800000000004E-4</v>
      </c>
      <c r="D12">
        <v>7.2391800000000004E-4</v>
      </c>
    </row>
    <row r="13" spans="1:4" x14ac:dyDescent="0.15">
      <c r="A13">
        <v>12</v>
      </c>
      <c r="B13" s="180" t="s">
        <v>203</v>
      </c>
      <c r="C13">
        <v>3.0167296499999999E-2</v>
      </c>
      <c r="D13">
        <v>3.0167296499999999E-2</v>
      </c>
    </row>
    <row r="14" spans="1:4" x14ac:dyDescent="0.15">
      <c r="A14">
        <v>13</v>
      </c>
      <c r="B14" s="180" t="s">
        <v>204</v>
      </c>
      <c r="C14">
        <v>0.103620164</v>
      </c>
      <c r="D14">
        <v>0.103620164</v>
      </c>
    </row>
    <row r="15" spans="1:4" x14ac:dyDescent="0.15">
      <c r="A15">
        <v>14</v>
      </c>
      <c r="B15" s="180" t="s">
        <v>205</v>
      </c>
      <c r="C15">
        <v>1.94559656E-2</v>
      </c>
      <c r="D15">
        <v>1.94559656E-2</v>
      </c>
    </row>
    <row r="16" spans="1:4" x14ac:dyDescent="0.15">
      <c r="A16">
        <v>15</v>
      </c>
      <c r="B16" s="180" t="s">
        <v>206</v>
      </c>
      <c r="C16">
        <v>2.6540499999999999E-9</v>
      </c>
      <c r="D16">
        <v>2.6540499999999999E-9</v>
      </c>
    </row>
    <row r="17" spans="1:4" x14ac:dyDescent="0.15">
      <c r="A17">
        <v>16</v>
      </c>
      <c r="B17" s="180" t="s">
        <v>207</v>
      </c>
      <c r="C17">
        <v>0.13104021499999999</v>
      </c>
      <c r="D17">
        <v>0.13104021499999999</v>
      </c>
    </row>
    <row r="18" spans="1:4" x14ac:dyDescent="0.15">
      <c r="A18">
        <v>17</v>
      </c>
      <c r="B18" s="180" t="s">
        <v>208</v>
      </c>
      <c r="C18">
        <v>1.5593099999999999E-4</v>
      </c>
      <c r="D18">
        <v>1.5593099999999999E-4</v>
      </c>
    </row>
    <row r="19" spans="1:4" x14ac:dyDescent="0.15">
      <c r="A19">
        <v>18</v>
      </c>
      <c r="B19" s="180" t="s">
        <v>209</v>
      </c>
      <c r="C19">
        <v>5.6167200000000004E-4</v>
      </c>
      <c r="D19">
        <v>5.6167200000000004E-4</v>
      </c>
    </row>
    <row r="20" spans="1:4" x14ac:dyDescent="0.15">
      <c r="A20">
        <v>19</v>
      </c>
      <c r="B20" s="180" t="s">
        <v>210</v>
      </c>
      <c r="C20">
        <v>1.670255E-2</v>
      </c>
      <c r="D20">
        <v>1.670255E-2</v>
      </c>
    </row>
    <row r="21" spans="1:4" x14ac:dyDescent="0.15">
      <c r="A21">
        <v>20</v>
      </c>
      <c r="B21" s="180" t="s">
        <v>211</v>
      </c>
      <c r="C21">
        <v>3.0339270000000001E-3</v>
      </c>
      <c r="D21">
        <v>3.0339270000000001E-3</v>
      </c>
    </row>
    <row r="22" spans="1:4" x14ac:dyDescent="0.15">
      <c r="A22">
        <v>21</v>
      </c>
      <c r="B22" s="180" t="s">
        <v>212</v>
      </c>
      <c r="C22">
        <v>4.2975520000000003E-2</v>
      </c>
      <c r="D22">
        <v>4.2975520000000003E-2</v>
      </c>
    </row>
    <row r="23" spans="1:4" x14ac:dyDescent="0.15">
      <c r="A23">
        <v>22</v>
      </c>
      <c r="B23" s="180" t="s">
        <v>213</v>
      </c>
      <c r="C23">
        <v>2.275245E-3</v>
      </c>
      <c r="D23">
        <v>2.275245E-3</v>
      </c>
    </row>
    <row r="24" spans="1:4" x14ac:dyDescent="0.15">
      <c r="A24">
        <v>23</v>
      </c>
      <c r="B24" s="180" t="s">
        <v>214</v>
      </c>
      <c r="C24">
        <v>9.0352420000000003E-2</v>
      </c>
      <c r="D24">
        <v>9.0352420000000003E-2</v>
      </c>
    </row>
    <row r="25" spans="1:4" x14ac:dyDescent="0.15">
      <c r="A25">
        <v>24</v>
      </c>
      <c r="B25" s="180" t="s">
        <v>215</v>
      </c>
      <c r="C25">
        <v>7.2058599999999995E-5</v>
      </c>
      <c r="D25">
        <v>7.2058599999999995E-5</v>
      </c>
    </row>
    <row r="26" spans="1:4" x14ac:dyDescent="0.15">
      <c r="A26">
        <v>25</v>
      </c>
      <c r="B26" s="180" t="s">
        <v>216</v>
      </c>
      <c r="C26">
        <v>5.4477099999999999E-4</v>
      </c>
      <c r="D26">
        <v>5.4477099999999999E-4</v>
      </c>
    </row>
    <row r="27" spans="1:4" x14ac:dyDescent="0.15">
      <c r="A27">
        <v>26</v>
      </c>
      <c r="B27" s="180" t="s">
        <v>217</v>
      </c>
      <c r="C27">
        <v>1.153961E-3</v>
      </c>
      <c r="D27">
        <v>1.153961E-3</v>
      </c>
    </row>
    <row r="28" spans="1:4" x14ac:dyDescent="0.15">
      <c r="A28">
        <v>27</v>
      </c>
      <c r="B28" s="180" t="s">
        <v>218</v>
      </c>
      <c r="C28">
        <v>4.0526000000000001E-4</v>
      </c>
      <c r="D28">
        <v>4.0526000000000001E-4</v>
      </c>
    </row>
    <row r="29" spans="1:4" x14ac:dyDescent="0.15">
      <c r="A29">
        <v>28</v>
      </c>
      <c r="B29" s="180" t="s">
        <v>219</v>
      </c>
      <c r="C29">
        <v>1.3878499999999999E-4</v>
      </c>
      <c r="D29">
        <v>1.3878499999999999E-4</v>
      </c>
    </row>
    <row r="30" spans="1:4" x14ac:dyDescent="0.15">
      <c r="A30">
        <v>29</v>
      </c>
      <c r="B30" s="180" t="s">
        <v>220</v>
      </c>
      <c r="C30">
        <v>5.8776900000000003E-5</v>
      </c>
      <c r="D30">
        <v>5.8776900000000003E-5</v>
      </c>
    </row>
    <row r="31" spans="1:4" x14ac:dyDescent="0.15">
      <c r="A31">
        <v>30</v>
      </c>
      <c r="B31" s="180" t="s">
        <v>221</v>
      </c>
      <c r="C31">
        <v>0</v>
      </c>
      <c r="D31">
        <v>0</v>
      </c>
    </row>
    <row r="32" spans="1:4" x14ac:dyDescent="0.15">
      <c r="A32">
        <v>31</v>
      </c>
      <c r="B32" s="180" t="s">
        <v>222</v>
      </c>
      <c r="C32">
        <v>0</v>
      </c>
      <c r="D32">
        <v>0</v>
      </c>
    </row>
    <row r="33" spans="1:4" x14ac:dyDescent="0.15">
      <c r="A33">
        <v>32</v>
      </c>
      <c r="B33" s="180" t="s">
        <v>223</v>
      </c>
      <c r="C33">
        <v>0</v>
      </c>
      <c r="D33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36.6640625" bestFit="1" customWidth="1"/>
    <col min="6" max="6" width="4.83203125" bestFit="1" customWidth="1"/>
    <col min="7" max="9" width="3.83203125" bestFit="1" customWidth="1"/>
    <col min="10" max="11" width="4.83203125" style="107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9" customFormat="1" ht="14" thickBot="1" x14ac:dyDescent="0.2">
      <c r="D1" s="110" t="s">
        <v>8</v>
      </c>
      <c r="E1" s="110" t="s">
        <v>0</v>
      </c>
      <c r="F1" s="111" t="s">
        <v>99</v>
      </c>
      <c r="G1" s="112" t="s">
        <v>84</v>
      </c>
      <c r="H1" s="112" t="s">
        <v>85</v>
      </c>
      <c r="I1" s="112" t="s">
        <v>86</v>
      </c>
      <c r="J1" s="112" t="s">
        <v>87</v>
      </c>
      <c r="K1" s="112" t="s">
        <v>88</v>
      </c>
      <c r="L1" s="113" t="s">
        <v>89</v>
      </c>
      <c r="M1" s="113" t="s">
        <v>93</v>
      </c>
      <c r="N1" s="113" t="s">
        <v>92</v>
      </c>
      <c r="O1" s="113" t="s">
        <v>90</v>
      </c>
      <c r="P1" s="113" t="s">
        <v>91</v>
      </c>
      <c r="Q1" s="114" t="s">
        <v>94</v>
      </c>
      <c r="R1" s="114" t="s">
        <v>95</v>
      </c>
      <c r="S1" s="114" t="s">
        <v>96</v>
      </c>
      <c r="T1" s="114" t="s">
        <v>97</v>
      </c>
      <c r="U1" s="114" t="s">
        <v>98</v>
      </c>
      <c r="V1" s="112" t="s">
        <v>100</v>
      </c>
      <c r="W1" s="112" t="s">
        <v>101</v>
      </c>
      <c r="X1" s="112" t="s">
        <v>102</v>
      </c>
      <c r="Y1" s="112" t="s">
        <v>134</v>
      </c>
      <c r="Z1" s="113" t="s">
        <v>103</v>
      </c>
      <c r="AA1" s="113" t="s">
        <v>104</v>
      </c>
      <c r="AB1" s="113" t="s">
        <v>105</v>
      </c>
      <c r="AC1" s="115" t="s">
        <v>135</v>
      </c>
      <c r="AD1" s="114" t="s">
        <v>106</v>
      </c>
      <c r="AE1" s="114" t="s">
        <v>107</v>
      </c>
      <c r="AF1" s="114" t="s">
        <v>108</v>
      </c>
      <c r="AG1" s="114" t="s">
        <v>136</v>
      </c>
      <c r="AH1" s="112" t="s">
        <v>109</v>
      </c>
      <c r="AI1" s="112" t="s">
        <v>111</v>
      </c>
      <c r="AJ1" s="112" t="s">
        <v>110</v>
      </c>
      <c r="AK1" s="113" t="s">
        <v>115</v>
      </c>
      <c r="AL1" s="113" t="s">
        <v>116</v>
      </c>
      <c r="AM1" s="113" t="s">
        <v>117</v>
      </c>
      <c r="AN1" s="114" t="s">
        <v>112</v>
      </c>
      <c r="AO1" s="114" t="s">
        <v>113</v>
      </c>
      <c r="AP1" s="114" t="s">
        <v>114</v>
      </c>
    </row>
    <row r="2" spans="1:42" x14ac:dyDescent="0.15">
      <c r="A2" s="116" t="s">
        <v>74</v>
      </c>
      <c r="B2" s="117">
        <v>1</v>
      </c>
      <c r="D2">
        <v>1</v>
      </c>
      <c r="E2" s="182" t="s">
        <v>192</v>
      </c>
      <c r="F2">
        <v>0.98</v>
      </c>
      <c r="G2">
        <v>0.8</v>
      </c>
      <c r="H2">
        <v>0.8</v>
      </c>
      <c r="I2">
        <v>0</v>
      </c>
      <c r="J2" s="107">
        <v>0</v>
      </c>
      <c r="K2" s="107">
        <v>0</v>
      </c>
    </row>
    <row r="3" spans="1:42" x14ac:dyDescent="0.15">
      <c r="A3" s="116" t="s">
        <v>75</v>
      </c>
      <c r="B3" s="118">
        <v>1</v>
      </c>
      <c r="D3">
        <v>2</v>
      </c>
      <c r="E3" s="182" t="s">
        <v>193</v>
      </c>
      <c r="F3">
        <v>0.98</v>
      </c>
      <c r="G3">
        <v>0.8</v>
      </c>
      <c r="H3">
        <v>0.8</v>
      </c>
      <c r="I3">
        <v>0.8</v>
      </c>
      <c r="J3" s="107">
        <v>0.25</v>
      </c>
      <c r="K3" s="107">
        <v>0.05</v>
      </c>
    </row>
    <row r="4" spans="1:42" x14ac:dyDescent="0.15">
      <c r="A4" s="116" t="s">
        <v>76</v>
      </c>
      <c r="B4" s="118">
        <v>1</v>
      </c>
      <c r="D4">
        <v>3</v>
      </c>
      <c r="E4" s="182" t="s">
        <v>194</v>
      </c>
      <c r="F4">
        <v>0.98</v>
      </c>
      <c r="G4">
        <v>0.8</v>
      </c>
      <c r="H4">
        <v>0.8</v>
      </c>
      <c r="I4">
        <v>0.8</v>
      </c>
      <c r="J4" s="107">
        <v>0.25</v>
      </c>
      <c r="K4" s="107">
        <v>0.05</v>
      </c>
    </row>
    <row r="5" spans="1:42" x14ac:dyDescent="0.15">
      <c r="A5" s="116" t="s">
        <v>77</v>
      </c>
      <c r="B5" s="118">
        <v>1</v>
      </c>
      <c r="D5">
        <v>4</v>
      </c>
      <c r="E5" s="182" t="s">
        <v>195</v>
      </c>
      <c r="F5">
        <v>0.98</v>
      </c>
      <c r="G5">
        <v>0.8</v>
      </c>
      <c r="H5">
        <v>0.8</v>
      </c>
      <c r="I5">
        <v>0.8</v>
      </c>
      <c r="J5" s="107">
        <v>0.25</v>
      </c>
      <c r="K5" s="107">
        <v>0.05</v>
      </c>
    </row>
    <row r="6" spans="1:42" x14ac:dyDescent="0.15">
      <c r="A6" s="116" t="s">
        <v>78</v>
      </c>
      <c r="B6" s="118">
        <v>1</v>
      </c>
      <c r="D6">
        <v>5</v>
      </c>
      <c r="E6" s="182" t="s">
        <v>196</v>
      </c>
      <c r="F6">
        <v>0.98</v>
      </c>
      <c r="G6">
        <v>0.8</v>
      </c>
      <c r="H6">
        <v>0.8</v>
      </c>
      <c r="I6">
        <v>0.8</v>
      </c>
      <c r="J6" s="107">
        <v>0.25</v>
      </c>
      <c r="K6" s="107">
        <v>0.05</v>
      </c>
    </row>
    <row r="7" spans="1:42" x14ac:dyDescent="0.15">
      <c r="A7" s="116" t="s">
        <v>79</v>
      </c>
      <c r="B7" s="118">
        <v>1</v>
      </c>
      <c r="D7">
        <v>6</v>
      </c>
      <c r="E7" s="182" t="s">
        <v>197</v>
      </c>
      <c r="F7">
        <v>0.98</v>
      </c>
      <c r="G7">
        <v>0.8</v>
      </c>
      <c r="H7">
        <v>0.8</v>
      </c>
      <c r="I7">
        <v>0.8</v>
      </c>
      <c r="J7" s="107">
        <v>0.25</v>
      </c>
      <c r="K7" s="107">
        <v>0.05</v>
      </c>
    </row>
    <row r="8" spans="1:42" x14ac:dyDescent="0.15">
      <c r="A8" s="116" t="s">
        <v>80</v>
      </c>
      <c r="B8" s="118">
        <v>1</v>
      </c>
      <c r="D8">
        <v>7</v>
      </c>
      <c r="E8" s="182" t="s">
        <v>198</v>
      </c>
      <c r="F8">
        <v>0.98</v>
      </c>
      <c r="G8">
        <v>0.8</v>
      </c>
      <c r="H8">
        <v>0.8</v>
      </c>
      <c r="I8">
        <v>0.8</v>
      </c>
      <c r="J8" s="107">
        <v>0.25</v>
      </c>
      <c r="K8" s="107">
        <v>0.05</v>
      </c>
    </row>
    <row r="9" spans="1:42" x14ac:dyDescent="0.15">
      <c r="A9" s="116" t="s">
        <v>81</v>
      </c>
      <c r="B9" s="118">
        <v>0.1</v>
      </c>
      <c r="C9" s="59" t="s">
        <v>150</v>
      </c>
      <c r="D9">
        <v>8</v>
      </c>
      <c r="E9" s="182" t="s">
        <v>199</v>
      </c>
      <c r="F9">
        <v>0.98</v>
      </c>
      <c r="G9">
        <v>0.8</v>
      </c>
      <c r="H9">
        <v>0.8</v>
      </c>
      <c r="I9">
        <v>0.8</v>
      </c>
      <c r="J9" s="107">
        <v>0.25</v>
      </c>
      <c r="K9" s="107">
        <v>0.05</v>
      </c>
    </row>
    <row r="10" spans="1:42" ht="14" thickBot="1" x14ac:dyDescent="0.2">
      <c r="A10" s="116" t="s">
        <v>149</v>
      </c>
      <c r="B10" s="119">
        <f>1/3</f>
        <v>0.33333333333333331</v>
      </c>
      <c r="C10" s="59" t="s">
        <v>150</v>
      </c>
      <c r="D10">
        <v>9</v>
      </c>
      <c r="E10" s="182" t="s">
        <v>200</v>
      </c>
      <c r="F10">
        <v>0.98</v>
      </c>
      <c r="G10">
        <v>0.8</v>
      </c>
      <c r="H10">
        <v>0.8</v>
      </c>
      <c r="I10">
        <v>0.8</v>
      </c>
      <c r="J10" s="107">
        <v>0.25</v>
      </c>
      <c r="K10" s="107">
        <v>0.05</v>
      </c>
    </row>
    <row r="11" spans="1:42" x14ac:dyDescent="0.15">
      <c r="D11">
        <v>10</v>
      </c>
      <c r="E11" s="182" t="s">
        <v>201</v>
      </c>
      <c r="F11">
        <v>0.98</v>
      </c>
      <c r="G11">
        <v>0.8</v>
      </c>
      <c r="H11">
        <v>0.8</v>
      </c>
      <c r="I11">
        <v>0.8</v>
      </c>
      <c r="J11" s="107">
        <v>0.25</v>
      </c>
      <c r="K11" s="107">
        <v>0.05</v>
      </c>
    </row>
    <row r="12" spans="1:42" x14ac:dyDescent="0.15">
      <c r="D12">
        <v>11</v>
      </c>
      <c r="E12" s="182" t="s">
        <v>202</v>
      </c>
      <c r="F12">
        <v>0.98</v>
      </c>
      <c r="G12">
        <v>0.8</v>
      </c>
      <c r="H12">
        <v>0.8</v>
      </c>
      <c r="I12">
        <v>0.8</v>
      </c>
      <c r="J12" s="107">
        <v>0.25</v>
      </c>
      <c r="K12" s="107">
        <v>0.05</v>
      </c>
    </row>
    <row r="13" spans="1:42" x14ac:dyDescent="0.15">
      <c r="D13">
        <v>12</v>
      </c>
      <c r="E13" s="182" t="s">
        <v>203</v>
      </c>
      <c r="F13">
        <v>0.98</v>
      </c>
      <c r="G13">
        <v>0.8</v>
      </c>
      <c r="H13">
        <v>0.8</v>
      </c>
      <c r="I13">
        <v>0.8</v>
      </c>
      <c r="J13" s="107">
        <v>0.25</v>
      </c>
      <c r="K13" s="107">
        <v>0.05</v>
      </c>
    </row>
    <row r="14" spans="1:42" x14ac:dyDescent="0.15">
      <c r="D14">
        <v>13</v>
      </c>
      <c r="E14" s="182" t="s">
        <v>204</v>
      </c>
      <c r="F14">
        <v>0.98</v>
      </c>
      <c r="G14">
        <v>0.8</v>
      </c>
      <c r="H14">
        <v>0.8</v>
      </c>
      <c r="I14">
        <v>0.8</v>
      </c>
      <c r="J14" s="107">
        <v>0.25</v>
      </c>
      <c r="K14" s="107">
        <v>0.05</v>
      </c>
    </row>
    <row r="15" spans="1:42" x14ac:dyDescent="0.15">
      <c r="D15">
        <v>14</v>
      </c>
      <c r="E15" s="182" t="s">
        <v>205</v>
      </c>
      <c r="F15">
        <v>0.98</v>
      </c>
      <c r="G15">
        <v>0.8</v>
      </c>
      <c r="H15">
        <v>0.8</v>
      </c>
      <c r="I15">
        <v>0.8</v>
      </c>
      <c r="J15" s="107">
        <v>0.25</v>
      </c>
      <c r="K15" s="107">
        <v>0.05</v>
      </c>
    </row>
    <row r="16" spans="1:42" x14ac:dyDescent="0.15">
      <c r="D16">
        <v>15</v>
      </c>
      <c r="E16" s="182" t="s">
        <v>206</v>
      </c>
      <c r="F16">
        <v>0.98</v>
      </c>
      <c r="G16">
        <v>0.8</v>
      </c>
      <c r="H16">
        <v>0.8</v>
      </c>
      <c r="I16">
        <v>0.8</v>
      </c>
      <c r="J16" s="107">
        <v>0.25</v>
      </c>
      <c r="K16" s="107">
        <v>0.05</v>
      </c>
    </row>
    <row r="17" spans="4:33" ht="15" customHeight="1" x14ac:dyDescent="0.15">
      <c r="D17">
        <v>16</v>
      </c>
      <c r="E17" s="182" t="s">
        <v>207</v>
      </c>
      <c r="F17">
        <v>0.98</v>
      </c>
      <c r="G17">
        <v>0.8</v>
      </c>
      <c r="H17">
        <v>0.8</v>
      </c>
      <c r="I17">
        <v>0.8</v>
      </c>
      <c r="J17" s="107">
        <v>0.25</v>
      </c>
      <c r="K17" s="107">
        <v>0.05</v>
      </c>
    </row>
    <row r="18" spans="4:33" ht="15" customHeight="1" x14ac:dyDescent="0.15">
      <c r="D18">
        <v>17</v>
      </c>
      <c r="E18" s="182" t="s">
        <v>208</v>
      </c>
      <c r="F18">
        <v>0.98</v>
      </c>
      <c r="G18">
        <v>0.8</v>
      </c>
      <c r="H18">
        <v>0.8</v>
      </c>
      <c r="I18">
        <v>0.8</v>
      </c>
      <c r="J18" s="107">
        <v>0.25</v>
      </c>
      <c r="K18" s="107">
        <v>0.05</v>
      </c>
    </row>
    <row r="19" spans="4:33" ht="15" customHeight="1" x14ac:dyDescent="0.15">
      <c r="D19">
        <v>18</v>
      </c>
      <c r="E19" s="182" t="s">
        <v>209</v>
      </c>
      <c r="F19">
        <v>0.98</v>
      </c>
      <c r="G19">
        <v>0.8</v>
      </c>
      <c r="H19">
        <v>0.8</v>
      </c>
      <c r="I19">
        <v>0.8</v>
      </c>
      <c r="J19" s="107">
        <v>0.25</v>
      </c>
      <c r="K19" s="107">
        <v>0.05</v>
      </c>
    </row>
    <row r="20" spans="4:33" ht="15" customHeight="1" x14ac:dyDescent="0.15">
      <c r="D20">
        <v>19</v>
      </c>
      <c r="E20" s="182" t="s">
        <v>210</v>
      </c>
      <c r="F20">
        <v>0.98</v>
      </c>
      <c r="G20">
        <v>0.8</v>
      </c>
      <c r="H20">
        <v>0.8</v>
      </c>
      <c r="I20">
        <v>0.8</v>
      </c>
      <c r="J20" s="107">
        <v>0.25</v>
      </c>
      <c r="K20" s="107">
        <v>0.05</v>
      </c>
    </row>
    <row r="21" spans="4:33" ht="15" customHeight="1" x14ac:dyDescent="0.15">
      <c r="D21">
        <v>20</v>
      </c>
      <c r="E21" s="182" t="s">
        <v>211</v>
      </c>
      <c r="F21">
        <v>0.98</v>
      </c>
      <c r="G21">
        <v>0.8</v>
      </c>
      <c r="H21">
        <v>0.8</v>
      </c>
      <c r="I21">
        <v>0.8</v>
      </c>
      <c r="J21" s="107">
        <v>0.25</v>
      </c>
      <c r="K21" s="107">
        <v>0.05</v>
      </c>
    </row>
    <row r="22" spans="4:33" ht="15" customHeight="1" x14ac:dyDescent="0.15">
      <c r="D22">
        <v>21</v>
      </c>
      <c r="E22" s="182" t="s">
        <v>212</v>
      </c>
      <c r="F22">
        <v>0.98</v>
      </c>
      <c r="G22">
        <v>0.8</v>
      </c>
      <c r="H22">
        <v>0.8</v>
      </c>
      <c r="I22">
        <v>0.8</v>
      </c>
      <c r="J22" s="107">
        <v>0.25</v>
      </c>
      <c r="K22" s="107">
        <v>0.05</v>
      </c>
    </row>
    <row r="23" spans="4:33" ht="15" customHeight="1" x14ac:dyDescent="0.15">
      <c r="D23">
        <v>22</v>
      </c>
      <c r="E23" s="182" t="s">
        <v>213</v>
      </c>
      <c r="F23">
        <v>0.98</v>
      </c>
      <c r="G23">
        <v>0.8</v>
      </c>
      <c r="H23">
        <v>0.8</v>
      </c>
      <c r="I23">
        <v>0.8</v>
      </c>
      <c r="J23" s="107">
        <v>0.25</v>
      </c>
      <c r="K23" s="107">
        <v>0.05</v>
      </c>
    </row>
    <row r="24" spans="4:33" ht="15" customHeight="1" x14ac:dyDescent="0.15">
      <c r="D24">
        <v>23</v>
      </c>
      <c r="E24" s="182" t="s">
        <v>214</v>
      </c>
      <c r="F24">
        <v>0.98</v>
      </c>
      <c r="G24">
        <v>0.8</v>
      </c>
      <c r="H24">
        <v>0.8</v>
      </c>
      <c r="I24">
        <v>0.8</v>
      </c>
      <c r="J24" s="107">
        <v>0.25</v>
      </c>
      <c r="K24" s="107">
        <v>0.05</v>
      </c>
    </row>
    <row r="25" spans="4:33" ht="15" customHeight="1" x14ac:dyDescent="0.15">
      <c r="D25">
        <v>24</v>
      </c>
      <c r="E25" s="182" t="s">
        <v>215</v>
      </c>
      <c r="F25">
        <v>0.98</v>
      </c>
      <c r="G25">
        <v>0.8</v>
      </c>
      <c r="H25">
        <v>0.8</v>
      </c>
      <c r="I25">
        <v>0.8</v>
      </c>
      <c r="J25" s="107">
        <v>0.25</v>
      </c>
      <c r="K25" s="107">
        <v>0.05</v>
      </c>
    </row>
    <row r="26" spans="4:33" ht="15" customHeight="1" x14ac:dyDescent="0.15">
      <c r="D26">
        <v>25</v>
      </c>
      <c r="E26" s="182" t="s">
        <v>216</v>
      </c>
      <c r="F26">
        <v>0.98</v>
      </c>
      <c r="G26">
        <v>0.8</v>
      </c>
      <c r="H26">
        <v>0.8</v>
      </c>
      <c r="I26">
        <v>0.8</v>
      </c>
      <c r="J26" s="107">
        <v>0.25</v>
      </c>
      <c r="K26" s="107">
        <v>0.05</v>
      </c>
    </row>
    <row r="27" spans="4:33" ht="15" customHeight="1" x14ac:dyDescent="0.15">
      <c r="D27">
        <v>26</v>
      </c>
      <c r="E27" s="182" t="s">
        <v>217</v>
      </c>
      <c r="F27">
        <v>0.98</v>
      </c>
      <c r="G27">
        <v>0.8</v>
      </c>
      <c r="H27">
        <v>0.8</v>
      </c>
      <c r="I27">
        <v>0.8</v>
      </c>
      <c r="J27" s="107">
        <v>0.25</v>
      </c>
      <c r="K27" s="107">
        <v>0.05</v>
      </c>
    </row>
    <row r="28" spans="4:33" ht="15" customHeight="1" x14ac:dyDescent="0.15">
      <c r="D28">
        <v>27</v>
      </c>
      <c r="E28" s="182" t="s">
        <v>218</v>
      </c>
      <c r="F28">
        <v>0.98</v>
      </c>
      <c r="G28">
        <v>0.8</v>
      </c>
      <c r="H28">
        <v>0.8</v>
      </c>
      <c r="I28">
        <v>0.8</v>
      </c>
      <c r="J28" s="107">
        <v>0.25</v>
      </c>
      <c r="K28" s="107">
        <v>0.05</v>
      </c>
    </row>
    <row r="29" spans="4:33" ht="15" customHeight="1" x14ac:dyDescent="0.15">
      <c r="D29">
        <v>28</v>
      </c>
      <c r="E29" s="182" t="s">
        <v>219</v>
      </c>
      <c r="F29">
        <v>0.98</v>
      </c>
      <c r="G29">
        <v>0.8</v>
      </c>
      <c r="H29">
        <v>0.8</v>
      </c>
      <c r="I29">
        <v>0.8</v>
      </c>
      <c r="J29" s="107">
        <v>0.25</v>
      </c>
      <c r="K29" s="107">
        <v>0.05</v>
      </c>
      <c r="Y29"/>
      <c r="AC29"/>
      <c r="AG29"/>
    </row>
    <row r="30" spans="4:33" ht="15" customHeight="1" x14ac:dyDescent="0.15">
      <c r="D30">
        <v>29</v>
      </c>
      <c r="E30" s="182" t="s">
        <v>220</v>
      </c>
      <c r="F30">
        <v>0.98</v>
      </c>
      <c r="G30">
        <v>0.8</v>
      </c>
      <c r="H30">
        <v>0.8</v>
      </c>
      <c r="I30">
        <v>0.8</v>
      </c>
      <c r="J30" s="107">
        <v>0.25</v>
      </c>
      <c r="K30" s="107">
        <v>0.05</v>
      </c>
      <c r="Y30"/>
      <c r="AC30"/>
      <c r="AG30"/>
    </row>
    <row r="31" spans="4:33" ht="15" customHeight="1" x14ac:dyDescent="0.15">
      <c r="D31">
        <v>30</v>
      </c>
      <c r="E31" s="182" t="s">
        <v>221</v>
      </c>
      <c r="F31">
        <v>0.98</v>
      </c>
      <c r="G31">
        <v>0.8</v>
      </c>
      <c r="H31">
        <v>0</v>
      </c>
      <c r="I31">
        <v>0</v>
      </c>
      <c r="J31" s="107">
        <v>0</v>
      </c>
      <c r="K31" s="107">
        <v>0</v>
      </c>
      <c r="Y31"/>
      <c r="AC31"/>
      <c r="AG31"/>
    </row>
    <row r="32" spans="4:33" ht="15" customHeight="1" x14ac:dyDescent="0.15">
      <c r="D32">
        <v>31</v>
      </c>
      <c r="E32" s="182" t="s">
        <v>222</v>
      </c>
      <c r="F32">
        <v>0.98</v>
      </c>
      <c r="G32">
        <v>0.8</v>
      </c>
      <c r="H32">
        <v>0</v>
      </c>
      <c r="I32">
        <v>0</v>
      </c>
      <c r="J32" s="107">
        <v>0</v>
      </c>
      <c r="K32" s="107">
        <v>0</v>
      </c>
      <c r="Y32"/>
      <c r="AC32"/>
      <c r="AG32"/>
    </row>
    <row r="33" spans="4:33" ht="15" customHeight="1" x14ac:dyDescent="0.15">
      <c r="D33">
        <v>32</v>
      </c>
      <c r="E33" s="182" t="s">
        <v>223</v>
      </c>
      <c r="F33">
        <v>0.98</v>
      </c>
      <c r="G33">
        <v>0.8</v>
      </c>
      <c r="H33">
        <v>0</v>
      </c>
      <c r="I33">
        <v>0</v>
      </c>
      <c r="J33" s="107">
        <v>0</v>
      </c>
      <c r="K33" s="107">
        <v>0</v>
      </c>
      <c r="Y33"/>
      <c r="AC33"/>
      <c r="AG33"/>
    </row>
    <row r="34" spans="4:33" ht="15" customHeight="1" x14ac:dyDescent="0.15">
      <c r="J34"/>
      <c r="K34"/>
      <c r="Y34"/>
      <c r="AC34"/>
      <c r="AG34"/>
    </row>
    <row r="35" spans="4:33" ht="15" customHeight="1" x14ac:dyDescent="0.15">
      <c r="J35"/>
      <c r="K35"/>
      <c r="Y35"/>
      <c r="AC35"/>
      <c r="AG35"/>
    </row>
    <row r="36" spans="4:33" ht="15" customHeight="1" x14ac:dyDescent="0.15">
      <c r="J36"/>
      <c r="K36"/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G34"/>
  <sheetViews>
    <sheetView workbookViewId="0">
      <selection activeCell="A3" sqref="A3"/>
    </sheetView>
  </sheetViews>
  <sheetFormatPr baseColWidth="10" defaultRowHeight="13" x14ac:dyDescent="0.15"/>
  <cols>
    <col min="1" max="1" width="36.6640625" style="104" bestFit="1" customWidth="1"/>
    <col min="2" max="2" width="2.33203125" style="104" customWidth="1"/>
    <col min="3" max="30" width="3.83203125" style="104" customWidth="1"/>
    <col min="31" max="33" width="2.33203125" style="104" customWidth="1"/>
    <col min="34" max="16384" width="10.83203125" style="104"/>
  </cols>
  <sheetData>
    <row r="1" spans="1:33" x14ac:dyDescent="0.15">
      <c r="A1" s="61" t="s">
        <v>118</v>
      </c>
      <c r="B1" s="184" t="s">
        <v>192</v>
      </c>
      <c r="C1" s="184" t="s">
        <v>193</v>
      </c>
      <c r="D1" s="184" t="s">
        <v>194</v>
      </c>
      <c r="E1" s="184" t="s">
        <v>195</v>
      </c>
      <c r="F1" s="184" t="s">
        <v>196</v>
      </c>
      <c r="G1" s="184" t="s">
        <v>197</v>
      </c>
      <c r="H1" s="184" t="s">
        <v>198</v>
      </c>
      <c r="I1" s="184" t="s">
        <v>199</v>
      </c>
      <c r="J1" s="184" t="s">
        <v>200</v>
      </c>
      <c r="K1" s="184" t="s">
        <v>201</v>
      </c>
      <c r="L1" s="184" t="s">
        <v>202</v>
      </c>
      <c r="M1" s="184" t="s">
        <v>203</v>
      </c>
      <c r="N1" s="184" t="s">
        <v>204</v>
      </c>
      <c r="O1" s="184" t="s">
        <v>205</v>
      </c>
      <c r="P1" s="184" t="s">
        <v>206</v>
      </c>
      <c r="Q1" s="184" t="s">
        <v>207</v>
      </c>
      <c r="R1" s="184" t="s">
        <v>208</v>
      </c>
      <c r="S1" s="184" t="s">
        <v>209</v>
      </c>
      <c r="T1" s="184" t="s">
        <v>210</v>
      </c>
      <c r="U1" s="184" t="s">
        <v>211</v>
      </c>
      <c r="V1" s="184" t="s">
        <v>212</v>
      </c>
      <c r="W1" s="184" t="s">
        <v>213</v>
      </c>
      <c r="X1" s="184" t="s">
        <v>214</v>
      </c>
      <c r="Y1" s="184" t="s">
        <v>215</v>
      </c>
      <c r="Z1" s="184" t="s">
        <v>216</v>
      </c>
      <c r="AA1" s="184" t="s">
        <v>217</v>
      </c>
      <c r="AB1" s="184" t="s">
        <v>218</v>
      </c>
      <c r="AC1" s="184" t="s">
        <v>219</v>
      </c>
      <c r="AD1" s="184" t="s">
        <v>220</v>
      </c>
      <c r="AE1" s="184" t="s">
        <v>221</v>
      </c>
      <c r="AF1" s="184" t="s">
        <v>222</v>
      </c>
      <c r="AG1" s="184" t="s">
        <v>223</v>
      </c>
    </row>
    <row r="2" spans="1:33" customFormat="1" x14ac:dyDescent="0.15">
      <c r="A2" s="183" t="s">
        <v>192</v>
      </c>
      <c r="B2" s="104">
        <v>0</v>
      </c>
      <c r="C2" s="104">
        <v>0.8</v>
      </c>
      <c r="D2" s="104">
        <v>0.8</v>
      </c>
      <c r="E2" s="104">
        <v>0.8</v>
      </c>
      <c r="F2" s="104">
        <v>0.8</v>
      </c>
      <c r="G2" s="104">
        <v>0.8</v>
      </c>
      <c r="H2" s="104">
        <v>0.8</v>
      </c>
      <c r="I2" s="104">
        <v>0.8</v>
      </c>
      <c r="J2" s="104">
        <v>0.8</v>
      </c>
      <c r="K2" s="104">
        <v>0.8</v>
      </c>
      <c r="L2" s="104">
        <v>0.8</v>
      </c>
      <c r="M2" s="104">
        <v>0.8</v>
      </c>
      <c r="N2" s="104">
        <v>0</v>
      </c>
      <c r="O2" s="104">
        <v>0.8</v>
      </c>
      <c r="P2" s="104">
        <v>0.8</v>
      </c>
      <c r="Q2" s="104">
        <v>0.8</v>
      </c>
      <c r="R2" s="104">
        <v>0.8</v>
      </c>
      <c r="S2" s="104">
        <v>0</v>
      </c>
      <c r="T2" s="104">
        <v>0.8</v>
      </c>
      <c r="U2" s="104">
        <v>0</v>
      </c>
      <c r="V2" s="104">
        <v>0</v>
      </c>
      <c r="W2" s="104">
        <v>0</v>
      </c>
      <c r="X2" s="104">
        <v>0</v>
      </c>
      <c r="Y2" s="104">
        <v>0</v>
      </c>
      <c r="Z2" s="104">
        <v>0</v>
      </c>
      <c r="AA2" s="104">
        <v>0</v>
      </c>
      <c r="AB2" s="104">
        <v>0</v>
      </c>
      <c r="AC2" s="104">
        <v>0</v>
      </c>
      <c r="AD2" s="104">
        <v>0</v>
      </c>
      <c r="AE2" s="104">
        <v>0</v>
      </c>
      <c r="AF2" s="104">
        <v>0</v>
      </c>
      <c r="AG2" s="104">
        <v>0</v>
      </c>
    </row>
    <row r="3" spans="1:33" customFormat="1" x14ac:dyDescent="0.15">
      <c r="A3" s="183" t="s">
        <v>193</v>
      </c>
      <c r="B3" s="104">
        <v>0</v>
      </c>
      <c r="C3" s="104">
        <v>0</v>
      </c>
      <c r="D3" s="104">
        <v>0.8</v>
      </c>
      <c r="E3" s="104">
        <v>0</v>
      </c>
      <c r="F3" s="104">
        <v>0</v>
      </c>
      <c r="G3" s="104">
        <v>0.8</v>
      </c>
      <c r="H3" s="104">
        <v>0</v>
      </c>
      <c r="I3" s="104">
        <v>0.8</v>
      </c>
      <c r="J3" s="104">
        <v>0.8</v>
      </c>
      <c r="K3" s="104">
        <v>0.8</v>
      </c>
      <c r="L3" s="104">
        <v>0.8</v>
      </c>
      <c r="M3" s="104">
        <v>0.8</v>
      </c>
      <c r="N3" s="104">
        <v>0.8</v>
      </c>
      <c r="O3" s="104">
        <v>0.8</v>
      </c>
      <c r="P3" s="104">
        <v>0</v>
      </c>
      <c r="Q3" s="104">
        <v>0</v>
      </c>
      <c r="R3" s="104">
        <v>0</v>
      </c>
      <c r="S3" s="104">
        <v>0</v>
      </c>
      <c r="T3" s="104">
        <v>0</v>
      </c>
      <c r="U3" s="104">
        <v>0</v>
      </c>
      <c r="V3" s="104">
        <v>0</v>
      </c>
      <c r="W3" s="104">
        <v>0</v>
      </c>
      <c r="X3" s="104">
        <v>0</v>
      </c>
      <c r="Y3" s="104">
        <v>0</v>
      </c>
      <c r="Z3" s="104">
        <v>0</v>
      </c>
      <c r="AA3" s="104">
        <v>0</v>
      </c>
      <c r="AB3" s="104">
        <v>0</v>
      </c>
      <c r="AC3" s="104">
        <v>0</v>
      </c>
      <c r="AD3" s="104">
        <v>0</v>
      </c>
      <c r="AE3" s="104">
        <v>0</v>
      </c>
      <c r="AF3" s="104">
        <v>0</v>
      </c>
      <c r="AG3" s="104">
        <v>0</v>
      </c>
    </row>
    <row r="4" spans="1:33" customFormat="1" x14ac:dyDescent="0.15">
      <c r="A4" s="183" t="s">
        <v>194</v>
      </c>
      <c r="B4" s="104">
        <v>0</v>
      </c>
      <c r="C4" s="104">
        <v>0</v>
      </c>
      <c r="D4" s="104">
        <v>0.8</v>
      </c>
      <c r="E4" s="104">
        <v>0.8</v>
      </c>
      <c r="F4" s="104">
        <v>0.8</v>
      </c>
      <c r="G4" s="104">
        <v>0.8</v>
      </c>
      <c r="H4" s="104">
        <v>0</v>
      </c>
      <c r="I4" s="104">
        <v>0</v>
      </c>
      <c r="J4" s="104">
        <v>0</v>
      </c>
      <c r="K4" s="104">
        <v>0</v>
      </c>
      <c r="L4" s="104">
        <v>0</v>
      </c>
      <c r="M4" s="104">
        <v>0</v>
      </c>
      <c r="N4" s="104">
        <v>0</v>
      </c>
      <c r="O4" s="104">
        <v>0</v>
      </c>
      <c r="P4" s="104">
        <v>0</v>
      </c>
      <c r="Q4" s="104">
        <v>0</v>
      </c>
      <c r="R4" s="104">
        <v>0</v>
      </c>
      <c r="S4" s="104">
        <v>0</v>
      </c>
      <c r="T4" s="104">
        <v>0</v>
      </c>
      <c r="U4" s="104">
        <v>0</v>
      </c>
      <c r="V4" s="104">
        <v>0</v>
      </c>
      <c r="W4" s="104">
        <v>0</v>
      </c>
      <c r="X4" s="104">
        <v>0</v>
      </c>
      <c r="Y4" s="104">
        <v>0</v>
      </c>
      <c r="Z4" s="104">
        <v>0</v>
      </c>
      <c r="AA4" s="104">
        <v>0</v>
      </c>
      <c r="AB4" s="104">
        <v>0</v>
      </c>
      <c r="AC4" s="104">
        <v>0</v>
      </c>
      <c r="AD4" s="104">
        <v>0</v>
      </c>
      <c r="AE4" s="104">
        <v>0</v>
      </c>
      <c r="AF4" s="104">
        <v>0</v>
      </c>
      <c r="AG4" s="104">
        <v>0</v>
      </c>
    </row>
    <row r="5" spans="1:33" customFormat="1" x14ac:dyDescent="0.15">
      <c r="A5" s="183" t="s">
        <v>195</v>
      </c>
      <c r="B5" s="104">
        <v>0</v>
      </c>
      <c r="C5" s="104">
        <v>0</v>
      </c>
      <c r="D5" s="104">
        <v>0</v>
      </c>
      <c r="E5" s="104">
        <v>0.8</v>
      </c>
      <c r="F5" s="104">
        <v>0.8</v>
      </c>
      <c r="G5" s="104">
        <v>0.8</v>
      </c>
      <c r="H5" s="104">
        <v>0.8</v>
      </c>
      <c r="I5" s="104">
        <v>0</v>
      </c>
      <c r="J5" s="104">
        <v>0.8</v>
      </c>
      <c r="K5" s="104">
        <v>0</v>
      </c>
      <c r="L5" s="104">
        <v>0</v>
      </c>
      <c r="M5" s="104">
        <v>0</v>
      </c>
      <c r="N5" s="104">
        <v>0</v>
      </c>
      <c r="O5" s="104">
        <v>0</v>
      </c>
      <c r="P5" s="104">
        <v>0.8</v>
      </c>
      <c r="Q5" s="104">
        <v>0.8</v>
      </c>
      <c r="R5" s="104">
        <v>0.8</v>
      </c>
      <c r="S5" s="104">
        <v>0</v>
      </c>
      <c r="T5" s="104">
        <v>0.8</v>
      </c>
      <c r="U5" s="104">
        <v>0</v>
      </c>
      <c r="V5" s="104">
        <v>0</v>
      </c>
      <c r="W5" s="104">
        <v>0</v>
      </c>
      <c r="X5" s="104">
        <v>0</v>
      </c>
      <c r="Y5" s="104">
        <v>0</v>
      </c>
      <c r="Z5" s="104">
        <v>0</v>
      </c>
      <c r="AA5" s="104">
        <v>0</v>
      </c>
      <c r="AB5" s="104">
        <v>0.8</v>
      </c>
      <c r="AC5" s="104">
        <v>0</v>
      </c>
      <c r="AD5" s="104">
        <v>0</v>
      </c>
      <c r="AE5" s="104">
        <v>0</v>
      </c>
      <c r="AF5" s="104">
        <v>0</v>
      </c>
      <c r="AG5" s="104">
        <v>0</v>
      </c>
    </row>
    <row r="6" spans="1:33" customFormat="1" x14ac:dyDescent="0.15">
      <c r="A6" s="183" t="s">
        <v>196</v>
      </c>
      <c r="B6" s="104">
        <v>0</v>
      </c>
      <c r="C6" s="104">
        <v>0</v>
      </c>
      <c r="D6" s="104">
        <v>0</v>
      </c>
      <c r="E6" s="104">
        <v>0</v>
      </c>
      <c r="F6" s="104">
        <v>0.8</v>
      </c>
      <c r="G6" s="104">
        <v>0.8</v>
      </c>
      <c r="H6" s="104">
        <v>0.8</v>
      </c>
      <c r="I6" s="104">
        <v>0</v>
      </c>
      <c r="J6" s="104">
        <v>0.8</v>
      </c>
      <c r="K6" s="104">
        <v>0</v>
      </c>
      <c r="L6" s="104">
        <v>0</v>
      </c>
      <c r="M6" s="104">
        <v>0</v>
      </c>
      <c r="N6" s="104">
        <v>0</v>
      </c>
      <c r="O6" s="104">
        <v>0</v>
      </c>
      <c r="P6" s="104">
        <v>0.8</v>
      </c>
      <c r="Q6" s="104">
        <v>0.8</v>
      </c>
      <c r="R6" s="104">
        <v>0.8</v>
      </c>
      <c r="S6" s="104">
        <v>0.8</v>
      </c>
      <c r="T6" s="104">
        <v>0.8</v>
      </c>
      <c r="U6" s="104">
        <v>0</v>
      </c>
      <c r="V6" s="104">
        <v>0</v>
      </c>
      <c r="W6" s="104">
        <v>0</v>
      </c>
      <c r="X6" s="104">
        <v>0</v>
      </c>
      <c r="Y6" s="104">
        <v>0.8</v>
      </c>
      <c r="Z6" s="104">
        <v>0</v>
      </c>
      <c r="AA6" s="104">
        <v>0</v>
      </c>
      <c r="AB6" s="104">
        <v>0.8</v>
      </c>
      <c r="AC6" s="104">
        <v>0</v>
      </c>
      <c r="AD6" s="104">
        <v>0.8</v>
      </c>
      <c r="AE6" s="104">
        <v>0</v>
      </c>
      <c r="AF6" s="104">
        <v>0</v>
      </c>
      <c r="AG6" s="104">
        <v>0</v>
      </c>
    </row>
    <row r="7" spans="1:33" customFormat="1" x14ac:dyDescent="0.15">
      <c r="A7" s="183" t="s">
        <v>197</v>
      </c>
      <c r="B7" s="104">
        <v>0</v>
      </c>
      <c r="C7" s="104">
        <v>0</v>
      </c>
      <c r="D7" s="104">
        <v>0</v>
      </c>
      <c r="E7" s="104">
        <v>0</v>
      </c>
      <c r="F7" s="104">
        <v>0.8</v>
      </c>
      <c r="G7" s="104">
        <v>0.8</v>
      </c>
      <c r="H7" s="104">
        <v>0</v>
      </c>
      <c r="I7" s="104">
        <v>0</v>
      </c>
      <c r="J7" s="104">
        <v>0</v>
      </c>
      <c r="K7" s="104">
        <v>0</v>
      </c>
      <c r="L7" s="104">
        <v>0</v>
      </c>
      <c r="M7" s="104">
        <v>0</v>
      </c>
      <c r="N7" s="104">
        <v>0</v>
      </c>
      <c r="O7" s="104">
        <v>0</v>
      </c>
      <c r="P7" s="104">
        <v>0</v>
      </c>
      <c r="Q7" s="104">
        <v>0.8</v>
      </c>
      <c r="R7" s="104">
        <v>0.8</v>
      </c>
      <c r="S7" s="104">
        <v>0</v>
      </c>
      <c r="T7" s="104">
        <v>0</v>
      </c>
      <c r="U7" s="104">
        <v>0.8</v>
      </c>
      <c r="V7" s="104">
        <v>0.8</v>
      </c>
      <c r="W7" s="104">
        <v>0.8</v>
      </c>
      <c r="X7" s="104">
        <v>0.8</v>
      </c>
      <c r="Y7" s="104">
        <v>0</v>
      </c>
      <c r="Z7" s="104">
        <v>0.8</v>
      </c>
      <c r="AA7" s="104">
        <v>0</v>
      </c>
      <c r="AB7" s="104">
        <v>0.8</v>
      </c>
      <c r="AC7" s="104">
        <v>0.8</v>
      </c>
      <c r="AD7" s="104">
        <v>0</v>
      </c>
      <c r="AE7" s="104">
        <v>0</v>
      </c>
      <c r="AF7" s="104">
        <v>0</v>
      </c>
      <c r="AG7" s="104">
        <v>0</v>
      </c>
    </row>
    <row r="8" spans="1:33" customFormat="1" x14ac:dyDescent="0.15">
      <c r="A8" s="183" t="s">
        <v>198</v>
      </c>
      <c r="B8" s="104">
        <v>0</v>
      </c>
      <c r="C8" s="104">
        <v>0</v>
      </c>
      <c r="D8" s="104">
        <v>0</v>
      </c>
      <c r="E8" s="104">
        <v>0</v>
      </c>
      <c r="F8" s="104">
        <v>0</v>
      </c>
      <c r="G8" s="104">
        <v>0</v>
      </c>
      <c r="H8" s="104">
        <v>0.8</v>
      </c>
      <c r="I8" s="104">
        <v>0.8</v>
      </c>
      <c r="J8" s="104">
        <v>0.8</v>
      </c>
      <c r="K8" s="104">
        <v>0.8</v>
      </c>
      <c r="L8" s="104">
        <v>0.8</v>
      </c>
      <c r="M8" s="104">
        <v>0</v>
      </c>
      <c r="N8" s="104">
        <v>0</v>
      </c>
      <c r="O8" s="104">
        <v>0.8</v>
      </c>
      <c r="P8" s="104">
        <v>0.8</v>
      </c>
      <c r="Q8" s="104">
        <v>0.8</v>
      </c>
      <c r="R8" s="104">
        <v>0.8</v>
      </c>
      <c r="S8" s="104">
        <v>0.8</v>
      </c>
      <c r="T8" s="104">
        <v>0.8</v>
      </c>
      <c r="U8" s="104">
        <v>0</v>
      </c>
      <c r="V8" s="104">
        <v>0.8</v>
      </c>
      <c r="W8" s="104">
        <v>0.8</v>
      </c>
      <c r="X8" s="104">
        <v>0.8</v>
      </c>
      <c r="Y8" s="104">
        <v>0</v>
      </c>
      <c r="Z8" s="104">
        <v>0</v>
      </c>
      <c r="AA8" s="104">
        <v>0.8</v>
      </c>
      <c r="AB8" s="104">
        <v>0.8</v>
      </c>
      <c r="AC8" s="104">
        <v>0.8</v>
      </c>
      <c r="AD8" s="104">
        <v>0.8</v>
      </c>
      <c r="AE8" s="104">
        <v>0</v>
      </c>
      <c r="AF8" s="104">
        <v>0</v>
      </c>
      <c r="AG8" s="104">
        <v>0</v>
      </c>
    </row>
    <row r="9" spans="1:33" customFormat="1" x14ac:dyDescent="0.15">
      <c r="A9" s="183" t="s">
        <v>199</v>
      </c>
      <c r="B9" s="104">
        <v>0</v>
      </c>
      <c r="C9" s="104">
        <v>0</v>
      </c>
      <c r="D9" s="104">
        <v>0</v>
      </c>
      <c r="E9" s="104">
        <v>0</v>
      </c>
      <c r="F9" s="104">
        <v>0</v>
      </c>
      <c r="G9" s="104">
        <v>0</v>
      </c>
      <c r="H9" s="104">
        <v>0</v>
      </c>
      <c r="I9" s="104">
        <v>0.8</v>
      </c>
      <c r="J9" s="104">
        <v>0.8</v>
      </c>
      <c r="K9" s="104">
        <v>0</v>
      </c>
      <c r="L9" s="104">
        <v>0.8</v>
      </c>
      <c r="M9" s="104">
        <v>0</v>
      </c>
      <c r="N9" s="104">
        <v>0.8</v>
      </c>
      <c r="O9" s="104">
        <v>0</v>
      </c>
      <c r="P9" s="104">
        <v>0.8</v>
      </c>
      <c r="Q9" s="104">
        <v>0.8</v>
      </c>
      <c r="R9" s="104">
        <v>0</v>
      </c>
      <c r="S9" s="104">
        <v>0</v>
      </c>
      <c r="T9" s="104">
        <v>0.8</v>
      </c>
      <c r="U9" s="104">
        <v>0</v>
      </c>
      <c r="V9" s="104">
        <v>0.8</v>
      </c>
      <c r="W9" s="104">
        <v>0.8</v>
      </c>
      <c r="X9" s="104">
        <v>0.8</v>
      </c>
      <c r="Y9" s="104">
        <v>0</v>
      </c>
      <c r="Z9" s="104">
        <v>0</v>
      </c>
      <c r="AA9" s="104">
        <v>0</v>
      </c>
      <c r="AB9" s="104">
        <v>0</v>
      </c>
      <c r="AC9" s="104">
        <v>0</v>
      </c>
      <c r="AD9" s="104">
        <v>0</v>
      </c>
      <c r="AE9" s="104">
        <v>0</v>
      </c>
      <c r="AF9" s="104">
        <v>0</v>
      </c>
      <c r="AG9" s="104">
        <v>0</v>
      </c>
    </row>
    <row r="10" spans="1:33" customFormat="1" x14ac:dyDescent="0.15">
      <c r="A10" s="183" t="s">
        <v>200</v>
      </c>
      <c r="B10" s="104">
        <v>0</v>
      </c>
      <c r="C10" s="104">
        <v>0</v>
      </c>
      <c r="D10" s="104">
        <v>0</v>
      </c>
      <c r="E10" s="104">
        <v>0</v>
      </c>
      <c r="F10" s="104">
        <v>0.8</v>
      </c>
      <c r="G10" s="104">
        <v>0</v>
      </c>
      <c r="H10" s="104">
        <v>0</v>
      </c>
      <c r="I10" s="104">
        <v>0.8</v>
      </c>
      <c r="J10" s="104">
        <v>0.8</v>
      </c>
      <c r="K10" s="104">
        <v>0</v>
      </c>
      <c r="L10" s="104">
        <v>0.8</v>
      </c>
      <c r="M10" s="104">
        <v>0</v>
      </c>
      <c r="N10" s="104">
        <v>0.8</v>
      </c>
      <c r="O10" s="104">
        <v>0.8</v>
      </c>
      <c r="P10" s="104">
        <v>0.8</v>
      </c>
      <c r="Q10" s="104">
        <v>0.8</v>
      </c>
      <c r="R10" s="104">
        <v>0.8</v>
      </c>
      <c r="S10" s="104">
        <v>0.8</v>
      </c>
      <c r="T10" s="104">
        <v>0.8</v>
      </c>
      <c r="U10" s="104">
        <v>0.8</v>
      </c>
      <c r="V10" s="104">
        <v>0.8</v>
      </c>
      <c r="W10" s="104">
        <v>0.8</v>
      </c>
      <c r="X10" s="104">
        <v>0.8</v>
      </c>
      <c r="Y10" s="104">
        <v>0.8</v>
      </c>
      <c r="Z10" s="104">
        <v>0</v>
      </c>
      <c r="AA10" s="104">
        <v>0</v>
      </c>
      <c r="AB10" s="104">
        <v>0.8</v>
      </c>
      <c r="AC10" s="104">
        <v>0</v>
      </c>
      <c r="AD10" s="104">
        <v>0</v>
      </c>
      <c r="AE10" s="104">
        <v>0</v>
      </c>
      <c r="AF10" s="104">
        <v>0</v>
      </c>
      <c r="AG10" s="104">
        <v>0</v>
      </c>
    </row>
    <row r="11" spans="1:33" customFormat="1" x14ac:dyDescent="0.15">
      <c r="A11" s="183" t="s">
        <v>201</v>
      </c>
      <c r="B11" s="104">
        <v>0</v>
      </c>
      <c r="C11" s="104">
        <v>0</v>
      </c>
      <c r="D11" s="104">
        <v>0</v>
      </c>
      <c r="E11" s="104">
        <v>0</v>
      </c>
      <c r="F11" s="104">
        <v>0</v>
      </c>
      <c r="G11" s="104">
        <v>0</v>
      </c>
      <c r="H11" s="104">
        <v>0</v>
      </c>
      <c r="I11" s="104">
        <v>0.8</v>
      </c>
      <c r="J11" s="104">
        <v>0.8</v>
      </c>
      <c r="K11" s="104">
        <v>0.8</v>
      </c>
      <c r="L11" s="104">
        <v>0.8</v>
      </c>
      <c r="M11" s="104">
        <v>0</v>
      </c>
      <c r="N11" s="104">
        <v>0.8</v>
      </c>
      <c r="O11" s="104">
        <v>0</v>
      </c>
      <c r="P11" s="104">
        <v>0.8</v>
      </c>
      <c r="Q11" s="104">
        <v>0.8</v>
      </c>
      <c r="R11" s="104">
        <v>0.8</v>
      </c>
      <c r="S11" s="104">
        <v>0</v>
      </c>
      <c r="T11" s="104">
        <v>0</v>
      </c>
      <c r="U11" s="104">
        <v>0</v>
      </c>
      <c r="V11" s="104">
        <v>0.8</v>
      </c>
      <c r="W11" s="104">
        <v>0.8</v>
      </c>
      <c r="X11" s="104">
        <v>0.8</v>
      </c>
      <c r="Y11" s="104">
        <v>0</v>
      </c>
      <c r="Z11" s="104">
        <v>0</v>
      </c>
      <c r="AA11" s="104">
        <v>0</v>
      </c>
      <c r="AB11" s="104">
        <v>0.8</v>
      </c>
      <c r="AC11" s="104">
        <v>0</v>
      </c>
      <c r="AD11" s="104">
        <v>0</v>
      </c>
      <c r="AE11" s="104">
        <v>0</v>
      </c>
      <c r="AF11" s="104">
        <v>0</v>
      </c>
      <c r="AG11" s="104">
        <v>0</v>
      </c>
    </row>
    <row r="12" spans="1:33" customFormat="1" x14ac:dyDescent="0.15">
      <c r="A12" s="183" t="s">
        <v>202</v>
      </c>
      <c r="B12" s="104">
        <v>0</v>
      </c>
      <c r="C12" s="104">
        <v>0</v>
      </c>
      <c r="D12" s="104">
        <v>0</v>
      </c>
      <c r="E12" s="104">
        <v>0</v>
      </c>
      <c r="F12" s="104">
        <v>0.8</v>
      </c>
      <c r="G12" s="104">
        <v>0</v>
      </c>
      <c r="H12" s="104">
        <v>0</v>
      </c>
      <c r="I12" s="104">
        <v>0.8</v>
      </c>
      <c r="J12" s="104">
        <v>0.8</v>
      </c>
      <c r="K12" s="104">
        <v>0.8</v>
      </c>
      <c r="L12" s="104">
        <v>0.8</v>
      </c>
      <c r="M12" s="104">
        <v>0</v>
      </c>
      <c r="N12" s="104">
        <v>0.8</v>
      </c>
      <c r="O12" s="104">
        <v>0.8</v>
      </c>
      <c r="P12" s="104">
        <v>0.8</v>
      </c>
      <c r="Q12" s="104">
        <v>0.8</v>
      </c>
      <c r="R12" s="104">
        <v>0.8</v>
      </c>
      <c r="S12" s="104">
        <v>0.8</v>
      </c>
      <c r="T12" s="104">
        <v>0</v>
      </c>
      <c r="U12" s="104">
        <v>0.8</v>
      </c>
      <c r="V12" s="104">
        <v>0.8</v>
      </c>
      <c r="W12" s="104">
        <v>0.8</v>
      </c>
      <c r="X12" s="104">
        <v>0.8</v>
      </c>
      <c r="Y12" s="104">
        <v>0.8</v>
      </c>
      <c r="Z12" s="104">
        <v>0</v>
      </c>
      <c r="AA12" s="104">
        <v>0</v>
      </c>
      <c r="AB12" s="104">
        <v>0.8</v>
      </c>
      <c r="AC12" s="104">
        <v>0</v>
      </c>
      <c r="AD12" s="104">
        <v>0</v>
      </c>
      <c r="AE12" s="104">
        <v>0</v>
      </c>
      <c r="AF12" s="104">
        <v>0</v>
      </c>
      <c r="AG12" s="104">
        <v>0</v>
      </c>
    </row>
    <row r="13" spans="1:33" customFormat="1" x14ac:dyDescent="0.15">
      <c r="A13" s="183" t="s">
        <v>203</v>
      </c>
      <c r="B13" s="104">
        <v>0</v>
      </c>
      <c r="C13" s="104">
        <v>0</v>
      </c>
      <c r="D13" s="104">
        <v>0</v>
      </c>
      <c r="E13" s="104">
        <v>0</v>
      </c>
      <c r="F13" s="104">
        <v>0</v>
      </c>
      <c r="G13" s="104">
        <v>0</v>
      </c>
      <c r="H13" s="104">
        <v>0</v>
      </c>
      <c r="I13" s="104">
        <v>0.8</v>
      </c>
      <c r="J13" s="104">
        <v>0.8</v>
      </c>
      <c r="K13" s="104">
        <v>0.8</v>
      </c>
      <c r="L13" s="104">
        <v>0.8</v>
      </c>
      <c r="M13" s="104">
        <v>0</v>
      </c>
      <c r="N13" s="104">
        <v>0.8</v>
      </c>
      <c r="O13" s="104">
        <v>0</v>
      </c>
      <c r="P13" s="104">
        <v>0</v>
      </c>
      <c r="Q13" s="104">
        <v>0</v>
      </c>
      <c r="R13" s="104">
        <v>0</v>
      </c>
      <c r="S13" s="104">
        <v>0</v>
      </c>
      <c r="T13" s="104">
        <v>0</v>
      </c>
      <c r="U13" s="104">
        <v>0</v>
      </c>
      <c r="V13" s="104">
        <v>0.8</v>
      </c>
      <c r="W13" s="104">
        <v>0.8</v>
      </c>
      <c r="X13" s="104">
        <v>0.8</v>
      </c>
      <c r="Y13" s="104">
        <v>0</v>
      </c>
      <c r="Z13" s="104">
        <v>0</v>
      </c>
      <c r="AA13" s="104">
        <v>0</v>
      </c>
      <c r="AB13" s="104">
        <v>0</v>
      </c>
      <c r="AC13" s="104">
        <v>0</v>
      </c>
      <c r="AD13" s="104">
        <v>0</v>
      </c>
      <c r="AE13" s="104">
        <v>0</v>
      </c>
      <c r="AF13" s="104">
        <v>0</v>
      </c>
      <c r="AG13" s="104">
        <v>0</v>
      </c>
    </row>
    <row r="14" spans="1:33" customFormat="1" x14ac:dyDescent="0.15">
      <c r="A14" s="183" t="s">
        <v>204</v>
      </c>
      <c r="B14" s="104">
        <v>0</v>
      </c>
      <c r="C14" s="104">
        <v>0</v>
      </c>
      <c r="D14" s="104">
        <v>0</v>
      </c>
      <c r="E14" s="104">
        <v>0</v>
      </c>
      <c r="F14" s="104">
        <v>0</v>
      </c>
      <c r="G14" s="104">
        <v>0</v>
      </c>
      <c r="H14" s="104">
        <v>0</v>
      </c>
      <c r="I14" s="104">
        <v>0.8</v>
      </c>
      <c r="J14" s="104">
        <v>0.8</v>
      </c>
      <c r="K14" s="104">
        <v>0.8</v>
      </c>
      <c r="L14" s="104">
        <v>0.8</v>
      </c>
      <c r="M14" s="104">
        <v>0</v>
      </c>
      <c r="N14" s="104">
        <v>0.8</v>
      </c>
      <c r="O14" s="104">
        <v>0</v>
      </c>
      <c r="P14" s="104">
        <v>0</v>
      </c>
      <c r="Q14" s="104">
        <v>0</v>
      </c>
      <c r="R14" s="104">
        <v>0</v>
      </c>
      <c r="S14" s="104">
        <v>0</v>
      </c>
      <c r="T14" s="104">
        <v>0</v>
      </c>
      <c r="U14" s="104">
        <v>0.8</v>
      </c>
      <c r="V14" s="104">
        <v>0.8</v>
      </c>
      <c r="W14" s="104">
        <v>0.8</v>
      </c>
      <c r="X14" s="104">
        <v>0.8</v>
      </c>
      <c r="Y14" s="104">
        <v>0</v>
      </c>
      <c r="Z14" s="104">
        <v>0</v>
      </c>
      <c r="AA14" s="104">
        <v>0</v>
      </c>
      <c r="AB14" s="104">
        <v>0.8</v>
      </c>
      <c r="AC14" s="104">
        <v>0</v>
      </c>
      <c r="AD14" s="104">
        <v>0</v>
      </c>
      <c r="AE14" s="104">
        <v>0</v>
      </c>
      <c r="AF14" s="104">
        <v>0</v>
      </c>
      <c r="AG14" s="104">
        <v>0</v>
      </c>
    </row>
    <row r="15" spans="1:33" customFormat="1" x14ac:dyDescent="0.15">
      <c r="A15" s="183" t="s">
        <v>205</v>
      </c>
      <c r="B15" s="104">
        <v>0</v>
      </c>
      <c r="C15" s="104">
        <v>0</v>
      </c>
      <c r="D15" s="104">
        <v>0</v>
      </c>
      <c r="E15" s="104">
        <v>0</v>
      </c>
      <c r="F15" s="104">
        <v>0</v>
      </c>
      <c r="G15" s="104">
        <v>0</v>
      </c>
      <c r="H15" s="104">
        <v>0</v>
      </c>
      <c r="I15" s="104">
        <v>0</v>
      </c>
      <c r="J15" s="104">
        <v>0</v>
      </c>
      <c r="K15" s="104">
        <v>0</v>
      </c>
      <c r="L15" s="104">
        <v>0</v>
      </c>
      <c r="M15" s="104">
        <v>0</v>
      </c>
      <c r="N15" s="104">
        <v>0</v>
      </c>
      <c r="O15" s="104">
        <v>0.8</v>
      </c>
      <c r="P15" s="104">
        <v>0</v>
      </c>
      <c r="Q15" s="104">
        <v>0</v>
      </c>
      <c r="R15" s="104">
        <v>0</v>
      </c>
      <c r="S15" s="104">
        <v>0.8</v>
      </c>
      <c r="T15" s="104">
        <v>0</v>
      </c>
      <c r="U15" s="104">
        <v>0.8</v>
      </c>
      <c r="V15" s="104">
        <v>0.8</v>
      </c>
      <c r="W15" s="104">
        <v>0.8</v>
      </c>
      <c r="X15" s="104">
        <v>0.8</v>
      </c>
      <c r="Y15" s="104">
        <v>0</v>
      </c>
      <c r="Z15" s="104">
        <v>0</v>
      </c>
      <c r="AA15" s="104">
        <v>0</v>
      </c>
      <c r="AB15" s="104">
        <v>0</v>
      </c>
      <c r="AC15" s="104">
        <v>0</v>
      </c>
      <c r="AD15" s="104">
        <v>0.8</v>
      </c>
      <c r="AE15" s="104">
        <v>0</v>
      </c>
      <c r="AF15" s="104">
        <v>0</v>
      </c>
      <c r="AG15" s="104">
        <v>0</v>
      </c>
    </row>
    <row r="16" spans="1:33" customFormat="1" x14ac:dyDescent="0.15">
      <c r="A16" s="183" t="s">
        <v>206</v>
      </c>
      <c r="B16" s="104">
        <v>0</v>
      </c>
      <c r="C16" s="104">
        <v>0</v>
      </c>
      <c r="D16" s="104">
        <v>0</v>
      </c>
      <c r="E16" s="104">
        <v>0</v>
      </c>
      <c r="F16" s="104">
        <v>0</v>
      </c>
      <c r="G16" s="104">
        <v>0.8</v>
      </c>
      <c r="H16" s="104">
        <v>0</v>
      </c>
      <c r="I16" s="104">
        <v>0</v>
      </c>
      <c r="J16" s="104">
        <v>0</v>
      </c>
      <c r="K16" s="104">
        <v>0</v>
      </c>
      <c r="L16" s="104">
        <v>0</v>
      </c>
      <c r="M16" s="104">
        <v>0</v>
      </c>
      <c r="N16" s="104">
        <v>0</v>
      </c>
      <c r="O16" s="104">
        <v>0</v>
      </c>
      <c r="P16" s="104">
        <v>0.8</v>
      </c>
      <c r="Q16" s="104">
        <v>0.8</v>
      </c>
      <c r="R16" s="104">
        <v>0.8</v>
      </c>
      <c r="S16" s="104">
        <v>0.8</v>
      </c>
      <c r="T16" s="104">
        <v>0.8</v>
      </c>
      <c r="U16" s="104">
        <v>0.8</v>
      </c>
      <c r="V16" s="104">
        <v>0</v>
      </c>
      <c r="W16" s="104">
        <v>0.8</v>
      </c>
      <c r="X16" s="104">
        <v>0.8</v>
      </c>
      <c r="Y16" s="104">
        <v>0</v>
      </c>
      <c r="Z16" s="104">
        <v>0</v>
      </c>
      <c r="AA16" s="104">
        <v>0</v>
      </c>
      <c r="AB16" s="104">
        <v>0</v>
      </c>
      <c r="AC16" s="104">
        <v>0</v>
      </c>
      <c r="AD16" s="104">
        <v>0</v>
      </c>
      <c r="AE16" s="104">
        <v>0</v>
      </c>
      <c r="AF16" s="104">
        <v>0</v>
      </c>
      <c r="AG16" s="104">
        <v>0</v>
      </c>
    </row>
    <row r="17" spans="1:33" customFormat="1" x14ac:dyDescent="0.15">
      <c r="A17" s="183" t="s">
        <v>207</v>
      </c>
      <c r="B17" s="104">
        <v>0</v>
      </c>
      <c r="C17" s="104">
        <v>0</v>
      </c>
      <c r="D17" s="104">
        <v>0</v>
      </c>
      <c r="E17" s="104">
        <v>0</v>
      </c>
      <c r="F17" s="104">
        <v>0</v>
      </c>
      <c r="G17" s="104">
        <v>0.8</v>
      </c>
      <c r="H17" s="104">
        <v>0</v>
      </c>
      <c r="I17" s="104">
        <v>0</v>
      </c>
      <c r="J17" s="104">
        <v>0</v>
      </c>
      <c r="K17" s="104">
        <v>0</v>
      </c>
      <c r="L17" s="104">
        <v>0</v>
      </c>
      <c r="M17" s="104">
        <v>0</v>
      </c>
      <c r="N17" s="104">
        <v>0</v>
      </c>
      <c r="O17" s="104">
        <v>0</v>
      </c>
      <c r="P17" s="104">
        <v>0</v>
      </c>
      <c r="Q17" s="104">
        <v>0</v>
      </c>
      <c r="R17" s="104">
        <v>0</v>
      </c>
      <c r="S17" s="104">
        <v>0.8</v>
      </c>
      <c r="T17" s="104">
        <v>0</v>
      </c>
      <c r="U17" s="104">
        <v>0.8</v>
      </c>
      <c r="V17" s="104">
        <v>0.8</v>
      </c>
      <c r="W17" s="104">
        <v>0.8</v>
      </c>
      <c r="X17" s="104">
        <v>0.8</v>
      </c>
      <c r="Y17" s="104">
        <v>0.8</v>
      </c>
      <c r="Z17" s="104">
        <v>0.8</v>
      </c>
      <c r="AA17" s="104">
        <v>0.8</v>
      </c>
      <c r="AB17" s="104">
        <v>0.8</v>
      </c>
      <c r="AC17" s="104">
        <v>0.8</v>
      </c>
      <c r="AD17" s="104">
        <v>0.8</v>
      </c>
      <c r="AE17" s="104">
        <v>0</v>
      </c>
      <c r="AF17" s="104">
        <v>0</v>
      </c>
      <c r="AG17" s="104">
        <v>0</v>
      </c>
    </row>
    <row r="18" spans="1:33" customFormat="1" x14ac:dyDescent="0.15">
      <c r="A18" s="183" t="s">
        <v>208</v>
      </c>
      <c r="B18" s="104">
        <v>0</v>
      </c>
      <c r="C18" s="104">
        <v>0</v>
      </c>
      <c r="D18" s="104">
        <v>0</v>
      </c>
      <c r="E18" s="104">
        <v>0</v>
      </c>
      <c r="F18" s="104">
        <v>0</v>
      </c>
      <c r="G18" s="104">
        <v>0.8</v>
      </c>
      <c r="H18" s="104">
        <v>0</v>
      </c>
      <c r="I18" s="104">
        <v>0</v>
      </c>
      <c r="J18" s="104">
        <v>0</v>
      </c>
      <c r="K18" s="104">
        <v>0</v>
      </c>
      <c r="L18" s="104">
        <v>0</v>
      </c>
      <c r="M18" s="104">
        <v>0</v>
      </c>
      <c r="N18" s="104">
        <v>0</v>
      </c>
      <c r="O18" s="104">
        <v>0</v>
      </c>
      <c r="P18" s="104">
        <v>0</v>
      </c>
      <c r="Q18" s="104">
        <v>0</v>
      </c>
      <c r="R18" s="104">
        <v>0</v>
      </c>
      <c r="S18" s="104">
        <v>0.8</v>
      </c>
      <c r="T18" s="104">
        <v>0</v>
      </c>
      <c r="U18" s="104">
        <v>0.8</v>
      </c>
      <c r="V18" s="104">
        <v>0.8</v>
      </c>
      <c r="W18" s="104">
        <v>0.8</v>
      </c>
      <c r="X18" s="104">
        <v>0.8</v>
      </c>
      <c r="Y18" s="104">
        <v>0.8</v>
      </c>
      <c r="Z18" s="104">
        <v>0.8</v>
      </c>
      <c r="AA18" s="104">
        <v>0.8</v>
      </c>
      <c r="AB18" s="104">
        <v>0.8</v>
      </c>
      <c r="AC18" s="104">
        <v>0.8</v>
      </c>
      <c r="AD18" s="104">
        <v>0.8</v>
      </c>
      <c r="AE18" s="104">
        <v>0</v>
      </c>
      <c r="AF18" s="104">
        <v>0</v>
      </c>
      <c r="AG18" s="104">
        <v>0</v>
      </c>
    </row>
    <row r="19" spans="1:33" customFormat="1" x14ac:dyDescent="0.15">
      <c r="A19" s="183" t="s">
        <v>209</v>
      </c>
      <c r="B19" s="104">
        <v>0</v>
      </c>
      <c r="C19" s="104">
        <v>0</v>
      </c>
      <c r="D19" s="104">
        <v>0</v>
      </c>
      <c r="E19" s="104">
        <v>0</v>
      </c>
      <c r="F19" s="104">
        <v>0</v>
      </c>
      <c r="G19" s="104">
        <v>0.8</v>
      </c>
      <c r="H19" s="104">
        <v>0</v>
      </c>
      <c r="I19" s="104">
        <v>0</v>
      </c>
      <c r="J19" s="104">
        <v>0</v>
      </c>
      <c r="K19" s="104">
        <v>0</v>
      </c>
      <c r="L19" s="104">
        <v>0</v>
      </c>
      <c r="M19" s="104">
        <v>0</v>
      </c>
      <c r="N19" s="104">
        <v>0</v>
      </c>
      <c r="O19" s="104">
        <v>0</v>
      </c>
      <c r="P19" s="104">
        <v>0</v>
      </c>
      <c r="Q19" s="104">
        <v>0</v>
      </c>
      <c r="R19" s="104">
        <v>0</v>
      </c>
      <c r="S19" s="104">
        <v>0.8</v>
      </c>
      <c r="T19" s="104">
        <v>0</v>
      </c>
      <c r="U19" s="104">
        <v>0.8</v>
      </c>
      <c r="V19" s="104">
        <v>0.8</v>
      </c>
      <c r="W19" s="104">
        <v>0.8</v>
      </c>
      <c r="X19" s="104">
        <v>0.8</v>
      </c>
      <c r="Y19" s="104">
        <v>0.8</v>
      </c>
      <c r="Z19" s="104">
        <v>0.8</v>
      </c>
      <c r="AA19" s="104">
        <v>0</v>
      </c>
      <c r="AB19" s="104">
        <v>0.8</v>
      </c>
      <c r="AC19" s="104">
        <v>0.8</v>
      </c>
      <c r="AD19" s="104">
        <v>0.8</v>
      </c>
      <c r="AE19" s="104">
        <v>0</v>
      </c>
      <c r="AF19" s="104">
        <v>0</v>
      </c>
      <c r="AG19" s="104">
        <v>0</v>
      </c>
    </row>
    <row r="20" spans="1:33" customFormat="1" x14ac:dyDescent="0.15">
      <c r="A20" s="183" t="s">
        <v>210</v>
      </c>
      <c r="B20" s="104">
        <v>0</v>
      </c>
      <c r="C20" s="104">
        <v>0</v>
      </c>
      <c r="D20" s="104">
        <v>0</v>
      </c>
      <c r="E20" s="104">
        <v>0</v>
      </c>
      <c r="F20" s="104">
        <v>0</v>
      </c>
      <c r="G20" s="104">
        <v>0.8</v>
      </c>
      <c r="H20" s="104">
        <v>0</v>
      </c>
      <c r="I20" s="104">
        <v>0</v>
      </c>
      <c r="J20" s="104">
        <v>0</v>
      </c>
      <c r="K20" s="104">
        <v>0</v>
      </c>
      <c r="L20" s="104">
        <v>0</v>
      </c>
      <c r="M20" s="104">
        <v>0</v>
      </c>
      <c r="N20" s="104">
        <v>0</v>
      </c>
      <c r="O20" s="104">
        <v>0</v>
      </c>
      <c r="P20" s="104">
        <v>0</v>
      </c>
      <c r="Q20" s="104">
        <v>0</v>
      </c>
      <c r="R20" s="104">
        <v>0</v>
      </c>
      <c r="S20" s="104">
        <v>0.8</v>
      </c>
      <c r="T20" s="104">
        <v>0</v>
      </c>
      <c r="U20" s="104">
        <v>0.8</v>
      </c>
      <c r="V20" s="104">
        <v>0</v>
      </c>
      <c r="W20" s="104">
        <v>0</v>
      </c>
      <c r="X20" s="104">
        <v>0.8</v>
      </c>
      <c r="Y20" s="104">
        <v>0.8</v>
      </c>
      <c r="Z20" s="104">
        <v>0</v>
      </c>
      <c r="AA20" s="104">
        <v>0.8</v>
      </c>
      <c r="AB20" s="104">
        <v>0.8</v>
      </c>
      <c r="AC20" s="104">
        <v>0.8</v>
      </c>
      <c r="AD20" s="104">
        <v>0.8</v>
      </c>
      <c r="AE20" s="104">
        <v>0</v>
      </c>
      <c r="AF20" s="104">
        <v>0</v>
      </c>
      <c r="AG20" s="104">
        <v>0</v>
      </c>
    </row>
    <row r="21" spans="1:33" customFormat="1" x14ac:dyDescent="0.15">
      <c r="A21" s="183" t="s">
        <v>211</v>
      </c>
      <c r="B21" s="104">
        <v>0</v>
      </c>
      <c r="C21" s="104">
        <v>0</v>
      </c>
      <c r="D21" s="104">
        <v>0</v>
      </c>
      <c r="E21" s="104">
        <v>0</v>
      </c>
      <c r="F21" s="104">
        <v>0</v>
      </c>
      <c r="G21" s="104">
        <v>0</v>
      </c>
      <c r="H21" s="104">
        <v>0</v>
      </c>
      <c r="I21" s="104">
        <v>0</v>
      </c>
      <c r="J21" s="104">
        <v>0</v>
      </c>
      <c r="K21" s="104">
        <v>0</v>
      </c>
      <c r="L21" s="104">
        <v>0</v>
      </c>
      <c r="M21" s="104">
        <v>0</v>
      </c>
      <c r="N21" s="104">
        <v>0</v>
      </c>
      <c r="O21" s="104">
        <v>0</v>
      </c>
      <c r="P21" s="104">
        <v>0</v>
      </c>
      <c r="Q21" s="104">
        <v>0</v>
      </c>
      <c r="R21" s="104">
        <v>0</v>
      </c>
      <c r="S21" s="104">
        <v>0</v>
      </c>
      <c r="T21" s="104">
        <v>0</v>
      </c>
      <c r="U21" s="104">
        <v>0.8</v>
      </c>
      <c r="V21" s="104">
        <v>0</v>
      </c>
      <c r="W21" s="104">
        <v>0</v>
      </c>
      <c r="X21" s="104">
        <v>0</v>
      </c>
      <c r="Y21" s="104">
        <v>0.8</v>
      </c>
      <c r="Z21" s="104">
        <v>0</v>
      </c>
      <c r="AA21" s="104">
        <v>0.8</v>
      </c>
      <c r="AB21" s="104">
        <v>0</v>
      </c>
      <c r="AC21" s="104">
        <v>0.8</v>
      </c>
      <c r="AD21" s="104">
        <v>0.8</v>
      </c>
      <c r="AE21" s="104">
        <v>0</v>
      </c>
      <c r="AF21" s="104">
        <v>0</v>
      </c>
      <c r="AG21" s="104">
        <v>0</v>
      </c>
    </row>
    <row r="22" spans="1:33" customFormat="1" x14ac:dyDescent="0.15">
      <c r="A22" s="183" t="s">
        <v>212</v>
      </c>
      <c r="B22" s="104">
        <v>0</v>
      </c>
      <c r="C22" s="104">
        <v>0</v>
      </c>
      <c r="D22" s="104">
        <v>0</v>
      </c>
      <c r="E22" s="104">
        <v>0</v>
      </c>
      <c r="F22" s="104">
        <v>0</v>
      </c>
      <c r="G22" s="104">
        <v>0</v>
      </c>
      <c r="H22" s="104">
        <v>0</v>
      </c>
      <c r="I22" s="104">
        <v>0</v>
      </c>
      <c r="J22" s="104">
        <v>0.8</v>
      </c>
      <c r="K22" s="104">
        <v>0</v>
      </c>
      <c r="L22" s="104">
        <v>0.8</v>
      </c>
      <c r="M22" s="104">
        <v>0</v>
      </c>
      <c r="N22" s="104">
        <v>0.8</v>
      </c>
      <c r="O22" s="104">
        <v>0</v>
      </c>
      <c r="P22" s="104">
        <v>0</v>
      </c>
      <c r="Q22" s="104">
        <v>0.8</v>
      </c>
      <c r="R22" s="104">
        <v>0</v>
      </c>
      <c r="S22" s="104">
        <v>0</v>
      </c>
      <c r="T22" s="104">
        <v>0</v>
      </c>
      <c r="U22" s="104">
        <v>0.8</v>
      </c>
      <c r="V22" s="104">
        <v>0.8</v>
      </c>
      <c r="W22" s="104">
        <v>0.8</v>
      </c>
      <c r="X22" s="104">
        <v>0.8</v>
      </c>
      <c r="Y22" s="104">
        <v>0.8</v>
      </c>
      <c r="Z22" s="104">
        <v>0</v>
      </c>
      <c r="AA22" s="104">
        <v>0.8</v>
      </c>
      <c r="AB22" s="104">
        <v>0</v>
      </c>
      <c r="AC22" s="104">
        <v>0</v>
      </c>
      <c r="AD22" s="104">
        <v>0</v>
      </c>
      <c r="AE22" s="104">
        <v>0</v>
      </c>
      <c r="AF22" s="104">
        <v>0</v>
      </c>
      <c r="AG22" s="104">
        <v>0</v>
      </c>
    </row>
    <row r="23" spans="1:33" customFormat="1" x14ac:dyDescent="0.15">
      <c r="A23" s="183" t="s">
        <v>213</v>
      </c>
      <c r="B23" s="104">
        <v>0</v>
      </c>
      <c r="C23" s="104">
        <v>0</v>
      </c>
      <c r="D23" s="104">
        <v>0</v>
      </c>
      <c r="E23" s="104">
        <v>0</v>
      </c>
      <c r="F23" s="104">
        <v>0</v>
      </c>
      <c r="G23" s="104">
        <v>0</v>
      </c>
      <c r="H23" s="104">
        <v>0</v>
      </c>
      <c r="I23" s="104">
        <v>0</v>
      </c>
      <c r="J23" s="104">
        <v>0.8</v>
      </c>
      <c r="K23" s="104">
        <v>0</v>
      </c>
      <c r="L23" s="104">
        <v>0.8</v>
      </c>
      <c r="M23" s="104">
        <v>0</v>
      </c>
      <c r="N23" s="104">
        <v>0.8</v>
      </c>
      <c r="O23" s="104">
        <v>0</v>
      </c>
      <c r="P23" s="104">
        <v>0</v>
      </c>
      <c r="Q23" s="104">
        <v>0.8</v>
      </c>
      <c r="R23" s="104">
        <v>0</v>
      </c>
      <c r="S23" s="104">
        <v>0</v>
      </c>
      <c r="T23" s="104">
        <v>0</v>
      </c>
      <c r="U23" s="104">
        <v>0.8</v>
      </c>
      <c r="V23" s="104">
        <v>0.8</v>
      </c>
      <c r="W23" s="104">
        <v>0.8</v>
      </c>
      <c r="X23" s="104">
        <v>0.8</v>
      </c>
      <c r="Y23" s="104">
        <v>0.8</v>
      </c>
      <c r="Z23" s="104">
        <v>0</v>
      </c>
      <c r="AA23" s="104">
        <v>0.8</v>
      </c>
      <c r="AB23" s="104">
        <v>0</v>
      </c>
      <c r="AC23" s="104">
        <v>0.8</v>
      </c>
      <c r="AD23" s="104">
        <v>0.8</v>
      </c>
      <c r="AE23" s="104">
        <v>0</v>
      </c>
      <c r="AF23" s="104">
        <v>0</v>
      </c>
      <c r="AG23" s="104">
        <v>0</v>
      </c>
    </row>
    <row r="24" spans="1:33" customFormat="1" x14ac:dyDescent="0.15">
      <c r="A24" s="183" t="s">
        <v>214</v>
      </c>
      <c r="B24" s="104">
        <v>0</v>
      </c>
      <c r="C24" s="104">
        <v>0</v>
      </c>
      <c r="D24" s="104">
        <v>0</v>
      </c>
      <c r="E24" s="104">
        <v>0</v>
      </c>
      <c r="F24" s="104">
        <v>0</v>
      </c>
      <c r="G24" s="104">
        <v>0</v>
      </c>
      <c r="H24" s="104">
        <v>0</v>
      </c>
      <c r="I24" s="104">
        <v>0</v>
      </c>
      <c r="J24" s="104">
        <v>0</v>
      </c>
      <c r="K24" s="104">
        <v>0</v>
      </c>
      <c r="L24" s="104">
        <v>0.8</v>
      </c>
      <c r="M24" s="104">
        <v>0</v>
      </c>
      <c r="N24" s="104">
        <v>0.8</v>
      </c>
      <c r="O24" s="104">
        <v>0</v>
      </c>
      <c r="P24" s="104">
        <v>0</v>
      </c>
      <c r="Q24" s="104">
        <v>0.8</v>
      </c>
      <c r="R24" s="104">
        <v>0</v>
      </c>
      <c r="S24" s="104">
        <v>0</v>
      </c>
      <c r="T24" s="104">
        <v>0</v>
      </c>
      <c r="U24" s="104">
        <v>0.8</v>
      </c>
      <c r="V24" s="104">
        <v>0.8</v>
      </c>
      <c r="W24" s="104">
        <v>0.8</v>
      </c>
      <c r="X24" s="104">
        <v>0.8</v>
      </c>
      <c r="Y24" s="104">
        <v>0.8</v>
      </c>
      <c r="Z24" s="104">
        <v>0</v>
      </c>
      <c r="AA24" s="104">
        <v>0.8</v>
      </c>
      <c r="AB24" s="104">
        <v>0</v>
      </c>
      <c r="AC24" s="104">
        <v>0.8</v>
      </c>
      <c r="AD24" s="104">
        <v>0.8</v>
      </c>
      <c r="AE24" s="104">
        <v>0</v>
      </c>
      <c r="AF24" s="104">
        <v>0</v>
      </c>
      <c r="AG24" s="104">
        <v>0</v>
      </c>
    </row>
    <row r="25" spans="1:33" customFormat="1" x14ac:dyDescent="0.15">
      <c r="A25" s="183" t="s">
        <v>215</v>
      </c>
      <c r="B25" s="104">
        <v>0</v>
      </c>
      <c r="C25" s="104">
        <v>0</v>
      </c>
      <c r="D25" s="104">
        <v>0</v>
      </c>
      <c r="E25" s="104">
        <v>0</v>
      </c>
      <c r="F25" s="104">
        <v>0</v>
      </c>
      <c r="G25" s="104">
        <v>0</v>
      </c>
      <c r="H25" s="104">
        <v>0</v>
      </c>
      <c r="I25" s="104">
        <v>0</v>
      </c>
      <c r="J25" s="104">
        <v>0</v>
      </c>
      <c r="K25" s="104">
        <v>0</v>
      </c>
      <c r="L25" s="104">
        <v>0</v>
      </c>
      <c r="M25" s="104">
        <v>0</v>
      </c>
      <c r="N25" s="104">
        <v>0</v>
      </c>
      <c r="O25" s="104">
        <v>0</v>
      </c>
      <c r="P25" s="104">
        <v>0</v>
      </c>
      <c r="Q25" s="104">
        <v>0</v>
      </c>
      <c r="R25" s="104">
        <v>0</v>
      </c>
      <c r="S25" s="104">
        <v>0</v>
      </c>
      <c r="T25" s="104">
        <v>0</v>
      </c>
      <c r="U25" s="104">
        <v>0</v>
      </c>
      <c r="V25" s="104">
        <v>0</v>
      </c>
      <c r="W25" s="104">
        <v>0</v>
      </c>
      <c r="X25" s="104">
        <v>0</v>
      </c>
      <c r="Y25" s="104">
        <v>0.8</v>
      </c>
      <c r="Z25" s="104">
        <v>0</v>
      </c>
      <c r="AA25" s="104">
        <v>0</v>
      </c>
      <c r="AB25" s="104">
        <v>0</v>
      </c>
      <c r="AC25" s="104">
        <v>0</v>
      </c>
      <c r="AD25" s="104">
        <v>0</v>
      </c>
      <c r="AE25" s="104">
        <v>0</v>
      </c>
      <c r="AF25" s="104">
        <v>0</v>
      </c>
      <c r="AG25" s="104">
        <v>0</v>
      </c>
    </row>
    <row r="26" spans="1:33" customFormat="1" x14ac:dyDescent="0.15">
      <c r="A26" s="183" t="s">
        <v>216</v>
      </c>
      <c r="B26" s="104">
        <v>0</v>
      </c>
      <c r="C26" s="104">
        <v>0</v>
      </c>
      <c r="D26" s="104">
        <v>0</v>
      </c>
      <c r="E26" s="104">
        <v>0</v>
      </c>
      <c r="F26" s="104">
        <v>0</v>
      </c>
      <c r="G26" s="104">
        <v>0</v>
      </c>
      <c r="H26" s="104">
        <v>0</v>
      </c>
      <c r="I26" s="104">
        <v>0</v>
      </c>
      <c r="J26" s="104">
        <v>0</v>
      </c>
      <c r="K26" s="104">
        <v>0</v>
      </c>
      <c r="L26" s="104">
        <v>0</v>
      </c>
      <c r="M26" s="104">
        <v>0</v>
      </c>
      <c r="N26" s="104">
        <v>0</v>
      </c>
      <c r="O26" s="104">
        <v>0</v>
      </c>
      <c r="P26" s="104">
        <v>0</v>
      </c>
      <c r="Q26" s="104">
        <v>0</v>
      </c>
      <c r="R26" s="104">
        <v>0</v>
      </c>
      <c r="S26" s="104">
        <v>0</v>
      </c>
      <c r="T26" s="104">
        <v>0</v>
      </c>
      <c r="U26" s="104">
        <v>0</v>
      </c>
      <c r="V26" s="104">
        <v>0</v>
      </c>
      <c r="W26" s="104">
        <v>0</v>
      </c>
      <c r="X26" s="104">
        <v>0</v>
      </c>
      <c r="Y26" s="104">
        <v>0.8</v>
      </c>
      <c r="Z26" s="104">
        <v>0</v>
      </c>
      <c r="AA26" s="104">
        <v>0</v>
      </c>
      <c r="AB26" s="104">
        <v>0</v>
      </c>
      <c r="AC26" s="104">
        <v>0</v>
      </c>
      <c r="AD26" s="104">
        <v>0</v>
      </c>
      <c r="AE26" s="104">
        <v>0</v>
      </c>
      <c r="AF26" s="104">
        <v>0</v>
      </c>
      <c r="AG26" s="104">
        <v>0</v>
      </c>
    </row>
    <row r="27" spans="1:33" customFormat="1" x14ac:dyDescent="0.15">
      <c r="A27" s="183" t="s">
        <v>217</v>
      </c>
      <c r="B27" s="104">
        <v>0</v>
      </c>
      <c r="C27" s="104">
        <v>0</v>
      </c>
      <c r="D27" s="104">
        <v>0</v>
      </c>
      <c r="E27" s="104">
        <v>0</v>
      </c>
      <c r="F27" s="104">
        <v>0</v>
      </c>
      <c r="G27" s="104">
        <v>0</v>
      </c>
      <c r="H27" s="104">
        <v>0</v>
      </c>
      <c r="I27" s="104">
        <v>0</v>
      </c>
      <c r="J27" s="104">
        <v>0</v>
      </c>
      <c r="K27" s="104">
        <v>0</v>
      </c>
      <c r="L27" s="104">
        <v>0</v>
      </c>
      <c r="M27" s="104">
        <v>0</v>
      </c>
      <c r="N27" s="104">
        <v>0</v>
      </c>
      <c r="O27" s="104">
        <v>0</v>
      </c>
      <c r="P27" s="104">
        <v>0</v>
      </c>
      <c r="Q27" s="104">
        <v>0</v>
      </c>
      <c r="R27" s="104">
        <v>0</v>
      </c>
      <c r="S27" s="104">
        <v>0</v>
      </c>
      <c r="T27" s="104">
        <v>0</v>
      </c>
      <c r="U27" s="104">
        <v>0</v>
      </c>
      <c r="V27" s="104">
        <v>0</v>
      </c>
      <c r="W27" s="104">
        <v>0</v>
      </c>
      <c r="X27" s="104">
        <v>0</v>
      </c>
      <c r="Y27" s="104">
        <v>0.8</v>
      </c>
      <c r="Z27" s="104">
        <v>0</v>
      </c>
      <c r="AA27" s="104">
        <v>0</v>
      </c>
      <c r="AB27" s="104">
        <v>0</v>
      </c>
      <c r="AC27" s="104">
        <v>0</v>
      </c>
      <c r="AD27" s="104">
        <v>0</v>
      </c>
      <c r="AE27" s="104">
        <v>0</v>
      </c>
      <c r="AF27" s="104">
        <v>0</v>
      </c>
      <c r="AG27" s="104">
        <v>0</v>
      </c>
    </row>
    <row r="28" spans="1:33" customFormat="1" x14ac:dyDescent="0.15">
      <c r="A28" s="183" t="s">
        <v>218</v>
      </c>
      <c r="B28" s="104">
        <v>0</v>
      </c>
      <c r="C28" s="104">
        <v>0</v>
      </c>
      <c r="D28" s="104">
        <v>0</v>
      </c>
      <c r="E28" s="104">
        <v>0</v>
      </c>
      <c r="F28" s="104">
        <v>0</v>
      </c>
      <c r="G28" s="104">
        <v>0</v>
      </c>
      <c r="H28" s="104">
        <v>0</v>
      </c>
      <c r="I28" s="104">
        <v>0</v>
      </c>
      <c r="J28" s="104">
        <v>0</v>
      </c>
      <c r="K28" s="104">
        <v>0</v>
      </c>
      <c r="L28" s="104">
        <v>0</v>
      </c>
      <c r="M28" s="104">
        <v>0</v>
      </c>
      <c r="N28" s="104">
        <v>0</v>
      </c>
      <c r="O28" s="104">
        <v>0</v>
      </c>
      <c r="P28" s="104">
        <v>0</v>
      </c>
      <c r="Q28" s="104">
        <v>0</v>
      </c>
      <c r="R28" s="104">
        <v>0</v>
      </c>
      <c r="S28" s="104">
        <v>0</v>
      </c>
      <c r="T28" s="104">
        <v>0</v>
      </c>
      <c r="U28" s="104">
        <v>0</v>
      </c>
      <c r="V28" s="104">
        <v>0</v>
      </c>
      <c r="W28" s="104">
        <v>0</v>
      </c>
      <c r="X28" s="104">
        <v>0</v>
      </c>
      <c r="Y28" s="104">
        <v>0.8</v>
      </c>
      <c r="Z28" s="104">
        <v>0</v>
      </c>
      <c r="AA28" s="104">
        <v>0</v>
      </c>
      <c r="AB28" s="104">
        <v>0</v>
      </c>
      <c r="AC28" s="104">
        <v>0</v>
      </c>
      <c r="AD28" s="104">
        <v>0</v>
      </c>
      <c r="AE28" s="104">
        <v>0</v>
      </c>
      <c r="AF28" s="104">
        <v>0</v>
      </c>
      <c r="AG28" s="104">
        <v>0</v>
      </c>
    </row>
    <row r="29" spans="1:33" customFormat="1" x14ac:dyDescent="0.15">
      <c r="A29" s="183" t="s">
        <v>219</v>
      </c>
      <c r="B29" s="104">
        <v>0</v>
      </c>
      <c r="C29" s="104">
        <v>0</v>
      </c>
      <c r="D29" s="104">
        <v>0</v>
      </c>
      <c r="E29" s="104">
        <v>0</v>
      </c>
      <c r="F29" s="104">
        <v>0</v>
      </c>
      <c r="G29" s="104">
        <v>0</v>
      </c>
      <c r="H29" s="104">
        <v>0</v>
      </c>
      <c r="I29" s="104">
        <v>0</v>
      </c>
      <c r="J29" s="104">
        <v>0</v>
      </c>
      <c r="K29" s="104">
        <v>0</v>
      </c>
      <c r="L29" s="104">
        <v>0</v>
      </c>
      <c r="M29" s="104">
        <v>0</v>
      </c>
      <c r="N29" s="104">
        <v>0</v>
      </c>
      <c r="O29" s="104">
        <v>0</v>
      </c>
      <c r="P29" s="104">
        <v>0</v>
      </c>
      <c r="Q29" s="104">
        <v>0</v>
      </c>
      <c r="R29" s="104">
        <v>0</v>
      </c>
      <c r="S29" s="104">
        <v>0</v>
      </c>
      <c r="T29" s="104">
        <v>0</v>
      </c>
      <c r="U29" s="104">
        <v>0</v>
      </c>
      <c r="V29" s="104">
        <v>0</v>
      </c>
      <c r="W29" s="104">
        <v>0</v>
      </c>
      <c r="X29" s="104">
        <v>0</v>
      </c>
      <c r="Y29" s="104">
        <v>0.8</v>
      </c>
      <c r="Z29" s="104">
        <v>0</v>
      </c>
      <c r="AA29" s="104">
        <v>0</v>
      </c>
      <c r="AB29" s="104">
        <v>0</v>
      </c>
      <c r="AC29" s="104">
        <v>0.8</v>
      </c>
      <c r="AD29" s="104">
        <v>0</v>
      </c>
      <c r="AE29" s="104">
        <v>0</v>
      </c>
      <c r="AF29" s="104">
        <v>0</v>
      </c>
      <c r="AG29" s="104">
        <v>0</v>
      </c>
    </row>
    <row r="30" spans="1:33" customFormat="1" x14ac:dyDescent="0.15">
      <c r="A30" s="183" t="s">
        <v>220</v>
      </c>
      <c r="B30" s="104">
        <v>0</v>
      </c>
      <c r="C30" s="104">
        <v>0</v>
      </c>
      <c r="D30" s="104">
        <v>0</v>
      </c>
      <c r="E30" s="104">
        <v>0</v>
      </c>
      <c r="F30" s="104">
        <v>0</v>
      </c>
      <c r="G30" s="104">
        <v>0</v>
      </c>
      <c r="H30" s="104">
        <v>0</v>
      </c>
      <c r="I30" s="104">
        <v>0</v>
      </c>
      <c r="J30" s="104">
        <v>0</v>
      </c>
      <c r="K30" s="104">
        <v>0</v>
      </c>
      <c r="L30" s="104">
        <v>0</v>
      </c>
      <c r="M30" s="104">
        <v>0</v>
      </c>
      <c r="N30" s="104">
        <v>0</v>
      </c>
      <c r="O30" s="104">
        <v>0</v>
      </c>
      <c r="P30" s="104">
        <v>0</v>
      </c>
      <c r="Q30" s="104">
        <v>0</v>
      </c>
      <c r="R30" s="104">
        <v>0</v>
      </c>
      <c r="S30" s="104">
        <v>0</v>
      </c>
      <c r="T30" s="104">
        <v>0</v>
      </c>
      <c r="U30" s="104">
        <v>0</v>
      </c>
      <c r="V30" s="104">
        <v>0</v>
      </c>
      <c r="W30" s="104">
        <v>0</v>
      </c>
      <c r="X30" s="104">
        <v>0</v>
      </c>
      <c r="Y30" s="104">
        <v>0.8</v>
      </c>
      <c r="Z30" s="104">
        <v>0</v>
      </c>
      <c r="AA30" s="104">
        <v>0</v>
      </c>
      <c r="AB30" s="104">
        <v>0</v>
      </c>
      <c r="AC30" s="104">
        <v>0</v>
      </c>
      <c r="AD30" s="104">
        <v>0</v>
      </c>
      <c r="AE30" s="104">
        <v>0</v>
      </c>
      <c r="AF30" s="104">
        <v>0</v>
      </c>
      <c r="AG30" s="104">
        <v>0</v>
      </c>
    </row>
    <row r="31" spans="1:33" customFormat="1" x14ac:dyDescent="0.15">
      <c r="A31" s="183" t="s">
        <v>221</v>
      </c>
      <c r="B31" s="104">
        <v>0</v>
      </c>
      <c r="C31" s="104">
        <v>0</v>
      </c>
      <c r="D31" s="104">
        <v>0</v>
      </c>
      <c r="E31" s="104">
        <v>0</v>
      </c>
      <c r="F31" s="104">
        <v>0</v>
      </c>
      <c r="G31" s="104">
        <v>0</v>
      </c>
      <c r="H31" s="104">
        <v>0</v>
      </c>
      <c r="I31" s="104">
        <v>0.8</v>
      </c>
      <c r="J31" s="104">
        <v>0.8</v>
      </c>
      <c r="K31" s="104">
        <v>0.8</v>
      </c>
      <c r="L31" s="104">
        <v>0.8</v>
      </c>
      <c r="M31" s="104">
        <v>0</v>
      </c>
      <c r="N31" s="104">
        <v>0.8</v>
      </c>
      <c r="O31" s="104">
        <v>0.8</v>
      </c>
      <c r="P31" s="104">
        <v>0</v>
      </c>
      <c r="Q31" s="104">
        <v>0</v>
      </c>
      <c r="R31" s="104">
        <v>0</v>
      </c>
      <c r="S31" s="104">
        <v>0</v>
      </c>
      <c r="T31" s="104">
        <v>0</v>
      </c>
      <c r="U31" s="104">
        <v>0</v>
      </c>
      <c r="V31" s="104">
        <v>0.8</v>
      </c>
      <c r="W31" s="104">
        <v>0.8</v>
      </c>
      <c r="X31" s="104">
        <v>0</v>
      </c>
      <c r="Y31" s="104">
        <v>0</v>
      </c>
      <c r="Z31" s="104">
        <v>0</v>
      </c>
      <c r="AA31" s="104">
        <v>0</v>
      </c>
      <c r="AB31" s="104">
        <v>0</v>
      </c>
      <c r="AC31" s="104">
        <v>0</v>
      </c>
      <c r="AD31" s="104">
        <v>0.8</v>
      </c>
      <c r="AE31" s="104">
        <v>0</v>
      </c>
      <c r="AF31" s="104">
        <v>0</v>
      </c>
      <c r="AG31" s="104">
        <v>0</v>
      </c>
    </row>
    <row r="32" spans="1:33" customFormat="1" x14ac:dyDescent="0.15">
      <c r="A32" s="183" t="s">
        <v>222</v>
      </c>
      <c r="B32" s="104">
        <v>0</v>
      </c>
      <c r="C32" s="104">
        <v>0.8</v>
      </c>
      <c r="D32" s="104">
        <v>0.8</v>
      </c>
      <c r="E32" s="104">
        <v>0.8</v>
      </c>
      <c r="F32" s="104">
        <v>0.8</v>
      </c>
      <c r="G32" s="104">
        <v>0.8</v>
      </c>
      <c r="H32" s="104">
        <v>0.8</v>
      </c>
      <c r="I32" s="104">
        <v>0.8</v>
      </c>
      <c r="J32" s="104">
        <v>0.8</v>
      </c>
      <c r="K32" s="104">
        <v>0.8</v>
      </c>
      <c r="L32" s="104">
        <v>0.8</v>
      </c>
      <c r="M32" s="104">
        <v>0.8</v>
      </c>
      <c r="N32" s="104">
        <v>0.8</v>
      </c>
      <c r="O32" s="104">
        <v>0.8</v>
      </c>
      <c r="P32" s="104">
        <v>0.8</v>
      </c>
      <c r="Q32" s="104">
        <v>0</v>
      </c>
      <c r="R32" s="104">
        <v>0</v>
      </c>
      <c r="S32" s="104">
        <v>0</v>
      </c>
      <c r="T32" s="104">
        <v>0</v>
      </c>
      <c r="U32" s="104">
        <v>0</v>
      </c>
      <c r="V32" s="104">
        <v>0.8</v>
      </c>
      <c r="W32" s="104">
        <v>0.8</v>
      </c>
      <c r="X32" s="104">
        <v>0</v>
      </c>
      <c r="Y32" s="104">
        <v>0.8</v>
      </c>
      <c r="Z32" s="104">
        <v>0</v>
      </c>
      <c r="AA32" s="104">
        <v>0</v>
      </c>
      <c r="AB32" s="104">
        <v>0.8</v>
      </c>
      <c r="AC32" s="104">
        <v>0</v>
      </c>
      <c r="AD32" s="104">
        <v>0</v>
      </c>
      <c r="AE32" s="104">
        <v>0</v>
      </c>
      <c r="AF32" s="104">
        <v>0</v>
      </c>
      <c r="AG32" s="104">
        <v>0</v>
      </c>
    </row>
    <row r="33" spans="1:33" x14ac:dyDescent="0.15">
      <c r="A33" s="183" t="s">
        <v>223</v>
      </c>
      <c r="B33" s="104">
        <v>0</v>
      </c>
      <c r="C33" s="104">
        <v>0</v>
      </c>
      <c r="D33" s="104">
        <v>0</v>
      </c>
      <c r="E33" s="104">
        <v>0</v>
      </c>
      <c r="F33" s="104">
        <v>0</v>
      </c>
      <c r="G33" s="104">
        <v>0</v>
      </c>
      <c r="H33" s="104">
        <v>0</v>
      </c>
      <c r="I33" s="104">
        <v>0</v>
      </c>
      <c r="J33" s="104">
        <v>0</v>
      </c>
      <c r="K33" s="104">
        <v>0</v>
      </c>
      <c r="L33" s="104">
        <v>0</v>
      </c>
      <c r="M33" s="104">
        <v>0</v>
      </c>
      <c r="N33" s="104">
        <v>0</v>
      </c>
      <c r="O33" s="104">
        <v>0</v>
      </c>
      <c r="P33" s="104">
        <v>0</v>
      </c>
      <c r="Q33" s="104">
        <v>0</v>
      </c>
      <c r="R33" s="104">
        <v>0</v>
      </c>
      <c r="S33" s="104">
        <v>0</v>
      </c>
      <c r="T33" s="104">
        <v>0</v>
      </c>
      <c r="U33" s="104">
        <v>0</v>
      </c>
      <c r="V33" s="104">
        <v>0</v>
      </c>
      <c r="W33" s="104">
        <v>0</v>
      </c>
      <c r="X33" s="104">
        <v>0</v>
      </c>
      <c r="Y33" s="104">
        <v>0</v>
      </c>
      <c r="Z33" s="104">
        <v>0</v>
      </c>
      <c r="AA33" s="104">
        <v>0</v>
      </c>
      <c r="AB33" s="104">
        <v>0</v>
      </c>
      <c r="AC33" s="104">
        <v>0</v>
      </c>
      <c r="AD33" s="104">
        <v>0</v>
      </c>
      <c r="AE33" s="104">
        <v>0</v>
      </c>
      <c r="AF33" s="104">
        <v>0</v>
      </c>
      <c r="AG33" s="104">
        <v>0</v>
      </c>
    </row>
    <row r="34" spans="1:33" x14ac:dyDescent="0.15">
      <c r="A34" s="183" t="s">
        <v>225</v>
      </c>
      <c r="B34" s="104">
        <v>0</v>
      </c>
      <c r="C34" s="104">
        <v>0</v>
      </c>
      <c r="D34" s="104">
        <v>0</v>
      </c>
      <c r="E34" s="104">
        <v>0</v>
      </c>
      <c r="F34" s="104">
        <v>0</v>
      </c>
      <c r="G34" s="104">
        <v>0</v>
      </c>
      <c r="H34" s="104">
        <v>0</v>
      </c>
      <c r="I34" s="104">
        <v>0</v>
      </c>
      <c r="J34" s="104">
        <v>0</v>
      </c>
      <c r="K34" s="104">
        <v>0</v>
      </c>
      <c r="L34" s="104">
        <v>0</v>
      </c>
      <c r="M34" s="104">
        <v>0</v>
      </c>
      <c r="N34" s="104">
        <v>0</v>
      </c>
      <c r="O34" s="104">
        <v>0</v>
      </c>
      <c r="P34" s="104">
        <v>0</v>
      </c>
      <c r="Q34" s="104">
        <v>0</v>
      </c>
      <c r="R34" s="104">
        <v>0</v>
      </c>
      <c r="S34" s="104">
        <v>0</v>
      </c>
      <c r="T34" s="104">
        <v>0</v>
      </c>
      <c r="U34" s="104">
        <v>0</v>
      </c>
      <c r="V34" s="104">
        <v>0</v>
      </c>
      <c r="W34" s="104">
        <v>0</v>
      </c>
      <c r="X34" s="104">
        <v>0</v>
      </c>
      <c r="Y34" s="104">
        <v>0</v>
      </c>
      <c r="Z34" s="104">
        <v>0</v>
      </c>
      <c r="AA34" s="104">
        <v>0</v>
      </c>
      <c r="AB34" s="104">
        <v>0</v>
      </c>
      <c r="AC34" s="104">
        <v>0</v>
      </c>
      <c r="AD34" s="104">
        <v>0</v>
      </c>
      <c r="AE34" s="104">
        <v>0</v>
      </c>
      <c r="AF34" s="104">
        <v>0</v>
      </c>
      <c r="AG34" s="10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G34"/>
  <sheetViews>
    <sheetView workbookViewId="0">
      <selection activeCell="A3" sqref="A3"/>
    </sheetView>
  </sheetViews>
  <sheetFormatPr baseColWidth="10" defaultRowHeight="13" x14ac:dyDescent="0.15"/>
  <cols>
    <col min="1" max="1" width="36.6640625" style="104" bestFit="1" customWidth="1"/>
    <col min="2" max="33" width="2.33203125" style="104" customWidth="1"/>
    <col min="34" max="16384" width="10.83203125" style="104"/>
  </cols>
  <sheetData>
    <row r="1" spans="1:33" x14ac:dyDescent="0.15">
      <c r="A1" s="61" t="s">
        <v>139</v>
      </c>
      <c r="B1" s="186" t="s">
        <v>192</v>
      </c>
      <c r="C1" s="186" t="s">
        <v>193</v>
      </c>
      <c r="D1" s="186" t="s">
        <v>194</v>
      </c>
      <c r="E1" s="186" t="s">
        <v>195</v>
      </c>
      <c r="F1" s="186" t="s">
        <v>196</v>
      </c>
      <c r="G1" s="186" t="s">
        <v>197</v>
      </c>
      <c r="H1" s="186" t="s">
        <v>198</v>
      </c>
      <c r="I1" s="186" t="s">
        <v>199</v>
      </c>
      <c r="J1" s="186" t="s">
        <v>200</v>
      </c>
      <c r="K1" s="186" t="s">
        <v>201</v>
      </c>
      <c r="L1" s="186" t="s">
        <v>202</v>
      </c>
      <c r="M1" s="186" t="s">
        <v>203</v>
      </c>
      <c r="N1" s="186" t="s">
        <v>204</v>
      </c>
      <c r="O1" s="186" t="s">
        <v>205</v>
      </c>
      <c r="P1" s="186" t="s">
        <v>206</v>
      </c>
      <c r="Q1" s="186" t="s">
        <v>207</v>
      </c>
      <c r="R1" s="186" t="s">
        <v>208</v>
      </c>
      <c r="S1" s="186" t="s">
        <v>209</v>
      </c>
      <c r="T1" s="186" t="s">
        <v>210</v>
      </c>
      <c r="U1" s="186" t="s">
        <v>211</v>
      </c>
      <c r="V1" s="186" t="s">
        <v>212</v>
      </c>
      <c r="W1" s="186" t="s">
        <v>213</v>
      </c>
      <c r="X1" s="186" t="s">
        <v>214</v>
      </c>
      <c r="Y1" s="186" t="s">
        <v>215</v>
      </c>
      <c r="Z1" s="186" t="s">
        <v>216</v>
      </c>
      <c r="AA1" s="186" t="s">
        <v>217</v>
      </c>
      <c r="AB1" s="186" t="s">
        <v>218</v>
      </c>
      <c r="AC1" s="186" t="s">
        <v>219</v>
      </c>
      <c r="AD1" s="186" t="s">
        <v>220</v>
      </c>
      <c r="AE1" s="186" t="s">
        <v>221</v>
      </c>
      <c r="AF1" s="186" t="s">
        <v>222</v>
      </c>
      <c r="AG1" s="186" t="s">
        <v>223</v>
      </c>
    </row>
    <row r="2" spans="1:33" customFormat="1" x14ac:dyDescent="0.15">
      <c r="A2" s="185" t="s">
        <v>192</v>
      </c>
      <c r="B2" s="104">
        <v>0</v>
      </c>
      <c r="C2" s="104">
        <v>1</v>
      </c>
      <c r="D2" s="104">
        <v>1</v>
      </c>
      <c r="E2" s="104">
        <v>1</v>
      </c>
      <c r="F2" s="104">
        <v>1</v>
      </c>
      <c r="G2" s="104">
        <v>1</v>
      </c>
      <c r="H2" s="104">
        <v>1</v>
      </c>
      <c r="I2" s="104">
        <v>1</v>
      </c>
      <c r="J2" s="104">
        <v>1</v>
      </c>
      <c r="K2" s="104">
        <v>1</v>
      </c>
      <c r="L2" s="104">
        <v>1</v>
      </c>
      <c r="M2" s="104">
        <v>1</v>
      </c>
      <c r="N2" s="104">
        <v>0</v>
      </c>
      <c r="O2" s="104">
        <v>1</v>
      </c>
      <c r="P2" s="104">
        <v>1</v>
      </c>
      <c r="Q2" s="104">
        <v>1</v>
      </c>
      <c r="R2" s="104">
        <v>1</v>
      </c>
      <c r="S2" s="104">
        <v>0</v>
      </c>
      <c r="T2" s="104">
        <v>1</v>
      </c>
      <c r="U2" s="104">
        <v>0</v>
      </c>
      <c r="V2" s="104">
        <v>0</v>
      </c>
      <c r="W2" s="104">
        <v>0</v>
      </c>
      <c r="X2" s="104">
        <v>0</v>
      </c>
      <c r="Y2" s="104">
        <v>0</v>
      </c>
      <c r="Z2" s="104">
        <v>0</v>
      </c>
      <c r="AA2" s="104">
        <v>0</v>
      </c>
      <c r="AB2" s="104">
        <v>0</v>
      </c>
      <c r="AC2" s="104">
        <v>0</v>
      </c>
      <c r="AD2" s="104">
        <v>0</v>
      </c>
      <c r="AE2" s="104">
        <v>0</v>
      </c>
      <c r="AF2" s="104">
        <v>0</v>
      </c>
      <c r="AG2" s="104">
        <v>0</v>
      </c>
    </row>
    <row r="3" spans="1:33" customFormat="1" x14ac:dyDescent="0.15">
      <c r="A3" s="185" t="s">
        <v>193</v>
      </c>
      <c r="B3" s="104">
        <v>0</v>
      </c>
      <c r="C3" s="104">
        <v>0</v>
      </c>
      <c r="D3" s="104">
        <v>1</v>
      </c>
      <c r="E3" s="104">
        <v>0</v>
      </c>
      <c r="F3" s="104">
        <v>0</v>
      </c>
      <c r="G3" s="104">
        <v>1</v>
      </c>
      <c r="H3" s="104">
        <v>0</v>
      </c>
      <c r="I3" s="104">
        <v>1</v>
      </c>
      <c r="J3" s="104">
        <v>1</v>
      </c>
      <c r="K3" s="104">
        <v>1</v>
      </c>
      <c r="L3" s="104">
        <v>1</v>
      </c>
      <c r="M3" s="104">
        <v>1</v>
      </c>
      <c r="N3" s="104">
        <v>1</v>
      </c>
      <c r="O3" s="104">
        <v>1</v>
      </c>
      <c r="P3" s="104">
        <v>0</v>
      </c>
      <c r="Q3" s="104">
        <v>0</v>
      </c>
      <c r="R3" s="104">
        <v>0</v>
      </c>
      <c r="S3" s="104">
        <v>0</v>
      </c>
      <c r="T3" s="104">
        <v>0</v>
      </c>
      <c r="U3" s="104">
        <v>0</v>
      </c>
      <c r="V3" s="104">
        <v>0</v>
      </c>
      <c r="W3" s="104">
        <v>0</v>
      </c>
      <c r="X3" s="104">
        <v>0</v>
      </c>
      <c r="Y3" s="104">
        <v>0</v>
      </c>
      <c r="Z3" s="104">
        <v>0</v>
      </c>
      <c r="AA3" s="104">
        <v>0</v>
      </c>
      <c r="AB3" s="104">
        <v>0</v>
      </c>
      <c r="AC3" s="104">
        <v>0</v>
      </c>
      <c r="AD3" s="104">
        <v>0</v>
      </c>
      <c r="AE3" s="104">
        <v>0</v>
      </c>
      <c r="AF3" s="104">
        <v>0</v>
      </c>
      <c r="AG3" s="104">
        <v>0</v>
      </c>
    </row>
    <row r="4" spans="1:33" customFormat="1" x14ac:dyDescent="0.15">
      <c r="A4" s="185" t="s">
        <v>194</v>
      </c>
      <c r="B4" s="104">
        <v>0</v>
      </c>
      <c r="C4" s="104">
        <v>0</v>
      </c>
      <c r="D4" s="104">
        <v>1</v>
      </c>
      <c r="E4" s="104">
        <v>1</v>
      </c>
      <c r="F4" s="104">
        <v>1</v>
      </c>
      <c r="G4" s="104">
        <v>1</v>
      </c>
      <c r="H4" s="104">
        <v>0</v>
      </c>
      <c r="I4" s="104">
        <v>0</v>
      </c>
      <c r="J4" s="104">
        <v>0</v>
      </c>
      <c r="K4" s="104">
        <v>0</v>
      </c>
      <c r="L4" s="104">
        <v>0</v>
      </c>
      <c r="M4" s="104">
        <v>0</v>
      </c>
      <c r="N4" s="104">
        <v>0</v>
      </c>
      <c r="O4" s="104">
        <v>0</v>
      </c>
      <c r="P4" s="104">
        <v>0</v>
      </c>
      <c r="Q4" s="104">
        <v>0</v>
      </c>
      <c r="R4" s="104">
        <v>0</v>
      </c>
      <c r="S4" s="104">
        <v>0</v>
      </c>
      <c r="T4" s="104">
        <v>0</v>
      </c>
      <c r="U4" s="104">
        <v>0</v>
      </c>
      <c r="V4" s="104">
        <v>0</v>
      </c>
      <c r="W4" s="104">
        <v>0</v>
      </c>
      <c r="X4" s="104">
        <v>0</v>
      </c>
      <c r="Y4" s="104">
        <v>0</v>
      </c>
      <c r="Z4" s="104">
        <v>0</v>
      </c>
      <c r="AA4" s="104">
        <v>0</v>
      </c>
      <c r="AB4" s="104">
        <v>0</v>
      </c>
      <c r="AC4" s="104">
        <v>0</v>
      </c>
      <c r="AD4" s="104">
        <v>0</v>
      </c>
      <c r="AE4" s="104">
        <v>0</v>
      </c>
      <c r="AF4" s="104">
        <v>0</v>
      </c>
      <c r="AG4" s="104">
        <v>0</v>
      </c>
    </row>
    <row r="5" spans="1:33" customFormat="1" x14ac:dyDescent="0.15">
      <c r="A5" s="185" t="s">
        <v>195</v>
      </c>
      <c r="B5" s="104">
        <v>0</v>
      </c>
      <c r="C5" s="104">
        <v>0</v>
      </c>
      <c r="D5" s="104">
        <v>0</v>
      </c>
      <c r="E5" s="104">
        <v>1</v>
      </c>
      <c r="F5" s="104">
        <v>1</v>
      </c>
      <c r="G5" s="104">
        <v>1</v>
      </c>
      <c r="H5" s="104">
        <v>1</v>
      </c>
      <c r="I5" s="104">
        <v>0</v>
      </c>
      <c r="J5" s="104">
        <v>1</v>
      </c>
      <c r="K5" s="104">
        <v>0</v>
      </c>
      <c r="L5" s="104">
        <v>0</v>
      </c>
      <c r="M5" s="104">
        <v>0</v>
      </c>
      <c r="N5" s="104">
        <v>0</v>
      </c>
      <c r="O5" s="104">
        <v>0</v>
      </c>
      <c r="P5" s="104">
        <v>1</v>
      </c>
      <c r="Q5" s="104">
        <v>1</v>
      </c>
      <c r="R5" s="104">
        <v>1</v>
      </c>
      <c r="S5" s="104">
        <v>0</v>
      </c>
      <c r="T5" s="104">
        <v>1</v>
      </c>
      <c r="U5" s="104">
        <v>0</v>
      </c>
      <c r="V5" s="104">
        <v>0</v>
      </c>
      <c r="W5" s="104">
        <v>0</v>
      </c>
      <c r="X5" s="104">
        <v>0</v>
      </c>
      <c r="Y5" s="104">
        <v>0</v>
      </c>
      <c r="Z5" s="104">
        <v>0</v>
      </c>
      <c r="AA5" s="104">
        <v>0</v>
      </c>
      <c r="AB5" s="104">
        <v>1</v>
      </c>
      <c r="AC5" s="104">
        <v>0</v>
      </c>
      <c r="AD5" s="104">
        <v>0</v>
      </c>
      <c r="AE5" s="104">
        <v>0</v>
      </c>
      <c r="AF5" s="104">
        <v>0</v>
      </c>
      <c r="AG5" s="104">
        <v>0</v>
      </c>
    </row>
    <row r="6" spans="1:33" customFormat="1" x14ac:dyDescent="0.15">
      <c r="A6" s="185" t="s">
        <v>196</v>
      </c>
      <c r="B6" s="104">
        <v>0</v>
      </c>
      <c r="C6" s="104">
        <v>0</v>
      </c>
      <c r="D6" s="104">
        <v>0</v>
      </c>
      <c r="E6" s="104">
        <v>0</v>
      </c>
      <c r="F6" s="104">
        <v>1</v>
      </c>
      <c r="G6" s="104">
        <v>1</v>
      </c>
      <c r="H6" s="104">
        <v>1</v>
      </c>
      <c r="I6" s="104">
        <v>0</v>
      </c>
      <c r="J6" s="104">
        <v>1</v>
      </c>
      <c r="K6" s="104">
        <v>0</v>
      </c>
      <c r="L6" s="104">
        <v>0</v>
      </c>
      <c r="M6" s="104">
        <v>0</v>
      </c>
      <c r="N6" s="104">
        <v>0</v>
      </c>
      <c r="O6" s="104">
        <v>0</v>
      </c>
      <c r="P6" s="104">
        <v>1</v>
      </c>
      <c r="Q6" s="104">
        <v>1</v>
      </c>
      <c r="R6" s="104">
        <v>1</v>
      </c>
      <c r="S6" s="104">
        <v>1</v>
      </c>
      <c r="T6" s="104">
        <v>1</v>
      </c>
      <c r="U6" s="104">
        <v>0</v>
      </c>
      <c r="V6" s="104">
        <v>0</v>
      </c>
      <c r="W6" s="104">
        <v>0</v>
      </c>
      <c r="X6" s="104">
        <v>0</v>
      </c>
      <c r="Y6" s="104">
        <v>1</v>
      </c>
      <c r="Z6" s="104">
        <v>0</v>
      </c>
      <c r="AA6" s="104">
        <v>0</v>
      </c>
      <c r="AB6" s="104">
        <v>1</v>
      </c>
      <c r="AC6" s="104">
        <v>0</v>
      </c>
      <c r="AD6" s="104">
        <v>1</v>
      </c>
      <c r="AE6" s="104">
        <v>0</v>
      </c>
      <c r="AF6" s="104">
        <v>0</v>
      </c>
      <c r="AG6" s="104">
        <v>0</v>
      </c>
    </row>
    <row r="7" spans="1:33" customFormat="1" x14ac:dyDescent="0.15">
      <c r="A7" s="185" t="s">
        <v>197</v>
      </c>
      <c r="B7" s="104">
        <v>0</v>
      </c>
      <c r="C7" s="104">
        <v>0</v>
      </c>
      <c r="D7" s="104">
        <v>0</v>
      </c>
      <c r="E7" s="104">
        <v>0</v>
      </c>
      <c r="F7" s="104">
        <v>1</v>
      </c>
      <c r="G7" s="104">
        <v>1</v>
      </c>
      <c r="H7" s="104">
        <v>0</v>
      </c>
      <c r="I7" s="104">
        <v>0</v>
      </c>
      <c r="J7" s="104">
        <v>0</v>
      </c>
      <c r="K7" s="104">
        <v>0</v>
      </c>
      <c r="L7" s="104">
        <v>0</v>
      </c>
      <c r="M7" s="104">
        <v>0</v>
      </c>
      <c r="N7" s="104">
        <v>0</v>
      </c>
      <c r="O7" s="104">
        <v>0</v>
      </c>
      <c r="P7" s="104">
        <v>0</v>
      </c>
      <c r="Q7" s="104">
        <v>1</v>
      </c>
      <c r="R7" s="104">
        <v>1</v>
      </c>
      <c r="S7" s="104">
        <v>0</v>
      </c>
      <c r="T7" s="104">
        <v>0</v>
      </c>
      <c r="U7" s="104">
        <v>1</v>
      </c>
      <c r="V7" s="104">
        <v>1</v>
      </c>
      <c r="W7" s="104">
        <v>1</v>
      </c>
      <c r="X7" s="104">
        <v>1</v>
      </c>
      <c r="Y7" s="104">
        <v>0</v>
      </c>
      <c r="Z7" s="104">
        <v>1</v>
      </c>
      <c r="AA7" s="104">
        <v>0</v>
      </c>
      <c r="AB7" s="104">
        <v>1</v>
      </c>
      <c r="AC7" s="104">
        <v>1</v>
      </c>
      <c r="AD7" s="104">
        <v>0</v>
      </c>
      <c r="AE7" s="104">
        <v>0</v>
      </c>
      <c r="AF7" s="104">
        <v>0</v>
      </c>
      <c r="AG7" s="104">
        <v>0</v>
      </c>
    </row>
    <row r="8" spans="1:33" customFormat="1" x14ac:dyDescent="0.15">
      <c r="A8" s="185" t="s">
        <v>198</v>
      </c>
      <c r="B8" s="104">
        <v>0</v>
      </c>
      <c r="C8" s="104">
        <v>0</v>
      </c>
      <c r="D8" s="104">
        <v>0</v>
      </c>
      <c r="E8" s="104">
        <v>0</v>
      </c>
      <c r="F8" s="104">
        <v>0</v>
      </c>
      <c r="G8" s="104">
        <v>0</v>
      </c>
      <c r="H8" s="104">
        <v>1</v>
      </c>
      <c r="I8" s="104">
        <v>1</v>
      </c>
      <c r="J8" s="104">
        <v>1</v>
      </c>
      <c r="K8" s="104">
        <v>1</v>
      </c>
      <c r="L8" s="104">
        <v>1</v>
      </c>
      <c r="M8" s="104">
        <v>0</v>
      </c>
      <c r="N8" s="104">
        <v>0</v>
      </c>
      <c r="O8" s="104">
        <v>1</v>
      </c>
      <c r="P8" s="104">
        <v>1</v>
      </c>
      <c r="Q8" s="104">
        <v>1</v>
      </c>
      <c r="R8" s="104">
        <v>1</v>
      </c>
      <c r="S8" s="104">
        <v>1</v>
      </c>
      <c r="T8" s="104">
        <v>1</v>
      </c>
      <c r="U8" s="104">
        <v>0</v>
      </c>
      <c r="V8" s="104">
        <v>1</v>
      </c>
      <c r="W8" s="104">
        <v>1</v>
      </c>
      <c r="X8" s="104">
        <v>1</v>
      </c>
      <c r="Y8" s="104">
        <v>0</v>
      </c>
      <c r="Z8" s="104">
        <v>0</v>
      </c>
      <c r="AA8" s="104">
        <v>1</v>
      </c>
      <c r="AB8" s="104">
        <v>1</v>
      </c>
      <c r="AC8" s="104">
        <v>1</v>
      </c>
      <c r="AD8" s="104">
        <v>1</v>
      </c>
      <c r="AE8" s="104">
        <v>0</v>
      </c>
      <c r="AF8" s="104">
        <v>0</v>
      </c>
      <c r="AG8" s="104">
        <v>0</v>
      </c>
    </row>
    <row r="9" spans="1:33" customFormat="1" x14ac:dyDescent="0.15">
      <c r="A9" s="185" t="s">
        <v>199</v>
      </c>
      <c r="B9" s="104">
        <v>0</v>
      </c>
      <c r="C9" s="104">
        <v>0</v>
      </c>
      <c r="D9" s="104">
        <v>0</v>
      </c>
      <c r="E9" s="104">
        <v>0</v>
      </c>
      <c r="F9" s="104">
        <v>0</v>
      </c>
      <c r="G9" s="104">
        <v>0</v>
      </c>
      <c r="H9" s="104">
        <v>0</v>
      </c>
      <c r="I9" s="104">
        <v>1</v>
      </c>
      <c r="J9" s="104">
        <v>1</v>
      </c>
      <c r="K9" s="104">
        <v>0</v>
      </c>
      <c r="L9" s="104">
        <v>1</v>
      </c>
      <c r="M9" s="104">
        <v>0</v>
      </c>
      <c r="N9" s="104">
        <v>1</v>
      </c>
      <c r="O9" s="104">
        <v>0</v>
      </c>
      <c r="P9" s="104">
        <v>1</v>
      </c>
      <c r="Q9" s="104">
        <v>1</v>
      </c>
      <c r="R9" s="104">
        <v>0</v>
      </c>
      <c r="S9" s="104">
        <v>0</v>
      </c>
      <c r="T9" s="104">
        <v>1</v>
      </c>
      <c r="U9" s="104">
        <v>0</v>
      </c>
      <c r="V9" s="104">
        <v>1</v>
      </c>
      <c r="W9" s="104">
        <v>1</v>
      </c>
      <c r="X9" s="104">
        <v>1</v>
      </c>
      <c r="Y9" s="104">
        <v>0</v>
      </c>
      <c r="Z9" s="104">
        <v>0</v>
      </c>
      <c r="AA9" s="104">
        <v>0</v>
      </c>
      <c r="AB9" s="104">
        <v>0</v>
      </c>
      <c r="AC9" s="104">
        <v>0</v>
      </c>
      <c r="AD9" s="104">
        <v>0</v>
      </c>
      <c r="AE9" s="104">
        <v>0</v>
      </c>
      <c r="AF9" s="104">
        <v>0</v>
      </c>
      <c r="AG9" s="104">
        <v>0</v>
      </c>
    </row>
    <row r="10" spans="1:33" customFormat="1" x14ac:dyDescent="0.15">
      <c r="A10" s="185" t="s">
        <v>200</v>
      </c>
      <c r="B10" s="104">
        <v>0</v>
      </c>
      <c r="C10" s="104">
        <v>0</v>
      </c>
      <c r="D10" s="104">
        <v>0</v>
      </c>
      <c r="E10" s="104">
        <v>0</v>
      </c>
      <c r="F10" s="104">
        <v>1</v>
      </c>
      <c r="G10" s="104">
        <v>0</v>
      </c>
      <c r="H10" s="104">
        <v>0</v>
      </c>
      <c r="I10" s="104">
        <v>1</v>
      </c>
      <c r="J10" s="104">
        <v>1</v>
      </c>
      <c r="K10" s="104">
        <v>0</v>
      </c>
      <c r="L10" s="104">
        <v>1</v>
      </c>
      <c r="M10" s="104">
        <v>0</v>
      </c>
      <c r="N10" s="104">
        <v>1</v>
      </c>
      <c r="O10" s="104">
        <v>1</v>
      </c>
      <c r="P10" s="104">
        <v>1</v>
      </c>
      <c r="Q10" s="104">
        <v>1</v>
      </c>
      <c r="R10" s="104">
        <v>1</v>
      </c>
      <c r="S10" s="104">
        <v>1</v>
      </c>
      <c r="T10" s="104">
        <v>1</v>
      </c>
      <c r="U10" s="104">
        <v>1</v>
      </c>
      <c r="V10" s="104">
        <v>1</v>
      </c>
      <c r="W10" s="104">
        <v>1</v>
      </c>
      <c r="X10" s="104">
        <v>1</v>
      </c>
      <c r="Y10" s="104">
        <v>1</v>
      </c>
      <c r="Z10" s="104">
        <v>0</v>
      </c>
      <c r="AA10" s="104">
        <v>0</v>
      </c>
      <c r="AB10" s="104">
        <v>1</v>
      </c>
      <c r="AC10" s="104">
        <v>0</v>
      </c>
      <c r="AD10" s="104">
        <v>0</v>
      </c>
      <c r="AE10" s="104">
        <v>0</v>
      </c>
      <c r="AF10" s="104">
        <v>0</v>
      </c>
      <c r="AG10" s="104">
        <v>0</v>
      </c>
    </row>
    <row r="11" spans="1:33" customFormat="1" x14ac:dyDescent="0.15">
      <c r="A11" s="185" t="s">
        <v>201</v>
      </c>
      <c r="B11" s="104">
        <v>0</v>
      </c>
      <c r="C11" s="104">
        <v>0</v>
      </c>
      <c r="D11" s="104">
        <v>0</v>
      </c>
      <c r="E11" s="104">
        <v>0</v>
      </c>
      <c r="F11" s="104">
        <v>0</v>
      </c>
      <c r="G11" s="104">
        <v>0</v>
      </c>
      <c r="H11" s="104">
        <v>0</v>
      </c>
      <c r="I11" s="104">
        <v>1</v>
      </c>
      <c r="J11" s="104">
        <v>1</v>
      </c>
      <c r="K11" s="104">
        <v>1</v>
      </c>
      <c r="L11" s="104">
        <v>1</v>
      </c>
      <c r="M11" s="104">
        <v>0</v>
      </c>
      <c r="N11" s="104">
        <v>1</v>
      </c>
      <c r="O11" s="104">
        <v>0</v>
      </c>
      <c r="P11" s="104">
        <v>1</v>
      </c>
      <c r="Q11" s="104">
        <v>1</v>
      </c>
      <c r="R11" s="104">
        <v>1</v>
      </c>
      <c r="S11" s="104">
        <v>0</v>
      </c>
      <c r="T11" s="104">
        <v>0</v>
      </c>
      <c r="U11" s="104">
        <v>0</v>
      </c>
      <c r="V11" s="104">
        <v>1</v>
      </c>
      <c r="W11" s="104">
        <v>1</v>
      </c>
      <c r="X11" s="104">
        <v>1</v>
      </c>
      <c r="Y11" s="104">
        <v>0</v>
      </c>
      <c r="Z11" s="104">
        <v>0</v>
      </c>
      <c r="AA11" s="104">
        <v>0</v>
      </c>
      <c r="AB11" s="104">
        <v>1</v>
      </c>
      <c r="AC11" s="104">
        <v>0</v>
      </c>
      <c r="AD11" s="104">
        <v>0</v>
      </c>
      <c r="AE11" s="104">
        <v>0</v>
      </c>
      <c r="AF11" s="104">
        <v>0</v>
      </c>
      <c r="AG11" s="104">
        <v>0</v>
      </c>
    </row>
    <row r="12" spans="1:33" customFormat="1" x14ac:dyDescent="0.15">
      <c r="A12" s="185" t="s">
        <v>202</v>
      </c>
      <c r="B12" s="104">
        <v>0</v>
      </c>
      <c r="C12" s="104">
        <v>0</v>
      </c>
      <c r="D12" s="104">
        <v>0</v>
      </c>
      <c r="E12" s="104">
        <v>0</v>
      </c>
      <c r="F12" s="104">
        <v>1</v>
      </c>
      <c r="G12" s="104">
        <v>0</v>
      </c>
      <c r="H12" s="104">
        <v>0</v>
      </c>
      <c r="I12" s="104">
        <v>1</v>
      </c>
      <c r="J12" s="104">
        <v>1</v>
      </c>
      <c r="K12" s="104">
        <v>1</v>
      </c>
      <c r="L12" s="104">
        <v>1</v>
      </c>
      <c r="M12" s="104">
        <v>0</v>
      </c>
      <c r="N12" s="104">
        <v>1</v>
      </c>
      <c r="O12" s="104">
        <v>1</v>
      </c>
      <c r="P12" s="104">
        <v>1</v>
      </c>
      <c r="Q12" s="104">
        <v>1</v>
      </c>
      <c r="R12" s="104">
        <v>1</v>
      </c>
      <c r="S12" s="104">
        <v>1</v>
      </c>
      <c r="T12" s="104">
        <v>0</v>
      </c>
      <c r="U12" s="104">
        <v>1</v>
      </c>
      <c r="V12" s="104">
        <v>1</v>
      </c>
      <c r="W12" s="104">
        <v>1</v>
      </c>
      <c r="X12" s="104">
        <v>1</v>
      </c>
      <c r="Y12" s="104">
        <v>1</v>
      </c>
      <c r="Z12" s="104">
        <v>0</v>
      </c>
      <c r="AA12" s="104">
        <v>0</v>
      </c>
      <c r="AB12" s="104">
        <v>1</v>
      </c>
      <c r="AC12" s="104">
        <v>0</v>
      </c>
      <c r="AD12" s="104">
        <v>0</v>
      </c>
      <c r="AE12" s="104">
        <v>0</v>
      </c>
      <c r="AF12" s="104">
        <v>0</v>
      </c>
      <c r="AG12" s="104">
        <v>0</v>
      </c>
    </row>
    <row r="13" spans="1:33" customFormat="1" x14ac:dyDescent="0.15">
      <c r="A13" s="185" t="s">
        <v>203</v>
      </c>
      <c r="B13" s="104">
        <v>0</v>
      </c>
      <c r="C13" s="104">
        <v>0</v>
      </c>
      <c r="D13" s="104">
        <v>0</v>
      </c>
      <c r="E13" s="104">
        <v>0</v>
      </c>
      <c r="F13" s="104">
        <v>0</v>
      </c>
      <c r="G13" s="104">
        <v>0</v>
      </c>
      <c r="H13" s="104">
        <v>0</v>
      </c>
      <c r="I13" s="104">
        <v>1</v>
      </c>
      <c r="J13" s="104">
        <v>1</v>
      </c>
      <c r="K13" s="104">
        <v>1</v>
      </c>
      <c r="L13" s="104">
        <v>1</v>
      </c>
      <c r="M13" s="104">
        <v>0</v>
      </c>
      <c r="N13" s="104">
        <v>1</v>
      </c>
      <c r="O13" s="104">
        <v>0</v>
      </c>
      <c r="P13" s="104">
        <v>0</v>
      </c>
      <c r="Q13" s="104">
        <v>0</v>
      </c>
      <c r="R13" s="104">
        <v>0</v>
      </c>
      <c r="S13" s="104">
        <v>0</v>
      </c>
      <c r="T13" s="104">
        <v>0</v>
      </c>
      <c r="U13" s="104">
        <v>0</v>
      </c>
      <c r="V13" s="104">
        <v>1</v>
      </c>
      <c r="W13" s="104">
        <v>1</v>
      </c>
      <c r="X13" s="104">
        <v>1</v>
      </c>
      <c r="Y13" s="104">
        <v>0</v>
      </c>
      <c r="Z13" s="104">
        <v>0</v>
      </c>
      <c r="AA13" s="104">
        <v>0</v>
      </c>
      <c r="AB13" s="104">
        <v>0</v>
      </c>
      <c r="AC13" s="104">
        <v>0</v>
      </c>
      <c r="AD13" s="104">
        <v>0</v>
      </c>
      <c r="AE13" s="104">
        <v>0</v>
      </c>
      <c r="AF13" s="104">
        <v>0</v>
      </c>
      <c r="AG13" s="104">
        <v>0</v>
      </c>
    </row>
    <row r="14" spans="1:33" customFormat="1" x14ac:dyDescent="0.15">
      <c r="A14" s="185" t="s">
        <v>204</v>
      </c>
      <c r="B14" s="104">
        <v>0</v>
      </c>
      <c r="C14" s="104">
        <v>0</v>
      </c>
      <c r="D14" s="104">
        <v>0</v>
      </c>
      <c r="E14" s="104">
        <v>0</v>
      </c>
      <c r="F14" s="104">
        <v>0</v>
      </c>
      <c r="G14" s="104">
        <v>0</v>
      </c>
      <c r="H14" s="104">
        <v>0</v>
      </c>
      <c r="I14" s="104">
        <v>1</v>
      </c>
      <c r="J14" s="104">
        <v>1</v>
      </c>
      <c r="K14" s="104">
        <v>1</v>
      </c>
      <c r="L14" s="104">
        <v>1</v>
      </c>
      <c r="M14" s="104">
        <v>0</v>
      </c>
      <c r="N14" s="104">
        <v>1</v>
      </c>
      <c r="O14" s="104">
        <v>0</v>
      </c>
      <c r="P14" s="104">
        <v>0</v>
      </c>
      <c r="Q14" s="104">
        <v>0</v>
      </c>
      <c r="R14" s="104">
        <v>0</v>
      </c>
      <c r="S14" s="104">
        <v>0</v>
      </c>
      <c r="T14" s="104">
        <v>0</v>
      </c>
      <c r="U14" s="104">
        <v>1</v>
      </c>
      <c r="V14" s="104">
        <v>1</v>
      </c>
      <c r="W14" s="104">
        <v>1</v>
      </c>
      <c r="X14" s="104">
        <v>1</v>
      </c>
      <c r="Y14" s="104">
        <v>0</v>
      </c>
      <c r="Z14" s="104">
        <v>0</v>
      </c>
      <c r="AA14" s="104">
        <v>0</v>
      </c>
      <c r="AB14" s="104">
        <v>1</v>
      </c>
      <c r="AC14" s="104">
        <v>0</v>
      </c>
      <c r="AD14" s="104">
        <v>0</v>
      </c>
      <c r="AE14" s="104">
        <v>0</v>
      </c>
      <c r="AF14" s="104">
        <v>0</v>
      </c>
      <c r="AG14" s="104">
        <v>0</v>
      </c>
    </row>
    <row r="15" spans="1:33" customFormat="1" x14ac:dyDescent="0.15">
      <c r="A15" s="185" t="s">
        <v>205</v>
      </c>
      <c r="B15" s="104">
        <v>0</v>
      </c>
      <c r="C15" s="104">
        <v>0</v>
      </c>
      <c r="D15" s="104">
        <v>0</v>
      </c>
      <c r="E15" s="104">
        <v>0</v>
      </c>
      <c r="F15" s="104">
        <v>0</v>
      </c>
      <c r="G15" s="104">
        <v>0</v>
      </c>
      <c r="H15" s="104">
        <v>0</v>
      </c>
      <c r="I15" s="104">
        <v>0</v>
      </c>
      <c r="J15" s="104">
        <v>0</v>
      </c>
      <c r="K15" s="104">
        <v>0</v>
      </c>
      <c r="L15" s="104">
        <v>0</v>
      </c>
      <c r="M15" s="104">
        <v>0</v>
      </c>
      <c r="N15" s="104">
        <v>0</v>
      </c>
      <c r="O15" s="104">
        <v>1</v>
      </c>
      <c r="P15" s="104">
        <v>0</v>
      </c>
      <c r="Q15" s="104">
        <v>0</v>
      </c>
      <c r="R15" s="104">
        <v>0</v>
      </c>
      <c r="S15" s="104">
        <v>1</v>
      </c>
      <c r="T15" s="104">
        <v>0</v>
      </c>
      <c r="U15" s="104">
        <v>1</v>
      </c>
      <c r="V15" s="104">
        <v>1</v>
      </c>
      <c r="W15" s="104">
        <v>1</v>
      </c>
      <c r="X15" s="104">
        <v>1</v>
      </c>
      <c r="Y15" s="104">
        <v>0</v>
      </c>
      <c r="Z15" s="104">
        <v>0</v>
      </c>
      <c r="AA15" s="104">
        <v>0</v>
      </c>
      <c r="AB15" s="104">
        <v>0</v>
      </c>
      <c r="AC15" s="104">
        <v>0</v>
      </c>
      <c r="AD15" s="104">
        <v>1</v>
      </c>
      <c r="AE15" s="104">
        <v>0</v>
      </c>
      <c r="AF15" s="104">
        <v>0</v>
      </c>
      <c r="AG15" s="104">
        <v>0</v>
      </c>
    </row>
    <row r="16" spans="1:33" customFormat="1" x14ac:dyDescent="0.15">
      <c r="A16" s="185" t="s">
        <v>206</v>
      </c>
      <c r="B16" s="104">
        <v>0</v>
      </c>
      <c r="C16" s="104">
        <v>0</v>
      </c>
      <c r="D16" s="104">
        <v>0</v>
      </c>
      <c r="E16" s="104">
        <v>0</v>
      </c>
      <c r="F16" s="104">
        <v>0</v>
      </c>
      <c r="G16" s="104">
        <v>1</v>
      </c>
      <c r="H16" s="104">
        <v>0</v>
      </c>
      <c r="I16" s="104">
        <v>0</v>
      </c>
      <c r="J16" s="104">
        <v>0</v>
      </c>
      <c r="K16" s="104">
        <v>0</v>
      </c>
      <c r="L16" s="104">
        <v>0</v>
      </c>
      <c r="M16" s="104">
        <v>0</v>
      </c>
      <c r="N16" s="104">
        <v>0</v>
      </c>
      <c r="O16" s="104">
        <v>0</v>
      </c>
      <c r="P16" s="104">
        <v>1</v>
      </c>
      <c r="Q16" s="104">
        <v>1</v>
      </c>
      <c r="R16" s="104">
        <v>1</v>
      </c>
      <c r="S16" s="104">
        <v>1</v>
      </c>
      <c r="T16" s="104">
        <v>1</v>
      </c>
      <c r="U16" s="104">
        <v>1</v>
      </c>
      <c r="V16" s="104">
        <v>0</v>
      </c>
      <c r="W16" s="104">
        <v>1</v>
      </c>
      <c r="X16" s="104">
        <v>1</v>
      </c>
      <c r="Y16" s="104">
        <v>0</v>
      </c>
      <c r="Z16" s="104">
        <v>0</v>
      </c>
      <c r="AA16" s="104">
        <v>0</v>
      </c>
      <c r="AB16" s="104">
        <v>0</v>
      </c>
      <c r="AC16" s="104">
        <v>0</v>
      </c>
      <c r="AD16" s="104">
        <v>0</v>
      </c>
      <c r="AE16" s="104">
        <v>0</v>
      </c>
      <c r="AF16" s="104">
        <v>0</v>
      </c>
      <c r="AG16" s="104">
        <v>0</v>
      </c>
    </row>
    <row r="17" spans="1:33" customFormat="1" x14ac:dyDescent="0.15">
      <c r="A17" s="185" t="s">
        <v>207</v>
      </c>
      <c r="B17" s="104">
        <v>0</v>
      </c>
      <c r="C17" s="104">
        <v>0</v>
      </c>
      <c r="D17" s="104">
        <v>0</v>
      </c>
      <c r="E17" s="104">
        <v>0</v>
      </c>
      <c r="F17" s="104">
        <v>0</v>
      </c>
      <c r="G17" s="104">
        <v>1</v>
      </c>
      <c r="H17" s="104">
        <v>0</v>
      </c>
      <c r="I17" s="104">
        <v>0</v>
      </c>
      <c r="J17" s="104">
        <v>0</v>
      </c>
      <c r="K17" s="104">
        <v>0</v>
      </c>
      <c r="L17" s="104">
        <v>0</v>
      </c>
      <c r="M17" s="104">
        <v>0</v>
      </c>
      <c r="N17" s="104">
        <v>0</v>
      </c>
      <c r="O17" s="104">
        <v>0</v>
      </c>
      <c r="P17" s="104">
        <v>0</v>
      </c>
      <c r="Q17" s="104">
        <v>0</v>
      </c>
      <c r="R17" s="104">
        <v>0</v>
      </c>
      <c r="S17" s="104">
        <v>1</v>
      </c>
      <c r="T17" s="104">
        <v>0</v>
      </c>
      <c r="U17" s="104">
        <v>1</v>
      </c>
      <c r="V17" s="104">
        <v>1</v>
      </c>
      <c r="W17" s="104">
        <v>1</v>
      </c>
      <c r="X17" s="104">
        <v>1</v>
      </c>
      <c r="Y17" s="104">
        <v>1</v>
      </c>
      <c r="Z17" s="104">
        <v>1</v>
      </c>
      <c r="AA17" s="104">
        <v>1</v>
      </c>
      <c r="AB17" s="104">
        <v>1</v>
      </c>
      <c r="AC17" s="104">
        <v>1</v>
      </c>
      <c r="AD17" s="104">
        <v>1</v>
      </c>
      <c r="AE17" s="104">
        <v>0</v>
      </c>
      <c r="AF17" s="104">
        <v>0</v>
      </c>
      <c r="AG17" s="104">
        <v>0</v>
      </c>
    </row>
    <row r="18" spans="1:33" customFormat="1" x14ac:dyDescent="0.15">
      <c r="A18" s="185" t="s">
        <v>208</v>
      </c>
      <c r="B18" s="104">
        <v>0</v>
      </c>
      <c r="C18" s="104">
        <v>0</v>
      </c>
      <c r="D18" s="104">
        <v>0</v>
      </c>
      <c r="E18" s="104">
        <v>0</v>
      </c>
      <c r="F18" s="104">
        <v>0</v>
      </c>
      <c r="G18" s="104">
        <v>1</v>
      </c>
      <c r="H18" s="104">
        <v>0</v>
      </c>
      <c r="I18" s="104">
        <v>0</v>
      </c>
      <c r="J18" s="104">
        <v>0</v>
      </c>
      <c r="K18" s="104">
        <v>0</v>
      </c>
      <c r="L18" s="104">
        <v>0</v>
      </c>
      <c r="M18" s="104">
        <v>0</v>
      </c>
      <c r="N18" s="104">
        <v>0</v>
      </c>
      <c r="O18" s="104">
        <v>0</v>
      </c>
      <c r="P18" s="104">
        <v>0</v>
      </c>
      <c r="Q18" s="104">
        <v>0</v>
      </c>
      <c r="R18" s="104">
        <v>0</v>
      </c>
      <c r="S18" s="104">
        <v>1</v>
      </c>
      <c r="T18" s="104">
        <v>0</v>
      </c>
      <c r="U18" s="104">
        <v>1</v>
      </c>
      <c r="V18" s="104">
        <v>1</v>
      </c>
      <c r="W18" s="104">
        <v>1</v>
      </c>
      <c r="X18" s="104">
        <v>1</v>
      </c>
      <c r="Y18" s="104">
        <v>1</v>
      </c>
      <c r="Z18" s="104">
        <v>1</v>
      </c>
      <c r="AA18" s="104">
        <v>1</v>
      </c>
      <c r="AB18" s="104">
        <v>1</v>
      </c>
      <c r="AC18" s="104">
        <v>1</v>
      </c>
      <c r="AD18" s="104">
        <v>1</v>
      </c>
      <c r="AE18" s="104">
        <v>0</v>
      </c>
      <c r="AF18" s="104">
        <v>0</v>
      </c>
      <c r="AG18" s="104">
        <v>0</v>
      </c>
    </row>
    <row r="19" spans="1:33" customFormat="1" x14ac:dyDescent="0.15">
      <c r="A19" s="185" t="s">
        <v>209</v>
      </c>
      <c r="B19" s="104">
        <v>0</v>
      </c>
      <c r="C19" s="104">
        <v>0</v>
      </c>
      <c r="D19" s="104">
        <v>0</v>
      </c>
      <c r="E19" s="104">
        <v>0</v>
      </c>
      <c r="F19" s="104">
        <v>0</v>
      </c>
      <c r="G19" s="104">
        <v>1</v>
      </c>
      <c r="H19" s="104">
        <v>0</v>
      </c>
      <c r="I19" s="104">
        <v>0</v>
      </c>
      <c r="J19" s="104">
        <v>0</v>
      </c>
      <c r="K19" s="104">
        <v>0</v>
      </c>
      <c r="L19" s="104">
        <v>0</v>
      </c>
      <c r="M19" s="104">
        <v>0</v>
      </c>
      <c r="N19" s="104">
        <v>0</v>
      </c>
      <c r="O19" s="104">
        <v>0</v>
      </c>
      <c r="P19" s="104">
        <v>0</v>
      </c>
      <c r="Q19" s="104">
        <v>0</v>
      </c>
      <c r="R19" s="104">
        <v>0</v>
      </c>
      <c r="S19" s="104">
        <v>1</v>
      </c>
      <c r="T19" s="104">
        <v>0</v>
      </c>
      <c r="U19" s="104">
        <v>1</v>
      </c>
      <c r="V19" s="104">
        <v>1</v>
      </c>
      <c r="W19" s="104">
        <v>1</v>
      </c>
      <c r="X19" s="104">
        <v>1</v>
      </c>
      <c r="Y19" s="104">
        <v>1</v>
      </c>
      <c r="Z19" s="104">
        <v>1</v>
      </c>
      <c r="AA19" s="104">
        <v>0</v>
      </c>
      <c r="AB19" s="104">
        <v>1</v>
      </c>
      <c r="AC19" s="104">
        <v>1</v>
      </c>
      <c r="AD19" s="104">
        <v>1</v>
      </c>
      <c r="AE19" s="104">
        <v>0</v>
      </c>
      <c r="AF19" s="104">
        <v>0</v>
      </c>
      <c r="AG19" s="104">
        <v>0</v>
      </c>
    </row>
    <row r="20" spans="1:33" customFormat="1" x14ac:dyDescent="0.15">
      <c r="A20" s="185" t="s">
        <v>210</v>
      </c>
      <c r="B20" s="104">
        <v>0</v>
      </c>
      <c r="C20" s="104">
        <v>0</v>
      </c>
      <c r="D20" s="104">
        <v>0</v>
      </c>
      <c r="E20" s="104">
        <v>0</v>
      </c>
      <c r="F20" s="104">
        <v>0</v>
      </c>
      <c r="G20" s="104">
        <v>1</v>
      </c>
      <c r="H20" s="104">
        <v>0</v>
      </c>
      <c r="I20" s="104">
        <v>0</v>
      </c>
      <c r="J20" s="104">
        <v>0</v>
      </c>
      <c r="K20" s="104">
        <v>0</v>
      </c>
      <c r="L20" s="104">
        <v>0</v>
      </c>
      <c r="M20" s="104">
        <v>0</v>
      </c>
      <c r="N20" s="104">
        <v>0</v>
      </c>
      <c r="O20" s="104">
        <v>0</v>
      </c>
      <c r="P20" s="104">
        <v>0</v>
      </c>
      <c r="Q20" s="104">
        <v>0</v>
      </c>
      <c r="R20" s="104">
        <v>0</v>
      </c>
      <c r="S20" s="104">
        <v>1</v>
      </c>
      <c r="T20" s="104">
        <v>0</v>
      </c>
      <c r="U20" s="104">
        <v>1</v>
      </c>
      <c r="V20" s="104">
        <v>0</v>
      </c>
      <c r="W20" s="104">
        <v>0</v>
      </c>
      <c r="X20" s="104">
        <v>1</v>
      </c>
      <c r="Y20" s="104">
        <v>1</v>
      </c>
      <c r="Z20" s="104">
        <v>0</v>
      </c>
      <c r="AA20" s="104">
        <v>1</v>
      </c>
      <c r="AB20" s="104">
        <v>1</v>
      </c>
      <c r="AC20" s="104">
        <v>1</v>
      </c>
      <c r="AD20" s="104">
        <v>1</v>
      </c>
      <c r="AE20" s="104">
        <v>0</v>
      </c>
      <c r="AF20" s="104">
        <v>0</v>
      </c>
      <c r="AG20" s="104">
        <v>0</v>
      </c>
    </row>
    <row r="21" spans="1:33" customFormat="1" x14ac:dyDescent="0.15">
      <c r="A21" s="185" t="s">
        <v>211</v>
      </c>
      <c r="B21" s="104">
        <v>0</v>
      </c>
      <c r="C21" s="104">
        <v>0</v>
      </c>
      <c r="D21" s="104">
        <v>0</v>
      </c>
      <c r="E21" s="104">
        <v>0</v>
      </c>
      <c r="F21" s="104">
        <v>0</v>
      </c>
      <c r="G21" s="104">
        <v>0</v>
      </c>
      <c r="H21" s="104">
        <v>0</v>
      </c>
      <c r="I21" s="104">
        <v>0</v>
      </c>
      <c r="J21" s="104">
        <v>0</v>
      </c>
      <c r="K21" s="104">
        <v>0</v>
      </c>
      <c r="L21" s="104">
        <v>0</v>
      </c>
      <c r="M21" s="104">
        <v>0</v>
      </c>
      <c r="N21" s="104">
        <v>0</v>
      </c>
      <c r="O21" s="104">
        <v>0</v>
      </c>
      <c r="P21" s="104">
        <v>0</v>
      </c>
      <c r="Q21" s="104">
        <v>0</v>
      </c>
      <c r="R21" s="104">
        <v>0</v>
      </c>
      <c r="S21" s="104">
        <v>0</v>
      </c>
      <c r="T21" s="104">
        <v>0</v>
      </c>
      <c r="U21" s="104">
        <v>1</v>
      </c>
      <c r="V21" s="104">
        <v>0</v>
      </c>
      <c r="W21" s="104">
        <v>0</v>
      </c>
      <c r="X21" s="104">
        <v>0</v>
      </c>
      <c r="Y21" s="104">
        <v>1</v>
      </c>
      <c r="Z21" s="104">
        <v>0</v>
      </c>
      <c r="AA21" s="104">
        <v>1</v>
      </c>
      <c r="AB21" s="104">
        <v>0</v>
      </c>
      <c r="AC21" s="104">
        <v>1</v>
      </c>
      <c r="AD21" s="104">
        <v>1</v>
      </c>
      <c r="AE21" s="104">
        <v>0</v>
      </c>
      <c r="AF21" s="104">
        <v>0</v>
      </c>
      <c r="AG21" s="104">
        <v>0</v>
      </c>
    </row>
    <row r="22" spans="1:33" customFormat="1" x14ac:dyDescent="0.15">
      <c r="A22" s="185" t="s">
        <v>212</v>
      </c>
      <c r="B22" s="104">
        <v>0</v>
      </c>
      <c r="C22" s="104">
        <v>0</v>
      </c>
      <c r="D22" s="104">
        <v>0</v>
      </c>
      <c r="E22" s="104">
        <v>0</v>
      </c>
      <c r="F22" s="104">
        <v>0</v>
      </c>
      <c r="G22" s="104">
        <v>0</v>
      </c>
      <c r="H22" s="104">
        <v>0</v>
      </c>
      <c r="I22" s="104">
        <v>0</v>
      </c>
      <c r="J22" s="104">
        <v>1</v>
      </c>
      <c r="K22" s="104">
        <v>0</v>
      </c>
      <c r="L22" s="104">
        <v>1</v>
      </c>
      <c r="M22" s="104">
        <v>0</v>
      </c>
      <c r="N22" s="104">
        <v>1</v>
      </c>
      <c r="O22" s="104">
        <v>0</v>
      </c>
      <c r="P22" s="104">
        <v>0</v>
      </c>
      <c r="Q22" s="104">
        <v>1</v>
      </c>
      <c r="R22" s="104">
        <v>0</v>
      </c>
      <c r="S22" s="104">
        <v>0</v>
      </c>
      <c r="T22" s="104">
        <v>0</v>
      </c>
      <c r="U22" s="104">
        <v>1</v>
      </c>
      <c r="V22" s="104">
        <v>1</v>
      </c>
      <c r="W22" s="104">
        <v>1</v>
      </c>
      <c r="X22" s="104">
        <v>1</v>
      </c>
      <c r="Y22" s="104">
        <v>1</v>
      </c>
      <c r="Z22" s="104">
        <v>0</v>
      </c>
      <c r="AA22" s="104">
        <v>1</v>
      </c>
      <c r="AB22" s="104">
        <v>0</v>
      </c>
      <c r="AC22" s="104">
        <v>0</v>
      </c>
      <c r="AD22" s="104">
        <v>0</v>
      </c>
      <c r="AE22" s="104">
        <v>0</v>
      </c>
      <c r="AF22" s="104">
        <v>0</v>
      </c>
      <c r="AG22" s="104">
        <v>0</v>
      </c>
    </row>
    <row r="23" spans="1:33" customFormat="1" x14ac:dyDescent="0.15">
      <c r="A23" s="185" t="s">
        <v>213</v>
      </c>
      <c r="B23" s="104">
        <v>0</v>
      </c>
      <c r="C23" s="104">
        <v>0</v>
      </c>
      <c r="D23" s="104">
        <v>0</v>
      </c>
      <c r="E23" s="104">
        <v>0</v>
      </c>
      <c r="F23" s="104">
        <v>0</v>
      </c>
      <c r="G23" s="104">
        <v>0</v>
      </c>
      <c r="H23" s="104">
        <v>0</v>
      </c>
      <c r="I23" s="104">
        <v>0</v>
      </c>
      <c r="J23" s="104">
        <v>1</v>
      </c>
      <c r="K23" s="104">
        <v>0</v>
      </c>
      <c r="L23" s="104">
        <v>1</v>
      </c>
      <c r="M23" s="104">
        <v>0</v>
      </c>
      <c r="N23" s="104">
        <v>1</v>
      </c>
      <c r="O23" s="104">
        <v>0</v>
      </c>
      <c r="P23" s="104">
        <v>0</v>
      </c>
      <c r="Q23" s="104">
        <v>1</v>
      </c>
      <c r="R23" s="104">
        <v>0</v>
      </c>
      <c r="S23" s="104">
        <v>0</v>
      </c>
      <c r="T23" s="104">
        <v>0</v>
      </c>
      <c r="U23" s="104">
        <v>1</v>
      </c>
      <c r="V23" s="104">
        <v>1</v>
      </c>
      <c r="W23" s="104">
        <v>1</v>
      </c>
      <c r="X23" s="104">
        <v>1</v>
      </c>
      <c r="Y23" s="104">
        <v>1</v>
      </c>
      <c r="Z23" s="104">
        <v>0</v>
      </c>
      <c r="AA23" s="104">
        <v>1</v>
      </c>
      <c r="AB23" s="104">
        <v>0</v>
      </c>
      <c r="AC23" s="104">
        <v>1</v>
      </c>
      <c r="AD23" s="104">
        <v>1</v>
      </c>
      <c r="AE23" s="104">
        <v>0</v>
      </c>
      <c r="AF23" s="104">
        <v>0</v>
      </c>
      <c r="AG23" s="104">
        <v>0</v>
      </c>
    </row>
    <row r="24" spans="1:33" customFormat="1" x14ac:dyDescent="0.15">
      <c r="A24" s="185" t="s">
        <v>214</v>
      </c>
      <c r="B24" s="104">
        <v>0</v>
      </c>
      <c r="C24" s="104">
        <v>0</v>
      </c>
      <c r="D24" s="104">
        <v>0</v>
      </c>
      <c r="E24" s="104">
        <v>0</v>
      </c>
      <c r="F24" s="104">
        <v>0</v>
      </c>
      <c r="G24" s="104">
        <v>0</v>
      </c>
      <c r="H24" s="104">
        <v>0</v>
      </c>
      <c r="I24" s="104">
        <v>0</v>
      </c>
      <c r="J24" s="104">
        <v>0</v>
      </c>
      <c r="K24" s="104">
        <v>0</v>
      </c>
      <c r="L24" s="104">
        <v>1</v>
      </c>
      <c r="M24" s="104">
        <v>0</v>
      </c>
      <c r="N24" s="104">
        <v>1</v>
      </c>
      <c r="O24" s="104">
        <v>0</v>
      </c>
      <c r="P24" s="104">
        <v>0</v>
      </c>
      <c r="Q24" s="104">
        <v>1</v>
      </c>
      <c r="R24" s="104">
        <v>0</v>
      </c>
      <c r="S24" s="104">
        <v>0</v>
      </c>
      <c r="T24" s="104">
        <v>0</v>
      </c>
      <c r="U24" s="104">
        <v>1</v>
      </c>
      <c r="V24" s="104">
        <v>1</v>
      </c>
      <c r="W24" s="104">
        <v>1</v>
      </c>
      <c r="X24" s="104">
        <v>1</v>
      </c>
      <c r="Y24" s="104">
        <v>1</v>
      </c>
      <c r="Z24" s="104">
        <v>0</v>
      </c>
      <c r="AA24" s="104">
        <v>1</v>
      </c>
      <c r="AB24" s="104">
        <v>0</v>
      </c>
      <c r="AC24" s="104">
        <v>1</v>
      </c>
      <c r="AD24" s="104">
        <v>1</v>
      </c>
      <c r="AE24" s="104">
        <v>0</v>
      </c>
      <c r="AF24" s="104">
        <v>0</v>
      </c>
      <c r="AG24" s="104">
        <v>0</v>
      </c>
    </row>
    <row r="25" spans="1:33" customFormat="1" x14ac:dyDescent="0.15">
      <c r="A25" s="185" t="s">
        <v>215</v>
      </c>
      <c r="B25" s="104">
        <v>0</v>
      </c>
      <c r="C25" s="104">
        <v>0</v>
      </c>
      <c r="D25" s="104">
        <v>0</v>
      </c>
      <c r="E25" s="104">
        <v>0</v>
      </c>
      <c r="F25" s="104">
        <v>0</v>
      </c>
      <c r="G25" s="104">
        <v>0</v>
      </c>
      <c r="H25" s="104">
        <v>0</v>
      </c>
      <c r="I25" s="104">
        <v>0</v>
      </c>
      <c r="J25" s="104">
        <v>0</v>
      </c>
      <c r="K25" s="104">
        <v>0</v>
      </c>
      <c r="L25" s="104">
        <v>0</v>
      </c>
      <c r="M25" s="104">
        <v>0</v>
      </c>
      <c r="N25" s="104">
        <v>0</v>
      </c>
      <c r="O25" s="104">
        <v>0</v>
      </c>
      <c r="P25" s="104">
        <v>0</v>
      </c>
      <c r="Q25" s="104">
        <v>0</v>
      </c>
      <c r="R25" s="104">
        <v>0</v>
      </c>
      <c r="S25" s="104">
        <v>0</v>
      </c>
      <c r="T25" s="104">
        <v>0</v>
      </c>
      <c r="U25" s="104">
        <v>0</v>
      </c>
      <c r="V25" s="104">
        <v>0</v>
      </c>
      <c r="W25" s="104">
        <v>0</v>
      </c>
      <c r="X25" s="104">
        <v>0</v>
      </c>
      <c r="Y25" s="104">
        <v>1</v>
      </c>
      <c r="Z25" s="104">
        <v>0</v>
      </c>
      <c r="AA25" s="104">
        <v>0</v>
      </c>
      <c r="AB25" s="104">
        <v>0</v>
      </c>
      <c r="AC25" s="104">
        <v>0</v>
      </c>
      <c r="AD25" s="104">
        <v>0</v>
      </c>
      <c r="AE25" s="104">
        <v>0</v>
      </c>
      <c r="AF25" s="104">
        <v>0</v>
      </c>
      <c r="AG25" s="104">
        <v>0</v>
      </c>
    </row>
    <row r="26" spans="1:33" customFormat="1" x14ac:dyDescent="0.15">
      <c r="A26" s="185" t="s">
        <v>216</v>
      </c>
      <c r="B26" s="104">
        <v>0</v>
      </c>
      <c r="C26" s="104">
        <v>0</v>
      </c>
      <c r="D26" s="104">
        <v>0</v>
      </c>
      <c r="E26" s="104">
        <v>0</v>
      </c>
      <c r="F26" s="104">
        <v>0</v>
      </c>
      <c r="G26" s="104">
        <v>0</v>
      </c>
      <c r="H26" s="104">
        <v>0</v>
      </c>
      <c r="I26" s="104">
        <v>0</v>
      </c>
      <c r="J26" s="104">
        <v>0</v>
      </c>
      <c r="K26" s="104">
        <v>0</v>
      </c>
      <c r="L26" s="104">
        <v>0</v>
      </c>
      <c r="M26" s="104">
        <v>0</v>
      </c>
      <c r="N26" s="104">
        <v>0</v>
      </c>
      <c r="O26" s="104">
        <v>0</v>
      </c>
      <c r="P26" s="104">
        <v>0</v>
      </c>
      <c r="Q26" s="104">
        <v>0</v>
      </c>
      <c r="R26" s="104">
        <v>0</v>
      </c>
      <c r="S26" s="104">
        <v>0</v>
      </c>
      <c r="T26" s="104">
        <v>0</v>
      </c>
      <c r="U26" s="104">
        <v>0</v>
      </c>
      <c r="V26" s="104">
        <v>0</v>
      </c>
      <c r="W26" s="104">
        <v>0</v>
      </c>
      <c r="X26" s="104">
        <v>0</v>
      </c>
      <c r="Y26" s="104">
        <v>1</v>
      </c>
      <c r="Z26" s="104">
        <v>0</v>
      </c>
      <c r="AA26" s="104">
        <v>0</v>
      </c>
      <c r="AB26" s="104">
        <v>0</v>
      </c>
      <c r="AC26" s="104">
        <v>0</v>
      </c>
      <c r="AD26" s="104">
        <v>0</v>
      </c>
      <c r="AE26" s="104">
        <v>0</v>
      </c>
      <c r="AF26" s="104">
        <v>0</v>
      </c>
      <c r="AG26" s="104">
        <v>0</v>
      </c>
    </row>
    <row r="27" spans="1:33" customFormat="1" x14ac:dyDescent="0.15">
      <c r="A27" s="185" t="s">
        <v>217</v>
      </c>
      <c r="B27" s="104">
        <v>0</v>
      </c>
      <c r="C27" s="104">
        <v>0</v>
      </c>
      <c r="D27" s="104">
        <v>0</v>
      </c>
      <c r="E27" s="104">
        <v>0</v>
      </c>
      <c r="F27" s="104">
        <v>0</v>
      </c>
      <c r="G27" s="104">
        <v>0</v>
      </c>
      <c r="H27" s="104">
        <v>0</v>
      </c>
      <c r="I27" s="104">
        <v>0</v>
      </c>
      <c r="J27" s="104">
        <v>0</v>
      </c>
      <c r="K27" s="104">
        <v>0</v>
      </c>
      <c r="L27" s="104">
        <v>0</v>
      </c>
      <c r="M27" s="104">
        <v>0</v>
      </c>
      <c r="N27" s="104">
        <v>0</v>
      </c>
      <c r="O27" s="104">
        <v>0</v>
      </c>
      <c r="P27" s="104">
        <v>0</v>
      </c>
      <c r="Q27" s="104">
        <v>0</v>
      </c>
      <c r="R27" s="104">
        <v>0</v>
      </c>
      <c r="S27" s="104">
        <v>0</v>
      </c>
      <c r="T27" s="104">
        <v>0</v>
      </c>
      <c r="U27" s="104">
        <v>0</v>
      </c>
      <c r="V27" s="104">
        <v>0</v>
      </c>
      <c r="W27" s="104">
        <v>0</v>
      </c>
      <c r="X27" s="104">
        <v>0</v>
      </c>
      <c r="Y27" s="104">
        <v>1</v>
      </c>
      <c r="Z27" s="104">
        <v>0</v>
      </c>
      <c r="AA27" s="104">
        <v>0</v>
      </c>
      <c r="AB27" s="104">
        <v>0</v>
      </c>
      <c r="AC27" s="104">
        <v>0</v>
      </c>
      <c r="AD27" s="104">
        <v>0</v>
      </c>
      <c r="AE27" s="104">
        <v>0</v>
      </c>
      <c r="AF27" s="104">
        <v>0</v>
      </c>
      <c r="AG27" s="104">
        <v>0</v>
      </c>
    </row>
    <row r="28" spans="1:33" customFormat="1" x14ac:dyDescent="0.15">
      <c r="A28" s="185" t="s">
        <v>218</v>
      </c>
      <c r="B28" s="104">
        <v>0</v>
      </c>
      <c r="C28" s="104">
        <v>0</v>
      </c>
      <c r="D28" s="104">
        <v>0</v>
      </c>
      <c r="E28" s="104">
        <v>0</v>
      </c>
      <c r="F28" s="104">
        <v>0</v>
      </c>
      <c r="G28" s="104">
        <v>0</v>
      </c>
      <c r="H28" s="104">
        <v>0</v>
      </c>
      <c r="I28" s="104">
        <v>0</v>
      </c>
      <c r="J28" s="104">
        <v>0</v>
      </c>
      <c r="K28" s="104">
        <v>0</v>
      </c>
      <c r="L28" s="104">
        <v>0</v>
      </c>
      <c r="M28" s="104">
        <v>0</v>
      </c>
      <c r="N28" s="104">
        <v>0</v>
      </c>
      <c r="O28" s="104">
        <v>0</v>
      </c>
      <c r="P28" s="104">
        <v>0</v>
      </c>
      <c r="Q28" s="104">
        <v>0</v>
      </c>
      <c r="R28" s="104">
        <v>0</v>
      </c>
      <c r="S28" s="104">
        <v>0</v>
      </c>
      <c r="T28" s="104">
        <v>0</v>
      </c>
      <c r="U28" s="104">
        <v>0</v>
      </c>
      <c r="V28" s="104">
        <v>0</v>
      </c>
      <c r="W28" s="104">
        <v>0</v>
      </c>
      <c r="X28" s="104">
        <v>0</v>
      </c>
      <c r="Y28" s="104">
        <v>1</v>
      </c>
      <c r="Z28" s="104">
        <v>0</v>
      </c>
      <c r="AA28" s="104">
        <v>0</v>
      </c>
      <c r="AB28" s="104">
        <v>0</v>
      </c>
      <c r="AC28" s="104">
        <v>0</v>
      </c>
      <c r="AD28" s="104">
        <v>0</v>
      </c>
      <c r="AE28" s="104">
        <v>0</v>
      </c>
      <c r="AF28" s="104">
        <v>0</v>
      </c>
      <c r="AG28" s="104">
        <v>0</v>
      </c>
    </row>
    <row r="29" spans="1:33" customFormat="1" x14ac:dyDescent="0.15">
      <c r="A29" s="185" t="s">
        <v>219</v>
      </c>
      <c r="B29" s="104">
        <v>0</v>
      </c>
      <c r="C29" s="104">
        <v>0</v>
      </c>
      <c r="D29" s="104">
        <v>0</v>
      </c>
      <c r="E29" s="104">
        <v>0</v>
      </c>
      <c r="F29" s="104">
        <v>0</v>
      </c>
      <c r="G29" s="104">
        <v>0</v>
      </c>
      <c r="H29" s="104">
        <v>0</v>
      </c>
      <c r="I29" s="104">
        <v>0</v>
      </c>
      <c r="J29" s="104">
        <v>0</v>
      </c>
      <c r="K29" s="104">
        <v>0</v>
      </c>
      <c r="L29" s="104">
        <v>0</v>
      </c>
      <c r="M29" s="104">
        <v>0</v>
      </c>
      <c r="N29" s="104">
        <v>0</v>
      </c>
      <c r="O29" s="104">
        <v>0</v>
      </c>
      <c r="P29" s="104">
        <v>0</v>
      </c>
      <c r="Q29" s="104">
        <v>0</v>
      </c>
      <c r="R29" s="104">
        <v>0</v>
      </c>
      <c r="S29" s="104">
        <v>0</v>
      </c>
      <c r="T29" s="104">
        <v>0</v>
      </c>
      <c r="U29" s="104">
        <v>0</v>
      </c>
      <c r="V29" s="104">
        <v>0</v>
      </c>
      <c r="W29" s="104">
        <v>0</v>
      </c>
      <c r="X29" s="104">
        <v>0</v>
      </c>
      <c r="Y29" s="104">
        <v>1</v>
      </c>
      <c r="Z29" s="104">
        <v>0</v>
      </c>
      <c r="AA29" s="104">
        <v>0</v>
      </c>
      <c r="AB29" s="104">
        <v>0</v>
      </c>
      <c r="AC29" s="104">
        <v>1</v>
      </c>
      <c r="AD29" s="104">
        <v>0</v>
      </c>
      <c r="AE29" s="104">
        <v>0</v>
      </c>
      <c r="AF29" s="104">
        <v>0</v>
      </c>
      <c r="AG29" s="104">
        <v>0</v>
      </c>
    </row>
    <row r="30" spans="1:33" customFormat="1" x14ac:dyDescent="0.15">
      <c r="A30" s="185" t="s">
        <v>220</v>
      </c>
      <c r="B30" s="104">
        <v>0</v>
      </c>
      <c r="C30" s="104">
        <v>0</v>
      </c>
      <c r="D30" s="104">
        <v>0</v>
      </c>
      <c r="E30" s="104">
        <v>0</v>
      </c>
      <c r="F30" s="104">
        <v>0</v>
      </c>
      <c r="G30" s="104">
        <v>0</v>
      </c>
      <c r="H30" s="104">
        <v>0</v>
      </c>
      <c r="I30" s="104">
        <v>0</v>
      </c>
      <c r="J30" s="104">
        <v>0</v>
      </c>
      <c r="K30" s="104">
        <v>0</v>
      </c>
      <c r="L30" s="104">
        <v>0</v>
      </c>
      <c r="M30" s="104">
        <v>0</v>
      </c>
      <c r="N30" s="104">
        <v>0</v>
      </c>
      <c r="O30" s="104">
        <v>0</v>
      </c>
      <c r="P30" s="104">
        <v>0</v>
      </c>
      <c r="Q30" s="104">
        <v>0</v>
      </c>
      <c r="R30" s="104">
        <v>0</v>
      </c>
      <c r="S30" s="104">
        <v>0</v>
      </c>
      <c r="T30" s="104">
        <v>0</v>
      </c>
      <c r="U30" s="104">
        <v>0</v>
      </c>
      <c r="V30" s="104">
        <v>0</v>
      </c>
      <c r="W30" s="104">
        <v>0</v>
      </c>
      <c r="X30" s="104">
        <v>0</v>
      </c>
      <c r="Y30" s="104">
        <v>1</v>
      </c>
      <c r="Z30" s="104">
        <v>0</v>
      </c>
      <c r="AA30" s="104">
        <v>0</v>
      </c>
      <c r="AB30" s="104">
        <v>0</v>
      </c>
      <c r="AC30" s="104">
        <v>0</v>
      </c>
      <c r="AD30" s="104">
        <v>0</v>
      </c>
      <c r="AE30" s="104">
        <v>0</v>
      </c>
      <c r="AF30" s="104">
        <v>0</v>
      </c>
      <c r="AG30" s="104">
        <v>0</v>
      </c>
    </row>
    <row r="31" spans="1:33" customFormat="1" x14ac:dyDescent="0.15">
      <c r="A31" s="185" t="s">
        <v>221</v>
      </c>
      <c r="B31" s="104">
        <v>0</v>
      </c>
      <c r="C31" s="104">
        <v>0</v>
      </c>
      <c r="D31" s="104">
        <v>0</v>
      </c>
      <c r="E31" s="104">
        <v>0</v>
      </c>
      <c r="F31" s="104">
        <v>0</v>
      </c>
      <c r="G31" s="104">
        <v>0</v>
      </c>
      <c r="H31" s="104">
        <v>0</v>
      </c>
      <c r="I31" s="104">
        <v>1</v>
      </c>
      <c r="J31" s="104">
        <v>1</v>
      </c>
      <c r="K31" s="104">
        <v>1</v>
      </c>
      <c r="L31" s="104">
        <v>1</v>
      </c>
      <c r="M31" s="104">
        <v>0</v>
      </c>
      <c r="N31" s="104">
        <v>1</v>
      </c>
      <c r="O31" s="104">
        <v>1</v>
      </c>
      <c r="P31" s="104">
        <v>0</v>
      </c>
      <c r="Q31" s="104">
        <v>0</v>
      </c>
      <c r="R31" s="104">
        <v>0</v>
      </c>
      <c r="S31" s="104">
        <v>0</v>
      </c>
      <c r="T31" s="104">
        <v>0</v>
      </c>
      <c r="U31" s="104">
        <v>0</v>
      </c>
      <c r="V31" s="104">
        <v>1</v>
      </c>
      <c r="W31" s="104">
        <v>1</v>
      </c>
      <c r="X31" s="104">
        <v>0</v>
      </c>
      <c r="Y31" s="104">
        <v>0</v>
      </c>
      <c r="Z31" s="104">
        <v>0</v>
      </c>
      <c r="AA31" s="104">
        <v>0</v>
      </c>
      <c r="AB31" s="104">
        <v>0</v>
      </c>
      <c r="AC31" s="104">
        <v>0</v>
      </c>
      <c r="AD31" s="104">
        <v>1</v>
      </c>
      <c r="AE31" s="104">
        <v>0</v>
      </c>
      <c r="AF31" s="104">
        <v>0</v>
      </c>
      <c r="AG31" s="104">
        <v>0</v>
      </c>
    </row>
    <row r="32" spans="1:33" x14ac:dyDescent="0.15">
      <c r="A32" s="185" t="s">
        <v>222</v>
      </c>
      <c r="B32" s="104">
        <v>0</v>
      </c>
      <c r="C32" s="104">
        <v>1</v>
      </c>
      <c r="D32" s="104">
        <v>1</v>
      </c>
      <c r="E32" s="104">
        <v>1</v>
      </c>
      <c r="F32" s="104">
        <v>1</v>
      </c>
      <c r="G32" s="104">
        <v>1</v>
      </c>
      <c r="H32" s="104">
        <v>1</v>
      </c>
      <c r="I32" s="104">
        <v>1</v>
      </c>
      <c r="J32" s="104">
        <v>1</v>
      </c>
      <c r="K32" s="104">
        <v>1</v>
      </c>
      <c r="L32" s="104">
        <v>1</v>
      </c>
      <c r="M32" s="104">
        <v>1</v>
      </c>
      <c r="N32" s="104">
        <v>1</v>
      </c>
      <c r="O32" s="104">
        <v>1</v>
      </c>
      <c r="P32" s="104">
        <v>1</v>
      </c>
      <c r="Q32" s="104">
        <v>0</v>
      </c>
      <c r="R32" s="104">
        <v>0</v>
      </c>
      <c r="S32" s="104">
        <v>0</v>
      </c>
      <c r="T32" s="104">
        <v>0</v>
      </c>
      <c r="U32" s="104">
        <v>0</v>
      </c>
      <c r="V32" s="104">
        <v>1</v>
      </c>
      <c r="W32" s="104">
        <v>1</v>
      </c>
      <c r="X32" s="104">
        <v>0</v>
      </c>
      <c r="Y32" s="104">
        <v>1</v>
      </c>
      <c r="Z32" s="104">
        <v>0</v>
      </c>
      <c r="AA32" s="104">
        <v>0</v>
      </c>
      <c r="AB32" s="104">
        <v>1</v>
      </c>
      <c r="AC32" s="104">
        <v>0</v>
      </c>
      <c r="AD32" s="104">
        <v>0</v>
      </c>
      <c r="AE32" s="104">
        <v>0</v>
      </c>
      <c r="AF32" s="104">
        <v>0</v>
      </c>
      <c r="AG32" s="104">
        <v>0</v>
      </c>
    </row>
    <row r="33" spans="1:33" x14ac:dyDescent="0.15">
      <c r="A33" s="185" t="s">
        <v>223</v>
      </c>
      <c r="B33" s="104">
        <v>0</v>
      </c>
      <c r="C33" s="104">
        <v>0</v>
      </c>
      <c r="D33" s="104">
        <v>0</v>
      </c>
      <c r="E33" s="104">
        <v>0</v>
      </c>
      <c r="F33" s="104">
        <v>0</v>
      </c>
      <c r="G33" s="104">
        <v>0</v>
      </c>
      <c r="H33" s="104">
        <v>0</v>
      </c>
      <c r="I33" s="104">
        <v>0</v>
      </c>
      <c r="J33" s="104">
        <v>0</v>
      </c>
      <c r="K33" s="104">
        <v>0</v>
      </c>
      <c r="L33" s="104">
        <v>0</v>
      </c>
      <c r="M33" s="104">
        <v>0</v>
      </c>
      <c r="N33" s="104">
        <v>0</v>
      </c>
      <c r="O33" s="104">
        <v>0</v>
      </c>
      <c r="P33" s="104">
        <v>0</v>
      </c>
      <c r="Q33" s="104">
        <v>0</v>
      </c>
      <c r="R33" s="104">
        <v>0</v>
      </c>
      <c r="S33" s="104">
        <v>0</v>
      </c>
      <c r="T33" s="104">
        <v>0</v>
      </c>
      <c r="U33" s="104">
        <v>0</v>
      </c>
      <c r="V33" s="104">
        <v>0</v>
      </c>
      <c r="W33" s="104">
        <v>0</v>
      </c>
      <c r="X33" s="104">
        <v>0</v>
      </c>
      <c r="Y33" s="104">
        <v>0</v>
      </c>
      <c r="Z33" s="104">
        <v>0</v>
      </c>
      <c r="AA33" s="104">
        <v>0</v>
      </c>
      <c r="AB33" s="104">
        <v>0</v>
      </c>
      <c r="AC33" s="104">
        <v>0</v>
      </c>
      <c r="AD33" s="104">
        <v>0</v>
      </c>
      <c r="AE33" s="104">
        <v>0</v>
      </c>
      <c r="AF33" s="104">
        <v>0</v>
      </c>
      <c r="AG33" s="104">
        <v>0</v>
      </c>
    </row>
    <row r="34" spans="1:33" x14ac:dyDescent="0.15">
      <c r="A34" s="185" t="s">
        <v>225</v>
      </c>
      <c r="B34" s="104">
        <v>0</v>
      </c>
      <c r="C34" s="104">
        <v>0</v>
      </c>
      <c r="D34" s="104">
        <v>0</v>
      </c>
      <c r="E34" s="104">
        <v>0</v>
      </c>
      <c r="F34" s="104">
        <v>0</v>
      </c>
      <c r="G34" s="104">
        <v>0</v>
      </c>
      <c r="H34" s="104">
        <v>0</v>
      </c>
      <c r="I34" s="104">
        <v>0</v>
      </c>
      <c r="J34" s="104">
        <v>0</v>
      </c>
      <c r="K34" s="104">
        <v>0</v>
      </c>
      <c r="L34" s="104">
        <v>0</v>
      </c>
      <c r="M34" s="104">
        <v>0</v>
      </c>
      <c r="N34" s="104">
        <v>0</v>
      </c>
      <c r="O34" s="104">
        <v>0</v>
      </c>
      <c r="P34" s="104">
        <v>0</v>
      </c>
      <c r="Q34" s="104">
        <v>0</v>
      </c>
      <c r="R34" s="104">
        <v>0</v>
      </c>
      <c r="S34" s="104">
        <v>0</v>
      </c>
      <c r="T34" s="104">
        <v>0</v>
      </c>
      <c r="U34" s="104">
        <v>0</v>
      </c>
      <c r="V34" s="104">
        <v>0</v>
      </c>
      <c r="W34" s="104">
        <v>0</v>
      </c>
      <c r="X34" s="104">
        <v>0</v>
      </c>
      <c r="Y34" s="104">
        <v>0</v>
      </c>
      <c r="Z34" s="104">
        <v>0</v>
      </c>
      <c r="AA34" s="104">
        <v>0</v>
      </c>
      <c r="AB34" s="104">
        <v>0</v>
      </c>
      <c r="AC34" s="104">
        <v>0</v>
      </c>
      <c r="AD34" s="104">
        <v>0</v>
      </c>
      <c r="AE34" s="104">
        <v>0</v>
      </c>
      <c r="AF34" s="104">
        <v>0</v>
      </c>
      <c r="AG34" s="10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6.6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88" t="s">
        <v>224</v>
      </c>
    </row>
    <row r="2" spans="1:3" x14ac:dyDescent="0.15">
      <c r="A2">
        <v>1</v>
      </c>
      <c r="B2" s="187" t="s">
        <v>192</v>
      </c>
      <c r="C2">
        <v>0</v>
      </c>
    </row>
    <row r="3" spans="1:3" x14ac:dyDescent="0.15">
      <c r="A3">
        <v>2</v>
      </c>
      <c r="B3" s="187" t="s">
        <v>193</v>
      </c>
      <c r="C3">
        <v>0</v>
      </c>
    </row>
    <row r="4" spans="1:3" x14ac:dyDescent="0.15">
      <c r="A4">
        <v>3</v>
      </c>
      <c r="B4" s="187" t="s">
        <v>194</v>
      </c>
      <c r="C4">
        <v>0</v>
      </c>
    </row>
    <row r="5" spans="1:3" x14ac:dyDescent="0.15">
      <c r="A5">
        <v>4</v>
      </c>
      <c r="B5" s="187" t="s">
        <v>195</v>
      </c>
      <c r="C5">
        <v>0</v>
      </c>
    </row>
    <row r="6" spans="1:3" x14ac:dyDescent="0.15">
      <c r="A6">
        <v>5</v>
      </c>
      <c r="B6" s="187" t="s">
        <v>196</v>
      </c>
      <c r="C6">
        <v>0</v>
      </c>
    </row>
    <row r="7" spans="1:3" x14ac:dyDescent="0.15">
      <c r="A7">
        <v>6</v>
      </c>
      <c r="B7" s="187" t="s">
        <v>197</v>
      </c>
      <c r="C7">
        <v>0.8</v>
      </c>
    </row>
    <row r="8" spans="1:3" x14ac:dyDescent="0.15">
      <c r="A8">
        <v>7</v>
      </c>
      <c r="B8" s="187" t="s">
        <v>198</v>
      </c>
      <c r="C8">
        <v>0</v>
      </c>
    </row>
    <row r="9" spans="1:3" x14ac:dyDescent="0.15">
      <c r="A9">
        <v>8</v>
      </c>
      <c r="B9" s="187" t="s">
        <v>199</v>
      </c>
      <c r="C9">
        <v>0.8</v>
      </c>
    </row>
    <row r="10" spans="1:3" x14ac:dyDescent="0.15">
      <c r="A10">
        <v>9</v>
      </c>
      <c r="B10" s="187" t="s">
        <v>200</v>
      </c>
      <c r="C10">
        <v>0.8</v>
      </c>
    </row>
    <row r="11" spans="1:3" x14ac:dyDescent="0.15">
      <c r="A11">
        <v>10</v>
      </c>
      <c r="B11" s="187" t="s">
        <v>201</v>
      </c>
      <c r="C11">
        <v>0.8</v>
      </c>
    </row>
    <row r="12" spans="1:3" x14ac:dyDescent="0.15">
      <c r="A12">
        <v>11</v>
      </c>
      <c r="B12" s="187" t="s">
        <v>202</v>
      </c>
      <c r="C12">
        <v>0.8</v>
      </c>
    </row>
    <row r="13" spans="1:3" x14ac:dyDescent="0.15">
      <c r="A13">
        <v>12</v>
      </c>
      <c r="B13" s="187" t="s">
        <v>203</v>
      </c>
      <c r="C13">
        <v>0.8</v>
      </c>
    </row>
    <row r="14" spans="1:3" x14ac:dyDescent="0.15">
      <c r="A14">
        <v>13</v>
      </c>
      <c r="B14" s="187" t="s">
        <v>204</v>
      </c>
      <c r="C14">
        <v>0.8</v>
      </c>
    </row>
    <row r="15" spans="1:3" x14ac:dyDescent="0.15">
      <c r="A15">
        <v>14</v>
      </c>
      <c r="B15" s="187" t="s">
        <v>205</v>
      </c>
      <c r="C15">
        <v>0.8</v>
      </c>
    </row>
    <row r="16" spans="1:3" x14ac:dyDescent="0.15">
      <c r="A16">
        <v>15</v>
      </c>
      <c r="B16" s="187" t="s">
        <v>206</v>
      </c>
      <c r="C16">
        <v>0.8</v>
      </c>
    </row>
    <row r="17" spans="1:3" x14ac:dyDescent="0.15">
      <c r="A17">
        <v>16</v>
      </c>
      <c r="B17" s="187" t="s">
        <v>207</v>
      </c>
      <c r="C17">
        <v>0.8</v>
      </c>
    </row>
    <row r="18" spans="1:3" x14ac:dyDescent="0.15">
      <c r="A18">
        <v>17</v>
      </c>
      <c r="B18" s="187" t="s">
        <v>208</v>
      </c>
      <c r="C18">
        <v>0.8</v>
      </c>
    </row>
    <row r="19" spans="1:3" x14ac:dyDescent="0.15">
      <c r="A19">
        <v>18</v>
      </c>
      <c r="B19" s="187" t="s">
        <v>209</v>
      </c>
      <c r="C19">
        <v>0.8</v>
      </c>
    </row>
    <row r="20" spans="1:3" x14ac:dyDescent="0.15">
      <c r="A20">
        <v>19</v>
      </c>
      <c r="B20" s="187" t="s">
        <v>210</v>
      </c>
      <c r="C20">
        <v>0.8</v>
      </c>
    </row>
    <row r="21" spans="1:3" x14ac:dyDescent="0.15">
      <c r="A21">
        <v>20</v>
      </c>
      <c r="B21" s="187" t="s">
        <v>211</v>
      </c>
      <c r="C21">
        <v>0.8</v>
      </c>
    </row>
    <row r="22" spans="1:3" x14ac:dyDescent="0.15">
      <c r="A22">
        <v>21</v>
      </c>
      <c r="B22" s="187" t="s">
        <v>212</v>
      </c>
      <c r="C22">
        <v>0.8</v>
      </c>
    </row>
    <row r="23" spans="1:3" x14ac:dyDescent="0.15">
      <c r="A23">
        <v>22</v>
      </c>
      <c r="B23" s="187" t="s">
        <v>213</v>
      </c>
      <c r="C23">
        <v>0.8</v>
      </c>
    </row>
    <row r="24" spans="1:3" x14ac:dyDescent="0.15">
      <c r="A24">
        <v>23</v>
      </c>
      <c r="B24" s="187" t="s">
        <v>214</v>
      </c>
      <c r="C24">
        <v>0.8</v>
      </c>
    </row>
    <row r="25" spans="1:3" x14ac:dyDescent="0.15">
      <c r="A25">
        <v>24</v>
      </c>
      <c r="B25" s="187" t="s">
        <v>215</v>
      </c>
      <c r="C25">
        <v>0.8</v>
      </c>
    </row>
    <row r="26" spans="1:3" x14ac:dyDescent="0.15">
      <c r="A26">
        <v>25</v>
      </c>
      <c r="B26" s="187" t="s">
        <v>216</v>
      </c>
      <c r="C26">
        <v>0.8</v>
      </c>
    </row>
    <row r="27" spans="1:3" x14ac:dyDescent="0.15">
      <c r="A27">
        <v>26</v>
      </c>
      <c r="B27" s="187" t="s">
        <v>217</v>
      </c>
      <c r="C27">
        <v>0.8</v>
      </c>
    </row>
    <row r="28" spans="1:3" x14ac:dyDescent="0.15">
      <c r="A28">
        <v>27</v>
      </c>
      <c r="B28" s="187" t="s">
        <v>218</v>
      </c>
      <c r="C28">
        <v>0.8</v>
      </c>
    </row>
    <row r="29" spans="1:3" x14ac:dyDescent="0.15">
      <c r="A29">
        <v>28</v>
      </c>
      <c r="B29" s="187" t="s">
        <v>219</v>
      </c>
      <c r="C29">
        <v>0.8</v>
      </c>
    </row>
    <row r="30" spans="1:3" x14ac:dyDescent="0.15">
      <c r="A30">
        <v>29</v>
      </c>
      <c r="B30" s="187" t="s">
        <v>220</v>
      </c>
      <c r="C30">
        <v>0.8</v>
      </c>
    </row>
    <row r="31" spans="1:3" x14ac:dyDescent="0.15">
      <c r="A31">
        <v>30</v>
      </c>
      <c r="B31" s="187" t="s">
        <v>221</v>
      </c>
      <c r="C31">
        <v>0</v>
      </c>
    </row>
    <row r="32" spans="1:3" x14ac:dyDescent="0.15">
      <c r="A32">
        <v>31</v>
      </c>
      <c r="B32" s="187" t="s">
        <v>222</v>
      </c>
      <c r="C32">
        <v>0</v>
      </c>
    </row>
    <row r="33" spans="1:3" x14ac:dyDescent="0.15">
      <c r="A33">
        <v>32</v>
      </c>
      <c r="B33" s="187" t="s">
        <v>223</v>
      </c>
      <c r="C33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33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6.6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90" t="s">
        <v>224</v>
      </c>
    </row>
    <row r="2" spans="1:3" x14ac:dyDescent="0.15">
      <c r="A2">
        <v>1</v>
      </c>
      <c r="B2" s="189" t="s">
        <v>192</v>
      </c>
      <c r="C2">
        <v>0</v>
      </c>
    </row>
    <row r="3" spans="1:3" x14ac:dyDescent="0.15">
      <c r="A3">
        <v>2</v>
      </c>
      <c r="B3" s="189" t="s">
        <v>193</v>
      </c>
      <c r="C3">
        <v>0</v>
      </c>
    </row>
    <row r="4" spans="1:3" x14ac:dyDescent="0.15">
      <c r="A4">
        <v>3</v>
      </c>
      <c r="B4" s="189" t="s">
        <v>194</v>
      </c>
      <c r="C4">
        <v>0</v>
      </c>
    </row>
    <row r="5" spans="1:3" x14ac:dyDescent="0.15">
      <c r="A5">
        <v>4</v>
      </c>
      <c r="B5" s="189" t="s">
        <v>195</v>
      </c>
      <c r="C5">
        <v>0</v>
      </c>
    </row>
    <row r="6" spans="1:3" x14ac:dyDescent="0.15">
      <c r="A6">
        <v>5</v>
      </c>
      <c r="B6" s="189" t="s">
        <v>196</v>
      </c>
      <c r="C6">
        <v>0</v>
      </c>
    </row>
    <row r="7" spans="1:3" x14ac:dyDescent="0.15">
      <c r="A7">
        <v>6</v>
      </c>
      <c r="B7" s="189" t="s">
        <v>197</v>
      </c>
      <c r="C7">
        <v>0.8</v>
      </c>
    </row>
    <row r="8" spans="1:3" x14ac:dyDescent="0.15">
      <c r="A8">
        <v>7</v>
      </c>
      <c r="B8" s="189" t="s">
        <v>198</v>
      </c>
      <c r="C8">
        <v>0</v>
      </c>
    </row>
    <row r="9" spans="1:3" x14ac:dyDescent="0.15">
      <c r="A9">
        <v>8</v>
      </c>
      <c r="B9" s="189" t="s">
        <v>199</v>
      </c>
      <c r="C9">
        <v>0.8</v>
      </c>
    </row>
    <row r="10" spans="1:3" x14ac:dyDescent="0.15">
      <c r="A10">
        <v>9</v>
      </c>
      <c r="B10" s="189" t="s">
        <v>200</v>
      </c>
      <c r="C10">
        <v>0.8</v>
      </c>
    </row>
    <row r="11" spans="1:3" x14ac:dyDescent="0.15">
      <c r="A11">
        <v>10</v>
      </c>
      <c r="B11" s="189" t="s">
        <v>201</v>
      </c>
      <c r="C11">
        <v>0.8</v>
      </c>
    </row>
    <row r="12" spans="1:3" x14ac:dyDescent="0.15">
      <c r="A12">
        <v>11</v>
      </c>
      <c r="B12" s="189" t="s">
        <v>202</v>
      </c>
      <c r="C12">
        <v>0.8</v>
      </c>
    </row>
    <row r="13" spans="1:3" x14ac:dyDescent="0.15">
      <c r="A13">
        <v>12</v>
      </c>
      <c r="B13" s="189" t="s">
        <v>203</v>
      </c>
      <c r="C13">
        <v>0.8</v>
      </c>
    </row>
    <row r="14" spans="1:3" x14ac:dyDescent="0.15">
      <c r="A14">
        <v>13</v>
      </c>
      <c r="B14" s="189" t="s">
        <v>204</v>
      </c>
      <c r="C14">
        <v>0.8</v>
      </c>
    </row>
    <row r="15" spans="1:3" x14ac:dyDescent="0.15">
      <c r="A15">
        <v>14</v>
      </c>
      <c r="B15" s="189" t="s">
        <v>205</v>
      </c>
      <c r="C15">
        <v>0.8</v>
      </c>
    </row>
    <row r="16" spans="1:3" x14ac:dyDescent="0.15">
      <c r="A16">
        <v>15</v>
      </c>
      <c r="B16" s="189" t="s">
        <v>206</v>
      </c>
      <c r="C16">
        <v>0.8</v>
      </c>
    </row>
    <row r="17" spans="1:3" x14ac:dyDescent="0.15">
      <c r="A17">
        <v>16</v>
      </c>
      <c r="B17" s="189" t="s">
        <v>207</v>
      </c>
      <c r="C17">
        <v>0.8</v>
      </c>
    </row>
    <row r="18" spans="1:3" x14ac:dyDescent="0.15">
      <c r="A18">
        <v>17</v>
      </c>
      <c r="B18" s="189" t="s">
        <v>208</v>
      </c>
      <c r="C18">
        <v>0.8</v>
      </c>
    </row>
    <row r="19" spans="1:3" x14ac:dyDescent="0.15">
      <c r="A19">
        <v>18</v>
      </c>
      <c r="B19" s="189" t="s">
        <v>209</v>
      </c>
      <c r="C19">
        <v>0.8</v>
      </c>
    </row>
    <row r="20" spans="1:3" x14ac:dyDescent="0.15">
      <c r="A20">
        <v>19</v>
      </c>
      <c r="B20" s="189" t="s">
        <v>210</v>
      </c>
      <c r="C20">
        <v>0.8</v>
      </c>
    </row>
    <row r="21" spans="1:3" x14ac:dyDescent="0.15">
      <c r="A21">
        <v>20</v>
      </c>
      <c r="B21" s="189" t="s">
        <v>211</v>
      </c>
      <c r="C21">
        <v>0.8</v>
      </c>
    </row>
    <row r="22" spans="1:3" x14ac:dyDescent="0.15">
      <c r="A22">
        <v>21</v>
      </c>
      <c r="B22" s="189" t="s">
        <v>212</v>
      </c>
      <c r="C22">
        <v>0.8</v>
      </c>
    </row>
    <row r="23" spans="1:3" x14ac:dyDescent="0.15">
      <c r="A23">
        <v>22</v>
      </c>
      <c r="B23" s="189" t="s">
        <v>213</v>
      </c>
      <c r="C23">
        <v>0.8</v>
      </c>
    </row>
    <row r="24" spans="1:3" x14ac:dyDescent="0.15">
      <c r="A24">
        <v>23</v>
      </c>
      <c r="B24" s="189" t="s">
        <v>214</v>
      </c>
      <c r="C24">
        <v>0.8</v>
      </c>
    </row>
    <row r="25" spans="1:3" x14ac:dyDescent="0.15">
      <c r="A25">
        <v>24</v>
      </c>
      <c r="B25" s="189" t="s">
        <v>215</v>
      </c>
      <c r="C25">
        <v>0.8</v>
      </c>
    </row>
    <row r="26" spans="1:3" x14ac:dyDescent="0.15">
      <c r="A26">
        <v>25</v>
      </c>
      <c r="B26" s="189" t="s">
        <v>216</v>
      </c>
      <c r="C26">
        <v>0.8</v>
      </c>
    </row>
    <row r="27" spans="1:3" x14ac:dyDescent="0.15">
      <c r="A27">
        <v>26</v>
      </c>
      <c r="B27" s="189" t="s">
        <v>217</v>
      </c>
      <c r="C27">
        <v>0.8</v>
      </c>
    </row>
    <row r="28" spans="1:3" x14ac:dyDescent="0.15">
      <c r="A28">
        <v>27</v>
      </c>
      <c r="B28" s="189" t="s">
        <v>218</v>
      </c>
      <c r="C28">
        <v>0.8</v>
      </c>
    </row>
    <row r="29" spans="1:3" x14ac:dyDescent="0.15">
      <c r="A29">
        <v>28</v>
      </c>
      <c r="B29" s="189" t="s">
        <v>219</v>
      </c>
      <c r="C29">
        <v>0.8</v>
      </c>
    </row>
    <row r="30" spans="1:3" x14ac:dyDescent="0.15">
      <c r="A30">
        <v>29</v>
      </c>
      <c r="B30" s="189" t="s">
        <v>220</v>
      </c>
      <c r="C30">
        <v>0.8</v>
      </c>
    </row>
    <row r="31" spans="1:3" x14ac:dyDescent="0.15">
      <c r="A31">
        <v>30</v>
      </c>
      <c r="B31" s="189" t="s">
        <v>221</v>
      </c>
      <c r="C31">
        <v>0</v>
      </c>
    </row>
    <row r="32" spans="1:3" x14ac:dyDescent="0.15">
      <c r="A32">
        <v>31</v>
      </c>
      <c r="B32" s="189" t="s">
        <v>222</v>
      </c>
      <c r="C32">
        <v>0</v>
      </c>
    </row>
    <row r="33" spans="1:3" x14ac:dyDescent="0.15">
      <c r="A33">
        <v>32</v>
      </c>
      <c r="B33" s="189" t="s">
        <v>223</v>
      </c>
      <c r="C3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77"/>
    <col min="2" max="2" width="41.83203125" style="77" bestFit="1" customWidth="1"/>
    <col min="3" max="3" width="9.33203125" style="77" bestFit="1" customWidth="1"/>
    <col min="4" max="4" width="13" style="77" bestFit="1" customWidth="1"/>
    <col min="5" max="6" width="9.33203125" style="77" bestFit="1" customWidth="1"/>
    <col min="7" max="7" width="9.33203125" style="93" bestFit="1" customWidth="1"/>
    <col min="8" max="8" width="9.33203125" style="77" bestFit="1" customWidth="1"/>
    <col min="9" max="9" width="11" style="77" customWidth="1"/>
    <col min="10" max="10" width="8.83203125" style="77"/>
    <col min="15" max="16384" width="8.83203125" style="77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3" t="s">
        <v>14</v>
      </c>
      <c r="H1" s="1" t="s">
        <v>26</v>
      </c>
      <c r="I1" s="1" t="s">
        <v>24</v>
      </c>
    </row>
    <row r="2" spans="1:10" ht="15" customHeight="1" x14ac:dyDescent="0.15">
      <c r="A2" s="142">
        <v>1</v>
      </c>
      <c r="B2" s="142" t="s">
        <v>192</v>
      </c>
      <c r="C2" s="8">
        <v>1</v>
      </c>
      <c r="D2" s="9">
        <v>22.125797271728516</v>
      </c>
      <c r="E2" s="9">
        <v>163.14317321777344</v>
      </c>
      <c r="F2" s="10"/>
      <c r="G2" s="9">
        <v>0.87985914945602417</v>
      </c>
      <c r="H2" s="10"/>
      <c r="I2">
        <v>0</v>
      </c>
      <c r="J2"/>
    </row>
    <row r="3" spans="1:10" ht="15" customHeight="1" x14ac:dyDescent="0.15">
      <c r="A3" s="143">
        <v>2</v>
      </c>
      <c r="B3" s="143" t="s">
        <v>193</v>
      </c>
      <c r="C3" s="8">
        <v>2</v>
      </c>
      <c r="D3" s="9">
        <v>5.4839601516723633</v>
      </c>
      <c r="E3" s="9">
        <v>91.25</v>
      </c>
      <c r="F3" s="9">
        <v>380.20831298828125</v>
      </c>
      <c r="G3" s="9">
        <v>0.88329499959945679</v>
      </c>
      <c r="H3" s="9">
        <v>0.24000000953674316</v>
      </c>
      <c r="I3">
        <v>0</v>
      </c>
      <c r="J3"/>
    </row>
    <row r="4" spans="1:10" ht="15" customHeight="1" x14ac:dyDescent="0.15">
      <c r="A4" s="144">
        <v>3</v>
      </c>
      <c r="B4" s="144" t="s">
        <v>194</v>
      </c>
      <c r="C4" s="8">
        <v>2.3258028030395508</v>
      </c>
      <c r="D4" s="9">
        <v>4.8846182823181152</v>
      </c>
      <c r="E4" s="9">
        <v>72</v>
      </c>
      <c r="F4" s="9">
        <v>242.4241943359375</v>
      </c>
      <c r="G4" s="9">
        <v>0.94134873151779175</v>
      </c>
      <c r="H4" s="9">
        <v>0.29700005054473877</v>
      </c>
      <c r="I4">
        <v>0</v>
      </c>
      <c r="J4"/>
    </row>
    <row r="5" spans="1:10" ht="15" customHeight="1" x14ac:dyDescent="0.15">
      <c r="A5" s="145">
        <v>4</v>
      </c>
      <c r="B5" s="145" t="s">
        <v>195</v>
      </c>
      <c r="C5" s="8">
        <v>2.1883375644683838</v>
      </c>
      <c r="D5" s="9">
        <v>10.402923583984375</v>
      </c>
      <c r="E5" s="9">
        <v>30.918087005615234</v>
      </c>
      <c r="F5" s="9">
        <v>127.75</v>
      </c>
      <c r="G5" s="9">
        <v>0.91189026832580566</v>
      </c>
      <c r="H5" s="9">
        <v>0.24202024936676025</v>
      </c>
      <c r="I5">
        <v>0</v>
      </c>
      <c r="J5"/>
    </row>
    <row r="6" spans="1:10" ht="15" customHeight="1" x14ac:dyDescent="0.15">
      <c r="A6" s="146">
        <v>5</v>
      </c>
      <c r="B6" s="146" t="s">
        <v>196</v>
      </c>
      <c r="C6" s="8">
        <v>2.4224743843078613</v>
      </c>
      <c r="D6" s="9">
        <v>11.955080032348633</v>
      </c>
      <c r="E6" s="9">
        <v>35</v>
      </c>
      <c r="F6" s="9">
        <v>109.5</v>
      </c>
      <c r="G6" s="9">
        <v>0.74511134624481201</v>
      </c>
      <c r="H6" s="9">
        <v>0.31963470578193665</v>
      </c>
      <c r="I6">
        <v>0</v>
      </c>
      <c r="J6"/>
    </row>
    <row r="7" spans="1:10" ht="15" customHeight="1" x14ac:dyDescent="0.15">
      <c r="A7" s="147">
        <v>6</v>
      </c>
      <c r="B7" s="147" t="s">
        <v>197</v>
      </c>
      <c r="C7" s="8">
        <v>3.1047797203063965</v>
      </c>
      <c r="D7" s="9">
        <v>1.2830400466918945</v>
      </c>
      <c r="E7" s="9">
        <v>35</v>
      </c>
      <c r="F7" s="9">
        <v>146</v>
      </c>
      <c r="G7" s="9">
        <v>0.91168123483657837</v>
      </c>
      <c r="H7" s="9">
        <v>0.23972602188587189</v>
      </c>
      <c r="I7">
        <v>6.3585900988982758E-7</v>
      </c>
      <c r="J7"/>
    </row>
    <row r="8" spans="1:10" ht="15" customHeight="1" x14ac:dyDescent="0.15">
      <c r="A8" s="148">
        <v>7</v>
      </c>
      <c r="B8" s="148" t="s">
        <v>198</v>
      </c>
      <c r="C8" s="8">
        <v>2.8703644275665283</v>
      </c>
      <c r="D8" s="9">
        <v>4.8735074996948242</v>
      </c>
      <c r="E8" s="9">
        <v>14.25</v>
      </c>
      <c r="F8" s="9">
        <v>36.5</v>
      </c>
      <c r="G8" s="9">
        <v>0.88153636455535889</v>
      </c>
      <c r="H8" s="9">
        <v>0.39041095972061157</v>
      </c>
      <c r="I8">
        <v>0</v>
      </c>
      <c r="J8"/>
    </row>
    <row r="9" spans="1:10" ht="15" customHeight="1" x14ac:dyDescent="0.15">
      <c r="A9" s="149">
        <v>8</v>
      </c>
      <c r="B9" s="149" t="s">
        <v>199</v>
      </c>
      <c r="C9" s="8">
        <v>2.4925055503845215</v>
      </c>
      <c r="D9" s="9">
        <v>18.942214965820312</v>
      </c>
      <c r="E9" s="9">
        <v>2.5499999523162842</v>
      </c>
      <c r="F9" s="9">
        <v>17.5</v>
      </c>
      <c r="G9" s="9">
        <v>0.90000015497207642</v>
      </c>
      <c r="H9" s="9">
        <v>0.14571428298950195</v>
      </c>
      <c r="I9">
        <v>1.3491600111592561E-4</v>
      </c>
      <c r="J9"/>
    </row>
    <row r="10" spans="1:10" ht="15" customHeight="1" x14ac:dyDescent="0.15">
      <c r="A10" s="150">
        <v>9</v>
      </c>
      <c r="B10" s="150" t="s">
        <v>200</v>
      </c>
      <c r="C10" s="8">
        <v>2.8030486106872559</v>
      </c>
      <c r="D10" s="9">
        <v>4.0399332046508789</v>
      </c>
      <c r="E10" s="9">
        <v>3.2999997138977051</v>
      </c>
      <c r="F10" s="9">
        <v>21</v>
      </c>
      <c r="G10" s="9">
        <v>0.88618046045303345</v>
      </c>
      <c r="H10" s="9">
        <v>0.15714284777641296</v>
      </c>
      <c r="I10">
        <v>1.8349699530517682E-5</v>
      </c>
      <c r="J10"/>
    </row>
    <row r="11" spans="1:10" ht="15" customHeight="1" x14ac:dyDescent="0.15">
      <c r="A11" s="151">
        <v>10</v>
      </c>
      <c r="B11" s="151" t="s">
        <v>201</v>
      </c>
      <c r="C11" s="8">
        <v>2.3042092323303223</v>
      </c>
      <c r="D11" s="9">
        <v>9.8660125732421875</v>
      </c>
      <c r="E11" s="9">
        <v>2.2399997711181641</v>
      </c>
      <c r="F11" s="9">
        <v>13.720000267028809</v>
      </c>
      <c r="G11" s="9">
        <v>0.86405706405639648</v>
      </c>
      <c r="H11" s="9">
        <v>0.16326528787612915</v>
      </c>
      <c r="I11">
        <v>1.8896799883805215E-4</v>
      </c>
      <c r="J11"/>
    </row>
    <row r="12" spans="1:10" ht="15" customHeight="1" x14ac:dyDescent="0.15">
      <c r="A12" s="152">
        <v>11</v>
      </c>
      <c r="B12" s="152" t="s">
        <v>202</v>
      </c>
      <c r="C12" s="8">
        <v>2.5525925159454346</v>
      </c>
      <c r="D12" s="9">
        <v>24.936323165893555</v>
      </c>
      <c r="E12" s="9">
        <v>2.0399999618530273</v>
      </c>
      <c r="F12" s="9">
        <v>11.776604652404785</v>
      </c>
      <c r="G12" s="9">
        <v>0.88694584369659424</v>
      </c>
      <c r="H12" s="9">
        <v>0.1732247918844223</v>
      </c>
      <c r="I12">
        <v>7.2391802677884698E-4</v>
      </c>
      <c r="J12"/>
    </row>
    <row r="13" spans="1:10" ht="15" customHeight="1" x14ac:dyDescent="0.15">
      <c r="A13" s="153">
        <v>12</v>
      </c>
      <c r="B13" s="153" t="s">
        <v>203</v>
      </c>
      <c r="C13" s="8">
        <v>2.1188099384307861</v>
      </c>
      <c r="D13" s="9">
        <v>2.8793854713439941</v>
      </c>
      <c r="E13" s="9">
        <v>0.86399990320205688</v>
      </c>
      <c r="F13" s="9">
        <v>10</v>
      </c>
      <c r="G13" s="9">
        <v>0.88238066434860229</v>
      </c>
      <c r="H13" s="9">
        <v>8.639998733997345E-2</v>
      </c>
      <c r="I13">
        <v>0.12186015397310257</v>
      </c>
      <c r="J13"/>
    </row>
    <row r="14" spans="1:10" ht="15" customHeight="1" x14ac:dyDescent="0.15">
      <c r="A14" s="154">
        <v>13</v>
      </c>
      <c r="B14" s="154" t="s">
        <v>204</v>
      </c>
      <c r="C14" s="8">
        <v>3.1753749847412109</v>
      </c>
      <c r="D14" s="9">
        <v>3.5048398971557617</v>
      </c>
      <c r="E14" s="9">
        <v>1.679999828338623</v>
      </c>
      <c r="F14" s="9">
        <v>11.030482292175293</v>
      </c>
      <c r="G14" s="9">
        <v>0.88890773057937622</v>
      </c>
      <c r="H14" s="9">
        <v>0.15230520069599152</v>
      </c>
      <c r="I14">
        <v>0.44888988137245178</v>
      </c>
      <c r="J14"/>
    </row>
    <row r="15" spans="1:10" ht="15" customHeight="1" x14ac:dyDescent="0.15">
      <c r="A15" s="155">
        <v>14</v>
      </c>
      <c r="B15" s="155" t="s">
        <v>205</v>
      </c>
      <c r="C15" s="8">
        <v>2.9095544815063477</v>
      </c>
      <c r="D15" s="9">
        <v>0.39599999785423279</v>
      </c>
      <c r="E15" s="9">
        <v>2</v>
      </c>
      <c r="F15" s="9">
        <v>5</v>
      </c>
      <c r="G15" s="9">
        <v>0.80240219831466675</v>
      </c>
      <c r="H15" s="9">
        <v>0.40000000596046448</v>
      </c>
      <c r="I15">
        <v>8.1684291362762451E-2</v>
      </c>
      <c r="J15"/>
    </row>
    <row r="16" spans="1:10" ht="15" customHeight="1" x14ac:dyDescent="0.15">
      <c r="A16" s="156">
        <v>15</v>
      </c>
      <c r="B16" s="156" t="s">
        <v>206</v>
      </c>
      <c r="C16" s="8">
        <v>3.2552444934844971</v>
      </c>
      <c r="D16" s="9">
        <v>0.2065376341342926</v>
      </c>
      <c r="E16" s="9">
        <v>15</v>
      </c>
      <c r="F16" s="9">
        <v>45</v>
      </c>
      <c r="G16" s="9">
        <v>0.89723145961761475</v>
      </c>
      <c r="H16" s="9">
        <v>0.3333333432674408</v>
      </c>
      <c r="I16">
        <v>2.6540500908112108E-9</v>
      </c>
      <c r="J16"/>
    </row>
    <row r="17" spans="1:10" ht="15" customHeight="1" x14ac:dyDescent="0.15">
      <c r="A17" s="157">
        <v>16</v>
      </c>
      <c r="B17" s="157" t="s">
        <v>207</v>
      </c>
      <c r="C17" s="8">
        <v>3.6094088554382324</v>
      </c>
      <c r="D17" s="9">
        <v>5.7142734527587891</v>
      </c>
      <c r="E17" s="9">
        <v>0.51999998092651367</v>
      </c>
      <c r="F17" s="9">
        <v>1.8823840618133545</v>
      </c>
      <c r="G17" s="9">
        <v>0.86740982532501221</v>
      </c>
      <c r="H17" s="9">
        <v>0.27624541521072388</v>
      </c>
      <c r="I17">
        <v>1.0052049160003662</v>
      </c>
      <c r="J17"/>
    </row>
    <row r="18" spans="1:10" ht="15" customHeight="1" x14ac:dyDescent="0.15">
      <c r="A18" s="158">
        <v>17</v>
      </c>
      <c r="B18" s="158" t="s">
        <v>208</v>
      </c>
      <c r="C18" s="8">
        <v>3.2092330455780029</v>
      </c>
      <c r="D18" s="9">
        <v>1.2404508590698242</v>
      </c>
      <c r="E18" s="9">
        <v>0.41999998688697815</v>
      </c>
      <c r="F18" s="9">
        <v>2</v>
      </c>
      <c r="G18" s="9">
        <v>0.8902241587638855</v>
      </c>
      <c r="H18" s="9">
        <v>0.20999999344348907</v>
      </c>
      <c r="I18">
        <v>1.7100780678447336E-4</v>
      </c>
      <c r="J18"/>
    </row>
    <row r="19" spans="1:10" ht="15" customHeight="1" x14ac:dyDescent="0.15">
      <c r="A19" s="159">
        <v>18</v>
      </c>
      <c r="B19" s="159" t="s">
        <v>209</v>
      </c>
      <c r="C19" s="8">
        <v>3.9060218334197998</v>
      </c>
      <c r="D19" s="9">
        <v>0.27480778098106384</v>
      </c>
      <c r="E19" s="9">
        <v>1.3999999761581421</v>
      </c>
      <c r="F19" s="9">
        <v>2</v>
      </c>
      <c r="G19" s="9">
        <v>0.86710482835769653</v>
      </c>
      <c r="H19" s="9">
        <v>0.69999998807907104</v>
      </c>
      <c r="I19">
        <v>1.4397541061043739E-2</v>
      </c>
      <c r="J19"/>
    </row>
    <row r="20" spans="1:10" ht="15" customHeight="1" x14ac:dyDescent="0.15">
      <c r="A20" s="160">
        <v>19</v>
      </c>
      <c r="B20" s="160" t="s">
        <v>210</v>
      </c>
      <c r="C20" s="8">
        <v>3.4075708389282227</v>
      </c>
      <c r="D20" s="9">
        <v>0.15273557603359222</v>
      </c>
      <c r="E20" s="9">
        <v>0.43679997324943542</v>
      </c>
      <c r="F20" s="9">
        <v>2</v>
      </c>
      <c r="G20" s="9">
        <v>0.89251631498336792</v>
      </c>
      <c r="H20" s="9">
        <v>0.21839998662471771</v>
      </c>
      <c r="I20">
        <v>2.2314213216304779E-2</v>
      </c>
      <c r="J20"/>
    </row>
    <row r="21" spans="1:10" ht="15" customHeight="1" x14ac:dyDescent="0.15">
      <c r="A21" s="161">
        <v>20</v>
      </c>
      <c r="B21" s="161" t="s">
        <v>211</v>
      </c>
      <c r="C21" s="8">
        <v>4.5834341049194336</v>
      </c>
      <c r="D21" s="9">
        <v>2.2928604856133461E-2</v>
      </c>
      <c r="E21" s="9">
        <v>0.64899981021881104</v>
      </c>
      <c r="F21" s="9">
        <v>1.4279999732971191</v>
      </c>
      <c r="G21" s="9">
        <v>0.90275830030441284</v>
      </c>
      <c r="H21" s="9">
        <v>0.45448166131973267</v>
      </c>
      <c r="I21">
        <v>1.3140445575118065E-2</v>
      </c>
      <c r="J21"/>
    </row>
    <row r="22" spans="1:10" ht="15" customHeight="1" x14ac:dyDescent="0.15">
      <c r="A22" s="162">
        <v>21</v>
      </c>
      <c r="B22" s="162" t="s">
        <v>212</v>
      </c>
      <c r="C22" s="8">
        <v>3.70404052734375</v>
      </c>
      <c r="D22" s="9">
        <v>2.9808735847473145</v>
      </c>
      <c r="E22" s="9">
        <v>0.45899999141693115</v>
      </c>
      <c r="F22" s="9">
        <v>0.89999997615814209</v>
      </c>
      <c r="G22" s="9">
        <v>0.85167747735977173</v>
      </c>
      <c r="H22" s="9">
        <v>0.50999999046325684</v>
      </c>
      <c r="I22">
        <v>0.18545180559158325</v>
      </c>
      <c r="J22"/>
    </row>
    <row r="23" spans="1:10" ht="15" customHeight="1" x14ac:dyDescent="0.15">
      <c r="A23" s="163">
        <v>22</v>
      </c>
      <c r="B23" s="163" t="s">
        <v>213</v>
      </c>
      <c r="C23" s="8">
        <v>3.6924765110015869</v>
      </c>
      <c r="D23" s="9">
        <v>0.39971631765365601</v>
      </c>
      <c r="E23" s="9">
        <v>0.54000002145767212</v>
      </c>
      <c r="F23" s="9">
        <v>0.89999997615814209</v>
      </c>
      <c r="G23" s="9">
        <v>0.84592914581298828</v>
      </c>
      <c r="H23" s="9">
        <v>0.60000002384185791</v>
      </c>
      <c r="I23">
        <v>9.4600412994623184E-3</v>
      </c>
      <c r="J23"/>
    </row>
    <row r="24" spans="1:10" ht="15" customHeight="1" x14ac:dyDescent="0.15">
      <c r="A24" s="164">
        <v>23</v>
      </c>
      <c r="B24" s="164" t="s">
        <v>214</v>
      </c>
      <c r="C24" s="8">
        <v>4.4531779289245605</v>
      </c>
      <c r="D24" s="9">
        <v>4.0060896873474121</v>
      </c>
      <c r="E24" s="9">
        <v>0.55000001192092896</v>
      </c>
      <c r="F24" s="9">
        <v>1.0142999887466431</v>
      </c>
      <c r="G24" s="9">
        <v>0.81139695644378662</v>
      </c>
      <c r="H24" s="9">
        <v>0.54224592447280884</v>
      </c>
      <c r="I24">
        <v>0.39152717590332031</v>
      </c>
      <c r="J24"/>
    </row>
    <row r="25" spans="1:10" ht="15" customHeight="1" x14ac:dyDescent="0.15">
      <c r="A25" s="165">
        <v>24</v>
      </c>
      <c r="B25" s="165" t="s">
        <v>215</v>
      </c>
      <c r="C25" s="8">
        <v>4.6497001647949219</v>
      </c>
      <c r="D25" s="9">
        <v>2.9559079557657242E-3</v>
      </c>
      <c r="E25" s="9">
        <v>0.15000000596046448</v>
      </c>
      <c r="F25" s="9">
        <v>0.62302601337432861</v>
      </c>
      <c r="G25" s="9">
        <v>0.84300136566162109</v>
      </c>
      <c r="H25" s="9">
        <v>0.24076041579246521</v>
      </c>
      <c r="I25">
        <v>3.1225359998643398E-4</v>
      </c>
      <c r="J25"/>
    </row>
    <row r="26" spans="1:10" ht="15" customHeight="1" x14ac:dyDescent="0.15">
      <c r="A26" s="166">
        <v>25</v>
      </c>
      <c r="B26" s="166" t="s">
        <v>216</v>
      </c>
      <c r="C26" s="8">
        <v>4.2887639999389648</v>
      </c>
      <c r="D26" s="9">
        <v>5.8691361919045448E-3</v>
      </c>
      <c r="E26" s="9">
        <v>0.5</v>
      </c>
      <c r="F26" s="9">
        <v>2.3616001605987549</v>
      </c>
      <c r="G26" s="9">
        <v>0.8114243745803833</v>
      </c>
      <c r="H26" s="9">
        <v>0.21172085404396057</v>
      </c>
      <c r="I26">
        <v>2.3606729228049517E-3</v>
      </c>
      <c r="J26"/>
    </row>
    <row r="27" spans="1:10" ht="15" customHeight="1" x14ac:dyDescent="0.15">
      <c r="A27" s="167">
        <v>26</v>
      </c>
      <c r="B27" s="167" t="s">
        <v>217</v>
      </c>
      <c r="C27" s="8">
        <v>4.554619312286377</v>
      </c>
      <c r="D27" s="9">
        <v>6.3000001013278961E-2</v>
      </c>
      <c r="E27" s="9">
        <v>6.7337222397327423E-2</v>
      </c>
      <c r="F27" s="9">
        <v>4.8499999046325684</v>
      </c>
      <c r="G27" s="9">
        <v>0.28651872277259827</v>
      </c>
      <c r="H27" s="9">
        <v>1.3883963227272034E-2</v>
      </c>
      <c r="I27">
        <v>1.1539610568434E-3</v>
      </c>
      <c r="J27"/>
    </row>
    <row r="28" spans="1:10" ht="15" customHeight="1" x14ac:dyDescent="0.15">
      <c r="A28" s="168">
        <v>27</v>
      </c>
      <c r="B28" s="168" t="s">
        <v>218</v>
      </c>
      <c r="C28" s="8">
        <v>3.5838711261749268</v>
      </c>
      <c r="D28" s="9">
        <v>0.60199999809265137</v>
      </c>
      <c r="E28" s="9">
        <v>4.2007617652416229E-2</v>
      </c>
      <c r="F28" s="9">
        <v>2.2999999523162842</v>
      </c>
      <c r="G28" s="9">
        <v>1.6836339607834816E-2</v>
      </c>
      <c r="H28" s="9">
        <v>1.8264181911945343E-2</v>
      </c>
      <c r="I28">
        <v>4.0526001248508692E-4</v>
      </c>
      <c r="J28"/>
    </row>
    <row r="29" spans="1:10" ht="15" customHeight="1" x14ac:dyDescent="0.15">
      <c r="A29" s="169">
        <v>28</v>
      </c>
      <c r="B29" s="169" t="s">
        <v>219</v>
      </c>
      <c r="C29" s="8">
        <v>4.6507034301757812</v>
      </c>
      <c r="D29" s="9">
        <v>3.359999880194664E-2</v>
      </c>
      <c r="E29" s="9">
        <v>3.9999999105930328E-2</v>
      </c>
      <c r="F29" s="9">
        <v>8.5</v>
      </c>
      <c r="G29" s="9">
        <v>0.5376240611076355</v>
      </c>
      <c r="H29" s="9">
        <v>4.7058821655809879E-3</v>
      </c>
      <c r="I29">
        <v>1.3878500612918288E-4</v>
      </c>
      <c r="J29"/>
    </row>
    <row r="30" spans="1:10" ht="15" customHeight="1" x14ac:dyDescent="0.15">
      <c r="A30" s="170">
        <v>29</v>
      </c>
      <c r="B30" s="170" t="s">
        <v>220</v>
      </c>
      <c r="C30" s="8">
        <v>4.0363655090332031</v>
      </c>
      <c r="D30" s="9">
        <v>3.499999875202775E-3</v>
      </c>
      <c r="E30" s="9">
        <v>0.27500000596046448</v>
      </c>
      <c r="F30" s="9">
        <v>5.3619275093078613</v>
      </c>
      <c r="G30" s="9">
        <v>0.12498543411493301</v>
      </c>
      <c r="H30" s="9">
        <v>5.128752812743187E-2</v>
      </c>
      <c r="I30">
        <v>5.8776899095391855E-5</v>
      </c>
      <c r="J30"/>
    </row>
    <row r="31" spans="1:10" ht="15" customHeight="1" x14ac:dyDescent="0.15">
      <c r="A31" s="171">
        <v>30</v>
      </c>
      <c r="B31" s="171" t="s">
        <v>221</v>
      </c>
      <c r="C31" s="8">
        <v>1</v>
      </c>
      <c r="D31" s="9">
        <v>0.44208332896232605</v>
      </c>
      <c r="E31" s="10"/>
      <c r="F31" s="10"/>
      <c r="G31" s="9">
        <v>0.31009325385093689</v>
      </c>
      <c r="H31" s="10"/>
      <c r="I31">
        <v>0</v>
      </c>
      <c r="J31"/>
    </row>
    <row r="32" spans="1:10" ht="15" customHeight="1" x14ac:dyDescent="0.15">
      <c r="A32" s="199">
        <v>31</v>
      </c>
      <c r="B32" s="199" t="s">
        <v>222</v>
      </c>
      <c r="C32" s="8">
        <v>1</v>
      </c>
      <c r="D32" s="9">
        <v>81.333335876464844</v>
      </c>
      <c r="E32" s="10"/>
      <c r="F32" s="10"/>
      <c r="G32" s="9">
        <v>0.99526971578598022</v>
      </c>
      <c r="H32" s="10"/>
      <c r="I32">
        <v>0</v>
      </c>
      <c r="J32"/>
    </row>
    <row r="33" spans="1:10" ht="15" customHeight="1" x14ac:dyDescent="0.15">
      <c r="A33" s="200">
        <v>32</v>
      </c>
      <c r="B33" s="200" t="s">
        <v>223</v>
      </c>
      <c r="C33" s="8">
        <v>1</v>
      </c>
      <c r="D33" s="9">
        <v>5</v>
      </c>
      <c r="E33" s="10"/>
      <c r="F33" s="10"/>
      <c r="G33" s="7">
        <v>0</v>
      </c>
      <c r="H33" s="10"/>
      <c r="I33">
        <v>0</v>
      </c>
      <c r="J33"/>
    </row>
    <row r="34" spans="1:10" ht="15" customHeight="1" x14ac:dyDescent="0.15">
      <c r="A34" s="201">
        <v>33</v>
      </c>
      <c r="B34" s="201" t="s">
        <v>224</v>
      </c>
      <c r="C34" s="8">
        <v>4.5787715911865234</v>
      </c>
      <c r="D34" s="10"/>
      <c r="E34" s="10"/>
      <c r="F34" s="10"/>
      <c r="G34" s="10"/>
      <c r="H34" s="10"/>
      <c r="I34">
        <v>2.299598217010498</v>
      </c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7" bestFit="1" customWidth="1"/>
    <col min="2" max="4" width="9.5" style="77" bestFit="1" customWidth="1"/>
    <col min="5" max="7" width="9" style="77" bestFit="1" customWidth="1"/>
    <col min="8" max="16" width="12.6640625" style="77" bestFit="1" customWidth="1"/>
    <col min="17" max="17" width="12.33203125" style="77" bestFit="1" customWidth="1"/>
    <col min="18" max="18" width="8.83203125" style="77"/>
    <col min="19" max="21" width="9.33203125" style="77" bestFit="1" customWidth="1"/>
    <col min="22" max="23" width="8.83203125" style="77"/>
    <col min="24" max="24" width="9.33203125" style="77" bestFit="1" customWidth="1"/>
    <col min="25" max="27" width="8.83203125" style="77"/>
    <col min="28" max="58" width="9" style="77" bestFit="1" customWidth="1"/>
    <col min="59" max="59" width="12.33203125" style="77" bestFit="1" customWidth="1"/>
    <col min="60" max="60" width="9" style="77" bestFit="1" customWidth="1"/>
    <col min="61" max="61" width="11.33203125" style="77" bestFit="1" customWidth="1"/>
    <col min="62" max="77" width="9" style="77" bestFit="1" customWidth="1"/>
    <col min="78" max="78" width="12.33203125" style="77" bestFit="1" customWidth="1"/>
    <col min="79" max="79" width="9" style="77" bestFit="1" customWidth="1"/>
    <col min="80" max="80" width="12.33203125" style="77" bestFit="1" customWidth="1"/>
    <col min="81" max="107" width="9" style="77" bestFit="1" customWidth="1"/>
    <col min="108" max="108" width="11.33203125" style="77" bestFit="1" customWidth="1"/>
    <col min="109" max="124" width="9" style="77" bestFit="1" customWidth="1"/>
    <col min="125" max="125" width="10.33203125" style="77" bestFit="1" customWidth="1"/>
    <col min="126" max="129" width="9.33203125" style="77" bestFit="1" customWidth="1"/>
    <col min="130" max="130" width="9" style="77" bestFit="1" customWidth="1"/>
    <col min="131" max="134" width="9.33203125" style="77" bestFit="1" customWidth="1"/>
    <col min="135" max="165" width="9" style="77" bestFit="1" customWidth="1"/>
    <col min="166" max="166" width="12.33203125" style="77" bestFit="1" customWidth="1"/>
    <col min="167" max="170" width="9" style="77" bestFit="1" customWidth="1"/>
    <col min="171" max="176" width="8.83203125" style="77"/>
    <col min="177" max="177" width="13.83203125" style="77" bestFit="1" customWidth="1"/>
    <col min="178" max="16384" width="8.83203125" style="77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229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163.14317321777344</v>
      </c>
      <c r="C2">
        <v>19.60015869140625</v>
      </c>
      <c r="D2"/>
      <c r="E2"/>
      <c r="F2" s="265">
        <v>40.570430755615234</v>
      </c>
      <c r="G2" s="263">
        <v>11.332239151000977</v>
      </c>
      <c r="H2" s="266">
        <v>43.490169525146484</v>
      </c>
      <c r="I2" s="264">
        <v>37.380054473876953</v>
      </c>
      <c r="J2" s="12">
        <v>0.72834748029708862</v>
      </c>
      <c r="K2" s="15">
        <v>1.4664267301559448</v>
      </c>
      <c r="L2" s="18">
        <v>1.8592674732208252</v>
      </c>
      <c r="M2" s="12">
        <v>0.51829761266708374</v>
      </c>
      <c r="N2" s="16">
        <v>2.4472289085388184</v>
      </c>
      <c r="O2" s="16">
        <v>2.6654996871948242</v>
      </c>
      <c r="P2" s="23">
        <v>1.029370903968811</v>
      </c>
      <c r="Q2"/>
      <c r="R2" s="11">
        <v>6.7549515515565872E-3</v>
      </c>
      <c r="S2" s="11">
        <v>2.4746617302298546E-2</v>
      </c>
      <c r="T2" s="11">
        <v>5.4534650407731533E-3</v>
      </c>
      <c r="U2" s="11">
        <v>1.857602596282959E-2</v>
      </c>
      <c r="V2"/>
      <c r="W2" s="11">
        <v>1.625958684599027E-4</v>
      </c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91.25</v>
      </c>
      <c r="C3">
        <v>10.649331092834473</v>
      </c>
      <c r="D3"/>
      <c r="E3"/>
      <c r="F3"/>
      <c r="G3" s="227">
        <v>42.574047088623047</v>
      </c>
      <c r="H3"/>
      <c r="I3"/>
      <c r="J3" s="22">
        <v>0.68339991569519043</v>
      </c>
      <c r="K3"/>
      <c r="L3" s="258">
        <v>17.860637664794922</v>
      </c>
      <c r="M3" s="222">
        <v>2.1265869140625</v>
      </c>
      <c r="N3" s="252">
        <v>4.8164315223693848</v>
      </c>
      <c r="O3" s="256">
        <v>10.754327774047852</v>
      </c>
      <c r="P3" s="23">
        <v>0.62381857633590698</v>
      </c>
      <c r="Q3" s="18">
        <v>0.99992114305496216</v>
      </c>
      <c r="R3" s="14">
        <v>0.16150391101837158</v>
      </c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72</v>
      </c>
      <c r="C4">
        <v>4.2228913307189941</v>
      </c>
      <c r="D4"/>
      <c r="E4"/>
      <c r="F4"/>
      <c r="G4" s="259">
        <v>23.521312713623047</v>
      </c>
      <c r="H4" s="261">
        <v>30.845861434936523</v>
      </c>
      <c r="I4" s="255">
        <v>11.491800308227539</v>
      </c>
      <c r="J4" s="24">
        <v>1.9181321859359741</v>
      </c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30.918087005615234</v>
      </c>
      <c r="C5">
        <v>2.7241842746734619</v>
      </c>
      <c r="D5"/>
      <c r="E5"/>
      <c r="F5"/>
      <c r="G5"/>
      <c r="H5" s="254">
        <v>4.0879993438720703</v>
      </c>
      <c r="I5" s="260">
        <v>13.80854320526123</v>
      </c>
      <c r="J5" s="238">
        <v>5.9442596435546875</v>
      </c>
      <c r="K5" s="235">
        <v>3.7755329608917236</v>
      </c>
      <c r="L5"/>
      <c r="M5" s="14">
        <v>4.4472884386777878E-2</v>
      </c>
      <c r="N5"/>
      <c r="O5"/>
      <c r="P5"/>
      <c r="Q5"/>
      <c r="R5"/>
      <c r="S5" s="18">
        <v>0.38462698459625244</v>
      </c>
      <c r="T5" s="12">
        <v>0.12336990237236023</v>
      </c>
      <c r="U5" s="11">
        <v>1.9268760457634926E-2</v>
      </c>
      <c r="V5"/>
      <c r="W5" s="11">
        <v>1.648212200962007E-3</v>
      </c>
      <c r="X5"/>
      <c r="Y5"/>
      <c r="Z5"/>
      <c r="AA5"/>
      <c r="AB5"/>
      <c r="AC5"/>
      <c r="AD5"/>
      <c r="AE5" s="11">
        <v>4.1801473125815392E-3</v>
      </c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35</v>
      </c>
      <c r="C6">
        <v>8.9211025238037109</v>
      </c>
      <c r="D6"/>
      <c r="E6"/>
      <c r="F6"/>
      <c r="G6"/>
      <c r="H6"/>
      <c r="I6" s="262">
        <v>13.976205825805664</v>
      </c>
      <c r="J6" s="257">
        <v>5.6427302360534668</v>
      </c>
      <c r="K6" s="219">
        <v>5.4517693519592285</v>
      </c>
      <c r="L6"/>
      <c r="M6" s="23">
        <v>0.19509896636009216</v>
      </c>
      <c r="N6"/>
      <c r="O6"/>
      <c r="P6"/>
      <c r="Q6"/>
      <c r="R6"/>
      <c r="S6" s="23">
        <v>0.19376783072948456</v>
      </c>
      <c r="T6" s="18">
        <v>0.39087313413619995</v>
      </c>
      <c r="U6" s="12">
        <v>0.14036457240581512</v>
      </c>
      <c r="V6" s="11">
        <v>4.6250917948782444E-3</v>
      </c>
      <c r="W6" s="11">
        <v>2.3049766197800636E-2</v>
      </c>
      <c r="X6"/>
      <c r="Y6"/>
      <c r="Z6"/>
      <c r="AA6"/>
      <c r="AB6" s="11">
        <v>5.1460619943100028E-6</v>
      </c>
      <c r="AC6"/>
      <c r="AD6"/>
      <c r="AE6" s="14">
        <v>6.0352839529514313E-2</v>
      </c>
      <c r="AF6"/>
      <c r="AG6" s="11">
        <v>5.3803156333742663E-5</v>
      </c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35</v>
      </c>
      <c r="C7">
        <v>3.0911567211151123</v>
      </c>
      <c r="D7" s="11">
        <v>4.9558781256564544E-7</v>
      </c>
      <c r="E7"/>
      <c r="F7"/>
      <c r="G7"/>
      <c r="H7"/>
      <c r="I7" s="253">
        <v>24.411655426025391</v>
      </c>
      <c r="J7" s="244">
        <v>7.1062631607055664</v>
      </c>
      <c r="K7"/>
      <c r="L7"/>
      <c r="M7"/>
      <c r="N7"/>
      <c r="O7"/>
      <c r="P7"/>
      <c r="Q7"/>
      <c r="R7"/>
      <c r="S7"/>
      <c r="T7" s="12">
        <v>0.16123268008232117</v>
      </c>
      <c r="U7" s="14">
        <v>4.2108293622732162E-2</v>
      </c>
      <c r="V7"/>
      <c r="W7"/>
      <c r="X7" s="11">
        <v>5.0041498616337776E-4</v>
      </c>
      <c r="Y7" s="11">
        <v>1.8737852573394775E-2</v>
      </c>
      <c r="Z7" s="11">
        <v>2.3312406614422798E-2</v>
      </c>
      <c r="AA7" s="12">
        <v>0.13644817471504211</v>
      </c>
      <c r="AB7"/>
      <c r="AC7" s="11">
        <v>1.0195368668064475E-3</v>
      </c>
      <c r="AD7"/>
      <c r="AE7" s="11">
        <v>5.3814058192074299E-3</v>
      </c>
      <c r="AF7" s="11">
        <v>2.1823171991854906E-3</v>
      </c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14.25</v>
      </c>
      <c r="C8">
        <v>1.6881067752838135</v>
      </c>
      <c r="D8"/>
      <c r="E8"/>
      <c r="F8"/>
      <c r="G8"/>
      <c r="H8"/>
      <c r="I8"/>
      <c r="J8"/>
      <c r="K8" s="135">
        <v>1.6935999393463135</v>
      </c>
      <c r="L8" s="250">
        <v>4.0195708274841309</v>
      </c>
      <c r="M8" s="103">
        <v>0.93724340200424194</v>
      </c>
      <c r="N8" s="103">
        <v>0.94845372438430786</v>
      </c>
      <c r="O8" s="251">
        <v>4.0575313568115234</v>
      </c>
      <c r="P8"/>
      <c r="Q8"/>
      <c r="R8" s="12">
        <v>6.1335165053606033E-2</v>
      </c>
      <c r="S8" s="15">
        <v>0.12963463366031647</v>
      </c>
      <c r="T8" s="220">
        <v>0.47942054271697998</v>
      </c>
      <c r="U8" s="14">
        <v>2.2561071440577507E-2</v>
      </c>
      <c r="V8" s="12">
        <v>5.672849714756012E-2</v>
      </c>
      <c r="W8" s="11">
        <v>1.2750516179949045E-3</v>
      </c>
      <c r="X8"/>
      <c r="Y8" s="14">
        <v>3.38422991335392E-2</v>
      </c>
      <c r="Z8" s="11">
        <v>2.4283525999635458E-3</v>
      </c>
      <c r="AA8" s="14">
        <v>1.8375298008322716E-2</v>
      </c>
      <c r="AB8"/>
      <c r="AC8"/>
      <c r="AD8" s="11">
        <v>5.0347354263067245E-3</v>
      </c>
      <c r="AE8" s="23">
        <v>9.2411354184150696E-2</v>
      </c>
      <c r="AF8" s="11">
        <v>1.9067759858444333E-3</v>
      </c>
      <c r="AG8" s="11">
        <v>5.4113147780299187E-4</v>
      </c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2.5499999523162842</v>
      </c>
      <c r="C9">
        <v>0.25499960780143738</v>
      </c>
      <c r="D9" s="11">
        <v>7.1225040301214904E-6</v>
      </c>
      <c r="E9"/>
      <c r="F9"/>
      <c r="G9"/>
      <c r="H9"/>
      <c r="I9"/>
      <c r="J9"/>
      <c r="K9"/>
      <c r="L9" s="243">
        <v>0.46767976880073547</v>
      </c>
      <c r="M9" s="248">
        <v>0.60540682077407837</v>
      </c>
      <c r="N9"/>
      <c r="O9" s="249">
        <v>1.0172315835952759</v>
      </c>
      <c r="P9"/>
      <c r="Q9" s="64">
        <v>0.16163036227226257</v>
      </c>
      <c r="R9"/>
      <c r="S9" s="12">
        <v>1.0286411270499229E-2</v>
      </c>
      <c r="T9" s="14">
        <v>6.3700187020003796E-3</v>
      </c>
      <c r="U9"/>
      <c r="V9"/>
      <c r="W9" s="11">
        <v>2.5047607778105885E-5</v>
      </c>
      <c r="X9"/>
      <c r="Y9" s="22">
        <v>2.0839808508753777E-2</v>
      </c>
      <c r="Z9" s="14">
        <v>3.1595686450600624E-3</v>
      </c>
      <c r="AA9" s="11">
        <v>2.3638247512280941E-3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3.2999997138977051</v>
      </c>
      <c r="C10">
        <v>0.37560445070266724</v>
      </c>
      <c r="D10" s="11">
        <v>4.5420797505357768E-6</v>
      </c>
      <c r="E10"/>
      <c r="F10"/>
      <c r="G10"/>
      <c r="H10"/>
      <c r="I10" s="25">
        <v>0.1062709242105484</v>
      </c>
      <c r="J10"/>
      <c r="K10"/>
      <c r="L10" s="235">
        <v>0.40245804190635681</v>
      </c>
      <c r="M10" s="239">
        <v>0.69530528783798218</v>
      </c>
      <c r="N10"/>
      <c r="O10" s="240">
        <v>0.72243738174438477</v>
      </c>
      <c r="P10"/>
      <c r="Q10" s="238">
        <v>0.6340261697769165</v>
      </c>
      <c r="R10" s="14">
        <v>3.9956248365342617E-3</v>
      </c>
      <c r="S10" s="15">
        <v>2.9324041679501534E-2</v>
      </c>
      <c r="T10" s="20">
        <v>0.14528036117553711</v>
      </c>
      <c r="U10" s="11">
        <v>4.431458655744791E-4</v>
      </c>
      <c r="V10" s="23">
        <v>2.0530045032501221E-2</v>
      </c>
      <c r="W10" s="11">
        <v>1.6413969569839537E-4</v>
      </c>
      <c r="X10" s="11">
        <v>9.9391807452775538E-5</v>
      </c>
      <c r="Y10" s="13">
        <v>0.12247530370950699</v>
      </c>
      <c r="Z10" s="12">
        <v>1.4814410358667374E-2</v>
      </c>
      <c r="AA10" s="12">
        <v>1.1083370074629784E-2</v>
      </c>
      <c r="AB10" s="11">
        <v>5.0761209422489628E-6</v>
      </c>
      <c r="AC10"/>
      <c r="AD10"/>
      <c r="AE10" s="12">
        <v>1.5678362920880318E-2</v>
      </c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2.2399997711181641</v>
      </c>
      <c r="C11">
        <v>0.3045121431350708</v>
      </c>
      <c r="D11" s="11">
        <v>1.915343091241084E-5</v>
      </c>
      <c r="E11"/>
      <c r="F11"/>
      <c r="G11"/>
      <c r="H11"/>
      <c r="I11"/>
      <c r="J11"/>
      <c r="K11"/>
      <c r="L11" s="15">
        <v>2.1480098366737366E-2</v>
      </c>
      <c r="M11" s="237">
        <v>0.18890562653541565</v>
      </c>
      <c r="N11" s="26">
        <v>5.8809664100408554E-2</v>
      </c>
      <c r="O11" s="241">
        <v>0.66664373874664307</v>
      </c>
      <c r="P11"/>
      <c r="Q11" s="246">
        <v>0.93096500635147095</v>
      </c>
      <c r="R11"/>
      <c r="S11" s="14">
        <v>4.7102076932787895E-3</v>
      </c>
      <c r="T11" s="12">
        <v>8.7618362158536911E-3</v>
      </c>
      <c r="U11" s="11">
        <v>1.8138276936952025E-4</v>
      </c>
      <c r="V11"/>
      <c r="W11"/>
      <c r="X11"/>
      <c r="Y11" s="16">
        <v>3.3434115350246429E-2</v>
      </c>
      <c r="Z11" s="14">
        <v>6.0662021860480309E-3</v>
      </c>
      <c r="AA11" s="23">
        <v>1.3615250587463379E-2</v>
      </c>
      <c r="AB11"/>
      <c r="AC11"/>
      <c r="AD11"/>
      <c r="AE11" s="11">
        <v>1.8954344559460878E-3</v>
      </c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2.0399999618530273</v>
      </c>
      <c r="C12">
        <v>0.23063047230243683</v>
      </c>
      <c r="D12" s="11">
        <v>2.9030663426965475E-5</v>
      </c>
      <c r="E12"/>
      <c r="F12"/>
      <c r="G12"/>
      <c r="H12"/>
      <c r="I12" s="215">
        <v>9.1773062944412231E-2</v>
      </c>
      <c r="J12"/>
      <c r="K12"/>
      <c r="L12" s="242">
        <v>0.28000158071517944</v>
      </c>
      <c r="M12" s="247">
        <v>0.45803534984588623</v>
      </c>
      <c r="N12" s="63">
        <v>0.12125182151794434</v>
      </c>
      <c r="O12" s="239">
        <v>0.42768767476081848</v>
      </c>
      <c r="P12"/>
      <c r="Q12" s="245">
        <v>0.36833468079566956</v>
      </c>
      <c r="R12" s="12">
        <v>8.3244629204273224E-3</v>
      </c>
      <c r="S12" s="12">
        <v>7.8137991949915886E-3</v>
      </c>
      <c r="T12" s="14">
        <v>4.8388154245913029E-3</v>
      </c>
      <c r="U12" s="11">
        <v>2.2007923689670861E-4</v>
      </c>
      <c r="V12" s="11">
        <v>3.6956352414563298E-4</v>
      </c>
      <c r="W12"/>
      <c r="X12" s="11">
        <v>1.6102465451695025E-5</v>
      </c>
      <c r="Y12" s="15">
        <v>1.9842220470309258E-2</v>
      </c>
      <c r="Z12" s="11">
        <v>1.6000549076125026E-3</v>
      </c>
      <c r="AA12" s="22">
        <v>1.7792928963899612E-2</v>
      </c>
      <c r="AB12" s="11">
        <v>8.2238227605557768E-7</v>
      </c>
      <c r="AC12"/>
      <c r="AD12"/>
      <c r="AE12" s="11">
        <v>1.4373563462868333E-3</v>
      </c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0.86399990320205688</v>
      </c>
      <c r="C13">
        <v>0.10162309557199478</v>
      </c>
      <c r="D13" s="202">
        <v>4.2321585118770599E-2</v>
      </c>
      <c r="E13"/>
      <c r="F13"/>
      <c r="G13"/>
      <c r="H13"/>
      <c r="I13"/>
      <c r="J13"/>
      <c r="K13"/>
      <c r="L13" s="72">
        <v>0.12124478816986084</v>
      </c>
      <c r="M13" s="223">
        <v>0.14142397046089172</v>
      </c>
      <c r="N13" s="223">
        <v>0.14030547440052032</v>
      </c>
      <c r="O13" s="206">
        <v>0.1168559268116951</v>
      </c>
      <c r="P13"/>
      <c r="Q13" s="229">
        <v>0.13079625368118286</v>
      </c>
      <c r="R13"/>
      <c r="S13"/>
      <c r="T13"/>
      <c r="U13"/>
      <c r="V13"/>
      <c r="W13"/>
      <c r="X13"/>
      <c r="Y13" s="221">
        <v>4.8828702419996262E-2</v>
      </c>
      <c r="Z13" s="23">
        <v>5.0495648756623268E-3</v>
      </c>
      <c r="AA13" s="19">
        <v>1.5550565905869007E-2</v>
      </c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1.679999828338623</v>
      </c>
      <c r="C14">
        <v>0.18663498759269714</v>
      </c>
      <c r="D14" s="27">
        <v>0.12807713449001312</v>
      </c>
      <c r="E14"/>
      <c r="F14"/>
      <c r="G14"/>
      <c r="H14"/>
      <c r="I14"/>
      <c r="J14"/>
      <c r="K14"/>
      <c r="L14" s="69">
        <v>0.13281077146530151</v>
      </c>
      <c r="M14" s="64">
        <v>0.10703056305646896</v>
      </c>
      <c r="N14" s="19">
        <v>2.8412271291017532E-2</v>
      </c>
      <c r="O14" s="236">
        <v>0.52513325214385986</v>
      </c>
      <c r="P14"/>
      <c r="Q14" s="210">
        <v>0.45823684334754944</v>
      </c>
      <c r="R14"/>
      <c r="S14"/>
      <c r="T14"/>
      <c r="U14"/>
      <c r="V14"/>
      <c r="W14"/>
      <c r="X14" s="14">
        <v>1.8139646854251623E-3</v>
      </c>
      <c r="Y14" s="20">
        <v>7.3287025094032288E-2</v>
      </c>
      <c r="Z14" s="23">
        <v>1.1384110897779465E-2</v>
      </c>
      <c r="AA14" s="16">
        <v>2.5550995022058487E-2</v>
      </c>
      <c r="AB14"/>
      <c r="AC14"/>
      <c r="AD14"/>
      <c r="AE14" s="11">
        <v>1.6279589617624879E-3</v>
      </c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2</v>
      </c>
      <c r="C15">
        <v>0.3951956033706665</v>
      </c>
      <c r="D15" s="203">
        <v>0.20627346634864807</v>
      </c>
      <c r="E15"/>
      <c r="F15"/>
      <c r="G15"/>
      <c r="H15"/>
      <c r="I15"/>
      <c r="J15"/>
      <c r="K15"/>
      <c r="L15"/>
      <c r="M15"/>
      <c r="N15"/>
      <c r="O15"/>
      <c r="P15"/>
      <c r="Q15"/>
      <c r="R15" s="12">
        <v>6.2919077463448048E-3</v>
      </c>
      <c r="S15"/>
      <c r="T15"/>
      <c r="U15"/>
      <c r="V15" s="16">
        <v>3.2782420516014099E-2</v>
      </c>
      <c r="W15"/>
      <c r="X15" s="11">
        <v>1.4226431958377361E-3</v>
      </c>
      <c r="Y15" s="221">
        <v>0.11490515619516373</v>
      </c>
      <c r="Z15" s="14">
        <v>2.7473911177366972E-3</v>
      </c>
      <c r="AA15" s="230">
        <v>1.2393590211868286</v>
      </c>
      <c r="AB15"/>
      <c r="AC15"/>
      <c r="AD15"/>
      <c r="AE15"/>
      <c r="AF15"/>
      <c r="AG15" s="11">
        <v>1.0223641293123364E-3</v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15</v>
      </c>
      <c r="C16">
        <v>1.5415281057357788</v>
      </c>
      <c r="D16" s="9">
        <v>1.28502009033582E-8</v>
      </c>
      <c r="E16"/>
      <c r="F16"/>
      <c r="G16"/>
      <c r="H16"/>
      <c r="I16"/>
      <c r="J16" s="224">
        <v>3.6819095611572266</v>
      </c>
      <c r="K16"/>
      <c r="L16"/>
      <c r="M16"/>
      <c r="N16"/>
      <c r="O16"/>
      <c r="P16"/>
      <c r="Q16"/>
      <c r="R16"/>
      <c r="S16" s="232">
        <v>3.3647761344909668</v>
      </c>
      <c r="T16" s="105">
        <v>5.6297011375427246</v>
      </c>
      <c r="U16" s="23">
        <v>8.8725991547107697E-2</v>
      </c>
      <c r="V16" s="140">
        <v>0.44619247317314148</v>
      </c>
      <c r="W16" s="11">
        <v>8.7829651311039925E-3</v>
      </c>
      <c r="X16" s="11">
        <v>1.9441312178969383E-3</v>
      </c>
      <c r="Y16"/>
      <c r="Z16" s="14">
        <v>1.9645694643259048E-2</v>
      </c>
      <c r="AA16" s="17">
        <v>0.21679377555847168</v>
      </c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0.51999998092651367</v>
      </c>
      <c r="C17">
        <v>6.8946890532970428E-2</v>
      </c>
      <c r="D17" s="136">
        <v>0.17591124773025513</v>
      </c>
      <c r="E17"/>
      <c r="F17"/>
      <c r="G17"/>
      <c r="H17"/>
      <c r="I17"/>
      <c r="J17" s="222">
        <v>1.1753270402550697E-2</v>
      </c>
      <c r="K17"/>
      <c r="L17"/>
      <c r="M17"/>
      <c r="N17"/>
      <c r="O17"/>
      <c r="P17"/>
      <c r="Q17"/>
      <c r="R17"/>
      <c r="S17"/>
      <c r="T17"/>
      <c r="U17"/>
      <c r="V17" s="14">
        <v>7.24786426872015E-4</v>
      </c>
      <c r="W17"/>
      <c r="X17" s="12">
        <v>2.0846463739871979E-3</v>
      </c>
      <c r="Y17" s="20">
        <v>2.2671733051538467E-2</v>
      </c>
      <c r="Z17" s="23">
        <v>2.7482437435537577E-3</v>
      </c>
      <c r="AA17" s="234">
        <v>0.19233404099941254</v>
      </c>
      <c r="AB17" s="11">
        <v>7.5364085205364972E-5</v>
      </c>
      <c r="AC17" s="11">
        <v>4.3706948054023087E-4</v>
      </c>
      <c r="AD17" s="202">
        <v>2.5821734219789505E-2</v>
      </c>
      <c r="AE17" s="12">
        <v>1.8141816835850477E-3</v>
      </c>
      <c r="AF17" s="26">
        <v>1.3652432709932327E-2</v>
      </c>
      <c r="AG17" s="14">
        <v>1.0243327124044299E-3</v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0.41999998688697815</v>
      </c>
      <c r="C18">
        <v>4.6105850487947464E-2</v>
      </c>
      <c r="D18" s="11">
        <v>1.3785938790533692E-4</v>
      </c>
      <c r="E18"/>
      <c r="F18"/>
      <c r="G18"/>
      <c r="H18"/>
      <c r="I18"/>
      <c r="J18" s="223">
        <v>6.8696007132530212E-2</v>
      </c>
      <c r="K18"/>
      <c r="L18"/>
      <c r="M18"/>
      <c r="N18"/>
      <c r="O18"/>
      <c r="P18"/>
      <c r="Q18"/>
      <c r="R18"/>
      <c r="S18"/>
      <c r="T18"/>
      <c r="U18"/>
      <c r="V18" s="22">
        <v>3.3483649604022503E-3</v>
      </c>
      <c r="W18"/>
      <c r="X18" s="14">
        <v>9.7110518254339695E-4</v>
      </c>
      <c r="Y18" s="15">
        <v>4.3593537993729115E-3</v>
      </c>
      <c r="Z18" s="14">
        <v>5.4517487296834588E-4</v>
      </c>
      <c r="AA18" s="228">
        <v>0.18376457691192627</v>
      </c>
      <c r="AB18" s="11">
        <v>8.2660226325970143E-5</v>
      </c>
      <c r="AC18" s="21">
        <v>7.828722707927227E-3</v>
      </c>
      <c r="AD18" s="68">
        <v>3.9561133831739426E-2</v>
      </c>
      <c r="AE18" s="22">
        <v>3.6028227768838406E-3</v>
      </c>
      <c r="AF18" s="206">
        <v>5.6934475898742676E-2</v>
      </c>
      <c r="AG18" s="15">
        <v>4.0618847124278545E-3</v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1.3999999761581421</v>
      </c>
      <c r="C19">
        <v>0.18605323135852814</v>
      </c>
      <c r="D19" s="13">
        <v>5.2391313016414642E-2</v>
      </c>
      <c r="E19"/>
      <c r="F19"/>
      <c r="G19"/>
      <c r="H19"/>
      <c r="I19"/>
      <c r="J19" s="215">
        <v>6.2598071992397308E-2</v>
      </c>
      <c r="K19"/>
      <c r="L19"/>
      <c r="M19"/>
      <c r="N19"/>
      <c r="O19"/>
      <c r="P19"/>
      <c r="Q19"/>
      <c r="R19"/>
      <c r="S19"/>
      <c r="T19"/>
      <c r="U19"/>
      <c r="V19" s="25">
        <v>4.2624708265066147E-2</v>
      </c>
      <c r="W19"/>
      <c r="X19" s="14">
        <v>3.0872269999235868E-3</v>
      </c>
      <c r="Y19" s="26">
        <v>3.5405348986387253E-2</v>
      </c>
      <c r="Z19" s="14">
        <v>2.2143244277685881E-3</v>
      </c>
      <c r="AA19" s="227">
        <v>0.6525915265083313</v>
      </c>
      <c r="AB19" s="11">
        <v>1.1939802207052708E-3</v>
      </c>
      <c r="AC19" s="11">
        <v>1.250932109542191E-3</v>
      </c>
      <c r="AD19"/>
      <c r="AE19" s="15">
        <v>1.4853340573608875E-2</v>
      </c>
      <c r="AF19" s="224">
        <v>0.3435627818107605</v>
      </c>
      <c r="AG19" s="14">
        <v>2.1731809247285128E-3</v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0.43679997324943542</v>
      </c>
      <c r="C20">
        <v>4.69488725066185E-2</v>
      </c>
      <c r="D20" s="204">
        <v>0.14609701931476593</v>
      </c>
      <c r="E20"/>
      <c r="F20"/>
      <c r="G20"/>
      <c r="H20"/>
      <c r="I20"/>
      <c r="J20" s="101">
        <v>5.3622189909219742E-2</v>
      </c>
      <c r="K20"/>
      <c r="L20"/>
      <c r="M20"/>
      <c r="N20"/>
      <c r="O20"/>
      <c r="P20"/>
      <c r="Q20"/>
      <c r="R20"/>
      <c r="S20"/>
      <c r="T20"/>
      <c r="U20"/>
      <c r="V20" s="22">
        <v>3.6258595064282417E-3</v>
      </c>
      <c r="W20"/>
      <c r="X20" s="15">
        <v>4.1270102374255657E-3</v>
      </c>
      <c r="Y20"/>
      <c r="Z20"/>
      <c r="AA20" s="213">
        <v>4.2679306119680405E-2</v>
      </c>
      <c r="AB20" s="11">
        <v>2.6853193412534893E-4</v>
      </c>
      <c r="AC20"/>
      <c r="AD20" s="217">
        <v>0.11696561425924301</v>
      </c>
      <c r="AE20" s="19">
        <v>7.2885570116341114E-3</v>
      </c>
      <c r="AF20" s="140">
        <v>1.2697504833340645E-2</v>
      </c>
      <c r="AG20" s="23">
        <v>2.4795171339064837E-3</v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0.64899981021881104</v>
      </c>
      <c r="C21">
        <v>6.3109844923019409E-2</v>
      </c>
      <c r="D21" s="205">
        <v>0.57310271263122559</v>
      </c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 s="14">
        <v>1.0308477794751525E-3</v>
      </c>
      <c r="Y21"/>
      <c r="Z21"/>
      <c r="AA21"/>
      <c r="AB21" s="12">
        <v>2.5070039555430412E-3</v>
      </c>
      <c r="AC21"/>
      <c r="AD21" s="18">
        <v>7.930167019367218E-3</v>
      </c>
      <c r="AE21"/>
      <c r="AF21" s="14">
        <v>1.0302313603460789E-3</v>
      </c>
      <c r="AG21" s="11">
        <v>2.8900275356136262E-4</v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0.45899999141693115</v>
      </c>
      <c r="C22">
        <v>6.8080037832260132E-2</v>
      </c>
      <c r="D22" s="206">
        <v>6.2213912606239319E-2</v>
      </c>
      <c r="E22"/>
      <c r="F22"/>
      <c r="G22"/>
      <c r="H22"/>
      <c r="I22"/>
      <c r="J22"/>
      <c r="K22"/>
      <c r="L22"/>
      <c r="M22" s="137">
        <v>4.5761462301015854E-2</v>
      </c>
      <c r="N22"/>
      <c r="O22" s="231">
        <v>0.17912475764751434</v>
      </c>
      <c r="P22"/>
      <c r="Q22" s="226">
        <v>3.75974141061306E-2</v>
      </c>
      <c r="R22"/>
      <c r="S22"/>
      <c r="T22" s="17">
        <v>6.5644066780805588E-3</v>
      </c>
      <c r="U22"/>
      <c r="V22"/>
      <c r="W22"/>
      <c r="X22" s="14">
        <v>1.3358164578676224E-3</v>
      </c>
      <c r="Y22" s="225">
        <v>3.3560603857040405E-2</v>
      </c>
      <c r="Z22" s="12">
        <v>1.4746370725333691E-3</v>
      </c>
      <c r="AA22" s="220">
        <v>1.5021124854683876E-2</v>
      </c>
      <c r="AB22" s="11">
        <v>3.4397955460008234E-5</v>
      </c>
      <c r="AC22"/>
      <c r="AD22" s="19">
        <v>8.231419138610363E-3</v>
      </c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0.54000002145767212</v>
      </c>
      <c r="C23">
        <v>8.3198264241218567E-2</v>
      </c>
      <c r="D23" s="20">
        <v>2.3666886612772942E-2</v>
      </c>
      <c r="E23"/>
      <c r="F23"/>
      <c r="G23"/>
      <c r="H23"/>
      <c r="I23"/>
      <c r="J23"/>
      <c r="K23"/>
      <c r="L23"/>
      <c r="M23" s="101">
        <v>6.6655628383159637E-2</v>
      </c>
      <c r="N23"/>
      <c r="O23" s="102">
        <v>8.5168458521366119E-2</v>
      </c>
      <c r="P23"/>
      <c r="Q23" s="219">
        <v>8.3529509603977203E-2</v>
      </c>
      <c r="R23"/>
      <c r="S23"/>
      <c r="T23" s="218">
        <v>4.8953883349895477E-2</v>
      </c>
      <c r="U23"/>
      <c r="V23"/>
      <c r="W23"/>
      <c r="X23" s="23">
        <v>3.4808304626494646E-3</v>
      </c>
      <c r="Y23" s="214">
        <v>4.0585517883300781E-2</v>
      </c>
      <c r="Z23" s="16">
        <v>8.4592793136835098E-3</v>
      </c>
      <c r="AA23" s="214">
        <v>4.0734417736530304E-2</v>
      </c>
      <c r="AB23" s="11">
        <v>4.1043493547476828E-4</v>
      </c>
      <c r="AC23"/>
      <c r="AD23" s="216">
        <v>4.3197661638259888E-2</v>
      </c>
      <c r="AE23"/>
      <c r="AF23" s="62">
        <v>1.1338305659592152E-2</v>
      </c>
      <c r="AG23" s="14">
        <v>6.2097114278003573E-4</v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0.55000001192092896</v>
      </c>
      <c r="C24">
        <v>0.1037316769361496</v>
      </c>
      <c r="D24" s="207">
        <v>9.7733005881309509E-2</v>
      </c>
      <c r="E24"/>
      <c r="F24"/>
      <c r="G24"/>
      <c r="H24"/>
      <c r="I24"/>
      <c r="J24"/>
      <c r="K24"/>
      <c r="L24"/>
      <c r="M24"/>
      <c r="N24"/>
      <c r="O24" s="223">
        <v>8.9816823601722717E-2</v>
      </c>
      <c r="P24"/>
      <c r="Q24" s="140">
        <v>1.5986112877726555E-2</v>
      </c>
      <c r="R24"/>
      <c r="S24"/>
      <c r="T24" s="15">
        <v>4.8844804987311363E-3</v>
      </c>
      <c r="U24"/>
      <c r="V24"/>
      <c r="W24"/>
      <c r="X24" s="14">
        <v>9.9396170116961002E-4</v>
      </c>
      <c r="Y24" s="23">
        <v>2.699672244489193E-3</v>
      </c>
      <c r="Z24" s="11">
        <v>5.064259166829288E-4</v>
      </c>
      <c r="AA24" s="233">
        <v>0.22150787711143494</v>
      </c>
      <c r="AB24" s="11">
        <v>3.5833036235999316E-5</v>
      </c>
      <c r="AC24"/>
      <c r="AD24" s="18">
        <v>6.1248801648616791E-3</v>
      </c>
      <c r="AE24"/>
      <c r="AF24" s="15">
        <v>5.8454936370253563E-3</v>
      </c>
      <c r="AG24" s="11">
        <v>1.3380077143665403E-4</v>
      </c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0.15000000596046448</v>
      </c>
      <c r="C25">
        <v>2.3549797013401985E-2</v>
      </c>
      <c r="D25" s="208">
        <v>0.10563711822032928</v>
      </c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 s="211">
        <v>2.0813090726733208E-2</v>
      </c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0.5</v>
      </c>
      <c r="C26">
        <v>9.428781270980835E-2</v>
      </c>
      <c r="D26" s="209">
        <v>0.40221813321113586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 s="22">
        <v>3.4940729383379221E-3</v>
      </c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6.7337222397327423E-2</v>
      </c>
      <c r="C27">
        <v>4.804384708404541E-2</v>
      </c>
      <c r="D27" s="210">
        <v>1.8316842615604401E-2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 s="17">
        <v>9.7653304692357779E-4</v>
      </c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4.2007617652416229E-2</v>
      </c>
      <c r="C28">
        <v>4.1300363838672638E-2</v>
      </c>
      <c r="D28" s="16">
        <v>6.7318941000849009E-4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 s="11">
        <v>3.4065098589053378E-5</v>
      </c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3.9999999105930328E-2</v>
      </c>
      <c r="C29">
        <v>1.8495036289095879E-2</v>
      </c>
      <c r="D29" s="203">
        <v>4.1305064223706722E-3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 s="25">
        <v>1.220666104927659E-3</v>
      </c>
      <c r="AC29"/>
      <c r="AD29"/>
      <c r="AE29"/>
      <c r="AF29" s="212">
        <v>1.6153788194060326E-2</v>
      </c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0.27500000596046448</v>
      </c>
      <c r="C30">
        <v>0.24062901735305786</v>
      </c>
      <c r="D30" s="141">
        <v>1.6793400049209595E-2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 s="71">
        <v>1.7577596008777618E-2</v>
      </c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/>
      <c r="C31">
        <v>0.31009325385093689</v>
      </c>
      <c r="D31"/>
      <c r="E31"/>
      <c r="F31"/>
      <c r="G31"/>
      <c r="H31"/>
      <c r="I31"/>
      <c r="J31"/>
      <c r="K31"/>
      <c r="L31" s="9">
        <v>1.9589418172836304</v>
      </c>
      <c r="M31" s="9">
        <v>0.58310592174530029</v>
      </c>
      <c r="N31" s="9">
        <v>0.79239356517791748</v>
      </c>
      <c r="O31" s="9">
        <v>2.7753546237945557</v>
      </c>
      <c r="P31"/>
      <c r="Q31" s="9">
        <v>1.5079704523086548</v>
      </c>
      <c r="R31" s="9">
        <v>0.14945869147777557</v>
      </c>
      <c r="S31"/>
      <c r="T31"/>
      <c r="U31"/>
      <c r="V31"/>
      <c r="W31"/>
      <c r="X31"/>
      <c r="Y31" s="9">
        <v>3.2445386052131653E-2</v>
      </c>
      <c r="Z31" s="9">
        <v>8.1151509657502174E-3</v>
      </c>
      <c r="AA31"/>
      <c r="AB31"/>
      <c r="AC31"/>
      <c r="AD31"/>
      <c r="AE31"/>
      <c r="AF31"/>
      <c r="AG31" s="9">
        <v>2.4228009860962629E-3</v>
      </c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/>
      <c r="C32">
        <v>0.99526971578598022</v>
      </c>
      <c r="D32"/>
      <c r="E32"/>
      <c r="F32" s="9">
        <v>1187.39404296875</v>
      </c>
      <c r="G32" s="9">
        <v>585.0478515625</v>
      </c>
      <c r="H32" s="9">
        <v>173.52133178710938</v>
      </c>
      <c r="I32" s="9">
        <v>81.110015869140625</v>
      </c>
      <c r="J32" s="9">
        <v>18.738687515258789</v>
      </c>
      <c r="K32" s="9">
        <v>32.730472564697266</v>
      </c>
      <c r="L32" s="9">
        <v>152.36209106445312</v>
      </c>
      <c r="M32" s="9">
        <v>25.255306243896484</v>
      </c>
      <c r="N32" s="9">
        <v>45.279644012451172</v>
      </c>
      <c r="O32" s="9">
        <v>110.62876892089844</v>
      </c>
      <c r="P32" s="9">
        <v>2.597205638885498</v>
      </c>
      <c r="Q32" s="9">
        <v>5.483527660369873</v>
      </c>
      <c r="R32" s="9">
        <v>0.2702690064907074</v>
      </c>
      <c r="S32" s="9">
        <v>0.5475386381149292</v>
      </c>
      <c r="T32"/>
      <c r="U32"/>
      <c r="V32"/>
      <c r="W32"/>
      <c r="X32"/>
      <c r="Y32" s="9">
        <v>3.2445386052131653E-2</v>
      </c>
      <c r="Z32" s="9">
        <v>4.0575754828751087E-3</v>
      </c>
      <c r="AA32"/>
      <c r="AB32" s="9">
        <v>1.0253595246467739E-4</v>
      </c>
      <c r="AC32"/>
      <c r="AD32"/>
      <c r="AE32" s="9">
        <v>1.8700379878282547E-2</v>
      </c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/>
      <c r="C33">
        <v>0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7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36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36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2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0" t="s">
        <v>166</v>
      </c>
    </row>
    <row r="2" spans="1:12" x14ac:dyDescent="0.15">
      <c r="A2" s="1" t="s">
        <v>37</v>
      </c>
      <c r="B2" s="37">
        <v>3</v>
      </c>
      <c r="C2" s="35"/>
      <c r="D2" t="s">
        <v>38</v>
      </c>
      <c r="E2">
        <v>1</v>
      </c>
      <c r="F2">
        <v>1</v>
      </c>
      <c r="G2">
        <v>1</v>
      </c>
      <c r="H2" t="s">
        <v>38</v>
      </c>
      <c r="J2" s="53"/>
      <c r="K2" s="54"/>
      <c r="L2" s="60" t="s">
        <v>167</v>
      </c>
    </row>
    <row r="3" spans="1:12" ht="14" thickBot="1" x14ac:dyDescent="0.2">
      <c r="A3" s="1" t="s">
        <v>39</v>
      </c>
      <c r="B3" s="38">
        <v>0</v>
      </c>
      <c r="C3" s="35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5"/>
      <c r="K3" s="56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5"/>
      <c r="K4" s="56"/>
    </row>
    <row r="5" spans="1:12" x14ac:dyDescent="0.15">
      <c r="D5" s="191" t="s">
        <v>192</v>
      </c>
      <c r="E5">
        <v>4</v>
      </c>
      <c r="F5">
        <v>2</v>
      </c>
      <c r="G5">
        <v>4</v>
      </c>
      <c r="H5" s="192" t="s">
        <v>192</v>
      </c>
      <c r="J5" s="55"/>
      <c r="K5" s="56"/>
    </row>
    <row r="6" spans="1:12" ht="14" thickBot="1" x14ac:dyDescent="0.2">
      <c r="A6" s="39" t="s">
        <v>121</v>
      </c>
      <c r="D6" s="191" t="s">
        <v>193</v>
      </c>
      <c r="E6">
        <v>5</v>
      </c>
      <c r="F6">
        <v>9</v>
      </c>
      <c r="G6">
        <v>5</v>
      </c>
      <c r="H6" s="192" t="s">
        <v>193</v>
      </c>
      <c r="J6" s="55"/>
      <c r="K6" s="56"/>
    </row>
    <row r="7" spans="1:12" x14ac:dyDescent="0.15">
      <c r="A7" s="34" t="s">
        <v>126</v>
      </c>
      <c r="B7" s="41">
        <v>1</v>
      </c>
      <c r="C7" s="36"/>
      <c r="D7" s="191" t="s">
        <v>194</v>
      </c>
      <c r="E7">
        <v>6</v>
      </c>
      <c r="F7">
        <v>3.14</v>
      </c>
      <c r="G7">
        <v>6</v>
      </c>
      <c r="H7" s="192" t="s">
        <v>194</v>
      </c>
      <c r="J7" s="55"/>
      <c r="K7" s="56"/>
    </row>
    <row r="8" spans="1:12" x14ac:dyDescent="0.15">
      <c r="A8" s="34" t="s">
        <v>38</v>
      </c>
      <c r="B8" s="42">
        <v>1</v>
      </c>
      <c r="C8" s="36"/>
      <c r="D8" s="191" t="s">
        <v>195</v>
      </c>
      <c r="E8">
        <v>7</v>
      </c>
      <c r="F8">
        <v>3.11</v>
      </c>
      <c r="G8">
        <v>7</v>
      </c>
      <c r="H8" s="192" t="s">
        <v>195</v>
      </c>
      <c r="J8" s="55"/>
      <c r="K8" s="56"/>
    </row>
    <row r="9" spans="1:12" x14ac:dyDescent="0.15">
      <c r="A9" s="34" t="s">
        <v>40</v>
      </c>
      <c r="B9" s="42">
        <v>1.1000000000000001</v>
      </c>
      <c r="C9" s="36"/>
      <c r="D9" s="191" t="s">
        <v>196</v>
      </c>
      <c r="E9">
        <v>8</v>
      </c>
      <c r="F9">
        <v>3.11</v>
      </c>
      <c r="G9">
        <v>8</v>
      </c>
      <c r="H9" s="192" t="s">
        <v>196</v>
      </c>
      <c r="J9" s="55"/>
      <c r="K9" s="56"/>
    </row>
    <row r="10" spans="1:12" x14ac:dyDescent="0.15">
      <c r="A10" s="34" t="s">
        <v>41</v>
      </c>
      <c r="B10" s="42">
        <v>1.2</v>
      </c>
      <c r="C10" s="36"/>
      <c r="D10" s="191" t="s">
        <v>197</v>
      </c>
      <c r="E10">
        <v>9</v>
      </c>
      <c r="F10">
        <v>3.11</v>
      </c>
      <c r="G10">
        <v>9</v>
      </c>
      <c r="H10" s="192" t="s">
        <v>197</v>
      </c>
      <c r="J10" s="55"/>
      <c r="K10" s="56"/>
    </row>
    <row r="11" spans="1:12" ht="12" customHeight="1" x14ac:dyDescent="0.15">
      <c r="A11" s="40" t="s">
        <v>127</v>
      </c>
      <c r="B11" s="42">
        <v>2</v>
      </c>
      <c r="C11" s="36"/>
      <c r="D11" s="191" t="s">
        <v>198</v>
      </c>
      <c r="E11">
        <v>10</v>
      </c>
      <c r="F11">
        <v>3.12</v>
      </c>
      <c r="G11">
        <v>10</v>
      </c>
      <c r="H11" s="192" t="s">
        <v>198</v>
      </c>
      <c r="J11" s="55"/>
      <c r="K11" s="56"/>
    </row>
    <row r="12" spans="1:12" x14ac:dyDescent="0.15">
      <c r="A12" s="34" t="s">
        <v>42</v>
      </c>
      <c r="B12" s="42">
        <v>2.1</v>
      </c>
      <c r="C12" s="36"/>
      <c r="D12" s="191" t="s">
        <v>199</v>
      </c>
      <c r="E12">
        <v>11</v>
      </c>
      <c r="F12">
        <v>3.21</v>
      </c>
      <c r="G12">
        <v>11</v>
      </c>
      <c r="H12" s="192" t="s">
        <v>199</v>
      </c>
      <c r="J12" s="55"/>
      <c r="K12" s="56"/>
    </row>
    <row r="13" spans="1:12" x14ac:dyDescent="0.15">
      <c r="A13" s="34" t="s">
        <v>43</v>
      </c>
      <c r="B13" s="42">
        <v>2.2000000000000002</v>
      </c>
      <c r="C13" s="36"/>
      <c r="D13" s="191" t="s">
        <v>200</v>
      </c>
      <c r="E13">
        <v>12</v>
      </c>
      <c r="F13">
        <v>3.21</v>
      </c>
      <c r="G13">
        <v>12</v>
      </c>
      <c r="H13" s="192" t="s">
        <v>200</v>
      </c>
      <c r="J13" s="55"/>
      <c r="K13" s="56"/>
    </row>
    <row r="14" spans="1:12" x14ac:dyDescent="0.15">
      <c r="A14" s="34" t="s">
        <v>67</v>
      </c>
      <c r="B14" s="42">
        <v>2.2999999999999998</v>
      </c>
      <c r="C14" s="36"/>
      <c r="D14" s="191" t="s">
        <v>201</v>
      </c>
      <c r="E14">
        <v>13</v>
      </c>
      <c r="F14">
        <v>3.21</v>
      </c>
      <c r="G14">
        <v>13</v>
      </c>
      <c r="H14" s="192" t="s">
        <v>201</v>
      </c>
      <c r="J14" s="55"/>
      <c r="K14" s="56"/>
    </row>
    <row r="15" spans="1:12" x14ac:dyDescent="0.15">
      <c r="A15" s="40" t="s">
        <v>128</v>
      </c>
      <c r="B15" s="42">
        <v>3</v>
      </c>
      <c r="C15" s="36"/>
      <c r="D15" s="191" t="s">
        <v>202</v>
      </c>
      <c r="E15">
        <v>14</v>
      </c>
      <c r="F15">
        <v>3.21</v>
      </c>
      <c r="G15">
        <v>14</v>
      </c>
      <c r="H15" s="192" t="s">
        <v>202</v>
      </c>
      <c r="J15" s="55"/>
      <c r="K15" s="56"/>
    </row>
    <row r="16" spans="1:12" x14ac:dyDescent="0.15">
      <c r="A16" s="34" t="s">
        <v>62</v>
      </c>
      <c r="B16" s="42">
        <v>3.11</v>
      </c>
      <c r="C16" s="36"/>
      <c r="D16" s="191" t="s">
        <v>203</v>
      </c>
      <c r="E16">
        <v>15</v>
      </c>
      <c r="F16">
        <v>3.21</v>
      </c>
      <c r="G16">
        <v>15</v>
      </c>
      <c r="H16" s="192" t="s">
        <v>203</v>
      </c>
      <c r="J16" s="55"/>
      <c r="K16" s="56"/>
    </row>
    <row r="17" spans="1:12" x14ac:dyDescent="0.15">
      <c r="A17" s="34" t="s">
        <v>61</v>
      </c>
      <c r="B17" s="42">
        <v>3.12</v>
      </c>
      <c r="C17" s="36"/>
      <c r="D17" s="191" t="s">
        <v>204</v>
      </c>
      <c r="E17">
        <v>16</v>
      </c>
      <c r="F17">
        <v>3.21</v>
      </c>
      <c r="G17">
        <v>16</v>
      </c>
      <c r="H17" s="192" t="s">
        <v>204</v>
      </c>
      <c r="J17" s="55"/>
      <c r="K17" s="56"/>
    </row>
    <row r="18" spans="1:12" x14ac:dyDescent="0.15">
      <c r="A18" s="34" t="s">
        <v>68</v>
      </c>
      <c r="B18" s="42">
        <v>3.13</v>
      </c>
      <c r="C18" s="36"/>
      <c r="D18" s="191" t="s">
        <v>205</v>
      </c>
      <c r="E18">
        <v>17</v>
      </c>
      <c r="F18">
        <v>3</v>
      </c>
      <c r="G18">
        <v>17</v>
      </c>
      <c r="H18" s="192" t="s">
        <v>205</v>
      </c>
      <c r="J18" s="55"/>
      <c r="K18" s="56"/>
    </row>
    <row r="19" spans="1:12" x14ac:dyDescent="0.15">
      <c r="A19" s="34" t="s">
        <v>66</v>
      </c>
      <c r="B19" s="42">
        <v>3.21</v>
      </c>
      <c r="C19" s="36"/>
      <c r="D19" s="191" t="s">
        <v>206</v>
      </c>
      <c r="E19">
        <v>18</v>
      </c>
      <c r="F19">
        <v>3.11</v>
      </c>
      <c r="G19">
        <v>18</v>
      </c>
      <c r="H19" s="192" t="s">
        <v>206</v>
      </c>
      <c r="J19" s="55"/>
      <c r="K19" s="56"/>
    </row>
    <row r="20" spans="1:12" x14ac:dyDescent="0.15">
      <c r="A20" s="34" t="s">
        <v>63</v>
      </c>
      <c r="B20" s="42">
        <v>3.22</v>
      </c>
      <c r="C20" s="36"/>
      <c r="D20" s="191" t="s">
        <v>207</v>
      </c>
      <c r="E20">
        <v>19</v>
      </c>
      <c r="F20">
        <v>3.1</v>
      </c>
      <c r="G20">
        <v>19</v>
      </c>
      <c r="H20" s="192" t="s">
        <v>207</v>
      </c>
      <c r="J20" s="55"/>
      <c r="K20" s="56"/>
    </row>
    <row r="21" spans="1:12" ht="14" thickBot="1" x14ac:dyDescent="0.2">
      <c r="A21" s="34" t="s">
        <v>69</v>
      </c>
      <c r="B21" s="42">
        <v>3.23</v>
      </c>
      <c r="C21" s="36"/>
      <c r="D21" s="191" t="s">
        <v>208</v>
      </c>
      <c r="E21">
        <v>20</v>
      </c>
      <c r="F21">
        <v>3.1</v>
      </c>
      <c r="G21">
        <v>20</v>
      </c>
      <c r="H21" s="192" t="s">
        <v>208</v>
      </c>
      <c r="J21" s="57"/>
      <c r="K21" s="58"/>
      <c r="L21" s="60" t="s">
        <v>152</v>
      </c>
    </row>
    <row r="22" spans="1:12" x14ac:dyDescent="0.15">
      <c r="A22" s="34" t="s">
        <v>64</v>
      </c>
      <c r="B22" s="42">
        <v>8</v>
      </c>
      <c r="C22" s="36"/>
      <c r="D22" s="191" t="s">
        <v>209</v>
      </c>
      <c r="E22">
        <v>21</v>
      </c>
      <c r="F22">
        <v>3.12</v>
      </c>
      <c r="G22">
        <v>21</v>
      </c>
      <c r="H22" s="192" t="s">
        <v>209</v>
      </c>
    </row>
    <row r="23" spans="1:12" x14ac:dyDescent="0.15">
      <c r="A23" s="34" t="s">
        <v>129</v>
      </c>
      <c r="B23" s="42">
        <v>4</v>
      </c>
      <c r="C23" s="36"/>
      <c r="D23" s="191" t="s">
        <v>210</v>
      </c>
      <c r="E23">
        <v>22</v>
      </c>
      <c r="F23">
        <v>3.12</v>
      </c>
      <c r="G23">
        <v>22</v>
      </c>
      <c r="H23" s="192" t="s">
        <v>210</v>
      </c>
    </row>
    <row r="24" spans="1:12" x14ac:dyDescent="0.15">
      <c r="A24" s="34" t="s">
        <v>122</v>
      </c>
      <c r="B24" s="42">
        <v>4.0999999999999996</v>
      </c>
      <c r="C24" s="36"/>
      <c r="D24" s="191" t="s">
        <v>211</v>
      </c>
      <c r="E24">
        <v>23</v>
      </c>
      <c r="F24">
        <v>3.1</v>
      </c>
      <c r="G24">
        <v>23</v>
      </c>
      <c r="H24" s="192" t="s">
        <v>211</v>
      </c>
    </row>
    <row r="25" spans="1:12" x14ac:dyDescent="0.15">
      <c r="A25" s="34" t="s">
        <v>70</v>
      </c>
      <c r="B25" s="42">
        <v>4.2</v>
      </c>
      <c r="C25" s="36"/>
      <c r="D25" s="191" t="s">
        <v>212</v>
      </c>
      <c r="E25">
        <v>24</v>
      </c>
      <c r="F25">
        <v>3.2</v>
      </c>
      <c r="G25">
        <v>24</v>
      </c>
      <c r="H25" s="192" t="s">
        <v>212</v>
      </c>
    </row>
    <row r="26" spans="1:12" x14ac:dyDescent="0.15">
      <c r="A26" s="34" t="s">
        <v>123</v>
      </c>
      <c r="B26" s="42">
        <v>4.3</v>
      </c>
      <c r="C26" s="36"/>
      <c r="D26" s="191" t="s">
        <v>213</v>
      </c>
      <c r="E26">
        <v>25</v>
      </c>
      <c r="F26">
        <v>3.2</v>
      </c>
      <c r="G26">
        <v>25</v>
      </c>
      <c r="H26" s="192" t="s">
        <v>213</v>
      </c>
    </row>
    <row r="27" spans="1:12" x14ac:dyDescent="0.15">
      <c r="A27" s="34" t="s">
        <v>125</v>
      </c>
      <c r="B27" s="42">
        <v>6.1</v>
      </c>
      <c r="D27" s="191" t="s">
        <v>214</v>
      </c>
      <c r="E27">
        <v>26</v>
      </c>
      <c r="F27">
        <v>3.2</v>
      </c>
      <c r="G27">
        <v>26</v>
      </c>
      <c r="H27" s="192" t="s">
        <v>214</v>
      </c>
    </row>
    <row r="28" spans="1:12" x14ac:dyDescent="0.15">
      <c r="A28" s="34" t="s">
        <v>124</v>
      </c>
      <c r="B28" s="42">
        <v>6.2</v>
      </c>
      <c r="D28" s="191" t="s">
        <v>215</v>
      </c>
      <c r="E28">
        <v>27</v>
      </c>
      <c r="F28">
        <v>3.12</v>
      </c>
      <c r="G28">
        <v>27</v>
      </c>
      <c r="H28" s="192" t="s">
        <v>215</v>
      </c>
    </row>
    <row r="29" spans="1:12" x14ac:dyDescent="0.15">
      <c r="A29" s="34" t="s">
        <v>44</v>
      </c>
      <c r="B29" s="42">
        <v>5</v>
      </c>
      <c r="D29" s="191" t="s">
        <v>216</v>
      </c>
      <c r="E29">
        <v>28</v>
      </c>
      <c r="F29">
        <v>3.12</v>
      </c>
      <c r="G29">
        <v>28</v>
      </c>
      <c r="H29" s="192" t="s">
        <v>216</v>
      </c>
    </row>
    <row r="30" spans="1:12" x14ac:dyDescent="0.15">
      <c r="A30" s="34" t="s">
        <v>73</v>
      </c>
      <c r="B30" s="42">
        <v>7</v>
      </c>
      <c r="D30" s="191" t="s">
        <v>217</v>
      </c>
      <c r="E30">
        <v>29</v>
      </c>
      <c r="F30">
        <v>3.13</v>
      </c>
      <c r="G30">
        <v>29</v>
      </c>
      <c r="H30" s="192" t="s">
        <v>217</v>
      </c>
    </row>
    <row r="31" spans="1:12" x14ac:dyDescent="0.15">
      <c r="A31" s="34" t="s">
        <v>169</v>
      </c>
      <c r="B31" s="42">
        <v>3.14</v>
      </c>
      <c r="D31" s="191" t="s">
        <v>218</v>
      </c>
      <c r="E31">
        <v>30</v>
      </c>
      <c r="F31">
        <v>3.13</v>
      </c>
      <c r="G31">
        <v>30</v>
      </c>
      <c r="H31" s="192" t="s">
        <v>218</v>
      </c>
    </row>
    <row r="32" spans="1:12" ht="12" customHeight="1" thickBot="1" x14ac:dyDescent="0.2">
      <c r="A32" s="40" t="s">
        <v>170</v>
      </c>
      <c r="B32" s="43">
        <v>9</v>
      </c>
      <c r="D32" s="191" t="s">
        <v>219</v>
      </c>
      <c r="E32">
        <v>31</v>
      </c>
      <c r="F32">
        <v>3.13</v>
      </c>
      <c r="G32">
        <v>31</v>
      </c>
      <c r="H32" s="192" t="s">
        <v>219</v>
      </c>
    </row>
    <row r="33" spans="4:8" customFormat="1" ht="12" customHeight="1" x14ac:dyDescent="0.15">
      <c r="D33" s="191" t="s">
        <v>220</v>
      </c>
      <c r="E33">
        <v>32</v>
      </c>
      <c r="F33">
        <v>3.13</v>
      </c>
      <c r="G33">
        <v>32</v>
      </c>
      <c r="H33" s="192" t="s">
        <v>220</v>
      </c>
    </row>
    <row r="34" spans="4:8" customFormat="1" ht="12" customHeight="1" x14ac:dyDescent="0.15">
      <c r="D34" s="191" t="s">
        <v>221</v>
      </c>
      <c r="E34">
        <v>33</v>
      </c>
      <c r="F34">
        <v>4.2</v>
      </c>
      <c r="G34">
        <v>33</v>
      </c>
      <c r="H34" s="192" t="s">
        <v>221</v>
      </c>
    </row>
    <row r="35" spans="4:8" customFormat="1" x14ac:dyDescent="0.15">
      <c r="D35" s="191" t="s">
        <v>222</v>
      </c>
      <c r="E35">
        <v>34</v>
      </c>
      <c r="F35">
        <v>4.0999999999999996</v>
      </c>
      <c r="G35">
        <v>34</v>
      </c>
      <c r="H35" s="192" t="s">
        <v>222</v>
      </c>
    </row>
    <row r="36" spans="4:8" customFormat="1" x14ac:dyDescent="0.15">
      <c r="D36" s="191" t="s">
        <v>223</v>
      </c>
      <c r="E36">
        <v>35</v>
      </c>
      <c r="F36">
        <v>4.3</v>
      </c>
      <c r="G36">
        <v>35</v>
      </c>
      <c r="H36" s="192" t="s">
        <v>223</v>
      </c>
    </row>
    <row r="37" spans="4:8" customFormat="1" ht="12" customHeight="1" x14ac:dyDescent="0.15">
      <c r="D37" s="191" t="s">
        <v>224</v>
      </c>
      <c r="E37">
        <v>36</v>
      </c>
      <c r="F37">
        <v>5</v>
      </c>
      <c r="G37">
        <v>36</v>
      </c>
      <c r="H37" s="192" t="s">
        <v>224</v>
      </c>
    </row>
    <row r="38" spans="4:8" customFormat="1" x14ac:dyDescent="0.15">
      <c r="D38" s="191" t="s">
        <v>138</v>
      </c>
      <c r="E38">
        <v>37</v>
      </c>
      <c r="F38">
        <v>6.1</v>
      </c>
      <c r="G38">
        <v>37</v>
      </c>
      <c r="H38" s="192" t="s">
        <v>138</v>
      </c>
    </row>
    <row r="39" spans="4:8" customFormat="1" x14ac:dyDescent="0.15">
      <c r="D39" s="191" t="s">
        <v>45</v>
      </c>
      <c r="E39">
        <v>38</v>
      </c>
      <c r="F39">
        <v>6.2</v>
      </c>
      <c r="G39">
        <v>38</v>
      </c>
      <c r="H39" s="192" t="s">
        <v>45</v>
      </c>
    </row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78" bestFit="1" customWidth="1"/>
    <col min="2" max="2" width="10.83203125" style="77" customWidth="1"/>
    <col min="3" max="3" width="29.6640625" style="77" customWidth="1"/>
    <col min="4" max="4" width="39.6640625" style="77" customWidth="1"/>
    <col min="5" max="5" width="8.1640625" style="77" customWidth="1"/>
    <col min="6" max="6" width="36.6640625" style="77" bestFit="1" customWidth="1"/>
    <col min="7" max="9" width="2.33203125" style="77" customWidth="1"/>
    <col min="10" max="10" width="2.33203125" style="77" bestFit="1" customWidth="1"/>
    <col min="11" max="15" width="5.83203125" style="77" customWidth="1"/>
    <col min="16" max="16" width="5.83203125" style="66" customWidth="1"/>
    <col min="17" max="17" width="2.33203125" style="77" customWidth="1"/>
    <col min="18" max="18" width="2.33203125" style="67" customWidth="1"/>
    <col min="19" max="16384" width="11.5" style="77"/>
  </cols>
  <sheetData>
    <row r="1" spans="1:23" ht="15" customHeight="1" thickBot="1" x14ac:dyDescent="0.2">
      <c r="F1" s="1"/>
      <c r="G1" s="65" t="s">
        <v>46</v>
      </c>
      <c r="H1" s="65" t="s">
        <v>47</v>
      </c>
      <c r="I1" s="65" t="s">
        <v>120</v>
      </c>
      <c r="J1" s="65" t="s">
        <v>132</v>
      </c>
      <c r="K1" s="79" t="s">
        <v>48</v>
      </c>
      <c r="L1" s="67"/>
      <c r="M1" s="79" t="s">
        <v>119</v>
      </c>
      <c r="N1" s="67"/>
      <c r="O1" s="79" t="s">
        <v>49</v>
      </c>
      <c r="P1" s="70"/>
      <c r="Q1" s="79" t="s">
        <v>50</v>
      </c>
      <c r="R1" s="65" t="s">
        <v>154</v>
      </c>
    </row>
    <row r="2" spans="1:23" ht="15" customHeight="1" x14ac:dyDescent="0.15">
      <c r="A2" s="79" t="s">
        <v>51</v>
      </c>
      <c r="B2" s="80">
        <v>0.5</v>
      </c>
      <c r="C2" s="78" t="s">
        <v>52</v>
      </c>
      <c r="D2" s="81"/>
      <c r="F2" s="1"/>
      <c r="G2" s="82"/>
      <c r="H2" s="82"/>
      <c r="I2" s="82" t="s">
        <v>133</v>
      </c>
      <c r="J2" s="82" t="s">
        <v>133</v>
      </c>
      <c r="K2" s="82" t="s">
        <v>52</v>
      </c>
      <c r="L2" s="82" t="s">
        <v>53</v>
      </c>
      <c r="M2" s="82" t="s">
        <v>52</v>
      </c>
      <c r="N2" s="82" t="s">
        <v>53</v>
      </c>
      <c r="O2" s="82" t="s">
        <v>52</v>
      </c>
      <c r="P2" s="83" t="s">
        <v>53</v>
      </c>
      <c r="Q2" s="82"/>
      <c r="R2" s="84" t="s">
        <v>155</v>
      </c>
    </row>
    <row r="3" spans="1:23" ht="15" customHeight="1" thickBot="1" x14ac:dyDescent="0.2">
      <c r="A3" s="79" t="s">
        <v>54</v>
      </c>
      <c r="B3" s="85">
        <v>0.5</v>
      </c>
      <c r="C3" s="78" t="s">
        <v>53</v>
      </c>
      <c r="D3" s="81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4">
        <v>0</v>
      </c>
      <c r="R3" s="36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4">
        <v>0</v>
      </c>
      <c r="R4" s="106">
        <v>0</v>
      </c>
    </row>
    <row r="5" spans="1:23" ht="15" customHeight="1" x14ac:dyDescent="0.15">
      <c r="A5" s="79" t="s">
        <v>55</v>
      </c>
      <c r="B5" s="86">
        <v>0.5</v>
      </c>
      <c r="C5" s="78" t="s">
        <v>52</v>
      </c>
      <c r="D5" s="81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4">
        <v>0</v>
      </c>
      <c r="R5" s="106">
        <v>0</v>
      </c>
    </row>
    <row r="6" spans="1:23" ht="15" customHeight="1" thickBot="1" x14ac:dyDescent="0.2">
      <c r="A6" s="79"/>
      <c r="B6" s="87">
        <v>0.5</v>
      </c>
      <c r="C6" s="78" t="s">
        <v>53</v>
      </c>
      <c r="D6" s="81"/>
      <c r="F6" s="193" t="s">
        <v>192</v>
      </c>
      <c r="G6" s="77">
        <v>0</v>
      </c>
      <c r="H6" s="77">
        <v>0</v>
      </c>
      <c r="I6" s="77">
        <v>0</v>
      </c>
      <c r="J6" s="77">
        <v>0</v>
      </c>
      <c r="K6" s="77">
        <v>0</v>
      </c>
      <c r="L6" s="77">
        <v>0</v>
      </c>
      <c r="M6" s="77">
        <v>0.99</v>
      </c>
      <c r="N6" s="77">
        <v>1.0000000000000009E-2</v>
      </c>
      <c r="O6" s="77">
        <v>0</v>
      </c>
      <c r="P6" s="66">
        <v>0</v>
      </c>
      <c r="Q6" s="77">
        <v>0</v>
      </c>
      <c r="R6" s="67">
        <v>1</v>
      </c>
      <c r="S6"/>
      <c r="T6"/>
    </row>
    <row r="7" spans="1:23" ht="15" customHeight="1" thickBot="1" x14ac:dyDescent="0.2">
      <c r="F7" s="193" t="s">
        <v>193</v>
      </c>
      <c r="G7" s="77">
        <v>0</v>
      </c>
      <c r="H7" s="77">
        <v>0</v>
      </c>
      <c r="I7" s="77">
        <v>0</v>
      </c>
      <c r="J7" s="77">
        <v>0</v>
      </c>
      <c r="K7" s="77">
        <v>0.99</v>
      </c>
      <c r="L7" s="77">
        <v>1.0000000000000009E-2</v>
      </c>
      <c r="M7" s="77">
        <v>0.99</v>
      </c>
      <c r="N7" s="77">
        <v>1.0000000000000009E-2</v>
      </c>
      <c r="O7" s="77">
        <v>0.99</v>
      </c>
      <c r="P7" s="66">
        <v>1.0000000000000009E-2</v>
      </c>
      <c r="Q7" s="77">
        <v>0</v>
      </c>
      <c r="R7" s="67">
        <v>1</v>
      </c>
      <c r="S7"/>
      <c r="T7"/>
    </row>
    <row r="8" spans="1:23" ht="15" customHeight="1" x14ac:dyDescent="0.15">
      <c r="A8" s="79" t="s">
        <v>56</v>
      </c>
      <c r="B8" s="86">
        <v>1</v>
      </c>
      <c r="C8" s="194" t="s">
        <v>192</v>
      </c>
      <c r="D8" s="81" t="s">
        <v>160</v>
      </c>
      <c r="F8" s="193" t="s">
        <v>194</v>
      </c>
      <c r="G8" s="77">
        <v>0</v>
      </c>
      <c r="H8" s="77">
        <v>0</v>
      </c>
      <c r="I8" s="77">
        <v>0</v>
      </c>
      <c r="J8" s="77">
        <v>0</v>
      </c>
      <c r="K8" s="77">
        <v>0.99</v>
      </c>
      <c r="L8" s="77">
        <v>1.0000000000000009E-2</v>
      </c>
      <c r="M8" s="77">
        <v>0.99</v>
      </c>
      <c r="N8" s="77">
        <v>1.0000000000000009E-2</v>
      </c>
      <c r="O8" s="77">
        <v>0.99</v>
      </c>
      <c r="P8" s="66">
        <v>1.0000000000000009E-2</v>
      </c>
      <c r="Q8" s="77">
        <v>0</v>
      </c>
      <c r="R8" s="67">
        <v>1</v>
      </c>
      <c r="S8"/>
      <c r="T8"/>
      <c r="W8"/>
    </row>
    <row r="9" spans="1:23" ht="15" customHeight="1" x14ac:dyDescent="0.15">
      <c r="A9" s="120" t="s">
        <v>168</v>
      </c>
      <c r="B9" s="88"/>
      <c r="C9" s="76"/>
      <c r="D9" s="81" t="s">
        <v>160</v>
      </c>
      <c r="F9" s="193" t="s">
        <v>195</v>
      </c>
      <c r="G9" s="77">
        <v>0</v>
      </c>
      <c r="H9" s="77">
        <v>0</v>
      </c>
      <c r="I9" s="77">
        <v>0</v>
      </c>
      <c r="J9" s="77">
        <v>0</v>
      </c>
      <c r="K9" s="77">
        <v>0.99</v>
      </c>
      <c r="L9" s="77">
        <v>1.0000000000000009E-2</v>
      </c>
      <c r="M9" s="77">
        <v>0.99</v>
      </c>
      <c r="N9" s="77">
        <v>1.0000000000000009E-2</v>
      </c>
      <c r="O9" s="77">
        <v>0.99</v>
      </c>
      <c r="P9" s="66">
        <v>1.0000000000000009E-2</v>
      </c>
      <c r="Q9" s="77">
        <v>0</v>
      </c>
      <c r="R9" s="67">
        <v>1</v>
      </c>
      <c r="S9"/>
      <c r="T9"/>
      <c r="W9"/>
    </row>
    <row r="10" spans="1:23" ht="15" customHeight="1" x14ac:dyDescent="0.15">
      <c r="B10" s="88"/>
      <c r="C10" s="76"/>
      <c r="D10" s="81" t="s">
        <v>160</v>
      </c>
      <c r="F10" s="193" t="s">
        <v>196</v>
      </c>
      <c r="G10" s="77">
        <v>0</v>
      </c>
      <c r="H10" s="77">
        <v>0</v>
      </c>
      <c r="I10" s="77">
        <v>0</v>
      </c>
      <c r="J10" s="77">
        <v>0</v>
      </c>
      <c r="K10" s="77">
        <v>0.99</v>
      </c>
      <c r="L10" s="77">
        <v>1.0000000000000009E-2</v>
      </c>
      <c r="M10" s="77">
        <v>0.99</v>
      </c>
      <c r="N10" s="77">
        <v>1.0000000000000009E-2</v>
      </c>
      <c r="O10" s="77">
        <v>0.99</v>
      </c>
      <c r="P10" s="66">
        <v>1.0000000000000009E-2</v>
      </c>
      <c r="Q10" s="77">
        <v>0</v>
      </c>
      <c r="R10" s="67">
        <v>1</v>
      </c>
      <c r="S10"/>
      <c r="T10"/>
      <c r="W10"/>
    </row>
    <row r="11" spans="1:23" ht="15" customHeight="1" x14ac:dyDescent="0.15">
      <c r="A11" s="79"/>
      <c r="B11" s="88"/>
      <c r="C11" s="91"/>
      <c r="D11" s="81" t="s">
        <v>160</v>
      </c>
      <c r="F11" s="193" t="s">
        <v>197</v>
      </c>
      <c r="G11" s="77">
        <v>0</v>
      </c>
      <c r="H11" s="77">
        <v>0</v>
      </c>
      <c r="I11" s="77">
        <v>0</v>
      </c>
      <c r="J11" s="77">
        <v>0</v>
      </c>
      <c r="K11" s="77">
        <v>0.99</v>
      </c>
      <c r="L11" s="77">
        <v>1.0000000000000009E-2</v>
      </c>
      <c r="M11" s="77">
        <v>0.99</v>
      </c>
      <c r="N11" s="77">
        <v>1.0000000000000009E-2</v>
      </c>
      <c r="O11" s="77">
        <v>0.99</v>
      </c>
      <c r="P11" s="66">
        <v>1.0000000000000009E-2</v>
      </c>
      <c r="Q11" s="77">
        <v>0</v>
      </c>
      <c r="R11" s="67">
        <v>1</v>
      </c>
      <c r="S11"/>
      <c r="T11"/>
      <c r="W11"/>
    </row>
    <row r="12" spans="1:23" ht="15" customHeight="1" x14ac:dyDescent="0.15">
      <c r="B12" s="88"/>
      <c r="C12" s="92"/>
      <c r="D12" s="81" t="s">
        <v>160</v>
      </c>
      <c r="F12" s="193" t="s">
        <v>198</v>
      </c>
      <c r="G12" s="77">
        <v>0</v>
      </c>
      <c r="H12" s="77">
        <v>0</v>
      </c>
      <c r="I12" s="77">
        <v>0</v>
      </c>
      <c r="J12" s="77">
        <v>0</v>
      </c>
      <c r="K12" s="77">
        <v>0.99</v>
      </c>
      <c r="L12" s="77">
        <v>1.0000000000000009E-2</v>
      </c>
      <c r="M12" s="77">
        <v>0.99</v>
      </c>
      <c r="N12" s="77">
        <v>1.0000000000000009E-2</v>
      </c>
      <c r="O12" s="77">
        <v>0.99</v>
      </c>
      <c r="P12" s="66">
        <v>1.0000000000000009E-2</v>
      </c>
      <c r="Q12" s="77">
        <v>0</v>
      </c>
      <c r="R12" s="67">
        <v>1</v>
      </c>
      <c r="S12"/>
      <c r="T12"/>
      <c r="W12"/>
    </row>
    <row r="13" spans="1:23" ht="15" customHeight="1" x14ac:dyDescent="0.15">
      <c r="B13" s="88"/>
      <c r="C13" s="92"/>
      <c r="D13" s="81" t="s">
        <v>160</v>
      </c>
      <c r="F13" s="193" t="s">
        <v>199</v>
      </c>
      <c r="G13" s="77">
        <v>0</v>
      </c>
      <c r="H13" s="77">
        <v>0</v>
      </c>
      <c r="I13" s="77">
        <v>0</v>
      </c>
      <c r="J13" s="77">
        <v>0</v>
      </c>
      <c r="K13" s="77">
        <v>0.99</v>
      </c>
      <c r="L13" s="77">
        <v>1.0000000000000009E-2</v>
      </c>
      <c r="M13" s="77">
        <v>0.99</v>
      </c>
      <c r="N13" s="77">
        <v>1.0000000000000009E-2</v>
      </c>
      <c r="O13" s="77">
        <v>0.99</v>
      </c>
      <c r="P13" s="66">
        <v>1.0000000000000009E-2</v>
      </c>
      <c r="Q13" s="77">
        <v>0</v>
      </c>
      <c r="R13" s="67">
        <v>1</v>
      </c>
      <c r="S13"/>
      <c r="T13"/>
      <c r="W13"/>
    </row>
    <row r="14" spans="1:23" ht="15" customHeight="1" x14ac:dyDescent="0.15">
      <c r="B14" s="88"/>
      <c r="C14" s="76"/>
      <c r="D14" s="81" t="s">
        <v>160</v>
      </c>
      <c r="F14" s="193" t="s">
        <v>200</v>
      </c>
      <c r="G14" s="77">
        <v>0</v>
      </c>
      <c r="H14" s="77">
        <v>0</v>
      </c>
      <c r="I14" s="77">
        <v>0</v>
      </c>
      <c r="J14" s="77">
        <v>0</v>
      </c>
      <c r="K14" s="77">
        <v>0.99</v>
      </c>
      <c r="L14" s="77">
        <v>1.0000000000000009E-2</v>
      </c>
      <c r="M14" s="77">
        <v>0.99</v>
      </c>
      <c r="N14" s="77">
        <v>1.0000000000000009E-2</v>
      </c>
      <c r="O14" s="77">
        <v>0.99</v>
      </c>
      <c r="P14" s="66">
        <v>1.0000000000000009E-2</v>
      </c>
      <c r="Q14" s="77">
        <v>0</v>
      </c>
      <c r="R14" s="67">
        <v>1</v>
      </c>
      <c r="S14"/>
      <c r="T14"/>
      <c r="W14"/>
    </row>
    <row r="15" spans="1:23" ht="15" customHeight="1" x14ac:dyDescent="0.15">
      <c r="B15" s="88"/>
      <c r="C15" s="76"/>
      <c r="D15" s="81" t="s">
        <v>160</v>
      </c>
      <c r="F15" s="193" t="s">
        <v>201</v>
      </c>
      <c r="G15" s="77">
        <v>0</v>
      </c>
      <c r="H15" s="77">
        <v>0</v>
      </c>
      <c r="I15" s="77">
        <v>0</v>
      </c>
      <c r="J15" s="77">
        <v>0</v>
      </c>
      <c r="K15" s="77">
        <v>0.99</v>
      </c>
      <c r="L15" s="77">
        <v>1.0000000000000009E-2</v>
      </c>
      <c r="M15" s="77">
        <v>0.99</v>
      </c>
      <c r="N15" s="77">
        <v>1.0000000000000009E-2</v>
      </c>
      <c r="O15" s="77">
        <v>0.99</v>
      </c>
      <c r="P15" s="66">
        <v>1.0000000000000009E-2</v>
      </c>
      <c r="Q15" s="77">
        <v>0</v>
      </c>
      <c r="R15" s="67">
        <v>1</v>
      </c>
      <c r="S15"/>
      <c r="T15"/>
      <c r="W15"/>
    </row>
    <row r="16" spans="1:23" ht="15" customHeight="1" x14ac:dyDescent="0.15">
      <c r="B16" s="88"/>
      <c r="C16" s="76"/>
      <c r="D16" s="81" t="s">
        <v>160</v>
      </c>
      <c r="F16" s="193" t="s">
        <v>202</v>
      </c>
      <c r="G16" s="77">
        <v>0</v>
      </c>
      <c r="H16" s="77">
        <v>0</v>
      </c>
      <c r="I16" s="77">
        <v>0</v>
      </c>
      <c r="J16" s="77">
        <v>0</v>
      </c>
      <c r="K16" s="77">
        <v>0.99</v>
      </c>
      <c r="L16" s="77">
        <v>1.0000000000000009E-2</v>
      </c>
      <c r="M16" s="77">
        <v>0.99</v>
      </c>
      <c r="N16" s="77">
        <v>1.0000000000000009E-2</v>
      </c>
      <c r="O16" s="77">
        <v>0.99</v>
      </c>
      <c r="P16" s="66">
        <v>1.0000000000000009E-2</v>
      </c>
      <c r="Q16" s="77">
        <v>0</v>
      </c>
      <c r="R16" s="67">
        <v>1</v>
      </c>
      <c r="S16"/>
      <c r="T16"/>
    </row>
    <row r="17" spans="1:20" ht="15" customHeight="1" thickBot="1" x14ac:dyDescent="0.2">
      <c r="B17" s="87"/>
      <c r="C17" s="76"/>
      <c r="D17" s="81" t="s">
        <v>160</v>
      </c>
      <c r="F17" s="193" t="s">
        <v>203</v>
      </c>
      <c r="G17" s="77">
        <v>0</v>
      </c>
      <c r="H17" s="77">
        <v>0</v>
      </c>
      <c r="I17" s="77">
        <v>0</v>
      </c>
      <c r="J17" s="77">
        <v>0</v>
      </c>
      <c r="K17" s="77">
        <v>0.99</v>
      </c>
      <c r="L17" s="77">
        <v>1.0000000000000009E-2</v>
      </c>
      <c r="M17" s="77">
        <v>0.99</v>
      </c>
      <c r="N17" s="77">
        <v>1.0000000000000009E-2</v>
      </c>
      <c r="O17" s="77">
        <v>0.99</v>
      </c>
      <c r="P17" s="66">
        <v>1.0000000000000009E-2</v>
      </c>
      <c r="Q17" s="77">
        <v>0</v>
      </c>
      <c r="R17" s="67">
        <v>1</v>
      </c>
      <c r="S17"/>
      <c r="T17"/>
    </row>
    <row r="18" spans="1:20" ht="15" customHeight="1" thickBot="1" x14ac:dyDescent="0.2">
      <c r="B18" s="89"/>
      <c r="F18" s="193" t="s">
        <v>204</v>
      </c>
      <c r="G18" s="77">
        <v>0</v>
      </c>
      <c r="H18" s="77">
        <v>0</v>
      </c>
      <c r="I18" s="77">
        <v>0</v>
      </c>
      <c r="J18" s="77">
        <v>0</v>
      </c>
      <c r="K18" s="77">
        <v>0.99</v>
      </c>
      <c r="L18" s="77">
        <v>1.0000000000000009E-2</v>
      </c>
      <c r="M18" s="77">
        <v>0.99</v>
      </c>
      <c r="N18" s="77">
        <v>1.0000000000000009E-2</v>
      </c>
      <c r="O18" s="77">
        <v>0.99</v>
      </c>
      <c r="P18" s="66">
        <v>1.0000000000000009E-2</v>
      </c>
      <c r="Q18" s="77">
        <v>0</v>
      </c>
      <c r="R18" s="67">
        <v>1</v>
      </c>
      <c r="S18"/>
      <c r="T18"/>
    </row>
    <row r="19" spans="1:20" ht="15" customHeight="1" x14ac:dyDescent="0.15">
      <c r="A19" s="79" t="s">
        <v>57</v>
      </c>
      <c r="B19" s="86">
        <v>1</v>
      </c>
      <c r="C19" s="195" t="s">
        <v>192</v>
      </c>
      <c r="D19" s="81" t="s">
        <v>160</v>
      </c>
      <c r="F19" s="193" t="s">
        <v>205</v>
      </c>
      <c r="G19" s="77">
        <v>0</v>
      </c>
      <c r="H19" s="77">
        <v>0</v>
      </c>
      <c r="I19" s="77">
        <v>0</v>
      </c>
      <c r="J19" s="77">
        <v>0</v>
      </c>
      <c r="K19" s="77">
        <v>0.99</v>
      </c>
      <c r="L19" s="77">
        <v>1.0000000000000009E-2</v>
      </c>
      <c r="M19" s="77">
        <v>0.99</v>
      </c>
      <c r="N19" s="77">
        <v>1.0000000000000009E-2</v>
      </c>
      <c r="O19" s="77">
        <v>0.99</v>
      </c>
      <c r="P19" s="66">
        <v>1.0000000000000009E-2</v>
      </c>
      <c r="Q19" s="77">
        <v>0</v>
      </c>
      <c r="R19" s="67">
        <v>1</v>
      </c>
      <c r="S19"/>
      <c r="T19"/>
    </row>
    <row r="20" spans="1:20" ht="15" customHeight="1" x14ac:dyDescent="0.15">
      <c r="A20" s="120" t="s">
        <v>168</v>
      </c>
      <c r="B20" s="88"/>
      <c r="C20" s="76"/>
      <c r="D20" s="81" t="s">
        <v>160</v>
      </c>
      <c r="F20" s="193" t="s">
        <v>206</v>
      </c>
      <c r="G20" s="77">
        <v>0</v>
      </c>
      <c r="H20" s="77">
        <v>0</v>
      </c>
      <c r="I20" s="77">
        <v>0</v>
      </c>
      <c r="J20" s="77">
        <v>0</v>
      </c>
      <c r="K20" s="77">
        <v>0.99</v>
      </c>
      <c r="L20" s="77">
        <v>1.0000000000000009E-2</v>
      </c>
      <c r="M20" s="77">
        <v>0.99</v>
      </c>
      <c r="N20" s="77">
        <v>1.0000000000000009E-2</v>
      </c>
      <c r="O20" s="77">
        <v>0.99</v>
      </c>
      <c r="P20" s="66">
        <v>1.0000000000000009E-2</v>
      </c>
      <c r="Q20" s="77">
        <v>0</v>
      </c>
      <c r="R20" s="67">
        <v>1</v>
      </c>
      <c r="S20"/>
      <c r="T20"/>
    </row>
    <row r="21" spans="1:20" ht="15" customHeight="1" x14ac:dyDescent="0.15">
      <c r="B21" s="88"/>
      <c r="C21" s="76"/>
      <c r="D21" s="81" t="s">
        <v>160</v>
      </c>
      <c r="F21" s="193" t="s">
        <v>207</v>
      </c>
      <c r="G21" s="77">
        <v>0</v>
      </c>
      <c r="H21" s="77">
        <v>0</v>
      </c>
      <c r="I21" s="77">
        <v>0</v>
      </c>
      <c r="J21" s="77">
        <v>0</v>
      </c>
      <c r="K21" s="77">
        <v>0.99</v>
      </c>
      <c r="L21" s="77">
        <v>1.0000000000000009E-2</v>
      </c>
      <c r="M21" s="77">
        <v>0.99</v>
      </c>
      <c r="N21" s="77">
        <v>1.0000000000000009E-2</v>
      </c>
      <c r="O21" s="77">
        <v>0.99</v>
      </c>
      <c r="P21" s="66">
        <v>1.0000000000000009E-2</v>
      </c>
      <c r="Q21" s="77">
        <v>0</v>
      </c>
      <c r="R21" s="67">
        <v>1</v>
      </c>
      <c r="S21"/>
      <c r="T21"/>
    </row>
    <row r="22" spans="1:20" ht="15" customHeight="1" x14ac:dyDescent="0.15">
      <c r="A22" s="77"/>
      <c r="B22" s="88"/>
      <c r="C22" s="91"/>
      <c r="D22" s="81" t="s">
        <v>160</v>
      </c>
      <c r="F22" s="193" t="s">
        <v>208</v>
      </c>
      <c r="G22" s="77">
        <v>0</v>
      </c>
      <c r="H22" s="77">
        <v>0</v>
      </c>
      <c r="I22" s="77">
        <v>0</v>
      </c>
      <c r="J22" s="77">
        <v>0</v>
      </c>
      <c r="K22" s="77">
        <v>0.99</v>
      </c>
      <c r="L22" s="77">
        <v>1.0000000000000009E-2</v>
      </c>
      <c r="M22" s="77">
        <v>0.99</v>
      </c>
      <c r="N22" s="77">
        <v>1.0000000000000009E-2</v>
      </c>
      <c r="O22" s="77">
        <v>0.99</v>
      </c>
      <c r="P22" s="66">
        <v>1.0000000000000009E-2</v>
      </c>
      <c r="Q22" s="77">
        <v>0</v>
      </c>
      <c r="R22" s="67">
        <v>1</v>
      </c>
      <c r="S22"/>
      <c r="T22"/>
    </row>
    <row r="23" spans="1:20" ht="15" customHeight="1" x14ac:dyDescent="0.15">
      <c r="A23" s="77"/>
      <c r="B23" s="88"/>
      <c r="C23" s="92"/>
      <c r="D23" s="81" t="s">
        <v>160</v>
      </c>
      <c r="F23" s="193" t="s">
        <v>209</v>
      </c>
      <c r="G23" s="77">
        <v>0</v>
      </c>
      <c r="H23" s="77">
        <v>0</v>
      </c>
      <c r="I23" s="77">
        <v>0</v>
      </c>
      <c r="J23" s="77">
        <v>0</v>
      </c>
      <c r="K23" s="77">
        <v>0.99</v>
      </c>
      <c r="L23" s="77">
        <v>1.0000000000000009E-2</v>
      </c>
      <c r="M23" s="77">
        <v>0.99</v>
      </c>
      <c r="N23" s="77">
        <v>1.0000000000000009E-2</v>
      </c>
      <c r="O23" s="77">
        <v>0.99</v>
      </c>
      <c r="P23" s="66">
        <v>1.0000000000000009E-2</v>
      </c>
      <c r="Q23" s="77">
        <v>0</v>
      </c>
      <c r="R23" s="67">
        <v>1</v>
      </c>
      <c r="S23"/>
      <c r="T23"/>
    </row>
    <row r="24" spans="1:20" ht="15" customHeight="1" x14ac:dyDescent="0.15">
      <c r="A24" s="77"/>
      <c r="B24" s="88"/>
      <c r="C24" s="92"/>
      <c r="D24" s="81" t="s">
        <v>160</v>
      </c>
      <c r="F24" s="193" t="s">
        <v>210</v>
      </c>
      <c r="G24" s="77">
        <v>0</v>
      </c>
      <c r="H24" s="77">
        <v>0</v>
      </c>
      <c r="I24" s="77">
        <v>0</v>
      </c>
      <c r="J24" s="77">
        <v>0</v>
      </c>
      <c r="K24" s="77">
        <v>0.99</v>
      </c>
      <c r="L24" s="77">
        <v>1.0000000000000009E-2</v>
      </c>
      <c r="M24" s="77">
        <v>0.99</v>
      </c>
      <c r="N24" s="77">
        <v>1.0000000000000009E-2</v>
      </c>
      <c r="O24" s="77">
        <v>0.99</v>
      </c>
      <c r="P24" s="66">
        <v>1.0000000000000009E-2</v>
      </c>
      <c r="Q24" s="77">
        <v>0</v>
      </c>
      <c r="R24" s="67">
        <v>1</v>
      </c>
      <c r="S24"/>
      <c r="T24"/>
    </row>
    <row r="25" spans="1:20" ht="15" customHeight="1" x14ac:dyDescent="0.15">
      <c r="A25" s="77"/>
      <c r="B25" s="88"/>
      <c r="C25" s="76"/>
      <c r="D25" s="81" t="s">
        <v>160</v>
      </c>
      <c r="F25" s="193" t="s">
        <v>211</v>
      </c>
      <c r="G25" s="77">
        <v>0</v>
      </c>
      <c r="H25" s="77">
        <v>0</v>
      </c>
      <c r="I25" s="77">
        <v>0</v>
      </c>
      <c r="J25" s="77">
        <v>0</v>
      </c>
      <c r="K25" s="77">
        <v>0.99</v>
      </c>
      <c r="L25" s="77">
        <v>1.0000000000000009E-2</v>
      </c>
      <c r="M25" s="77">
        <v>0.99</v>
      </c>
      <c r="N25" s="77">
        <v>1.0000000000000009E-2</v>
      </c>
      <c r="O25" s="77">
        <v>0.99</v>
      </c>
      <c r="P25" s="66">
        <v>1.0000000000000009E-2</v>
      </c>
      <c r="Q25" s="77">
        <v>0</v>
      </c>
      <c r="R25" s="67">
        <v>1</v>
      </c>
      <c r="S25"/>
      <c r="T25"/>
    </row>
    <row r="26" spans="1:20" ht="15" customHeight="1" x14ac:dyDescent="0.15">
      <c r="B26" s="88"/>
      <c r="C26" s="76"/>
      <c r="D26" s="81" t="s">
        <v>160</v>
      </c>
      <c r="F26" s="193" t="s">
        <v>212</v>
      </c>
      <c r="G26" s="77">
        <v>0</v>
      </c>
      <c r="H26" s="77">
        <v>0</v>
      </c>
      <c r="I26" s="77">
        <v>0</v>
      </c>
      <c r="J26" s="77">
        <v>0</v>
      </c>
      <c r="K26" s="77">
        <v>0.99</v>
      </c>
      <c r="L26" s="77">
        <v>1.0000000000000009E-2</v>
      </c>
      <c r="M26" s="77">
        <v>0.99</v>
      </c>
      <c r="N26" s="77">
        <v>1.0000000000000009E-2</v>
      </c>
      <c r="O26" s="77">
        <v>0.99</v>
      </c>
      <c r="P26" s="66">
        <v>1.0000000000000009E-2</v>
      </c>
      <c r="Q26" s="77">
        <v>0</v>
      </c>
      <c r="R26" s="67">
        <v>1</v>
      </c>
      <c r="S26"/>
      <c r="T26"/>
    </row>
    <row r="27" spans="1:20" ht="15" customHeight="1" x14ac:dyDescent="0.15">
      <c r="B27" s="88"/>
      <c r="C27" s="76"/>
      <c r="D27" s="81" t="s">
        <v>160</v>
      </c>
      <c r="F27" s="193" t="s">
        <v>213</v>
      </c>
      <c r="G27" s="77">
        <v>0</v>
      </c>
      <c r="H27" s="77">
        <v>0</v>
      </c>
      <c r="I27" s="77">
        <v>0</v>
      </c>
      <c r="J27" s="77">
        <v>0</v>
      </c>
      <c r="K27" s="77">
        <v>0.99</v>
      </c>
      <c r="L27" s="77">
        <v>1.0000000000000009E-2</v>
      </c>
      <c r="M27" s="77">
        <v>0.99</v>
      </c>
      <c r="N27" s="77">
        <v>1.0000000000000009E-2</v>
      </c>
      <c r="O27" s="77">
        <v>0.99</v>
      </c>
      <c r="P27" s="66">
        <v>1.0000000000000009E-2</v>
      </c>
      <c r="Q27" s="77">
        <v>0</v>
      </c>
      <c r="R27" s="67">
        <v>1</v>
      </c>
      <c r="S27"/>
      <c r="T27"/>
    </row>
    <row r="28" spans="1:20" ht="15" customHeight="1" thickBot="1" x14ac:dyDescent="0.2">
      <c r="B28" s="87"/>
      <c r="C28" s="76"/>
      <c r="D28" s="81" t="s">
        <v>160</v>
      </c>
      <c r="F28" s="193" t="s">
        <v>214</v>
      </c>
      <c r="G28" s="77">
        <v>0</v>
      </c>
      <c r="H28" s="77">
        <v>0</v>
      </c>
      <c r="I28" s="77">
        <v>0</v>
      </c>
      <c r="J28" s="77">
        <v>0</v>
      </c>
      <c r="K28" s="77">
        <v>0.99</v>
      </c>
      <c r="L28" s="77">
        <v>1.0000000000000009E-2</v>
      </c>
      <c r="M28" s="77">
        <v>0.99</v>
      </c>
      <c r="N28" s="77">
        <v>1.0000000000000009E-2</v>
      </c>
      <c r="O28" s="77">
        <v>0.99</v>
      </c>
      <c r="P28" s="66">
        <v>1.0000000000000009E-2</v>
      </c>
      <c r="Q28" s="77">
        <v>0</v>
      </c>
      <c r="R28" s="67">
        <v>1</v>
      </c>
      <c r="S28"/>
      <c r="T28"/>
    </row>
    <row r="29" spans="1:20" ht="15" customHeight="1" x14ac:dyDescent="0.15">
      <c r="F29" s="193" t="s">
        <v>215</v>
      </c>
      <c r="G29" s="77">
        <v>0</v>
      </c>
      <c r="H29" s="77">
        <v>0</v>
      </c>
      <c r="I29" s="77">
        <v>0</v>
      </c>
      <c r="J29" s="77">
        <v>0</v>
      </c>
      <c r="K29" s="77">
        <v>0.99</v>
      </c>
      <c r="L29" s="77">
        <v>1.0000000000000009E-2</v>
      </c>
      <c r="M29" s="77">
        <v>0.99</v>
      </c>
      <c r="N29" s="77">
        <v>1.0000000000000009E-2</v>
      </c>
      <c r="O29" s="77">
        <v>0.99</v>
      </c>
      <c r="P29" s="66">
        <v>1.0000000000000009E-2</v>
      </c>
      <c r="Q29" s="77">
        <v>0</v>
      </c>
      <c r="R29" s="67">
        <v>1</v>
      </c>
      <c r="S29"/>
      <c r="T29"/>
    </row>
    <row r="30" spans="1:20" ht="15" customHeight="1" x14ac:dyDescent="0.15">
      <c r="F30" s="193" t="s">
        <v>216</v>
      </c>
      <c r="G30" s="77">
        <v>0</v>
      </c>
      <c r="H30" s="77">
        <v>0</v>
      </c>
      <c r="I30" s="77">
        <v>0</v>
      </c>
      <c r="J30" s="77">
        <v>0</v>
      </c>
      <c r="K30" s="77">
        <v>0.99</v>
      </c>
      <c r="L30" s="77">
        <v>1.0000000000000009E-2</v>
      </c>
      <c r="M30" s="77">
        <v>0.99</v>
      </c>
      <c r="N30" s="77">
        <v>1.0000000000000009E-2</v>
      </c>
      <c r="O30" s="77">
        <v>0.99</v>
      </c>
      <c r="P30" s="66">
        <v>1.0000000000000009E-2</v>
      </c>
      <c r="Q30" s="77">
        <v>0</v>
      </c>
      <c r="R30" s="67">
        <v>1</v>
      </c>
      <c r="S30"/>
      <c r="T30"/>
    </row>
    <row r="31" spans="1:20" ht="15" customHeight="1" x14ac:dyDescent="0.15">
      <c r="A31" s="121"/>
      <c r="B31" s="132" t="s">
        <v>17</v>
      </c>
      <c r="C31" s="132" t="s">
        <v>1</v>
      </c>
      <c r="D31" s="132" t="s">
        <v>161</v>
      </c>
      <c r="E31" s="133" t="s">
        <v>163</v>
      </c>
      <c r="F31" s="193" t="s">
        <v>217</v>
      </c>
      <c r="G31" s="77">
        <v>0</v>
      </c>
      <c r="H31" s="77">
        <v>0</v>
      </c>
      <c r="I31" s="77">
        <v>0</v>
      </c>
      <c r="J31" s="77">
        <v>0</v>
      </c>
      <c r="K31" s="77">
        <v>0.99</v>
      </c>
      <c r="L31" s="77">
        <v>1.0000000000000009E-2</v>
      </c>
      <c r="M31" s="77">
        <v>0.99</v>
      </c>
      <c r="N31" s="77">
        <v>1.0000000000000009E-2</v>
      </c>
      <c r="O31" s="77">
        <v>0.99</v>
      </c>
      <c r="P31" s="66">
        <v>1.0000000000000009E-2</v>
      </c>
      <c r="Q31" s="77">
        <v>0</v>
      </c>
      <c r="R31" s="67">
        <v>1</v>
      </c>
      <c r="S31"/>
      <c r="T31"/>
    </row>
    <row r="32" spans="1:20" ht="15" customHeight="1" x14ac:dyDescent="0.15">
      <c r="A32" s="196" t="s">
        <v>192</v>
      </c>
      <c r="B32" s="89">
        <v>22.125797299999999</v>
      </c>
      <c r="C32" s="89">
        <v>163.14317299999999</v>
      </c>
      <c r="D32" s="89">
        <v>3609.6727766768327</v>
      </c>
      <c r="E32" s="123">
        <v>1</v>
      </c>
      <c r="F32" s="193" t="s">
        <v>218</v>
      </c>
      <c r="G32" s="77">
        <v>0</v>
      </c>
      <c r="H32" s="77">
        <v>0</v>
      </c>
      <c r="I32" s="77">
        <v>0</v>
      </c>
      <c r="J32" s="77">
        <v>0</v>
      </c>
      <c r="K32" s="77">
        <v>0.99</v>
      </c>
      <c r="L32" s="77">
        <v>1.0000000000000009E-2</v>
      </c>
      <c r="M32" s="77">
        <v>0.99</v>
      </c>
      <c r="N32" s="77">
        <v>1.0000000000000009E-2</v>
      </c>
      <c r="O32" s="77">
        <v>0.99</v>
      </c>
      <c r="P32" s="66">
        <v>1.0000000000000009E-2</v>
      </c>
      <c r="Q32" s="77">
        <v>0</v>
      </c>
      <c r="R32" s="67">
        <v>1</v>
      </c>
      <c r="S32"/>
      <c r="T32"/>
    </row>
    <row r="33" spans="1:20" ht="15" customHeight="1" x14ac:dyDescent="0.15">
      <c r="A33" s="122"/>
      <c r="B33" s="89"/>
      <c r="C33" s="89"/>
      <c r="D33" s="89"/>
      <c r="E33" s="123"/>
      <c r="F33" s="193" t="s">
        <v>219</v>
      </c>
      <c r="G33" s="77">
        <v>0</v>
      </c>
      <c r="H33" s="77">
        <v>0</v>
      </c>
      <c r="I33" s="77">
        <v>0</v>
      </c>
      <c r="J33" s="77">
        <v>0</v>
      </c>
      <c r="K33" s="77">
        <v>0.99</v>
      </c>
      <c r="L33" s="77">
        <v>1.0000000000000009E-2</v>
      </c>
      <c r="M33" s="77">
        <v>0.99</v>
      </c>
      <c r="N33" s="77">
        <v>1.0000000000000009E-2</v>
      </c>
      <c r="O33" s="77">
        <v>0.99</v>
      </c>
      <c r="P33" s="66">
        <v>1.0000000000000009E-2</v>
      </c>
      <c r="Q33" s="77">
        <v>0</v>
      </c>
      <c r="R33" s="67">
        <v>1</v>
      </c>
      <c r="S33"/>
      <c r="T33"/>
    </row>
    <row r="34" spans="1:20" ht="15" customHeight="1" x14ac:dyDescent="0.15">
      <c r="A34" s="124"/>
      <c r="B34" s="89"/>
      <c r="C34" s="89"/>
      <c r="D34" s="89"/>
      <c r="E34" s="123"/>
      <c r="F34" s="193" t="s">
        <v>220</v>
      </c>
      <c r="G34" s="77">
        <v>0</v>
      </c>
      <c r="H34" s="77">
        <v>0</v>
      </c>
      <c r="I34" s="77">
        <v>0</v>
      </c>
      <c r="J34" s="77">
        <v>0</v>
      </c>
      <c r="K34" s="77">
        <v>0.99</v>
      </c>
      <c r="L34" s="77">
        <v>1.0000000000000009E-2</v>
      </c>
      <c r="M34" s="77">
        <v>0.99</v>
      </c>
      <c r="N34" s="77">
        <v>1.0000000000000009E-2</v>
      </c>
      <c r="O34" s="77">
        <v>0.99</v>
      </c>
      <c r="P34" s="66">
        <v>1.0000000000000009E-2</v>
      </c>
      <c r="Q34" s="77">
        <v>0</v>
      </c>
      <c r="R34" s="67">
        <v>1</v>
      </c>
      <c r="S34"/>
      <c r="T34"/>
    </row>
    <row r="35" spans="1:20" ht="15" customHeight="1" x14ac:dyDescent="0.15">
      <c r="A35" s="125"/>
      <c r="B35" s="89"/>
      <c r="C35" s="89"/>
      <c r="D35" s="89"/>
      <c r="E35" s="123"/>
      <c r="F35" s="193" t="s">
        <v>221</v>
      </c>
      <c r="G35" s="77">
        <v>0</v>
      </c>
      <c r="H35" s="77">
        <v>0</v>
      </c>
      <c r="I35" s="77">
        <v>0</v>
      </c>
      <c r="J35" s="77">
        <v>0</v>
      </c>
      <c r="K35" s="77">
        <v>1E-3</v>
      </c>
      <c r="L35" s="77">
        <v>0.999</v>
      </c>
      <c r="M35" s="77">
        <v>1E-3</v>
      </c>
      <c r="N35" s="77">
        <v>0.999</v>
      </c>
      <c r="O35" s="77">
        <v>1E-3</v>
      </c>
      <c r="P35" s="66">
        <v>0.999</v>
      </c>
      <c r="Q35" s="77">
        <v>0</v>
      </c>
      <c r="R35" s="67">
        <v>1</v>
      </c>
      <c r="S35"/>
      <c r="T35"/>
    </row>
    <row r="36" spans="1:20" ht="15" customHeight="1" x14ac:dyDescent="0.15">
      <c r="A36" s="126"/>
      <c r="B36" s="89"/>
      <c r="C36" s="89"/>
      <c r="D36" s="89"/>
      <c r="E36" s="123"/>
      <c r="F36" s="193" t="s">
        <v>222</v>
      </c>
      <c r="G36" s="77">
        <v>0</v>
      </c>
      <c r="H36" s="77">
        <v>0</v>
      </c>
      <c r="I36" s="77">
        <v>0</v>
      </c>
      <c r="J36" s="77">
        <v>0</v>
      </c>
      <c r="K36" s="77">
        <v>0</v>
      </c>
      <c r="L36" s="77">
        <v>1</v>
      </c>
      <c r="M36" s="77">
        <v>0</v>
      </c>
      <c r="N36" s="77">
        <v>1</v>
      </c>
      <c r="O36" s="77">
        <v>0</v>
      </c>
      <c r="P36" s="66">
        <v>1</v>
      </c>
      <c r="Q36" s="77">
        <v>0</v>
      </c>
      <c r="R36" s="67">
        <v>1</v>
      </c>
      <c r="S36"/>
      <c r="T36"/>
    </row>
    <row r="37" spans="1:20" ht="15" customHeight="1" x14ac:dyDescent="0.15">
      <c r="A37" s="126"/>
      <c r="B37" s="89"/>
      <c r="C37" s="89"/>
      <c r="D37" s="89"/>
      <c r="E37" s="123"/>
      <c r="F37" s="193" t="s">
        <v>223</v>
      </c>
      <c r="G37" s="77">
        <v>0</v>
      </c>
      <c r="H37" s="77">
        <v>0</v>
      </c>
      <c r="I37" s="77">
        <v>0</v>
      </c>
      <c r="J37" s="77">
        <v>0</v>
      </c>
      <c r="K37" s="77">
        <v>0</v>
      </c>
      <c r="L37" s="77">
        <v>1</v>
      </c>
      <c r="M37" s="77">
        <v>0</v>
      </c>
      <c r="N37" s="77">
        <v>1</v>
      </c>
      <c r="O37" s="77">
        <v>0</v>
      </c>
      <c r="P37" s="66">
        <v>1</v>
      </c>
      <c r="Q37" s="77">
        <v>0</v>
      </c>
      <c r="R37" s="67">
        <v>1</v>
      </c>
      <c r="S37"/>
      <c r="T37"/>
    </row>
    <row r="38" spans="1:20" ht="15" customHeight="1" x14ac:dyDescent="0.15">
      <c r="A38" s="127"/>
      <c r="B38" s="89"/>
      <c r="C38" s="89"/>
      <c r="D38" s="89"/>
      <c r="E38" s="123"/>
      <c r="F38" s="193" t="s">
        <v>224</v>
      </c>
      <c r="G38" s="77">
        <v>0</v>
      </c>
      <c r="H38" s="77">
        <v>0</v>
      </c>
      <c r="I38" s="77">
        <v>0</v>
      </c>
      <c r="J38" s="77">
        <v>0</v>
      </c>
      <c r="K38" s="77">
        <v>0</v>
      </c>
      <c r="L38" s="77">
        <v>1</v>
      </c>
      <c r="M38" s="77">
        <v>0</v>
      </c>
      <c r="N38" s="77">
        <v>0</v>
      </c>
      <c r="O38" s="77">
        <v>0</v>
      </c>
      <c r="P38" s="66">
        <v>0</v>
      </c>
      <c r="Q38" s="77">
        <v>0</v>
      </c>
      <c r="R38" s="67">
        <v>1</v>
      </c>
      <c r="S38"/>
      <c r="T38"/>
    </row>
    <row r="39" spans="1:20" ht="15" customHeight="1" x14ac:dyDescent="0.15">
      <c r="A39" s="127"/>
      <c r="B39" s="89"/>
      <c r="C39" s="89"/>
      <c r="D39" s="89"/>
      <c r="E39" s="123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7"/>
      <c r="B40" s="89"/>
      <c r="C40" s="89"/>
      <c r="D40" s="89"/>
      <c r="E40" s="123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7"/>
      <c r="B41" s="89"/>
      <c r="C41" s="89"/>
      <c r="D41" s="90"/>
      <c r="E41" s="128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9"/>
      <c r="B42" s="130"/>
      <c r="C42" s="130" t="s">
        <v>162</v>
      </c>
      <c r="D42" s="130">
        <f>SUM(D32:D41)</f>
        <v>3609.6727766768327</v>
      </c>
      <c r="E42" s="131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7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7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7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7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7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7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7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7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7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7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7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7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7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7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7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7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7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7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7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7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7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7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7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7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7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7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7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7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7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7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7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7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7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7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7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7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7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7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7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7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7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7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7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7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7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7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7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7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7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7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7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7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7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7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7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7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7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7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7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7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7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7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7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7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7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7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7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7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7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7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7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7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7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7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7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7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7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7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7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7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7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7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7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7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7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7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7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7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7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7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7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7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7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7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7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7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7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7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7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7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7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7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7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7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7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7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7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7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7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7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7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7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7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7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7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7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7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7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7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7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7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7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7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7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O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36.6640625" bestFit="1" customWidth="1"/>
    <col min="2" max="2" width="2.33203125" style="106" customWidth="1"/>
    <col min="3" max="5" width="7.83203125" style="106" customWidth="1"/>
    <col min="6" max="8" width="8.83203125" style="6"/>
    <col min="9" max="9" width="29.6640625" style="6" customWidth="1"/>
    <col min="10" max="10" width="8.1640625" style="6" customWidth="1"/>
    <col min="11" max="11" width="15.83203125" style="6" customWidth="1"/>
    <col min="12" max="12" width="14.5" style="6" customWidth="1"/>
    <col min="13" max="13" width="14.6640625" style="6" customWidth="1"/>
    <col min="14" max="14" width="20.6640625" style="6" customWidth="1"/>
    <col min="15" max="15" width="11.5" style="6" customWidth="1"/>
    <col min="16" max="16" width="24.1640625" style="6" customWidth="1"/>
    <col min="17" max="17" width="24.33203125" style="6" customWidth="1"/>
    <col min="18" max="18" width="21.5" style="6" customWidth="1"/>
    <col min="19" max="19" width="18.33203125" style="6" customWidth="1"/>
    <col min="20" max="20" width="19.5" style="6" customWidth="1"/>
    <col min="21" max="21" width="17.6640625" style="6" customWidth="1"/>
    <col min="22" max="22" width="11.83203125" style="6" customWidth="1"/>
    <col min="23" max="23" width="15.1640625" style="6" customWidth="1"/>
    <col min="24" max="24" width="24.5" style="6" customWidth="1"/>
    <col min="25" max="25" width="19" style="6" customWidth="1"/>
    <col min="26" max="26" width="19.33203125" style="6" customWidth="1"/>
    <col min="27" max="27" width="25" style="6" customWidth="1"/>
    <col min="28" max="28" width="36.6640625" style="6" customWidth="1"/>
    <col min="29" max="29" width="20.5" style="6" customWidth="1"/>
    <col min="30" max="31" width="19.5" style="6" customWidth="1"/>
    <col min="32" max="32" width="15.1640625" style="6" customWidth="1"/>
    <col min="33" max="33" width="5.5" style="6" customWidth="1"/>
    <col min="34" max="34" width="9.5" style="6" customWidth="1"/>
    <col min="35" max="35" width="13.83203125" style="6" customWidth="1"/>
    <col min="36" max="36" width="11.83203125" style="6" customWidth="1"/>
    <col min="37" max="37" width="9.5" style="6" customWidth="1"/>
    <col min="38" max="38" width="7.5" style="6" customWidth="1"/>
    <col min="39" max="39" width="12.33203125" customWidth="1"/>
    <col min="40" max="40" width="21.6640625" customWidth="1"/>
    <col min="41" max="41" width="8.6640625" customWidth="1"/>
    <col min="81" max="81" width="22.1640625" bestFit="1" customWidth="1"/>
  </cols>
  <sheetData>
    <row r="1" spans="1:41" x14ac:dyDescent="0.15">
      <c r="A1" s="4" t="s">
        <v>156</v>
      </c>
      <c r="B1" s="35" t="s">
        <v>157</v>
      </c>
      <c r="C1" s="35" t="s">
        <v>17</v>
      </c>
      <c r="D1" s="35" t="s">
        <v>158</v>
      </c>
      <c r="E1" s="35" t="s">
        <v>159</v>
      </c>
      <c r="F1" t="s">
        <v>38</v>
      </c>
      <c r="G1" t="s">
        <v>40</v>
      </c>
      <c r="H1" t="s">
        <v>41</v>
      </c>
      <c r="I1" s="198" t="s">
        <v>192</v>
      </c>
      <c r="J1" s="198" t="s">
        <v>193</v>
      </c>
      <c r="K1" s="198" t="s">
        <v>194</v>
      </c>
      <c r="L1" s="198" t="s">
        <v>195</v>
      </c>
      <c r="M1" s="198" t="s">
        <v>196</v>
      </c>
      <c r="N1" s="198" t="s">
        <v>197</v>
      </c>
      <c r="O1" s="198" t="s">
        <v>198</v>
      </c>
      <c r="P1" s="198" t="s">
        <v>199</v>
      </c>
      <c r="Q1" s="198" t="s">
        <v>200</v>
      </c>
      <c r="R1" s="198" t="s">
        <v>201</v>
      </c>
      <c r="S1" s="198" t="s">
        <v>202</v>
      </c>
      <c r="T1" s="198" t="s">
        <v>203</v>
      </c>
      <c r="U1" s="198" t="s">
        <v>204</v>
      </c>
      <c r="V1" s="198" t="s">
        <v>205</v>
      </c>
      <c r="W1" s="198" t="s">
        <v>206</v>
      </c>
      <c r="X1" s="198" t="s">
        <v>207</v>
      </c>
      <c r="Y1" s="198" t="s">
        <v>208</v>
      </c>
      <c r="Z1" s="198" t="s">
        <v>209</v>
      </c>
      <c r="AA1" s="198" t="s">
        <v>210</v>
      </c>
      <c r="AB1" s="198" t="s">
        <v>211</v>
      </c>
      <c r="AC1" s="198" t="s">
        <v>212</v>
      </c>
      <c r="AD1" s="198" t="s">
        <v>213</v>
      </c>
      <c r="AE1" s="198" t="s">
        <v>214</v>
      </c>
      <c r="AF1" s="198" t="s">
        <v>215</v>
      </c>
      <c r="AG1" s="198" t="s">
        <v>216</v>
      </c>
      <c r="AH1" s="198" t="s">
        <v>217</v>
      </c>
      <c r="AI1" s="198" t="s">
        <v>218</v>
      </c>
      <c r="AJ1" s="198" t="s">
        <v>219</v>
      </c>
      <c r="AK1" s="198" t="s">
        <v>220</v>
      </c>
      <c r="AL1" s="198" t="s">
        <v>221</v>
      </c>
      <c r="AM1" s="198" t="s">
        <v>222</v>
      </c>
      <c r="AN1" s="198" t="s">
        <v>223</v>
      </c>
      <c r="AO1" s="198" t="s">
        <v>224</v>
      </c>
    </row>
    <row r="2" spans="1:41" x14ac:dyDescent="0.15">
      <c r="A2" t="s">
        <v>38</v>
      </c>
      <c r="B2" s="106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1" x14ac:dyDescent="0.15">
      <c r="A3" t="s">
        <v>40</v>
      </c>
      <c r="B3" s="106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1" x14ac:dyDescent="0.15">
      <c r="A4" t="s">
        <v>41</v>
      </c>
      <c r="B4" s="106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1" x14ac:dyDescent="0.15">
      <c r="A5" s="197" t="s">
        <v>192</v>
      </c>
      <c r="B5" s="106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1" x14ac:dyDescent="0.15">
      <c r="A6" s="197" t="s">
        <v>193</v>
      </c>
      <c r="B6" s="106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1" x14ac:dyDescent="0.15">
      <c r="A7" s="197" t="s">
        <v>194</v>
      </c>
      <c r="B7" s="106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1" x14ac:dyDescent="0.15">
      <c r="A8" s="197" t="s">
        <v>195</v>
      </c>
      <c r="B8" s="106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1" x14ac:dyDescent="0.15">
      <c r="A9" s="197" t="s">
        <v>196</v>
      </c>
      <c r="B9" s="106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1" x14ac:dyDescent="0.15">
      <c r="A10" s="197" t="s">
        <v>197</v>
      </c>
      <c r="B10" s="106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1" x14ac:dyDescent="0.15">
      <c r="A11" s="197" t="s">
        <v>198</v>
      </c>
      <c r="B11" s="106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1" x14ac:dyDescent="0.15">
      <c r="A12" s="197" t="s">
        <v>199</v>
      </c>
      <c r="B12" s="106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1" x14ac:dyDescent="0.15">
      <c r="A13" s="197" t="s">
        <v>200</v>
      </c>
      <c r="B13" s="106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1" x14ac:dyDescent="0.15">
      <c r="A14" s="197" t="s">
        <v>201</v>
      </c>
      <c r="B14" s="106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1" x14ac:dyDescent="0.15">
      <c r="A15" s="197" t="s">
        <v>202</v>
      </c>
      <c r="B15" s="106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1" x14ac:dyDescent="0.15">
      <c r="A16" s="197" t="s">
        <v>203</v>
      </c>
      <c r="B16" s="106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7" t="s">
        <v>204</v>
      </c>
      <c r="B17" s="106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7" t="s">
        <v>205</v>
      </c>
      <c r="B18" s="106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7" t="s">
        <v>206</v>
      </c>
      <c r="B19" s="106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7" t="s">
        <v>207</v>
      </c>
      <c r="B20" s="106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7" t="s">
        <v>208</v>
      </c>
      <c r="B21" s="106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7" t="s">
        <v>209</v>
      </c>
      <c r="B22" s="106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7" t="s">
        <v>210</v>
      </c>
      <c r="B23" s="106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7" t="s">
        <v>211</v>
      </c>
      <c r="B24" s="106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7" t="s">
        <v>212</v>
      </c>
      <c r="B25" s="106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7" t="s">
        <v>213</v>
      </c>
      <c r="B26" s="106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7" t="s">
        <v>214</v>
      </c>
      <c r="B27" s="106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7" t="s">
        <v>215</v>
      </c>
      <c r="B28" s="106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7" t="s">
        <v>216</v>
      </c>
      <c r="B29" s="106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7" t="s">
        <v>217</v>
      </c>
      <c r="B30" s="106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7" t="s">
        <v>218</v>
      </c>
      <c r="B31" s="106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7" t="s">
        <v>219</v>
      </c>
      <c r="B32" s="106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7" t="s">
        <v>220</v>
      </c>
      <c r="B33" s="106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7" t="s">
        <v>221</v>
      </c>
      <c r="B34" s="106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7" t="s">
        <v>222</v>
      </c>
      <c r="B35" s="106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7" t="s">
        <v>223</v>
      </c>
      <c r="B36" s="106">
        <v>0</v>
      </c>
      <c r="C36"/>
      <c r="D36"/>
    </row>
    <row r="37" spans="1:38" ht="15" customHeight="1" x14ac:dyDescent="0.15">
      <c r="A37" s="197" t="s">
        <v>224</v>
      </c>
      <c r="B37" s="106">
        <v>0</v>
      </c>
      <c r="C37"/>
      <c r="D37"/>
    </row>
    <row r="38" spans="1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2022-10-24T04:47:40Z</dcterms:modified>
</cp:coreProperties>
</file>