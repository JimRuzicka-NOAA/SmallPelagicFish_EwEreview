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B92F4EC2-20B6-AD4C-B10D-A04CCC503FCA}" xr6:coauthVersionLast="45" xr6:coauthVersionMax="45" xr10:uidLastSave="{00000000-0000-0000-0000-000000000000}"/>
  <bookViews>
    <workbookView xWindow="0" yWindow="460" windowWidth="25600" windowHeight="14240" tabRatio="728" firstSheet="1"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Main!$C$2:$N$50</definedName>
    <definedName name="matDetritus">Detritus!$C$2:$F$50</definedName>
    <definedName name="matDiet">Diets!$B$2:$AO$45</definedName>
    <definedName name="matDiscards">Discards!$C$2:$H$44</definedName>
    <definedName name="matFishery">Fishing!$C$2:$H$44</definedName>
    <definedName name="matFishing">Fishing!#REF!</definedName>
    <definedName name="matMort">Mortalities!$A$1:$AZ$44</definedName>
    <definedName name="matOut">MainOutputs!$A$2:$I$50</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<sst xmlns="http://schemas.openxmlformats.org/spreadsheetml/2006/main" count="1271" uniqueCount="252">
  <si>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</si>
  <si>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</si>
  <si>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</si>
  <si>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</si>
  <si>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</si>
  <si>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</si>
  <si>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</si>
  <si>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</si>
  <si>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</si>
  <si>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</si>
  <si>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</si>
  <si>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</si>
  <si>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</si>
  <si>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</si>
  <si>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</si>
  <si>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</si>
  <si>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</si>
  <si>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</si>
  <si>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</si>
  <si>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</si>
  <si>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</si>
  <si>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</si>
  <si>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</si>
  <si>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</si>
  <si>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</si>
  <si>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</si>
  <si>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</si>
  <si>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</si>
  <si>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</si>
  <si>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</si>
  <si>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</si>
  <si>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</si>
  <si>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</si>
  <si>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</si>
  <si>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</si>
  <si>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</si>
  <si>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</si>
  <si>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</si>
  <si>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</si>
  <si>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</si>
  <si>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</si>
  <si>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</si>
  <si>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</si>
  <si>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</si>
  <si>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</si>
  <si>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</si>
  <si>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</si>
  <si>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</si>
  <si>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</si>
  <si>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</si>
  <si>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</si>
  <si>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</si>
  <si>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</si>
  <si>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</si>
  <si>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</si>
  <si>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</si>
  <si>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</si>
  <si>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</si>
  <si>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</si>
  <si>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</si>
  <si>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</si>
  <si>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</si>
  <si>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</si>
  <si>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</si>
  <si>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</si>
  <si>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</si>
  <si>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</si>
  <si>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</si>
  <si>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</si>
  <si>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</si>
  <si>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</si>
  <si>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</si>
  <si>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</si>
  <si>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</si>
  <si>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</si>
  <si>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</si>
  <si>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</si>
  <si>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</si>
  <si>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</si>
  <si>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</si>
  <si>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</si>
  <si>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</si>
  <si>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</si>
  <si>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</si>
  <si>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</si>
  <si>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</si>
  <si>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</si>
  <si>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</si>
  <si>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</si>
  <si>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</si>
  <si>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</si>
  <si>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</si>
  <si>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</si>
  <si>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</si>
  <si>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</si>
  <si>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</si>
  <si>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</si>
  <si>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</si>
  <si>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</si>
  <si>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</si>
  <si>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</si>
  <si>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</si>
  <si>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</si>
  <si>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</si>
  <si>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</si>
  <si>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</si>
  <si>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</si>
  <si>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</si>
  <si>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</si>
  <si>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</si>
  <si>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</si>
  <si>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</si>
  <si>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</si>
  <si>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</si>
  <si>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</si>
  <si>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</si>
  <si>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</si>
  <si>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</si>
  <si>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</si>
  <si>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</si>
  <si>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</si>
  <si>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</si>
  <si>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</si>
  <si>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</si>
  <si>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</si>
  <si>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</si>
  <si>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</si>
  <si>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</si>
  <si>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</si>
  <si>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</si>
  <si>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</si>
  <si>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</si>
  <si>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</si>
  <si>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</si>
  <si>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</si>
  <si>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</si>
  <si>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</si>
  <si>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</si>
  <si>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</si>
  <si>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</si>
  <si>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</si>
  <si>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</si>
  <si>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</si>
  <si>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</si>
  <si>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</si>
  <si>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</si>
  <si>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</si>
  <si>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</si>
  <si>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</si>
  <si>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</si>
  <si>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</si>
  <si>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</si>
  <si>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</si>
  <si>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</si>
  <si>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</si>
  <si>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</si>
  <si>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</si>
  <si>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</si>
  <si>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</si>
  <si>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</si>
  <si>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</si>
  <si>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</si>
  <si>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</si>
  <si>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</si>
  <si>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</si>
  <si>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</si>
  <si>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</si>
  <si>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</si>
  <si>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</si>
  <si>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</si>
  <si>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</si>
  <si>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</si>
  <si>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</si>
  <si>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</si>
  <si>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</si>
  <si>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</si>
  <si>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</si>
  <si>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</si>
  <si>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</si>
  <si>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</si>
  <si>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</si>
  <si>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</si>
  <si>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</si>
  <si>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</si>
  <si>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</si>
  <si>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Baie de Seine</t>
  </si>
  <si>
    <t>France</t>
  </si>
  <si>
    <t>BOX(-1.3 49.2,0.17 50.2)</t>
  </si>
  <si>
    <t>Estuary</t>
  </si>
  <si>
    <t>WetWeight</t>
  </si>
  <si>
    <t>The extended Bay of Seine (eBoS) is a shallow coastal ecosystem located on the northwestern French coast and opening onto the Eastern English Channel to the limit of the French Exclusive Economic Zone. 
The eBoS covers approximately 13,500 km2. The mean depth of the study area is about 35 m with a maximum tidal amplitude up to 7.5 m height near the mouth of the Seine estuary. The intertidal zone and the shallowest subtidal zone (i.e. 0–5 m depth) was not considered given the specificity of its ecological functioning. In its eastern south part, the eBoS receives the Seine river which is highly loaded with nutrients. Furthermore, the eBoS constitutes an important nursery, feeding, and breeding ground for several marine species.</t>
  </si>
  <si>
    <t>Halouani, G., Villanueva, C.-M., Raoux, A., Dauvin, J.C., Ben Rais Lasram, F., Foucher, E., Le Loc’h, F., Safi, G., Araignous, E., Robin, J.P., Niquil, N., 2020. A spatial food web model to investigate potential spillover effects of a fishery closure in an offshore wind farm. Journal of Marine Systems 212, 103434. https://doi.org/10.1016/j.jmarsys.2020.103434</t>
  </si>
  <si>
    <t>https://doi.org/10.1016/j.jmarsys.2020.103434</t>
  </si>
  <si>
    <t>Phytoplancton</t>
  </si>
  <si>
    <t>Bacteria</t>
  </si>
  <si>
    <t>Microzooplankton</t>
  </si>
  <si>
    <t>Meszooplankton and Macrozooplancton</t>
  </si>
  <si>
    <t>Meiofauna</t>
  </si>
  <si>
    <t>Suprabenthos</t>
  </si>
  <si>
    <t>Benthic inv. deposit feeders (Surface)</t>
  </si>
  <si>
    <t>Benthic inv. deposit feeders (Subsurface)</t>
  </si>
  <si>
    <t>King scallop</t>
  </si>
  <si>
    <t>Benthic inv. bivalves filter feeders</t>
  </si>
  <si>
    <t>Benthic inv. filter feeders</t>
  </si>
  <si>
    <t>Benthic inv. predators</t>
  </si>
  <si>
    <t xml:space="preserve">Fish limande </t>
  </si>
  <si>
    <t>Fish flounder</t>
  </si>
  <si>
    <t>Fish european plaice</t>
  </si>
  <si>
    <t>Fish sole</t>
  </si>
  <si>
    <t>Fish sea bream</t>
  </si>
  <si>
    <t>Fish benthos feeders</t>
  </si>
  <si>
    <t>Fish planctivorous</t>
  </si>
  <si>
    <t>Fish piscivorous</t>
  </si>
  <si>
    <t>Fish european sprat</t>
  </si>
  <si>
    <t>Fish european pilchard</t>
  </si>
  <si>
    <t>Fish poor cod</t>
  </si>
  <si>
    <t>Fish pouting</t>
  </si>
  <si>
    <t>Fish gurnard</t>
  </si>
  <si>
    <t>Fish atlantic horse mackerel</t>
  </si>
  <si>
    <t>Fish whiting</t>
  </si>
  <si>
    <t>Fish atlantic cod</t>
  </si>
  <si>
    <t>Fish sharks</t>
  </si>
  <si>
    <t>Fish rays</t>
  </si>
  <si>
    <t>Fish european seabass</t>
  </si>
  <si>
    <t>Fish mackerel</t>
  </si>
  <si>
    <t>Benthic cephalopods</t>
  </si>
  <si>
    <t>Benthopelagic cephalopods</t>
  </si>
  <si>
    <t>Surface feeders seabirds</t>
  </si>
  <si>
    <t>Plunge and pursuit divers seabirds</t>
  </si>
  <si>
    <t>Benthic feeders seabirds</t>
  </si>
  <si>
    <t>Phocidae</t>
  </si>
  <si>
    <t>Harbour porpoises</t>
  </si>
  <si>
    <t>Bottlenose dolphins</t>
  </si>
  <si>
    <t>Discards</t>
  </si>
  <si>
    <t>Detritus</t>
  </si>
  <si>
    <t>detritus_TerminalBenthic</t>
  </si>
  <si>
    <t xml:space="preserve">Nets targeting demersals and crustaceans </t>
  </si>
  <si>
    <t>Pelagic and bottom trawls targeting small pelagics</t>
  </si>
  <si>
    <t>Bottom trawls targeting demersals and cephalopods</t>
  </si>
  <si>
    <t>Pelagic trawls targeting demersals</t>
  </si>
  <si>
    <t>Other fishing gears</t>
  </si>
  <si>
    <t>Dredge</t>
  </si>
  <si>
    <t>Import</t>
  </si>
  <si>
    <t>export</t>
  </si>
  <si>
    <t>sum</t>
  </si>
  <si>
    <t>TOTAL</t>
  </si>
  <si>
    <t xml:space="preserve">F Nets targeting demersals and crustaceans </t>
  </si>
  <si>
    <t>F Pelagic and bottom trawls targeting small pelagics</t>
  </si>
  <si>
    <t>F Bottom trawls targeting demersals and cephalopods</t>
  </si>
  <si>
    <t>F Pelagic trawls targeting demersals</t>
  </si>
  <si>
    <t>F Other fishing gears</t>
  </si>
  <si>
    <t>F Dredge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</si>
</sst>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76">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48FF00"/>
        <bgColor indexed="64"/>
      </patternFill>
    </fill>
    <fill>
      <patternFill patternType="solid">
        <fgColor rgb="FF71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5DFF00"/>
        <bgColor indexed="64"/>
      </patternFill>
    </fill>
    <fill>
      <patternFill patternType="solid">
        <fgColor rgb="FF42FF00"/>
        <bgColor indexed="64"/>
      </patternFill>
    </fill>
    <fill>
      <patternFill patternType="solid">
        <fgColor rgb="FF3DFF00"/>
        <bgColor indexed="64"/>
      </patternFill>
    </fill>
    <fill>
      <patternFill patternType="solid">
        <fgColor rgb="FF6EFF00"/>
        <bgColor indexed="64"/>
      </patternFill>
    </fill>
    <fill>
      <patternFill patternType="solid">
        <fgColor rgb="FFC1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5FF00"/>
        <bgColor indexed="64"/>
      </patternFill>
    </fill>
    <fill>
      <patternFill patternType="solid">
        <fgColor rgb="FF17FF00"/>
        <bgColor indexed="64"/>
      </patternFill>
    </fill>
    <fill>
      <patternFill patternType="solid">
        <fgColor rgb="FF2AFF00"/>
        <bgColor indexed="64"/>
      </patternFill>
    </fill>
    <fill>
      <patternFill patternType="solid">
        <fgColor rgb="FF5AFF00"/>
        <bgColor indexed="64"/>
      </patternFill>
    </fill>
    <fill>
      <patternFill patternType="solid">
        <fgColor rgb="FF29FF00"/>
        <bgColor indexed="64"/>
      </patternFill>
    </fill>
    <fill>
      <patternFill patternType="solid">
        <fgColor rgb="FF8EFF00"/>
        <bgColor indexed="64"/>
      </patternFill>
    </fill>
    <fill>
      <patternFill patternType="solid">
        <fgColor rgb="FF23FF00"/>
        <bgColor indexed="64"/>
      </patternFill>
    </fill>
    <fill>
      <patternFill patternType="solid">
        <fgColor rgb="FF1DFF00"/>
        <bgColor indexed="64"/>
      </patternFill>
    </fill>
    <fill>
      <patternFill patternType="solid">
        <fgColor rgb="FF32FF00"/>
        <bgColor indexed="64"/>
      </patternFill>
    </fill>
    <fill>
      <patternFill patternType="solid">
        <fgColor rgb="FF65FF00"/>
        <bgColor indexed="64"/>
      </patternFill>
    </fill>
    <fill>
      <patternFill patternType="solid">
        <fgColor rgb="FF74FF00"/>
        <bgColor indexed="64"/>
      </patternFill>
    </fill>
    <fill>
      <patternFill patternType="solid">
        <fgColor rgb="FFFFBF00"/>
        <bgColor indexed="64"/>
      </patternFill>
    </fill>
    <fill>
      <patternFill patternType="solid">
        <fgColor rgb="FF2EFF00"/>
        <bgColor indexed="64"/>
      </patternFill>
    </fill>
    <fill>
      <patternFill patternType="solid">
        <fgColor rgb="FF96FF00"/>
        <bgColor indexed="64"/>
      </patternFill>
    </fill>
    <fill>
      <patternFill patternType="solid">
        <fgColor rgb="FF54FF00"/>
        <bgColor indexed="64"/>
      </patternFill>
    </fill>
    <fill>
      <patternFill patternType="solid">
        <fgColor rgb="FF47FF00"/>
        <bgColor indexed="64"/>
      </patternFill>
    </fill>
    <fill>
      <patternFill patternType="solid">
        <fgColor rgb="FF41FF00"/>
        <bgColor indexed="64"/>
      </patternFill>
    </fill>
    <fill>
      <patternFill patternType="solid">
        <fgColor rgb="FF0CFF00"/>
        <bgColor indexed="64"/>
      </patternFill>
    </fill>
    <fill>
      <patternFill patternType="solid">
        <fgColor rgb="FF39FF00"/>
        <bgColor indexed="64"/>
      </patternFill>
    </fill>
    <fill>
      <patternFill patternType="solid">
        <fgColor rgb="FF1BFF00"/>
        <bgColor indexed="64"/>
      </patternFill>
    </fill>
    <fill>
      <patternFill patternType="solid">
        <fgColor rgb="FFFFB200"/>
        <bgColor indexed="64"/>
      </patternFill>
    </fill>
    <fill>
      <patternFill patternType="solid">
        <fgColor rgb="FF45FF00"/>
        <bgColor indexed="64"/>
      </patternFill>
    </fill>
    <fill>
      <patternFill patternType="solid">
        <fgColor rgb="FF55FF00"/>
        <bgColor indexed="64"/>
      </patternFill>
    </fill>
    <fill>
      <patternFill patternType="solid">
        <fgColor rgb="FF64FF00"/>
        <bgColor indexed="64"/>
      </patternFill>
    </fill>
    <fill>
      <patternFill patternType="solid">
        <fgColor rgb="FF51FF00"/>
        <bgColor indexed="64"/>
      </patternFill>
    </fill>
    <fill>
      <patternFill patternType="solid">
        <fgColor rgb="FF2BFF00"/>
        <bgColor indexed="64"/>
      </patternFill>
    </fill>
    <fill>
      <patternFill patternType="solid">
        <fgColor rgb="FF19FF00"/>
        <bgColor indexed="64"/>
      </patternFill>
    </fill>
    <fill>
      <patternFill patternType="solid">
        <fgColor rgb="FF36FF00"/>
        <bgColor indexed="64"/>
      </patternFill>
    </fill>
    <fill>
      <patternFill patternType="solid">
        <fgColor rgb="FF3BFF00"/>
        <bgColor indexed="64"/>
      </patternFill>
    </fill>
    <fill>
      <patternFill patternType="solid">
        <fgColor rgb="FF91FF00"/>
        <bgColor indexed="64"/>
      </patternFill>
    </fill>
    <fill>
      <patternFill patternType="solid">
        <fgColor rgb="FF7AFF00"/>
        <bgColor indexed="64"/>
      </patternFill>
    </fill>
    <fill>
      <patternFill patternType="solid">
        <fgColor rgb="FFA2FF00"/>
        <bgColor indexed="64"/>
      </patternFill>
    </fill>
    <fill>
      <patternFill patternType="solid">
        <fgColor rgb="FF4EFF00"/>
        <bgColor indexed="64"/>
      </patternFill>
    </fill>
    <fill>
      <patternFill patternType="solid">
        <fgColor rgb="FF2CFF00"/>
        <bgColor indexed="64"/>
      </patternFill>
    </fill>
    <fill>
      <patternFill patternType="solid">
        <fgColor rgb="FF4CFF00"/>
        <bgColor indexed="64"/>
      </patternFill>
    </fill>
    <fill>
      <patternFill patternType="solid">
        <fgColor rgb="FF3EFF00"/>
        <bgColor indexed="64"/>
      </patternFill>
    </fill>
    <fill>
      <patternFill patternType="solid">
        <fgColor rgb="FF4AFF00"/>
        <bgColor indexed="64"/>
      </patternFill>
    </fill>
    <fill>
      <patternFill patternType="solid">
        <fgColor rgb="FF6CFF00"/>
        <bgColor indexed="64"/>
      </patternFill>
    </fill>
    <fill>
      <patternFill patternType="solid">
        <fgColor rgb="FF5FFF00"/>
        <bgColor indexed="64"/>
      </patternFill>
    </fill>
    <fill>
      <patternFill patternType="solid">
        <fgColor rgb="FF57FF00"/>
        <bgColor indexed="64"/>
      </patternFill>
    </fill>
    <fill>
      <patternFill patternType="solid">
        <fgColor rgb="FFB0FF00"/>
        <bgColor indexed="64"/>
      </patternFill>
    </fill>
    <fill>
      <patternFill patternType="solid">
        <fgColor rgb="FF5CFF00"/>
        <bgColor indexed="64"/>
      </patternFill>
    </fill>
    <fill>
      <patternFill patternType="solid">
        <fgColor rgb="FFFFC000"/>
        <bgColor indexed="64"/>
      </patternFill>
    </fill>
    <fill>
      <patternFill patternType="solid">
        <fgColor rgb="FFC9FF00"/>
        <bgColor indexed="64"/>
      </patternFill>
    </fill>
    <fill>
      <patternFill patternType="solid">
        <fgColor rgb="FF6FFF00"/>
        <bgColor indexed="64"/>
      </patternFill>
    </fill>
    <fill>
      <patternFill patternType="solid">
        <fgColor rgb="FF46FF00"/>
        <bgColor indexed="64"/>
      </patternFill>
    </fill>
    <fill>
      <patternFill patternType="solid">
        <fgColor rgb="FF37FF00"/>
        <bgColor indexed="64"/>
      </patternFill>
    </fill>
    <fill>
      <patternFill patternType="solid">
        <fgColor rgb="FF72FF00"/>
        <bgColor indexed="64"/>
      </patternFill>
    </fill>
    <fill>
      <patternFill patternType="solid">
        <fgColor rgb="FFA1FF00"/>
        <bgColor indexed="64"/>
      </patternFill>
    </fill>
    <fill>
      <patternFill patternType="solid">
        <fgColor rgb="FF3AFF00"/>
        <bgColor indexed="64"/>
      </patternFill>
    </fill>
    <fill>
      <patternFill patternType="solid">
        <fgColor rgb="FF8DFF00"/>
        <bgColor indexed="64"/>
      </patternFill>
    </fill>
    <fill>
      <patternFill patternType="solid">
        <fgColor rgb="FF40FF00"/>
        <bgColor indexed="64"/>
      </patternFill>
    </fill>
    <fill>
      <patternFill patternType="solid">
        <fgColor rgb="FF43FF00"/>
        <bgColor indexed="64"/>
      </patternFill>
    </fill>
    <fill>
      <patternFill patternType="solid">
        <fgColor rgb="FF9DFF00"/>
        <bgColor indexed="64"/>
      </patternFill>
    </fill>
    <fill>
      <patternFill patternType="solid">
        <fgColor rgb="FF44FF00"/>
        <bgColor indexed="64"/>
      </patternFill>
    </fill>
    <fill>
      <patternFill patternType="solid">
        <fgColor rgb="FF4BFF00"/>
        <bgColor indexed="64"/>
      </patternFill>
    </fill>
    <fill>
      <patternFill patternType="solid">
        <fgColor rgb="FFB9FF00"/>
        <bgColor indexed="64"/>
      </patternFill>
    </fill>
    <fill>
      <patternFill patternType="solid">
        <fgColor rgb="FF6BFF00"/>
        <bgColor indexed="64"/>
      </patternFill>
    </fill>
    <fill>
      <patternFill patternType="solid">
        <fgColor rgb="FF11FF00"/>
        <bgColor indexed="64"/>
      </patternFill>
    </fill>
    <fill>
      <patternFill patternType="solid">
        <fgColor rgb="FF89FF00"/>
        <bgColor indexed="64"/>
      </patternFill>
    </fill>
    <fill>
      <patternFill patternType="solid">
        <fgColor rgb="FF14FF00"/>
        <bgColor indexed="64"/>
      </patternFill>
    </fill>
    <fill>
      <patternFill patternType="solid">
        <fgColor rgb="FFFFCA00"/>
        <bgColor indexed="64"/>
      </patternFill>
    </fill>
    <fill>
      <patternFill patternType="solid">
        <fgColor rgb="FF9AFF00"/>
        <bgColor indexed="64"/>
      </patternFill>
    </fill>
    <fill>
      <patternFill patternType="solid">
        <fgColor rgb="FF35FF00"/>
        <bgColor indexed="64"/>
      </patternFill>
    </fill>
    <fill>
      <patternFill patternType="solid">
        <fgColor rgb="FFA9FF00"/>
        <bgColor indexed="64"/>
      </patternFill>
    </fill>
    <fill>
      <patternFill patternType="solid">
        <fgColor rgb="FF31FF00"/>
        <bgColor indexed="64"/>
      </patternFill>
    </fill>
    <fill>
      <patternFill patternType="solid">
        <fgColor rgb="FFFF9400"/>
        <bgColor indexed="64"/>
      </patternFill>
    </fill>
    <fill>
      <patternFill patternType="solid">
        <fgColor rgb="FF53FF00"/>
        <bgColor indexed="64"/>
      </patternFill>
    </fill>
    <fill>
      <patternFill patternType="solid">
        <fgColor rgb="FFFDFF00"/>
        <bgColor indexed="64"/>
      </patternFill>
    </fill>
    <fill>
      <patternFill patternType="solid">
        <fgColor rgb="FFD6FF00"/>
        <bgColor indexed="64"/>
      </patternFill>
    </fill>
    <fill>
      <patternFill patternType="solid">
        <fgColor rgb="FF93FF00"/>
        <bgColor indexed="64"/>
      </patternFill>
    </fill>
    <fill>
      <patternFill patternType="solid">
        <fgColor rgb="FFFFFF00"/>
        <bgColor indexed="64"/>
      </patternFill>
    </fill>
    <fill>
      <patternFill patternType="solid">
        <fgColor rgb="FFABFF00"/>
        <bgColor indexed="64"/>
      </patternFill>
    </fill>
  </fills>
  <borders count="54">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style="thin">
        <color rgb="FFC0C0C0"/>
      </top>
      <bottom style="thin">
        <color rgb="FFC0C0C0"/>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style="thin">
        <color rgb="FFC0C0C0"/>
      </top>
      <bottom style="thin">
        <color rgb="FFC0C0C0"/>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299">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4" borderId="2" xfId="0" applyFont="1" applyFill="1" applyBorder="1" applyAlignment="1">
      <alignment horizontal="center"/>
    </xf>
    <xf numFmtId="0" fontId="1" fillId="24" borderId="4" xfId="0" applyFont="1" applyFill="1" applyBorder="1" applyAlignment="1">
      <alignment horizontal="center"/>
    </xf>
    <xf numFmtId="0" fontId="1" fillId="24"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4" borderId="5" xfId="0" applyFill="1" applyBorder="1"/>
    <xf numFmtId="0" fontId="0" fillId="24" borderId="6" xfId="0" applyFill="1" applyBorder="1"/>
    <xf numFmtId="0" fontId="0" fillId="24" borderId="7" xfId="0" applyFill="1" applyBorder="1"/>
    <xf numFmtId="0" fontId="0" fillId="24" borderId="8" xfId="0" applyFill="1" applyBorder="1"/>
    <xf numFmtId="0" fontId="0" fillId="24" borderId="9" xfId="0" applyFill="1" applyBorder="1"/>
    <xf numFmtId="0" fontId="0" fillId="24" borderId="11" xfId="0" applyFill="1" applyBorder="1"/>
    <xf numFmtId="0" fontId="8" fillId="0" borderId="0" xfId="0" applyFont="1"/>
    <xf numFmtId="0" fontId="9" fillId="0" borderId="0" xfId="0" applyFont="1"/>
    <xf numFmtId="0" fontId="1" fillId="2" borderId="0" xfId="0" applyFont="1" applyFill="1" applyBorder="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1" fillId="0" borderId="0" xfId="0" applyFont="1" applyAlignment="1">
      <alignment horizontal="center"/>
    </xf>
    <xf numFmtId="0" fontId="0" fillId="37" borderId="0" xfId="0" applyFill="1"/>
    <xf numFmtId="0" fontId="0" fillId="0" borderId="0" xfId="0" applyFont="1" applyFill="1"/>
    <xf numFmtId="0" fontId="0" fillId="0" borderId="0" xfId="0" applyFont="1" applyAlignment="1">
      <alignment horizontal="center"/>
    </xf>
    <xf numFmtId="0" fontId="0" fillId="39" borderId="0" xfId="0" applyFill="1"/>
    <xf numFmtId="0" fontId="0" fillId="0" borderId="0" xfId="0" applyFont="1" applyFill="1" applyAlignment="1">
      <alignment horizontal="center"/>
    </xf>
    <xf numFmtId="0" fontId="0" fillId="40" borderId="0" xfId="0" applyFill="1"/>
    <xf numFmtId="0" fontId="0" fillId="41"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8"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8" borderId="3" xfId="0" applyNumberFormat="1" applyFont="1" applyFill="1" applyBorder="1"/>
    <xf numFmtId="0" fontId="0" fillId="38" borderId="2" xfId="0" applyFont="1" applyFill="1" applyBorder="1"/>
    <xf numFmtId="0" fontId="0" fillId="38" borderId="3" xfId="0" applyFont="1" applyFill="1" applyBorder="1"/>
    <xf numFmtId="0" fontId="0" fillId="38"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0" fontId="10" fillId="0" borderId="16"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9" borderId="0" xfId="0" applyFont="1" applyFill="1" applyAlignment="1">
      <alignment horizontal="center"/>
    </xf>
    <xf numFmtId="0" fontId="12" fillId="27" borderId="0" xfId="0" applyFont="1" applyFill="1" applyAlignment="1">
      <alignment horizontal="center"/>
    </xf>
    <xf numFmtId="0" fontId="12" fillId="28" borderId="0" xfId="0" applyFont="1" applyFill="1" applyAlignment="1">
      <alignment horizontal="center"/>
    </xf>
    <xf numFmtId="0" fontId="12" fillId="25" borderId="0" xfId="0" applyFont="1" applyFill="1" applyAlignment="1">
      <alignment horizontal="center"/>
    </xf>
    <xf numFmtId="0" fontId="12" fillId="26" borderId="0" xfId="0" applyFont="1" applyFill="1" applyAlignment="1">
      <alignment horizontal="center"/>
    </xf>
    <xf numFmtId="0" fontId="12" fillId="0" borderId="0" xfId="0" applyFont="1" applyFill="1" applyAlignment="1">
      <alignment horizontal="right"/>
    </xf>
    <xf numFmtId="0" fontId="0" fillId="24" borderId="2" xfId="0" applyFill="1" applyBorder="1" applyAlignment="1">
      <alignment horizontal="center"/>
    </xf>
    <xf numFmtId="0" fontId="0" fillId="24" borderId="4" xfId="0" applyFill="1" applyBorder="1" applyAlignment="1">
      <alignment horizontal="center"/>
    </xf>
    <xf numFmtId="0" fontId="0" fillId="24" borderId="3" xfId="0" applyFill="1" applyBorder="1"/>
    <xf numFmtId="0" fontId="9" fillId="0" borderId="0" xfId="0" applyFont="1" applyAlignment="1">
      <alignment horizontal="left"/>
    </xf>
    <xf numFmtId="0" fontId="0" fillId="0" borderId="17" xfId="0" applyFont="1" applyBorder="1"/>
    <xf numFmtId="0" fontId="0" fillId="0" borderId="18" xfId="0" applyBorder="1" applyAlignment="1">
      <alignment horizontal="right"/>
    </xf>
    <xf numFmtId="0" fontId="0" fillId="0" borderId="19" xfId="0" applyFont="1" applyBorder="1"/>
    <xf numFmtId="0" fontId="0" fillId="0" borderId="18" xfId="0" applyBorder="1"/>
    <xf numFmtId="0" fontId="10" fillId="0" borderId="20" xfId="0" applyFont="1" applyFill="1" applyBorder="1" applyAlignment="1">
      <alignment horizontal="right" wrapText="1"/>
    </xf>
    <xf numFmtId="0" fontId="10" fillId="0" borderId="21" xfId="0" applyFont="1" applyFill="1" applyBorder="1" applyAlignment="1">
      <alignment horizontal="right" wrapText="1"/>
    </xf>
    <xf numFmtId="0" fontId="0" fillId="0" borderId="18" xfId="0" applyFont="1" applyFill="1" applyBorder="1" applyAlignment="1">
      <alignment horizontal="right"/>
    </xf>
    <xf numFmtId="0" fontId="0" fillId="0" borderId="22" xfId="0" applyFont="1" applyBorder="1"/>
    <xf numFmtId="0" fontId="0" fillId="0" borderId="23" xfId="0" applyFont="1" applyBorder="1"/>
    <xf numFmtId="0" fontId="0" fillId="0" borderId="1" xfId="0" applyFont="1" applyBorder="1"/>
    <xf numFmtId="0" fontId="0" fillId="0" borderId="24" xfId="0" applyFont="1" applyBorder="1"/>
    <xf numFmtId="0" fontId="1" fillId="0" borderId="26" xfId="0" applyFont="1" applyBorder="1" applyAlignment="1">
      <alignment horizontal="center"/>
    </xf>
    <xf numFmtId="0" fontId="1" fillId="0" borderId="25" xfId="0" applyFont="1" applyBorder="1" applyAlignment="1">
      <alignment horizontal="center"/>
    </xf>
    <xf numFmtId="0" fontId="0" fillId="0" borderId="0" xfId="0" applyBorder="1" applyAlignment="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1" fillId="2" borderId="0" xfId="0" applyNumberFormat="1" applyFont="1" applyFill="1"/>
    <xf numFmtId="0" fontId="0" fillId="0" borderId="0" xfId="0" applyNumberFormat="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49" fontId="0" fillId="0" borderId="52" xfId="0" applyNumberFormat="1" applyBorder="1"/>
    <xf numFmtId="49" fontId="0" fillId="0" borderId="53" xfId="0" applyNumberFormat="1" applyBorder="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533.6640625" customWidth="1"/>
  </cols>
  <sheetData>
    <row r="2" spans="2:4" x14ac:dyDescent="0.15">
      <c r="B2" t="s">
        <v>145</v>
      </c>
    </row>
    <row r="3" spans="2:4" x14ac:dyDescent="0.15">
      <c r="B3" t="s">
        <v>146</v>
      </c>
    </row>
    <row r="4" spans="2:4" x14ac:dyDescent="0.15">
      <c r="B4" s="61" t="s">
        <v>164</v>
      </c>
    </row>
    <row r="6" spans="2:4" ht="14" thickBot="1" x14ac:dyDescent="0.2">
      <c r="B6" s="45" t="s">
        <v>141</v>
      </c>
    </row>
    <row r="7" spans="2:4" x14ac:dyDescent="0.15">
      <c r="B7" s="61" t="s">
        <v>143</v>
      </c>
    </row>
    <row r="8" spans="2:4" x14ac:dyDescent="0.15">
      <c r="B8" s="61" t="s">
        <v>142</v>
      </c>
    </row>
    <row r="9" spans="2:4" x14ac:dyDescent="0.15">
      <c r="B9" s="61" t="s">
        <v>144</v>
      </c>
    </row>
    <row r="10" spans="2:4" x14ac:dyDescent="0.15">
      <c r="B10" s="61" t="s">
        <v>147</v>
      </c>
    </row>
    <row r="11" spans="2:4" x14ac:dyDescent="0.15">
      <c r="B11" s="61" t="s">
        <v>151</v>
      </c>
    </row>
    <row r="12" spans="2:4" x14ac:dyDescent="0.15">
      <c r="B12" s="61" t="s">
        <v>153</v>
      </c>
    </row>
    <row r="13" spans="2:4" x14ac:dyDescent="0.15">
      <c r="B13" s="61" t="s">
        <v>165</v>
      </c>
    </row>
    <row r="15" spans="2:4" ht="14" thickBot="1" x14ac:dyDescent="0.2"/>
    <row r="16" spans="2:4" ht="14" thickBot="1" x14ac:dyDescent="0.2">
      <c r="B16" s="46" t="s">
        <v>137</v>
      </c>
      <c r="C16" s="47"/>
      <c r="D16" s="29">
        <v>41373</v>
      </c>
    </row>
    <row r="17" spans="2:4" x14ac:dyDescent="0.15">
      <c r="B17" s="48" t="s">
        <v>58</v>
      </c>
      <c r="C17" s="32">
        <v>0</v>
      </c>
    </row>
    <row r="18" spans="2:4" x14ac:dyDescent="0.15">
      <c r="B18" s="48" t="s">
        <v>59</v>
      </c>
      <c r="C18" s="32">
        <v>1</v>
      </c>
    </row>
    <row r="19" spans="2:4" x14ac:dyDescent="0.15">
      <c r="B19" s="48" t="s">
        <v>60</v>
      </c>
      <c r="C19" s="32">
        <v>2</v>
      </c>
    </row>
    <row r="20" spans="2:4" ht="14" thickBot="1" x14ac:dyDescent="0.2">
      <c r="B20" s="49" t="s">
        <v>44</v>
      </c>
      <c r="C20" s="33">
        <v>3</v>
      </c>
    </row>
    <row r="21" spans="2:4" x14ac:dyDescent="0.15">
      <c r="B21" s="50" t="s">
        <v>140</v>
      </c>
    </row>
    <row r="22" spans="2:4" ht="14" thickBot="1" x14ac:dyDescent="0.2"/>
    <row r="23" spans="2:4" ht="14" thickBot="1" x14ac:dyDescent="0.2">
      <c r="B23" s="46" t="s">
        <v>65</v>
      </c>
      <c r="C23" s="47"/>
      <c r="D23" s="29" t="s">
        <v>148</v>
      </c>
    </row>
    <row r="24" spans="2:4" x14ac:dyDescent="0.15">
      <c r="B24" s="52" t="s">
        <v>38</v>
      </c>
      <c r="C24" s="30">
        <v>1</v>
      </c>
    </row>
    <row r="25" spans="2:4" x14ac:dyDescent="0.15">
      <c r="B25" s="48" t="s">
        <v>40</v>
      </c>
      <c r="C25" s="32">
        <v>1.1000000000000001</v>
      </c>
    </row>
    <row r="26" spans="2:4" x14ac:dyDescent="0.15">
      <c r="B26" s="48" t="s">
        <v>41</v>
      </c>
      <c r="C26" s="32">
        <v>1.2</v>
      </c>
    </row>
    <row r="27" spans="2:4" x14ac:dyDescent="0.15">
      <c r="B27" s="48"/>
      <c r="C27" s="32"/>
    </row>
    <row r="28" spans="2:4" x14ac:dyDescent="0.15">
      <c r="B28" s="48" t="s">
        <v>42</v>
      </c>
      <c r="C28" s="32">
        <v>2.1</v>
      </c>
    </row>
    <row r="29" spans="2:4" x14ac:dyDescent="0.15">
      <c r="B29" s="48" t="s">
        <v>43</v>
      </c>
      <c r="C29" s="32">
        <v>2.2000000000000002</v>
      </c>
    </row>
    <row r="30" spans="2:4" x14ac:dyDescent="0.15">
      <c r="B30" s="48" t="s">
        <v>67</v>
      </c>
      <c r="C30" s="32">
        <v>2.2999999999999998</v>
      </c>
    </row>
    <row r="31" spans="2:4" x14ac:dyDescent="0.15">
      <c r="B31" s="48"/>
      <c r="C31" s="32"/>
    </row>
    <row r="32" spans="2:4" x14ac:dyDescent="0.15">
      <c r="B32" s="48" t="s">
        <v>62</v>
      </c>
      <c r="C32" s="32">
        <v>3.11</v>
      </c>
    </row>
    <row r="33" spans="2:3" x14ac:dyDescent="0.15">
      <c r="B33" s="48" t="s">
        <v>61</v>
      </c>
      <c r="C33" s="32">
        <v>3.12</v>
      </c>
    </row>
    <row r="34" spans="2:3" x14ac:dyDescent="0.15">
      <c r="B34" s="48" t="s">
        <v>68</v>
      </c>
      <c r="C34" s="32">
        <v>3.13</v>
      </c>
    </row>
    <row r="35" spans="2:3" x14ac:dyDescent="0.15">
      <c r="B35" s="48"/>
      <c r="C35" s="32"/>
    </row>
    <row r="36" spans="2:3" x14ac:dyDescent="0.15">
      <c r="B36" s="48" t="s">
        <v>66</v>
      </c>
      <c r="C36" s="32">
        <v>3.21</v>
      </c>
    </row>
    <row r="37" spans="2:3" x14ac:dyDescent="0.15">
      <c r="B37" s="48" t="s">
        <v>63</v>
      </c>
      <c r="C37" s="32">
        <v>3.22</v>
      </c>
    </row>
    <row r="38" spans="2:3" x14ac:dyDescent="0.15">
      <c r="B38" s="48" t="s">
        <v>69</v>
      </c>
      <c r="C38" s="32">
        <v>3.23</v>
      </c>
    </row>
    <row r="39" spans="2:3" x14ac:dyDescent="0.15">
      <c r="B39" s="48"/>
      <c r="C39" s="32"/>
    </row>
    <row r="40" spans="2:3" x14ac:dyDescent="0.15">
      <c r="B40" s="48" t="s">
        <v>64</v>
      </c>
      <c r="C40" s="32">
        <v>8</v>
      </c>
    </row>
    <row r="41" spans="2:3" x14ac:dyDescent="0.15">
      <c r="B41" s="48"/>
      <c r="C41" s="32"/>
    </row>
    <row r="42" spans="2:3" x14ac:dyDescent="0.15">
      <c r="B42" s="48" t="s">
        <v>71</v>
      </c>
      <c r="C42" s="32">
        <v>4.0999999999999996</v>
      </c>
    </row>
    <row r="43" spans="2:3" x14ac:dyDescent="0.15">
      <c r="B43" s="48" t="s">
        <v>70</v>
      </c>
      <c r="C43" s="32">
        <v>4.2</v>
      </c>
    </row>
    <row r="44" spans="2:3" x14ac:dyDescent="0.15">
      <c r="B44" s="48" t="s">
        <v>72</v>
      </c>
      <c r="C44" s="32">
        <v>4.3</v>
      </c>
    </row>
    <row r="45" spans="2:3" x14ac:dyDescent="0.15">
      <c r="B45" s="31"/>
      <c r="C45" s="32"/>
    </row>
    <row r="46" spans="2:3" x14ac:dyDescent="0.15">
      <c r="B46" s="48" t="s">
        <v>138</v>
      </c>
      <c r="C46" s="32">
        <v>6.1</v>
      </c>
    </row>
    <row r="47" spans="2:3" x14ac:dyDescent="0.15">
      <c r="B47" s="48" t="s">
        <v>45</v>
      </c>
      <c r="C47" s="32">
        <v>6.2</v>
      </c>
    </row>
    <row r="48" spans="2:3" x14ac:dyDescent="0.15">
      <c r="B48" s="48"/>
      <c r="C48" s="32"/>
    </row>
    <row r="49" spans="2:4" x14ac:dyDescent="0.15">
      <c r="B49" s="48" t="s">
        <v>44</v>
      </c>
      <c r="C49" s="32">
        <v>5</v>
      </c>
    </row>
    <row r="50" spans="2:4" x14ac:dyDescent="0.15">
      <c r="B50" s="48"/>
      <c r="C50" s="32"/>
    </row>
    <row r="51" spans="2:4" ht="14" thickBot="1" x14ac:dyDescent="0.2">
      <c r="B51" s="49" t="s">
        <v>73</v>
      </c>
      <c r="C51" s="33">
        <v>7</v>
      </c>
    </row>
    <row r="53" spans="2:4" x14ac:dyDescent="0.15">
      <c r="B53" s="180" t="s">
        <v>171</v>
      </c>
      <c r="C53" s="111">
        <v>752</v>
      </c>
      <c r="D53" s="111"/>
    </row>
    <row r="54" spans="2:4" x14ac:dyDescent="0.15">
      <c r="B54" s="180" t="s">
        <v>172</v>
      </c>
      <c r="C54" s="180" t="s">
        <v>185</v>
      </c>
      <c r="D54" s="111"/>
    </row>
    <row r="55" spans="2:4" x14ac:dyDescent="0.15">
      <c r="B55" s="180" t="s">
        <v>173</v>
      </c>
      <c r="C55" s="180" t="s">
        <v>186</v>
      </c>
      <c r="D55" s="111"/>
    </row>
    <row r="56" spans="2:4" x14ac:dyDescent="0.15">
      <c r="B56" s="180" t="s">
        <v>174</v>
      </c>
      <c r="C56" s="111">
        <v>8771</v>
      </c>
      <c r="D56" s="111"/>
    </row>
    <row r="57" spans="2:4" x14ac:dyDescent="0.15">
      <c r="B57" s="180" t="s">
        <v>175</v>
      </c>
      <c r="C57" s="180" t="s">
        <v>187</v>
      </c>
      <c r="D57" s="111"/>
    </row>
    <row r="58" spans="2:4" x14ac:dyDescent="0.15">
      <c r="B58" s="180" t="s">
        <v>176</v>
      </c>
      <c r="C58" s="180" t="s">
        <v>188</v>
      </c>
      <c r="D58" s="111"/>
    </row>
    <row r="59" spans="2:4" x14ac:dyDescent="0.15">
      <c r="B59" s="180" t="s">
        <v>177</v>
      </c>
      <c r="C59" s="180" t="s">
        <v>189</v>
      </c>
      <c r="D59" s="111"/>
    </row>
    <row r="60" spans="2:4" x14ac:dyDescent="0.15">
      <c r="B60" s="180" t="s">
        <v>178</v>
      </c>
      <c r="C60" s="180" t="s">
        <v>190</v>
      </c>
      <c r="D60" s="111"/>
    </row>
    <row r="61" spans="2:4" x14ac:dyDescent="0.15">
      <c r="B61" s="180" t="s">
        <v>179</v>
      </c>
      <c r="C61" s="111">
        <v>42</v>
      </c>
      <c r="D61" s="111"/>
    </row>
    <row r="62" spans="2:4" x14ac:dyDescent="0.15">
      <c r="B62" s="180" t="s">
        <v>180</v>
      </c>
      <c r="C62" s="111">
        <v>6</v>
      </c>
      <c r="D62" s="111"/>
    </row>
    <row r="63" spans="2:4" x14ac:dyDescent="0.15">
      <c r="B63" s="180" t="s">
        <v>181</v>
      </c>
      <c r="C63" s="111">
        <v>2000</v>
      </c>
      <c r="D63" s="111"/>
    </row>
    <row r="64" spans="2:4" x14ac:dyDescent="0.15">
      <c r="B64" s="180" t="s">
        <v>182</v>
      </c>
      <c r="C64" s="111">
        <v>1</v>
      </c>
      <c r="D64" s="111"/>
    </row>
    <row r="65" spans="2:4" x14ac:dyDescent="0.15">
      <c r="B65" s="180" t="s">
        <v>183</v>
      </c>
      <c r="C65" s="180" t="s">
        <v>191</v>
      </c>
      <c r="D65" s="111"/>
    </row>
    <row r="66" spans="2:4" x14ac:dyDescent="0.15">
      <c r="B66" s="180" t="s">
        <v>184</v>
      </c>
      <c r="C66" s="180" t="s">
        <v>192</v>
      </c>
      <c r="D66" s="111"/>
    </row>
    <row r="67" spans="2:4" x14ac:dyDescent="0.15">
      <c r="B67" s="111"/>
      <c r="C67" s="111"/>
      <c r="D67" s="111"/>
    </row>
    <row r="68" spans="2:4" x14ac:dyDescent="0.15">
      <c r="B68" s="111"/>
      <c r="C68" s="111"/>
      <c r="D68" s="111"/>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82" customWidth="1"/>
    <col min="2" max="3" width="3.33203125" style="82" customWidth="1"/>
    <col min="4" max="4" width="14.33203125" style="82" customWidth="1"/>
    <col min="5" max="5" width="44.1640625" style="82" bestFit="1" customWidth="1"/>
    <col min="6" max="6" width="2.33203125" style="82" bestFit="1" customWidth="1"/>
    <col min="7" max="7" width="11.83203125" style="82" bestFit="1" customWidth="1"/>
    <col min="8" max="8" width="11.83203125" style="82" customWidth="1"/>
    <col min="9" max="9" width="10.83203125" style="82" customWidth="1"/>
    <col min="10" max="10" width="11.83203125" style="82" customWidth="1"/>
    <col min="11" max="11" width="13.83203125" style="82" customWidth="1"/>
    <col min="12" max="12" width="2.33203125" style="82" customWidth="1"/>
    <col min="13" max="13" width="3.83203125" style="82" customWidth="1"/>
    <col min="14" max="14" width="2.33203125" style="82" customWidth="1"/>
    <col min="16" max="25" width="8.83203125" style="82"/>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2"/>
  </cols>
  <sheetData>
    <row r="1" spans="1:46" s="99" customFormat="1" ht="15" customHeight="1" x14ac:dyDescent="0.15">
      <c r="A1" s="78" t="s">
        <v>18</v>
      </c>
      <c r="C1" s="79" t="s">
        <v>8</v>
      </c>
      <c r="D1" s="78" t="s">
        <v>23</v>
      </c>
      <c r="E1" s="78" t="s">
        <v>0</v>
      </c>
      <c r="F1" s="78" t="s">
        <v>7</v>
      </c>
      <c r="G1" s="80" t="s">
        <v>13</v>
      </c>
      <c r="H1" s="78" t="s">
        <v>1</v>
      </c>
      <c r="I1" s="78" t="s">
        <v>2</v>
      </c>
      <c r="J1" s="78" t="s">
        <v>14</v>
      </c>
      <c r="K1" s="78" t="s">
        <v>3</v>
      </c>
      <c r="L1" s="78" t="s">
        <v>4</v>
      </c>
      <c r="M1" s="78" t="s">
        <v>5</v>
      </c>
      <c r="N1" s="78" t="s">
        <v>6</v>
      </c>
      <c r="O1"/>
      <c r="Z1"/>
      <c r="AA1"/>
      <c r="AB1"/>
      <c r="AC1"/>
      <c r="AD1"/>
      <c r="AE1"/>
      <c r="AF1"/>
      <c r="AG1"/>
      <c r="AH1"/>
      <c r="AI1"/>
      <c r="AJ1"/>
      <c r="AK1"/>
      <c r="AL1"/>
      <c r="AM1"/>
      <c r="AN1"/>
      <c r="AO1"/>
      <c r="AP1"/>
      <c r="AQ1"/>
      <c r="AR1"/>
      <c r="AS1"/>
      <c r="AT1"/>
    </row>
    <row r="2" spans="1:46" ht="15" customHeight="1" x14ac:dyDescent="0.15">
      <c r="C2" s="99">
        <v>1</v>
      </c>
      <c r="D2"/>
      <c r="E2" s="181" t="s">
        <v>193</v>
      </c>
      <c r="F2" s="82">
        <v>1</v>
      </c>
      <c r="G2" s="82">
        <v>15.606999999999999</v>
      </c>
      <c r="H2" s="82">
        <v>109</v>
      </c>
      <c r="I2" s="6">
        <v>0</v>
      </c>
      <c r="J2" s="6">
        <v>0.4417547</v>
      </c>
      <c r="K2" s="6">
        <v>0</v>
      </c>
      <c r="L2" s="6">
        <v>0</v>
      </c>
      <c r="M2" s="82">
        <v>0</v>
      </c>
      <c r="N2" s="82">
        <v>0</v>
      </c>
    </row>
    <row r="3" spans="1:46" ht="15" customHeight="1" x14ac:dyDescent="0.15">
      <c r="A3" s="1" t="s">
        <v>9</v>
      </c>
      <c r="B3" s="4">
        <v>40</v>
      </c>
      <c r="C3" s="82">
        <v>2</v>
      </c>
      <c r="D3"/>
      <c r="E3" s="181" t="s">
        <v>194</v>
      </c>
      <c r="F3" s="82">
        <v>0</v>
      </c>
      <c r="G3" s="82">
        <v>0.41289535199999999</v>
      </c>
      <c r="H3" s="82">
        <v>72.8</v>
      </c>
      <c r="I3" s="82">
        <v>145.6</v>
      </c>
      <c r="J3" s="82">
        <v>0.80000009999999999</v>
      </c>
      <c r="K3" s="82">
        <v>0.5</v>
      </c>
      <c r="L3" s="82">
        <v>0</v>
      </c>
      <c r="M3" s="82">
        <v>0.2</v>
      </c>
      <c r="N3" s="82">
        <v>0</v>
      </c>
    </row>
    <row r="4" spans="1:46" ht="15" customHeight="1" x14ac:dyDescent="0.15">
      <c r="A4" s="1" t="s">
        <v>10</v>
      </c>
      <c r="B4" s="4">
        <v>3</v>
      </c>
      <c r="C4" s="82">
        <v>3</v>
      </c>
      <c r="D4"/>
      <c r="E4" s="181" t="s">
        <v>195</v>
      </c>
      <c r="F4" s="82">
        <v>0</v>
      </c>
      <c r="G4" s="82">
        <v>5.0260887099999998</v>
      </c>
      <c r="H4" s="82">
        <v>45.28</v>
      </c>
      <c r="I4" s="82">
        <v>120</v>
      </c>
      <c r="J4" s="82">
        <v>0.80000009999999999</v>
      </c>
      <c r="K4" s="82">
        <v>0.37733329999999998</v>
      </c>
      <c r="L4" s="82">
        <v>0</v>
      </c>
      <c r="M4" s="82">
        <v>0.2</v>
      </c>
      <c r="N4" s="82">
        <v>0</v>
      </c>
      <c r="V4" s="1" t="s">
        <v>29</v>
      </c>
    </row>
    <row r="5" spans="1:46" ht="15" customHeight="1" thickBot="1" x14ac:dyDescent="0.2">
      <c r="A5" s="1" t="s">
        <v>11</v>
      </c>
      <c r="B5" s="4">
        <v>6</v>
      </c>
      <c r="C5" s="82">
        <v>4</v>
      </c>
      <c r="D5"/>
      <c r="E5" s="181" t="s">
        <v>196</v>
      </c>
      <c r="F5" s="82">
        <v>0</v>
      </c>
      <c r="G5" s="82">
        <v>9.3083950000000009</v>
      </c>
      <c r="H5" s="82">
        <v>7</v>
      </c>
      <c r="I5" s="82">
        <v>23.3</v>
      </c>
      <c r="J5" s="82">
        <v>0.79999995199999996</v>
      </c>
      <c r="K5" s="82">
        <v>0.30042920000000001</v>
      </c>
      <c r="L5" s="82">
        <v>0</v>
      </c>
      <c r="M5" s="82">
        <v>0.2</v>
      </c>
      <c r="N5" s="82">
        <v>0</v>
      </c>
      <c r="P5" s="72"/>
      <c r="Q5" s="72"/>
      <c r="R5" s="72"/>
    </row>
    <row r="6" spans="1:46" ht="15" customHeight="1" thickBot="1" x14ac:dyDescent="0.2">
      <c r="B6" s="1"/>
      <c r="C6" s="82">
        <v>5</v>
      </c>
      <c r="D6"/>
      <c r="E6" s="181" t="s">
        <v>197</v>
      </c>
      <c r="F6" s="82">
        <v>0</v>
      </c>
      <c r="G6" s="82">
        <v>1.4428795599999999</v>
      </c>
      <c r="H6" s="82">
        <v>15</v>
      </c>
      <c r="I6" s="82">
        <v>49.999996199999998</v>
      </c>
      <c r="J6" s="82">
        <v>0.95</v>
      </c>
      <c r="K6" s="82">
        <v>0.3</v>
      </c>
      <c r="L6" s="82">
        <v>0</v>
      </c>
      <c r="M6" s="82">
        <v>0.2</v>
      </c>
      <c r="N6" s="82">
        <v>0</v>
      </c>
      <c r="P6" s="72"/>
      <c r="Q6" s="72"/>
      <c r="R6" s="72"/>
      <c r="W6" s="35" t="s">
        <v>31</v>
      </c>
      <c r="X6" s="51">
        <f>MAX(MainOutputs!G:G)</f>
        <v>0.99730181694030762</v>
      </c>
    </row>
    <row r="7" spans="1:46" ht="15" customHeight="1" x14ac:dyDescent="0.15">
      <c r="A7" s="2" t="s">
        <v>27</v>
      </c>
      <c r="B7" s="82">
        <f ca="1">COUNTIF(OFFSET(cornerDiets,1,1,NumLiving+NumDead+1,NumLiving+NumDead),"&gt;0")+NumLiving+NumDead+1</f>
        <v>381</v>
      </c>
      <c r="C7" s="82">
        <v>6</v>
      </c>
      <c r="D7"/>
      <c r="E7" s="181" t="s">
        <v>198</v>
      </c>
      <c r="F7" s="82">
        <v>0</v>
      </c>
      <c r="G7" s="82">
        <v>2.5</v>
      </c>
      <c r="H7" s="82">
        <v>5.66</v>
      </c>
      <c r="I7" s="82">
        <v>37.497684499999998</v>
      </c>
      <c r="J7" s="82">
        <v>0.95</v>
      </c>
      <c r="K7" s="82">
        <v>0.15094265300000001</v>
      </c>
      <c r="L7" s="82">
        <v>0</v>
      </c>
      <c r="M7" s="82">
        <v>0.2</v>
      </c>
      <c r="N7" s="82">
        <v>0</v>
      </c>
      <c r="P7" s="72"/>
      <c r="Q7" s="72"/>
      <c r="R7" s="72"/>
    </row>
    <row r="8" spans="1:46" ht="15" customHeight="1" x14ac:dyDescent="0.15">
      <c r="A8" s="2" t="s">
        <v>28</v>
      </c>
      <c r="B8" s="82">
        <f ca="1">COUNTIF(OFFSET(cornerFishing,1,2,NumLiving+NumDead,NumGears),"&gt;0")+NumDead*COUNTIF(OFFSET(cornerDiscards,1,2,NumLiving+NumDead,NumGears),"&gt;0")+NumLiving+NumDead+1</f>
        <v>257</v>
      </c>
      <c r="C8" s="82">
        <v>7</v>
      </c>
      <c r="D8"/>
      <c r="E8" s="181" t="s">
        <v>199</v>
      </c>
      <c r="F8" s="82">
        <v>0</v>
      </c>
      <c r="G8" s="82">
        <v>12.7698584</v>
      </c>
      <c r="H8" s="82">
        <v>0.89</v>
      </c>
      <c r="I8" s="82">
        <v>9.8699999999999992</v>
      </c>
      <c r="J8" s="82">
        <v>0.79999995199999996</v>
      </c>
      <c r="K8" s="82">
        <v>9.0172240000000001E-2</v>
      </c>
      <c r="L8" s="82">
        <v>0</v>
      </c>
      <c r="M8" s="82">
        <v>0.2</v>
      </c>
      <c r="N8" s="82">
        <v>0</v>
      </c>
      <c r="P8" s="72"/>
      <c r="Q8" s="72"/>
      <c r="R8" s="72"/>
    </row>
    <row r="9" spans="1:46" ht="15" customHeight="1" x14ac:dyDescent="0.15">
      <c r="B9" s="1"/>
      <c r="C9" s="82">
        <v>8</v>
      </c>
      <c r="D9"/>
      <c r="E9" s="181" t="s">
        <v>200</v>
      </c>
      <c r="F9" s="82">
        <v>0</v>
      </c>
      <c r="G9" s="82">
        <v>1.89936459</v>
      </c>
      <c r="H9" s="82">
        <v>3</v>
      </c>
      <c r="I9" s="82">
        <v>20</v>
      </c>
      <c r="J9" s="82">
        <v>0.8</v>
      </c>
      <c r="K9" s="82">
        <v>0.15</v>
      </c>
      <c r="L9" s="82">
        <v>0</v>
      </c>
      <c r="M9" s="82">
        <v>0.2</v>
      </c>
      <c r="N9" s="82">
        <v>0</v>
      </c>
      <c r="P9" s="72"/>
      <c r="Q9" s="72"/>
      <c r="R9" s="72"/>
    </row>
    <row r="10" spans="1:46" ht="15" customHeight="1" x14ac:dyDescent="0.15">
      <c r="B10" s="1"/>
      <c r="C10" s="82">
        <v>9</v>
      </c>
      <c r="D10"/>
      <c r="E10" s="181" t="s">
        <v>201</v>
      </c>
      <c r="F10" s="82">
        <v>0</v>
      </c>
      <c r="G10" s="82">
        <v>0.55809560000000002</v>
      </c>
      <c r="H10" s="82">
        <v>0.9</v>
      </c>
      <c r="I10" s="82">
        <v>4.5</v>
      </c>
      <c r="J10" s="82">
        <v>0.8</v>
      </c>
      <c r="K10" s="82">
        <v>0.19999998799999999</v>
      </c>
      <c r="L10" s="82">
        <v>0</v>
      </c>
      <c r="M10" s="82">
        <v>0.2</v>
      </c>
      <c r="N10" s="82">
        <v>0</v>
      </c>
    </row>
    <row r="11" spans="1:46" ht="15" customHeight="1" x14ac:dyDescent="0.15">
      <c r="C11" s="82">
        <v>10</v>
      </c>
      <c r="D11"/>
      <c r="E11" s="181" t="s">
        <v>202</v>
      </c>
      <c r="F11" s="82">
        <v>0</v>
      </c>
      <c r="G11" s="82">
        <v>1.4390511500000001</v>
      </c>
      <c r="H11" s="82">
        <v>0.6</v>
      </c>
      <c r="I11" s="82">
        <v>3</v>
      </c>
      <c r="J11" s="82">
        <v>0.8</v>
      </c>
      <c r="K11" s="82">
        <v>0.2</v>
      </c>
      <c r="L11" s="82">
        <v>0</v>
      </c>
      <c r="M11" s="82">
        <v>0.2</v>
      </c>
      <c r="N11" s="82">
        <v>0</v>
      </c>
    </row>
    <row r="12" spans="1:46" ht="15" customHeight="1" x14ac:dyDescent="0.15">
      <c r="C12" s="82">
        <v>11</v>
      </c>
      <c r="D12"/>
      <c r="E12" s="181" t="s">
        <v>203</v>
      </c>
      <c r="F12" s="82">
        <v>0</v>
      </c>
      <c r="G12" s="82">
        <v>4.1983600000000001</v>
      </c>
      <c r="H12" s="82">
        <v>2.4</v>
      </c>
      <c r="I12" s="82">
        <v>10</v>
      </c>
      <c r="J12" s="82">
        <v>0.80001145600000001</v>
      </c>
      <c r="K12" s="82">
        <v>0.24000001000000001</v>
      </c>
      <c r="L12" s="82">
        <v>0</v>
      </c>
      <c r="M12" s="82">
        <v>0.2</v>
      </c>
      <c r="N12" s="82">
        <v>0</v>
      </c>
    </row>
    <row r="13" spans="1:46" ht="15" customHeight="1" x14ac:dyDescent="0.15">
      <c r="C13" s="82">
        <v>12</v>
      </c>
      <c r="D13"/>
      <c r="E13" s="181" t="s">
        <v>204</v>
      </c>
      <c r="F13" s="82">
        <v>0</v>
      </c>
      <c r="G13" s="82">
        <v>6.9235644299999999</v>
      </c>
      <c r="H13" s="82">
        <v>2.2400000000000002</v>
      </c>
      <c r="I13" s="82">
        <v>5.167319</v>
      </c>
      <c r="J13" s="82">
        <v>0.48541817100000001</v>
      </c>
      <c r="K13" s="82">
        <v>0.433493674</v>
      </c>
      <c r="L13" s="82">
        <v>0</v>
      </c>
      <c r="M13" s="82">
        <v>0.2</v>
      </c>
      <c r="N13" s="82">
        <v>0</v>
      </c>
    </row>
    <row r="14" spans="1:46" ht="15" customHeight="1" x14ac:dyDescent="0.15">
      <c r="C14" s="82">
        <v>13</v>
      </c>
      <c r="D14"/>
      <c r="E14" s="181" t="s">
        <v>205</v>
      </c>
      <c r="F14" s="82">
        <v>0</v>
      </c>
      <c r="G14" s="82">
        <v>0.25039</v>
      </c>
      <c r="H14" s="82">
        <v>0.71034956000000005</v>
      </c>
      <c r="I14" s="82">
        <v>3.8917367500000002</v>
      </c>
      <c r="J14" s="82">
        <v>0.60379179999999999</v>
      </c>
      <c r="K14" s="82">
        <v>0.18252764599999999</v>
      </c>
      <c r="L14" s="82">
        <v>0</v>
      </c>
      <c r="M14" s="82">
        <v>0.2</v>
      </c>
      <c r="N14" s="82">
        <v>0</v>
      </c>
    </row>
    <row r="15" spans="1:46" ht="15" customHeight="1" x14ac:dyDescent="0.15">
      <c r="C15" s="82">
        <v>14</v>
      </c>
      <c r="D15"/>
      <c r="E15" s="181" t="s">
        <v>206</v>
      </c>
      <c r="F15" s="82">
        <v>0</v>
      </c>
      <c r="G15" s="82">
        <v>0.198244274</v>
      </c>
      <c r="H15" s="82">
        <v>0.56667120000000004</v>
      </c>
      <c r="I15" s="82">
        <v>3.1869154000000002</v>
      </c>
      <c r="J15" s="82">
        <v>0.78014266499999996</v>
      </c>
      <c r="K15" s="82">
        <v>0.17781181600000001</v>
      </c>
      <c r="L15" s="82">
        <v>0</v>
      </c>
      <c r="M15" s="82">
        <v>0.2</v>
      </c>
      <c r="N15" s="82">
        <v>0</v>
      </c>
    </row>
    <row r="16" spans="1:46" ht="15" customHeight="1" x14ac:dyDescent="0.15">
      <c r="C16" s="82">
        <v>15</v>
      </c>
      <c r="D16"/>
      <c r="E16" s="181" t="s">
        <v>207</v>
      </c>
      <c r="F16" s="82">
        <v>0</v>
      </c>
      <c r="G16" s="82">
        <v>0.46856713300000002</v>
      </c>
      <c r="H16" s="82">
        <v>0.68695616699999995</v>
      </c>
      <c r="I16" s="82">
        <v>3.3705769999999999</v>
      </c>
      <c r="J16" s="82">
        <v>0.794977665</v>
      </c>
      <c r="K16" s="82">
        <v>0.203809664</v>
      </c>
      <c r="L16" s="82">
        <v>0</v>
      </c>
      <c r="M16" s="82">
        <v>0.2</v>
      </c>
      <c r="N16" s="82">
        <v>0</v>
      </c>
    </row>
    <row r="17" spans="1:22" ht="15" customHeight="1" x14ac:dyDescent="0.15">
      <c r="C17" s="82">
        <v>16</v>
      </c>
      <c r="D17"/>
      <c r="E17" s="181" t="s">
        <v>208</v>
      </c>
      <c r="F17" s="82">
        <v>0</v>
      </c>
      <c r="G17" s="82">
        <v>0.257375568</v>
      </c>
      <c r="H17" s="82">
        <v>1.2645243399999999</v>
      </c>
      <c r="I17" s="82">
        <v>4.2039585099999996</v>
      </c>
      <c r="J17" s="82">
        <v>0.66435646999999998</v>
      </c>
      <c r="K17" s="82">
        <v>0.30079373700000001</v>
      </c>
      <c r="L17" s="82">
        <v>0</v>
      </c>
      <c r="M17" s="82">
        <v>0.2</v>
      </c>
      <c r="N17" s="82">
        <v>0</v>
      </c>
      <c r="V17" s="1" t="s">
        <v>30</v>
      </c>
    </row>
    <row r="18" spans="1:22" ht="15" customHeight="1" x14ac:dyDescent="0.15">
      <c r="C18" s="82">
        <v>17</v>
      </c>
      <c r="D18"/>
      <c r="E18" s="181" t="s">
        <v>209</v>
      </c>
      <c r="F18" s="82">
        <v>0</v>
      </c>
      <c r="G18" s="82">
        <v>0.28859449999999998</v>
      </c>
      <c r="H18" s="82">
        <v>0.6779773</v>
      </c>
      <c r="I18" s="82">
        <v>3.9860434499999999</v>
      </c>
      <c r="J18" s="82">
        <v>0.75192230000000004</v>
      </c>
      <c r="K18" s="82">
        <v>0.17008778499999999</v>
      </c>
      <c r="L18" s="82">
        <v>0</v>
      </c>
      <c r="M18" s="82">
        <v>0.2</v>
      </c>
      <c r="N18" s="82">
        <v>0</v>
      </c>
      <c r="V18" s="1"/>
    </row>
    <row r="19" spans="1:22" ht="15" customHeight="1" x14ac:dyDescent="0.15">
      <c r="C19" s="82">
        <v>18</v>
      </c>
      <c r="D19"/>
      <c r="E19" s="181" t="s">
        <v>210</v>
      </c>
      <c r="F19" s="82">
        <v>0</v>
      </c>
      <c r="G19" s="82">
        <v>0.90881869999999998</v>
      </c>
      <c r="H19" s="82">
        <v>0.87149226700000004</v>
      </c>
      <c r="I19" s="82">
        <v>3.9360432599999999</v>
      </c>
      <c r="J19" s="82">
        <v>0.97429889999999997</v>
      </c>
      <c r="K19" s="82">
        <v>0.22141328499999999</v>
      </c>
      <c r="L19" s="82">
        <v>0</v>
      </c>
      <c r="M19" s="82">
        <v>0.2</v>
      </c>
      <c r="N19" s="82">
        <v>0</v>
      </c>
    </row>
    <row r="20" spans="1:22" ht="15" customHeight="1" thickBot="1" x14ac:dyDescent="0.2">
      <c r="C20" s="82">
        <v>19</v>
      </c>
      <c r="D20"/>
      <c r="E20" s="181" t="s">
        <v>211</v>
      </c>
      <c r="F20" s="82">
        <v>0</v>
      </c>
      <c r="G20" s="82">
        <v>0.4935773</v>
      </c>
      <c r="H20" s="82">
        <v>1.24</v>
      </c>
      <c r="I20" s="82">
        <v>4.7245600000000003</v>
      </c>
      <c r="J20" s="82">
        <v>0.93601630000000002</v>
      </c>
      <c r="K20" s="82">
        <v>0.26245832400000002</v>
      </c>
      <c r="L20" s="82">
        <v>0</v>
      </c>
      <c r="M20" s="82">
        <v>0.2</v>
      </c>
      <c r="N20" s="82">
        <v>0</v>
      </c>
    </row>
    <row r="21" spans="1:22" ht="15" customHeight="1" thickBot="1" x14ac:dyDescent="0.2">
      <c r="A21" s="46" t="s">
        <v>137</v>
      </c>
      <c r="B21" s="100"/>
      <c r="C21" s="82">
        <v>20</v>
      </c>
      <c r="D21"/>
      <c r="E21" s="181" t="s">
        <v>212</v>
      </c>
      <c r="F21" s="82">
        <v>0</v>
      </c>
      <c r="G21" s="82">
        <v>0.40211132199999999</v>
      </c>
      <c r="H21" s="82">
        <v>0.70520025500000005</v>
      </c>
      <c r="I21" s="82">
        <v>2.48971462</v>
      </c>
      <c r="J21" s="82">
        <v>0.96842079999999997</v>
      </c>
      <c r="K21" s="82">
        <v>0.28324539999999998</v>
      </c>
      <c r="L21" s="82">
        <v>0</v>
      </c>
      <c r="M21" s="82">
        <v>0.2</v>
      </c>
      <c r="N21" s="82">
        <v>0</v>
      </c>
    </row>
    <row r="22" spans="1:22" ht="15" customHeight="1" x14ac:dyDescent="0.15">
      <c r="A22" s="101" t="s">
        <v>58</v>
      </c>
      <c r="B22" s="102">
        <v>0</v>
      </c>
      <c r="C22" s="82">
        <v>21</v>
      </c>
      <c r="D22"/>
      <c r="E22" s="181" t="s">
        <v>213</v>
      </c>
      <c r="F22" s="82">
        <v>0</v>
      </c>
      <c r="G22" s="82">
        <v>0.34488153500000002</v>
      </c>
      <c r="H22" s="82">
        <v>1.1059416500000001</v>
      </c>
      <c r="I22" s="82">
        <v>8.6654800000000005</v>
      </c>
      <c r="J22" s="82">
        <v>0.95886683500000003</v>
      </c>
      <c r="K22" s="82">
        <v>0.127626136</v>
      </c>
      <c r="L22" s="82">
        <v>0</v>
      </c>
      <c r="M22" s="82">
        <v>0.2</v>
      </c>
      <c r="N22" s="82">
        <v>0</v>
      </c>
    </row>
    <row r="23" spans="1:22" ht="15" customHeight="1" x14ac:dyDescent="0.15">
      <c r="A23" s="101" t="s">
        <v>59</v>
      </c>
      <c r="B23" s="102">
        <v>1</v>
      </c>
      <c r="C23" s="82">
        <v>22</v>
      </c>
      <c r="D23"/>
      <c r="E23" s="181" t="s">
        <v>214</v>
      </c>
      <c r="F23" s="82">
        <v>0</v>
      </c>
      <c r="G23" s="82">
        <v>1.3266048399999999</v>
      </c>
      <c r="H23" s="82">
        <v>1.6878364100000001</v>
      </c>
      <c r="I23" s="82">
        <v>6.3353753099999999</v>
      </c>
      <c r="J23" s="82">
        <v>0.99726890000000001</v>
      </c>
      <c r="K23" s="82">
        <v>0.26641458299999998</v>
      </c>
      <c r="L23" s="82">
        <v>0</v>
      </c>
      <c r="M23" s="82">
        <v>0.2</v>
      </c>
      <c r="N23" s="82">
        <v>0</v>
      </c>
    </row>
    <row r="24" spans="1:22" ht="15" customHeight="1" x14ac:dyDescent="0.15">
      <c r="A24" s="101" t="s">
        <v>60</v>
      </c>
      <c r="B24" s="102">
        <v>2</v>
      </c>
      <c r="C24" s="82">
        <v>23</v>
      </c>
      <c r="D24"/>
      <c r="E24" s="181" t="s">
        <v>215</v>
      </c>
      <c r="F24" s="82">
        <v>0</v>
      </c>
      <c r="G24" s="82">
        <v>0.35381677700000003</v>
      </c>
      <c r="H24" s="82">
        <v>0.774715245</v>
      </c>
      <c r="I24" s="82">
        <v>4.7875249999999996</v>
      </c>
      <c r="J24" s="82">
        <v>0.81983989999999995</v>
      </c>
      <c r="K24" s="82">
        <v>0.161819562</v>
      </c>
      <c r="L24" s="82">
        <v>0</v>
      </c>
      <c r="M24" s="82">
        <v>0.2</v>
      </c>
      <c r="N24" s="82">
        <v>0</v>
      </c>
    </row>
    <row r="25" spans="1:22" ht="15" customHeight="1" thickBot="1" x14ac:dyDescent="0.2">
      <c r="A25" s="103" t="s">
        <v>44</v>
      </c>
      <c r="B25" s="104">
        <v>3</v>
      </c>
      <c r="C25" s="82">
        <v>24</v>
      </c>
      <c r="D25"/>
      <c r="E25" s="181" t="s">
        <v>216</v>
      </c>
      <c r="F25" s="82">
        <v>0</v>
      </c>
      <c r="G25" s="82">
        <v>1.14162612</v>
      </c>
      <c r="H25" s="82">
        <v>0.70837539999999999</v>
      </c>
      <c r="I25" s="82">
        <v>3.0254797899999999</v>
      </c>
      <c r="J25" s="82">
        <v>0.90098339999999999</v>
      </c>
      <c r="K25" s="82">
        <v>0.234136552</v>
      </c>
      <c r="L25" s="82">
        <v>0</v>
      </c>
      <c r="M25" s="82">
        <v>0.2</v>
      </c>
      <c r="N25" s="82">
        <v>0</v>
      </c>
    </row>
    <row r="26" spans="1:22" ht="15" customHeight="1" x14ac:dyDescent="0.15">
      <c r="A26" s="105" t="s">
        <v>140</v>
      </c>
      <c r="C26" s="82">
        <v>25</v>
      </c>
      <c r="D26"/>
      <c r="E26" s="181" t="s">
        <v>217</v>
      </c>
      <c r="F26" s="82">
        <v>0</v>
      </c>
      <c r="G26" s="82">
        <v>0.11487077900000001</v>
      </c>
      <c r="H26" s="82">
        <v>1.0946829300000001</v>
      </c>
      <c r="I26" s="82">
        <v>3.2405189999999999</v>
      </c>
      <c r="J26" s="82">
        <v>0.99535490000000004</v>
      </c>
      <c r="K26" s="82">
        <v>0.33781099999999997</v>
      </c>
      <c r="L26" s="82">
        <v>0</v>
      </c>
      <c r="M26" s="82">
        <v>0.2</v>
      </c>
      <c r="N26" s="82">
        <v>0</v>
      </c>
    </row>
    <row r="27" spans="1:22" ht="15" customHeight="1" x14ac:dyDescent="0.15">
      <c r="C27" s="82">
        <v>26</v>
      </c>
      <c r="D27"/>
      <c r="E27" s="181" t="s">
        <v>218</v>
      </c>
      <c r="F27" s="82">
        <v>0</v>
      </c>
      <c r="G27" s="82">
        <v>0.85</v>
      </c>
      <c r="H27" s="82">
        <v>0.40189397300000002</v>
      </c>
      <c r="I27" s="82">
        <v>3.0118839999999998</v>
      </c>
      <c r="J27" s="82">
        <v>0.87499629999999995</v>
      </c>
      <c r="K27" s="82">
        <v>0.13343606899999999</v>
      </c>
      <c r="L27" s="82">
        <v>0</v>
      </c>
      <c r="M27" s="82">
        <v>0.2</v>
      </c>
      <c r="N27" s="82">
        <v>0</v>
      </c>
    </row>
    <row r="28" spans="1:22" ht="15" customHeight="1" x14ac:dyDescent="0.15">
      <c r="C28" s="82">
        <v>27</v>
      </c>
      <c r="D28"/>
      <c r="E28" s="181" t="s">
        <v>219</v>
      </c>
      <c r="F28" s="82">
        <v>0</v>
      </c>
      <c r="G28" s="82">
        <v>0.297819167</v>
      </c>
      <c r="H28" s="82">
        <v>0.95917909999999995</v>
      </c>
      <c r="I28" s="82">
        <v>2.8609619999999998</v>
      </c>
      <c r="J28" s="82">
        <v>0.754620552</v>
      </c>
      <c r="K28" s="82">
        <v>0.335264534</v>
      </c>
      <c r="L28" s="82">
        <v>0</v>
      </c>
      <c r="M28" s="82">
        <v>0.2</v>
      </c>
      <c r="N28" s="82">
        <v>0</v>
      </c>
    </row>
    <row r="29" spans="1:22" customFormat="1" ht="15" customHeight="1" x14ac:dyDescent="0.15">
      <c r="C29" s="82">
        <v>28</v>
      </c>
      <c r="E29" s="181" t="s">
        <v>220</v>
      </c>
      <c r="F29" s="82">
        <v>0</v>
      </c>
      <c r="G29" s="82">
        <v>0.4566944</v>
      </c>
      <c r="H29" s="82">
        <v>0.36653449999999999</v>
      </c>
      <c r="I29" s="82">
        <v>1.9780304399999999</v>
      </c>
      <c r="J29" s="82">
        <v>0.93952536600000003</v>
      </c>
      <c r="K29" s="82">
        <v>0.18530276400000001</v>
      </c>
      <c r="L29" s="82">
        <v>0</v>
      </c>
      <c r="M29" s="82">
        <v>0.2</v>
      </c>
      <c r="N29" s="82">
        <v>0</v>
      </c>
    </row>
    <row r="30" spans="1:22" customFormat="1" ht="15" customHeight="1" x14ac:dyDescent="0.15">
      <c r="C30" s="82">
        <v>29</v>
      </c>
      <c r="E30" s="181" t="s">
        <v>221</v>
      </c>
      <c r="F30" s="82">
        <v>0</v>
      </c>
      <c r="G30" s="82">
        <v>0.5</v>
      </c>
      <c r="H30" s="82">
        <v>0.25426253700000001</v>
      </c>
      <c r="I30" s="82">
        <v>2.2065800000000002</v>
      </c>
      <c r="J30" s="82">
        <v>0.8528133</v>
      </c>
      <c r="K30" s="82">
        <v>0.115229242</v>
      </c>
      <c r="L30" s="82">
        <v>0</v>
      </c>
      <c r="M30" s="82">
        <v>0.2</v>
      </c>
      <c r="N30" s="82">
        <v>0</v>
      </c>
    </row>
    <row r="31" spans="1:22" customFormat="1" ht="15" customHeight="1" x14ac:dyDescent="0.15">
      <c r="C31" s="82">
        <v>30</v>
      </c>
      <c r="E31" s="181" t="s">
        <v>222</v>
      </c>
      <c r="F31" s="82">
        <v>0</v>
      </c>
      <c r="G31" s="82">
        <v>0.100509025</v>
      </c>
      <c r="H31" s="82">
        <v>0.223831266</v>
      </c>
      <c r="I31" s="82">
        <v>2.1011912800000001</v>
      </c>
      <c r="J31" s="82">
        <v>0.24375727799999999</v>
      </c>
      <c r="K31" s="82">
        <v>0.106525891</v>
      </c>
      <c r="L31" s="82">
        <v>0</v>
      </c>
      <c r="M31" s="82">
        <v>0.2</v>
      </c>
      <c r="N31" s="82">
        <v>0</v>
      </c>
    </row>
    <row r="32" spans="1:22" customFormat="1" ht="15" customHeight="1" x14ac:dyDescent="0.15">
      <c r="C32" s="82">
        <v>31</v>
      </c>
      <c r="E32" s="181" t="s">
        <v>223</v>
      </c>
      <c r="F32" s="82">
        <v>0</v>
      </c>
      <c r="G32" s="82">
        <v>0.18120837200000001</v>
      </c>
      <c r="H32" s="82">
        <v>0.25279006399999998</v>
      </c>
      <c r="I32" s="82">
        <v>2.6281974300000002</v>
      </c>
      <c r="J32" s="82">
        <v>0.757079065</v>
      </c>
      <c r="K32" s="82">
        <v>9.6183820000000003E-2</v>
      </c>
      <c r="L32" s="82">
        <v>0</v>
      </c>
      <c r="M32" s="82">
        <v>0.2</v>
      </c>
      <c r="N32" s="82">
        <v>0</v>
      </c>
    </row>
    <row r="33" spans="3:14" customFormat="1" ht="15" customHeight="1" x14ac:dyDescent="0.15">
      <c r="C33" s="82">
        <v>32</v>
      </c>
      <c r="E33" s="181" t="s">
        <v>224</v>
      </c>
      <c r="F33" s="82">
        <v>0</v>
      </c>
      <c r="G33" s="82">
        <v>0.40781915200000002</v>
      </c>
      <c r="H33" s="82">
        <v>0.81659036900000004</v>
      </c>
      <c r="I33" s="82">
        <v>5.8698839999999999</v>
      </c>
      <c r="J33" s="82">
        <v>0.95477896900000003</v>
      </c>
      <c r="K33" s="82">
        <v>0.139115244</v>
      </c>
      <c r="L33" s="82">
        <v>0</v>
      </c>
      <c r="M33" s="82">
        <v>0.2</v>
      </c>
      <c r="N33" s="82">
        <v>0</v>
      </c>
    </row>
    <row r="34" spans="3:14" customFormat="1" ht="15" customHeight="1" x14ac:dyDescent="0.15">
      <c r="C34" s="82">
        <v>33</v>
      </c>
      <c r="E34" s="181" t="s">
        <v>225</v>
      </c>
      <c r="F34" s="82">
        <v>0</v>
      </c>
      <c r="G34" s="82">
        <v>0.15</v>
      </c>
      <c r="H34" s="82">
        <v>3.5</v>
      </c>
      <c r="I34" s="82">
        <v>15</v>
      </c>
      <c r="J34" s="82">
        <v>0.54000735300000002</v>
      </c>
      <c r="K34" s="82">
        <v>0.233333334</v>
      </c>
      <c r="L34" s="82">
        <v>0</v>
      </c>
      <c r="M34" s="82">
        <v>0.2</v>
      </c>
      <c r="N34" s="82">
        <v>0</v>
      </c>
    </row>
    <row r="35" spans="3:14" customFormat="1" ht="15" customHeight="1" x14ac:dyDescent="0.15">
      <c r="C35" s="82">
        <v>34</v>
      </c>
      <c r="E35" s="181" t="s">
        <v>226</v>
      </c>
      <c r="F35" s="82">
        <v>0</v>
      </c>
      <c r="G35" s="82">
        <v>0.1</v>
      </c>
      <c r="H35" s="82">
        <v>3</v>
      </c>
      <c r="I35" s="82">
        <v>15</v>
      </c>
      <c r="J35" s="82">
        <v>0.91555920000000002</v>
      </c>
      <c r="K35" s="82">
        <v>0.2</v>
      </c>
      <c r="L35" s="82">
        <v>0</v>
      </c>
      <c r="M35" s="82">
        <v>0.2</v>
      </c>
      <c r="N35" s="82">
        <v>0</v>
      </c>
    </row>
    <row r="36" spans="3:14" customFormat="1" ht="15" customHeight="1" x14ac:dyDescent="0.15">
      <c r="C36" s="82">
        <v>35</v>
      </c>
      <c r="E36" s="181" t="s">
        <v>227</v>
      </c>
      <c r="F36" s="82">
        <v>0</v>
      </c>
      <c r="G36" s="82">
        <v>9.9060100000000002E-4</v>
      </c>
      <c r="H36" s="82">
        <v>0.28000000000000003</v>
      </c>
      <c r="I36" s="82">
        <v>69.203490000000002</v>
      </c>
      <c r="J36" s="82">
        <v>0</v>
      </c>
      <c r="K36" s="82">
        <v>4.0460387199999998E-3</v>
      </c>
      <c r="L36" s="82">
        <v>0</v>
      </c>
      <c r="M36" s="82">
        <v>0.2</v>
      </c>
      <c r="N36" s="82">
        <v>0</v>
      </c>
    </row>
    <row r="37" spans="3:14" customFormat="1" ht="15" customHeight="1" x14ac:dyDescent="0.15">
      <c r="C37" s="82">
        <v>36</v>
      </c>
      <c r="E37" s="181" t="s">
        <v>228</v>
      </c>
      <c r="F37" s="82">
        <v>0</v>
      </c>
      <c r="G37" s="82">
        <v>5.3654920000000004E-3</v>
      </c>
      <c r="H37" s="82">
        <v>0.28000000000000003</v>
      </c>
      <c r="I37" s="82">
        <v>58.675879999999999</v>
      </c>
      <c r="J37" s="82">
        <v>0</v>
      </c>
      <c r="K37" s="82">
        <v>4.7719776600000001E-3</v>
      </c>
      <c r="L37" s="82">
        <v>0</v>
      </c>
      <c r="M37" s="82">
        <v>0.2</v>
      </c>
      <c r="N37" s="82">
        <v>0</v>
      </c>
    </row>
    <row r="38" spans="3:14" customFormat="1" ht="15" customHeight="1" x14ac:dyDescent="0.15">
      <c r="C38" s="82">
        <v>37</v>
      </c>
      <c r="E38" s="181" t="s">
        <v>229</v>
      </c>
      <c r="F38" s="82">
        <v>0</v>
      </c>
      <c r="G38" s="82">
        <v>3.30661E-4</v>
      </c>
      <c r="H38" s="82">
        <v>0.28000000000000003</v>
      </c>
      <c r="I38" s="82">
        <v>64.120254500000001</v>
      </c>
      <c r="J38" s="82">
        <v>0</v>
      </c>
      <c r="K38" s="82">
        <v>4.3667949999999997E-3</v>
      </c>
      <c r="L38" s="82">
        <v>0</v>
      </c>
      <c r="M38" s="82">
        <v>0.2</v>
      </c>
      <c r="N38" s="82">
        <v>0</v>
      </c>
    </row>
    <row r="39" spans="3:14" customFormat="1" ht="15" customHeight="1" x14ac:dyDescent="0.15">
      <c r="C39" s="82">
        <v>38</v>
      </c>
      <c r="E39" s="181" t="s">
        <v>230</v>
      </c>
      <c r="F39" s="82">
        <v>0</v>
      </c>
      <c r="G39" s="82">
        <v>4.85401E-4</v>
      </c>
      <c r="H39" s="82">
        <v>0.04</v>
      </c>
      <c r="I39" s="82">
        <v>15.9</v>
      </c>
      <c r="J39" s="82">
        <v>0</v>
      </c>
      <c r="K39" s="82">
        <v>2.51572323E-3</v>
      </c>
      <c r="L39" s="82">
        <v>0</v>
      </c>
      <c r="M39" s="82">
        <v>0.2</v>
      </c>
      <c r="N39" s="82">
        <v>0</v>
      </c>
    </row>
    <row r="40" spans="3:14" customFormat="1" ht="15" customHeight="1" x14ac:dyDescent="0.15">
      <c r="C40" s="82">
        <v>39</v>
      </c>
      <c r="E40" s="181" t="s">
        <v>231</v>
      </c>
      <c r="F40" s="82">
        <v>0</v>
      </c>
      <c r="G40" s="82">
        <v>9.4951800000000006E-3</v>
      </c>
      <c r="H40" s="82">
        <v>0.04</v>
      </c>
      <c r="I40" s="82">
        <v>40.700000000000003</v>
      </c>
      <c r="J40" s="82">
        <v>0</v>
      </c>
      <c r="K40" s="82">
        <v>9.8280099999999994E-4</v>
      </c>
      <c r="L40" s="82">
        <v>0</v>
      </c>
      <c r="M40" s="82">
        <v>0.2</v>
      </c>
      <c r="N40" s="82">
        <v>0</v>
      </c>
    </row>
    <row r="41" spans="3:14" customFormat="1" ht="15" customHeight="1" x14ac:dyDescent="0.15">
      <c r="C41" s="82">
        <v>40</v>
      </c>
      <c r="E41" s="181" t="s">
        <v>232</v>
      </c>
      <c r="F41" s="82">
        <v>0</v>
      </c>
      <c r="G41" s="82">
        <v>6.0245569999999998E-3</v>
      </c>
      <c r="H41" s="82">
        <v>0.08</v>
      </c>
      <c r="I41" s="82">
        <v>23.64</v>
      </c>
      <c r="J41" s="82">
        <v>0</v>
      </c>
      <c r="K41" s="82">
        <v>3.3840946900000001E-3</v>
      </c>
      <c r="L41" s="82">
        <v>0</v>
      </c>
      <c r="M41" s="82">
        <v>0.2</v>
      </c>
      <c r="N41" s="82">
        <v>0</v>
      </c>
    </row>
    <row r="42" spans="3:14" customFormat="1" ht="15" customHeight="1" x14ac:dyDescent="0.15">
      <c r="C42" s="82">
        <v>41</v>
      </c>
      <c r="E42" s="181" t="s">
        <v>233</v>
      </c>
      <c r="F42" s="82">
        <v>2</v>
      </c>
      <c r="G42" s="82">
        <v>2.5000000000000001E-2</v>
      </c>
      <c r="H42" s="82">
        <v>0.08</v>
      </c>
      <c r="I42" s="82">
        <v>0</v>
      </c>
      <c r="J42" s="82">
        <v>0.77597355800000001</v>
      </c>
      <c r="K42" s="82">
        <v>0</v>
      </c>
      <c r="L42" s="82">
        <v>0</v>
      </c>
      <c r="M42" s="82">
        <v>0.2</v>
      </c>
      <c r="N42" s="82">
        <v>0</v>
      </c>
    </row>
    <row r="43" spans="3:14" customFormat="1" ht="15" customHeight="1" x14ac:dyDescent="0.15">
      <c r="C43" s="82">
        <v>42</v>
      </c>
      <c r="E43" s="181" t="s">
        <v>234</v>
      </c>
      <c r="F43" s="82">
        <v>2</v>
      </c>
      <c r="G43" s="82">
        <v>10</v>
      </c>
      <c r="H43" s="82">
        <v>0</v>
      </c>
      <c r="I43" s="82">
        <v>0</v>
      </c>
      <c r="J43" s="82">
        <v>0</v>
      </c>
      <c r="K43" s="82">
        <v>0</v>
      </c>
      <c r="L43" s="82">
        <v>0</v>
      </c>
      <c r="M43" s="82">
        <v>0</v>
      </c>
      <c r="N43" s="82">
        <v>0</v>
      </c>
    </row>
    <row r="44" spans="3:14" customFormat="1" ht="15" customHeight="1" x14ac:dyDescent="0.15">
      <c r="C44" s="82">
        <v>43</v>
      </c>
      <c r="E44" s="181" t="s">
        <v>235</v>
      </c>
      <c r="F44" s="82">
        <v>2</v>
      </c>
      <c r="G44" s="82">
        <v>5</v>
      </c>
      <c r="H44" s="82">
        <v>0</v>
      </c>
      <c r="I44" s="82">
        <v>0</v>
      </c>
      <c r="J44" s="82">
        <v>0</v>
      </c>
      <c r="K44" s="82">
        <v>0</v>
      </c>
      <c r="L44" s="82">
        <v>0</v>
      </c>
      <c r="M44" s="82">
        <v>0</v>
      </c>
      <c r="N44" s="82">
        <v>0</v>
      </c>
    </row>
    <row r="45" spans="3:14" customFormat="1" ht="15" customHeight="1" x14ac:dyDescent="0.15">
      <c r="C45" s="82">
        <v>44</v>
      </c>
      <c r="E45" s="181" t="s">
        <v>236</v>
      </c>
      <c r="F45" s="82">
        <v>3</v>
      </c>
      <c r="G45" s="82">
        <v>0</v>
      </c>
      <c r="H45" s="82">
        <v>0</v>
      </c>
      <c r="I45" s="82">
        <v>0</v>
      </c>
      <c r="J45" s="82">
        <v>0</v>
      </c>
      <c r="K45" s="82">
        <v>0</v>
      </c>
      <c r="L45" s="82">
        <v>0</v>
      </c>
      <c r="M45" s="82">
        <v>0</v>
      </c>
      <c r="N45" s="82">
        <v>0</v>
      </c>
    </row>
    <row r="46" spans="3:14" customFormat="1" ht="15" customHeight="1" x14ac:dyDescent="0.15">
      <c r="C46" s="82">
        <v>45</v>
      </c>
      <c r="E46" s="181" t="s">
        <v>237</v>
      </c>
      <c r="F46" s="82">
        <v>3</v>
      </c>
      <c r="G46" s="82">
        <v>0</v>
      </c>
      <c r="H46" s="82">
        <v>0</v>
      </c>
      <c r="I46" s="82">
        <v>0</v>
      </c>
      <c r="J46" s="82">
        <v>0</v>
      </c>
      <c r="K46" s="82">
        <v>0</v>
      </c>
      <c r="L46" s="82">
        <v>0</v>
      </c>
      <c r="M46" s="82">
        <v>0</v>
      </c>
      <c r="N46" s="82">
        <v>0</v>
      </c>
    </row>
    <row r="47" spans="3:14" customFormat="1" ht="15" customHeight="1" x14ac:dyDescent="0.15">
      <c r="C47" s="82">
        <v>46</v>
      </c>
      <c r="E47" s="181" t="s">
        <v>238</v>
      </c>
      <c r="F47" s="82">
        <v>3</v>
      </c>
      <c r="G47" s="82">
        <v>0</v>
      </c>
      <c r="H47" s="82">
        <v>0</v>
      </c>
      <c r="I47" s="82">
        <v>0</v>
      </c>
      <c r="J47" s="82">
        <v>0</v>
      </c>
      <c r="K47" s="82">
        <v>0</v>
      </c>
      <c r="L47" s="82">
        <v>0</v>
      </c>
      <c r="M47" s="82">
        <v>0</v>
      </c>
      <c r="N47" s="82">
        <v>0</v>
      </c>
    </row>
    <row r="48" spans="3:14" customFormat="1" ht="15" customHeight="1" x14ac:dyDescent="0.15">
      <c r="C48" s="82">
        <v>47</v>
      </c>
      <c r="E48" s="181" t="s">
        <v>239</v>
      </c>
      <c r="F48" s="82">
        <v>3</v>
      </c>
      <c r="G48" s="82">
        <v>0</v>
      </c>
      <c r="H48" s="82">
        <v>0</v>
      </c>
      <c r="I48" s="82">
        <v>0</v>
      </c>
      <c r="J48" s="82">
        <v>0</v>
      </c>
      <c r="K48" s="82">
        <v>0</v>
      </c>
      <c r="L48" s="82">
        <v>0</v>
      </c>
      <c r="M48" s="82">
        <v>0</v>
      </c>
      <c r="N48" s="82">
        <v>0</v>
      </c>
    </row>
    <row r="49" spans="3:14" customFormat="1" ht="15" customHeight="1" x14ac:dyDescent="0.15">
      <c r="C49" s="82">
        <v>48</v>
      </c>
      <c r="E49" s="181" t="s">
        <v>240</v>
      </c>
      <c r="F49" s="82">
        <v>3</v>
      </c>
      <c r="G49" s="82">
        <v>0</v>
      </c>
      <c r="H49" s="82">
        <v>0</v>
      </c>
      <c r="I49" s="82">
        <v>0</v>
      </c>
      <c r="J49" s="82">
        <v>0</v>
      </c>
      <c r="K49" s="82">
        <v>0</v>
      </c>
      <c r="L49" s="82">
        <v>0</v>
      </c>
      <c r="M49" s="82">
        <v>0</v>
      </c>
      <c r="N49" s="82">
        <v>0</v>
      </c>
    </row>
    <row r="50" spans="3:14" customFormat="1" ht="15" customHeight="1" x14ac:dyDescent="0.15">
      <c r="C50" s="82">
        <v>49</v>
      </c>
      <c r="E50" s="181" t="s">
        <v>241</v>
      </c>
      <c r="F50" s="82">
        <v>3</v>
      </c>
      <c r="G50" s="82">
        <v>0</v>
      </c>
      <c r="H50" s="82">
        <v>0</v>
      </c>
      <c r="I50" s="82">
        <v>0</v>
      </c>
      <c r="J50" s="82">
        <v>0</v>
      </c>
      <c r="K50" s="82">
        <v>0</v>
      </c>
      <c r="L50" s="82">
        <v>0</v>
      </c>
      <c r="M50" s="82">
        <v>0</v>
      </c>
      <c r="N50" s="82">
        <v>0</v>
      </c>
    </row>
    <row r="51" spans="3:14" customFormat="1" ht="15" customHeight="1" x14ac:dyDescent="0.15"/>
    <row r="52" spans="3:14" customFormat="1" ht="15" customHeight="1" x14ac:dyDescent="0.15"/>
    <row r="53" spans="3:14" customFormat="1" ht="15" customHeight="1" x14ac:dyDescent="0.15"/>
    <row r="54" spans="3:14" customFormat="1" ht="15" customHeight="1" x14ac:dyDescent="0.15"/>
    <row r="55" spans="3:14" customFormat="1" ht="15" customHeight="1" x14ac:dyDescent="0.15"/>
    <row r="56" spans="3:14" customFormat="1" ht="15" customHeight="1" x14ac:dyDescent="0.15"/>
    <row r="57" spans="3:14" customFormat="1" ht="15" customHeight="1" x14ac:dyDescent="0.15"/>
    <row r="58" spans="3:14" customFormat="1" ht="15" customHeight="1" x14ac:dyDescent="0.15"/>
    <row r="59" spans="3:14" customFormat="1" ht="15" customHeight="1" x14ac:dyDescent="0.15"/>
    <row r="60" spans="3:14" customFormat="1" ht="15" customHeight="1" x14ac:dyDescent="0.15"/>
    <row r="61" spans="3:14" customFormat="1" ht="15" customHeight="1" x14ac:dyDescent="0.15"/>
    <row r="62" spans="3:14" customFormat="1" ht="15" customHeight="1" x14ac:dyDescent="0.15"/>
    <row r="63" spans="3:14" customFormat="1" ht="15" customHeight="1" x14ac:dyDescent="0.15"/>
    <row r="64" spans="3:1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R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35" style="147" bestFit="1" customWidth="1"/>
    <col min="2" max="2" width="2.33203125" style="147" bestFit="1" customWidth="1"/>
    <col min="3" max="3" width="3.83203125" style="147" bestFit="1" customWidth="1"/>
    <col min="4" max="4" width="5.83203125" style="147" bestFit="1" customWidth="1"/>
    <col min="5" max="5" width="6.83203125" style="147" bestFit="1" customWidth="1"/>
    <col min="6" max="6" width="5.83203125" style="147" bestFit="1" customWidth="1"/>
    <col min="7" max="7" width="4.83203125" style="147" bestFit="1" customWidth="1"/>
    <col min="8" max="8" width="5.83203125" style="147" bestFit="1" customWidth="1"/>
    <col min="9" max="9" width="2.33203125" style="147" bestFit="1" customWidth="1"/>
    <col min="10" max="10" width="3.83203125" style="147" bestFit="1" customWidth="1"/>
    <col min="11" max="11" width="4.83203125" style="147" bestFit="1" customWidth="1"/>
    <col min="12" max="12" width="5.83203125" style="147" bestFit="1" customWidth="1"/>
    <col min="13" max="13" width="15.83203125" style="147" bestFit="1" customWidth="1"/>
    <col min="14" max="14" width="13.83203125" style="147" bestFit="1" customWidth="1"/>
    <col min="15" max="18" width="14.83203125" style="147" bestFit="1" customWidth="1"/>
    <col min="19" max="19" width="15.83203125" style="147" bestFit="1" customWidth="1"/>
    <col min="20" max="20" width="14.83203125" style="147" bestFit="1" customWidth="1"/>
    <col min="21" max="21" width="13.83203125" style="147" bestFit="1" customWidth="1"/>
    <col min="22" max="22" width="5.83203125" style="147" bestFit="1" customWidth="1"/>
    <col min="23" max="23" width="3.83203125" style="147" bestFit="1" customWidth="1"/>
    <col min="24" max="24" width="4.83203125" style="147" bestFit="1" customWidth="1"/>
    <col min="25" max="26" width="13.83203125" style="147" bestFit="1" customWidth="1"/>
    <col min="27" max="27" width="5.83203125" style="147" bestFit="1" customWidth="1"/>
    <col min="28" max="29" width="13.83203125" style="147" bestFit="1" customWidth="1"/>
    <col min="30" max="30" width="14.83203125" style="147" customWidth="1"/>
    <col min="31" max="31" width="15.83203125" style="147" customWidth="1"/>
    <col min="32" max="32" width="5.83203125" style="147" customWidth="1"/>
    <col min="33" max="33" width="15.83203125" style="147" customWidth="1"/>
    <col min="34" max="34" width="14.83203125" style="147" customWidth="1"/>
    <col min="35" max="35" width="15.83203125" style="147" customWidth="1"/>
    <col min="36" max="37" width="13.83203125" style="147" customWidth="1"/>
    <col min="38" max="38" width="5.83203125" style="147" customWidth="1"/>
    <col min="39" max="39" width="15.83203125" style="147" customWidth="1"/>
    <col min="40" max="40" width="6.83203125" style="147" customWidth="1"/>
    <col min="41" max="41" width="15.83203125" style="147" customWidth="1"/>
    <col min="42" max="44" width="2.33203125" style="147" customWidth="1"/>
    <col min="45" max="16384" width="8.83203125" style="147"/>
  </cols>
  <sheetData>
    <row r="1" spans="1:44" x14ac:dyDescent="0.15">
      <c r="A1" s="146" t="s">
        <v>19</v>
      </c>
      <c r="B1" s="183" t="s">
        <v>193</v>
      </c>
      <c r="C1" s="183" t="s">
        <v>194</v>
      </c>
      <c r="D1" s="183" t="s">
        <v>195</v>
      </c>
      <c r="E1" s="183" t="s">
        <v>196</v>
      </c>
      <c r="F1" s="183" t="s">
        <v>197</v>
      </c>
      <c r="G1" s="183" t="s">
        <v>198</v>
      </c>
      <c r="H1" s="183" t="s">
        <v>199</v>
      </c>
      <c r="I1" s="183" t="s">
        <v>200</v>
      </c>
      <c r="J1" s="183" t="s">
        <v>201</v>
      </c>
      <c r="K1" s="183" t="s">
        <v>202</v>
      </c>
      <c r="L1" s="183" t="s">
        <v>203</v>
      </c>
      <c r="M1" s="183" t="s">
        <v>204</v>
      </c>
      <c r="N1" s="183" t="s">
        <v>205</v>
      </c>
      <c r="O1" s="183" t="s">
        <v>206</v>
      </c>
      <c r="P1" s="183" t="s">
        <v>207</v>
      </c>
      <c r="Q1" s="183" t="s">
        <v>208</v>
      </c>
      <c r="R1" s="183" t="s">
        <v>209</v>
      </c>
      <c r="S1" s="183" t="s">
        <v>210</v>
      </c>
      <c r="T1" s="183" t="s">
        <v>211</v>
      </c>
      <c r="U1" s="183" t="s">
        <v>212</v>
      </c>
      <c r="V1" s="183" t="s">
        <v>213</v>
      </c>
      <c r="W1" s="183" t="s">
        <v>214</v>
      </c>
      <c r="X1" s="183" t="s">
        <v>215</v>
      </c>
      <c r="Y1" s="183" t="s">
        <v>216</v>
      </c>
      <c r="Z1" s="183" t="s">
        <v>217</v>
      </c>
      <c r="AA1" s="183" t="s">
        <v>218</v>
      </c>
      <c r="AB1" s="183" t="s">
        <v>219</v>
      </c>
      <c r="AC1" s="183" t="s">
        <v>220</v>
      </c>
      <c r="AD1" s="183" t="s">
        <v>221</v>
      </c>
      <c r="AE1" s="183" t="s">
        <v>222</v>
      </c>
      <c r="AF1" s="183" t="s">
        <v>223</v>
      </c>
      <c r="AG1" s="183" t="s">
        <v>224</v>
      </c>
      <c r="AH1" s="183" t="s">
        <v>225</v>
      </c>
      <c r="AI1" s="183" t="s">
        <v>226</v>
      </c>
      <c r="AJ1" s="183" t="s">
        <v>227</v>
      </c>
      <c r="AK1" s="183" t="s">
        <v>228</v>
      </c>
      <c r="AL1" s="183" t="s">
        <v>229</v>
      </c>
      <c r="AM1" s="183" t="s">
        <v>230</v>
      </c>
      <c r="AN1" s="183" t="s">
        <v>231</v>
      </c>
      <c r="AO1" s="183" t="s">
        <v>232</v>
      </c>
      <c r="AP1" s="183" t="s">
        <v>233</v>
      </c>
      <c r="AQ1" s="183" t="s">
        <v>234</v>
      </c>
      <c r="AR1" s="183" t="s">
        <v>235</v>
      </c>
    </row>
    <row r="2" spans="1:44" customFormat="1" x14ac:dyDescent="0.15">
      <c r="A2" s="182" t="s">
        <v>193</v>
      </c>
      <c r="B2" s="147">
        <v>0</v>
      </c>
      <c r="C2" s="147">
        <v>0.2</v>
      </c>
      <c r="D2" s="147">
        <v>0.94699999999999995</v>
      </c>
      <c r="E2" s="147">
        <v>0.39150000000000001</v>
      </c>
      <c r="F2" s="147">
        <v>0.15</v>
      </c>
      <c r="G2" s="147">
        <v>0.35</v>
      </c>
      <c r="H2" s="147">
        <v>0.15</v>
      </c>
      <c r="I2" s="147">
        <v>0</v>
      </c>
      <c r="J2" s="147">
        <v>0.5</v>
      </c>
      <c r="K2" s="147">
        <v>0.65</v>
      </c>
      <c r="L2" s="147">
        <v>0.4</v>
      </c>
      <c r="M2" s="147">
        <v>0</v>
      </c>
      <c r="N2" s="147">
        <v>0</v>
      </c>
      <c r="O2" s="147">
        <v>0</v>
      </c>
      <c r="P2" s="147">
        <v>0</v>
      </c>
      <c r="Q2" s="147">
        <v>0</v>
      </c>
      <c r="R2" s="147">
        <v>0</v>
      </c>
      <c r="S2" s="147">
        <v>0</v>
      </c>
      <c r="T2" s="147">
        <v>1.9997487155758984E-3</v>
      </c>
      <c r="U2" s="147">
        <v>0</v>
      </c>
      <c r="V2" s="147">
        <v>0</v>
      </c>
      <c r="W2" s="147">
        <v>0</v>
      </c>
      <c r="X2" s="147">
        <v>0</v>
      </c>
      <c r="Y2" s="147">
        <v>0</v>
      </c>
      <c r="Z2" s="147">
        <v>0</v>
      </c>
      <c r="AA2" s="147">
        <v>0</v>
      </c>
      <c r="AB2" s="147">
        <v>0</v>
      </c>
      <c r="AC2" s="147">
        <v>0</v>
      </c>
      <c r="AD2" s="147">
        <v>0</v>
      </c>
      <c r="AE2" s="147">
        <v>0</v>
      </c>
      <c r="AF2" s="147">
        <v>0</v>
      </c>
      <c r="AG2" s="147">
        <v>0</v>
      </c>
      <c r="AH2" s="147">
        <v>0</v>
      </c>
      <c r="AI2" s="147">
        <v>0</v>
      </c>
      <c r="AJ2" s="147">
        <v>0</v>
      </c>
      <c r="AK2" s="147">
        <v>0</v>
      </c>
      <c r="AL2" s="147">
        <v>0</v>
      </c>
      <c r="AM2" s="147">
        <v>0</v>
      </c>
      <c r="AN2" s="147">
        <v>0</v>
      </c>
      <c r="AO2" s="147">
        <v>0</v>
      </c>
      <c r="AP2" s="147">
        <v>0</v>
      </c>
      <c r="AQ2" s="147">
        <v>0</v>
      </c>
      <c r="AR2" s="147">
        <v>0</v>
      </c>
    </row>
    <row r="3" spans="1:44" customFormat="1" x14ac:dyDescent="0.15">
      <c r="A3" s="182" t="s">
        <v>194</v>
      </c>
      <c r="B3" s="147">
        <v>0</v>
      </c>
      <c r="C3" s="147">
        <v>0</v>
      </c>
      <c r="D3" s="147">
        <v>0</v>
      </c>
      <c r="E3" s="147">
        <v>0</v>
      </c>
      <c r="F3" s="147">
        <v>0.05</v>
      </c>
      <c r="G3" s="147">
        <v>0.05</v>
      </c>
      <c r="H3" s="147">
        <v>0.1</v>
      </c>
      <c r="I3" s="147">
        <v>0</v>
      </c>
      <c r="J3" s="147">
        <v>0</v>
      </c>
      <c r="K3" s="147">
        <v>0</v>
      </c>
      <c r="L3" s="147">
        <v>7.4999999999999997E-2</v>
      </c>
      <c r="M3" s="147">
        <v>0</v>
      </c>
      <c r="N3" s="147">
        <v>0</v>
      </c>
      <c r="O3" s="147">
        <v>0</v>
      </c>
      <c r="P3" s="147">
        <v>0</v>
      </c>
      <c r="Q3" s="147">
        <v>0</v>
      </c>
      <c r="R3" s="147">
        <v>0</v>
      </c>
      <c r="S3" s="147">
        <v>0</v>
      </c>
      <c r="T3" s="147">
        <v>0</v>
      </c>
      <c r="U3" s="147">
        <v>0</v>
      </c>
      <c r="V3" s="147">
        <v>0</v>
      </c>
      <c r="W3" s="147">
        <v>0</v>
      </c>
      <c r="X3" s="147">
        <v>0</v>
      </c>
      <c r="Y3" s="147">
        <v>0</v>
      </c>
      <c r="Z3" s="147">
        <v>0</v>
      </c>
      <c r="AA3" s="147">
        <v>0</v>
      </c>
      <c r="AB3" s="147">
        <v>0</v>
      </c>
      <c r="AC3" s="147">
        <v>0</v>
      </c>
      <c r="AD3" s="147">
        <v>0</v>
      </c>
      <c r="AE3" s="147">
        <v>0</v>
      </c>
      <c r="AF3" s="147">
        <v>0</v>
      </c>
      <c r="AG3" s="147">
        <v>0</v>
      </c>
      <c r="AH3" s="147">
        <v>0</v>
      </c>
      <c r="AI3" s="147">
        <v>0</v>
      </c>
      <c r="AJ3" s="147">
        <v>0</v>
      </c>
      <c r="AK3" s="147">
        <v>0</v>
      </c>
      <c r="AL3" s="147">
        <v>0</v>
      </c>
      <c r="AM3" s="147">
        <v>0</v>
      </c>
      <c r="AN3" s="147">
        <v>0</v>
      </c>
      <c r="AO3" s="147">
        <v>0</v>
      </c>
      <c r="AP3" s="147">
        <v>0</v>
      </c>
      <c r="AQ3" s="147">
        <v>0</v>
      </c>
      <c r="AR3" s="147">
        <v>0</v>
      </c>
    </row>
    <row r="4" spans="1:44" customFormat="1" x14ac:dyDescent="0.15">
      <c r="A4" s="182" t="s">
        <v>195</v>
      </c>
      <c r="B4" s="147">
        <v>0</v>
      </c>
      <c r="C4" s="147">
        <v>0</v>
      </c>
      <c r="D4" s="147">
        <v>5.2999999999999999E-2</v>
      </c>
      <c r="E4" s="147">
        <v>0.52449999999999997</v>
      </c>
      <c r="F4" s="147">
        <v>2.5000000000000001E-2</v>
      </c>
      <c r="G4" s="147">
        <v>0.2</v>
      </c>
      <c r="H4" s="147">
        <v>2.5000000000000001E-2</v>
      </c>
      <c r="I4" s="147">
        <v>0</v>
      </c>
      <c r="J4" s="147">
        <v>0</v>
      </c>
      <c r="K4" s="147">
        <v>0.05</v>
      </c>
      <c r="L4" s="147">
        <v>0.15</v>
      </c>
      <c r="M4" s="147">
        <v>0</v>
      </c>
      <c r="N4" s="147">
        <v>0</v>
      </c>
      <c r="O4" s="147">
        <v>0</v>
      </c>
      <c r="P4" s="147">
        <v>0</v>
      </c>
      <c r="Q4" s="147">
        <v>1.0000000430000018E-3</v>
      </c>
      <c r="R4" s="147">
        <v>0</v>
      </c>
      <c r="S4" s="147">
        <v>0</v>
      </c>
      <c r="T4" s="147">
        <v>0.61692247875516459</v>
      </c>
      <c r="U4" s="147">
        <v>0</v>
      </c>
      <c r="V4" s="147">
        <v>0.39500000000000002</v>
      </c>
      <c r="W4" s="147">
        <v>0.4</v>
      </c>
      <c r="X4" s="147">
        <v>0</v>
      </c>
      <c r="Y4" s="147">
        <v>0</v>
      </c>
      <c r="Z4" s="147">
        <v>0</v>
      </c>
      <c r="AA4" s="147">
        <v>0</v>
      </c>
      <c r="AB4" s="147">
        <v>0</v>
      </c>
      <c r="AC4" s="147">
        <v>0</v>
      </c>
      <c r="AD4" s="147">
        <v>0</v>
      </c>
      <c r="AE4" s="147">
        <v>0</v>
      </c>
      <c r="AF4" s="147">
        <v>0</v>
      </c>
      <c r="AG4" s="147">
        <v>6.0019206145966709E-2</v>
      </c>
      <c r="AH4" s="147">
        <v>0</v>
      </c>
      <c r="AI4" s="147">
        <v>0</v>
      </c>
      <c r="AJ4" s="147">
        <v>0</v>
      </c>
      <c r="AK4" s="147">
        <v>0</v>
      </c>
      <c r="AL4" s="147">
        <v>0</v>
      </c>
      <c r="AM4" s="147">
        <v>0</v>
      </c>
      <c r="AN4" s="147">
        <v>0</v>
      </c>
      <c r="AO4" s="147">
        <v>0</v>
      </c>
      <c r="AP4" s="147">
        <v>0</v>
      </c>
      <c r="AQ4" s="147">
        <v>0</v>
      </c>
      <c r="AR4" s="147">
        <v>0</v>
      </c>
    </row>
    <row r="5" spans="1:44" customFormat="1" x14ac:dyDescent="0.15">
      <c r="A5" s="182" t="s">
        <v>196</v>
      </c>
      <c r="B5" s="147">
        <v>0</v>
      </c>
      <c r="C5" s="147">
        <v>0</v>
      </c>
      <c r="D5" s="147">
        <v>0</v>
      </c>
      <c r="E5" s="147">
        <v>4.9000000000000002E-2</v>
      </c>
      <c r="F5" s="147">
        <v>2.5000000000000001E-2</v>
      </c>
      <c r="G5" s="147">
        <v>0.2</v>
      </c>
      <c r="H5" s="147">
        <v>2.5000000000000001E-2</v>
      </c>
      <c r="I5" s="147">
        <v>0</v>
      </c>
      <c r="J5" s="147">
        <v>0</v>
      </c>
      <c r="K5" s="147">
        <v>0.05</v>
      </c>
      <c r="L5" s="147">
        <v>0.15</v>
      </c>
      <c r="M5" s="147">
        <v>3.9996337535371893E-2</v>
      </c>
      <c r="N5" s="147">
        <v>0</v>
      </c>
      <c r="O5" s="147">
        <v>1.0001000100010001E-4</v>
      </c>
      <c r="P5" s="147">
        <v>1.9992003358592591E-2</v>
      </c>
      <c r="Q5" s="147">
        <v>0</v>
      </c>
      <c r="R5" s="147">
        <v>0</v>
      </c>
      <c r="S5" s="147">
        <v>9.9996529440452009E-4</v>
      </c>
      <c r="T5" s="147">
        <v>0.37654552904191169</v>
      </c>
      <c r="U5" s="147">
        <v>0</v>
      </c>
      <c r="V5" s="147">
        <v>0.60499999999999998</v>
      </c>
      <c r="W5" s="147">
        <v>0.6</v>
      </c>
      <c r="X5" s="147">
        <v>0</v>
      </c>
      <c r="Y5" s="147">
        <v>0</v>
      </c>
      <c r="Z5" s="147">
        <v>0.2999999988</v>
      </c>
      <c r="AA5" s="147">
        <v>0</v>
      </c>
      <c r="AB5" s="147">
        <v>9.8990100989901034E-2</v>
      </c>
      <c r="AC5" s="147">
        <v>5.0000000054999993E-2</v>
      </c>
      <c r="AD5" s="147">
        <v>0</v>
      </c>
      <c r="AE5" s="147">
        <v>0</v>
      </c>
      <c r="AF5" s="147">
        <v>0</v>
      </c>
      <c r="AG5" s="147">
        <v>0.77024647887323949</v>
      </c>
      <c r="AH5" s="147">
        <v>0</v>
      </c>
      <c r="AI5" s="147">
        <v>0</v>
      </c>
      <c r="AJ5" s="147">
        <v>4.498011749741132E-2</v>
      </c>
      <c r="AK5" s="147">
        <v>0</v>
      </c>
      <c r="AL5" s="147">
        <v>0</v>
      </c>
      <c r="AM5" s="147">
        <v>0</v>
      </c>
      <c r="AN5" s="147">
        <v>0</v>
      </c>
      <c r="AO5" s="147">
        <v>0</v>
      </c>
      <c r="AP5" s="147">
        <v>0</v>
      </c>
      <c r="AQ5" s="147">
        <v>0</v>
      </c>
      <c r="AR5" s="147">
        <v>0</v>
      </c>
    </row>
    <row r="6" spans="1:44" customFormat="1" x14ac:dyDescent="0.15">
      <c r="A6" s="182" t="s">
        <v>197</v>
      </c>
      <c r="B6" s="147">
        <v>0</v>
      </c>
      <c r="C6" s="147">
        <v>0</v>
      </c>
      <c r="D6" s="147">
        <v>0</v>
      </c>
      <c r="E6" s="147">
        <v>0</v>
      </c>
      <c r="F6" s="147">
        <v>0</v>
      </c>
      <c r="G6" s="147">
        <v>0</v>
      </c>
      <c r="H6" s="147">
        <v>0.05</v>
      </c>
      <c r="I6" s="147">
        <v>0</v>
      </c>
      <c r="J6" s="147">
        <v>0</v>
      </c>
      <c r="K6" s="147">
        <v>0</v>
      </c>
      <c r="L6" s="147">
        <v>7.4999999999999997E-2</v>
      </c>
      <c r="M6" s="147">
        <v>0.29997253151528913</v>
      </c>
      <c r="N6" s="147">
        <v>0</v>
      </c>
      <c r="O6" s="147">
        <v>0</v>
      </c>
      <c r="P6" s="147">
        <v>3.9984006717185182E-2</v>
      </c>
      <c r="Q6" s="147">
        <v>0</v>
      </c>
      <c r="R6" s="147">
        <v>3.9996000399959999E-2</v>
      </c>
      <c r="S6" s="147">
        <v>9.9996529440452009E-3</v>
      </c>
      <c r="T6" s="147">
        <v>0</v>
      </c>
      <c r="U6" s="147">
        <v>0</v>
      </c>
      <c r="V6" s="147">
        <v>0</v>
      </c>
      <c r="W6" s="147">
        <v>0</v>
      </c>
      <c r="X6" s="147">
        <v>0</v>
      </c>
      <c r="Y6" s="147">
        <v>0</v>
      </c>
      <c r="Z6" s="147">
        <v>0</v>
      </c>
      <c r="AA6" s="147">
        <v>0</v>
      </c>
      <c r="AB6" s="147">
        <v>0</v>
      </c>
      <c r="AC6" s="147">
        <v>0</v>
      </c>
      <c r="AD6" s="147">
        <v>0</v>
      </c>
      <c r="AE6" s="147">
        <v>0</v>
      </c>
      <c r="AF6" s="147">
        <v>0</v>
      </c>
      <c r="AG6" s="147">
        <v>0</v>
      </c>
      <c r="AH6" s="147">
        <v>2.9997000299969996E-2</v>
      </c>
      <c r="AI6" s="147">
        <v>0.10995825193057304</v>
      </c>
      <c r="AJ6" s="147">
        <v>0</v>
      </c>
      <c r="AK6" s="147">
        <v>0</v>
      </c>
      <c r="AL6" s="147">
        <v>0</v>
      </c>
      <c r="AM6" s="147">
        <v>0</v>
      </c>
      <c r="AN6" s="147">
        <v>0</v>
      </c>
      <c r="AO6" s="147">
        <v>0</v>
      </c>
      <c r="AP6" s="147">
        <v>0</v>
      </c>
      <c r="AQ6" s="147">
        <v>0</v>
      </c>
      <c r="AR6" s="147">
        <v>0</v>
      </c>
    </row>
    <row r="7" spans="1:44" customFormat="1" x14ac:dyDescent="0.15">
      <c r="A7" s="182" t="s">
        <v>198</v>
      </c>
      <c r="B7" s="147">
        <v>0</v>
      </c>
      <c r="C7" s="147">
        <v>0</v>
      </c>
      <c r="D7" s="147">
        <v>0</v>
      </c>
      <c r="E7" s="147">
        <v>0</v>
      </c>
      <c r="F7" s="147">
        <v>0</v>
      </c>
      <c r="G7" s="147">
        <v>0.05</v>
      </c>
      <c r="H7" s="147">
        <v>0</v>
      </c>
      <c r="I7" s="147">
        <v>0</v>
      </c>
      <c r="J7" s="147">
        <v>0</v>
      </c>
      <c r="K7" s="147">
        <v>0</v>
      </c>
      <c r="L7" s="147">
        <v>0</v>
      </c>
      <c r="M7" s="147">
        <v>0.14998626575764457</v>
      </c>
      <c r="N7" s="147">
        <v>0</v>
      </c>
      <c r="O7" s="147">
        <v>0.75007500750075007</v>
      </c>
      <c r="P7" s="147">
        <v>5.9976010075777769E-2</v>
      </c>
      <c r="Q7" s="147">
        <v>0</v>
      </c>
      <c r="R7" s="147">
        <v>1.999800019998E-2</v>
      </c>
      <c r="S7" s="147">
        <v>0.22399222594661247</v>
      </c>
      <c r="T7" s="147">
        <v>4.532243487347867E-3</v>
      </c>
      <c r="U7" s="147">
        <v>5.0020008003201284E-2</v>
      </c>
      <c r="V7" s="147">
        <v>0</v>
      </c>
      <c r="W7" s="147">
        <v>0</v>
      </c>
      <c r="X7" s="147">
        <v>0.2</v>
      </c>
      <c r="Y7" s="147">
        <v>0.17003400765170038</v>
      </c>
      <c r="Z7" s="147">
        <v>5.9999999760000006E-2</v>
      </c>
      <c r="AA7" s="147">
        <v>0.23699999999999999</v>
      </c>
      <c r="AB7" s="147">
        <v>0</v>
      </c>
      <c r="AC7" s="147">
        <v>0</v>
      </c>
      <c r="AD7" s="147">
        <v>2.306788652046976E-2</v>
      </c>
      <c r="AE7" s="147">
        <v>2.7151220624120627E-2</v>
      </c>
      <c r="AF7" s="147">
        <v>0.2</v>
      </c>
      <c r="AG7" s="147">
        <v>0</v>
      </c>
      <c r="AH7" s="147">
        <v>0.10998900109988999</v>
      </c>
      <c r="AI7" s="147">
        <v>0</v>
      </c>
      <c r="AJ7" s="147">
        <v>0</v>
      </c>
      <c r="AK7" s="147">
        <v>0</v>
      </c>
      <c r="AL7" s="147">
        <v>0.3</v>
      </c>
      <c r="AM7" s="147">
        <v>0</v>
      </c>
      <c r="AN7" s="147">
        <v>0</v>
      </c>
      <c r="AO7" s="147">
        <v>0</v>
      </c>
      <c r="AP7" s="147">
        <v>0</v>
      </c>
      <c r="AQ7" s="147">
        <v>0</v>
      </c>
      <c r="AR7" s="147">
        <v>0</v>
      </c>
    </row>
    <row r="8" spans="1:44" customFormat="1" x14ac:dyDescent="0.15">
      <c r="A8" s="182" t="s">
        <v>199</v>
      </c>
      <c r="B8" s="147">
        <v>0</v>
      </c>
      <c r="C8" s="147">
        <v>0</v>
      </c>
      <c r="D8" s="147">
        <v>0</v>
      </c>
      <c r="E8" s="147">
        <v>0</v>
      </c>
      <c r="F8" s="147">
        <v>0</v>
      </c>
      <c r="G8" s="147">
        <v>0</v>
      </c>
      <c r="H8" s="147">
        <v>0</v>
      </c>
      <c r="I8" s="147">
        <v>0</v>
      </c>
      <c r="J8" s="147">
        <v>0</v>
      </c>
      <c r="K8" s="147">
        <v>0</v>
      </c>
      <c r="L8" s="147">
        <v>0</v>
      </c>
      <c r="M8" s="147">
        <v>0.1249134616743145</v>
      </c>
      <c r="N8" s="147">
        <v>0.5626666651279999</v>
      </c>
      <c r="O8" s="147">
        <v>4.0004000400040006E-2</v>
      </c>
      <c r="P8" s="147">
        <v>0.21524723082964597</v>
      </c>
      <c r="Q8" s="147">
        <v>0.55466666185066649</v>
      </c>
      <c r="R8" s="147">
        <v>0.53994600539946003</v>
      </c>
      <c r="S8" s="147">
        <v>0.17466061108910302</v>
      </c>
      <c r="T8" s="147">
        <v>0</v>
      </c>
      <c r="U8" s="147">
        <v>9.0036014405762296E-2</v>
      </c>
      <c r="V8" s="147">
        <v>0</v>
      </c>
      <c r="W8" s="147">
        <v>0</v>
      </c>
      <c r="X8" s="147">
        <v>0.22</v>
      </c>
      <c r="Y8" s="147">
        <v>0.12669200403426689</v>
      </c>
      <c r="Z8" s="147">
        <v>0.21933333512266667</v>
      </c>
      <c r="AA8" s="147">
        <v>0.13400000000000001</v>
      </c>
      <c r="AB8" s="147">
        <v>6.7326597340265984E-2</v>
      </c>
      <c r="AC8" s="147">
        <v>0.10866666611953331</v>
      </c>
      <c r="AD8" s="147">
        <v>5.0134206796478731E-2</v>
      </c>
      <c r="AE8" s="147">
        <v>5.1433611886844859E-2</v>
      </c>
      <c r="AF8" s="147">
        <v>7.0000000000000007E-2</v>
      </c>
      <c r="AG8" s="147">
        <v>7.4690570982714468E-3</v>
      </c>
      <c r="AH8" s="147">
        <v>7.4992500749924987E-2</v>
      </c>
      <c r="AI8" s="147">
        <v>5.9977228325767108E-2</v>
      </c>
      <c r="AJ8" s="147">
        <v>0</v>
      </c>
      <c r="AK8" s="147">
        <v>0</v>
      </c>
      <c r="AL8" s="147">
        <v>0.3</v>
      </c>
      <c r="AM8" s="147">
        <v>0</v>
      </c>
      <c r="AN8" s="147">
        <v>0</v>
      </c>
      <c r="AO8" s="147">
        <v>0</v>
      </c>
      <c r="AP8" s="147">
        <v>0</v>
      </c>
      <c r="AQ8" s="147">
        <v>0</v>
      </c>
      <c r="AR8" s="147">
        <v>0</v>
      </c>
    </row>
    <row r="9" spans="1:44" customFormat="1" x14ac:dyDescent="0.15">
      <c r="A9" s="182" t="s">
        <v>200</v>
      </c>
      <c r="B9" s="147">
        <v>0</v>
      </c>
      <c r="C9" s="147">
        <v>0</v>
      </c>
      <c r="D9" s="147">
        <v>0</v>
      </c>
      <c r="E9" s="147">
        <v>0</v>
      </c>
      <c r="F9" s="147">
        <v>0</v>
      </c>
      <c r="G9" s="147">
        <v>0</v>
      </c>
      <c r="H9" s="147">
        <v>0</v>
      </c>
      <c r="I9" s="147">
        <v>0</v>
      </c>
      <c r="J9" s="147">
        <v>0</v>
      </c>
      <c r="K9" s="147">
        <v>0</v>
      </c>
      <c r="L9" s="147">
        <v>0</v>
      </c>
      <c r="M9" s="147">
        <v>6.2660932138444078E-2</v>
      </c>
      <c r="N9" s="147">
        <v>0.28133333206399996</v>
      </c>
      <c r="O9" s="147">
        <v>2.0002000200020003E-2</v>
      </c>
      <c r="P9" s="147">
        <v>0.10762361541482299</v>
      </c>
      <c r="Q9" s="147">
        <v>0.27733333092533324</v>
      </c>
      <c r="R9" s="147">
        <v>0.26497350264973496</v>
      </c>
      <c r="S9" s="147">
        <v>8.2330476372622627E-2</v>
      </c>
      <c r="T9" s="147">
        <v>0</v>
      </c>
      <c r="U9" s="147">
        <v>5.0020008003201284E-2</v>
      </c>
      <c r="V9" s="147">
        <v>0</v>
      </c>
      <c r="W9" s="147">
        <v>0</v>
      </c>
      <c r="X9" s="147">
        <v>0.11</v>
      </c>
      <c r="Y9" s="147">
        <v>6.334599951663332E-2</v>
      </c>
      <c r="Z9" s="147">
        <v>0.10966666756133334</v>
      </c>
      <c r="AA9" s="147">
        <v>0.04</v>
      </c>
      <c r="AB9" s="147">
        <v>4.3662303769623045E-2</v>
      </c>
      <c r="AC9" s="147">
        <v>5.433333295976666E-2</v>
      </c>
      <c r="AD9" s="147">
        <v>2.5067103398239365E-2</v>
      </c>
      <c r="AE9" s="147">
        <v>2.4282388162284521E-2</v>
      </c>
      <c r="AF9" s="147">
        <v>0.04</v>
      </c>
      <c r="AG9" s="147">
        <v>3.7345280489756725E-3</v>
      </c>
      <c r="AH9" s="147">
        <v>7.4992500749924987E-2</v>
      </c>
      <c r="AI9" s="147">
        <v>2.9988614162883554E-2</v>
      </c>
      <c r="AJ9" s="147">
        <v>0</v>
      </c>
      <c r="AK9" s="147">
        <v>0</v>
      </c>
      <c r="AL9" s="147">
        <v>0.05</v>
      </c>
      <c r="AM9" s="147">
        <v>0</v>
      </c>
      <c r="AN9" s="147">
        <v>0</v>
      </c>
      <c r="AO9" s="147">
        <v>0</v>
      </c>
      <c r="AP9" s="147">
        <v>0</v>
      </c>
      <c r="AQ9" s="147">
        <v>0</v>
      </c>
      <c r="AR9" s="147">
        <v>0</v>
      </c>
    </row>
    <row r="10" spans="1:44" customFormat="1" x14ac:dyDescent="0.15">
      <c r="A10" s="182" t="s">
        <v>201</v>
      </c>
      <c r="B10" s="147">
        <v>0</v>
      </c>
      <c r="C10" s="147">
        <v>0</v>
      </c>
      <c r="D10" s="147">
        <v>0</v>
      </c>
      <c r="E10" s="147">
        <v>0</v>
      </c>
      <c r="F10" s="147">
        <v>0</v>
      </c>
      <c r="G10" s="147">
        <v>0</v>
      </c>
      <c r="H10" s="147">
        <v>0</v>
      </c>
      <c r="I10" s="147">
        <v>0</v>
      </c>
      <c r="J10" s="147">
        <v>0</v>
      </c>
      <c r="K10" s="147">
        <v>0</v>
      </c>
      <c r="L10" s="147">
        <v>0</v>
      </c>
      <c r="M10" s="147">
        <v>0</v>
      </c>
      <c r="N10" s="147">
        <v>0</v>
      </c>
      <c r="O10" s="147">
        <v>0</v>
      </c>
      <c r="P10" s="147">
        <v>2.9988005037888885E-3</v>
      </c>
      <c r="Q10" s="147">
        <v>3.7000001591000066E-2</v>
      </c>
      <c r="R10" s="147">
        <v>5.0994900509949001E-3</v>
      </c>
      <c r="S10" s="147">
        <v>0</v>
      </c>
      <c r="T10" s="147">
        <v>0</v>
      </c>
      <c r="U10" s="147">
        <v>0</v>
      </c>
      <c r="V10" s="147">
        <v>0</v>
      </c>
      <c r="W10" s="147">
        <v>0</v>
      </c>
      <c r="X10" s="147">
        <v>0</v>
      </c>
      <c r="Y10" s="147">
        <v>0</v>
      </c>
      <c r="Z10" s="147">
        <v>0</v>
      </c>
      <c r="AA10" s="147">
        <v>0</v>
      </c>
      <c r="AB10" s="147">
        <v>0</v>
      </c>
      <c r="AC10" s="147">
        <v>0</v>
      </c>
      <c r="AD10" s="147">
        <v>0</v>
      </c>
      <c r="AE10" s="147">
        <v>0</v>
      </c>
      <c r="AF10" s="147">
        <v>0</v>
      </c>
      <c r="AG10" s="147">
        <v>0</v>
      </c>
      <c r="AH10" s="147">
        <v>9.9990000999899999E-3</v>
      </c>
      <c r="AI10" s="147">
        <v>0</v>
      </c>
      <c r="AJ10" s="147">
        <v>0</v>
      </c>
      <c r="AK10" s="147">
        <v>0</v>
      </c>
      <c r="AL10" s="147">
        <v>0</v>
      </c>
      <c r="AM10" s="147">
        <v>0</v>
      </c>
      <c r="AN10" s="147">
        <v>0</v>
      </c>
      <c r="AO10" s="147">
        <v>0</v>
      </c>
      <c r="AP10" s="147">
        <v>0</v>
      </c>
      <c r="AQ10" s="147">
        <v>0</v>
      </c>
      <c r="AR10" s="147">
        <v>0</v>
      </c>
    </row>
    <row r="11" spans="1:44" customFormat="1" x14ac:dyDescent="0.15">
      <c r="A11" s="182" t="s">
        <v>202</v>
      </c>
      <c r="B11" s="147">
        <v>0</v>
      </c>
      <c r="C11" s="147">
        <v>0</v>
      </c>
      <c r="D11" s="147">
        <v>0</v>
      </c>
      <c r="E11" s="147">
        <v>0</v>
      </c>
      <c r="F11" s="147">
        <v>0</v>
      </c>
      <c r="G11" s="147">
        <v>0</v>
      </c>
      <c r="H11" s="147">
        <v>0</v>
      </c>
      <c r="I11" s="147">
        <v>0</v>
      </c>
      <c r="J11" s="147">
        <v>0</v>
      </c>
      <c r="K11" s="147">
        <v>0</v>
      </c>
      <c r="L11" s="147">
        <v>0</v>
      </c>
      <c r="M11" s="147">
        <v>1.9998168767685945E-3</v>
      </c>
      <c r="N11" s="147">
        <v>4.0000000720000005E-2</v>
      </c>
      <c r="O11" s="147">
        <v>2.1502150215021502E-2</v>
      </c>
      <c r="P11" s="147">
        <v>0.32986805541677777</v>
      </c>
      <c r="Q11" s="147">
        <v>0</v>
      </c>
      <c r="R11" s="147">
        <v>9.9990000999899986E-4</v>
      </c>
      <c r="S11" s="147">
        <v>0</v>
      </c>
      <c r="T11" s="147">
        <v>0</v>
      </c>
      <c r="U11" s="147">
        <v>1.5006002400960382E-2</v>
      </c>
      <c r="V11" s="147">
        <v>0</v>
      </c>
      <c r="W11" s="147">
        <v>0</v>
      </c>
      <c r="X11" s="147">
        <v>0</v>
      </c>
      <c r="Y11" s="147">
        <v>0</v>
      </c>
      <c r="Z11" s="147">
        <v>0</v>
      </c>
      <c r="AA11" s="147">
        <v>0</v>
      </c>
      <c r="AB11" s="147">
        <v>0</v>
      </c>
      <c r="AC11" s="147">
        <v>0</v>
      </c>
      <c r="AD11" s="147">
        <v>2.0665694749490882E-3</v>
      </c>
      <c r="AE11" s="147">
        <v>0</v>
      </c>
      <c r="AF11" s="147">
        <v>0</v>
      </c>
      <c r="AG11" s="147">
        <v>0</v>
      </c>
      <c r="AH11" s="147">
        <v>1.1998800119987999E-2</v>
      </c>
      <c r="AI11" s="147">
        <v>0</v>
      </c>
      <c r="AJ11" s="147">
        <v>0</v>
      </c>
      <c r="AK11" s="147">
        <v>0</v>
      </c>
      <c r="AL11" s="147">
        <v>0</v>
      </c>
      <c r="AM11" s="147">
        <v>0</v>
      </c>
      <c r="AN11" s="147">
        <v>0</v>
      </c>
      <c r="AO11" s="147">
        <v>0</v>
      </c>
      <c r="AP11" s="147">
        <v>0</v>
      </c>
      <c r="AQ11" s="147">
        <v>0</v>
      </c>
      <c r="AR11" s="147">
        <v>0</v>
      </c>
    </row>
    <row r="12" spans="1:44" customFormat="1" x14ac:dyDescent="0.15">
      <c r="A12" s="182" t="s">
        <v>203</v>
      </c>
      <c r="B12" s="147">
        <v>0</v>
      </c>
      <c r="C12" s="147">
        <v>0</v>
      </c>
      <c r="D12" s="147">
        <v>0</v>
      </c>
      <c r="E12" s="147">
        <v>0</v>
      </c>
      <c r="F12" s="147">
        <v>0</v>
      </c>
      <c r="G12" s="147">
        <v>0</v>
      </c>
      <c r="H12" s="147">
        <v>0</v>
      </c>
      <c r="I12" s="147">
        <v>0</v>
      </c>
      <c r="J12" s="147">
        <v>0</v>
      </c>
      <c r="K12" s="147">
        <v>0</v>
      </c>
      <c r="L12" s="147">
        <v>0</v>
      </c>
      <c r="M12" s="147">
        <v>0.19998168767685945</v>
      </c>
      <c r="N12" s="147">
        <v>5.0000000900000006E-3</v>
      </c>
      <c r="O12" s="147">
        <v>0.16401640164016401</v>
      </c>
      <c r="P12" s="147">
        <v>8.396641410608887E-3</v>
      </c>
      <c r="Q12" s="147">
        <v>0</v>
      </c>
      <c r="R12" s="147">
        <v>3.7996200379961993E-2</v>
      </c>
      <c r="S12" s="147">
        <v>3.9998611776180804E-2</v>
      </c>
      <c r="T12" s="147">
        <v>0</v>
      </c>
      <c r="U12" s="147">
        <v>0</v>
      </c>
      <c r="V12" s="147">
        <v>0</v>
      </c>
      <c r="W12" s="147">
        <v>0</v>
      </c>
      <c r="X12" s="147">
        <v>0</v>
      </c>
      <c r="Y12" s="147">
        <v>4.7009402115470104E-2</v>
      </c>
      <c r="Z12" s="147">
        <v>0</v>
      </c>
      <c r="AA12" s="147">
        <v>6.8000000000000005E-2</v>
      </c>
      <c r="AB12" s="147">
        <v>8.3991600839916039E-2</v>
      </c>
      <c r="AC12" s="147">
        <v>5.0000000054999993E-2</v>
      </c>
      <c r="AD12" s="147">
        <v>4.7446315509479565E-2</v>
      </c>
      <c r="AE12" s="147">
        <v>6.5635588531055312E-3</v>
      </c>
      <c r="AF12" s="147">
        <v>0.04</v>
      </c>
      <c r="AG12" s="147">
        <v>0</v>
      </c>
      <c r="AH12" s="147">
        <v>2.9997000299969996E-2</v>
      </c>
      <c r="AI12" s="147">
        <v>0</v>
      </c>
      <c r="AJ12" s="147">
        <v>0</v>
      </c>
      <c r="AK12" s="147">
        <v>0</v>
      </c>
      <c r="AL12" s="147">
        <v>0.17499999999999999</v>
      </c>
      <c r="AM12" s="147">
        <v>0</v>
      </c>
      <c r="AN12" s="147">
        <v>0</v>
      </c>
      <c r="AO12" s="147">
        <v>0</v>
      </c>
      <c r="AP12" s="147">
        <v>0</v>
      </c>
      <c r="AQ12" s="147">
        <v>0</v>
      </c>
      <c r="AR12" s="147">
        <v>0</v>
      </c>
    </row>
    <row r="13" spans="1:44" customFormat="1" x14ac:dyDescent="0.15">
      <c r="A13" s="182" t="s">
        <v>204</v>
      </c>
      <c r="B13" s="147">
        <v>0</v>
      </c>
      <c r="C13" s="147">
        <v>0</v>
      </c>
      <c r="D13" s="147">
        <v>0</v>
      </c>
      <c r="E13" s="147">
        <v>0</v>
      </c>
      <c r="F13" s="147">
        <v>0</v>
      </c>
      <c r="G13" s="147">
        <v>0</v>
      </c>
      <c r="H13" s="147">
        <v>0</v>
      </c>
      <c r="I13" s="147">
        <v>0</v>
      </c>
      <c r="J13" s="147">
        <v>0</v>
      </c>
      <c r="K13" s="147">
        <v>0</v>
      </c>
      <c r="L13" s="147">
        <v>0</v>
      </c>
      <c r="M13" s="147">
        <v>4.9995421919214863E-4</v>
      </c>
      <c r="N13" s="147">
        <v>5.5000000990000006E-2</v>
      </c>
      <c r="O13" s="147">
        <v>3.0003000300030005E-3</v>
      </c>
      <c r="P13" s="147">
        <v>0.20591763459350368</v>
      </c>
      <c r="Q13" s="147">
        <v>0.13000000559000024</v>
      </c>
      <c r="R13" s="147">
        <v>0</v>
      </c>
      <c r="S13" s="147">
        <v>0.3459879918639639</v>
      </c>
      <c r="T13" s="147">
        <v>0</v>
      </c>
      <c r="U13" s="147">
        <v>0.19007603041216486</v>
      </c>
      <c r="V13" s="147">
        <v>0</v>
      </c>
      <c r="W13" s="147">
        <v>0</v>
      </c>
      <c r="X13" s="147">
        <v>0.42</v>
      </c>
      <c r="Y13" s="147">
        <v>0.32306461453823071</v>
      </c>
      <c r="Z13" s="147">
        <v>0.20999999916000001</v>
      </c>
      <c r="AA13" s="147">
        <v>0.40899999999999997</v>
      </c>
      <c r="AB13" s="147">
        <v>8.9991000899910023E-2</v>
      </c>
      <c r="AC13" s="147">
        <v>0.38000000041799997</v>
      </c>
      <c r="AD13" s="147">
        <v>0.45595597794276199</v>
      </c>
      <c r="AE13" s="147">
        <v>0.80468782195347244</v>
      </c>
      <c r="AF13" s="147">
        <v>0.41599999999999998</v>
      </c>
      <c r="AG13" s="147">
        <v>2.8008962868117798E-2</v>
      </c>
      <c r="AH13" s="147">
        <v>0.47795220477952194</v>
      </c>
      <c r="AI13" s="147">
        <v>0.10995825193057304</v>
      </c>
      <c r="AJ13" s="147">
        <v>0</v>
      </c>
      <c r="AK13" s="147">
        <v>1.9988268016576362E-2</v>
      </c>
      <c r="AL13" s="147">
        <v>0.17499999999999999</v>
      </c>
      <c r="AM13" s="147">
        <v>0</v>
      </c>
      <c r="AN13" s="147">
        <v>0</v>
      </c>
      <c r="AO13" s="147">
        <v>0</v>
      </c>
      <c r="AP13" s="147">
        <v>0</v>
      </c>
      <c r="AQ13" s="147">
        <v>0</v>
      </c>
      <c r="AR13" s="147">
        <v>0</v>
      </c>
    </row>
    <row r="14" spans="1:44" customFormat="1" x14ac:dyDescent="0.15">
      <c r="A14" s="182" t="s">
        <v>205</v>
      </c>
      <c r="B14" s="147">
        <v>0</v>
      </c>
      <c r="C14" s="147">
        <v>0</v>
      </c>
      <c r="D14" s="147">
        <v>0</v>
      </c>
      <c r="E14" s="147">
        <v>0</v>
      </c>
      <c r="F14" s="147">
        <v>0</v>
      </c>
      <c r="G14" s="147">
        <v>0</v>
      </c>
      <c r="H14" s="147">
        <v>0</v>
      </c>
      <c r="I14" s="147">
        <v>0</v>
      </c>
      <c r="J14" s="147">
        <v>0</v>
      </c>
      <c r="K14" s="147">
        <v>0</v>
      </c>
      <c r="L14" s="147">
        <v>0</v>
      </c>
      <c r="M14" s="147">
        <v>0</v>
      </c>
      <c r="N14" s="147">
        <v>0</v>
      </c>
      <c r="O14" s="147">
        <v>0</v>
      </c>
      <c r="P14" s="147">
        <v>0</v>
      </c>
      <c r="Q14" s="147">
        <v>0</v>
      </c>
      <c r="R14" s="147">
        <v>0</v>
      </c>
      <c r="S14" s="147">
        <v>0</v>
      </c>
      <c r="T14" s="147">
        <v>0</v>
      </c>
      <c r="U14" s="147">
        <v>7.0028011204481794E-2</v>
      </c>
      <c r="V14" s="147">
        <v>0</v>
      </c>
      <c r="W14" s="147">
        <v>0</v>
      </c>
      <c r="X14" s="147">
        <v>0</v>
      </c>
      <c r="Y14" s="147">
        <v>0</v>
      </c>
      <c r="Z14" s="147">
        <v>0</v>
      </c>
      <c r="AA14" s="147">
        <v>0</v>
      </c>
      <c r="AB14" s="147">
        <v>0</v>
      </c>
      <c r="AC14" s="147">
        <v>0</v>
      </c>
      <c r="AD14" s="147">
        <v>8.2501094608416724E-3</v>
      </c>
      <c r="AE14" s="147">
        <v>0</v>
      </c>
      <c r="AF14" s="147">
        <v>0</v>
      </c>
      <c r="AG14" s="147">
        <v>0</v>
      </c>
      <c r="AH14" s="147">
        <v>0</v>
      </c>
      <c r="AI14" s="147">
        <v>6.99734330467283E-3</v>
      </c>
      <c r="AJ14" s="147">
        <v>0</v>
      </c>
      <c r="AK14" s="147">
        <v>0</v>
      </c>
      <c r="AL14" s="147">
        <v>0</v>
      </c>
      <c r="AM14" s="147">
        <v>5.0020019512409447E-2</v>
      </c>
      <c r="AN14" s="147">
        <v>0</v>
      </c>
      <c r="AO14" s="147">
        <v>0</v>
      </c>
      <c r="AP14" s="147">
        <v>0</v>
      </c>
      <c r="AQ14" s="147">
        <v>0</v>
      </c>
      <c r="AR14" s="147">
        <v>0</v>
      </c>
    </row>
    <row r="15" spans="1:44" customFormat="1" x14ac:dyDescent="0.15">
      <c r="A15" s="182" t="s">
        <v>206</v>
      </c>
      <c r="B15" s="147">
        <v>0</v>
      </c>
      <c r="C15" s="147">
        <v>0</v>
      </c>
      <c r="D15" s="147">
        <v>0</v>
      </c>
      <c r="E15" s="147">
        <v>0</v>
      </c>
      <c r="F15" s="147">
        <v>0</v>
      </c>
      <c r="G15" s="147">
        <v>0</v>
      </c>
      <c r="H15" s="147">
        <v>0</v>
      </c>
      <c r="I15" s="147">
        <v>0</v>
      </c>
      <c r="J15" s="147">
        <v>0</v>
      </c>
      <c r="K15" s="147">
        <v>0</v>
      </c>
      <c r="L15" s="147">
        <v>0</v>
      </c>
      <c r="M15" s="147">
        <v>0</v>
      </c>
      <c r="N15" s="147">
        <v>0</v>
      </c>
      <c r="O15" s="147">
        <v>0</v>
      </c>
      <c r="P15" s="147">
        <v>0</v>
      </c>
      <c r="Q15" s="147">
        <v>0</v>
      </c>
      <c r="R15" s="147">
        <v>0</v>
      </c>
      <c r="S15" s="147">
        <v>0</v>
      </c>
      <c r="T15" s="147">
        <v>0</v>
      </c>
      <c r="U15" s="147">
        <v>7.0028011204481794E-2</v>
      </c>
      <c r="V15" s="147">
        <v>0</v>
      </c>
      <c r="W15" s="147">
        <v>0</v>
      </c>
      <c r="X15" s="147">
        <v>0</v>
      </c>
      <c r="Y15" s="147">
        <v>0</v>
      </c>
      <c r="Z15" s="147">
        <v>0</v>
      </c>
      <c r="AA15" s="147">
        <v>0</v>
      </c>
      <c r="AB15" s="147">
        <v>0</v>
      </c>
      <c r="AC15" s="147">
        <v>0</v>
      </c>
      <c r="AD15" s="147">
        <v>4.2404965846344891E-3</v>
      </c>
      <c r="AE15" s="147">
        <v>0</v>
      </c>
      <c r="AF15" s="147">
        <v>0</v>
      </c>
      <c r="AG15" s="147">
        <v>0</v>
      </c>
      <c r="AH15" s="147">
        <v>0</v>
      </c>
      <c r="AI15" s="147">
        <v>6.99734330467283E-3</v>
      </c>
      <c r="AJ15" s="147">
        <v>0</v>
      </c>
      <c r="AK15" s="147">
        <v>0</v>
      </c>
      <c r="AL15" s="147">
        <v>0</v>
      </c>
      <c r="AM15" s="147">
        <v>5.0020019512409447E-2</v>
      </c>
      <c r="AN15" s="147">
        <v>0</v>
      </c>
      <c r="AO15" s="147">
        <v>0</v>
      </c>
      <c r="AP15" s="147">
        <v>0</v>
      </c>
      <c r="AQ15" s="147">
        <v>0</v>
      </c>
      <c r="AR15" s="147">
        <v>0</v>
      </c>
    </row>
    <row r="16" spans="1:44" customFormat="1" x14ac:dyDescent="0.15">
      <c r="A16" s="182" t="s">
        <v>207</v>
      </c>
      <c r="B16" s="147">
        <v>0</v>
      </c>
      <c r="C16" s="147">
        <v>0</v>
      </c>
      <c r="D16" s="147">
        <v>0</v>
      </c>
      <c r="E16" s="147">
        <v>0</v>
      </c>
      <c r="F16" s="147">
        <v>0</v>
      </c>
      <c r="G16" s="147">
        <v>0</v>
      </c>
      <c r="H16" s="147">
        <v>0</v>
      </c>
      <c r="I16" s="147">
        <v>0</v>
      </c>
      <c r="J16" s="147">
        <v>0</v>
      </c>
      <c r="K16" s="147">
        <v>0</v>
      </c>
      <c r="L16" s="147">
        <v>0</v>
      </c>
      <c r="M16" s="147">
        <v>0</v>
      </c>
      <c r="N16" s="147">
        <v>0</v>
      </c>
      <c r="O16" s="147">
        <v>0</v>
      </c>
      <c r="P16" s="147">
        <v>0</v>
      </c>
      <c r="Q16" s="147">
        <v>0</v>
      </c>
      <c r="R16" s="147">
        <v>0</v>
      </c>
      <c r="S16" s="147">
        <v>0</v>
      </c>
      <c r="T16" s="147">
        <v>0</v>
      </c>
      <c r="U16" s="147">
        <v>7.0028011204481794E-2</v>
      </c>
      <c r="V16" s="147">
        <v>0</v>
      </c>
      <c r="W16" s="147">
        <v>0</v>
      </c>
      <c r="X16" s="147">
        <v>0</v>
      </c>
      <c r="Y16" s="147">
        <v>0</v>
      </c>
      <c r="Z16" s="147">
        <v>0</v>
      </c>
      <c r="AA16" s="147">
        <v>0</v>
      </c>
      <c r="AB16" s="147">
        <v>0</v>
      </c>
      <c r="AC16" s="147">
        <v>0</v>
      </c>
      <c r="AD16" s="147">
        <v>5.6239030182374033E-3</v>
      </c>
      <c r="AE16" s="147">
        <v>0</v>
      </c>
      <c r="AF16" s="147">
        <v>0</v>
      </c>
      <c r="AG16" s="147">
        <v>0</v>
      </c>
      <c r="AH16" s="147">
        <v>0</v>
      </c>
      <c r="AI16" s="147">
        <v>3.9984818883844746E-2</v>
      </c>
      <c r="AJ16" s="147">
        <v>0</v>
      </c>
      <c r="AK16" s="147">
        <v>0</v>
      </c>
      <c r="AL16" s="147">
        <v>0</v>
      </c>
      <c r="AM16" s="147">
        <v>5.0020019512409447E-2</v>
      </c>
      <c r="AN16" s="147">
        <v>0</v>
      </c>
      <c r="AO16" s="147">
        <v>0</v>
      </c>
      <c r="AP16" s="147">
        <v>0</v>
      </c>
      <c r="AQ16" s="147">
        <v>0</v>
      </c>
      <c r="AR16" s="147">
        <v>0</v>
      </c>
    </row>
    <row r="17" spans="1:44" customFormat="1" x14ac:dyDescent="0.15">
      <c r="A17" s="182" t="s">
        <v>208</v>
      </c>
      <c r="B17" s="147">
        <v>0</v>
      </c>
      <c r="C17" s="147">
        <v>0</v>
      </c>
      <c r="D17" s="147">
        <v>0</v>
      </c>
      <c r="E17" s="147">
        <v>0</v>
      </c>
      <c r="F17" s="147">
        <v>0</v>
      </c>
      <c r="G17" s="147">
        <v>0</v>
      </c>
      <c r="H17" s="147">
        <v>0</v>
      </c>
      <c r="I17" s="147">
        <v>0</v>
      </c>
      <c r="J17" s="147">
        <v>0</v>
      </c>
      <c r="K17" s="147">
        <v>0</v>
      </c>
      <c r="L17" s="147">
        <v>0</v>
      </c>
      <c r="M17" s="147">
        <v>0</v>
      </c>
      <c r="N17" s="147">
        <v>0</v>
      </c>
      <c r="O17" s="147">
        <v>0</v>
      </c>
      <c r="P17" s="147">
        <v>0</v>
      </c>
      <c r="Q17" s="147">
        <v>0</v>
      </c>
      <c r="R17" s="147">
        <v>0</v>
      </c>
      <c r="S17" s="147">
        <v>0</v>
      </c>
      <c r="T17" s="147">
        <v>0</v>
      </c>
      <c r="U17" s="147">
        <v>7.0028011204481794E-2</v>
      </c>
      <c r="V17" s="147">
        <v>0</v>
      </c>
      <c r="W17" s="147">
        <v>0</v>
      </c>
      <c r="X17" s="147">
        <v>0</v>
      </c>
      <c r="Y17" s="147">
        <v>0</v>
      </c>
      <c r="Z17" s="147">
        <v>0</v>
      </c>
      <c r="AA17" s="147">
        <v>0</v>
      </c>
      <c r="AB17" s="147">
        <v>0</v>
      </c>
      <c r="AC17" s="147">
        <v>0</v>
      </c>
      <c r="AD17" s="147">
        <v>4.2404965846344891E-3</v>
      </c>
      <c r="AE17" s="147">
        <v>6.002431273206571E-3</v>
      </c>
      <c r="AF17" s="147">
        <v>0</v>
      </c>
      <c r="AG17" s="147">
        <v>0</v>
      </c>
      <c r="AH17" s="147">
        <v>0</v>
      </c>
      <c r="AI17" s="147">
        <v>5.9977228325767108E-2</v>
      </c>
      <c r="AJ17" s="147">
        <v>0</v>
      </c>
      <c r="AK17" s="147">
        <v>0</v>
      </c>
      <c r="AL17" s="147">
        <v>0</v>
      </c>
      <c r="AM17" s="147">
        <v>5.0020019512409447E-2</v>
      </c>
      <c r="AN17" s="147">
        <v>0</v>
      </c>
      <c r="AO17" s="147">
        <v>0</v>
      </c>
      <c r="AP17" s="147">
        <v>0</v>
      </c>
      <c r="AQ17" s="147">
        <v>0</v>
      </c>
      <c r="AR17" s="147">
        <v>0</v>
      </c>
    </row>
    <row r="18" spans="1:44" customFormat="1" x14ac:dyDescent="0.15">
      <c r="A18" s="182" t="s">
        <v>209</v>
      </c>
      <c r="B18" s="147">
        <v>0</v>
      </c>
      <c r="C18" s="147">
        <v>0</v>
      </c>
      <c r="D18" s="147">
        <v>0</v>
      </c>
      <c r="E18" s="147">
        <v>0</v>
      </c>
      <c r="F18" s="147">
        <v>0</v>
      </c>
      <c r="G18" s="147">
        <v>0</v>
      </c>
      <c r="H18" s="147">
        <v>0</v>
      </c>
      <c r="I18" s="147">
        <v>0</v>
      </c>
      <c r="J18" s="147">
        <v>0</v>
      </c>
      <c r="K18" s="147">
        <v>0</v>
      </c>
      <c r="L18" s="147">
        <v>0</v>
      </c>
      <c r="M18" s="147">
        <v>0</v>
      </c>
      <c r="N18" s="147">
        <v>0</v>
      </c>
      <c r="O18" s="147">
        <v>0</v>
      </c>
      <c r="P18" s="147">
        <v>0</v>
      </c>
      <c r="Q18" s="147">
        <v>0</v>
      </c>
      <c r="R18" s="147">
        <v>0</v>
      </c>
      <c r="S18" s="147">
        <v>0</v>
      </c>
      <c r="T18" s="147">
        <v>0</v>
      </c>
      <c r="U18" s="147">
        <v>0</v>
      </c>
      <c r="V18" s="147">
        <v>0</v>
      </c>
      <c r="W18" s="147">
        <v>0</v>
      </c>
      <c r="X18" s="147">
        <v>0</v>
      </c>
      <c r="Y18" s="147">
        <v>0</v>
      </c>
      <c r="Z18" s="147">
        <v>0</v>
      </c>
      <c r="AA18" s="147">
        <v>0</v>
      </c>
      <c r="AB18" s="147">
        <v>0</v>
      </c>
      <c r="AC18" s="147">
        <v>0</v>
      </c>
      <c r="AD18" s="147">
        <v>1.0492328776988295E-2</v>
      </c>
      <c r="AE18" s="147">
        <v>0</v>
      </c>
      <c r="AF18" s="147">
        <v>0</v>
      </c>
      <c r="AG18" s="147">
        <v>0</v>
      </c>
      <c r="AH18" s="147">
        <v>2.9997000299969996E-2</v>
      </c>
      <c r="AI18" s="147">
        <v>0</v>
      </c>
      <c r="AJ18" s="147">
        <v>0</v>
      </c>
      <c r="AK18" s="147">
        <v>0</v>
      </c>
      <c r="AL18" s="147">
        <v>0</v>
      </c>
      <c r="AM18" s="147">
        <v>0</v>
      </c>
      <c r="AN18" s="147">
        <v>3.5999999999999997E-2</v>
      </c>
      <c r="AO18" s="147">
        <v>1.3994300834979255E-2</v>
      </c>
      <c r="AP18" s="147">
        <v>0</v>
      </c>
      <c r="AQ18" s="147">
        <v>0</v>
      </c>
      <c r="AR18" s="147">
        <v>0</v>
      </c>
    </row>
    <row r="19" spans="1:44" customFormat="1" x14ac:dyDescent="0.15">
      <c r="A19" s="182" t="s">
        <v>210</v>
      </c>
      <c r="B19" s="147">
        <v>0</v>
      </c>
      <c r="C19" s="147">
        <v>0</v>
      </c>
      <c r="D19" s="147">
        <v>0</v>
      </c>
      <c r="E19" s="147">
        <v>0</v>
      </c>
      <c r="F19" s="147">
        <v>0</v>
      </c>
      <c r="G19" s="147">
        <v>0</v>
      </c>
      <c r="H19" s="147">
        <v>0</v>
      </c>
      <c r="I19" s="147">
        <v>0</v>
      </c>
      <c r="J19" s="147">
        <v>0</v>
      </c>
      <c r="K19" s="147">
        <v>0</v>
      </c>
      <c r="L19" s="147">
        <v>0</v>
      </c>
      <c r="M19" s="147">
        <v>0</v>
      </c>
      <c r="N19" s="147">
        <v>5.6000001008000011E-2</v>
      </c>
      <c r="O19" s="147">
        <v>1.3001300130013002E-3</v>
      </c>
      <c r="P19" s="147">
        <v>9.9960016792962954E-3</v>
      </c>
      <c r="Q19" s="147">
        <v>0</v>
      </c>
      <c r="R19" s="147">
        <v>9.9990000999899986E-4</v>
      </c>
      <c r="S19" s="147">
        <v>2.4999132360113002E-2</v>
      </c>
      <c r="T19" s="147">
        <v>0</v>
      </c>
      <c r="U19" s="147">
        <v>0.10004001600640257</v>
      </c>
      <c r="V19" s="147">
        <v>0</v>
      </c>
      <c r="W19" s="147">
        <v>0</v>
      </c>
      <c r="X19" s="147">
        <v>0.05</v>
      </c>
      <c r="Y19" s="147">
        <v>3.0006001350300064E-2</v>
      </c>
      <c r="Z19" s="147">
        <v>0.10099999959600002</v>
      </c>
      <c r="AA19" s="147">
        <v>0</v>
      </c>
      <c r="AB19" s="147">
        <v>3.9996000399960013E-2</v>
      </c>
      <c r="AC19" s="147">
        <v>0</v>
      </c>
      <c r="AD19" s="147">
        <v>5.8587493440782769E-2</v>
      </c>
      <c r="AE19" s="147">
        <v>0</v>
      </c>
      <c r="AF19" s="147">
        <v>3.4000000000000002E-2</v>
      </c>
      <c r="AG19" s="147">
        <v>0</v>
      </c>
      <c r="AH19" s="147">
        <v>1.8998100189980997E-2</v>
      </c>
      <c r="AI19" s="147">
        <v>4.9982523035514072E-2</v>
      </c>
      <c r="AJ19" s="147">
        <v>0</v>
      </c>
      <c r="AK19" s="147">
        <v>0</v>
      </c>
      <c r="AL19" s="147">
        <v>0</v>
      </c>
      <c r="AM19" s="147">
        <v>5.0020019512409447E-2</v>
      </c>
      <c r="AN19" s="147">
        <v>1E-3</v>
      </c>
      <c r="AO19" s="147">
        <v>9.9941358981496149E-3</v>
      </c>
      <c r="AP19" s="147">
        <v>0</v>
      </c>
      <c r="AQ19" s="147">
        <v>0</v>
      </c>
      <c r="AR19" s="147">
        <v>0</v>
      </c>
    </row>
    <row r="20" spans="1:44" customFormat="1" x14ac:dyDescent="0.15">
      <c r="A20" s="182" t="s">
        <v>211</v>
      </c>
      <c r="B20" s="147">
        <v>0</v>
      </c>
      <c r="C20" s="147">
        <v>0</v>
      </c>
      <c r="D20" s="147">
        <v>0</v>
      </c>
      <c r="E20" s="147">
        <v>0</v>
      </c>
      <c r="F20" s="147">
        <v>0</v>
      </c>
      <c r="G20" s="147">
        <v>0</v>
      </c>
      <c r="H20" s="147">
        <v>0</v>
      </c>
      <c r="I20" s="147">
        <v>0</v>
      </c>
      <c r="J20" s="147">
        <v>0</v>
      </c>
      <c r="K20" s="147">
        <v>0</v>
      </c>
      <c r="L20" s="147">
        <v>0</v>
      </c>
      <c r="M20" s="147">
        <v>0</v>
      </c>
      <c r="N20" s="147">
        <v>0</v>
      </c>
      <c r="O20" s="147">
        <v>0</v>
      </c>
      <c r="P20" s="147">
        <v>0</v>
      </c>
      <c r="Q20" s="147">
        <v>0</v>
      </c>
      <c r="R20" s="147">
        <v>0</v>
      </c>
      <c r="S20" s="147">
        <v>1.9999305888090402E-3</v>
      </c>
      <c r="T20" s="147">
        <v>0</v>
      </c>
      <c r="U20" s="147">
        <v>8.3633453381352529E-2</v>
      </c>
      <c r="V20" s="147">
        <v>0</v>
      </c>
      <c r="W20" s="147">
        <v>0</v>
      </c>
      <c r="X20" s="147">
        <v>0</v>
      </c>
      <c r="Y20" s="147">
        <v>2.4004801080240053E-2</v>
      </c>
      <c r="Z20" s="147">
        <v>0</v>
      </c>
      <c r="AA20" s="147">
        <v>0.05</v>
      </c>
      <c r="AB20" s="147">
        <v>3.6996300369963007E-2</v>
      </c>
      <c r="AC20" s="147">
        <v>3.3000000036299999E-2</v>
      </c>
      <c r="AD20" s="147">
        <v>8.7991504515269863E-3</v>
      </c>
      <c r="AE20" s="147">
        <v>1.1435834146008756E-2</v>
      </c>
      <c r="AF20" s="147">
        <v>0</v>
      </c>
      <c r="AG20" s="147">
        <v>2.1997039052496798E-2</v>
      </c>
      <c r="AH20" s="147">
        <v>0</v>
      </c>
      <c r="AI20" s="147">
        <v>3.9986018428411256E-2</v>
      </c>
      <c r="AJ20" s="147">
        <v>3.0966315117287348E-2</v>
      </c>
      <c r="AK20" s="147">
        <v>6.0091443076457425E-2</v>
      </c>
      <c r="AL20" s="147">
        <v>0</v>
      </c>
      <c r="AM20" s="147">
        <v>2.3020723584200101E-2</v>
      </c>
      <c r="AN20" s="147">
        <v>2.8000000000000001E-2</v>
      </c>
      <c r="AO20" s="147">
        <v>4.9970679490748075E-3</v>
      </c>
      <c r="AP20" s="147">
        <v>0</v>
      </c>
      <c r="AQ20" s="147">
        <v>0</v>
      </c>
      <c r="AR20" s="147">
        <v>0</v>
      </c>
    </row>
    <row r="21" spans="1:44" customFormat="1" x14ac:dyDescent="0.15">
      <c r="A21" s="182" t="s">
        <v>212</v>
      </c>
      <c r="B21" s="147">
        <v>0</v>
      </c>
      <c r="C21" s="147">
        <v>0</v>
      </c>
      <c r="D21" s="147">
        <v>0</v>
      </c>
      <c r="E21" s="147">
        <v>0</v>
      </c>
      <c r="F21" s="147">
        <v>0</v>
      </c>
      <c r="G21" s="147">
        <v>0</v>
      </c>
      <c r="H21" s="147">
        <v>0</v>
      </c>
      <c r="I21" s="147">
        <v>0</v>
      </c>
      <c r="J21" s="147">
        <v>0</v>
      </c>
      <c r="K21" s="147">
        <v>0</v>
      </c>
      <c r="L21" s="147">
        <v>0</v>
      </c>
      <c r="M21" s="147">
        <v>0</v>
      </c>
      <c r="N21" s="147">
        <v>0</v>
      </c>
      <c r="O21" s="147">
        <v>0</v>
      </c>
      <c r="P21" s="147">
        <v>0</v>
      </c>
      <c r="Q21" s="147">
        <v>0</v>
      </c>
      <c r="R21" s="147">
        <v>0</v>
      </c>
      <c r="S21" s="147">
        <v>2.4999132360113002E-2</v>
      </c>
      <c r="T21" s="147">
        <v>0</v>
      </c>
      <c r="U21" s="147">
        <v>2.0008003201280513E-2</v>
      </c>
      <c r="V21" s="147">
        <v>0</v>
      </c>
      <c r="W21" s="147">
        <v>0</v>
      </c>
      <c r="X21" s="147">
        <v>0</v>
      </c>
      <c r="Y21" s="147">
        <v>0</v>
      </c>
      <c r="Z21" s="147">
        <v>0</v>
      </c>
      <c r="AA21" s="147">
        <v>1.4999999999999999E-2</v>
      </c>
      <c r="AB21" s="147">
        <v>0</v>
      </c>
      <c r="AC21" s="147">
        <v>0</v>
      </c>
      <c r="AD21" s="147">
        <v>5.1468856937449039E-3</v>
      </c>
      <c r="AE21" s="147">
        <v>0</v>
      </c>
      <c r="AF21" s="147">
        <v>0</v>
      </c>
      <c r="AG21" s="147">
        <v>0</v>
      </c>
      <c r="AH21" s="147">
        <v>6.9993000699929992E-3</v>
      </c>
      <c r="AI21" s="147">
        <v>2.8990163246739791E-2</v>
      </c>
      <c r="AJ21" s="147">
        <v>0</v>
      </c>
      <c r="AK21" s="147">
        <v>0</v>
      </c>
      <c r="AL21" s="147">
        <v>0</v>
      </c>
      <c r="AM21" s="147">
        <v>8.003203121985511E-2</v>
      </c>
      <c r="AN21" s="147">
        <v>7.8E-2</v>
      </c>
      <c r="AO21" s="147">
        <v>6.0975167923838183E-2</v>
      </c>
      <c r="AP21" s="147">
        <v>0</v>
      </c>
      <c r="AQ21" s="147">
        <v>0</v>
      </c>
      <c r="AR21" s="147">
        <v>0</v>
      </c>
    </row>
    <row r="22" spans="1:44" customFormat="1" x14ac:dyDescent="0.15">
      <c r="A22" s="182" t="s">
        <v>213</v>
      </c>
      <c r="B22" s="147">
        <v>0</v>
      </c>
      <c r="C22" s="147">
        <v>0</v>
      </c>
      <c r="D22" s="147">
        <v>0</v>
      </c>
      <c r="E22" s="147">
        <v>0</v>
      </c>
      <c r="F22" s="147">
        <v>0</v>
      </c>
      <c r="G22" s="147">
        <v>0</v>
      </c>
      <c r="H22" s="147">
        <v>0</v>
      </c>
      <c r="I22" s="147">
        <v>0</v>
      </c>
      <c r="J22" s="147">
        <v>0</v>
      </c>
      <c r="K22" s="147">
        <v>0</v>
      </c>
      <c r="L22" s="147">
        <v>0</v>
      </c>
      <c r="M22" s="147">
        <v>0</v>
      </c>
      <c r="N22" s="147">
        <v>0</v>
      </c>
      <c r="O22" s="147">
        <v>0</v>
      </c>
      <c r="P22" s="147">
        <v>0</v>
      </c>
      <c r="Q22" s="147">
        <v>0</v>
      </c>
      <c r="R22" s="147">
        <v>0</v>
      </c>
      <c r="S22" s="147">
        <v>3.4698795715836848E-5</v>
      </c>
      <c r="T22" s="147">
        <v>0</v>
      </c>
      <c r="U22" s="147">
        <v>0</v>
      </c>
      <c r="V22" s="147">
        <v>0</v>
      </c>
      <c r="W22" s="147">
        <v>0</v>
      </c>
      <c r="X22" s="147">
        <v>0</v>
      </c>
      <c r="Y22" s="147">
        <v>2.0004000900200044E-2</v>
      </c>
      <c r="Z22" s="147">
        <v>0</v>
      </c>
      <c r="AA22" s="147">
        <v>1.7999999999999999E-2</v>
      </c>
      <c r="AB22" s="147">
        <v>9.9990000999900033E-2</v>
      </c>
      <c r="AC22" s="147">
        <v>4.2000000046199998E-2</v>
      </c>
      <c r="AD22" s="147">
        <v>5.8952378211552234E-2</v>
      </c>
      <c r="AE22" s="147">
        <v>4.2795509319045345E-3</v>
      </c>
      <c r="AF22" s="147">
        <v>0</v>
      </c>
      <c r="AG22" s="147">
        <v>4.9015685019206145E-4</v>
      </c>
      <c r="AH22" s="147">
        <v>0</v>
      </c>
      <c r="AI22" s="147">
        <v>9.6966084692692574E-4</v>
      </c>
      <c r="AJ22" s="147">
        <v>0.16400950763115738</v>
      </c>
      <c r="AK22" s="147">
        <v>0.14998700362613579</v>
      </c>
      <c r="AL22" s="147">
        <v>0</v>
      </c>
      <c r="AM22" s="147">
        <v>5.0045029522165652E-4</v>
      </c>
      <c r="AN22" s="147">
        <v>5.9999999999999995E-4</v>
      </c>
      <c r="AO22" s="147">
        <v>1.1993015856285543E-4</v>
      </c>
      <c r="AP22" s="147">
        <v>0</v>
      </c>
      <c r="AQ22" s="147">
        <v>0</v>
      </c>
      <c r="AR22" s="147">
        <v>0</v>
      </c>
    </row>
    <row r="23" spans="1:44" customFormat="1" x14ac:dyDescent="0.15">
      <c r="A23" s="182" t="s">
        <v>214</v>
      </c>
      <c r="B23" s="147">
        <v>0</v>
      </c>
      <c r="C23" s="147">
        <v>0</v>
      </c>
      <c r="D23" s="147">
        <v>0</v>
      </c>
      <c r="E23" s="147">
        <v>0</v>
      </c>
      <c r="F23" s="147">
        <v>0</v>
      </c>
      <c r="G23" s="147">
        <v>0</v>
      </c>
      <c r="H23" s="147">
        <v>0</v>
      </c>
      <c r="I23" s="147">
        <v>0</v>
      </c>
      <c r="J23" s="147">
        <v>0</v>
      </c>
      <c r="K23" s="147">
        <v>0</v>
      </c>
      <c r="L23" s="147">
        <v>0</v>
      </c>
      <c r="M23" s="147">
        <v>0</v>
      </c>
      <c r="N23" s="147">
        <v>0</v>
      </c>
      <c r="O23" s="147">
        <v>0</v>
      </c>
      <c r="P23" s="147">
        <v>0</v>
      </c>
      <c r="Q23" s="147">
        <v>0</v>
      </c>
      <c r="R23" s="147">
        <v>0</v>
      </c>
      <c r="S23" s="147">
        <v>6.9997570608316406E-2</v>
      </c>
      <c r="T23" s="147">
        <v>0</v>
      </c>
      <c r="U23" s="147">
        <v>0</v>
      </c>
      <c r="V23" s="147">
        <v>0</v>
      </c>
      <c r="W23" s="147">
        <v>0</v>
      </c>
      <c r="X23" s="147">
        <v>0</v>
      </c>
      <c r="Y23" s="147">
        <v>0.19583916881295843</v>
      </c>
      <c r="Z23" s="147">
        <v>0</v>
      </c>
      <c r="AA23" s="147">
        <v>1.4999999999999999E-2</v>
      </c>
      <c r="AB23" s="147">
        <v>0.10998900109989004</v>
      </c>
      <c r="AC23" s="147">
        <v>0</v>
      </c>
      <c r="AD23" s="147">
        <v>7.355096873340382E-3</v>
      </c>
      <c r="AE23" s="147">
        <v>8.5749061051887073E-4</v>
      </c>
      <c r="AF23" s="147">
        <v>0</v>
      </c>
      <c r="AG23" s="147">
        <v>0.10803457106274007</v>
      </c>
      <c r="AH23" s="147">
        <v>0</v>
      </c>
      <c r="AI23" s="147">
        <v>0.20192399811178893</v>
      </c>
      <c r="AJ23" s="147">
        <v>0.21001217440575029</v>
      </c>
      <c r="AK23" s="147">
        <v>0.37996707585287731</v>
      </c>
      <c r="AL23" s="147">
        <v>0</v>
      </c>
      <c r="AM23" s="147">
        <v>0.13611247629638809</v>
      </c>
      <c r="AN23" s="147">
        <v>0.14000000000000001</v>
      </c>
      <c r="AO23" s="147">
        <v>2.5984757733397829E-2</v>
      </c>
      <c r="AP23" s="147">
        <v>0</v>
      </c>
      <c r="AQ23" s="147">
        <v>0</v>
      </c>
      <c r="AR23" s="147">
        <v>0</v>
      </c>
    </row>
    <row r="24" spans="1:44" customFormat="1" x14ac:dyDescent="0.15">
      <c r="A24" s="182" t="s">
        <v>215</v>
      </c>
      <c r="B24" s="147">
        <v>0</v>
      </c>
      <c r="C24" s="147">
        <v>0</v>
      </c>
      <c r="D24" s="147">
        <v>0</v>
      </c>
      <c r="E24" s="147">
        <v>0</v>
      </c>
      <c r="F24" s="147">
        <v>0</v>
      </c>
      <c r="G24" s="147">
        <v>0</v>
      </c>
      <c r="H24" s="147">
        <v>0</v>
      </c>
      <c r="I24" s="147">
        <v>0</v>
      </c>
      <c r="J24" s="147">
        <v>0</v>
      </c>
      <c r="K24" s="147">
        <v>0</v>
      </c>
      <c r="L24" s="147">
        <v>0</v>
      </c>
      <c r="M24" s="147">
        <v>0</v>
      </c>
      <c r="N24" s="147">
        <v>0</v>
      </c>
      <c r="O24" s="147">
        <v>0</v>
      </c>
      <c r="P24" s="147">
        <v>0</v>
      </c>
      <c r="Q24" s="147">
        <v>0</v>
      </c>
      <c r="R24" s="147">
        <v>0</v>
      </c>
      <c r="S24" s="147">
        <v>0</v>
      </c>
      <c r="T24" s="147">
        <v>0</v>
      </c>
      <c r="U24" s="147">
        <v>0</v>
      </c>
      <c r="V24" s="147">
        <v>0</v>
      </c>
      <c r="W24" s="147">
        <v>0</v>
      </c>
      <c r="X24" s="147">
        <v>0</v>
      </c>
      <c r="Y24" s="147">
        <v>0</v>
      </c>
      <c r="Z24" s="147">
        <v>0</v>
      </c>
      <c r="AA24" s="147">
        <v>0</v>
      </c>
      <c r="AB24" s="147">
        <v>6.7993200679932031E-2</v>
      </c>
      <c r="AC24" s="147">
        <v>0.10500000011549998</v>
      </c>
      <c r="AD24" s="147">
        <v>4.1224899780449083E-2</v>
      </c>
      <c r="AE24" s="147">
        <v>3.2865190987397104E-2</v>
      </c>
      <c r="AF24" s="147">
        <v>0</v>
      </c>
      <c r="AG24" s="147">
        <v>0</v>
      </c>
      <c r="AH24" s="147">
        <v>1.3998600139985998E-3</v>
      </c>
      <c r="AI24" s="147">
        <v>9.9965146033075356E-3</v>
      </c>
      <c r="AJ24" s="147">
        <v>0</v>
      </c>
      <c r="AK24" s="147">
        <v>0</v>
      </c>
      <c r="AL24" s="147">
        <v>0</v>
      </c>
      <c r="AM24" s="147">
        <v>0</v>
      </c>
      <c r="AN24" s="147">
        <v>2.3999999999999998E-3</v>
      </c>
      <c r="AO24" s="147">
        <v>2.9987787503526976E-3</v>
      </c>
      <c r="AP24" s="147">
        <v>0</v>
      </c>
      <c r="AQ24" s="147">
        <v>0</v>
      </c>
      <c r="AR24" s="147">
        <v>0</v>
      </c>
    </row>
    <row r="25" spans="1:44" customFormat="1" x14ac:dyDescent="0.15">
      <c r="A25" s="182" t="s">
        <v>216</v>
      </c>
      <c r="B25" s="147">
        <v>0</v>
      </c>
      <c r="C25" s="147">
        <v>0</v>
      </c>
      <c r="D25" s="147">
        <v>0</v>
      </c>
      <c r="E25" s="147">
        <v>0</v>
      </c>
      <c r="F25" s="147">
        <v>0</v>
      </c>
      <c r="G25" s="147">
        <v>0</v>
      </c>
      <c r="H25" s="147">
        <v>0</v>
      </c>
      <c r="I25" s="147">
        <v>0</v>
      </c>
      <c r="J25" s="147">
        <v>0</v>
      </c>
      <c r="K25" s="147">
        <v>0</v>
      </c>
      <c r="L25" s="147">
        <v>0</v>
      </c>
      <c r="M25" s="147">
        <v>0</v>
      </c>
      <c r="N25" s="147">
        <v>0</v>
      </c>
      <c r="O25" s="147">
        <v>0</v>
      </c>
      <c r="P25" s="147">
        <v>0</v>
      </c>
      <c r="Q25" s="147">
        <v>0</v>
      </c>
      <c r="R25" s="147">
        <v>0</v>
      </c>
      <c r="S25" s="147">
        <v>0</v>
      </c>
      <c r="T25" s="147">
        <v>0</v>
      </c>
      <c r="U25" s="147">
        <v>0</v>
      </c>
      <c r="V25" s="147">
        <v>0</v>
      </c>
      <c r="W25" s="147">
        <v>0</v>
      </c>
      <c r="X25" s="147">
        <v>0</v>
      </c>
      <c r="Y25" s="147">
        <v>0</v>
      </c>
      <c r="Z25" s="147">
        <v>0</v>
      </c>
      <c r="AA25" s="147">
        <v>0</v>
      </c>
      <c r="AB25" s="147">
        <v>0.25497450254974507</v>
      </c>
      <c r="AC25" s="147">
        <v>0.13000000014299998</v>
      </c>
      <c r="AD25" s="147">
        <v>1.1505315274236011E-2</v>
      </c>
      <c r="AE25" s="147">
        <v>0</v>
      </c>
      <c r="AF25" s="147">
        <v>0</v>
      </c>
      <c r="AG25" s="147">
        <v>0</v>
      </c>
      <c r="AH25" s="147">
        <v>5.2994700529946995E-2</v>
      </c>
      <c r="AI25" s="147">
        <v>1.5993927553537898E-2</v>
      </c>
      <c r="AJ25" s="147">
        <v>0</v>
      </c>
      <c r="AK25" s="147">
        <v>0</v>
      </c>
      <c r="AL25" s="147">
        <v>0</v>
      </c>
      <c r="AM25" s="147">
        <v>0.23509409170832438</v>
      </c>
      <c r="AN25" s="147">
        <v>0.28000000000000003</v>
      </c>
      <c r="AO25" s="147">
        <v>0.27988601669958513</v>
      </c>
      <c r="AP25" s="147">
        <v>0</v>
      </c>
      <c r="AQ25" s="147">
        <v>0</v>
      </c>
      <c r="AR25" s="147">
        <v>0</v>
      </c>
    </row>
    <row r="26" spans="1:44" customFormat="1" x14ac:dyDescent="0.15">
      <c r="A26" s="182" t="s">
        <v>217</v>
      </c>
      <c r="B26" s="147">
        <v>0</v>
      </c>
      <c r="C26" s="147">
        <v>0</v>
      </c>
      <c r="D26" s="147">
        <v>0</v>
      </c>
      <c r="E26" s="147">
        <v>0</v>
      </c>
      <c r="F26" s="147">
        <v>0</v>
      </c>
      <c r="G26" s="147">
        <v>0</v>
      </c>
      <c r="H26" s="147">
        <v>0</v>
      </c>
      <c r="I26" s="147">
        <v>0</v>
      </c>
      <c r="J26" s="147">
        <v>0</v>
      </c>
      <c r="K26" s="147">
        <v>0</v>
      </c>
      <c r="L26" s="147">
        <v>0</v>
      </c>
      <c r="M26" s="147">
        <v>0</v>
      </c>
      <c r="N26" s="147">
        <v>0</v>
      </c>
      <c r="O26" s="147">
        <v>0</v>
      </c>
      <c r="P26" s="147">
        <v>0</v>
      </c>
      <c r="Q26" s="147">
        <v>0</v>
      </c>
      <c r="R26" s="147">
        <v>0</v>
      </c>
      <c r="S26" s="147">
        <v>0</v>
      </c>
      <c r="T26" s="147">
        <v>0</v>
      </c>
      <c r="U26" s="147">
        <v>4.0016006402561026E-2</v>
      </c>
      <c r="V26" s="147">
        <v>0</v>
      </c>
      <c r="W26" s="147">
        <v>0</v>
      </c>
      <c r="X26" s="147">
        <v>0</v>
      </c>
      <c r="Y26" s="147">
        <v>0</v>
      </c>
      <c r="Z26" s="147">
        <v>0</v>
      </c>
      <c r="AA26" s="147">
        <v>1.4E-2</v>
      </c>
      <c r="AB26" s="147">
        <v>0</v>
      </c>
      <c r="AC26" s="147">
        <v>0</v>
      </c>
      <c r="AD26" s="147">
        <v>1.8160169355261727E-2</v>
      </c>
      <c r="AE26" s="147">
        <v>0</v>
      </c>
      <c r="AF26" s="147">
        <v>0</v>
      </c>
      <c r="AG26" s="147">
        <v>0</v>
      </c>
      <c r="AH26" s="147">
        <v>0</v>
      </c>
      <c r="AI26" s="147">
        <v>0</v>
      </c>
      <c r="AJ26" s="147">
        <v>0</v>
      </c>
      <c r="AK26" s="147">
        <v>0</v>
      </c>
      <c r="AL26" s="147">
        <v>0</v>
      </c>
      <c r="AM26" s="147">
        <v>0</v>
      </c>
      <c r="AN26" s="147">
        <v>2.0000000000000001E-4</v>
      </c>
      <c r="AO26" s="147">
        <v>1.9991858335684652E-4</v>
      </c>
      <c r="AP26" s="147">
        <v>0</v>
      </c>
      <c r="AQ26" s="147">
        <v>0</v>
      </c>
      <c r="AR26" s="147">
        <v>0</v>
      </c>
    </row>
    <row r="27" spans="1:44" customFormat="1" x14ac:dyDescent="0.15">
      <c r="A27" s="182" t="s">
        <v>218</v>
      </c>
      <c r="B27" s="147">
        <v>0</v>
      </c>
      <c r="C27" s="147">
        <v>0</v>
      </c>
      <c r="D27" s="147">
        <v>0</v>
      </c>
      <c r="E27" s="147">
        <v>0</v>
      </c>
      <c r="F27" s="147">
        <v>0</v>
      </c>
      <c r="G27" s="147">
        <v>0</v>
      </c>
      <c r="H27" s="147">
        <v>0</v>
      </c>
      <c r="I27" s="147">
        <v>0</v>
      </c>
      <c r="J27" s="147">
        <v>0</v>
      </c>
      <c r="K27" s="147">
        <v>0</v>
      </c>
      <c r="L27" s="147">
        <v>0</v>
      </c>
      <c r="M27" s="147">
        <v>0</v>
      </c>
      <c r="N27" s="147">
        <v>0</v>
      </c>
      <c r="O27" s="147">
        <v>0</v>
      </c>
      <c r="P27" s="147">
        <v>0</v>
      </c>
      <c r="Q27" s="147">
        <v>0</v>
      </c>
      <c r="R27" s="147">
        <v>0</v>
      </c>
      <c r="S27" s="147">
        <v>0</v>
      </c>
      <c r="T27" s="147">
        <v>0</v>
      </c>
      <c r="U27" s="147">
        <v>0</v>
      </c>
      <c r="V27" s="147">
        <v>0</v>
      </c>
      <c r="W27" s="147">
        <v>0</v>
      </c>
      <c r="X27" s="147">
        <v>0</v>
      </c>
      <c r="Y27" s="147">
        <v>0</v>
      </c>
      <c r="Z27" s="147">
        <v>0</v>
      </c>
      <c r="AA27" s="147">
        <v>0</v>
      </c>
      <c r="AB27" s="147">
        <v>0</v>
      </c>
      <c r="AC27" s="147">
        <v>0</v>
      </c>
      <c r="AD27" s="147">
        <v>1.6032162112062813E-2</v>
      </c>
      <c r="AE27" s="147">
        <v>8.5749061051887073E-4</v>
      </c>
      <c r="AF27" s="147">
        <v>0.11</v>
      </c>
      <c r="AG27" s="147">
        <v>0</v>
      </c>
      <c r="AH27" s="147">
        <v>2.1997800219977996E-2</v>
      </c>
      <c r="AI27" s="147">
        <v>6.9975532249719696E-2</v>
      </c>
      <c r="AJ27" s="147">
        <v>0.15000869600410735</v>
      </c>
      <c r="AK27" s="147">
        <v>4.9995667875378597E-2</v>
      </c>
      <c r="AL27" s="147">
        <v>0</v>
      </c>
      <c r="AM27" s="147">
        <v>0</v>
      </c>
      <c r="AN27" s="147">
        <v>3.7999999999999999E-2</v>
      </c>
      <c r="AO27" s="147">
        <v>3.5085171598951498E-2</v>
      </c>
      <c r="AP27" s="147">
        <v>0</v>
      </c>
      <c r="AQ27" s="147">
        <v>0</v>
      </c>
      <c r="AR27" s="147">
        <v>0</v>
      </c>
    </row>
    <row r="28" spans="1:44" customFormat="1" x14ac:dyDescent="0.15">
      <c r="A28" s="182" t="s">
        <v>219</v>
      </c>
      <c r="B28" s="147">
        <v>0</v>
      </c>
      <c r="C28" s="147">
        <v>0</v>
      </c>
      <c r="D28" s="147">
        <v>0</v>
      </c>
      <c r="E28" s="147">
        <v>0</v>
      </c>
      <c r="F28" s="147">
        <v>0</v>
      </c>
      <c r="G28" s="147">
        <v>0</v>
      </c>
      <c r="H28" s="147">
        <v>0</v>
      </c>
      <c r="I28" s="147">
        <v>0</v>
      </c>
      <c r="J28" s="147">
        <v>0</v>
      </c>
      <c r="K28" s="147">
        <v>0</v>
      </c>
      <c r="L28" s="147">
        <v>0</v>
      </c>
      <c r="M28" s="147">
        <v>0</v>
      </c>
      <c r="N28" s="147">
        <v>0</v>
      </c>
      <c r="O28" s="147">
        <v>0</v>
      </c>
      <c r="P28" s="147">
        <v>0</v>
      </c>
      <c r="Q28" s="147">
        <v>0</v>
      </c>
      <c r="R28" s="147">
        <v>0</v>
      </c>
      <c r="S28" s="147">
        <v>0</v>
      </c>
      <c r="T28" s="147">
        <v>0</v>
      </c>
      <c r="U28" s="147">
        <v>4.0016006402561026E-2</v>
      </c>
      <c r="V28" s="147">
        <v>0</v>
      </c>
      <c r="W28" s="147">
        <v>0</v>
      </c>
      <c r="X28" s="147">
        <v>0</v>
      </c>
      <c r="Y28" s="147">
        <v>0</v>
      </c>
      <c r="Z28" s="147">
        <v>0</v>
      </c>
      <c r="AA28" s="147">
        <v>0</v>
      </c>
      <c r="AB28" s="147">
        <v>9.9990000999900043E-5</v>
      </c>
      <c r="AC28" s="147">
        <v>3.0000000032999994E-2</v>
      </c>
      <c r="AD28" s="147">
        <v>7.9251168385283642E-3</v>
      </c>
      <c r="AE28" s="147">
        <v>0</v>
      </c>
      <c r="AF28" s="147">
        <v>0</v>
      </c>
      <c r="AG28" s="147">
        <v>0</v>
      </c>
      <c r="AH28" s="147">
        <v>7.6992300769922993E-3</v>
      </c>
      <c r="AI28" s="147">
        <v>1.7993468383871763E-2</v>
      </c>
      <c r="AJ28" s="147">
        <v>0</v>
      </c>
      <c r="AK28" s="147">
        <v>0</v>
      </c>
      <c r="AL28" s="147">
        <v>0</v>
      </c>
      <c r="AM28" s="147">
        <v>4.0046037625638901E-2</v>
      </c>
      <c r="AN28" s="147">
        <v>8.5000000000000006E-2</v>
      </c>
      <c r="AO28" s="147">
        <v>1.4989415575496295E-2</v>
      </c>
      <c r="AP28" s="147">
        <v>0</v>
      </c>
      <c r="AQ28" s="147">
        <v>0</v>
      </c>
      <c r="AR28" s="147">
        <v>0</v>
      </c>
    </row>
    <row r="29" spans="1:44" customFormat="1" x14ac:dyDescent="0.15">
      <c r="A29" s="182" t="s">
        <v>220</v>
      </c>
      <c r="B29" s="147">
        <v>0</v>
      </c>
      <c r="C29" s="147">
        <v>0</v>
      </c>
      <c r="D29" s="147">
        <v>0</v>
      </c>
      <c r="E29" s="147">
        <v>0</v>
      </c>
      <c r="F29" s="147">
        <v>0</v>
      </c>
      <c r="G29" s="147">
        <v>0</v>
      </c>
      <c r="H29" s="147">
        <v>0</v>
      </c>
      <c r="I29" s="147">
        <v>0</v>
      </c>
      <c r="J29" s="147">
        <v>0</v>
      </c>
      <c r="K29" s="147">
        <v>0</v>
      </c>
      <c r="L29" s="147">
        <v>0</v>
      </c>
      <c r="M29" s="147">
        <v>0</v>
      </c>
      <c r="N29" s="147">
        <v>0</v>
      </c>
      <c r="O29" s="147">
        <v>0</v>
      </c>
      <c r="P29" s="147">
        <v>0</v>
      </c>
      <c r="Q29" s="147">
        <v>0</v>
      </c>
      <c r="R29" s="147">
        <v>0</v>
      </c>
      <c r="S29" s="147">
        <v>0</v>
      </c>
      <c r="T29" s="147">
        <v>0</v>
      </c>
      <c r="U29" s="147">
        <v>4.0016006402561026E-2</v>
      </c>
      <c r="V29" s="147">
        <v>0</v>
      </c>
      <c r="W29" s="147">
        <v>0</v>
      </c>
      <c r="X29" s="147">
        <v>0</v>
      </c>
      <c r="Y29" s="147">
        <v>0</v>
      </c>
      <c r="Z29" s="147">
        <v>0</v>
      </c>
      <c r="AA29" s="147">
        <v>0</v>
      </c>
      <c r="AB29" s="147">
        <v>5.9994000599940022E-3</v>
      </c>
      <c r="AC29" s="147">
        <v>1.7000000018699998E-2</v>
      </c>
      <c r="AD29" s="147">
        <v>1.0375189086698882E-2</v>
      </c>
      <c r="AE29" s="147">
        <v>2.1437250260844145E-3</v>
      </c>
      <c r="AF29" s="147">
        <v>0</v>
      </c>
      <c r="AG29" s="147">
        <v>0</v>
      </c>
      <c r="AH29" s="147">
        <v>0</v>
      </c>
      <c r="AI29" s="147">
        <v>0</v>
      </c>
      <c r="AJ29" s="147">
        <v>0</v>
      </c>
      <c r="AK29" s="147">
        <v>0</v>
      </c>
      <c r="AL29" s="147">
        <v>0</v>
      </c>
      <c r="AM29" s="147">
        <v>0.17006806634219213</v>
      </c>
      <c r="AN29" s="147">
        <v>0.02</v>
      </c>
      <c r="AO29" s="147">
        <v>0.15993486668547721</v>
      </c>
      <c r="AP29" s="147">
        <v>0</v>
      </c>
      <c r="AQ29" s="147">
        <v>0</v>
      </c>
      <c r="AR29" s="147">
        <v>0</v>
      </c>
    </row>
    <row r="30" spans="1:44" customFormat="1" x14ac:dyDescent="0.15">
      <c r="A30" s="182" t="s">
        <v>221</v>
      </c>
      <c r="B30" s="147">
        <v>0</v>
      </c>
      <c r="C30" s="147">
        <v>0</v>
      </c>
      <c r="D30" s="147">
        <v>0</v>
      </c>
      <c r="E30" s="147">
        <v>0</v>
      </c>
      <c r="F30" s="147">
        <v>0</v>
      </c>
      <c r="G30" s="147">
        <v>0</v>
      </c>
      <c r="H30" s="147">
        <v>0</v>
      </c>
      <c r="I30" s="147">
        <v>0</v>
      </c>
      <c r="J30" s="147">
        <v>0</v>
      </c>
      <c r="K30" s="147">
        <v>0</v>
      </c>
      <c r="L30" s="147">
        <v>0</v>
      </c>
      <c r="M30" s="147">
        <v>0</v>
      </c>
      <c r="N30" s="147">
        <v>0</v>
      </c>
      <c r="O30" s="147">
        <v>0</v>
      </c>
      <c r="P30" s="147">
        <v>0</v>
      </c>
      <c r="Q30" s="147">
        <v>0</v>
      </c>
      <c r="R30" s="147">
        <v>0</v>
      </c>
      <c r="S30" s="147">
        <v>0</v>
      </c>
      <c r="T30" s="147">
        <v>0</v>
      </c>
      <c r="U30" s="147">
        <v>0</v>
      </c>
      <c r="V30" s="147">
        <v>0</v>
      </c>
      <c r="W30" s="147">
        <v>0</v>
      </c>
      <c r="X30" s="147">
        <v>0</v>
      </c>
      <c r="Y30" s="147">
        <v>0</v>
      </c>
      <c r="Z30" s="147">
        <v>0</v>
      </c>
      <c r="AA30" s="147">
        <v>0</v>
      </c>
      <c r="AB30" s="147">
        <v>0</v>
      </c>
      <c r="AC30" s="147">
        <v>0</v>
      </c>
      <c r="AD30" s="147">
        <v>0</v>
      </c>
      <c r="AE30" s="147">
        <v>0</v>
      </c>
      <c r="AF30" s="147">
        <v>0</v>
      </c>
      <c r="AG30" s="147">
        <v>0</v>
      </c>
      <c r="AH30" s="147">
        <v>0</v>
      </c>
      <c r="AI30" s="147">
        <v>0</v>
      </c>
      <c r="AJ30" s="147">
        <v>0</v>
      </c>
      <c r="AK30" s="147">
        <v>0</v>
      </c>
      <c r="AL30" s="147">
        <v>0</v>
      </c>
      <c r="AM30" s="147">
        <v>0</v>
      </c>
      <c r="AN30" s="147">
        <v>0</v>
      </c>
      <c r="AO30" s="147">
        <v>0</v>
      </c>
      <c r="AP30" s="147">
        <v>0</v>
      </c>
      <c r="AQ30" s="147">
        <v>0</v>
      </c>
      <c r="AR30" s="147">
        <v>0</v>
      </c>
    </row>
    <row r="31" spans="1:44" customFormat="1" x14ac:dyDescent="0.15">
      <c r="A31" s="182" t="s">
        <v>222</v>
      </c>
      <c r="B31" s="147">
        <v>0</v>
      </c>
      <c r="C31" s="147">
        <v>0</v>
      </c>
      <c r="D31" s="147">
        <v>0</v>
      </c>
      <c r="E31" s="147">
        <v>0</v>
      </c>
      <c r="F31" s="147">
        <v>0</v>
      </c>
      <c r="G31" s="147">
        <v>0</v>
      </c>
      <c r="H31" s="147">
        <v>0</v>
      </c>
      <c r="I31" s="147">
        <v>0</v>
      </c>
      <c r="J31" s="147">
        <v>0</v>
      </c>
      <c r="K31" s="147">
        <v>0</v>
      </c>
      <c r="L31" s="147">
        <v>0</v>
      </c>
      <c r="M31" s="147">
        <v>0</v>
      </c>
      <c r="N31" s="147">
        <v>0</v>
      </c>
      <c r="O31" s="147">
        <v>0</v>
      </c>
      <c r="P31" s="147">
        <v>0</v>
      </c>
      <c r="Q31" s="147">
        <v>0</v>
      </c>
      <c r="R31" s="147">
        <v>0</v>
      </c>
      <c r="S31" s="147">
        <v>0</v>
      </c>
      <c r="T31" s="147">
        <v>0</v>
      </c>
      <c r="U31" s="147">
        <v>0</v>
      </c>
      <c r="V31" s="147">
        <v>0</v>
      </c>
      <c r="W31" s="147">
        <v>0</v>
      </c>
      <c r="X31" s="147">
        <v>0</v>
      </c>
      <c r="Y31" s="147">
        <v>0</v>
      </c>
      <c r="Z31" s="147">
        <v>0</v>
      </c>
      <c r="AA31" s="147">
        <v>0</v>
      </c>
      <c r="AB31" s="147">
        <v>0</v>
      </c>
      <c r="AC31" s="147">
        <v>0</v>
      </c>
      <c r="AD31" s="147">
        <v>2.7668128672058284E-3</v>
      </c>
      <c r="AE31" s="147">
        <v>0</v>
      </c>
      <c r="AF31" s="147">
        <v>0</v>
      </c>
      <c r="AG31" s="147">
        <v>0</v>
      </c>
      <c r="AH31" s="147">
        <v>0</v>
      </c>
      <c r="AI31" s="147">
        <v>0</v>
      </c>
      <c r="AJ31" s="147">
        <v>0</v>
      </c>
      <c r="AK31" s="147">
        <v>0</v>
      </c>
      <c r="AL31" s="147">
        <v>0</v>
      </c>
      <c r="AM31" s="147">
        <v>0</v>
      </c>
      <c r="AN31" s="147">
        <v>0</v>
      </c>
      <c r="AO31" s="147">
        <v>0</v>
      </c>
      <c r="AP31" s="147">
        <v>0</v>
      </c>
      <c r="AQ31" s="147">
        <v>0</v>
      </c>
      <c r="AR31" s="147">
        <v>0</v>
      </c>
    </row>
    <row r="32" spans="1:44" customFormat="1" x14ac:dyDescent="0.15">
      <c r="A32" s="182" t="s">
        <v>223</v>
      </c>
      <c r="B32" s="147">
        <v>0</v>
      </c>
      <c r="C32" s="147">
        <v>0</v>
      </c>
      <c r="D32" s="147">
        <v>0</v>
      </c>
      <c r="E32" s="147">
        <v>0</v>
      </c>
      <c r="F32" s="147">
        <v>0</v>
      </c>
      <c r="G32" s="147">
        <v>0</v>
      </c>
      <c r="H32" s="147">
        <v>0</v>
      </c>
      <c r="I32" s="147">
        <v>0</v>
      </c>
      <c r="J32" s="147">
        <v>0</v>
      </c>
      <c r="K32" s="147">
        <v>0</v>
      </c>
      <c r="L32" s="147">
        <v>0</v>
      </c>
      <c r="M32" s="147">
        <v>0</v>
      </c>
      <c r="N32" s="147">
        <v>0</v>
      </c>
      <c r="O32" s="147">
        <v>0</v>
      </c>
      <c r="P32" s="147">
        <v>0</v>
      </c>
      <c r="Q32" s="147">
        <v>0</v>
      </c>
      <c r="R32" s="147">
        <v>0</v>
      </c>
      <c r="S32" s="147">
        <v>0</v>
      </c>
      <c r="T32" s="147">
        <v>0</v>
      </c>
      <c r="U32" s="147">
        <v>0</v>
      </c>
      <c r="V32" s="147">
        <v>0</v>
      </c>
      <c r="W32" s="147">
        <v>0</v>
      </c>
      <c r="X32" s="147">
        <v>0</v>
      </c>
      <c r="Y32" s="147">
        <v>0</v>
      </c>
      <c r="Z32" s="147">
        <v>0</v>
      </c>
      <c r="AA32" s="147">
        <v>0</v>
      </c>
      <c r="AB32" s="147">
        <v>0</v>
      </c>
      <c r="AC32" s="147">
        <v>0</v>
      </c>
      <c r="AD32" s="147">
        <v>6.8839813590344835E-3</v>
      </c>
      <c r="AE32" s="147">
        <v>0</v>
      </c>
      <c r="AF32" s="147">
        <v>0</v>
      </c>
      <c r="AG32" s="147">
        <v>0</v>
      </c>
      <c r="AH32" s="147">
        <v>0</v>
      </c>
      <c r="AI32" s="147">
        <v>0</v>
      </c>
      <c r="AJ32" s="147">
        <v>0</v>
      </c>
      <c r="AK32" s="147">
        <v>0</v>
      </c>
      <c r="AL32" s="147">
        <v>0</v>
      </c>
      <c r="AM32" s="147">
        <v>0</v>
      </c>
      <c r="AN32" s="147">
        <v>1.8E-3</v>
      </c>
      <c r="AO32" s="147">
        <v>1.9988269797113394E-3</v>
      </c>
      <c r="AP32" s="147">
        <v>0</v>
      </c>
      <c r="AQ32" s="147">
        <v>0</v>
      </c>
      <c r="AR32" s="147">
        <v>0</v>
      </c>
    </row>
    <row r="33" spans="1:44" customFormat="1" x14ac:dyDescent="0.15">
      <c r="A33" s="182" t="s">
        <v>224</v>
      </c>
      <c r="B33" s="147">
        <v>0</v>
      </c>
      <c r="C33" s="147">
        <v>0</v>
      </c>
      <c r="D33" s="147">
        <v>0</v>
      </c>
      <c r="E33" s="147">
        <v>0</v>
      </c>
      <c r="F33" s="147">
        <v>0</v>
      </c>
      <c r="G33" s="147">
        <v>0</v>
      </c>
      <c r="H33" s="147">
        <v>0</v>
      </c>
      <c r="I33" s="147">
        <v>0</v>
      </c>
      <c r="J33" s="147">
        <v>0</v>
      </c>
      <c r="K33" s="147">
        <v>0</v>
      </c>
      <c r="L33" s="147">
        <v>0</v>
      </c>
      <c r="M33" s="147">
        <v>0</v>
      </c>
      <c r="N33" s="147">
        <v>0</v>
      </c>
      <c r="O33" s="147">
        <v>0</v>
      </c>
      <c r="P33" s="147">
        <v>0</v>
      </c>
      <c r="Q33" s="147">
        <v>0</v>
      </c>
      <c r="R33" s="147">
        <v>0</v>
      </c>
      <c r="S33" s="147">
        <v>0</v>
      </c>
      <c r="T33" s="147">
        <v>0</v>
      </c>
      <c r="U33" s="147">
        <v>0</v>
      </c>
      <c r="V33" s="147">
        <v>0</v>
      </c>
      <c r="W33" s="147">
        <v>0</v>
      </c>
      <c r="X33" s="147">
        <v>0</v>
      </c>
      <c r="Y33" s="147">
        <v>0</v>
      </c>
      <c r="Z33" s="147">
        <v>0</v>
      </c>
      <c r="AA33" s="147">
        <v>0</v>
      </c>
      <c r="AB33" s="147">
        <v>0</v>
      </c>
      <c r="AC33" s="147">
        <v>0</v>
      </c>
      <c r="AD33" s="147">
        <v>1.9703057691059225E-3</v>
      </c>
      <c r="AE33" s="147">
        <v>0</v>
      </c>
      <c r="AF33" s="147">
        <v>0.09</v>
      </c>
      <c r="AG33" s="147">
        <v>0</v>
      </c>
      <c r="AH33" s="147">
        <v>0</v>
      </c>
      <c r="AI33" s="147">
        <v>8.0369485956527931E-2</v>
      </c>
      <c r="AJ33" s="147">
        <v>0.10000579733607158</v>
      </c>
      <c r="AK33" s="147">
        <v>8.9992202175681463E-2</v>
      </c>
      <c r="AL33" s="147">
        <v>0</v>
      </c>
      <c r="AM33" s="147">
        <v>0</v>
      </c>
      <c r="AN33" s="147">
        <v>8.9999999999999993E-3</v>
      </c>
      <c r="AO33" s="147">
        <v>0.10995522084626558</v>
      </c>
      <c r="AP33" s="147">
        <v>0</v>
      </c>
      <c r="AQ33" s="147">
        <v>0</v>
      </c>
      <c r="AR33" s="147">
        <v>0</v>
      </c>
    </row>
    <row r="34" spans="1:44" customFormat="1" x14ac:dyDescent="0.15">
      <c r="A34" s="182" t="s">
        <v>225</v>
      </c>
      <c r="B34" s="147">
        <v>0</v>
      </c>
      <c r="C34" s="147">
        <v>0</v>
      </c>
      <c r="D34" s="147">
        <v>0</v>
      </c>
      <c r="E34" s="147">
        <v>0</v>
      </c>
      <c r="F34" s="147">
        <v>0</v>
      </c>
      <c r="G34" s="147">
        <v>0</v>
      </c>
      <c r="H34" s="147">
        <v>0</v>
      </c>
      <c r="I34" s="147">
        <v>0</v>
      </c>
      <c r="J34" s="147">
        <v>0</v>
      </c>
      <c r="K34" s="147">
        <v>0</v>
      </c>
      <c r="L34" s="147">
        <v>0</v>
      </c>
      <c r="M34" s="147">
        <v>0</v>
      </c>
      <c r="N34" s="147">
        <v>0</v>
      </c>
      <c r="O34" s="147">
        <v>0</v>
      </c>
      <c r="P34" s="147">
        <v>0</v>
      </c>
      <c r="Q34" s="147">
        <v>0</v>
      </c>
      <c r="R34" s="147">
        <v>0</v>
      </c>
      <c r="S34" s="147">
        <v>0</v>
      </c>
      <c r="T34" s="147">
        <v>0</v>
      </c>
      <c r="U34" s="147">
        <v>5.0020008003201282E-4</v>
      </c>
      <c r="V34" s="147">
        <v>0</v>
      </c>
      <c r="W34" s="147">
        <v>0</v>
      </c>
      <c r="X34" s="147">
        <v>0</v>
      </c>
      <c r="Y34" s="147">
        <v>0</v>
      </c>
      <c r="Z34" s="147">
        <v>0</v>
      </c>
      <c r="AA34" s="147">
        <v>0</v>
      </c>
      <c r="AB34" s="147">
        <v>0</v>
      </c>
      <c r="AC34" s="147">
        <v>0</v>
      </c>
      <c r="AD34" s="147">
        <v>7.8972945247427123E-2</v>
      </c>
      <c r="AE34" s="147">
        <v>2.5724704713637081E-2</v>
      </c>
      <c r="AF34" s="147">
        <v>0</v>
      </c>
      <c r="AG34" s="147">
        <v>0</v>
      </c>
      <c r="AH34" s="147">
        <v>3.9996000399959999E-2</v>
      </c>
      <c r="AI34" s="147">
        <v>2.9989513821308444E-2</v>
      </c>
      <c r="AJ34" s="147">
        <v>0</v>
      </c>
      <c r="AK34" s="147">
        <v>0</v>
      </c>
      <c r="AL34" s="147">
        <v>0</v>
      </c>
      <c r="AM34" s="147">
        <v>1.5006005853722833E-2</v>
      </c>
      <c r="AN34" s="147">
        <v>7.0000000000000007E-2</v>
      </c>
      <c r="AO34" s="147">
        <v>0</v>
      </c>
      <c r="AP34" s="147">
        <v>0</v>
      </c>
      <c r="AQ34" s="147">
        <v>0</v>
      </c>
      <c r="AR34" s="147">
        <v>0</v>
      </c>
    </row>
    <row r="35" spans="1:44" customFormat="1" x14ac:dyDescent="0.15">
      <c r="A35" s="182" t="s">
        <v>226</v>
      </c>
      <c r="B35" s="147">
        <v>0</v>
      </c>
      <c r="C35" s="147">
        <v>0</v>
      </c>
      <c r="D35" s="147">
        <v>0</v>
      </c>
      <c r="E35" s="147">
        <v>0</v>
      </c>
      <c r="F35" s="147">
        <v>0</v>
      </c>
      <c r="G35" s="147">
        <v>0</v>
      </c>
      <c r="H35" s="147">
        <v>0</v>
      </c>
      <c r="I35" s="147">
        <v>0</v>
      </c>
      <c r="J35" s="147">
        <v>0</v>
      </c>
      <c r="K35" s="147">
        <v>0</v>
      </c>
      <c r="L35" s="147">
        <v>0</v>
      </c>
      <c r="M35" s="147">
        <v>0</v>
      </c>
      <c r="N35" s="147">
        <v>0</v>
      </c>
      <c r="O35" s="147">
        <v>0</v>
      </c>
      <c r="P35" s="147">
        <v>0</v>
      </c>
      <c r="Q35" s="147">
        <v>0</v>
      </c>
      <c r="R35" s="147">
        <v>8.9991000899909981E-2</v>
      </c>
      <c r="S35" s="147">
        <v>0</v>
      </c>
      <c r="T35" s="147">
        <v>0</v>
      </c>
      <c r="U35" s="147">
        <v>5.0020008003201282E-4</v>
      </c>
      <c r="V35" s="147">
        <v>0</v>
      </c>
      <c r="W35" s="147">
        <v>0</v>
      </c>
      <c r="X35" s="147">
        <v>0</v>
      </c>
      <c r="Y35" s="147">
        <v>0</v>
      </c>
      <c r="Z35" s="147">
        <v>0</v>
      </c>
      <c r="AA35" s="147">
        <v>0</v>
      </c>
      <c r="AB35" s="147">
        <v>0</v>
      </c>
      <c r="AC35" s="147">
        <v>0</v>
      </c>
      <c r="AD35" s="147">
        <v>2.8756703571327421E-2</v>
      </c>
      <c r="AE35" s="147">
        <v>1.7149802208959002E-3</v>
      </c>
      <c r="AF35" s="147">
        <v>0</v>
      </c>
      <c r="AG35" s="147">
        <v>0</v>
      </c>
      <c r="AH35" s="147">
        <v>0</v>
      </c>
      <c r="AI35" s="147">
        <v>2.9990113593591702E-2</v>
      </c>
      <c r="AJ35" s="147">
        <v>0</v>
      </c>
      <c r="AK35" s="147">
        <v>0</v>
      </c>
      <c r="AL35" s="147">
        <v>0</v>
      </c>
      <c r="AM35" s="147">
        <v>5.0020019512409447E-2</v>
      </c>
      <c r="AN35" s="147">
        <v>0.06</v>
      </c>
      <c r="AO35" s="147">
        <v>0.128947486265166</v>
      </c>
      <c r="AP35" s="147">
        <v>0</v>
      </c>
      <c r="AQ35" s="147">
        <v>0</v>
      </c>
      <c r="AR35" s="147">
        <v>0</v>
      </c>
    </row>
    <row r="36" spans="1:44" customFormat="1" x14ac:dyDescent="0.15">
      <c r="A36" s="182" t="s">
        <v>227</v>
      </c>
      <c r="B36" s="147">
        <v>0</v>
      </c>
      <c r="C36" s="147">
        <v>0</v>
      </c>
      <c r="D36" s="147">
        <v>0</v>
      </c>
      <c r="E36" s="147">
        <v>0</v>
      </c>
      <c r="F36" s="147">
        <v>0</v>
      </c>
      <c r="G36" s="147">
        <v>0</v>
      </c>
      <c r="H36" s="147">
        <v>0</v>
      </c>
      <c r="I36" s="147">
        <v>0</v>
      </c>
      <c r="J36" s="147">
        <v>0</v>
      </c>
      <c r="K36" s="147">
        <v>0</v>
      </c>
      <c r="L36" s="147">
        <v>0</v>
      </c>
      <c r="M36" s="147">
        <v>0</v>
      </c>
      <c r="N36" s="147">
        <v>0</v>
      </c>
      <c r="O36" s="147">
        <v>0</v>
      </c>
      <c r="P36" s="147">
        <v>0</v>
      </c>
      <c r="Q36" s="147">
        <v>0</v>
      </c>
      <c r="R36" s="147">
        <v>0</v>
      </c>
      <c r="S36" s="147">
        <v>0</v>
      </c>
      <c r="T36" s="147">
        <v>0</v>
      </c>
      <c r="U36" s="147">
        <v>0</v>
      </c>
      <c r="V36" s="147">
        <v>0</v>
      </c>
      <c r="W36" s="147">
        <v>0</v>
      </c>
      <c r="X36" s="147">
        <v>0</v>
      </c>
      <c r="Y36" s="147">
        <v>0</v>
      </c>
      <c r="Z36" s="147">
        <v>0</v>
      </c>
      <c r="AA36" s="147">
        <v>0</v>
      </c>
      <c r="AB36" s="147">
        <v>0</v>
      </c>
      <c r="AC36" s="147">
        <v>0</v>
      </c>
      <c r="AD36" s="147">
        <v>0</v>
      </c>
      <c r="AE36" s="147">
        <v>0</v>
      </c>
      <c r="AF36" s="147">
        <v>0</v>
      </c>
      <c r="AG36" s="147">
        <v>0</v>
      </c>
      <c r="AH36" s="147">
        <v>0</v>
      </c>
      <c r="AI36" s="147">
        <v>0</v>
      </c>
      <c r="AJ36" s="147">
        <v>0</v>
      </c>
      <c r="AK36" s="147">
        <v>0</v>
      </c>
      <c r="AL36" s="147">
        <v>0</v>
      </c>
      <c r="AM36" s="147">
        <v>0</v>
      </c>
      <c r="AN36" s="147">
        <v>0</v>
      </c>
      <c r="AO36" s="147">
        <v>0</v>
      </c>
      <c r="AP36" s="147">
        <v>0</v>
      </c>
      <c r="AQ36" s="147">
        <v>0</v>
      </c>
      <c r="AR36" s="147">
        <v>0</v>
      </c>
    </row>
    <row r="37" spans="1:44" customFormat="1" x14ac:dyDescent="0.15">
      <c r="A37" s="182" t="s">
        <v>228</v>
      </c>
      <c r="B37" s="147">
        <v>0</v>
      </c>
      <c r="C37" s="147">
        <v>0</v>
      </c>
      <c r="D37" s="147">
        <v>0</v>
      </c>
      <c r="E37" s="147">
        <v>0</v>
      </c>
      <c r="F37" s="147">
        <v>0</v>
      </c>
      <c r="G37" s="147">
        <v>0</v>
      </c>
      <c r="H37" s="147">
        <v>0</v>
      </c>
      <c r="I37" s="147">
        <v>0</v>
      </c>
      <c r="J37" s="147">
        <v>0</v>
      </c>
      <c r="K37" s="147">
        <v>0</v>
      </c>
      <c r="L37" s="147">
        <v>0</v>
      </c>
      <c r="M37" s="147">
        <v>0</v>
      </c>
      <c r="N37" s="147">
        <v>0</v>
      </c>
      <c r="O37" s="147">
        <v>0</v>
      </c>
      <c r="P37" s="147">
        <v>0</v>
      </c>
      <c r="Q37" s="147">
        <v>0</v>
      </c>
      <c r="R37" s="147">
        <v>0</v>
      </c>
      <c r="S37" s="147">
        <v>0</v>
      </c>
      <c r="T37" s="147">
        <v>0</v>
      </c>
      <c r="U37" s="147">
        <v>0</v>
      </c>
      <c r="V37" s="147">
        <v>0</v>
      </c>
      <c r="W37" s="147">
        <v>0</v>
      </c>
      <c r="X37" s="147">
        <v>0</v>
      </c>
      <c r="Y37" s="147">
        <v>0</v>
      </c>
      <c r="Z37" s="147">
        <v>0</v>
      </c>
      <c r="AA37" s="147">
        <v>0</v>
      </c>
      <c r="AB37" s="147">
        <v>0</v>
      </c>
      <c r="AC37" s="147">
        <v>0</v>
      </c>
      <c r="AD37" s="147">
        <v>0</v>
      </c>
      <c r="AE37" s="147">
        <v>0</v>
      </c>
      <c r="AF37" s="147">
        <v>0</v>
      </c>
      <c r="AG37" s="147">
        <v>0</v>
      </c>
      <c r="AH37" s="147">
        <v>0</v>
      </c>
      <c r="AI37" s="147">
        <v>0</v>
      </c>
      <c r="AJ37" s="147">
        <v>0</v>
      </c>
      <c r="AK37" s="147">
        <v>0</v>
      </c>
      <c r="AL37" s="147">
        <v>0</v>
      </c>
      <c r="AM37" s="147">
        <v>0</v>
      </c>
      <c r="AN37" s="147">
        <v>0</v>
      </c>
      <c r="AO37" s="147">
        <v>0</v>
      </c>
      <c r="AP37" s="147">
        <v>0</v>
      </c>
      <c r="AQ37" s="147">
        <v>0</v>
      </c>
      <c r="AR37" s="147">
        <v>0</v>
      </c>
    </row>
    <row r="38" spans="1:44" customFormat="1" x14ac:dyDescent="0.15">
      <c r="A38" s="182" t="s">
        <v>229</v>
      </c>
      <c r="B38" s="147">
        <v>0</v>
      </c>
      <c r="C38" s="147">
        <v>0</v>
      </c>
      <c r="D38" s="147">
        <v>0</v>
      </c>
      <c r="E38" s="147">
        <v>0</v>
      </c>
      <c r="F38" s="147">
        <v>0</v>
      </c>
      <c r="G38" s="147">
        <v>0</v>
      </c>
      <c r="H38" s="147">
        <v>0</v>
      </c>
      <c r="I38" s="147">
        <v>0</v>
      </c>
      <c r="J38" s="147">
        <v>0</v>
      </c>
      <c r="K38" s="147">
        <v>0</v>
      </c>
      <c r="L38" s="147">
        <v>0</v>
      </c>
      <c r="M38" s="147">
        <v>0</v>
      </c>
      <c r="N38" s="147">
        <v>0</v>
      </c>
      <c r="O38" s="147">
        <v>0</v>
      </c>
      <c r="P38" s="147">
        <v>0</v>
      </c>
      <c r="Q38" s="147">
        <v>0</v>
      </c>
      <c r="R38" s="147">
        <v>0</v>
      </c>
      <c r="S38" s="147">
        <v>0</v>
      </c>
      <c r="T38" s="147">
        <v>0</v>
      </c>
      <c r="U38" s="147">
        <v>0</v>
      </c>
      <c r="V38" s="147">
        <v>0</v>
      </c>
      <c r="W38" s="147">
        <v>0</v>
      </c>
      <c r="X38" s="147">
        <v>0</v>
      </c>
      <c r="Y38" s="147">
        <v>0</v>
      </c>
      <c r="Z38" s="147">
        <v>0</v>
      </c>
      <c r="AA38" s="147">
        <v>0</v>
      </c>
      <c r="AB38" s="147">
        <v>0</v>
      </c>
      <c r="AC38" s="147">
        <v>0</v>
      </c>
      <c r="AD38" s="147">
        <v>0</v>
      </c>
      <c r="AE38" s="147">
        <v>0</v>
      </c>
      <c r="AF38" s="147">
        <v>0</v>
      </c>
      <c r="AG38" s="147">
        <v>0</v>
      </c>
      <c r="AH38" s="147">
        <v>0</v>
      </c>
      <c r="AI38" s="147">
        <v>0</v>
      </c>
      <c r="AJ38" s="147">
        <v>0</v>
      </c>
      <c r="AK38" s="147">
        <v>0</v>
      </c>
      <c r="AL38" s="147">
        <v>0</v>
      </c>
      <c r="AM38" s="147">
        <v>0</v>
      </c>
      <c r="AN38" s="147">
        <v>0</v>
      </c>
      <c r="AO38" s="147">
        <v>0</v>
      </c>
      <c r="AP38" s="147">
        <v>0</v>
      </c>
      <c r="AQ38" s="147">
        <v>0</v>
      </c>
      <c r="AR38" s="147">
        <v>0</v>
      </c>
    </row>
    <row r="39" spans="1:44" x14ac:dyDescent="0.15">
      <c r="A39" s="182" t="s">
        <v>230</v>
      </c>
      <c r="B39" s="147">
        <v>0</v>
      </c>
      <c r="C39" s="147">
        <v>0</v>
      </c>
      <c r="D39" s="147">
        <v>0</v>
      </c>
      <c r="E39" s="147">
        <v>0</v>
      </c>
      <c r="F39" s="147">
        <v>0</v>
      </c>
      <c r="G39" s="147">
        <v>0</v>
      </c>
      <c r="H39" s="147">
        <v>0</v>
      </c>
      <c r="I39" s="147">
        <v>0</v>
      </c>
      <c r="J39" s="147">
        <v>0</v>
      </c>
      <c r="K39" s="147">
        <v>0</v>
      </c>
      <c r="L39" s="147">
        <v>0</v>
      </c>
      <c r="M39" s="147">
        <v>0</v>
      </c>
      <c r="N39" s="147">
        <v>0</v>
      </c>
      <c r="O39" s="147">
        <v>0</v>
      </c>
      <c r="P39" s="147">
        <v>0</v>
      </c>
      <c r="Q39" s="147">
        <v>0</v>
      </c>
      <c r="R39" s="147">
        <v>0</v>
      </c>
      <c r="S39" s="147">
        <v>0</v>
      </c>
      <c r="T39" s="147">
        <v>0</v>
      </c>
      <c r="U39" s="147">
        <v>0</v>
      </c>
      <c r="V39" s="147">
        <v>0</v>
      </c>
      <c r="W39" s="147">
        <v>0</v>
      </c>
      <c r="X39" s="147">
        <v>0</v>
      </c>
      <c r="Y39" s="147">
        <v>0</v>
      </c>
      <c r="Z39" s="147">
        <v>0</v>
      </c>
      <c r="AA39" s="147">
        <v>0</v>
      </c>
      <c r="AB39" s="147">
        <v>0</v>
      </c>
      <c r="AC39" s="147">
        <v>0</v>
      </c>
      <c r="AD39" s="147">
        <v>0</v>
      </c>
      <c r="AE39" s="147">
        <v>0</v>
      </c>
      <c r="AF39" s="147">
        <v>0</v>
      </c>
      <c r="AG39" s="147">
        <v>0</v>
      </c>
      <c r="AH39" s="147">
        <v>0</v>
      </c>
      <c r="AI39" s="147">
        <v>0</v>
      </c>
      <c r="AJ39" s="147">
        <v>0</v>
      </c>
      <c r="AK39" s="147">
        <v>0</v>
      </c>
      <c r="AL39" s="147">
        <v>0</v>
      </c>
      <c r="AM39" s="147">
        <v>0</v>
      </c>
      <c r="AN39" s="147">
        <v>0</v>
      </c>
      <c r="AO39" s="147">
        <v>0</v>
      </c>
      <c r="AP39" s="147">
        <v>0</v>
      </c>
      <c r="AQ39" s="147">
        <v>0</v>
      </c>
      <c r="AR39" s="147">
        <v>0</v>
      </c>
    </row>
    <row r="40" spans="1:44" x14ac:dyDescent="0.15">
      <c r="A40" s="182" t="s">
        <v>231</v>
      </c>
      <c r="B40" s="147">
        <v>0</v>
      </c>
      <c r="C40" s="147">
        <v>0</v>
      </c>
      <c r="D40" s="147">
        <v>0</v>
      </c>
      <c r="E40" s="147">
        <v>0</v>
      </c>
      <c r="F40" s="147">
        <v>0</v>
      </c>
      <c r="G40" s="147">
        <v>0</v>
      </c>
      <c r="H40" s="147">
        <v>0</v>
      </c>
      <c r="I40" s="147">
        <v>0</v>
      </c>
      <c r="J40" s="147">
        <v>0</v>
      </c>
      <c r="K40" s="147">
        <v>0</v>
      </c>
      <c r="L40" s="147">
        <v>0</v>
      </c>
      <c r="M40" s="147">
        <v>0</v>
      </c>
      <c r="N40" s="147">
        <v>0</v>
      </c>
      <c r="O40" s="147">
        <v>0</v>
      </c>
      <c r="P40" s="147">
        <v>0</v>
      </c>
      <c r="Q40" s="147">
        <v>0</v>
      </c>
      <c r="R40" s="147">
        <v>0</v>
      </c>
      <c r="S40" s="147">
        <v>0</v>
      </c>
      <c r="T40" s="147">
        <v>0</v>
      </c>
      <c r="U40" s="147">
        <v>0</v>
      </c>
      <c r="V40" s="147">
        <v>0</v>
      </c>
      <c r="W40" s="147">
        <v>0</v>
      </c>
      <c r="X40" s="147">
        <v>0</v>
      </c>
      <c r="Y40" s="147">
        <v>0</v>
      </c>
      <c r="Z40" s="147">
        <v>0</v>
      </c>
      <c r="AA40" s="147">
        <v>0</v>
      </c>
      <c r="AB40" s="147">
        <v>0</v>
      </c>
      <c r="AC40" s="147">
        <v>0</v>
      </c>
      <c r="AD40" s="147">
        <v>0</v>
      </c>
      <c r="AE40" s="147">
        <v>0</v>
      </c>
      <c r="AF40" s="147">
        <v>0</v>
      </c>
      <c r="AG40" s="147">
        <v>0</v>
      </c>
      <c r="AH40" s="147">
        <v>0</v>
      </c>
      <c r="AI40" s="147">
        <v>0</v>
      </c>
      <c r="AJ40" s="147">
        <v>0</v>
      </c>
      <c r="AK40" s="147">
        <v>0</v>
      </c>
      <c r="AL40" s="147">
        <v>0</v>
      </c>
      <c r="AM40" s="147">
        <v>0</v>
      </c>
      <c r="AN40" s="147">
        <v>0</v>
      </c>
      <c r="AO40" s="147">
        <v>0</v>
      </c>
      <c r="AP40" s="147">
        <v>0</v>
      </c>
      <c r="AQ40" s="147">
        <v>0</v>
      </c>
      <c r="AR40" s="147">
        <v>0</v>
      </c>
    </row>
    <row r="41" spans="1:44" x14ac:dyDescent="0.15">
      <c r="A41" s="182" t="s">
        <v>232</v>
      </c>
      <c r="B41" s="147">
        <v>0</v>
      </c>
      <c r="C41" s="147">
        <v>0</v>
      </c>
      <c r="D41" s="147">
        <v>0</v>
      </c>
      <c r="E41" s="147">
        <v>0</v>
      </c>
      <c r="F41" s="147">
        <v>0</v>
      </c>
      <c r="G41" s="147">
        <v>0</v>
      </c>
      <c r="H41" s="147">
        <v>0</v>
      </c>
      <c r="I41" s="147">
        <v>0</v>
      </c>
      <c r="J41" s="147">
        <v>0</v>
      </c>
      <c r="K41" s="147">
        <v>0</v>
      </c>
      <c r="L41" s="147">
        <v>0</v>
      </c>
      <c r="M41" s="147">
        <v>0</v>
      </c>
      <c r="N41" s="147">
        <v>0</v>
      </c>
      <c r="O41" s="147">
        <v>0</v>
      </c>
      <c r="P41" s="147">
        <v>0</v>
      </c>
      <c r="Q41" s="147">
        <v>0</v>
      </c>
      <c r="R41" s="147">
        <v>0</v>
      </c>
      <c r="S41" s="147">
        <v>0</v>
      </c>
      <c r="T41" s="147">
        <v>0</v>
      </c>
      <c r="U41" s="147">
        <v>0</v>
      </c>
      <c r="V41" s="147">
        <v>0</v>
      </c>
      <c r="W41" s="147">
        <v>0</v>
      </c>
      <c r="X41" s="147">
        <v>0</v>
      </c>
      <c r="Y41" s="147">
        <v>0</v>
      </c>
      <c r="Z41" s="147">
        <v>0</v>
      </c>
      <c r="AA41" s="147">
        <v>0</v>
      </c>
      <c r="AB41" s="147">
        <v>0</v>
      </c>
      <c r="AC41" s="147">
        <v>0</v>
      </c>
      <c r="AD41" s="147">
        <v>0</v>
      </c>
      <c r="AE41" s="147">
        <v>0</v>
      </c>
      <c r="AF41" s="147">
        <v>0</v>
      </c>
      <c r="AG41" s="147">
        <v>0</v>
      </c>
      <c r="AH41" s="147">
        <v>0</v>
      </c>
      <c r="AI41" s="147">
        <v>0</v>
      </c>
      <c r="AJ41" s="147">
        <v>0</v>
      </c>
      <c r="AK41" s="147">
        <v>0</v>
      </c>
      <c r="AL41" s="147">
        <v>0</v>
      </c>
      <c r="AM41" s="147">
        <v>0</v>
      </c>
      <c r="AN41" s="147">
        <v>0</v>
      </c>
      <c r="AO41" s="147">
        <v>0</v>
      </c>
      <c r="AP41" s="147">
        <v>0</v>
      </c>
      <c r="AQ41" s="147">
        <v>0</v>
      </c>
      <c r="AR41" s="147">
        <v>0</v>
      </c>
    </row>
    <row r="42" spans="1:44" x14ac:dyDescent="0.15">
      <c r="A42" s="182" t="s">
        <v>233</v>
      </c>
      <c r="B42" s="147">
        <v>0</v>
      </c>
      <c r="C42" s="147">
        <v>0</v>
      </c>
      <c r="D42" s="147">
        <v>0</v>
      </c>
      <c r="E42" s="147">
        <v>0</v>
      </c>
      <c r="F42" s="147">
        <v>0</v>
      </c>
      <c r="G42" s="147">
        <v>0</v>
      </c>
      <c r="H42" s="147">
        <v>0</v>
      </c>
      <c r="I42" s="147">
        <v>0</v>
      </c>
      <c r="J42" s="147">
        <v>0</v>
      </c>
      <c r="K42" s="147">
        <v>0</v>
      </c>
      <c r="L42" s="147">
        <v>0</v>
      </c>
      <c r="M42" s="147">
        <v>0</v>
      </c>
      <c r="N42" s="147">
        <v>0</v>
      </c>
      <c r="O42" s="147">
        <v>0</v>
      </c>
      <c r="P42" s="147">
        <v>0</v>
      </c>
      <c r="Q42" s="147">
        <v>0</v>
      </c>
      <c r="R42" s="147">
        <v>0</v>
      </c>
      <c r="S42" s="147">
        <v>0</v>
      </c>
      <c r="T42" s="147">
        <v>0</v>
      </c>
      <c r="U42" s="147">
        <v>0</v>
      </c>
      <c r="V42" s="147">
        <v>0</v>
      </c>
      <c r="W42" s="147">
        <v>0</v>
      </c>
      <c r="X42" s="147">
        <v>0</v>
      </c>
      <c r="Y42" s="147">
        <v>0</v>
      </c>
      <c r="Z42" s="147">
        <v>0</v>
      </c>
      <c r="AA42" s="147">
        <v>0</v>
      </c>
      <c r="AB42" s="147">
        <v>0</v>
      </c>
      <c r="AC42" s="147">
        <v>0</v>
      </c>
      <c r="AD42" s="147">
        <v>0</v>
      </c>
      <c r="AE42" s="147">
        <v>0</v>
      </c>
      <c r="AF42" s="147">
        <v>0</v>
      </c>
      <c r="AG42" s="147">
        <v>0</v>
      </c>
      <c r="AH42" s="147">
        <v>0</v>
      </c>
      <c r="AI42" s="147">
        <v>0</v>
      </c>
      <c r="AJ42" s="147">
        <v>5.000289866803579E-2</v>
      </c>
      <c r="AK42" s="147">
        <v>4.9995667875378597E-2</v>
      </c>
      <c r="AL42" s="147">
        <v>0</v>
      </c>
      <c r="AM42" s="147">
        <v>0</v>
      </c>
      <c r="AN42" s="147">
        <v>0</v>
      </c>
      <c r="AO42" s="147">
        <v>0</v>
      </c>
      <c r="AP42" s="147">
        <v>0</v>
      </c>
      <c r="AQ42" s="147">
        <v>0</v>
      </c>
      <c r="AR42" s="147">
        <v>0</v>
      </c>
    </row>
    <row r="43" spans="1:44" x14ac:dyDescent="0.15">
      <c r="A43" s="182" t="s">
        <v>234</v>
      </c>
      <c r="B43" s="147">
        <v>0</v>
      </c>
      <c r="C43" s="147">
        <v>0.8</v>
      </c>
      <c r="D43" s="147">
        <v>0</v>
      </c>
      <c r="E43" s="147">
        <v>3.5000000000000003E-2</v>
      </c>
      <c r="F43" s="147">
        <v>0.75</v>
      </c>
      <c r="G43" s="147">
        <v>0.15</v>
      </c>
      <c r="H43" s="147">
        <v>0.65</v>
      </c>
      <c r="I43" s="147">
        <v>1</v>
      </c>
      <c r="J43" s="147">
        <v>0.5</v>
      </c>
      <c r="K43" s="147">
        <v>0.25</v>
      </c>
      <c r="L43" s="147">
        <v>0.15</v>
      </c>
      <c r="M43" s="147">
        <v>0.11998901260611566</v>
      </c>
      <c r="N43" s="147">
        <v>0</v>
      </c>
      <c r="O43" s="147">
        <v>0</v>
      </c>
      <c r="P43" s="147">
        <v>0</v>
      </c>
      <c r="Q43" s="147">
        <v>0</v>
      </c>
      <c r="R43" s="147">
        <v>0</v>
      </c>
      <c r="S43" s="147">
        <v>0</v>
      </c>
      <c r="T43" s="147">
        <v>0</v>
      </c>
      <c r="U43" s="147">
        <v>0</v>
      </c>
      <c r="V43" s="147">
        <v>0</v>
      </c>
      <c r="W43" s="147">
        <v>0</v>
      </c>
      <c r="X43" s="147">
        <v>0</v>
      </c>
      <c r="Y43" s="147">
        <v>0</v>
      </c>
      <c r="Z43" s="147">
        <v>0</v>
      </c>
      <c r="AA43" s="147">
        <v>0</v>
      </c>
      <c r="AB43" s="147">
        <v>0</v>
      </c>
      <c r="AC43" s="147">
        <v>0</v>
      </c>
      <c r="AD43" s="147">
        <v>0</v>
      </c>
      <c r="AE43" s="147">
        <v>0</v>
      </c>
      <c r="AF43" s="147">
        <v>0</v>
      </c>
      <c r="AG43" s="147">
        <v>0</v>
      </c>
      <c r="AH43" s="147">
        <v>0</v>
      </c>
      <c r="AI43" s="147">
        <v>0</v>
      </c>
      <c r="AJ43" s="147">
        <v>0</v>
      </c>
      <c r="AK43" s="147">
        <v>0</v>
      </c>
      <c r="AL43" s="147">
        <v>0</v>
      </c>
      <c r="AM43" s="147">
        <v>0</v>
      </c>
      <c r="AN43" s="147">
        <v>0</v>
      </c>
      <c r="AO43" s="147">
        <v>0</v>
      </c>
      <c r="AP43" s="147">
        <v>0</v>
      </c>
      <c r="AQ43" s="147">
        <v>0</v>
      </c>
      <c r="AR43" s="147">
        <v>0</v>
      </c>
    </row>
    <row r="44" spans="1:44" x14ac:dyDescent="0.15">
      <c r="A44" s="182" t="s">
        <v>235</v>
      </c>
      <c r="B44" s="147">
        <v>0</v>
      </c>
      <c r="C44" s="147">
        <v>0</v>
      </c>
      <c r="D44" s="147">
        <v>0</v>
      </c>
      <c r="E44" s="147">
        <v>0</v>
      </c>
      <c r="F44" s="147">
        <v>0</v>
      </c>
      <c r="G44" s="147">
        <v>0</v>
      </c>
      <c r="H44" s="147">
        <v>0</v>
      </c>
      <c r="I44" s="147">
        <v>0</v>
      </c>
      <c r="J44" s="147">
        <v>0</v>
      </c>
      <c r="K44" s="147">
        <v>0</v>
      </c>
      <c r="L44" s="147">
        <v>0</v>
      </c>
      <c r="M44" s="147">
        <v>0</v>
      </c>
      <c r="N44" s="147">
        <v>0</v>
      </c>
      <c r="O44" s="147">
        <v>0</v>
      </c>
      <c r="P44" s="147">
        <v>0</v>
      </c>
      <c r="Q44" s="147">
        <v>0</v>
      </c>
      <c r="R44" s="147">
        <v>0</v>
      </c>
      <c r="S44" s="147">
        <v>0</v>
      </c>
      <c r="T44" s="147">
        <v>0</v>
      </c>
      <c r="U44" s="147">
        <v>0</v>
      </c>
      <c r="V44" s="147">
        <v>0</v>
      </c>
      <c r="W44" s="147">
        <v>0</v>
      </c>
      <c r="X44" s="147">
        <v>0</v>
      </c>
      <c r="Y44" s="147">
        <v>0</v>
      </c>
      <c r="Z44" s="147">
        <v>0</v>
      </c>
      <c r="AA44" s="147">
        <v>0</v>
      </c>
      <c r="AB44" s="147">
        <v>0</v>
      </c>
      <c r="AC44" s="147">
        <v>0</v>
      </c>
      <c r="AD44" s="147">
        <v>0</v>
      </c>
      <c r="AE44" s="147">
        <v>0</v>
      </c>
      <c r="AF44" s="147">
        <v>0</v>
      </c>
      <c r="AG44" s="147">
        <v>0</v>
      </c>
      <c r="AH44" s="147">
        <v>0</v>
      </c>
      <c r="AI44" s="147">
        <v>0</v>
      </c>
      <c r="AJ44" s="147">
        <v>0</v>
      </c>
      <c r="AK44" s="147">
        <v>0</v>
      </c>
      <c r="AL44" s="147">
        <v>0</v>
      </c>
      <c r="AM44" s="147">
        <v>0</v>
      </c>
      <c r="AN44" s="147">
        <v>0</v>
      </c>
      <c r="AO44" s="147">
        <v>0</v>
      </c>
      <c r="AP44" s="147">
        <v>0</v>
      </c>
      <c r="AQ44" s="147">
        <v>0</v>
      </c>
      <c r="AR44" s="147">
        <v>0</v>
      </c>
    </row>
    <row r="45" spans="1:44" x14ac:dyDescent="0.15">
      <c r="A45" s="182" t="s">
        <v>242</v>
      </c>
      <c r="B45" s="147">
        <v>0</v>
      </c>
      <c r="C45" s="147">
        <v>0</v>
      </c>
      <c r="D45" s="147">
        <v>0</v>
      </c>
      <c r="E45" s="147">
        <v>0</v>
      </c>
      <c r="F45" s="147">
        <v>0</v>
      </c>
      <c r="G45" s="147">
        <v>0</v>
      </c>
      <c r="H45" s="147">
        <v>0</v>
      </c>
      <c r="I45" s="147">
        <v>0</v>
      </c>
      <c r="J45" s="147">
        <v>0</v>
      </c>
      <c r="K45" s="147">
        <v>0</v>
      </c>
      <c r="L45" s="147">
        <v>0</v>
      </c>
      <c r="M45" s="147">
        <v>0</v>
      </c>
      <c r="N45" s="147">
        <v>0</v>
      </c>
      <c r="O45" s="147">
        <v>0</v>
      </c>
      <c r="P45" s="147">
        <v>0</v>
      </c>
      <c r="Q45" s="147">
        <v>0</v>
      </c>
      <c r="R45" s="147">
        <v>0</v>
      </c>
      <c r="S45" s="147">
        <v>0</v>
      </c>
      <c r="T45" s="147">
        <v>0</v>
      </c>
      <c r="U45" s="147">
        <v>0</v>
      </c>
      <c r="V45" s="147">
        <v>0</v>
      </c>
      <c r="W45" s="147">
        <v>0</v>
      </c>
      <c r="X45" s="147">
        <v>0</v>
      </c>
      <c r="Y45" s="147">
        <v>0</v>
      </c>
      <c r="Z45" s="147">
        <v>0</v>
      </c>
      <c r="AA45" s="147">
        <v>0</v>
      </c>
      <c r="AB45" s="147">
        <v>0</v>
      </c>
      <c r="AC45" s="147">
        <v>0</v>
      </c>
      <c r="AD45" s="147">
        <v>0</v>
      </c>
      <c r="AE45" s="147">
        <v>0</v>
      </c>
      <c r="AF45" s="147">
        <v>0</v>
      </c>
      <c r="AG45" s="147">
        <v>0</v>
      </c>
      <c r="AH45" s="147">
        <v>0</v>
      </c>
      <c r="AI45" s="147">
        <v>0</v>
      </c>
      <c r="AJ45" s="147">
        <v>0.25001449334017894</v>
      </c>
      <c r="AK45" s="147">
        <v>0.19998267150151439</v>
      </c>
      <c r="AL45" s="147">
        <v>0</v>
      </c>
      <c r="AM45" s="147">
        <v>0</v>
      </c>
      <c r="AN45" s="147">
        <v>0.15</v>
      </c>
      <c r="AO45" s="147">
        <v>0.14993893751763487</v>
      </c>
      <c r="AP45" s="147">
        <v>0</v>
      </c>
      <c r="AQ45" s="147">
        <v>0</v>
      </c>
      <c r="AR45" s="147">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28" activePane="bottomRight" state="frozen"/>
      <selection pane="topRight" activeCell="C1" sqref="C1"/>
      <selection pane="bottomLeft" activeCell="A2" sqref="A2"/>
      <selection pane="bottomRight" activeCell="H52" sqref="H52"/>
    </sheetView>
  </sheetViews>
  <sheetFormatPr baseColWidth="10" defaultColWidth="8.83203125" defaultRowHeight="13" x14ac:dyDescent="0.15"/>
  <cols>
    <col min="1" max="1" width="3.33203125" customWidth="1"/>
    <col min="2" max="2" width="44.1640625" customWidth="1"/>
    <col min="3" max="4" width="12.6640625" style="113" customWidth="1"/>
    <col min="5" max="6" width="12.6640625" style="112" customWidth="1"/>
    <col min="7" max="7" width="12.6640625" style="113" customWidth="1"/>
    <col min="8" max="8" width="8.83203125" style="113"/>
  </cols>
  <sheetData>
    <row r="1" spans="1:8" ht="70" x14ac:dyDescent="0.15">
      <c r="A1" s="5" t="s">
        <v>20</v>
      </c>
      <c r="B1" s="1" t="s">
        <v>0</v>
      </c>
      <c r="C1" s="185" t="s">
        <v>233</v>
      </c>
      <c r="D1" s="185" t="s">
        <v>234</v>
      </c>
      <c r="E1" s="185" t="s">
        <v>235</v>
      </c>
      <c r="F1" s="185" t="s">
        <v>243</v>
      </c>
      <c r="G1" s="185" t="s">
        <v>244</v>
      </c>
      <c r="H1"/>
    </row>
    <row r="2" spans="1:8" x14ac:dyDescent="0.15">
      <c r="A2">
        <v>1</v>
      </c>
      <c r="B2" s="184" t="s">
        <v>193</v>
      </c>
      <c r="C2" s="113">
        <v>0</v>
      </c>
      <c r="D2" s="113">
        <v>1</v>
      </c>
      <c r="E2" s="112">
        <v>0</v>
      </c>
      <c r="F2" s="112">
        <v>0</v>
      </c>
      <c r="G2" s="113">
        <v>1</v>
      </c>
      <c r="H2"/>
    </row>
    <row r="3" spans="1:8" x14ac:dyDescent="0.15">
      <c r="A3">
        <v>2</v>
      </c>
      <c r="B3" s="184" t="s">
        <v>194</v>
      </c>
      <c r="C3" s="113">
        <v>0</v>
      </c>
      <c r="D3" s="113">
        <v>1</v>
      </c>
      <c r="E3" s="112">
        <v>0</v>
      </c>
      <c r="F3" s="112">
        <v>0</v>
      </c>
      <c r="G3" s="113">
        <v>1</v>
      </c>
      <c r="H3"/>
    </row>
    <row r="4" spans="1:8" x14ac:dyDescent="0.15">
      <c r="A4">
        <v>3</v>
      </c>
      <c r="B4" s="184" t="s">
        <v>195</v>
      </c>
      <c r="C4" s="113">
        <v>0</v>
      </c>
      <c r="D4" s="113">
        <v>1</v>
      </c>
      <c r="E4" s="112">
        <v>0</v>
      </c>
      <c r="F4" s="112">
        <v>0</v>
      </c>
      <c r="G4" s="113">
        <v>1</v>
      </c>
      <c r="H4"/>
    </row>
    <row r="5" spans="1:8" x14ac:dyDescent="0.15">
      <c r="A5">
        <v>4</v>
      </c>
      <c r="B5" s="184" t="s">
        <v>196</v>
      </c>
      <c r="C5" s="113">
        <v>0</v>
      </c>
      <c r="D5" s="113">
        <v>1</v>
      </c>
      <c r="E5" s="112">
        <v>0</v>
      </c>
      <c r="F5" s="112">
        <v>0</v>
      </c>
      <c r="G5" s="113">
        <v>1</v>
      </c>
      <c r="H5"/>
    </row>
    <row r="6" spans="1:8" x14ac:dyDescent="0.15">
      <c r="A6">
        <v>5</v>
      </c>
      <c r="B6" s="184" t="s">
        <v>197</v>
      </c>
      <c r="C6" s="113">
        <v>0</v>
      </c>
      <c r="D6" s="113">
        <v>1</v>
      </c>
      <c r="E6" s="112">
        <v>0</v>
      </c>
      <c r="F6" s="112">
        <v>0</v>
      </c>
      <c r="G6" s="113">
        <v>1</v>
      </c>
      <c r="H6"/>
    </row>
    <row r="7" spans="1:8" x14ac:dyDescent="0.15">
      <c r="A7">
        <v>6</v>
      </c>
      <c r="B7" s="184" t="s">
        <v>198</v>
      </c>
      <c r="C7" s="113">
        <v>0</v>
      </c>
      <c r="D7" s="113">
        <v>1</v>
      </c>
      <c r="E7" s="112">
        <v>0</v>
      </c>
      <c r="F7" s="112">
        <v>0</v>
      </c>
      <c r="G7" s="113">
        <v>1</v>
      </c>
      <c r="H7"/>
    </row>
    <row r="8" spans="1:8" x14ac:dyDescent="0.15">
      <c r="A8">
        <v>7</v>
      </c>
      <c r="B8" s="184" t="s">
        <v>199</v>
      </c>
      <c r="C8" s="113">
        <v>0</v>
      </c>
      <c r="D8" s="113">
        <v>1</v>
      </c>
      <c r="E8" s="112">
        <v>0</v>
      </c>
      <c r="F8" s="112">
        <v>0</v>
      </c>
      <c r="G8" s="113">
        <v>1</v>
      </c>
      <c r="H8"/>
    </row>
    <row r="9" spans="1:8" x14ac:dyDescent="0.15">
      <c r="A9">
        <v>8</v>
      </c>
      <c r="B9" s="184" t="s">
        <v>200</v>
      </c>
      <c r="C9" s="113">
        <v>0</v>
      </c>
      <c r="D9" s="113">
        <v>1</v>
      </c>
      <c r="E9" s="112">
        <v>0</v>
      </c>
      <c r="F9" s="112">
        <v>0</v>
      </c>
      <c r="G9" s="113">
        <v>1</v>
      </c>
      <c r="H9"/>
    </row>
    <row r="10" spans="1:8" x14ac:dyDescent="0.15">
      <c r="A10">
        <v>9</v>
      </c>
      <c r="B10" s="184" t="s">
        <v>201</v>
      </c>
      <c r="C10" s="113">
        <v>0</v>
      </c>
      <c r="D10" s="113">
        <v>1</v>
      </c>
      <c r="E10" s="112">
        <v>0</v>
      </c>
      <c r="F10" s="112">
        <v>0</v>
      </c>
      <c r="G10" s="113">
        <v>1</v>
      </c>
      <c r="H10"/>
    </row>
    <row r="11" spans="1:8" x14ac:dyDescent="0.15">
      <c r="A11">
        <v>10</v>
      </c>
      <c r="B11" s="184" t="s">
        <v>202</v>
      </c>
      <c r="C11" s="113">
        <v>0</v>
      </c>
      <c r="D11" s="113">
        <v>1</v>
      </c>
      <c r="E11" s="112">
        <v>0</v>
      </c>
      <c r="F11" s="112">
        <v>0</v>
      </c>
      <c r="G11" s="113">
        <v>1</v>
      </c>
      <c r="H11"/>
    </row>
    <row r="12" spans="1:8" x14ac:dyDescent="0.15">
      <c r="A12">
        <v>11</v>
      </c>
      <c r="B12" s="184" t="s">
        <v>203</v>
      </c>
      <c r="C12" s="113">
        <v>0</v>
      </c>
      <c r="D12" s="113">
        <v>1</v>
      </c>
      <c r="E12" s="112">
        <v>0</v>
      </c>
      <c r="F12" s="112">
        <v>0</v>
      </c>
      <c r="G12" s="113">
        <v>1</v>
      </c>
      <c r="H12"/>
    </row>
    <row r="13" spans="1:8" x14ac:dyDescent="0.15">
      <c r="A13">
        <v>12</v>
      </c>
      <c r="B13" s="184" t="s">
        <v>204</v>
      </c>
      <c r="C13" s="113">
        <v>0</v>
      </c>
      <c r="D13" s="113">
        <v>1</v>
      </c>
      <c r="E13" s="112">
        <v>0</v>
      </c>
      <c r="F13" s="112">
        <v>0</v>
      </c>
      <c r="G13" s="113">
        <v>1</v>
      </c>
      <c r="H13"/>
    </row>
    <row r="14" spans="1:8" x14ac:dyDescent="0.15">
      <c r="A14">
        <v>13</v>
      </c>
      <c r="B14" s="184" t="s">
        <v>205</v>
      </c>
      <c r="C14" s="113">
        <v>0</v>
      </c>
      <c r="D14" s="113">
        <v>1</v>
      </c>
      <c r="E14" s="112">
        <v>0</v>
      </c>
      <c r="F14" s="112">
        <v>0</v>
      </c>
      <c r="G14" s="113">
        <v>1</v>
      </c>
      <c r="H14"/>
    </row>
    <row r="15" spans="1:8" x14ac:dyDescent="0.15">
      <c r="A15">
        <v>14</v>
      </c>
      <c r="B15" s="184" t="s">
        <v>206</v>
      </c>
      <c r="C15" s="113">
        <v>0</v>
      </c>
      <c r="D15" s="113">
        <v>1</v>
      </c>
      <c r="E15" s="112">
        <v>0</v>
      </c>
      <c r="F15" s="112">
        <v>0</v>
      </c>
      <c r="G15" s="113">
        <v>1</v>
      </c>
      <c r="H15"/>
    </row>
    <row r="16" spans="1:8" x14ac:dyDescent="0.15">
      <c r="A16">
        <v>15</v>
      </c>
      <c r="B16" s="184" t="s">
        <v>207</v>
      </c>
      <c r="C16" s="113">
        <v>0</v>
      </c>
      <c r="D16" s="113">
        <v>1</v>
      </c>
      <c r="E16" s="112">
        <v>0</v>
      </c>
      <c r="F16" s="112">
        <v>0</v>
      </c>
      <c r="G16" s="113">
        <v>1</v>
      </c>
      <c r="H16"/>
    </row>
    <row r="17" spans="1:8" ht="15" customHeight="1" x14ac:dyDescent="0.15">
      <c r="A17">
        <v>16</v>
      </c>
      <c r="B17" s="184" t="s">
        <v>208</v>
      </c>
      <c r="C17" s="113">
        <v>0</v>
      </c>
      <c r="D17" s="113">
        <v>1</v>
      </c>
      <c r="E17" s="112">
        <v>0</v>
      </c>
      <c r="F17" s="112">
        <v>0</v>
      </c>
      <c r="G17" s="113">
        <v>1</v>
      </c>
      <c r="H17"/>
    </row>
    <row r="18" spans="1:8" ht="15" customHeight="1" x14ac:dyDescent="0.15">
      <c r="A18">
        <v>17</v>
      </c>
      <c r="B18" s="184" t="s">
        <v>209</v>
      </c>
      <c r="C18" s="113">
        <v>0</v>
      </c>
      <c r="D18" s="113">
        <v>1</v>
      </c>
      <c r="E18" s="112">
        <v>0</v>
      </c>
      <c r="F18" s="112">
        <v>0</v>
      </c>
      <c r="G18" s="113">
        <v>1</v>
      </c>
      <c r="H18"/>
    </row>
    <row r="19" spans="1:8" ht="15" customHeight="1" x14ac:dyDescent="0.15">
      <c r="A19">
        <v>18</v>
      </c>
      <c r="B19" s="184" t="s">
        <v>210</v>
      </c>
      <c r="C19" s="113">
        <v>0</v>
      </c>
      <c r="D19" s="113">
        <v>1</v>
      </c>
      <c r="E19" s="112">
        <v>0</v>
      </c>
      <c r="F19" s="112">
        <v>0</v>
      </c>
      <c r="G19" s="113">
        <v>1</v>
      </c>
      <c r="H19"/>
    </row>
    <row r="20" spans="1:8" ht="15" customHeight="1" x14ac:dyDescent="0.15">
      <c r="A20">
        <v>19</v>
      </c>
      <c r="B20" s="184" t="s">
        <v>211</v>
      </c>
      <c r="C20" s="113">
        <v>0</v>
      </c>
      <c r="D20" s="113">
        <v>1</v>
      </c>
      <c r="E20" s="112">
        <v>0</v>
      </c>
      <c r="F20" s="112">
        <v>0</v>
      </c>
      <c r="G20" s="113">
        <v>1</v>
      </c>
      <c r="H20"/>
    </row>
    <row r="21" spans="1:8" ht="15" customHeight="1" x14ac:dyDescent="0.15">
      <c r="A21">
        <v>20</v>
      </c>
      <c r="B21" s="184" t="s">
        <v>212</v>
      </c>
      <c r="C21" s="113">
        <v>0</v>
      </c>
      <c r="D21" s="113">
        <v>1</v>
      </c>
      <c r="E21" s="112">
        <v>0</v>
      </c>
      <c r="F21" s="112">
        <v>0</v>
      </c>
      <c r="G21" s="113">
        <v>1</v>
      </c>
      <c r="H21"/>
    </row>
    <row r="22" spans="1:8" ht="15" customHeight="1" x14ac:dyDescent="0.15">
      <c r="A22">
        <v>21</v>
      </c>
      <c r="B22" s="184" t="s">
        <v>213</v>
      </c>
      <c r="C22" s="113">
        <v>0</v>
      </c>
      <c r="D22" s="113">
        <v>1</v>
      </c>
      <c r="E22" s="112">
        <v>0</v>
      </c>
      <c r="F22" s="112">
        <v>0</v>
      </c>
      <c r="G22" s="113">
        <v>1</v>
      </c>
      <c r="H22"/>
    </row>
    <row r="23" spans="1:8" ht="15" customHeight="1" x14ac:dyDescent="0.15">
      <c r="A23">
        <v>22</v>
      </c>
      <c r="B23" s="184" t="s">
        <v>214</v>
      </c>
      <c r="C23" s="113">
        <v>0</v>
      </c>
      <c r="D23" s="113">
        <v>1</v>
      </c>
      <c r="E23" s="112">
        <v>0</v>
      </c>
      <c r="F23" s="112">
        <v>0</v>
      </c>
      <c r="G23" s="113">
        <v>1</v>
      </c>
      <c r="H23"/>
    </row>
    <row r="24" spans="1:8" ht="15" customHeight="1" x14ac:dyDescent="0.15">
      <c r="A24">
        <v>23</v>
      </c>
      <c r="B24" s="184" t="s">
        <v>215</v>
      </c>
      <c r="C24" s="113">
        <v>0</v>
      </c>
      <c r="D24" s="113">
        <v>1</v>
      </c>
      <c r="E24" s="112">
        <v>0</v>
      </c>
      <c r="F24" s="112">
        <v>0</v>
      </c>
      <c r="G24" s="113">
        <v>1</v>
      </c>
      <c r="H24"/>
    </row>
    <row r="25" spans="1:8" ht="15" customHeight="1" x14ac:dyDescent="0.15">
      <c r="A25">
        <v>24</v>
      </c>
      <c r="B25" s="184" t="s">
        <v>216</v>
      </c>
      <c r="C25" s="113">
        <v>0</v>
      </c>
      <c r="D25" s="113">
        <v>1</v>
      </c>
      <c r="E25" s="112">
        <v>0</v>
      </c>
      <c r="F25" s="112">
        <v>0</v>
      </c>
      <c r="G25" s="113">
        <v>1</v>
      </c>
      <c r="H25"/>
    </row>
    <row r="26" spans="1:8" ht="15" customHeight="1" x14ac:dyDescent="0.15">
      <c r="A26">
        <v>25</v>
      </c>
      <c r="B26" s="184" t="s">
        <v>217</v>
      </c>
      <c r="C26" s="113">
        <v>0</v>
      </c>
      <c r="D26" s="113">
        <v>1</v>
      </c>
      <c r="E26" s="112">
        <v>0</v>
      </c>
      <c r="F26" s="112">
        <v>0</v>
      </c>
      <c r="G26" s="113">
        <v>1</v>
      </c>
      <c r="H26"/>
    </row>
    <row r="27" spans="1:8" ht="15" customHeight="1" x14ac:dyDescent="0.15">
      <c r="A27">
        <v>26</v>
      </c>
      <c r="B27" s="184" t="s">
        <v>218</v>
      </c>
      <c r="C27" s="113">
        <v>0</v>
      </c>
      <c r="D27" s="113">
        <v>1</v>
      </c>
      <c r="E27" s="112">
        <v>0</v>
      </c>
      <c r="F27" s="112">
        <v>0</v>
      </c>
      <c r="G27" s="113">
        <v>1</v>
      </c>
      <c r="H27"/>
    </row>
    <row r="28" spans="1:8" ht="15" customHeight="1" x14ac:dyDescent="0.15">
      <c r="A28">
        <v>27</v>
      </c>
      <c r="B28" s="184" t="s">
        <v>219</v>
      </c>
      <c r="C28" s="113">
        <v>0</v>
      </c>
      <c r="D28" s="113">
        <v>1</v>
      </c>
      <c r="E28" s="112">
        <v>0</v>
      </c>
      <c r="F28" s="112">
        <v>0</v>
      </c>
      <c r="G28" s="113">
        <v>1</v>
      </c>
      <c r="H28"/>
    </row>
    <row r="29" spans="1:8" ht="15" customHeight="1" x14ac:dyDescent="0.15">
      <c r="A29">
        <v>28</v>
      </c>
      <c r="B29" s="184" t="s">
        <v>220</v>
      </c>
      <c r="C29" s="113">
        <v>0</v>
      </c>
      <c r="D29" s="113">
        <v>1</v>
      </c>
      <c r="E29" s="112">
        <v>0</v>
      </c>
      <c r="F29" s="112">
        <v>0</v>
      </c>
      <c r="G29" s="113">
        <v>1</v>
      </c>
      <c r="H29"/>
    </row>
    <row r="30" spans="1:8" ht="15" customHeight="1" x14ac:dyDescent="0.15">
      <c r="A30">
        <v>29</v>
      </c>
      <c r="B30" s="184" t="s">
        <v>221</v>
      </c>
      <c r="C30" s="113">
        <v>0</v>
      </c>
      <c r="D30" s="113">
        <v>1</v>
      </c>
      <c r="E30" s="112">
        <v>0</v>
      </c>
      <c r="F30" s="112">
        <v>0</v>
      </c>
      <c r="G30" s="113">
        <v>1</v>
      </c>
      <c r="H30"/>
    </row>
    <row r="31" spans="1:8" ht="15" customHeight="1" x14ac:dyDescent="0.15">
      <c r="A31">
        <v>30</v>
      </c>
      <c r="B31" s="184" t="s">
        <v>222</v>
      </c>
      <c r="C31" s="113">
        <v>0</v>
      </c>
      <c r="D31" s="113">
        <v>1</v>
      </c>
      <c r="E31" s="112">
        <v>0</v>
      </c>
      <c r="F31" s="112">
        <v>0</v>
      </c>
      <c r="G31" s="113">
        <v>1</v>
      </c>
      <c r="H31"/>
    </row>
    <row r="32" spans="1:8" ht="15" customHeight="1" x14ac:dyDescent="0.15">
      <c r="A32">
        <v>31</v>
      </c>
      <c r="B32" s="184" t="s">
        <v>223</v>
      </c>
      <c r="C32" s="113">
        <v>0</v>
      </c>
      <c r="D32" s="113">
        <v>1</v>
      </c>
      <c r="E32" s="112">
        <v>0</v>
      </c>
      <c r="F32" s="112">
        <v>0</v>
      </c>
      <c r="G32" s="113">
        <v>1</v>
      </c>
    </row>
    <row r="33" spans="1:8" ht="15" customHeight="1" x14ac:dyDescent="0.15">
      <c r="A33">
        <v>32</v>
      </c>
      <c r="B33" s="184" t="s">
        <v>224</v>
      </c>
      <c r="C33" s="113">
        <v>0</v>
      </c>
      <c r="D33" s="113">
        <v>1</v>
      </c>
      <c r="E33" s="112">
        <v>0</v>
      </c>
      <c r="F33" s="112">
        <v>0</v>
      </c>
      <c r="G33" s="113">
        <v>1</v>
      </c>
    </row>
    <row r="34" spans="1:8" ht="15" customHeight="1" x14ac:dyDescent="0.15">
      <c r="A34">
        <v>33</v>
      </c>
      <c r="B34" s="184" t="s">
        <v>225</v>
      </c>
      <c r="C34" s="113">
        <v>0</v>
      </c>
      <c r="D34" s="113">
        <v>1</v>
      </c>
      <c r="E34" s="112">
        <v>0</v>
      </c>
      <c r="F34" s="112">
        <v>0</v>
      </c>
      <c r="G34" s="113">
        <v>1</v>
      </c>
    </row>
    <row r="35" spans="1:8" ht="15" customHeight="1" x14ac:dyDescent="0.15">
      <c r="A35">
        <v>34</v>
      </c>
      <c r="B35" s="184" t="s">
        <v>226</v>
      </c>
      <c r="C35" s="113">
        <v>0</v>
      </c>
      <c r="D35" s="113">
        <v>1</v>
      </c>
      <c r="E35" s="112">
        <v>0</v>
      </c>
      <c r="F35" s="112">
        <v>0</v>
      </c>
      <c r="G35" s="113">
        <v>1</v>
      </c>
    </row>
    <row r="36" spans="1:8" ht="15" customHeight="1" x14ac:dyDescent="0.15">
      <c r="A36">
        <v>35</v>
      </c>
      <c r="B36" s="184" t="s">
        <v>227</v>
      </c>
      <c r="C36" s="113">
        <v>0</v>
      </c>
      <c r="D36" s="113">
        <v>1</v>
      </c>
      <c r="E36" s="113">
        <v>0</v>
      </c>
      <c r="F36" s="113">
        <v>0</v>
      </c>
      <c r="G36" s="113">
        <v>1</v>
      </c>
      <c r="H36"/>
    </row>
    <row r="37" spans="1:8" ht="15" customHeight="1" x14ac:dyDescent="0.15">
      <c r="A37">
        <v>36</v>
      </c>
      <c r="B37" s="184" t="s">
        <v>228</v>
      </c>
      <c r="C37" s="113">
        <v>0</v>
      </c>
      <c r="D37" s="113">
        <v>1</v>
      </c>
      <c r="E37" s="113">
        <v>0</v>
      </c>
      <c r="F37" s="113">
        <v>0</v>
      </c>
      <c r="G37" s="113">
        <v>1</v>
      </c>
      <c r="H37"/>
    </row>
    <row r="38" spans="1:8" ht="15" customHeight="1" x14ac:dyDescent="0.15">
      <c r="A38">
        <v>37</v>
      </c>
      <c r="B38" s="184" t="s">
        <v>229</v>
      </c>
      <c r="C38" s="113">
        <v>0</v>
      </c>
      <c r="D38" s="113">
        <v>1</v>
      </c>
      <c r="E38" s="113">
        <v>0</v>
      </c>
      <c r="F38" s="113">
        <v>0</v>
      </c>
      <c r="G38" s="113">
        <v>1</v>
      </c>
      <c r="H38"/>
    </row>
    <row r="39" spans="1:8" ht="15" customHeight="1" x14ac:dyDescent="0.15">
      <c r="A39">
        <v>38</v>
      </c>
      <c r="B39" s="184" t="s">
        <v>230</v>
      </c>
      <c r="C39" s="113">
        <v>0</v>
      </c>
      <c r="D39" s="113">
        <v>1</v>
      </c>
      <c r="E39" s="113">
        <v>0</v>
      </c>
      <c r="F39" s="113">
        <v>0</v>
      </c>
      <c r="G39" s="113">
        <v>1</v>
      </c>
      <c r="H39"/>
    </row>
    <row r="40" spans="1:8" ht="15" customHeight="1" x14ac:dyDescent="0.15">
      <c r="A40">
        <v>39</v>
      </c>
      <c r="B40" s="184" t="s">
        <v>231</v>
      </c>
      <c r="C40" s="113">
        <v>0</v>
      </c>
      <c r="D40" s="113">
        <v>1</v>
      </c>
      <c r="E40" s="113">
        <v>0</v>
      </c>
      <c r="F40" s="113">
        <v>0</v>
      </c>
      <c r="G40" s="113">
        <v>1</v>
      </c>
      <c r="H40"/>
    </row>
    <row r="41" spans="1:8" ht="15" customHeight="1" x14ac:dyDescent="0.15">
      <c r="A41">
        <v>40</v>
      </c>
      <c r="B41" s="184" t="s">
        <v>232</v>
      </c>
      <c r="C41" s="113">
        <v>0</v>
      </c>
      <c r="D41" s="113">
        <v>1</v>
      </c>
      <c r="E41" s="113">
        <v>0</v>
      </c>
      <c r="F41" s="113">
        <v>0</v>
      </c>
      <c r="G41" s="113">
        <v>1</v>
      </c>
      <c r="H41"/>
    </row>
    <row r="42" spans="1:8" ht="15" customHeight="1" x14ac:dyDescent="0.15">
      <c r="A42">
        <v>41</v>
      </c>
      <c r="B42" s="184" t="s">
        <v>233</v>
      </c>
      <c r="C42" s="113">
        <v>0</v>
      </c>
      <c r="D42" s="113">
        <v>1</v>
      </c>
      <c r="E42" s="113">
        <v>0</v>
      </c>
      <c r="F42" s="113">
        <v>0</v>
      </c>
      <c r="G42" s="113">
        <v>1</v>
      </c>
      <c r="H42"/>
    </row>
    <row r="43" spans="1:8" ht="15" customHeight="1" x14ac:dyDescent="0.15">
      <c r="A43">
        <v>42</v>
      </c>
      <c r="B43" s="184" t="s">
        <v>234</v>
      </c>
      <c r="C43" s="113">
        <v>0</v>
      </c>
      <c r="D43" s="113">
        <v>0</v>
      </c>
      <c r="E43" s="113">
        <v>1</v>
      </c>
      <c r="F43" s="113">
        <v>0</v>
      </c>
      <c r="G43" s="113">
        <v>1</v>
      </c>
      <c r="H43"/>
    </row>
    <row r="44" spans="1:8" ht="15" customHeight="1" x14ac:dyDescent="0.15">
      <c r="A44">
        <v>43</v>
      </c>
      <c r="B44" s="184" t="s">
        <v>235</v>
      </c>
      <c r="C44" s="113">
        <v>0</v>
      </c>
      <c r="D44" s="113">
        <v>0</v>
      </c>
      <c r="E44" s="112">
        <v>0</v>
      </c>
      <c r="F44" s="112">
        <v>1</v>
      </c>
      <c r="G44" s="113">
        <v>1</v>
      </c>
      <c r="H44"/>
    </row>
    <row r="45" spans="1:8" ht="15" customHeight="1" x14ac:dyDescent="0.15">
      <c r="A45">
        <v>44</v>
      </c>
      <c r="B45" s="184" t="s">
        <v>236</v>
      </c>
      <c r="C45" s="113">
        <v>1</v>
      </c>
      <c r="D45" s="113">
        <v>0</v>
      </c>
      <c r="E45" s="112">
        <v>0</v>
      </c>
      <c r="F45" s="112">
        <v>0</v>
      </c>
      <c r="G45" s="113">
        <v>1</v>
      </c>
      <c r="H45"/>
    </row>
    <row r="46" spans="1:8" ht="15" customHeight="1" x14ac:dyDescent="0.15">
      <c r="A46">
        <v>45</v>
      </c>
      <c r="B46" s="184" t="s">
        <v>237</v>
      </c>
      <c r="C46" s="113">
        <v>1</v>
      </c>
      <c r="D46" s="113">
        <v>0</v>
      </c>
      <c r="E46" s="113">
        <v>0</v>
      </c>
      <c r="F46" s="113">
        <v>0</v>
      </c>
      <c r="G46" s="113">
        <v>1</v>
      </c>
      <c r="H46"/>
    </row>
    <row r="47" spans="1:8" ht="15" customHeight="1" x14ac:dyDescent="0.15">
      <c r="A47">
        <v>46</v>
      </c>
      <c r="B47" s="184" t="s">
        <v>238</v>
      </c>
      <c r="C47" s="113">
        <v>1</v>
      </c>
      <c r="D47" s="113">
        <v>0</v>
      </c>
      <c r="E47" s="112">
        <v>0</v>
      </c>
      <c r="F47" s="112">
        <v>0</v>
      </c>
      <c r="G47" s="113">
        <v>1</v>
      </c>
      <c r="H47"/>
    </row>
    <row r="48" spans="1:8" ht="15" customHeight="1" x14ac:dyDescent="0.15">
      <c r="A48">
        <v>47</v>
      </c>
      <c r="B48" s="184" t="s">
        <v>239</v>
      </c>
      <c r="C48" s="113">
        <v>1</v>
      </c>
      <c r="D48" s="113">
        <v>0</v>
      </c>
      <c r="E48" s="112">
        <v>0</v>
      </c>
      <c r="F48" s="112">
        <v>0</v>
      </c>
      <c r="G48" s="113">
        <v>1</v>
      </c>
      <c r="H48"/>
    </row>
    <row r="49" spans="1:8" ht="15" customHeight="1" x14ac:dyDescent="0.15">
      <c r="A49">
        <v>48</v>
      </c>
      <c r="B49" s="184" t="s">
        <v>240</v>
      </c>
      <c r="C49" s="113">
        <v>1</v>
      </c>
      <c r="D49" s="113">
        <v>0</v>
      </c>
      <c r="E49" s="112">
        <v>0</v>
      </c>
      <c r="F49" s="112">
        <v>0</v>
      </c>
      <c r="G49" s="113">
        <v>1</v>
      </c>
      <c r="H49"/>
    </row>
    <row r="50" spans="1:8" ht="15" customHeight="1" x14ac:dyDescent="0.15">
      <c r="A50">
        <v>49</v>
      </c>
      <c r="B50" s="184" t="s">
        <v>241</v>
      </c>
      <c r="C50" s="113">
        <v>1</v>
      </c>
      <c r="D50" s="113">
        <v>0</v>
      </c>
      <c r="E50" s="112">
        <v>0</v>
      </c>
      <c r="F50" s="112">
        <v>0</v>
      </c>
      <c r="G50" s="113">
        <v>1</v>
      </c>
      <c r="H50"/>
    </row>
    <row r="51" spans="1:8" ht="15" customHeight="1" x14ac:dyDescent="0.15">
      <c r="C51"/>
      <c r="D51"/>
      <c r="G51"/>
      <c r="H51"/>
    </row>
    <row r="52" spans="1:8" ht="15" customHeight="1" x14ac:dyDescent="0.15">
      <c r="C52"/>
      <c r="D52"/>
      <c r="E52"/>
      <c r="F52"/>
      <c r="G52"/>
      <c r="H52"/>
    </row>
    <row r="53" spans="1:8" ht="15" customHeight="1" x14ac:dyDescent="0.15">
      <c r="C53"/>
      <c r="D53"/>
      <c r="E53"/>
      <c r="F53"/>
      <c r="G53"/>
      <c r="H53"/>
    </row>
    <row r="54" spans="1:8" ht="15" customHeight="1" x14ac:dyDescent="0.15">
      <c r="C54"/>
      <c r="D54"/>
      <c r="E54"/>
      <c r="F54"/>
      <c r="G54"/>
      <c r="H54"/>
    </row>
    <row r="55" spans="1:8" ht="15" customHeight="1" x14ac:dyDescent="0.15">
      <c r="C55"/>
      <c r="D55"/>
      <c r="E55"/>
      <c r="F55"/>
      <c r="G55"/>
      <c r="H55"/>
    </row>
    <row r="56" spans="1:8" ht="15" customHeight="1" x14ac:dyDescent="0.15">
      <c r="C56"/>
      <c r="D56"/>
      <c r="E56"/>
      <c r="F56"/>
      <c r="G56"/>
      <c r="H56"/>
    </row>
    <row r="57" spans="1:8" ht="15" customHeight="1" x14ac:dyDescent="0.15">
      <c r="C57"/>
      <c r="D57"/>
      <c r="E57"/>
      <c r="F57"/>
      <c r="G57"/>
      <c r="H57"/>
    </row>
    <row r="58" spans="1:8" ht="15" customHeight="1" x14ac:dyDescent="0.15">
      <c r="C58"/>
      <c r="D58"/>
      <c r="E58"/>
      <c r="F58"/>
      <c r="G58"/>
      <c r="H58"/>
    </row>
    <row r="59" spans="1:8" ht="15" customHeight="1" x14ac:dyDescent="0.15">
      <c r="C59"/>
      <c r="D59"/>
      <c r="E59"/>
      <c r="F59"/>
      <c r="G59"/>
      <c r="H59"/>
    </row>
    <row r="60" spans="1:8" ht="15" customHeight="1" x14ac:dyDescent="0.15">
      <c r="C60"/>
      <c r="D60"/>
      <c r="E60"/>
      <c r="F60"/>
      <c r="G60"/>
      <c r="H60"/>
    </row>
    <row r="61" spans="1:8" ht="15" customHeight="1" x14ac:dyDescent="0.15">
      <c r="C61"/>
      <c r="D61"/>
      <c r="E61"/>
      <c r="F61"/>
      <c r="G61"/>
      <c r="H61"/>
    </row>
    <row r="62" spans="1:8" ht="15" customHeight="1" x14ac:dyDescent="0.15">
      <c r="C62"/>
      <c r="D62"/>
      <c r="E62"/>
      <c r="F62"/>
      <c r="G62"/>
      <c r="H62"/>
    </row>
    <row r="63" spans="1:8" ht="15" customHeight="1" x14ac:dyDescent="0.15">
      <c r="C63"/>
      <c r="D63"/>
      <c r="E63"/>
      <c r="F63"/>
      <c r="G63"/>
      <c r="H63"/>
    </row>
    <row r="64" spans="1: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I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5" bestFit="1" customWidth="1"/>
    <col min="3" max="5" width="12.83203125" bestFit="1" customWidth="1"/>
    <col min="6" max="7" width="12.83203125" customWidth="1"/>
    <col min="8" max="8" width="9.83203125" customWidth="1"/>
    <col min="9" max="9" width="13.83203125" customWidth="1"/>
  </cols>
  <sheetData>
    <row r="1" spans="1:9" s="114" customFormat="1" ht="112" x14ac:dyDescent="0.15">
      <c r="A1" s="5" t="s">
        <v>21</v>
      </c>
      <c r="B1" s="3" t="s">
        <v>0</v>
      </c>
      <c r="C1" s="187" t="s">
        <v>236</v>
      </c>
      <c r="D1" s="187" t="s">
        <v>237</v>
      </c>
      <c r="E1" s="187" t="s">
        <v>238</v>
      </c>
      <c r="F1" s="187" t="s">
        <v>239</v>
      </c>
      <c r="G1" s="187" t="s">
        <v>240</v>
      </c>
      <c r="H1" s="187" t="s">
        <v>241</v>
      </c>
      <c r="I1" s="187" t="s">
        <v>245</v>
      </c>
    </row>
    <row r="2" spans="1:9" ht="15" customHeight="1" x14ac:dyDescent="0.15">
      <c r="A2">
        <v>1</v>
      </c>
      <c r="B2" s="186" t="s">
        <v>193</v>
      </c>
      <c r="C2">
        <v>0</v>
      </c>
      <c r="D2">
        <v>0</v>
      </c>
      <c r="E2">
        <v>0</v>
      </c>
      <c r="F2">
        <v>0</v>
      </c>
      <c r="G2">
        <v>0</v>
      </c>
      <c r="H2">
        <v>0</v>
      </c>
      <c r="I2">
        <v>0</v>
      </c>
    </row>
    <row r="3" spans="1:9" ht="15" customHeight="1" x14ac:dyDescent="0.15">
      <c r="A3">
        <v>2</v>
      </c>
      <c r="B3" s="186" t="s">
        <v>194</v>
      </c>
      <c r="C3">
        <v>0</v>
      </c>
      <c r="D3">
        <v>0</v>
      </c>
      <c r="E3">
        <v>0</v>
      </c>
      <c r="F3">
        <v>0</v>
      </c>
      <c r="G3">
        <v>0</v>
      </c>
      <c r="H3">
        <v>0</v>
      </c>
      <c r="I3">
        <v>0</v>
      </c>
    </row>
    <row r="4" spans="1:9" ht="15" customHeight="1" x14ac:dyDescent="0.15">
      <c r="A4">
        <v>3</v>
      </c>
      <c r="B4" s="186" t="s">
        <v>195</v>
      </c>
      <c r="C4">
        <v>0</v>
      </c>
      <c r="D4">
        <v>0</v>
      </c>
      <c r="E4">
        <v>0</v>
      </c>
      <c r="F4">
        <v>0</v>
      </c>
      <c r="G4">
        <v>0</v>
      </c>
      <c r="H4">
        <v>0</v>
      </c>
      <c r="I4">
        <v>0</v>
      </c>
    </row>
    <row r="5" spans="1:9" ht="15" customHeight="1" x14ac:dyDescent="0.15">
      <c r="A5">
        <v>4</v>
      </c>
      <c r="B5" s="186" t="s">
        <v>196</v>
      </c>
      <c r="C5">
        <v>0</v>
      </c>
      <c r="D5">
        <v>0</v>
      </c>
      <c r="E5">
        <v>0</v>
      </c>
      <c r="F5">
        <v>0</v>
      </c>
      <c r="G5">
        <v>0</v>
      </c>
      <c r="H5">
        <v>0</v>
      </c>
      <c r="I5">
        <v>0</v>
      </c>
    </row>
    <row r="6" spans="1:9" ht="15" customHeight="1" x14ac:dyDescent="0.15">
      <c r="A6">
        <v>5</v>
      </c>
      <c r="B6" s="186" t="s">
        <v>197</v>
      </c>
      <c r="C6">
        <v>0</v>
      </c>
      <c r="D6">
        <v>0</v>
      </c>
      <c r="E6">
        <v>0</v>
      </c>
      <c r="F6">
        <v>0</v>
      </c>
      <c r="G6">
        <v>0</v>
      </c>
      <c r="H6">
        <v>0</v>
      </c>
      <c r="I6">
        <v>0</v>
      </c>
    </row>
    <row r="7" spans="1:9" ht="15" customHeight="1" x14ac:dyDescent="0.15">
      <c r="A7">
        <v>6</v>
      </c>
      <c r="B7" s="186" t="s">
        <v>198</v>
      </c>
      <c r="C7">
        <v>0</v>
      </c>
      <c r="D7">
        <v>0</v>
      </c>
      <c r="E7">
        <v>0</v>
      </c>
      <c r="F7">
        <v>0</v>
      </c>
      <c r="G7">
        <v>0</v>
      </c>
      <c r="H7">
        <v>0</v>
      </c>
      <c r="I7">
        <v>0</v>
      </c>
    </row>
    <row r="8" spans="1:9" ht="15" customHeight="1" x14ac:dyDescent="0.15">
      <c r="A8">
        <v>7</v>
      </c>
      <c r="B8" s="186" t="s">
        <v>199</v>
      </c>
      <c r="C8">
        <v>0</v>
      </c>
      <c r="D8">
        <v>0</v>
      </c>
      <c r="E8">
        <v>0</v>
      </c>
      <c r="F8">
        <v>0</v>
      </c>
      <c r="G8">
        <v>0</v>
      </c>
      <c r="H8">
        <v>0</v>
      </c>
      <c r="I8">
        <v>0</v>
      </c>
    </row>
    <row r="9" spans="1:9" ht="15" customHeight="1" x14ac:dyDescent="0.15">
      <c r="A9">
        <v>8</v>
      </c>
      <c r="B9" s="186" t="s">
        <v>200</v>
      </c>
      <c r="C9">
        <v>0</v>
      </c>
      <c r="D9">
        <v>0</v>
      </c>
      <c r="E9">
        <v>0</v>
      </c>
      <c r="F9">
        <v>0</v>
      </c>
      <c r="G9">
        <v>0</v>
      </c>
      <c r="H9">
        <v>0</v>
      </c>
      <c r="I9">
        <v>0</v>
      </c>
    </row>
    <row r="10" spans="1:9" ht="15" customHeight="1" x14ac:dyDescent="0.15">
      <c r="A10">
        <v>9</v>
      </c>
      <c r="B10" s="186" t="s">
        <v>201</v>
      </c>
      <c r="C10">
        <v>3.7018199999999999E-4</v>
      </c>
      <c r="D10">
        <v>0</v>
      </c>
      <c r="E10">
        <v>8.2956600000000001E-4</v>
      </c>
      <c r="F10">
        <v>5.1989500000000001E-5</v>
      </c>
      <c r="G10">
        <v>0</v>
      </c>
      <c r="H10">
        <v>0.32743840000000002</v>
      </c>
      <c r="I10">
        <v>0.32869013750000003</v>
      </c>
    </row>
    <row r="11" spans="1:9" ht="15" customHeight="1" x14ac:dyDescent="0.15">
      <c r="A11">
        <v>10</v>
      </c>
      <c r="B11" s="186" t="s">
        <v>202</v>
      </c>
      <c r="C11">
        <v>0</v>
      </c>
      <c r="D11">
        <v>0</v>
      </c>
      <c r="E11">
        <v>0</v>
      </c>
      <c r="F11">
        <v>0</v>
      </c>
      <c r="G11">
        <v>0</v>
      </c>
      <c r="H11">
        <v>0</v>
      </c>
      <c r="I11">
        <v>0</v>
      </c>
    </row>
    <row r="12" spans="1:9" ht="15" customHeight="1" x14ac:dyDescent="0.15">
      <c r="A12">
        <v>11</v>
      </c>
      <c r="B12" s="186" t="s">
        <v>203</v>
      </c>
      <c r="C12">
        <v>0</v>
      </c>
      <c r="D12">
        <v>0</v>
      </c>
      <c r="E12">
        <v>0</v>
      </c>
      <c r="F12">
        <v>0</v>
      </c>
      <c r="G12">
        <v>0</v>
      </c>
      <c r="H12">
        <v>0</v>
      </c>
      <c r="I12">
        <v>0</v>
      </c>
    </row>
    <row r="13" spans="1:9" ht="15" customHeight="1" x14ac:dyDescent="0.15">
      <c r="A13">
        <v>12</v>
      </c>
      <c r="B13" s="186" t="s">
        <v>204</v>
      </c>
      <c r="C13">
        <v>0</v>
      </c>
      <c r="D13">
        <v>0</v>
      </c>
      <c r="E13">
        <v>0</v>
      </c>
      <c r="F13">
        <v>0</v>
      </c>
      <c r="G13">
        <v>0</v>
      </c>
      <c r="H13">
        <v>0</v>
      </c>
      <c r="I13">
        <v>0</v>
      </c>
    </row>
    <row r="14" spans="1:9" ht="15" customHeight="1" x14ac:dyDescent="0.15">
      <c r="A14">
        <v>13</v>
      </c>
      <c r="B14" s="186" t="s">
        <v>205</v>
      </c>
      <c r="C14">
        <v>1.369136E-3</v>
      </c>
      <c r="D14">
        <v>8.2022199999999995E-5</v>
      </c>
      <c r="E14">
        <v>1.36099728E-2</v>
      </c>
      <c r="F14">
        <v>1.07125E-4</v>
      </c>
      <c r="G14">
        <v>8.3433200000000002E-4</v>
      </c>
      <c r="H14">
        <v>0</v>
      </c>
      <c r="I14">
        <v>1.6002587999999998E-2</v>
      </c>
    </row>
    <row r="15" spans="1:9" ht="15" customHeight="1" x14ac:dyDescent="0.15">
      <c r="A15">
        <v>14</v>
      </c>
      <c r="B15" s="186" t="s">
        <v>206</v>
      </c>
      <c r="C15">
        <v>5.0364300000000002E-4</v>
      </c>
      <c r="D15">
        <v>1.8267100000000001E-6</v>
      </c>
      <c r="E15">
        <v>1.171311E-3</v>
      </c>
      <c r="F15">
        <v>3.8838900000000003E-6</v>
      </c>
      <c r="G15">
        <v>9.6889600000000002E-5</v>
      </c>
      <c r="H15">
        <v>0</v>
      </c>
      <c r="I15">
        <v>1.7775541999999998E-3</v>
      </c>
    </row>
    <row r="16" spans="1:9" ht="15" customHeight="1" x14ac:dyDescent="0.15">
      <c r="A16">
        <v>15</v>
      </c>
      <c r="B16" s="186" t="s">
        <v>207</v>
      </c>
      <c r="C16">
        <v>1.16084386E-2</v>
      </c>
      <c r="D16">
        <v>6.3378200000000005E-4</v>
      </c>
      <c r="E16">
        <v>8.7382630000000003E-2</v>
      </c>
      <c r="F16">
        <v>4.6639400000000002E-4</v>
      </c>
      <c r="G16">
        <v>1.3481831200000001E-2</v>
      </c>
      <c r="H16">
        <v>0</v>
      </c>
      <c r="I16">
        <v>0.11357307580000001</v>
      </c>
    </row>
    <row r="17" spans="1:9" ht="15" customHeight="1" x14ac:dyDescent="0.15">
      <c r="A17">
        <v>16</v>
      </c>
      <c r="B17" s="186" t="s">
        <v>208</v>
      </c>
      <c r="C17">
        <v>1.9941568400000002E-2</v>
      </c>
      <c r="D17">
        <v>3.6758399999999997E-5</v>
      </c>
      <c r="E17">
        <v>2.2128760000000001E-2</v>
      </c>
      <c r="F17">
        <v>6.8363700000000004E-5</v>
      </c>
      <c r="G17">
        <v>7.2843059999999999E-3</v>
      </c>
      <c r="H17">
        <v>0</v>
      </c>
      <c r="I17">
        <v>4.9459756499999993E-2</v>
      </c>
    </row>
    <row r="18" spans="1:9" ht="15" customHeight="1" x14ac:dyDescent="0.15">
      <c r="A18">
        <v>17</v>
      </c>
      <c r="B18" s="186" t="s">
        <v>209</v>
      </c>
      <c r="C18">
        <v>1.06889E-4</v>
      </c>
      <c r="D18">
        <v>8.9551300000000002E-4</v>
      </c>
      <c r="E18">
        <v>2.3050060000000001E-2</v>
      </c>
      <c r="F18">
        <v>2.7423264499999999E-2</v>
      </c>
      <c r="G18">
        <v>4.3186800000000002E-4</v>
      </c>
      <c r="H18">
        <v>0</v>
      </c>
      <c r="I18">
        <v>5.1907594500000001E-2</v>
      </c>
    </row>
    <row r="19" spans="1:9" ht="15" customHeight="1" x14ac:dyDescent="0.15">
      <c r="A19">
        <v>18</v>
      </c>
      <c r="B19" s="186" t="s">
        <v>210</v>
      </c>
      <c r="C19">
        <v>2.160871E-3</v>
      </c>
      <c r="D19">
        <v>3.5716600000000002E-4</v>
      </c>
      <c r="E19">
        <v>4.4130929999999999E-2</v>
      </c>
      <c r="F19">
        <v>4.1176100000000002E-4</v>
      </c>
      <c r="G19">
        <v>1.573336E-3</v>
      </c>
      <c r="H19">
        <v>0</v>
      </c>
      <c r="I19">
        <v>4.8634063999999998E-2</v>
      </c>
    </row>
    <row r="20" spans="1:9" ht="15" customHeight="1" x14ac:dyDescent="0.15">
      <c r="A20">
        <v>19</v>
      </c>
      <c r="B20" s="186" t="s">
        <v>211</v>
      </c>
      <c r="C20">
        <v>1.17774E-4</v>
      </c>
      <c r="D20">
        <v>5.0400849999999997E-2</v>
      </c>
      <c r="E20">
        <v>5.4508699999999998E-4</v>
      </c>
      <c r="F20">
        <v>3.6527799999999999E-6</v>
      </c>
      <c r="G20">
        <v>1.054021E-3</v>
      </c>
      <c r="H20">
        <v>0</v>
      </c>
      <c r="I20">
        <v>5.2121384780000002E-2</v>
      </c>
    </row>
    <row r="21" spans="1:9" ht="15" customHeight="1" x14ac:dyDescent="0.15">
      <c r="A21">
        <v>20</v>
      </c>
      <c r="B21" s="186" t="s">
        <v>212</v>
      </c>
      <c r="C21">
        <v>7.6924899999999995E-4</v>
      </c>
      <c r="D21">
        <v>1.3644899999999999E-4</v>
      </c>
      <c r="E21">
        <v>1.5952916800000001E-2</v>
      </c>
      <c r="F21">
        <v>3.0110660000000002E-3</v>
      </c>
      <c r="G21">
        <v>2.4344079999999999E-3</v>
      </c>
      <c r="H21">
        <v>0</v>
      </c>
      <c r="I21">
        <v>2.23040888E-2</v>
      </c>
    </row>
    <row r="22" spans="1:9" ht="15" customHeight="1" x14ac:dyDescent="0.15">
      <c r="A22">
        <v>21</v>
      </c>
      <c r="B22" s="186" t="s">
        <v>213</v>
      </c>
      <c r="C22">
        <v>0</v>
      </c>
      <c r="D22">
        <v>0</v>
      </c>
      <c r="E22">
        <v>0</v>
      </c>
      <c r="F22">
        <v>0</v>
      </c>
      <c r="G22">
        <v>0</v>
      </c>
      <c r="H22">
        <v>0</v>
      </c>
      <c r="I22">
        <v>0</v>
      </c>
    </row>
    <row r="23" spans="1:9" ht="15" customHeight="1" x14ac:dyDescent="0.15">
      <c r="A23">
        <v>22</v>
      </c>
      <c r="B23" s="186" t="s">
        <v>214</v>
      </c>
      <c r="C23">
        <v>7.6701999999999998E-6</v>
      </c>
      <c r="D23">
        <v>0.39874121499999998</v>
      </c>
      <c r="E23">
        <v>3.076952E-3</v>
      </c>
      <c r="F23">
        <v>1.6375600000000001E-4</v>
      </c>
      <c r="G23">
        <v>6.1082399999999996E-6</v>
      </c>
      <c r="H23">
        <v>0</v>
      </c>
      <c r="I23">
        <v>0.40199570144000002</v>
      </c>
    </row>
    <row r="24" spans="1:9" ht="15" customHeight="1" x14ac:dyDescent="0.15">
      <c r="A24">
        <v>23</v>
      </c>
      <c r="B24" s="186" t="s">
        <v>215</v>
      </c>
      <c r="C24">
        <v>0</v>
      </c>
      <c r="D24">
        <v>0</v>
      </c>
      <c r="E24">
        <v>0</v>
      </c>
      <c r="F24">
        <v>0</v>
      </c>
      <c r="G24">
        <v>0</v>
      </c>
      <c r="H24">
        <v>0</v>
      </c>
      <c r="I24">
        <v>0</v>
      </c>
    </row>
    <row r="25" spans="1:9" ht="15" customHeight="1" x14ac:dyDescent="0.15">
      <c r="A25">
        <v>24</v>
      </c>
      <c r="B25" s="186" t="s">
        <v>216</v>
      </c>
      <c r="C25">
        <v>8.4177799999999995E-4</v>
      </c>
      <c r="D25">
        <v>6.4292600000000004E-4</v>
      </c>
      <c r="E25">
        <v>7.9098000000000002E-2</v>
      </c>
      <c r="F25">
        <v>3.0563019999999999E-3</v>
      </c>
      <c r="G25">
        <v>3.3109229999999999E-3</v>
      </c>
      <c r="H25">
        <v>0</v>
      </c>
      <c r="I25">
        <v>8.6949928999999995E-2</v>
      </c>
    </row>
    <row r="26" spans="1:9" ht="15" customHeight="1" x14ac:dyDescent="0.15">
      <c r="A26">
        <v>25</v>
      </c>
      <c r="B26" s="186" t="s">
        <v>217</v>
      </c>
      <c r="C26">
        <v>7.0602100000000006E-5</v>
      </c>
      <c r="D26">
        <v>1.81946E-4</v>
      </c>
      <c r="E26">
        <v>2.7726652099999999E-2</v>
      </c>
      <c r="F26">
        <v>2.9844799999999999E-4</v>
      </c>
      <c r="G26">
        <v>7.4049100000000002E-4</v>
      </c>
      <c r="H26">
        <v>0</v>
      </c>
      <c r="I26">
        <v>2.9018139199999998E-2</v>
      </c>
    </row>
    <row r="27" spans="1:9" ht="15" customHeight="1" x14ac:dyDescent="0.15">
      <c r="A27">
        <v>26</v>
      </c>
      <c r="B27" s="186" t="s">
        <v>218</v>
      </c>
      <c r="C27">
        <v>8.7777700000000005E-5</v>
      </c>
      <c r="D27">
        <v>2.1225791399999999E-2</v>
      </c>
      <c r="E27">
        <v>3.6771500000000001E-3</v>
      </c>
      <c r="F27">
        <v>2.8516349999999999E-3</v>
      </c>
      <c r="G27">
        <v>1.2468200000000001E-4</v>
      </c>
      <c r="H27">
        <v>0</v>
      </c>
      <c r="I27">
        <v>2.7967036100000002E-2</v>
      </c>
    </row>
    <row r="28" spans="1:9" ht="15" customHeight="1" x14ac:dyDescent="0.15">
      <c r="A28">
        <v>27</v>
      </c>
      <c r="B28" s="186" t="s">
        <v>219</v>
      </c>
      <c r="C28">
        <v>2.30499E-4</v>
      </c>
      <c r="D28">
        <v>1.0139890000000001E-3</v>
      </c>
      <c r="E28">
        <v>5.3854387300000001E-2</v>
      </c>
      <c r="F28">
        <v>3.3177199999999998E-4</v>
      </c>
      <c r="G28">
        <v>1.4454100000000001E-3</v>
      </c>
      <c r="H28">
        <v>0</v>
      </c>
      <c r="I28">
        <v>5.6876057300000005E-2</v>
      </c>
    </row>
    <row r="29" spans="1:9" ht="15" customHeight="1" x14ac:dyDescent="0.15">
      <c r="A29">
        <v>28</v>
      </c>
      <c r="B29" s="186" t="s">
        <v>220</v>
      </c>
      <c r="C29">
        <v>1.05518633E-2</v>
      </c>
      <c r="D29">
        <v>4.21242E-4</v>
      </c>
      <c r="E29">
        <v>3.7205920000000003E-2</v>
      </c>
      <c r="F29">
        <v>1.1524759999999999E-3</v>
      </c>
      <c r="G29">
        <v>2.244715E-3</v>
      </c>
      <c r="H29">
        <v>0</v>
      </c>
      <c r="I29">
        <v>5.1576216300000005E-2</v>
      </c>
    </row>
    <row r="30" spans="1:9" ht="15" customHeight="1" x14ac:dyDescent="0.15">
      <c r="A30">
        <v>29</v>
      </c>
      <c r="B30" s="186" t="s">
        <v>221</v>
      </c>
      <c r="C30">
        <v>8.9066579999999996E-3</v>
      </c>
      <c r="D30">
        <v>7.8703599999999996E-4</v>
      </c>
      <c r="E30">
        <v>7.9443360000000005E-2</v>
      </c>
      <c r="F30">
        <v>4.478704E-3</v>
      </c>
      <c r="G30">
        <v>1.4263141E-2</v>
      </c>
      <c r="H30">
        <v>0</v>
      </c>
      <c r="I30">
        <v>0.107878899</v>
      </c>
    </row>
    <row r="31" spans="1:9" ht="15" customHeight="1" x14ac:dyDescent="0.15">
      <c r="A31">
        <v>30</v>
      </c>
      <c r="B31" s="186" t="s">
        <v>222</v>
      </c>
      <c r="C31">
        <v>1.7640300000000001E-5</v>
      </c>
      <c r="D31">
        <v>3.10982E-5</v>
      </c>
      <c r="E31">
        <v>2.0459440000000001E-3</v>
      </c>
      <c r="F31">
        <v>2.6423100000000003E-4</v>
      </c>
      <c r="G31">
        <v>6.9842800000000002E-5</v>
      </c>
      <c r="H31">
        <v>0</v>
      </c>
      <c r="I31">
        <v>2.4287563000000003E-3</v>
      </c>
    </row>
    <row r="32" spans="1:9" ht="15" customHeight="1" x14ac:dyDescent="0.15">
      <c r="A32">
        <v>31</v>
      </c>
      <c r="B32" s="186" t="s">
        <v>223</v>
      </c>
      <c r="C32">
        <v>2.036178E-3</v>
      </c>
      <c r="D32">
        <v>2.08113E-4</v>
      </c>
      <c r="E32">
        <v>1.3505353600000001E-2</v>
      </c>
      <c r="F32">
        <v>5.8247660000000003E-3</v>
      </c>
      <c r="G32">
        <v>4.5294539999999996E-3</v>
      </c>
      <c r="H32">
        <v>0</v>
      </c>
      <c r="I32">
        <v>2.6103864600000002E-2</v>
      </c>
    </row>
    <row r="33" spans="1:9" ht="15" customHeight="1" x14ac:dyDescent="0.15">
      <c r="A33">
        <v>32</v>
      </c>
      <c r="B33" s="186" t="s">
        <v>224</v>
      </c>
      <c r="C33">
        <v>1.4465699999999999E-4</v>
      </c>
      <c r="D33">
        <v>5.9030890000000003E-2</v>
      </c>
      <c r="E33">
        <v>3.0215809999999999E-2</v>
      </c>
      <c r="F33">
        <v>7.8192420000000006E-3</v>
      </c>
      <c r="G33">
        <v>6.9502400000000003E-4</v>
      </c>
      <c r="H33">
        <v>0</v>
      </c>
      <c r="I33">
        <v>9.7905623000000011E-2</v>
      </c>
    </row>
    <row r="34" spans="1:9" ht="15" customHeight="1" x14ac:dyDescent="0.15">
      <c r="A34">
        <v>33</v>
      </c>
      <c r="B34" s="186" t="s">
        <v>225</v>
      </c>
      <c r="C34">
        <v>9.7478099999999998E-5</v>
      </c>
      <c r="D34">
        <v>0</v>
      </c>
      <c r="E34">
        <v>6.0458099999999998E-4</v>
      </c>
      <c r="F34">
        <v>0</v>
      </c>
      <c r="G34">
        <v>2.7561912300000001E-2</v>
      </c>
      <c r="H34">
        <v>0</v>
      </c>
      <c r="I34">
        <v>2.8263971400000001E-2</v>
      </c>
    </row>
    <row r="35" spans="1:9" ht="15" customHeight="1" x14ac:dyDescent="0.15">
      <c r="A35">
        <v>34</v>
      </c>
      <c r="B35" s="186" t="s">
        <v>226</v>
      </c>
      <c r="C35">
        <v>8.9685900000000001E-6</v>
      </c>
      <c r="D35">
        <v>3.4457599999999998E-4</v>
      </c>
      <c r="E35">
        <v>4.9510367200000002E-2</v>
      </c>
      <c r="F35">
        <v>6.9978399999999995E-4</v>
      </c>
      <c r="G35">
        <v>1.0321460000000001E-3</v>
      </c>
      <c r="H35">
        <v>0</v>
      </c>
      <c r="I35">
        <v>5.1595841789999999E-2</v>
      </c>
    </row>
    <row r="36" spans="1:9" ht="15" customHeight="1" x14ac:dyDescent="0.15">
      <c r="A36">
        <v>35</v>
      </c>
      <c r="B36" s="186" t="s">
        <v>227</v>
      </c>
      <c r="C36">
        <v>0</v>
      </c>
      <c r="D36">
        <v>0</v>
      </c>
      <c r="E36">
        <v>0</v>
      </c>
      <c r="F36">
        <v>0</v>
      </c>
      <c r="G36">
        <v>0</v>
      </c>
      <c r="H36">
        <v>0</v>
      </c>
      <c r="I36">
        <v>0</v>
      </c>
    </row>
    <row r="37" spans="1:9" ht="15" customHeight="1" x14ac:dyDescent="0.15">
      <c r="A37">
        <v>36</v>
      </c>
      <c r="B37" s="186" t="s">
        <v>228</v>
      </c>
      <c r="C37">
        <v>0</v>
      </c>
      <c r="D37">
        <v>0</v>
      </c>
      <c r="E37">
        <v>0</v>
      </c>
      <c r="F37">
        <v>0</v>
      </c>
      <c r="G37">
        <v>0</v>
      </c>
      <c r="H37">
        <v>0</v>
      </c>
      <c r="I37">
        <v>0</v>
      </c>
    </row>
    <row r="38" spans="1:9" ht="15" customHeight="1" x14ac:dyDescent="0.15">
      <c r="A38">
        <v>37</v>
      </c>
      <c r="B38" s="186" t="s">
        <v>229</v>
      </c>
      <c r="C38">
        <v>0</v>
      </c>
      <c r="D38">
        <v>0</v>
      </c>
      <c r="E38">
        <v>0</v>
      </c>
      <c r="F38">
        <v>0</v>
      </c>
      <c r="G38">
        <v>0</v>
      </c>
      <c r="H38">
        <v>0</v>
      </c>
      <c r="I38">
        <v>0</v>
      </c>
    </row>
    <row r="39" spans="1:9" ht="15" customHeight="1" x14ac:dyDescent="0.15">
      <c r="A39">
        <v>38</v>
      </c>
      <c r="B39" s="186" t="s">
        <v>230</v>
      </c>
      <c r="C39">
        <v>0</v>
      </c>
      <c r="D39">
        <v>0</v>
      </c>
      <c r="E39">
        <v>0</v>
      </c>
      <c r="F39">
        <v>0</v>
      </c>
      <c r="G39">
        <v>0</v>
      </c>
      <c r="H39">
        <v>0</v>
      </c>
      <c r="I39">
        <v>0</v>
      </c>
    </row>
    <row r="40" spans="1:9" ht="15" customHeight="1" x14ac:dyDescent="0.15">
      <c r="A40">
        <v>39</v>
      </c>
      <c r="B40" s="186" t="s">
        <v>231</v>
      </c>
      <c r="C40">
        <v>0</v>
      </c>
      <c r="D40">
        <v>0</v>
      </c>
      <c r="E40">
        <v>0</v>
      </c>
      <c r="F40">
        <v>0</v>
      </c>
      <c r="G40">
        <v>0</v>
      </c>
      <c r="H40">
        <v>0</v>
      </c>
      <c r="I40">
        <v>0</v>
      </c>
    </row>
    <row r="41" spans="1:9" ht="15" customHeight="1" x14ac:dyDescent="0.15">
      <c r="A41">
        <v>40</v>
      </c>
      <c r="B41" s="186" t="s">
        <v>232</v>
      </c>
      <c r="C41">
        <v>0</v>
      </c>
      <c r="D41">
        <v>0</v>
      </c>
      <c r="E41">
        <v>0</v>
      </c>
      <c r="F41">
        <v>0</v>
      </c>
      <c r="G41">
        <v>0</v>
      </c>
      <c r="H41">
        <v>0</v>
      </c>
      <c r="I41">
        <v>0</v>
      </c>
    </row>
    <row r="42" spans="1:9" ht="15" customHeight="1" x14ac:dyDescent="0.15">
      <c r="A42">
        <v>41</v>
      </c>
      <c r="B42" s="186" t="s">
        <v>233</v>
      </c>
      <c r="C42">
        <v>0</v>
      </c>
      <c r="D42">
        <v>0</v>
      </c>
      <c r="E42">
        <v>0</v>
      </c>
      <c r="F42">
        <v>0</v>
      </c>
      <c r="G42">
        <v>0</v>
      </c>
      <c r="H42">
        <v>0</v>
      </c>
      <c r="I42">
        <v>0</v>
      </c>
    </row>
    <row r="43" spans="1:9" ht="15" customHeight="1" x14ac:dyDescent="0.15">
      <c r="A43">
        <v>42</v>
      </c>
      <c r="B43" s="186" t="s">
        <v>234</v>
      </c>
      <c r="C43">
        <v>0</v>
      </c>
      <c r="D43">
        <v>0</v>
      </c>
      <c r="E43">
        <v>0</v>
      </c>
      <c r="F43">
        <v>0</v>
      </c>
      <c r="G43">
        <v>0</v>
      </c>
      <c r="H43">
        <v>0</v>
      </c>
      <c r="I43">
        <v>0</v>
      </c>
    </row>
    <row r="44" spans="1:9" ht="15" customHeight="1" x14ac:dyDescent="0.15">
      <c r="A44">
        <v>43</v>
      </c>
      <c r="B44" s="186" t="s">
        <v>235</v>
      </c>
      <c r="C44">
        <v>0</v>
      </c>
      <c r="D44">
        <v>0</v>
      </c>
      <c r="E44">
        <v>0</v>
      </c>
      <c r="F44">
        <v>0</v>
      </c>
      <c r="G44">
        <v>0</v>
      </c>
      <c r="H44">
        <v>0</v>
      </c>
      <c r="I44">
        <v>0</v>
      </c>
    </row>
    <row r="45" spans="1:9" ht="15" customHeight="1" x14ac:dyDescent="0.15"/>
    <row r="46" spans="1:9" ht="15" customHeight="1" x14ac:dyDescent="0.15"/>
    <row r="47" spans="1:9" ht="15" customHeight="1" x14ac:dyDescent="0.15"/>
    <row r="48" spans="1:9"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I4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5" bestFit="1" customWidth="1"/>
    <col min="3" max="5" width="11.83203125" bestFit="1" customWidth="1"/>
    <col min="6" max="6" width="11.83203125" customWidth="1"/>
    <col min="7" max="8" width="2.33203125" customWidth="1"/>
    <col min="9" max="9" width="15.83203125" customWidth="1"/>
  </cols>
  <sheetData>
    <row r="1" spans="1:9" s="114" customFormat="1" ht="112" x14ac:dyDescent="0.15">
      <c r="A1" s="5" t="s">
        <v>22</v>
      </c>
      <c r="B1" s="3" t="s">
        <v>0</v>
      </c>
      <c r="C1" s="189" t="s">
        <v>236</v>
      </c>
      <c r="D1" s="189" t="s">
        <v>237</v>
      </c>
      <c r="E1" s="189" t="s">
        <v>238</v>
      </c>
      <c r="F1" s="189" t="s">
        <v>239</v>
      </c>
      <c r="G1" s="189" t="s">
        <v>240</v>
      </c>
      <c r="H1" s="189" t="s">
        <v>241</v>
      </c>
      <c r="I1" s="189" t="s">
        <v>245</v>
      </c>
    </row>
    <row r="2" spans="1:9" x14ac:dyDescent="0.15">
      <c r="A2">
        <v>1</v>
      </c>
      <c r="B2" s="188" t="s">
        <v>193</v>
      </c>
      <c r="C2">
        <v>0</v>
      </c>
      <c r="D2">
        <v>0</v>
      </c>
      <c r="E2">
        <v>0</v>
      </c>
      <c r="F2">
        <v>0</v>
      </c>
      <c r="G2">
        <v>0</v>
      </c>
      <c r="H2">
        <v>0</v>
      </c>
      <c r="I2">
        <v>0</v>
      </c>
    </row>
    <row r="3" spans="1:9" x14ac:dyDescent="0.15">
      <c r="A3">
        <v>2</v>
      </c>
      <c r="B3" s="188" t="s">
        <v>194</v>
      </c>
      <c r="C3">
        <v>0</v>
      </c>
      <c r="D3">
        <v>0</v>
      </c>
      <c r="E3">
        <v>0</v>
      </c>
      <c r="F3">
        <v>0</v>
      </c>
      <c r="G3">
        <v>0</v>
      </c>
      <c r="H3">
        <v>0</v>
      </c>
      <c r="I3">
        <v>0</v>
      </c>
    </row>
    <row r="4" spans="1:9" x14ac:dyDescent="0.15">
      <c r="A4">
        <v>3</v>
      </c>
      <c r="B4" s="188" t="s">
        <v>195</v>
      </c>
      <c r="C4">
        <v>0</v>
      </c>
      <c r="D4">
        <v>0</v>
      </c>
      <c r="E4">
        <v>0</v>
      </c>
      <c r="F4">
        <v>0</v>
      </c>
      <c r="G4">
        <v>0</v>
      </c>
      <c r="H4">
        <v>0</v>
      </c>
      <c r="I4">
        <v>0</v>
      </c>
    </row>
    <row r="5" spans="1:9" x14ac:dyDescent="0.15">
      <c r="A5">
        <v>4</v>
      </c>
      <c r="B5" s="188" t="s">
        <v>196</v>
      </c>
      <c r="C5">
        <v>0</v>
      </c>
      <c r="D5">
        <v>0</v>
      </c>
      <c r="E5">
        <v>0</v>
      </c>
      <c r="F5">
        <v>0</v>
      </c>
      <c r="G5">
        <v>0</v>
      </c>
      <c r="H5">
        <v>0</v>
      </c>
      <c r="I5">
        <v>0</v>
      </c>
    </row>
    <row r="6" spans="1:9" x14ac:dyDescent="0.15">
      <c r="A6">
        <v>5</v>
      </c>
      <c r="B6" s="188" t="s">
        <v>197</v>
      </c>
      <c r="C6">
        <v>0</v>
      </c>
      <c r="D6">
        <v>0</v>
      </c>
      <c r="E6">
        <v>0</v>
      </c>
      <c r="F6">
        <v>0</v>
      </c>
      <c r="G6">
        <v>0</v>
      </c>
      <c r="H6">
        <v>0</v>
      </c>
      <c r="I6">
        <v>0</v>
      </c>
    </row>
    <row r="7" spans="1:9" x14ac:dyDescent="0.15">
      <c r="A7">
        <v>6</v>
      </c>
      <c r="B7" s="188" t="s">
        <v>198</v>
      </c>
      <c r="C7">
        <v>0</v>
      </c>
      <c r="D7">
        <v>0</v>
      </c>
      <c r="E7">
        <v>0</v>
      </c>
      <c r="F7">
        <v>0</v>
      </c>
      <c r="G7">
        <v>0</v>
      </c>
      <c r="H7">
        <v>0</v>
      </c>
      <c r="I7">
        <v>0</v>
      </c>
    </row>
    <row r="8" spans="1:9" x14ac:dyDescent="0.15">
      <c r="A8">
        <v>7</v>
      </c>
      <c r="B8" s="188" t="s">
        <v>199</v>
      </c>
      <c r="C8">
        <v>0</v>
      </c>
      <c r="D8">
        <v>0</v>
      </c>
      <c r="E8">
        <v>0</v>
      </c>
      <c r="F8">
        <v>0</v>
      </c>
      <c r="G8">
        <v>0</v>
      </c>
      <c r="H8">
        <v>0</v>
      </c>
      <c r="I8">
        <v>0</v>
      </c>
    </row>
    <row r="9" spans="1:9" x14ac:dyDescent="0.15">
      <c r="A9">
        <v>8</v>
      </c>
      <c r="B9" s="188" t="s">
        <v>200</v>
      </c>
      <c r="C9">
        <v>0</v>
      </c>
      <c r="D9">
        <v>0</v>
      </c>
      <c r="E9">
        <v>0</v>
      </c>
      <c r="F9">
        <v>0</v>
      </c>
      <c r="G9">
        <v>0</v>
      </c>
      <c r="H9">
        <v>0</v>
      </c>
      <c r="I9">
        <v>0</v>
      </c>
    </row>
    <row r="10" spans="1:9" x14ac:dyDescent="0.15">
      <c r="A10">
        <v>9</v>
      </c>
      <c r="B10" s="188" t="s">
        <v>201</v>
      </c>
      <c r="C10">
        <v>0</v>
      </c>
      <c r="D10">
        <v>0</v>
      </c>
      <c r="E10">
        <v>0</v>
      </c>
      <c r="F10">
        <v>0</v>
      </c>
      <c r="G10">
        <v>0</v>
      </c>
      <c r="H10">
        <v>0</v>
      </c>
      <c r="I10">
        <v>0</v>
      </c>
    </row>
    <row r="11" spans="1:9" x14ac:dyDescent="0.15">
      <c r="A11">
        <v>10</v>
      </c>
      <c r="B11" s="188" t="s">
        <v>202</v>
      </c>
      <c r="C11">
        <v>0</v>
      </c>
      <c r="D11">
        <v>0</v>
      </c>
      <c r="E11">
        <v>0</v>
      </c>
      <c r="F11">
        <v>0</v>
      </c>
      <c r="G11">
        <v>0</v>
      </c>
      <c r="H11">
        <v>0</v>
      </c>
      <c r="I11">
        <v>0</v>
      </c>
    </row>
    <row r="12" spans="1:9" x14ac:dyDescent="0.15">
      <c r="A12">
        <v>11</v>
      </c>
      <c r="B12" s="188" t="s">
        <v>203</v>
      </c>
      <c r="C12">
        <v>0</v>
      </c>
      <c r="D12">
        <v>0</v>
      </c>
      <c r="E12">
        <v>0</v>
      </c>
      <c r="F12">
        <v>0</v>
      </c>
      <c r="G12">
        <v>0</v>
      </c>
      <c r="H12">
        <v>0</v>
      </c>
      <c r="I12">
        <v>0</v>
      </c>
    </row>
    <row r="13" spans="1:9" x14ac:dyDescent="0.15">
      <c r="A13">
        <v>12</v>
      </c>
      <c r="B13" s="188" t="s">
        <v>204</v>
      </c>
      <c r="C13">
        <v>0</v>
      </c>
      <c r="D13">
        <v>0</v>
      </c>
      <c r="E13">
        <v>0</v>
      </c>
      <c r="F13">
        <v>0</v>
      </c>
      <c r="G13">
        <v>0</v>
      </c>
      <c r="H13">
        <v>0</v>
      </c>
      <c r="I13">
        <v>0</v>
      </c>
    </row>
    <row r="14" spans="1:9" x14ac:dyDescent="0.15">
      <c r="A14">
        <v>13</v>
      </c>
      <c r="B14" s="188" t="s">
        <v>205</v>
      </c>
      <c r="C14">
        <v>8.0421599999999996E-4</v>
      </c>
      <c r="D14">
        <v>8.2022200000000002E-8</v>
      </c>
      <c r="E14">
        <v>5.1717899999999999E-4</v>
      </c>
      <c r="F14">
        <v>0</v>
      </c>
      <c r="G14">
        <v>0</v>
      </c>
      <c r="H14">
        <v>0</v>
      </c>
      <c r="I14">
        <v>1.3214770221999998E-3</v>
      </c>
    </row>
    <row r="15" spans="1:9" x14ac:dyDescent="0.15">
      <c r="A15">
        <v>14</v>
      </c>
      <c r="B15" s="188" t="s">
        <v>206</v>
      </c>
      <c r="C15">
        <v>2.18328E-4</v>
      </c>
      <c r="D15">
        <v>0</v>
      </c>
      <c r="E15">
        <v>0</v>
      </c>
      <c r="F15">
        <v>0</v>
      </c>
      <c r="G15">
        <v>0</v>
      </c>
      <c r="H15">
        <v>0</v>
      </c>
      <c r="I15">
        <v>2.18328E-4</v>
      </c>
    </row>
    <row r="16" spans="1:9" x14ac:dyDescent="0.15">
      <c r="A16">
        <v>15</v>
      </c>
      <c r="B16" s="188" t="s">
        <v>207</v>
      </c>
      <c r="C16">
        <v>3.5486509999999999E-3</v>
      </c>
      <c r="D16">
        <v>1.2675599999999999E-6</v>
      </c>
      <c r="E16">
        <v>2.0971829999999999E-3</v>
      </c>
      <c r="F16">
        <v>0</v>
      </c>
      <c r="G16">
        <v>0</v>
      </c>
      <c r="H16">
        <v>0</v>
      </c>
      <c r="I16">
        <v>5.6471015599999994E-3</v>
      </c>
    </row>
    <row r="17" spans="1:9" x14ac:dyDescent="0.15">
      <c r="A17">
        <v>16</v>
      </c>
      <c r="B17" s="188" t="s">
        <v>208</v>
      </c>
      <c r="C17">
        <v>3.4786499999999999E-4</v>
      </c>
      <c r="D17">
        <v>0</v>
      </c>
      <c r="E17">
        <v>0</v>
      </c>
      <c r="F17">
        <v>0</v>
      </c>
      <c r="G17">
        <v>0</v>
      </c>
      <c r="H17">
        <v>0</v>
      </c>
      <c r="I17">
        <v>3.4786499999999999E-4</v>
      </c>
    </row>
    <row r="18" spans="1:9" x14ac:dyDescent="0.15">
      <c r="A18">
        <v>17</v>
      </c>
      <c r="B18" s="188" t="s">
        <v>209</v>
      </c>
      <c r="C18">
        <v>0</v>
      </c>
      <c r="D18">
        <v>0</v>
      </c>
      <c r="E18">
        <v>2.3050100000000001E-4</v>
      </c>
      <c r="F18">
        <v>0</v>
      </c>
      <c r="G18">
        <v>0</v>
      </c>
      <c r="H18">
        <v>0</v>
      </c>
      <c r="I18">
        <v>2.3050100000000001E-4</v>
      </c>
    </row>
    <row r="19" spans="1:9" x14ac:dyDescent="0.15">
      <c r="A19">
        <v>18</v>
      </c>
      <c r="B19" s="188" t="s">
        <v>210</v>
      </c>
      <c r="C19">
        <v>0</v>
      </c>
      <c r="D19">
        <v>0</v>
      </c>
      <c r="E19">
        <v>3.8203E-4</v>
      </c>
      <c r="F19">
        <v>0</v>
      </c>
      <c r="G19">
        <v>0</v>
      </c>
      <c r="H19">
        <v>0</v>
      </c>
      <c r="I19">
        <v>3.8203E-4</v>
      </c>
    </row>
    <row r="20" spans="1:9" x14ac:dyDescent="0.15">
      <c r="A20">
        <v>19</v>
      </c>
      <c r="B20" s="188" t="s">
        <v>211</v>
      </c>
      <c r="C20">
        <v>1.17774E-4</v>
      </c>
      <c r="D20">
        <v>4.8614799999999998E-8</v>
      </c>
      <c r="E20">
        <v>3.0524900000000003E-5</v>
      </c>
      <c r="F20">
        <v>0</v>
      </c>
      <c r="G20">
        <v>0</v>
      </c>
      <c r="H20">
        <v>0</v>
      </c>
      <c r="I20">
        <v>1.483475148E-4</v>
      </c>
    </row>
    <row r="21" spans="1:9" x14ac:dyDescent="0.15">
      <c r="A21">
        <v>20</v>
      </c>
      <c r="B21" s="188" t="s">
        <v>212</v>
      </c>
      <c r="C21">
        <v>7.7630600000000002E-5</v>
      </c>
      <c r="D21">
        <v>0</v>
      </c>
      <c r="E21">
        <v>0</v>
      </c>
      <c r="F21">
        <v>0</v>
      </c>
      <c r="G21">
        <v>0</v>
      </c>
      <c r="H21">
        <v>0</v>
      </c>
      <c r="I21">
        <v>7.7630600000000002E-5</v>
      </c>
    </row>
    <row r="22" spans="1:9" x14ac:dyDescent="0.15">
      <c r="A22">
        <v>21</v>
      </c>
      <c r="B22" s="188" t="s">
        <v>213</v>
      </c>
      <c r="C22">
        <v>0</v>
      </c>
      <c r="D22">
        <v>0</v>
      </c>
      <c r="E22">
        <v>0</v>
      </c>
      <c r="F22">
        <v>0</v>
      </c>
      <c r="G22">
        <v>0</v>
      </c>
      <c r="H22">
        <v>0</v>
      </c>
      <c r="I22">
        <v>0</v>
      </c>
    </row>
    <row r="23" spans="1:9" x14ac:dyDescent="0.15">
      <c r="A23">
        <v>22</v>
      </c>
      <c r="B23" s="188" t="s">
        <v>214</v>
      </c>
      <c r="C23">
        <v>0</v>
      </c>
      <c r="D23">
        <v>9.1710479999999994E-3</v>
      </c>
      <c r="E23">
        <v>2.7692599999999998E-4</v>
      </c>
      <c r="F23">
        <v>0</v>
      </c>
      <c r="G23">
        <v>0</v>
      </c>
      <c r="H23">
        <v>0</v>
      </c>
      <c r="I23">
        <v>9.4479739999999996E-3</v>
      </c>
    </row>
    <row r="24" spans="1:9" x14ac:dyDescent="0.15">
      <c r="A24">
        <v>23</v>
      </c>
      <c r="B24" s="188" t="s">
        <v>215</v>
      </c>
      <c r="C24">
        <v>0</v>
      </c>
      <c r="D24">
        <v>0</v>
      </c>
      <c r="E24">
        <v>0</v>
      </c>
      <c r="F24">
        <v>0</v>
      </c>
      <c r="G24">
        <v>0</v>
      </c>
      <c r="H24">
        <v>0</v>
      </c>
      <c r="I24">
        <v>0</v>
      </c>
    </row>
    <row r="25" spans="1:9" x14ac:dyDescent="0.15">
      <c r="A25">
        <v>24</v>
      </c>
      <c r="B25" s="188" t="s">
        <v>216</v>
      </c>
      <c r="C25">
        <v>1.73769E-4</v>
      </c>
      <c r="D25">
        <v>0</v>
      </c>
      <c r="E25">
        <v>9.4917600000000003E-4</v>
      </c>
      <c r="F25">
        <v>0</v>
      </c>
      <c r="G25">
        <v>0</v>
      </c>
      <c r="H25">
        <v>0</v>
      </c>
      <c r="I25">
        <v>1.122945E-3</v>
      </c>
    </row>
    <row r="26" spans="1:9" x14ac:dyDescent="0.15">
      <c r="A26">
        <v>25</v>
      </c>
      <c r="B26" s="188" t="s">
        <v>217</v>
      </c>
      <c r="C26">
        <v>4.2509100000000001E-6</v>
      </c>
      <c r="D26">
        <v>0</v>
      </c>
      <c r="E26">
        <v>1.09823E-4</v>
      </c>
      <c r="F26">
        <v>0</v>
      </c>
      <c r="G26">
        <v>0</v>
      </c>
      <c r="H26">
        <v>0</v>
      </c>
      <c r="I26">
        <v>1.1407391E-4</v>
      </c>
    </row>
    <row r="27" spans="1:9" x14ac:dyDescent="0.15">
      <c r="A27">
        <v>26</v>
      </c>
      <c r="B27" s="188" t="s">
        <v>218</v>
      </c>
      <c r="C27">
        <v>0</v>
      </c>
      <c r="D27">
        <v>3.8206399999999999E-4</v>
      </c>
      <c r="E27">
        <v>8.8251599999999994E-5</v>
      </c>
      <c r="F27">
        <v>0</v>
      </c>
      <c r="G27">
        <v>0</v>
      </c>
      <c r="H27">
        <v>0</v>
      </c>
      <c r="I27">
        <v>4.703156E-4</v>
      </c>
    </row>
    <row r="28" spans="1:9" x14ac:dyDescent="0.15">
      <c r="A28">
        <v>27</v>
      </c>
      <c r="B28" s="188" t="s">
        <v>219</v>
      </c>
      <c r="C28">
        <v>1.46873E-4</v>
      </c>
      <c r="D28">
        <v>4.0559499999999997E-5</v>
      </c>
      <c r="E28">
        <v>2.9081369999999999E-3</v>
      </c>
      <c r="F28">
        <v>0</v>
      </c>
      <c r="G28">
        <v>0</v>
      </c>
      <c r="H28">
        <v>0</v>
      </c>
      <c r="I28">
        <v>3.0955695E-3</v>
      </c>
    </row>
    <row r="29" spans="1:9" x14ac:dyDescent="0.15">
      <c r="A29">
        <v>28</v>
      </c>
      <c r="B29" s="188" t="s">
        <v>220</v>
      </c>
      <c r="C29">
        <v>5.9242400000000003E-4</v>
      </c>
      <c r="D29">
        <v>4.2124199999999998E-7</v>
      </c>
      <c r="E29">
        <v>8.5573599999999995E-4</v>
      </c>
      <c r="F29">
        <v>2.3049499999999998E-6</v>
      </c>
      <c r="G29">
        <v>0</v>
      </c>
      <c r="H29">
        <v>0</v>
      </c>
      <c r="I29">
        <v>1.4508861919999999E-3</v>
      </c>
    </row>
    <row r="30" spans="1:9" x14ac:dyDescent="0.15">
      <c r="A30">
        <v>29</v>
      </c>
      <c r="B30" s="188" t="s">
        <v>221</v>
      </c>
      <c r="C30">
        <v>2.37369E-4</v>
      </c>
      <c r="D30">
        <v>0</v>
      </c>
      <c r="E30">
        <v>1.93783E-4</v>
      </c>
      <c r="F30">
        <v>1.09195E-4</v>
      </c>
      <c r="G30">
        <v>0</v>
      </c>
      <c r="H30">
        <v>0</v>
      </c>
      <c r="I30">
        <v>5.4034699999999994E-4</v>
      </c>
    </row>
    <row r="31" spans="1:9" x14ac:dyDescent="0.15">
      <c r="A31">
        <v>30</v>
      </c>
      <c r="B31" s="188" t="s">
        <v>222</v>
      </c>
      <c r="C31">
        <v>4.6796299999999999E-7</v>
      </c>
      <c r="D31">
        <v>0</v>
      </c>
      <c r="E31">
        <v>1.70642E-6</v>
      </c>
      <c r="F31">
        <v>0</v>
      </c>
      <c r="G31">
        <v>0</v>
      </c>
      <c r="H31">
        <v>0</v>
      </c>
      <c r="I31">
        <v>2.174383E-6</v>
      </c>
    </row>
    <row r="32" spans="1:9" x14ac:dyDescent="0.15">
      <c r="A32">
        <v>31</v>
      </c>
      <c r="B32" s="188" t="s">
        <v>223</v>
      </c>
      <c r="C32">
        <v>0</v>
      </c>
      <c r="D32">
        <v>0</v>
      </c>
      <c r="E32">
        <v>0</v>
      </c>
      <c r="F32">
        <v>0</v>
      </c>
      <c r="G32">
        <v>0</v>
      </c>
      <c r="H32">
        <v>0</v>
      </c>
      <c r="I32">
        <v>0</v>
      </c>
    </row>
    <row r="33" spans="1:9" x14ac:dyDescent="0.15">
      <c r="A33">
        <v>32</v>
      </c>
      <c r="B33" s="188" t="s">
        <v>224</v>
      </c>
      <c r="C33">
        <v>1.72211E-5</v>
      </c>
      <c r="D33">
        <v>0</v>
      </c>
      <c r="E33">
        <v>6.0431599999999999E-5</v>
      </c>
      <c r="F33">
        <v>7.8192400000000007E-6</v>
      </c>
      <c r="G33">
        <v>0</v>
      </c>
      <c r="H33">
        <v>0</v>
      </c>
      <c r="I33">
        <v>8.5471940000000007E-5</v>
      </c>
    </row>
    <row r="34" spans="1:9" x14ac:dyDescent="0.15">
      <c r="A34">
        <v>33</v>
      </c>
      <c r="B34" s="188" t="s">
        <v>225</v>
      </c>
      <c r="C34">
        <v>0</v>
      </c>
      <c r="D34">
        <v>0</v>
      </c>
      <c r="E34">
        <v>0</v>
      </c>
      <c r="F34">
        <v>0</v>
      </c>
      <c r="G34">
        <v>0</v>
      </c>
      <c r="H34">
        <v>0</v>
      </c>
      <c r="I34">
        <v>0</v>
      </c>
    </row>
    <row r="35" spans="1:9" x14ac:dyDescent="0.15">
      <c r="A35">
        <v>34</v>
      </c>
      <c r="B35" s="188" t="s">
        <v>226</v>
      </c>
      <c r="C35">
        <v>0</v>
      </c>
      <c r="D35">
        <v>0</v>
      </c>
      <c r="E35">
        <v>0</v>
      </c>
      <c r="F35">
        <v>0</v>
      </c>
      <c r="G35">
        <v>0</v>
      </c>
      <c r="H35">
        <v>0</v>
      </c>
      <c r="I35">
        <v>0</v>
      </c>
    </row>
    <row r="36" spans="1:9" x14ac:dyDescent="0.15">
      <c r="A36">
        <v>35</v>
      </c>
      <c r="B36" s="188" t="s">
        <v>227</v>
      </c>
      <c r="C36">
        <v>0</v>
      </c>
      <c r="D36">
        <v>0</v>
      </c>
      <c r="E36">
        <v>0</v>
      </c>
      <c r="F36">
        <v>0</v>
      </c>
      <c r="G36">
        <v>0</v>
      </c>
      <c r="H36">
        <v>0</v>
      </c>
      <c r="I36">
        <v>0</v>
      </c>
    </row>
    <row r="37" spans="1:9" x14ac:dyDescent="0.15">
      <c r="A37">
        <v>36</v>
      </c>
      <c r="B37" s="188" t="s">
        <v>228</v>
      </c>
      <c r="C37">
        <v>0</v>
      </c>
      <c r="D37">
        <v>0</v>
      </c>
      <c r="E37">
        <v>0</v>
      </c>
      <c r="F37">
        <v>0</v>
      </c>
      <c r="G37">
        <v>0</v>
      </c>
      <c r="H37">
        <v>0</v>
      </c>
      <c r="I37">
        <v>0</v>
      </c>
    </row>
    <row r="38" spans="1:9" x14ac:dyDescent="0.15">
      <c r="A38">
        <v>37</v>
      </c>
      <c r="B38" s="188" t="s">
        <v>229</v>
      </c>
      <c r="C38">
        <v>0</v>
      </c>
      <c r="D38">
        <v>0</v>
      </c>
      <c r="E38">
        <v>0</v>
      </c>
      <c r="F38">
        <v>0</v>
      </c>
      <c r="G38">
        <v>0</v>
      </c>
      <c r="H38">
        <v>0</v>
      </c>
      <c r="I38">
        <v>0</v>
      </c>
    </row>
    <row r="39" spans="1:9" x14ac:dyDescent="0.15">
      <c r="A39">
        <v>38</v>
      </c>
      <c r="B39" s="188" t="s">
        <v>230</v>
      </c>
      <c r="C39">
        <v>0</v>
      </c>
      <c r="D39">
        <v>0</v>
      </c>
      <c r="E39">
        <v>0</v>
      </c>
      <c r="F39">
        <v>0</v>
      </c>
      <c r="G39">
        <v>0</v>
      </c>
      <c r="H39">
        <v>0</v>
      </c>
      <c r="I39">
        <v>0</v>
      </c>
    </row>
    <row r="40" spans="1:9" x14ac:dyDescent="0.15">
      <c r="A40">
        <v>39</v>
      </c>
      <c r="B40" s="188" t="s">
        <v>231</v>
      </c>
      <c r="C40">
        <v>0</v>
      </c>
      <c r="D40">
        <v>0</v>
      </c>
      <c r="E40">
        <v>0</v>
      </c>
      <c r="F40">
        <v>0</v>
      </c>
      <c r="G40">
        <v>0</v>
      </c>
      <c r="H40">
        <v>0</v>
      </c>
      <c r="I40">
        <v>0</v>
      </c>
    </row>
    <row r="41" spans="1:9" x14ac:dyDescent="0.15">
      <c r="A41">
        <v>40</v>
      </c>
      <c r="B41" s="188" t="s">
        <v>232</v>
      </c>
      <c r="C41">
        <v>0</v>
      </c>
      <c r="D41">
        <v>0</v>
      </c>
      <c r="E41">
        <v>0</v>
      </c>
      <c r="F41">
        <v>0</v>
      </c>
      <c r="G41">
        <v>0</v>
      </c>
      <c r="H41">
        <v>0</v>
      </c>
      <c r="I41">
        <v>0</v>
      </c>
    </row>
    <row r="42" spans="1:9" x14ac:dyDescent="0.15">
      <c r="A42">
        <v>41</v>
      </c>
      <c r="B42" s="188" t="s">
        <v>233</v>
      </c>
      <c r="C42">
        <v>0</v>
      </c>
      <c r="D42">
        <v>0</v>
      </c>
      <c r="E42">
        <v>0</v>
      </c>
      <c r="F42">
        <v>0</v>
      </c>
      <c r="G42">
        <v>0</v>
      </c>
      <c r="H42">
        <v>0</v>
      </c>
      <c r="I42">
        <v>0</v>
      </c>
    </row>
    <row r="43" spans="1:9" x14ac:dyDescent="0.15">
      <c r="A43">
        <v>42</v>
      </c>
      <c r="B43" s="188" t="s">
        <v>234</v>
      </c>
      <c r="C43">
        <v>0</v>
      </c>
      <c r="D43">
        <v>0</v>
      </c>
      <c r="E43">
        <v>0</v>
      </c>
      <c r="F43">
        <v>0</v>
      </c>
      <c r="G43">
        <v>0</v>
      </c>
      <c r="H43">
        <v>0</v>
      </c>
      <c r="I43">
        <v>0</v>
      </c>
    </row>
    <row r="44" spans="1:9" x14ac:dyDescent="0.15">
      <c r="A44">
        <v>43</v>
      </c>
      <c r="B44" s="188" t="s">
        <v>235</v>
      </c>
      <c r="C44">
        <v>0</v>
      </c>
      <c r="D44">
        <v>0</v>
      </c>
      <c r="E44">
        <v>0</v>
      </c>
      <c r="F44">
        <v>0</v>
      </c>
      <c r="G44">
        <v>0</v>
      </c>
      <c r="H44">
        <v>0</v>
      </c>
      <c r="I44">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35" bestFit="1" customWidth="1"/>
    <col min="6" max="6" width="4.83203125" bestFit="1" customWidth="1"/>
    <col min="7" max="9" width="3.83203125" bestFit="1" customWidth="1"/>
    <col min="10" max="11" width="4.83203125" style="113"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5" customFormat="1" ht="14" thickBot="1" x14ac:dyDescent="0.2">
      <c r="D1" s="116" t="s">
        <v>8</v>
      </c>
      <c r="E1" s="116" t="s">
        <v>0</v>
      </c>
      <c r="F1" s="117" t="s">
        <v>99</v>
      </c>
      <c r="G1" s="118" t="s">
        <v>84</v>
      </c>
      <c r="H1" s="118" t="s">
        <v>85</v>
      </c>
      <c r="I1" s="118" t="s">
        <v>86</v>
      </c>
      <c r="J1" s="118" t="s">
        <v>87</v>
      </c>
      <c r="K1" s="118" t="s">
        <v>88</v>
      </c>
      <c r="L1" s="119" t="s">
        <v>89</v>
      </c>
      <c r="M1" s="119" t="s">
        <v>93</v>
      </c>
      <c r="N1" s="119" t="s">
        <v>92</v>
      </c>
      <c r="O1" s="119" t="s">
        <v>90</v>
      </c>
      <c r="P1" s="119" t="s">
        <v>91</v>
      </c>
      <c r="Q1" s="120" t="s">
        <v>94</v>
      </c>
      <c r="R1" s="120" t="s">
        <v>95</v>
      </c>
      <c r="S1" s="120" t="s">
        <v>96</v>
      </c>
      <c r="T1" s="120" t="s">
        <v>97</v>
      </c>
      <c r="U1" s="120" t="s">
        <v>98</v>
      </c>
      <c r="V1" s="118" t="s">
        <v>100</v>
      </c>
      <c r="W1" s="118" t="s">
        <v>101</v>
      </c>
      <c r="X1" s="118" t="s">
        <v>102</v>
      </c>
      <c r="Y1" s="118" t="s">
        <v>134</v>
      </c>
      <c r="Z1" s="119" t="s">
        <v>103</v>
      </c>
      <c r="AA1" s="119" t="s">
        <v>104</v>
      </c>
      <c r="AB1" s="119" t="s">
        <v>105</v>
      </c>
      <c r="AC1" s="121" t="s">
        <v>135</v>
      </c>
      <c r="AD1" s="120" t="s">
        <v>106</v>
      </c>
      <c r="AE1" s="120" t="s">
        <v>107</v>
      </c>
      <c r="AF1" s="120" t="s">
        <v>108</v>
      </c>
      <c r="AG1" s="120" t="s">
        <v>136</v>
      </c>
      <c r="AH1" s="118" t="s">
        <v>109</v>
      </c>
      <c r="AI1" s="118" t="s">
        <v>111</v>
      </c>
      <c r="AJ1" s="118" t="s">
        <v>110</v>
      </c>
      <c r="AK1" s="119" t="s">
        <v>115</v>
      </c>
      <c r="AL1" s="119" t="s">
        <v>116</v>
      </c>
      <c r="AM1" s="119" t="s">
        <v>117</v>
      </c>
      <c r="AN1" s="120" t="s">
        <v>112</v>
      </c>
      <c r="AO1" s="120" t="s">
        <v>113</v>
      </c>
      <c r="AP1" s="120" t="s">
        <v>114</v>
      </c>
    </row>
    <row r="2" spans="1:42" x14ac:dyDescent="0.15">
      <c r="A2" s="122" t="s">
        <v>74</v>
      </c>
      <c r="B2" s="123">
        <v>1</v>
      </c>
      <c r="D2">
        <v>1</v>
      </c>
      <c r="E2" s="190" t="s">
        <v>193</v>
      </c>
      <c r="F2">
        <v>0.98</v>
      </c>
      <c r="G2">
        <v>0.8</v>
      </c>
      <c r="H2">
        <v>0.8</v>
      </c>
      <c r="I2">
        <v>0</v>
      </c>
      <c r="J2" s="113">
        <v>0</v>
      </c>
      <c r="K2" s="113">
        <v>0</v>
      </c>
    </row>
    <row r="3" spans="1:42" x14ac:dyDescent="0.15">
      <c r="A3" s="122" t="s">
        <v>75</v>
      </c>
      <c r="B3" s="124">
        <v>1</v>
      </c>
      <c r="D3">
        <v>2</v>
      </c>
      <c r="E3" s="190" t="s">
        <v>194</v>
      </c>
      <c r="F3">
        <v>0.98</v>
      </c>
      <c r="G3">
        <v>0.8</v>
      </c>
      <c r="H3">
        <v>0.8</v>
      </c>
      <c r="I3">
        <v>0.8</v>
      </c>
      <c r="J3" s="113">
        <v>0.25</v>
      </c>
      <c r="K3" s="113">
        <v>0.05</v>
      </c>
    </row>
    <row r="4" spans="1:42" x14ac:dyDescent="0.15">
      <c r="A4" s="122" t="s">
        <v>76</v>
      </c>
      <c r="B4" s="124">
        <v>1</v>
      </c>
      <c r="D4">
        <v>3</v>
      </c>
      <c r="E4" s="190" t="s">
        <v>195</v>
      </c>
      <c r="F4">
        <v>0.98</v>
      </c>
      <c r="G4">
        <v>0.8</v>
      </c>
      <c r="H4">
        <v>0.8</v>
      </c>
      <c r="I4">
        <v>0.8</v>
      </c>
      <c r="J4" s="113">
        <v>0.25</v>
      </c>
      <c r="K4" s="113">
        <v>0.05</v>
      </c>
    </row>
    <row r="5" spans="1:42" x14ac:dyDescent="0.15">
      <c r="A5" s="122" t="s">
        <v>77</v>
      </c>
      <c r="B5" s="124">
        <v>1</v>
      </c>
      <c r="D5">
        <v>4</v>
      </c>
      <c r="E5" s="190" t="s">
        <v>196</v>
      </c>
      <c r="F5">
        <v>0.98</v>
      </c>
      <c r="G5">
        <v>0.8</v>
      </c>
      <c r="H5">
        <v>0.8</v>
      </c>
      <c r="I5">
        <v>0.8</v>
      </c>
      <c r="J5" s="113">
        <v>0.25</v>
      </c>
      <c r="K5" s="113">
        <v>0.05</v>
      </c>
    </row>
    <row r="6" spans="1:42" x14ac:dyDescent="0.15">
      <c r="A6" s="122" t="s">
        <v>78</v>
      </c>
      <c r="B6" s="124">
        <v>1</v>
      </c>
      <c r="D6">
        <v>5</v>
      </c>
      <c r="E6" s="190" t="s">
        <v>197</v>
      </c>
      <c r="F6">
        <v>0.98</v>
      </c>
      <c r="G6">
        <v>0.8</v>
      </c>
      <c r="H6">
        <v>0.8</v>
      </c>
      <c r="I6">
        <v>0.8</v>
      </c>
      <c r="J6" s="113">
        <v>0.25</v>
      </c>
      <c r="K6" s="113">
        <v>0.05</v>
      </c>
    </row>
    <row r="7" spans="1:42" x14ac:dyDescent="0.15">
      <c r="A7" s="122" t="s">
        <v>79</v>
      </c>
      <c r="B7" s="124">
        <v>1</v>
      </c>
      <c r="D7">
        <v>6</v>
      </c>
      <c r="E7" s="190" t="s">
        <v>198</v>
      </c>
      <c r="F7">
        <v>0.98</v>
      </c>
      <c r="G7">
        <v>0.8</v>
      </c>
      <c r="H7">
        <v>0.8</v>
      </c>
      <c r="I7">
        <v>0.8</v>
      </c>
      <c r="J7" s="113">
        <v>0.25</v>
      </c>
      <c r="K7" s="113">
        <v>0.05</v>
      </c>
    </row>
    <row r="8" spans="1:42" x14ac:dyDescent="0.15">
      <c r="A8" s="122" t="s">
        <v>80</v>
      </c>
      <c r="B8" s="124">
        <v>1</v>
      </c>
      <c r="D8">
        <v>7</v>
      </c>
      <c r="E8" s="190" t="s">
        <v>199</v>
      </c>
      <c r="F8">
        <v>0.98</v>
      </c>
      <c r="G8">
        <v>0.8</v>
      </c>
      <c r="H8">
        <v>0.8</v>
      </c>
      <c r="I8">
        <v>0.8</v>
      </c>
      <c r="J8" s="113">
        <v>0.25</v>
      </c>
      <c r="K8" s="113">
        <v>0.05</v>
      </c>
    </row>
    <row r="9" spans="1:42" x14ac:dyDescent="0.15">
      <c r="A9" s="122" t="s">
        <v>81</v>
      </c>
      <c r="B9" s="124">
        <v>0.1</v>
      </c>
      <c r="C9" s="60" t="s">
        <v>150</v>
      </c>
      <c r="D9">
        <v>8</v>
      </c>
      <c r="E9" s="190" t="s">
        <v>200</v>
      </c>
      <c r="F9">
        <v>0.98</v>
      </c>
      <c r="G9">
        <v>0.8</v>
      </c>
      <c r="H9">
        <v>0.8</v>
      </c>
      <c r="I9">
        <v>0.8</v>
      </c>
      <c r="J9" s="113">
        <v>0.25</v>
      </c>
      <c r="K9" s="113">
        <v>0.05</v>
      </c>
    </row>
    <row r="10" spans="1:42" ht="14" thickBot="1" x14ac:dyDescent="0.2">
      <c r="A10" s="122" t="s">
        <v>149</v>
      </c>
      <c r="B10" s="125">
        <f>1/3</f>
        <v>0.33333333333333331</v>
      </c>
      <c r="C10" s="60" t="s">
        <v>150</v>
      </c>
      <c r="D10">
        <v>9</v>
      </c>
      <c r="E10" s="190" t="s">
        <v>201</v>
      </c>
      <c r="F10">
        <v>0.98</v>
      </c>
      <c r="G10">
        <v>0.8</v>
      </c>
      <c r="H10">
        <v>0.8</v>
      </c>
      <c r="I10">
        <v>0.8</v>
      </c>
      <c r="J10" s="113">
        <v>0.25</v>
      </c>
      <c r="K10" s="113">
        <v>0.05</v>
      </c>
    </row>
    <row r="11" spans="1:42" x14ac:dyDescent="0.15">
      <c r="D11">
        <v>10</v>
      </c>
      <c r="E11" s="190" t="s">
        <v>202</v>
      </c>
      <c r="F11">
        <v>0.98</v>
      </c>
      <c r="G11">
        <v>0.8</v>
      </c>
      <c r="H11">
        <v>0.8</v>
      </c>
      <c r="I11">
        <v>0.8</v>
      </c>
      <c r="J11" s="113">
        <v>0.25</v>
      </c>
      <c r="K11" s="113">
        <v>0.05</v>
      </c>
    </row>
    <row r="12" spans="1:42" x14ac:dyDescent="0.15">
      <c r="D12">
        <v>11</v>
      </c>
      <c r="E12" s="190" t="s">
        <v>203</v>
      </c>
      <c r="F12">
        <v>0.98</v>
      </c>
      <c r="G12">
        <v>0.8</v>
      </c>
      <c r="H12">
        <v>0.8</v>
      </c>
      <c r="I12">
        <v>0.8</v>
      </c>
      <c r="J12" s="113">
        <v>0.25</v>
      </c>
      <c r="K12" s="113">
        <v>0.05</v>
      </c>
    </row>
    <row r="13" spans="1:42" x14ac:dyDescent="0.15">
      <c r="D13">
        <v>12</v>
      </c>
      <c r="E13" s="190" t="s">
        <v>204</v>
      </c>
      <c r="F13">
        <v>0.98</v>
      </c>
      <c r="G13">
        <v>0.8</v>
      </c>
      <c r="H13">
        <v>0.8</v>
      </c>
      <c r="I13">
        <v>0.8</v>
      </c>
      <c r="J13" s="113">
        <v>0.25</v>
      </c>
      <c r="K13" s="113">
        <v>0.05</v>
      </c>
    </row>
    <row r="14" spans="1:42" x14ac:dyDescent="0.15">
      <c r="D14">
        <v>13</v>
      </c>
      <c r="E14" s="190" t="s">
        <v>205</v>
      </c>
      <c r="F14">
        <v>0.98</v>
      </c>
      <c r="G14">
        <v>0.8</v>
      </c>
      <c r="H14">
        <v>0.8</v>
      </c>
      <c r="I14">
        <v>0.8</v>
      </c>
      <c r="J14" s="113">
        <v>0.25</v>
      </c>
      <c r="K14" s="113">
        <v>0.05</v>
      </c>
    </row>
    <row r="15" spans="1:42" x14ac:dyDescent="0.15">
      <c r="D15">
        <v>14</v>
      </c>
      <c r="E15" s="190" t="s">
        <v>206</v>
      </c>
      <c r="F15">
        <v>0.98</v>
      </c>
      <c r="G15">
        <v>0.8</v>
      </c>
      <c r="H15">
        <v>0.8</v>
      </c>
      <c r="I15">
        <v>0.8</v>
      </c>
      <c r="J15" s="113">
        <v>0.25</v>
      </c>
      <c r="K15" s="113">
        <v>0.05</v>
      </c>
    </row>
    <row r="16" spans="1:42" x14ac:dyDescent="0.15">
      <c r="D16">
        <v>15</v>
      </c>
      <c r="E16" s="190" t="s">
        <v>207</v>
      </c>
      <c r="F16">
        <v>0.98</v>
      </c>
      <c r="G16">
        <v>0.8</v>
      </c>
      <c r="H16">
        <v>0.8</v>
      </c>
      <c r="I16">
        <v>0.8</v>
      </c>
      <c r="J16" s="113">
        <v>0.25</v>
      </c>
      <c r="K16" s="113">
        <v>0.05</v>
      </c>
    </row>
    <row r="17" spans="4:33" ht="15" customHeight="1" x14ac:dyDescent="0.15">
      <c r="D17">
        <v>16</v>
      </c>
      <c r="E17" s="190" t="s">
        <v>208</v>
      </c>
      <c r="F17">
        <v>0.98</v>
      </c>
      <c r="G17">
        <v>0.8</v>
      </c>
      <c r="H17">
        <v>0.8</v>
      </c>
      <c r="I17">
        <v>0.8</v>
      </c>
      <c r="J17" s="113">
        <v>0.25</v>
      </c>
      <c r="K17" s="113">
        <v>0.05</v>
      </c>
    </row>
    <row r="18" spans="4:33" ht="15" customHeight="1" x14ac:dyDescent="0.15">
      <c r="D18">
        <v>17</v>
      </c>
      <c r="E18" s="190" t="s">
        <v>209</v>
      </c>
      <c r="F18">
        <v>0.98</v>
      </c>
      <c r="G18">
        <v>0.8</v>
      </c>
      <c r="H18">
        <v>0.8</v>
      </c>
      <c r="I18">
        <v>0.8</v>
      </c>
      <c r="J18" s="113">
        <v>0.25</v>
      </c>
      <c r="K18" s="113">
        <v>0.05</v>
      </c>
    </row>
    <row r="19" spans="4:33" ht="15" customHeight="1" x14ac:dyDescent="0.15">
      <c r="D19">
        <v>18</v>
      </c>
      <c r="E19" s="190" t="s">
        <v>210</v>
      </c>
      <c r="F19">
        <v>0.98</v>
      </c>
      <c r="G19">
        <v>0.8</v>
      </c>
      <c r="H19">
        <v>0.8</v>
      </c>
      <c r="I19">
        <v>0.8</v>
      </c>
      <c r="J19" s="113">
        <v>0.25</v>
      </c>
      <c r="K19" s="113">
        <v>0.05</v>
      </c>
    </row>
    <row r="20" spans="4:33" ht="15" customHeight="1" x14ac:dyDescent="0.15">
      <c r="D20">
        <v>19</v>
      </c>
      <c r="E20" s="190" t="s">
        <v>211</v>
      </c>
      <c r="F20">
        <v>0.98</v>
      </c>
      <c r="G20">
        <v>0.8</v>
      </c>
      <c r="H20">
        <v>0.8</v>
      </c>
      <c r="I20">
        <v>0.8</v>
      </c>
      <c r="J20" s="113">
        <v>0.25</v>
      </c>
      <c r="K20" s="113">
        <v>0.05</v>
      </c>
    </row>
    <row r="21" spans="4:33" ht="15" customHeight="1" x14ac:dyDescent="0.15">
      <c r="D21">
        <v>20</v>
      </c>
      <c r="E21" s="190" t="s">
        <v>212</v>
      </c>
      <c r="F21">
        <v>0.98</v>
      </c>
      <c r="G21">
        <v>0.8</v>
      </c>
      <c r="H21">
        <v>0.8</v>
      </c>
      <c r="I21">
        <v>0.8</v>
      </c>
      <c r="J21" s="113">
        <v>0.25</v>
      </c>
      <c r="K21" s="113">
        <v>0.05</v>
      </c>
    </row>
    <row r="22" spans="4:33" ht="15" customHeight="1" x14ac:dyDescent="0.15">
      <c r="D22">
        <v>21</v>
      </c>
      <c r="E22" s="190" t="s">
        <v>213</v>
      </c>
      <c r="F22">
        <v>0.98</v>
      </c>
      <c r="G22">
        <v>0.8</v>
      </c>
      <c r="H22">
        <v>0.8</v>
      </c>
      <c r="I22">
        <v>0.8</v>
      </c>
      <c r="J22" s="113">
        <v>0.25</v>
      </c>
      <c r="K22" s="113">
        <v>0.05</v>
      </c>
    </row>
    <row r="23" spans="4:33" ht="15" customHeight="1" x14ac:dyDescent="0.15">
      <c r="D23">
        <v>22</v>
      </c>
      <c r="E23" s="190" t="s">
        <v>214</v>
      </c>
      <c r="F23">
        <v>0.98</v>
      </c>
      <c r="G23">
        <v>0.8</v>
      </c>
      <c r="H23">
        <v>0.8</v>
      </c>
      <c r="I23">
        <v>0.8</v>
      </c>
      <c r="J23" s="113">
        <v>0.25</v>
      </c>
      <c r="K23" s="113">
        <v>0.05</v>
      </c>
    </row>
    <row r="24" spans="4:33" ht="15" customHeight="1" x14ac:dyDescent="0.15">
      <c r="D24">
        <v>23</v>
      </c>
      <c r="E24" s="190" t="s">
        <v>215</v>
      </c>
      <c r="F24">
        <v>0.98</v>
      </c>
      <c r="G24">
        <v>0.8</v>
      </c>
      <c r="H24">
        <v>0.8</v>
      </c>
      <c r="I24">
        <v>0.8</v>
      </c>
      <c r="J24" s="113">
        <v>0.25</v>
      </c>
      <c r="K24" s="113">
        <v>0.05</v>
      </c>
    </row>
    <row r="25" spans="4:33" ht="15" customHeight="1" x14ac:dyDescent="0.15">
      <c r="D25">
        <v>24</v>
      </c>
      <c r="E25" s="190" t="s">
        <v>216</v>
      </c>
      <c r="F25">
        <v>0.98</v>
      </c>
      <c r="G25">
        <v>0.8</v>
      </c>
      <c r="H25">
        <v>0.8</v>
      </c>
      <c r="I25">
        <v>0.8</v>
      </c>
      <c r="J25" s="113">
        <v>0.25</v>
      </c>
      <c r="K25" s="113">
        <v>0.05</v>
      </c>
    </row>
    <row r="26" spans="4:33" ht="15" customHeight="1" x14ac:dyDescent="0.15">
      <c r="D26">
        <v>25</v>
      </c>
      <c r="E26" s="190" t="s">
        <v>217</v>
      </c>
      <c r="F26">
        <v>0.98</v>
      </c>
      <c r="G26">
        <v>0.8</v>
      </c>
      <c r="H26">
        <v>0.8</v>
      </c>
      <c r="I26">
        <v>0.8</v>
      </c>
      <c r="J26" s="113">
        <v>0.25</v>
      </c>
      <c r="K26" s="113">
        <v>0.05</v>
      </c>
    </row>
    <row r="27" spans="4:33" ht="15" customHeight="1" x14ac:dyDescent="0.15">
      <c r="D27">
        <v>26</v>
      </c>
      <c r="E27" s="190" t="s">
        <v>218</v>
      </c>
      <c r="F27">
        <v>0.98</v>
      </c>
      <c r="G27">
        <v>0.8</v>
      </c>
      <c r="H27">
        <v>0.8</v>
      </c>
      <c r="I27">
        <v>0.8</v>
      </c>
      <c r="J27" s="113">
        <v>0.25</v>
      </c>
      <c r="K27" s="113">
        <v>0.05</v>
      </c>
    </row>
    <row r="28" spans="4:33" ht="15" customHeight="1" x14ac:dyDescent="0.15">
      <c r="D28">
        <v>27</v>
      </c>
      <c r="E28" s="190" t="s">
        <v>219</v>
      </c>
      <c r="F28">
        <v>0.98</v>
      </c>
      <c r="G28">
        <v>0.8</v>
      </c>
      <c r="H28">
        <v>0.8</v>
      </c>
      <c r="I28">
        <v>0.8</v>
      </c>
      <c r="J28" s="113">
        <v>0.25</v>
      </c>
      <c r="K28" s="113">
        <v>0.05</v>
      </c>
    </row>
    <row r="29" spans="4:33" ht="15" customHeight="1" x14ac:dyDescent="0.15">
      <c r="D29">
        <v>28</v>
      </c>
      <c r="E29" s="190" t="s">
        <v>220</v>
      </c>
      <c r="F29">
        <v>0.98</v>
      </c>
      <c r="G29">
        <v>0.8</v>
      </c>
      <c r="H29">
        <v>0.8</v>
      </c>
      <c r="I29">
        <v>0.8</v>
      </c>
      <c r="J29" s="113">
        <v>0.25</v>
      </c>
      <c r="K29" s="113">
        <v>0.05</v>
      </c>
      <c r="Y29"/>
      <c r="AC29"/>
      <c r="AG29"/>
    </row>
    <row r="30" spans="4:33" ht="15" customHeight="1" x14ac:dyDescent="0.15">
      <c r="D30">
        <v>29</v>
      </c>
      <c r="E30" s="190" t="s">
        <v>221</v>
      </c>
      <c r="F30">
        <v>0.98</v>
      </c>
      <c r="G30">
        <v>0.8</v>
      </c>
      <c r="H30">
        <v>0.8</v>
      </c>
      <c r="I30">
        <v>0.8</v>
      </c>
      <c r="J30" s="113">
        <v>0.25</v>
      </c>
      <c r="K30" s="113">
        <v>0.05</v>
      </c>
      <c r="Y30"/>
      <c r="AC30"/>
      <c r="AG30"/>
    </row>
    <row r="31" spans="4:33" ht="15" customHeight="1" x14ac:dyDescent="0.15">
      <c r="D31">
        <v>30</v>
      </c>
      <c r="E31" s="190" t="s">
        <v>222</v>
      </c>
      <c r="F31">
        <v>0.98</v>
      </c>
      <c r="G31">
        <v>0.8</v>
      </c>
      <c r="H31">
        <v>0.8</v>
      </c>
      <c r="I31">
        <v>0.8</v>
      </c>
      <c r="J31" s="113">
        <v>0.25</v>
      </c>
      <c r="K31" s="113">
        <v>0.05</v>
      </c>
      <c r="Y31"/>
      <c r="AC31"/>
      <c r="AG31"/>
    </row>
    <row r="32" spans="4:33" ht="15" customHeight="1" x14ac:dyDescent="0.15">
      <c r="D32">
        <v>31</v>
      </c>
      <c r="E32" s="190" t="s">
        <v>223</v>
      </c>
      <c r="F32">
        <v>0.98</v>
      </c>
      <c r="G32">
        <v>0.8</v>
      </c>
      <c r="H32">
        <v>0.8</v>
      </c>
      <c r="I32">
        <v>0.8</v>
      </c>
      <c r="J32" s="113">
        <v>0.25</v>
      </c>
      <c r="K32" s="113">
        <v>0.05</v>
      </c>
      <c r="Y32"/>
      <c r="AC32"/>
      <c r="AG32"/>
    </row>
    <row r="33" spans="4:33" ht="15" customHeight="1" x14ac:dyDescent="0.15">
      <c r="D33">
        <v>32</v>
      </c>
      <c r="E33" s="190" t="s">
        <v>224</v>
      </c>
      <c r="F33">
        <v>0.98</v>
      </c>
      <c r="G33">
        <v>0.8</v>
      </c>
      <c r="H33">
        <v>0.8</v>
      </c>
      <c r="I33">
        <v>0.8</v>
      </c>
      <c r="J33" s="113">
        <v>0.25</v>
      </c>
      <c r="K33" s="113">
        <v>0.05</v>
      </c>
      <c r="Y33"/>
      <c r="AC33"/>
      <c r="AG33"/>
    </row>
    <row r="34" spans="4:33" ht="15" customHeight="1" x14ac:dyDescent="0.15">
      <c r="D34">
        <v>33</v>
      </c>
      <c r="E34" s="190" t="s">
        <v>225</v>
      </c>
      <c r="F34">
        <v>0.98</v>
      </c>
      <c r="G34">
        <v>0.8</v>
      </c>
      <c r="H34">
        <v>0.8</v>
      </c>
      <c r="I34">
        <v>0.8</v>
      </c>
      <c r="J34" s="113">
        <v>0.25</v>
      </c>
      <c r="K34" s="113">
        <v>0.05</v>
      </c>
      <c r="Y34"/>
      <c r="AC34"/>
      <c r="AG34"/>
    </row>
    <row r="35" spans="4:33" ht="15" customHeight="1" x14ac:dyDescent="0.15">
      <c r="D35">
        <v>34</v>
      </c>
      <c r="E35" s="190" t="s">
        <v>226</v>
      </c>
      <c r="F35">
        <v>0.98</v>
      </c>
      <c r="G35">
        <v>0.8</v>
      </c>
      <c r="H35">
        <v>0.8</v>
      </c>
      <c r="I35">
        <v>0.8</v>
      </c>
      <c r="J35" s="113">
        <v>0.25</v>
      </c>
      <c r="K35" s="113">
        <v>0.05</v>
      </c>
      <c r="Y35"/>
      <c r="AC35"/>
      <c r="AG35"/>
    </row>
    <row r="36" spans="4:33" ht="15" customHeight="1" x14ac:dyDescent="0.15">
      <c r="D36">
        <v>35</v>
      </c>
      <c r="E36" s="190" t="s">
        <v>227</v>
      </c>
      <c r="F36">
        <v>0.98</v>
      </c>
      <c r="G36">
        <v>0.8</v>
      </c>
      <c r="H36">
        <v>0.8</v>
      </c>
      <c r="I36">
        <v>0.8</v>
      </c>
      <c r="J36" s="113">
        <v>0.25</v>
      </c>
      <c r="K36" s="113">
        <v>0.05</v>
      </c>
      <c r="Y36"/>
      <c r="AC36"/>
      <c r="AG36"/>
    </row>
    <row r="37" spans="4:33" ht="15" customHeight="1" x14ac:dyDescent="0.15">
      <c r="D37">
        <v>36</v>
      </c>
      <c r="E37" s="190" t="s">
        <v>228</v>
      </c>
      <c r="F37">
        <v>0.98</v>
      </c>
      <c r="G37">
        <v>0.8</v>
      </c>
      <c r="H37">
        <v>0.8</v>
      </c>
      <c r="I37">
        <v>0.8</v>
      </c>
      <c r="J37" s="113">
        <v>0.25</v>
      </c>
      <c r="K37" s="113">
        <v>0.05</v>
      </c>
      <c r="Y37"/>
      <c r="AC37"/>
      <c r="AG37"/>
    </row>
    <row r="38" spans="4:33" ht="15" customHeight="1" x14ac:dyDescent="0.15">
      <c r="D38">
        <v>37</v>
      </c>
      <c r="E38" s="190" t="s">
        <v>229</v>
      </c>
      <c r="F38">
        <v>0.98</v>
      </c>
      <c r="G38">
        <v>0.8</v>
      </c>
      <c r="H38">
        <v>0.8</v>
      </c>
      <c r="I38">
        <v>0.8</v>
      </c>
      <c r="J38" s="113">
        <v>0.25</v>
      </c>
      <c r="K38" s="113">
        <v>0.05</v>
      </c>
      <c r="Y38"/>
      <c r="AC38"/>
      <c r="AG38"/>
    </row>
    <row r="39" spans="4:33" ht="15" customHeight="1" x14ac:dyDescent="0.15">
      <c r="D39">
        <v>38</v>
      </c>
      <c r="E39" s="190" t="s">
        <v>230</v>
      </c>
      <c r="F39">
        <v>0.98</v>
      </c>
      <c r="G39">
        <v>0.8</v>
      </c>
      <c r="H39">
        <v>0.8</v>
      </c>
      <c r="I39">
        <v>0.8</v>
      </c>
      <c r="J39" s="113">
        <v>0.25</v>
      </c>
      <c r="K39" s="113">
        <v>0.05</v>
      </c>
    </row>
    <row r="40" spans="4:33" ht="15" customHeight="1" x14ac:dyDescent="0.15">
      <c r="D40">
        <v>39</v>
      </c>
      <c r="E40" s="190" t="s">
        <v>231</v>
      </c>
      <c r="F40">
        <v>0.98</v>
      </c>
      <c r="G40">
        <v>0.8</v>
      </c>
      <c r="H40">
        <v>0.8</v>
      </c>
      <c r="I40">
        <v>0.8</v>
      </c>
      <c r="J40" s="113">
        <v>0.25</v>
      </c>
      <c r="K40" s="113">
        <v>0.05</v>
      </c>
      <c r="Y40"/>
      <c r="AC40"/>
      <c r="AG40"/>
    </row>
    <row r="41" spans="4:33" ht="15" customHeight="1" x14ac:dyDescent="0.15">
      <c r="D41">
        <v>40</v>
      </c>
      <c r="E41" s="190" t="s">
        <v>232</v>
      </c>
      <c r="F41">
        <v>0.98</v>
      </c>
      <c r="G41">
        <v>0.8</v>
      </c>
      <c r="H41">
        <v>0.8</v>
      </c>
      <c r="I41">
        <v>0.8</v>
      </c>
      <c r="J41" s="113">
        <v>0.25</v>
      </c>
      <c r="K41" s="113">
        <v>0.05</v>
      </c>
      <c r="Y41"/>
      <c r="AC41"/>
      <c r="AG41"/>
    </row>
    <row r="42" spans="4:33" ht="15" customHeight="1" x14ac:dyDescent="0.15">
      <c r="D42">
        <v>41</v>
      </c>
      <c r="E42" s="190" t="s">
        <v>233</v>
      </c>
      <c r="F42">
        <v>0.98</v>
      </c>
      <c r="G42">
        <v>0.8</v>
      </c>
      <c r="H42">
        <v>0</v>
      </c>
      <c r="I42">
        <v>0</v>
      </c>
      <c r="J42" s="113">
        <v>0</v>
      </c>
      <c r="K42" s="113">
        <v>0</v>
      </c>
      <c r="Y42"/>
      <c r="AC42"/>
      <c r="AG42"/>
    </row>
    <row r="43" spans="4:33" ht="15" customHeight="1" x14ac:dyDescent="0.15">
      <c r="D43">
        <v>42</v>
      </c>
      <c r="E43" s="190" t="s">
        <v>234</v>
      </c>
      <c r="F43">
        <v>0.98</v>
      </c>
      <c r="G43">
        <v>0.8</v>
      </c>
      <c r="H43">
        <v>0</v>
      </c>
      <c r="I43">
        <v>0</v>
      </c>
      <c r="J43" s="113">
        <v>0</v>
      </c>
      <c r="K43" s="113">
        <v>0</v>
      </c>
      <c r="Y43"/>
      <c r="AC43"/>
      <c r="AG43"/>
    </row>
    <row r="44" spans="4:33" ht="15" customHeight="1" x14ac:dyDescent="0.15">
      <c r="D44">
        <v>43</v>
      </c>
      <c r="E44" s="190" t="s">
        <v>235</v>
      </c>
      <c r="F44">
        <v>0.98</v>
      </c>
      <c r="G44">
        <v>0.8</v>
      </c>
      <c r="H44">
        <v>0</v>
      </c>
      <c r="I44">
        <v>0</v>
      </c>
      <c r="J44" s="113">
        <v>0</v>
      </c>
      <c r="K44" s="113">
        <v>0</v>
      </c>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R45"/>
  <sheetViews>
    <sheetView workbookViewId="0">
      <selection activeCell="A3" sqref="A3"/>
    </sheetView>
  </sheetViews>
  <sheetFormatPr baseColWidth="10" defaultRowHeight="13" x14ac:dyDescent="0.15"/>
  <cols>
    <col min="1" max="1" width="35" style="111" bestFit="1" customWidth="1"/>
    <col min="2" max="2" width="2.33203125" style="111" customWidth="1"/>
    <col min="3" max="41" width="3.83203125" style="111" customWidth="1"/>
    <col min="42" max="44" width="2.33203125" style="111" customWidth="1"/>
    <col min="45" max="16384" width="10.83203125" style="111"/>
  </cols>
  <sheetData>
    <row r="1" spans="1:44" x14ac:dyDescent="0.15">
      <c r="A1" s="62" t="s">
        <v>118</v>
      </c>
      <c r="B1" s="192" t="s">
        <v>193</v>
      </c>
      <c r="C1" s="192" t="s">
        <v>194</v>
      </c>
      <c r="D1" s="192" t="s">
        <v>195</v>
      </c>
      <c r="E1" s="192" t="s">
        <v>196</v>
      </c>
      <c r="F1" s="192" t="s">
        <v>197</v>
      </c>
      <c r="G1" s="192" t="s">
        <v>198</v>
      </c>
      <c r="H1" s="192" t="s">
        <v>199</v>
      </c>
      <c r="I1" s="192" t="s">
        <v>200</v>
      </c>
      <c r="J1" s="192" t="s">
        <v>201</v>
      </c>
      <c r="K1" s="192" t="s">
        <v>202</v>
      </c>
      <c r="L1" s="192" t="s">
        <v>203</v>
      </c>
      <c r="M1" s="192" t="s">
        <v>204</v>
      </c>
      <c r="N1" s="192" t="s">
        <v>205</v>
      </c>
      <c r="O1" s="192" t="s">
        <v>206</v>
      </c>
      <c r="P1" s="192" t="s">
        <v>207</v>
      </c>
      <c r="Q1" s="192" t="s">
        <v>208</v>
      </c>
      <c r="R1" s="192" t="s">
        <v>209</v>
      </c>
      <c r="S1" s="192" t="s">
        <v>210</v>
      </c>
      <c r="T1" s="192" t="s">
        <v>211</v>
      </c>
      <c r="U1" s="192" t="s">
        <v>212</v>
      </c>
      <c r="V1" s="192" t="s">
        <v>213</v>
      </c>
      <c r="W1" s="192" t="s">
        <v>214</v>
      </c>
      <c r="X1" s="192" t="s">
        <v>215</v>
      </c>
      <c r="Y1" s="192" t="s">
        <v>216</v>
      </c>
      <c r="Z1" s="192" t="s">
        <v>217</v>
      </c>
      <c r="AA1" s="192" t="s">
        <v>218</v>
      </c>
      <c r="AB1" s="192" t="s">
        <v>219</v>
      </c>
      <c r="AC1" s="192" t="s">
        <v>220</v>
      </c>
      <c r="AD1" s="192" t="s">
        <v>221</v>
      </c>
      <c r="AE1" s="192" t="s">
        <v>222</v>
      </c>
      <c r="AF1" s="192" t="s">
        <v>223</v>
      </c>
      <c r="AG1" s="192" t="s">
        <v>224</v>
      </c>
      <c r="AH1" s="192" t="s">
        <v>225</v>
      </c>
      <c r="AI1" s="192" t="s">
        <v>226</v>
      </c>
      <c r="AJ1" s="192" t="s">
        <v>227</v>
      </c>
      <c r="AK1" s="192" t="s">
        <v>228</v>
      </c>
      <c r="AL1" s="192" t="s">
        <v>229</v>
      </c>
      <c r="AM1" s="192" t="s">
        <v>230</v>
      </c>
      <c r="AN1" s="192" t="s">
        <v>231</v>
      </c>
      <c r="AO1" s="192" t="s">
        <v>232</v>
      </c>
      <c r="AP1" s="192" t="s">
        <v>233</v>
      </c>
      <c r="AQ1" s="192" t="s">
        <v>234</v>
      </c>
      <c r="AR1" s="192" t="s">
        <v>235</v>
      </c>
    </row>
    <row r="2" spans="1:44" customFormat="1" x14ac:dyDescent="0.15">
      <c r="A2" s="191" t="s">
        <v>193</v>
      </c>
      <c r="B2" s="111">
        <v>0</v>
      </c>
      <c r="C2" s="111">
        <v>0.8</v>
      </c>
      <c r="D2" s="111">
        <v>0.8</v>
      </c>
      <c r="E2" s="111">
        <v>0.8</v>
      </c>
      <c r="F2" s="111">
        <v>0.8</v>
      </c>
      <c r="G2" s="111">
        <v>0.8</v>
      </c>
      <c r="H2" s="111">
        <v>0.8</v>
      </c>
      <c r="I2" s="111">
        <v>0</v>
      </c>
      <c r="J2" s="111">
        <v>0.8</v>
      </c>
      <c r="K2" s="111">
        <v>0.8</v>
      </c>
      <c r="L2" s="111">
        <v>0.8</v>
      </c>
      <c r="M2" s="111">
        <v>0</v>
      </c>
      <c r="N2" s="111">
        <v>0</v>
      </c>
      <c r="O2" s="111">
        <v>0</v>
      </c>
      <c r="P2" s="111">
        <v>0</v>
      </c>
      <c r="Q2" s="111">
        <v>0</v>
      </c>
      <c r="R2" s="111">
        <v>0</v>
      </c>
      <c r="S2" s="111">
        <v>0</v>
      </c>
      <c r="T2" s="111">
        <v>0.8</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c r="AQ2" s="111">
        <v>0</v>
      </c>
      <c r="AR2" s="111">
        <v>0</v>
      </c>
    </row>
    <row r="3" spans="1:44" customFormat="1" x14ac:dyDescent="0.15">
      <c r="A3" s="191" t="s">
        <v>194</v>
      </c>
      <c r="B3" s="111">
        <v>0</v>
      </c>
      <c r="C3" s="111">
        <v>0</v>
      </c>
      <c r="D3" s="111">
        <v>0</v>
      </c>
      <c r="E3" s="111">
        <v>0</v>
      </c>
      <c r="F3" s="111">
        <v>0.8</v>
      </c>
      <c r="G3" s="111">
        <v>0.8</v>
      </c>
      <c r="H3" s="111">
        <v>0.8</v>
      </c>
      <c r="I3" s="111">
        <v>0</v>
      </c>
      <c r="J3" s="111">
        <v>0</v>
      </c>
      <c r="K3" s="111">
        <v>0</v>
      </c>
      <c r="L3" s="111">
        <v>0.8</v>
      </c>
      <c r="M3" s="111">
        <v>0</v>
      </c>
      <c r="N3" s="111">
        <v>0</v>
      </c>
      <c r="O3" s="111">
        <v>0</v>
      </c>
      <c r="P3" s="111">
        <v>0</v>
      </c>
      <c r="Q3" s="111">
        <v>0</v>
      </c>
      <c r="R3" s="111">
        <v>0</v>
      </c>
      <c r="S3" s="111">
        <v>0</v>
      </c>
      <c r="T3" s="111">
        <v>0</v>
      </c>
      <c r="U3" s="111">
        <v>0</v>
      </c>
      <c r="V3" s="111">
        <v>0</v>
      </c>
      <c r="W3" s="111">
        <v>0</v>
      </c>
      <c r="X3" s="111">
        <v>0</v>
      </c>
      <c r="Y3" s="111">
        <v>0</v>
      </c>
      <c r="Z3" s="111">
        <v>0</v>
      </c>
      <c r="AA3" s="111">
        <v>0</v>
      </c>
      <c r="AB3" s="111">
        <v>0</v>
      </c>
      <c r="AC3" s="111">
        <v>0</v>
      </c>
      <c r="AD3" s="111">
        <v>0</v>
      </c>
      <c r="AE3" s="111">
        <v>0</v>
      </c>
      <c r="AF3" s="111">
        <v>0</v>
      </c>
      <c r="AG3" s="111">
        <v>0</v>
      </c>
      <c r="AH3" s="111">
        <v>0</v>
      </c>
      <c r="AI3" s="111">
        <v>0</v>
      </c>
      <c r="AJ3" s="111">
        <v>0</v>
      </c>
      <c r="AK3" s="111">
        <v>0</v>
      </c>
      <c r="AL3" s="111">
        <v>0</v>
      </c>
      <c r="AM3" s="111">
        <v>0</v>
      </c>
      <c r="AN3" s="111">
        <v>0</v>
      </c>
      <c r="AO3" s="111">
        <v>0</v>
      </c>
      <c r="AP3" s="111">
        <v>0</v>
      </c>
      <c r="AQ3" s="111">
        <v>0</v>
      </c>
      <c r="AR3" s="111">
        <v>0</v>
      </c>
    </row>
    <row r="4" spans="1:44" customFormat="1" x14ac:dyDescent="0.15">
      <c r="A4" s="191" t="s">
        <v>195</v>
      </c>
      <c r="B4" s="111">
        <v>0</v>
      </c>
      <c r="C4" s="111">
        <v>0</v>
      </c>
      <c r="D4" s="111">
        <v>0.8</v>
      </c>
      <c r="E4" s="111">
        <v>0.8</v>
      </c>
      <c r="F4" s="111">
        <v>0.8</v>
      </c>
      <c r="G4" s="111">
        <v>0.8</v>
      </c>
      <c r="H4" s="111">
        <v>0.8</v>
      </c>
      <c r="I4" s="111">
        <v>0</v>
      </c>
      <c r="J4" s="111">
        <v>0</v>
      </c>
      <c r="K4" s="111">
        <v>0.8</v>
      </c>
      <c r="L4" s="111">
        <v>0.8</v>
      </c>
      <c r="M4" s="111">
        <v>0</v>
      </c>
      <c r="N4" s="111">
        <v>0</v>
      </c>
      <c r="O4" s="111">
        <v>0</v>
      </c>
      <c r="P4" s="111">
        <v>0</v>
      </c>
      <c r="Q4" s="111">
        <v>0.8</v>
      </c>
      <c r="R4" s="111">
        <v>0</v>
      </c>
      <c r="S4" s="111">
        <v>0</v>
      </c>
      <c r="T4" s="111">
        <v>0.8</v>
      </c>
      <c r="U4" s="111">
        <v>0</v>
      </c>
      <c r="V4" s="111">
        <v>0.8</v>
      </c>
      <c r="W4" s="111">
        <v>0.8</v>
      </c>
      <c r="X4" s="111">
        <v>0</v>
      </c>
      <c r="Y4" s="111">
        <v>0</v>
      </c>
      <c r="Z4" s="111">
        <v>0</v>
      </c>
      <c r="AA4" s="111">
        <v>0</v>
      </c>
      <c r="AB4" s="111">
        <v>0</v>
      </c>
      <c r="AC4" s="111">
        <v>0</v>
      </c>
      <c r="AD4" s="111">
        <v>0</v>
      </c>
      <c r="AE4" s="111">
        <v>0</v>
      </c>
      <c r="AF4" s="111">
        <v>0</v>
      </c>
      <c r="AG4" s="111">
        <v>0.8</v>
      </c>
      <c r="AH4" s="111">
        <v>0</v>
      </c>
      <c r="AI4" s="111">
        <v>0</v>
      </c>
      <c r="AJ4" s="111">
        <v>0</v>
      </c>
      <c r="AK4" s="111">
        <v>0</v>
      </c>
      <c r="AL4" s="111">
        <v>0</v>
      </c>
      <c r="AM4" s="111">
        <v>0</v>
      </c>
      <c r="AN4" s="111">
        <v>0</v>
      </c>
      <c r="AO4" s="111">
        <v>0</v>
      </c>
      <c r="AP4" s="111">
        <v>0</v>
      </c>
      <c r="AQ4" s="111">
        <v>0</v>
      </c>
      <c r="AR4" s="111">
        <v>0</v>
      </c>
    </row>
    <row r="5" spans="1:44" customFormat="1" x14ac:dyDescent="0.15">
      <c r="A5" s="191" t="s">
        <v>196</v>
      </c>
      <c r="B5" s="111">
        <v>0</v>
      </c>
      <c r="C5" s="111">
        <v>0</v>
      </c>
      <c r="D5" s="111">
        <v>0</v>
      </c>
      <c r="E5" s="111">
        <v>0.8</v>
      </c>
      <c r="F5" s="111">
        <v>0.8</v>
      </c>
      <c r="G5" s="111">
        <v>0.8</v>
      </c>
      <c r="H5" s="111">
        <v>0.8</v>
      </c>
      <c r="I5" s="111">
        <v>0</v>
      </c>
      <c r="J5" s="111">
        <v>0</v>
      </c>
      <c r="K5" s="111">
        <v>0.8</v>
      </c>
      <c r="L5" s="111">
        <v>0.8</v>
      </c>
      <c r="M5" s="111">
        <v>0.8</v>
      </c>
      <c r="N5" s="111">
        <v>0</v>
      </c>
      <c r="O5" s="111">
        <v>0.8</v>
      </c>
      <c r="P5" s="111">
        <v>0.8</v>
      </c>
      <c r="Q5" s="111">
        <v>0</v>
      </c>
      <c r="R5" s="111">
        <v>0</v>
      </c>
      <c r="S5" s="111">
        <v>0.8</v>
      </c>
      <c r="T5" s="111">
        <v>0.8</v>
      </c>
      <c r="U5" s="111">
        <v>0</v>
      </c>
      <c r="V5" s="111">
        <v>0.8</v>
      </c>
      <c r="W5" s="111">
        <v>0.8</v>
      </c>
      <c r="X5" s="111">
        <v>0</v>
      </c>
      <c r="Y5" s="111">
        <v>0</v>
      </c>
      <c r="Z5" s="111">
        <v>0.8</v>
      </c>
      <c r="AA5" s="111">
        <v>0</v>
      </c>
      <c r="AB5" s="111">
        <v>0.8</v>
      </c>
      <c r="AC5" s="111">
        <v>0.8</v>
      </c>
      <c r="AD5" s="111">
        <v>0</v>
      </c>
      <c r="AE5" s="111">
        <v>0</v>
      </c>
      <c r="AF5" s="111">
        <v>0</v>
      </c>
      <c r="AG5" s="111">
        <v>0.8</v>
      </c>
      <c r="AH5" s="111">
        <v>0</v>
      </c>
      <c r="AI5" s="111">
        <v>0</v>
      </c>
      <c r="AJ5" s="111">
        <v>0.8</v>
      </c>
      <c r="AK5" s="111">
        <v>0</v>
      </c>
      <c r="AL5" s="111">
        <v>0</v>
      </c>
      <c r="AM5" s="111">
        <v>0</v>
      </c>
      <c r="AN5" s="111">
        <v>0</v>
      </c>
      <c r="AO5" s="111">
        <v>0</v>
      </c>
      <c r="AP5" s="111">
        <v>0</v>
      </c>
      <c r="AQ5" s="111">
        <v>0</v>
      </c>
      <c r="AR5" s="111">
        <v>0</v>
      </c>
    </row>
    <row r="6" spans="1:44" customFormat="1" x14ac:dyDescent="0.15">
      <c r="A6" s="191" t="s">
        <v>197</v>
      </c>
      <c r="B6" s="111">
        <v>0</v>
      </c>
      <c r="C6" s="111">
        <v>0</v>
      </c>
      <c r="D6" s="111">
        <v>0</v>
      </c>
      <c r="E6" s="111">
        <v>0</v>
      </c>
      <c r="F6" s="111">
        <v>0</v>
      </c>
      <c r="G6" s="111">
        <v>0</v>
      </c>
      <c r="H6" s="111">
        <v>0.8</v>
      </c>
      <c r="I6" s="111">
        <v>0</v>
      </c>
      <c r="J6" s="111">
        <v>0</v>
      </c>
      <c r="K6" s="111">
        <v>0</v>
      </c>
      <c r="L6" s="111">
        <v>0.8</v>
      </c>
      <c r="M6" s="111">
        <v>0.8</v>
      </c>
      <c r="N6" s="111">
        <v>0</v>
      </c>
      <c r="O6" s="111">
        <v>0</v>
      </c>
      <c r="P6" s="111">
        <v>0.8</v>
      </c>
      <c r="Q6" s="111">
        <v>0</v>
      </c>
      <c r="R6" s="111">
        <v>0.8</v>
      </c>
      <c r="S6" s="111">
        <v>0.8</v>
      </c>
      <c r="T6" s="111">
        <v>0</v>
      </c>
      <c r="U6" s="111">
        <v>0</v>
      </c>
      <c r="V6" s="111">
        <v>0</v>
      </c>
      <c r="W6" s="111">
        <v>0</v>
      </c>
      <c r="X6" s="111">
        <v>0</v>
      </c>
      <c r="Y6" s="111">
        <v>0</v>
      </c>
      <c r="Z6" s="111">
        <v>0</v>
      </c>
      <c r="AA6" s="111">
        <v>0</v>
      </c>
      <c r="AB6" s="111">
        <v>0</v>
      </c>
      <c r="AC6" s="111">
        <v>0</v>
      </c>
      <c r="AD6" s="111">
        <v>0</v>
      </c>
      <c r="AE6" s="111">
        <v>0</v>
      </c>
      <c r="AF6" s="111">
        <v>0</v>
      </c>
      <c r="AG6" s="111">
        <v>0</v>
      </c>
      <c r="AH6" s="111">
        <v>0.8</v>
      </c>
      <c r="AI6" s="111">
        <v>0.8</v>
      </c>
      <c r="AJ6" s="111">
        <v>0</v>
      </c>
      <c r="AK6" s="111">
        <v>0</v>
      </c>
      <c r="AL6" s="111">
        <v>0</v>
      </c>
      <c r="AM6" s="111">
        <v>0</v>
      </c>
      <c r="AN6" s="111">
        <v>0</v>
      </c>
      <c r="AO6" s="111">
        <v>0</v>
      </c>
      <c r="AP6" s="111">
        <v>0</v>
      </c>
      <c r="AQ6" s="111">
        <v>0</v>
      </c>
      <c r="AR6" s="111">
        <v>0</v>
      </c>
    </row>
    <row r="7" spans="1:44" customFormat="1" x14ac:dyDescent="0.15">
      <c r="A7" s="191" t="s">
        <v>198</v>
      </c>
      <c r="B7" s="111">
        <v>0</v>
      </c>
      <c r="C7" s="111">
        <v>0</v>
      </c>
      <c r="D7" s="111">
        <v>0</v>
      </c>
      <c r="E7" s="111">
        <v>0</v>
      </c>
      <c r="F7" s="111">
        <v>0</v>
      </c>
      <c r="G7" s="111">
        <v>0.8</v>
      </c>
      <c r="H7" s="111">
        <v>0</v>
      </c>
      <c r="I7" s="111">
        <v>0</v>
      </c>
      <c r="J7" s="111">
        <v>0</v>
      </c>
      <c r="K7" s="111">
        <v>0</v>
      </c>
      <c r="L7" s="111">
        <v>0</v>
      </c>
      <c r="M7" s="111">
        <v>0.8</v>
      </c>
      <c r="N7" s="111">
        <v>0</v>
      </c>
      <c r="O7" s="111">
        <v>0.8</v>
      </c>
      <c r="P7" s="111">
        <v>0.8</v>
      </c>
      <c r="Q7" s="111">
        <v>0</v>
      </c>
      <c r="R7" s="111">
        <v>0.8</v>
      </c>
      <c r="S7" s="111">
        <v>0.8</v>
      </c>
      <c r="T7" s="111">
        <v>0.8</v>
      </c>
      <c r="U7" s="111">
        <v>0.8</v>
      </c>
      <c r="V7" s="111">
        <v>0</v>
      </c>
      <c r="W7" s="111">
        <v>0</v>
      </c>
      <c r="X7" s="111">
        <v>0.8</v>
      </c>
      <c r="Y7" s="111">
        <v>0.8</v>
      </c>
      <c r="Z7" s="111">
        <v>0.8</v>
      </c>
      <c r="AA7" s="111">
        <v>0.8</v>
      </c>
      <c r="AB7" s="111">
        <v>0</v>
      </c>
      <c r="AC7" s="111">
        <v>0</v>
      </c>
      <c r="AD7" s="111">
        <v>0.8</v>
      </c>
      <c r="AE7" s="111">
        <v>0.8</v>
      </c>
      <c r="AF7" s="111">
        <v>0.8</v>
      </c>
      <c r="AG7" s="111">
        <v>0</v>
      </c>
      <c r="AH7" s="111">
        <v>0.8</v>
      </c>
      <c r="AI7" s="111">
        <v>0</v>
      </c>
      <c r="AJ7" s="111">
        <v>0</v>
      </c>
      <c r="AK7" s="111">
        <v>0</v>
      </c>
      <c r="AL7" s="111">
        <v>0.8</v>
      </c>
      <c r="AM7" s="111">
        <v>0</v>
      </c>
      <c r="AN7" s="111">
        <v>0</v>
      </c>
      <c r="AO7" s="111">
        <v>0</v>
      </c>
      <c r="AP7" s="111">
        <v>0</v>
      </c>
      <c r="AQ7" s="111">
        <v>0</v>
      </c>
      <c r="AR7" s="111">
        <v>0</v>
      </c>
    </row>
    <row r="8" spans="1:44" customFormat="1" x14ac:dyDescent="0.15">
      <c r="A8" s="191" t="s">
        <v>199</v>
      </c>
      <c r="B8" s="111">
        <v>0</v>
      </c>
      <c r="C8" s="111">
        <v>0</v>
      </c>
      <c r="D8" s="111">
        <v>0</v>
      </c>
      <c r="E8" s="111">
        <v>0</v>
      </c>
      <c r="F8" s="111">
        <v>0</v>
      </c>
      <c r="G8" s="111">
        <v>0</v>
      </c>
      <c r="H8" s="111">
        <v>0</v>
      </c>
      <c r="I8" s="111">
        <v>0</v>
      </c>
      <c r="J8" s="111">
        <v>0</v>
      </c>
      <c r="K8" s="111">
        <v>0</v>
      </c>
      <c r="L8" s="111">
        <v>0</v>
      </c>
      <c r="M8" s="111">
        <v>0.8</v>
      </c>
      <c r="N8" s="111">
        <v>0.8</v>
      </c>
      <c r="O8" s="111">
        <v>0.8</v>
      </c>
      <c r="P8" s="111">
        <v>0.8</v>
      </c>
      <c r="Q8" s="111">
        <v>0.8</v>
      </c>
      <c r="R8" s="111">
        <v>0.8</v>
      </c>
      <c r="S8" s="111">
        <v>0.8</v>
      </c>
      <c r="T8" s="111">
        <v>0</v>
      </c>
      <c r="U8" s="111">
        <v>0.8</v>
      </c>
      <c r="V8" s="111">
        <v>0</v>
      </c>
      <c r="W8" s="111">
        <v>0</v>
      </c>
      <c r="X8" s="111">
        <v>0.8</v>
      </c>
      <c r="Y8" s="111">
        <v>0.8</v>
      </c>
      <c r="Z8" s="111">
        <v>0.8</v>
      </c>
      <c r="AA8" s="111">
        <v>0.8</v>
      </c>
      <c r="AB8" s="111">
        <v>0.8</v>
      </c>
      <c r="AC8" s="111">
        <v>0.8</v>
      </c>
      <c r="AD8" s="111">
        <v>0.8</v>
      </c>
      <c r="AE8" s="111">
        <v>0.8</v>
      </c>
      <c r="AF8" s="111">
        <v>0.8</v>
      </c>
      <c r="AG8" s="111">
        <v>0.8</v>
      </c>
      <c r="AH8" s="111">
        <v>0.8</v>
      </c>
      <c r="AI8" s="111">
        <v>0.8</v>
      </c>
      <c r="AJ8" s="111">
        <v>0</v>
      </c>
      <c r="AK8" s="111">
        <v>0</v>
      </c>
      <c r="AL8" s="111">
        <v>0.8</v>
      </c>
      <c r="AM8" s="111">
        <v>0</v>
      </c>
      <c r="AN8" s="111">
        <v>0</v>
      </c>
      <c r="AO8" s="111">
        <v>0</v>
      </c>
      <c r="AP8" s="111">
        <v>0</v>
      </c>
      <c r="AQ8" s="111">
        <v>0</v>
      </c>
      <c r="AR8" s="111">
        <v>0</v>
      </c>
    </row>
    <row r="9" spans="1:44" customFormat="1" x14ac:dyDescent="0.15">
      <c r="A9" s="191" t="s">
        <v>200</v>
      </c>
      <c r="B9" s="111">
        <v>0</v>
      </c>
      <c r="C9" s="111">
        <v>0</v>
      </c>
      <c r="D9" s="111">
        <v>0</v>
      </c>
      <c r="E9" s="111">
        <v>0</v>
      </c>
      <c r="F9" s="111">
        <v>0</v>
      </c>
      <c r="G9" s="111">
        <v>0</v>
      </c>
      <c r="H9" s="111">
        <v>0</v>
      </c>
      <c r="I9" s="111">
        <v>0</v>
      </c>
      <c r="J9" s="111">
        <v>0</v>
      </c>
      <c r="K9" s="111">
        <v>0</v>
      </c>
      <c r="L9" s="111">
        <v>0</v>
      </c>
      <c r="M9" s="111">
        <v>0.8</v>
      </c>
      <c r="N9" s="111">
        <v>0.8</v>
      </c>
      <c r="O9" s="111">
        <v>0.8</v>
      </c>
      <c r="P9" s="111">
        <v>0.8</v>
      </c>
      <c r="Q9" s="111">
        <v>0.8</v>
      </c>
      <c r="R9" s="111">
        <v>0.8</v>
      </c>
      <c r="S9" s="111">
        <v>0.8</v>
      </c>
      <c r="T9" s="111">
        <v>0</v>
      </c>
      <c r="U9" s="111">
        <v>0.8</v>
      </c>
      <c r="V9" s="111">
        <v>0</v>
      </c>
      <c r="W9" s="111">
        <v>0</v>
      </c>
      <c r="X9" s="111">
        <v>0.8</v>
      </c>
      <c r="Y9" s="111">
        <v>0.8</v>
      </c>
      <c r="Z9" s="111">
        <v>0.8</v>
      </c>
      <c r="AA9" s="111">
        <v>0.8</v>
      </c>
      <c r="AB9" s="111">
        <v>0.8</v>
      </c>
      <c r="AC9" s="111">
        <v>0.8</v>
      </c>
      <c r="AD9" s="111">
        <v>0.8</v>
      </c>
      <c r="AE9" s="111">
        <v>0.8</v>
      </c>
      <c r="AF9" s="111">
        <v>0.8</v>
      </c>
      <c r="AG9" s="111">
        <v>0.8</v>
      </c>
      <c r="AH9" s="111">
        <v>0.8</v>
      </c>
      <c r="AI9" s="111">
        <v>0.8</v>
      </c>
      <c r="AJ9" s="111">
        <v>0</v>
      </c>
      <c r="AK9" s="111">
        <v>0</v>
      </c>
      <c r="AL9" s="111">
        <v>0.8</v>
      </c>
      <c r="AM9" s="111">
        <v>0</v>
      </c>
      <c r="AN9" s="111">
        <v>0</v>
      </c>
      <c r="AO9" s="111">
        <v>0</v>
      </c>
      <c r="AP9" s="111">
        <v>0</v>
      </c>
      <c r="AQ9" s="111">
        <v>0</v>
      </c>
      <c r="AR9" s="111">
        <v>0</v>
      </c>
    </row>
    <row r="10" spans="1:44" customFormat="1" x14ac:dyDescent="0.15">
      <c r="A10" s="191" t="s">
        <v>201</v>
      </c>
      <c r="B10" s="111">
        <v>0</v>
      </c>
      <c r="C10" s="111">
        <v>0</v>
      </c>
      <c r="D10" s="111">
        <v>0</v>
      </c>
      <c r="E10" s="111">
        <v>0</v>
      </c>
      <c r="F10" s="111">
        <v>0</v>
      </c>
      <c r="G10" s="111">
        <v>0</v>
      </c>
      <c r="H10" s="111">
        <v>0</v>
      </c>
      <c r="I10" s="111">
        <v>0</v>
      </c>
      <c r="J10" s="111">
        <v>0</v>
      </c>
      <c r="K10" s="111">
        <v>0</v>
      </c>
      <c r="L10" s="111">
        <v>0</v>
      </c>
      <c r="M10" s="111">
        <v>0</v>
      </c>
      <c r="N10" s="111">
        <v>0</v>
      </c>
      <c r="O10" s="111">
        <v>0</v>
      </c>
      <c r="P10" s="111">
        <v>0.8</v>
      </c>
      <c r="Q10" s="111">
        <v>0.8</v>
      </c>
      <c r="R10" s="111">
        <v>0.8</v>
      </c>
      <c r="S10" s="111">
        <v>0</v>
      </c>
      <c r="T10" s="111">
        <v>0</v>
      </c>
      <c r="U10" s="111">
        <v>0</v>
      </c>
      <c r="V10" s="111">
        <v>0</v>
      </c>
      <c r="W10" s="111">
        <v>0</v>
      </c>
      <c r="X10" s="111">
        <v>0</v>
      </c>
      <c r="Y10" s="111">
        <v>0</v>
      </c>
      <c r="Z10" s="111">
        <v>0</v>
      </c>
      <c r="AA10" s="111">
        <v>0</v>
      </c>
      <c r="AB10" s="111">
        <v>0</v>
      </c>
      <c r="AC10" s="111">
        <v>0</v>
      </c>
      <c r="AD10" s="111">
        <v>0</v>
      </c>
      <c r="AE10" s="111">
        <v>0</v>
      </c>
      <c r="AF10" s="111">
        <v>0</v>
      </c>
      <c r="AG10" s="111">
        <v>0</v>
      </c>
      <c r="AH10" s="111">
        <v>0.8</v>
      </c>
      <c r="AI10" s="111">
        <v>0</v>
      </c>
      <c r="AJ10" s="111">
        <v>0</v>
      </c>
      <c r="AK10" s="111">
        <v>0</v>
      </c>
      <c r="AL10" s="111">
        <v>0</v>
      </c>
      <c r="AM10" s="111">
        <v>0</v>
      </c>
      <c r="AN10" s="111">
        <v>0</v>
      </c>
      <c r="AO10" s="111">
        <v>0</v>
      </c>
      <c r="AP10" s="111">
        <v>0</v>
      </c>
      <c r="AQ10" s="111">
        <v>0</v>
      </c>
      <c r="AR10" s="111">
        <v>0</v>
      </c>
    </row>
    <row r="11" spans="1:44" customFormat="1" x14ac:dyDescent="0.15">
      <c r="A11" s="191" t="s">
        <v>202</v>
      </c>
      <c r="B11" s="111">
        <v>0</v>
      </c>
      <c r="C11" s="111">
        <v>0</v>
      </c>
      <c r="D11" s="111">
        <v>0</v>
      </c>
      <c r="E11" s="111">
        <v>0</v>
      </c>
      <c r="F11" s="111">
        <v>0</v>
      </c>
      <c r="G11" s="111">
        <v>0</v>
      </c>
      <c r="H11" s="111">
        <v>0</v>
      </c>
      <c r="I11" s="111">
        <v>0</v>
      </c>
      <c r="J11" s="111">
        <v>0</v>
      </c>
      <c r="K11" s="111">
        <v>0</v>
      </c>
      <c r="L11" s="111">
        <v>0</v>
      </c>
      <c r="M11" s="111">
        <v>0.8</v>
      </c>
      <c r="N11" s="111">
        <v>0.8</v>
      </c>
      <c r="O11" s="111">
        <v>0.8</v>
      </c>
      <c r="P11" s="111">
        <v>0.8</v>
      </c>
      <c r="Q11" s="111">
        <v>0</v>
      </c>
      <c r="R11" s="111">
        <v>0.8</v>
      </c>
      <c r="S11" s="111">
        <v>0</v>
      </c>
      <c r="T11" s="111">
        <v>0</v>
      </c>
      <c r="U11" s="111">
        <v>0.8</v>
      </c>
      <c r="V11" s="111">
        <v>0</v>
      </c>
      <c r="W11" s="111">
        <v>0</v>
      </c>
      <c r="X11" s="111">
        <v>0</v>
      </c>
      <c r="Y11" s="111">
        <v>0</v>
      </c>
      <c r="Z11" s="111">
        <v>0</v>
      </c>
      <c r="AA11" s="111">
        <v>0</v>
      </c>
      <c r="AB11" s="111">
        <v>0</v>
      </c>
      <c r="AC11" s="111">
        <v>0</v>
      </c>
      <c r="AD11" s="111">
        <v>0.8</v>
      </c>
      <c r="AE11" s="111">
        <v>0</v>
      </c>
      <c r="AF11" s="111">
        <v>0</v>
      </c>
      <c r="AG11" s="111">
        <v>0</v>
      </c>
      <c r="AH11" s="111">
        <v>0.8</v>
      </c>
      <c r="AI11" s="111">
        <v>0</v>
      </c>
      <c r="AJ11" s="111">
        <v>0</v>
      </c>
      <c r="AK11" s="111">
        <v>0</v>
      </c>
      <c r="AL11" s="111">
        <v>0</v>
      </c>
      <c r="AM11" s="111">
        <v>0</v>
      </c>
      <c r="AN11" s="111">
        <v>0</v>
      </c>
      <c r="AO11" s="111">
        <v>0</v>
      </c>
      <c r="AP11" s="111">
        <v>0</v>
      </c>
      <c r="AQ11" s="111">
        <v>0</v>
      </c>
      <c r="AR11" s="111">
        <v>0</v>
      </c>
    </row>
    <row r="12" spans="1:44" customFormat="1" x14ac:dyDescent="0.15">
      <c r="A12" s="191" t="s">
        <v>203</v>
      </c>
      <c r="B12" s="111">
        <v>0</v>
      </c>
      <c r="C12" s="111">
        <v>0</v>
      </c>
      <c r="D12" s="111">
        <v>0</v>
      </c>
      <c r="E12" s="111">
        <v>0</v>
      </c>
      <c r="F12" s="111">
        <v>0</v>
      </c>
      <c r="G12" s="111">
        <v>0</v>
      </c>
      <c r="H12" s="111">
        <v>0</v>
      </c>
      <c r="I12" s="111">
        <v>0</v>
      </c>
      <c r="J12" s="111">
        <v>0</v>
      </c>
      <c r="K12" s="111">
        <v>0</v>
      </c>
      <c r="L12" s="111">
        <v>0</v>
      </c>
      <c r="M12" s="111">
        <v>0.8</v>
      </c>
      <c r="N12" s="111">
        <v>0.8</v>
      </c>
      <c r="O12" s="111">
        <v>0.8</v>
      </c>
      <c r="P12" s="111">
        <v>0.8</v>
      </c>
      <c r="Q12" s="111">
        <v>0</v>
      </c>
      <c r="R12" s="111">
        <v>0.8</v>
      </c>
      <c r="S12" s="111">
        <v>0.8</v>
      </c>
      <c r="T12" s="111">
        <v>0</v>
      </c>
      <c r="U12" s="111">
        <v>0</v>
      </c>
      <c r="V12" s="111">
        <v>0</v>
      </c>
      <c r="W12" s="111">
        <v>0</v>
      </c>
      <c r="X12" s="111">
        <v>0</v>
      </c>
      <c r="Y12" s="111">
        <v>0.8</v>
      </c>
      <c r="Z12" s="111">
        <v>0</v>
      </c>
      <c r="AA12" s="111">
        <v>0.8</v>
      </c>
      <c r="AB12" s="111">
        <v>0.8</v>
      </c>
      <c r="AC12" s="111">
        <v>0.8</v>
      </c>
      <c r="AD12" s="111">
        <v>0.8</v>
      </c>
      <c r="AE12" s="111">
        <v>0.8</v>
      </c>
      <c r="AF12" s="111">
        <v>0.8</v>
      </c>
      <c r="AG12" s="111">
        <v>0</v>
      </c>
      <c r="AH12" s="111">
        <v>0.8</v>
      </c>
      <c r="AI12" s="111">
        <v>0</v>
      </c>
      <c r="AJ12" s="111">
        <v>0</v>
      </c>
      <c r="AK12" s="111">
        <v>0</v>
      </c>
      <c r="AL12" s="111">
        <v>0.8</v>
      </c>
      <c r="AM12" s="111">
        <v>0</v>
      </c>
      <c r="AN12" s="111">
        <v>0</v>
      </c>
      <c r="AO12" s="111">
        <v>0</v>
      </c>
      <c r="AP12" s="111">
        <v>0</v>
      </c>
      <c r="AQ12" s="111">
        <v>0</v>
      </c>
      <c r="AR12" s="111">
        <v>0</v>
      </c>
    </row>
    <row r="13" spans="1:44" customFormat="1" x14ac:dyDescent="0.15">
      <c r="A13" s="191" t="s">
        <v>204</v>
      </c>
      <c r="B13" s="111">
        <v>0</v>
      </c>
      <c r="C13" s="111">
        <v>0</v>
      </c>
      <c r="D13" s="111">
        <v>0</v>
      </c>
      <c r="E13" s="111">
        <v>0</v>
      </c>
      <c r="F13" s="111">
        <v>0</v>
      </c>
      <c r="G13" s="111">
        <v>0</v>
      </c>
      <c r="H13" s="111">
        <v>0</v>
      </c>
      <c r="I13" s="111">
        <v>0</v>
      </c>
      <c r="J13" s="111">
        <v>0</v>
      </c>
      <c r="K13" s="111">
        <v>0</v>
      </c>
      <c r="L13" s="111">
        <v>0</v>
      </c>
      <c r="M13" s="111">
        <v>0.8</v>
      </c>
      <c r="N13" s="111">
        <v>0.8</v>
      </c>
      <c r="O13" s="111">
        <v>0.8</v>
      </c>
      <c r="P13" s="111">
        <v>0.8</v>
      </c>
      <c r="Q13" s="111">
        <v>0.8</v>
      </c>
      <c r="R13" s="111">
        <v>0</v>
      </c>
      <c r="S13" s="111">
        <v>0.8</v>
      </c>
      <c r="T13" s="111">
        <v>0</v>
      </c>
      <c r="U13" s="111">
        <v>0.8</v>
      </c>
      <c r="V13" s="111">
        <v>0</v>
      </c>
      <c r="W13" s="111">
        <v>0</v>
      </c>
      <c r="X13" s="111">
        <v>0.8</v>
      </c>
      <c r="Y13" s="111">
        <v>0.8</v>
      </c>
      <c r="Z13" s="111">
        <v>0.8</v>
      </c>
      <c r="AA13" s="111">
        <v>0.8</v>
      </c>
      <c r="AB13" s="111">
        <v>0.8</v>
      </c>
      <c r="AC13" s="111">
        <v>0.8</v>
      </c>
      <c r="AD13" s="111">
        <v>0.8</v>
      </c>
      <c r="AE13" s="111">
        <v>0.8</v>
      </c>
      <c r="AF13" s="111">
        <v>0.8</v>
      </c>
      <c r="AG13" s="111">
        <v>0.8</v>
      </c>
      <c r="AH13" s="111">
        <v>0.8</v>
      </c>
      <c r="AI13" s="111">
        <v>0.8</v>
      </c>
      <c r="AJ13" s="111">
        <v>0</v>
      </c>
      <c r="AK13" s="111">
        <v>0.8</v>
      </c>
      <c r="AL13" s="111">
        <v>0.8</v>
      </c>
      <c r="AM13" s="111">
        <v>0</v>
      </c>
      <c r="AN13" s="111">
        <v>0</v>
      </c>
      <c r="AO13" s="111">
        <v>0</v>
      </c>
      <c r="AP13" s="111">
        <v>0</v>
      </c>
      <c r="AQ13" s="111">
        <v>0</v>
      </c>
      <c r="AR13" s="111">
        <v>0</v>
      </c>
    </row>
    <row r="14" spans="1:44" customFormat="1" x14ac:dyDescent="0.15">
      <c r="A14" s="191" t="s">
        <v>205</v>
      </c>
      <c r="B14" s="111">
        <v>0</v>
      </c>
      <c r="C14" s="111">
        <v>0</v>
      </c>
      <c r="D14" s="111">
        <v>0</v>
      </c>
      <c r="E14" s="111">
        <v>0</v>
      </c>
      <c r="F14" s="111">
        <v>0</v>
      </c>
      <c r="G14" s="111">
        <v>0</v>
      </c>
      <c r="H14" s="111">
        <v>0</v>
      </c>
      <c r="I14" s="111">
        <v>0</v>
      </c>
      <c r="J14" s="111">
        <v>0</v>
      </c>
      <c r="K14" s="111">
        <v>0</v>
      </c>
      <c r="L14" s="111">
        <v>0</v>
      </c>
      <c r="M14" s="111">
        <v>0</v>
      </c>
      <c r="N14" s="111">
        <v>0</v>
      </c>
      <c r="O14" s="111">
        <v>0</v>
      </c>
      <c r="P14" s="111">
        <v>0</v>
      </c>
      <c r="Q14" s="111">
        <v>0</v>
      </c>
      <c r="R14" s="111">
        <v>0</v>
      </c>
      <c r="S14" s="111">
        <v>0</v>
      </c>
      <c r="T14" s="111">
        <v>0</v>
      </c>
      <c r="U14" s="111">
        <v>0.8</v>
      </c>
      <c r="V14" s="111">
        <v>0</v>
      </c>
      <c r="W14" s="111">
        <v>0</v>
      </c>
      <c r="X14" s="111">
        <v>0</v>
      </c>
      <c r="Y14" s="111">
        <v>0</v>
      </c>
      <c r="Z14" s="111">
        <v>0</v>
      </c>
      <c r="AA14" s="111">
        <v>0</v>
      </c>
      <c r="AB14" s="111">
        <v>0</v>
      </c>
      <c r="AC14" s="111">
        <v>0</v>
      </c>
      <c r="AD14" s="111">
        <v>0.8</v>
      </c>
      <c r="AE14" s="111">
        <v>0</v>
      </c>
      <c r="AF14" s="111">
        <v>0</v>
      </c>
      <c r="AG14" s="111">
        <v>0</v>
      </c>
      <c r="AH14" s="111">
        <v>0</v>
      </c>
      <c r="AI14" s="111">
        <v>0.8</v>
      </c>
      <c r="AJ14" s="111">
        <v>0</v>
      </c>
      <c r="AK14" s="111">
        <v>0</v>
      </c>
      <c r="AL14" s="111">
        <v>0</v>
      </c>
      <c r="AM14" s="111">
        <v>0.8</v>
      </c>
      <c r="AN14" s="111">
        <v>0</v>
      </c>
      <c r="AO14" s="111">
        <v>0</v>
      </c>
      <c r="AP14" s="111">
        <v>0</v>
      </c>
      <c r="AQ14" s="111">
        <v>0</v>
      </c>
      <c r="AR14" s="111">
        <v>0</v>
      </c>
    </row>
    <row r="15" spans="1:44" customFormat="1" x14ac:dyDescent="0.15">
      <c r="A15" s="191" t="s">
        <v>206</v>
      </c>
      <c r="B15" s="111">
        <v>0</v>
      </c>
      <c r="C15" s="111">
        <v>0</v>
      </c>
      <c r="D15" s="111">
        <v>0</v>
      </c>
      <c r="E15" s="111">
        <v>0</v>
      </c>
      <c r="F15" s="111">
        <v>0</v>
      </c>
      <c r="G15" s="111">
        <v>0</v>
      </c>
      <c r="H15" s="111">
        <v>0</v>
      </c>
      <c r="I15" s="111">
        <v>0</v>
      </c>
      <c r="J15" s="111">
        <v>0</v>
      </c>
      <c r="K15" s="111">
        <v>0</v>
      </c>
      <c r="L15" s="111">
        <v>0</v>
      </c>
      <c r="M15" s="111">
        <v>0</v>
      </c>
      <c r="N15" s="111">
        <v>0</v>
      </c>
      <c r="O15" s="111">
        <v>0</v>
      </c>
      <c r="P15" s="111">
        <v>0</v>
      </c>
      <c r="Q15" s="111">
        <v>0</v>
      </c>
      <c r="R15" s="111">
        <v>0</v>
      </c>
      <c r="S15" s="111">
        <v>0</v>
      </c>
      <c r="T15" s="111">
        <v>0</v>
      </c>
      <c r="U15" s="111">
        <v>0.8</v>
      </c>
      <c r="V15" s="111">
        <v>0</v>
      </c>
      <c r="W15" s="111">
        <v>0</v>
      </c>
      <c r="X15" s="111">
        <v>0</v>
      </c>
      <c r="Y15" s="111">
        <v>0</v>
      </c>
      <c r="Z15" s="111">
        <v>0</v>
      </c>
      <c r="AA15" s="111">
        <v>0</v>
      </c>
      <c r="AB15" s="111">
        <v>0</v>
      </c>
      <c r="AC15" s="111">
        <v>0</v>
      </c>
      <c r="AD15" s="111">
        <v>0.8</v>
      </c>
      <c r="AE15" s="111">
        <v>0</v>
      </c>
      <c r="AF15" s="111">
        <v>0</v>
      </c>
      <c r="AG15" s="111">
        <v>0</v>
      </c>
      <c r="AH15" s="111">
        <v>0</v>
      </c>
      <c r="AI15" s="111">
        <v>0.8</v>
      </c>
      <c r="AJ15" s="111">
        <v>0</v>
      </c>
      <c r="AK15" s="111">
        <v>0</v>
      </c>
      <c r="AL15" s="111">
        <v>0</v>
      </c>
      <c r="AM15" s="111">
        <v>0.8</v>
      </c>
      <c r="AN15" s="111">
        <v>0</v>
      </c>
      <c r="AO15" s="111">
        <v>0</v>
      </c>
      <c r="AP15" s="111">
        <v>0</v>
      </c>
      <c r="AQ15" s="111">
        <v>0</v>
      </c>
      <c r="AR15" s="111">
        <v>0</v>
      </c>
    </row>
    <row r="16" spans="1:44" customFormat="1" x14ac:dyDescent="0.15">
      <c r="A16" s="191" t="s">
        <v>207</v>
      </c>
      <c r="B16" s="111">
        <v>0</v>
      </c>
      <c r="C16" s="111">
        <v>0</v>
      </c>
      <c r="D16" s="111">
        <v>0</v>
      </c>
      <c r="E16" s="111">
        <v>0</v>
      </c>
      <c r="F16" s="111">
        <v>0</v>
      </c>
      <c r="G16" s="111">
        <v>0</v>
      </c>
      <c r="H16" s="111">
        <v>0</v>
      </c>
      <c r="I16" s="111">
        <v>0</v>
      </c>
      <c r="J16" s="111">
        <v>0</v>
      </c>
      <c r="K16" s="111">
        <v>0</v>
      </c>
      <c r="L16" s="111">
        <v>0</v>
      </c>
      <c r="M16" s="111">
        <v>0</v>
      </c>
      <c r="N16" s="111">
        <v>0</v>
      </c>
      <c r="O16" s="111">
        <v>0</v>
      </c>
      <c r="P16" s="111">
        <v>0</v>
      </c>
      <c r="Q16" s="111">
        <v>0</v>
      </c>
      <c r="R16" s="111">
        <v>0</v>
      </c>
      <c r="S16" s="111">
        <v>0</v>
      </c>
      <c r="T16" s="111">
        <v>0</v>
      </c>
      <c r="U16" s="111">
        <v>0.8</v>
      </c>
      <c r="V16" s="111">
        <v>0</v>
      </c>
      <c r="W16" s="111">
        <v>0</v>
      </c>
      <c r="X16" s="111">
        <v>0</v>
      </c>
      <c r="Y16" s="111">
        <v>0</v>
      </c>
      <c r="Z16" s="111">
        <v>0</v>
      </c>
      <c r="AA16" s="111">
        <v>0</v>
      </c>
      <c r="AB16" s="111">
        <v>0</v>
      </c>
      <c r="AC16" s="111">
        <v>0</v>
      </c>
      <c r="AD16" s="111">
        <v>0.8</v>
      </c>
      <c r="AE16" s="111">
        <v>0</v>
      </c>
      <c r="AF16" s="111">
        <v>0</v>
      </c>
      <c r="AG16" s="111">
        <v>0</v>
      </c>
      <c r="AH16" s="111">
        <v>0</v>
      </c>
      <c r="AI16" s="111">
        <v>0.8</v>
      </c>
      <c r="AJ16" s="111">
        <v>0</v>
      </c>
      <c r="AK16" s="111">
        <v>0</v>
      </c>
      <c r="AL16" s="111">
        <v>0</v>
      </c>
      <c r="AM16" s="111">
        <v>0.8</v>
      </c>
      <c r="AN16" s="111">
        <v>0</v>
      </c>
      <c r="AO16" s="111">
        <v>0</v>
      </c>
      <c r="AP16" s="111">
        <v>0</v>
      </c>
      <c r="AQ16" s="111">
        <v>0</v>
      </c>
      <c r="AR16" s="111">
        <v>0</v>
      </c>
    </row>
    <row r="17" spans="1:44" customFormat="1" x14ac:dyDescent="0.15">
      <c r="A17" s="191" t="s">
        <v>208</v>
      </c>
      <c r="B17" s="111">
        <v>0</v>
      </c>
      <c r="C17" s="111">
        <v>0</v>
      </c>
      <c r="D17" s="111">
        <v>0</v>
      </c>
      <c r="E17" s="111">
        <v>0</v>
      </c>
      <c r="F17" s="111">
        <v>0</v>
      </c>
      <c r="G17" s="111">
        <v>0</v>
      </c>
      <c r="H17" s="111">
        <v>0</v>
      </c>
      <c r="I17" s="111">
        <v>0</v>
      </c>
      <c r="J17" s="111">
        <v>0</v>
      </c>
      <c r="K17" s="111">
        <v>0</v>
      </c>
      <c r="L17" s="111">
        <v>0</v>
      </c>
      <c r="M17" s="111">
        <v>0</v>
      </c>
      <c r="N17" s="111">
        <v>0</v>
      </c>
      <c r="O17" s="111">
        <v>0</v>
      </c>
      <c r="P17" s="111">
        <v>0</v>
      </c>
      <c r="Q17" s="111">
        <v>0</v>
      </c>
      <c r="R17" s="111">
        <v>0</v>
      </c>
      <c r="S17" s="111">
        <v>0</v>
      </c>
      <c r="T17" s="111">
        <v>0</v>
      </c>
      <c r="U17" s="111">
        <v>0.8</v>
      </c>
      <c r="V17" s="111">
        <v>0</v>
      </c>
      <c r="W17" s="111">
        <v>0</v>
      </c>
      <c r="X17" s="111">
        <v>0</v>
      </c>
      <c r="Y17" s="111">
        <v>0</v>
      </c>
      <c r="Z17" s="111">
        <v>0</v>
      </c>
      <c r="AA17" s="111">
        <v>0</v>
      </c>
      <c r="AB17" s="111">
        <v>0</v>
      </c>
      <c r="AC17" s="111">
        <v>0</v>
      </c>
      <c r="AD17" s="111">
        <v>0.8</v>
      </c>
      <c r="AE17" s="111">
        <v>0.8</v>
      </c>
      <c r="AF17" s="111">
        <v>0</v>
      </c>
      <c r="AG17" s="111">
        <v>0</v>
      </c>
      <c r="AH17" s="111">
        <v>0</v>
      </c>
      <c r="AI17" s="111">
        <v>0.8</v>
      </c>
      <c r="AJ17" s="111">
        <v>0</v>
      </c>
      <c r="AK17" s="111">
        <v>0</v>
      </c>
      <c r="AL17" s="111">
        <v>0</v>
      </c>
      <c r="AM17" s="111">
        <v>0.8</v>
      </c>
      <c r="AN17" s="111">
        <v>0</v>
      </c>
      <c r="AO17" s="111">
        <v>0</v>
      </c>
      <c r="AP17" s="111">
        <v>0</v>
      </c>
      <c r="AQ17" s="111">
        <v>0</v>
      </c>
      <c r="AR17" s="111">
        <v>0</v>
      </c>
    </row>
    <row r="18" spans="1:44" customFormat="1" x14ac:dyDescent="0.15">
      <c r="A18" s="191" t="s">
        <v>209</v>
      </c>
      <c r="B18" s="111">
        <v>0</v>
      </c>
      <c r="C18" s="111">
        <v>0</v>
      </c>
      <c r="D18" s="111">
        <v>0</v>
      </c>
      <c r="E18" s="111">
        <v>0</v>
      </c>
      <c r="F18" s="111">
        <v>0</v>
      </c>
      <c r="G18" s="111">
        <v>0</v>
      </c>
      <c r="H18" s="111">
        <v>0</v>
      </c>
      <c r="I18" s="111">
        <v>0</v>
      </c>
      <c r="J18" s="111">
        <v>0</v>
      </c>
      <c r="K18" s="111">
        <v>0</v>
      </c>
      <c r="L18" s="111">
        <v>0</v>
      </c>
      <c r="M18" s="111">
        <v>0</v>
      </c>
      <c r="N18" s="111">
        <v>0</v>
      </c>
      <c r="O18" s="111">
        <v>0</v>
      </c>
      <c r="P18" s="111">
        <v>0</v>
      </c>
      <c r="Q18" s="111">
        <v>0</v>
      </c>
      <c r="R18" s="111">
        <v>0</v>
      </c>
      <c r="S18" s="111">
        <v>0</v>
      </c>
      <c r="T18" s="111">
        <v>0</v>
      </c>
      <c r="U18" s="111">
        <v>0</v>
      </c>
      <c r="V18" s="111">
        <v>0</v>
      </c>
      <c r="W18" s="111">
        <v>0</v>
      </c>
      <c r="X18" s="111">
        <v>0</v>
      </c>
      <c r="Y18" s="111">
        <v>0</v>
      </c>
      <c r="Z18" s="111">
        <v>0</v>
      </c>
      <c r="AA18" s="111">
        <v>0</v>
      </c>
      <c r="AB18" s="111">
        <v>0</v>
      </c>
      <c r="AC18" s="111">
        <v>0</v>
      </c>
      <c r="AD18" s="111">
        <v>0.8</v>
      </c>
      <c r="AE18" s="111">
        <v>0</v>
      </c>
      <c r="AF18" s="111">
        <v>0</v>
      </c>
      <c r="AG18" s="111">
        <v>0</v>
      </c>
      <c r="AH18" s="111">
        <v>0.8</v>
      </c>
      <c r="AI18" s="111">
        <v>0</v>
      </c>
      <c r="AJ18" s="111">
        <v>0</v>
      </c>
      <c r="AK18" s="111">
        <v>0</v>
      </c>
      <c r="AL18" s="111">
        <v>0</v>
      </c>
      <c r="AM18" s="111">
        <v>0</v>
      </c>
      <c r="AN18" s="111">
        <v>0.8</v>
      </c>
      <c r="AO18" s="111">
        <v>0.8</v>
      </c>
      <c r="AP18" s="111">
        <v>0</v>
      </c>
      <c r="AQ18" s="111">
        <v>0</v>
      </c>
      <c r="AR18" s="111">
        <v>0</v>
      </c>
    </row>
    <row r="19" spans="1:44" customFormat="1" x14ac:dyDescent="0.15">
      <c r="A19" s="191" t="s">
        <v>210</v>
      </c>
      <c r="B19" s="111">
        <v>0</v>
      </c>
      <c r="C19" s="111">
        <v>0</v>
      </c>
      <c r="D19" s="111">
        <v>0</v>
      </c>
      <c r="E19" s="111">
        <v>0</v>
      </c>
      <c r="F19" s="111">
        <v>0</v>
      </c>
      <c r="G19" s="111">
        <v>0</v>
      </c>
      <c r="H19" s="111">
        <v>0</v>
      </c>
      <c r="I19" s="111">
        <v>0</v>
      </c>
      <c r="J19" s="111">
        <v>0</v>
      </c>
      <c r="K19" s="111">
        <v>0</v>
      </c>
      <c r="L19" s="111">
        <v>0</v>
      </c>
      <c r="M19" s="111">
        <v>0</v>
      </c>
      <c r="N19" s="111">
        <v>0.8</v>
      </c>
      <c r="O19" s="111">
        <v>0.8</v>
      </c>
      <c r="P19" s="111">
        <v>0.8</v>
      </c>
      <c r="Q19" s="111">
        <v>0</v>
      </c>
      <c r="R19" s="111">
        <v>0.8</v>
      </c>
      <c r="S19" s="111">
        <v>0.8</v>
      </c>
      <c r="T19" s="111">
        <v>0</v>
      </c>
      <c r="U19" s="111">
        <v>0.8</v>
      </c>
      <c r="V19" s="111">
        <v>0</v>
      </c>
      <c r="W19" s="111">
        <v>0</v>
      </c>
      <c r="X19" s="111">
        <v>0.8</v>
      </c>
      <c r="Y19" s="111">
        <v>0.8</v>
      </c>
      <c r="Z19" s="111">
        <v>0.8</v>
      </c>
      <c r="AA19" s="111">
        <v>0</v>
      </c>
      <c r="AB19" s="111">
        <v>0.8</v>
      </c>
      <c r="AC19" s="111">
        <v>0</v>
      </c>
      <c r="AD19" s="111">
        <v>0.8</v>
      </c>
      <c r="AE19" s="111">
        <v>0</v>
      </c>
      <c r="AF19" s="111">
        <v>0.8</v>
      </c>
      <c r="AG19" s="111">
        <v>0</v>
      </c>
      <c r="AH19" s="111">
        <v>0.8</v>
      </c>
      <c r="AI19" s="111">
        <v>0.8</v>
      </c>
      <c r="AJ19" s="111">
        <v>0</v>
      </c>
      <c r="AK19" s="111">
        <v>0</v>
      </c>
      <c r="AL19" s="111">
        <v>0</v>
      </c>
      <c r="AM19" s="111">
        <v>0.8</v>
      </c>
      <c r="AN19" s="111">
        <v>0.8</v>
      </c>
      <c r="AO19" s="111">
        <v>0.8</v>
      </c>
      <c r="AP19" s="111">
        <v>0</v>
      </c>
      <c r="AQ19" s="111">
        <v>0</v>
      </c>
      <c r="AR19" s="111">
        <v>0</v>
      </c>
    </row>
    <row r="20" spans="1:44" customFormat="1" x14ac:dyDescent="0.15">
      <c r="A20" s="191" t="s">
        <v>211</v>
      </c>
      <c r="B20" s="111">
        <v>0</v>
      </c>
      <c r="C20" s="111">
        <v>0</v>
      </c>
      <c r="D20" s="111">
        <v>0</v>
      </c>
      <c r="E20" s="111">
        <v>0</v>
      </c>
      <c r="F20" s="111">
        <v>0</v>
      </c>
      <c r="G20" s="111">
        <v>0</v>
      </c>
      <c r="H20" s="111">
        <v>0</v>
      </c>
      <c r="I20" s="111">
        <v>0</v>
      </c>
      <c r="J20" s="111">
        <v>0</v>
      </c>
      <c r="K20" s="111">
        <v>0</v>
      </c>
      <c r="L20" s="111">
        <v>0</v>
      </c>
      <c r="M20" s="111">
        <v>0</v>
      </c>
      <c r="N20" s="111">
        <v>0</v>
      </c>
      <c r="O20" s="111">
        <v>0</v>
      </c>
      <c r="P20" s="111">
        <v>0</v>
      </c>
      <c r="Q20" s="111">
        <v>0</v>
      </c>
      <c r="R20" s="111">
        <v>0</v>
      </c>
      <c r="S20" s="111">
        <v>0.8</v>
      </c>
      <c r="T20" s="111">
        <v>0</v>
      </c>
      <c r="U20" s="111">
        <v>0.8</v>
      </c>
      <c r="V20" s="111">
        <v>0</v>
      </c>
      <c r="W20" s="111">
        <v>0</v>
      </c>
      <c r="X20" s="111">
        <v>0</v>
      </c>
      <c r="Y20" s="111">
        <v>0.8</v>
      </c>
      <c r="Z20" s="111">
        <v>0</v>
      </c>
      <c r="AA20" s="111">
        <v>0.8</v>
      </c>
      <c r="AB20" s="111">
        <v>0.8</v>
      </c>
      <c r="AC20" s="111">
        <v>0.8</v>
      </c>
      <c r="AD20" s="111">
        <v>0.8</v>
      </c>
      <c r="AE20" s="111">
        <v>0.8</v>
      </c>
      <c r="AF20" s="111">
        <v>0</v>
      </c>
      <c r="AG20" s="111">
        <v>0.8</v>
      </c>
      <c r="AH20" s="111">
        <v>0</v>
      </c>
      <c r="AI20" s="111">
        <v>0.8</v>
      </c>
      <c r="AJ20" s="111">
        <v>0.8</v>
      </c>
      <c r="AK20" s="111">
        <v>0.8</v>
      </c>
      <c r="AL20" s="111">
        <v>0</v>
      </c>
      <c r="AM20" s="111">
        <v>0.8</v>
      </c>
      <c r="AN20" s="111">
        <v>0.8</v>
      </c>
      <c r="AO20" s="111">
        <v>0.8</v>
      </c>
      <c r="AP20" s="111">
        <v>0</v>
      </c>
      <c r="AQ20" s="111">
        <v>0</v>
      </c>
      <c r="AR20" s="111">
        <v>0</v>
      </c>
    </row>
    <row r="21" spans="1:44" customFormat="1" x14ac:dyDescent="0.15">
      <c r="A21" s="191" t="s">
        <v>212</v>
      </c>
      <c r="B21" s="111">
        <v>0</v>
      </c>
      <c r="C21" s="111">
        <v>0</v>
      </c>
      <c r="D21" s="111">
        <v>0</v>
      </c>
      <c r="E21" s="111">
        <v>0</v>
      </c>
      <c r="F21" s="111">
        <v>0</v>
      </c>
      <c r="G21" s="111">
        <v>0</v>
      </c>
      <c r="H21" s="111">
        <v>0</v>
      </c>
      <c r="I21" s="111">
        <v>0</v>
      </c>
      <c r="J21" s="111">
        <v>0</v>
      </c>
      <c r="K21" s="111">
        <v>0</v>
      </c>
      <c r="L21" s="111">
        <v>0</v>
      </c>
      <c r="M21" s="111">
        <v>0</v>
      </c>
      <c r="N21" s="111">
        <v>0</v>
      </c>
      <c r="O21" s="111">
        <v>0</v>
      </c>
      <c r="P21" s="111">
        <v>0</v>
      </c>
      <c r="Q21" s="111">
        <v>0</v>
      </c>
      <c r="R21" s="111">
        <v>0</v>
      </c>
      <c r="S21" s="111">
        <v>0.8</v>
      </c>
      <c r="T21" s="111">
        <v>0</v>
      </c>
      <c r="U21" s="111">
        <v>0.8</v>
      </c>
      <c r="V21" s="111">
        <v>0</v>
      </c>
      <c r="W21" s="111">
        <v>0</v>
      </c>
      <c r="X21" s="111">
        <v>0</v>
      </c>
      <c r="Y21" s="111">
        <v>0</v>
      </c>
      <c r="Z21" s="111">
        <v>0</v>
      </c>
      <c r="AA21" s="111">
        <v>0.8</v>
      </c>
      <c r="AB21" s="111">
        <v>0</v>
      </c>
      <c r="AC21" s="111">
        <v>0</v>
      </c>
      <c r="AD21" s="111">
        <v>0.8</v>
      </c>
      <c r="AE21" s="111">
        <v>0</v>
      </c>
      <c r="AF21" s="111">
        <v>0</v>
      </c>
      <c r="AG21" s="111">
        <v>0</v>
      </c>
      <c r="AH21" s="111">
        <v>0.8</v>
      </c>
      <c r="AI21" s="111">
        <v>0.8</v>
      </c>
      <c r="AJ21" s="111">
        <v>0</v>
      </c>
      <c r="AK21" s="111">
        <v>0</v>
      </c>
      <c r="AL21" s="111">
        <v>0</v>
      </c>
      <c r="AM21" s="111">
        <v>0.8</v>
      </c>
      <c r="AN21" s="111">
        <v>0.8</v>
      </c>
      <c r="AO21" s="111">
        <v>0.8</v>
      </c>
      <c r="AP21" s="111">
        <v>0</v>
      </c>
      <c r="AQ21" s="111">
        <v>0</v>
      </c>
      <c r="AR21" s="111">
        <v>0</v>
      </c>
    </row>
    <row r="22" spans="1:44" customFormat="1" x14ac:dyDescent="0.15">
      <c r="A22" s="191" t="s">
        <v>213</v>
      </c>
      <c r="B22" s="111">
        <v>0</v>
      </c>
      <c r="C22" s="111">
        <v>0</v>
      </c>
      <c r="D22" s="111">
        <v>0</v>
      </c>
      <c r="E22" s="111">
        <v>0</v>
      </c>
      <c r="F22" s="111">
        <v>0</v>
      </c>
      <c r="G22" s="111">
        <v>0</v>
      </c>
      <c r="H22" s="111">
        <v>0</v>
      </c>
      <c r="I22" s="111">
        <v>0</v>
      </c>
      <c r="J22" s="111">
        <v>0</v>
      </c>
      <c r="K22" s="111">
        <v>0</v>
      </c>
      <c r="L22" s="111">
        <v>0</v>
      </c>
      <c r="M22" s="111">
        <v>0</v>
      </c>
      <c r="N22" s="111">
        <v>0</v>
      </c>
      <c r="O22" s="111">
        <v>0</v>
      </c>
      <c r="P22" s="111">
        <v>0</v>
      </c>
      <c r="Q22" s="111">
        <v>0</v>
      </c>
      <c r="R22" s="111">
        <v>0</v>
      </c>
      <c r="S22" s="111">
        <v>0.8</v>
      </c>
      <c r="T22" s="111">
        <v>0</v>
      </c>
      <c r="U22" s="111">
        <v>0</v>
      </c>
      <c r="V22" s="111">
        <v>0</v>
      </c>
      <c r="W22" s="111">
        <v>0</v>
      </c>
      <c r="X22" s="111">
        <v>0</v>
      </c>
      <c r="Y22" s="111">
        <v>0.8</v>
      </c>
      <c r="Z22" s="111">
        <v>0</v>
      </c>
      <c r="AA22" s="111">
        <v>0.8</v>
      </c>
      <c r="AB22" s="111">
        <v>0.8</v>
      </c>
      <c r="AC22" s="111">
        <v>0.8</v>
      </c>
      <c r="AD22" s="111">
        <v>0.8</v>
      </c>
      <c r="AE22" s="111">
        <v>0.8</v>
      </c>
      <c r="AF22" s="111">
        <v>0</v>
      </c>
      <c r="AG22" s="111">
        <v>0.8</v>
      </c>
      <c r="AH22" s="111">
        <v>0</v>
      </c>
      <c r="AI22" s="111">
        <v>0.8</v>
      </c>
      <c r="AJ22" s="111">
        <v>0.8</v>
      </c>
      <c r="AK22" s="111">
        <v>0.8</v>
      </c>
      <c r="AL22" s="111">
        <v>0</v>
      </c>
      <c r="AM22" s="111">
        <v>0.8</v>
      </c>
      <c r="AN22" s="111">
        <v>0.8</v>
      </c>
      <c r="AO22" s="111">
        <v>0.8</v>
      </c>
      <c r="AP22" s="111">
        <v>0</v>
      </c>
      <c r="AQ22" s="111">
        <v>0</v>
      </c>
      <c r="AR22" s="111">
        <v>0</v>
      </c>
    </row>
    <row r="23" spans="1:44" customFormat="1" x14ac:dyDescent="0.15">
      <c r="A23" s="191" t="s">
        <v>214</v>
      </c>
      <c r="B23" s="111">
        <v>0</v>
      </c>
      <c r="C23" s="111">
        <v>0</v>
      </c>
      <c r="D23" s="111">
        <v>0</v>
      </c>
      <c r="E23" s="111">
        <v>0</v>
      </c>
      <c r="F23" s="111">
        <v>0</v>
      </c>
      <c r="G23" s="111">
        <v>0</v>
      </c>
      <c r="H23" s="111">
        <v>0</v>
      </c>
      <c r="I23" s="111">
        <v>0</v>
      </c>
      <c r="J23" s="111">
        <v>0</v>
      </c>
      <c r="K23" s="111">
        <v>0</v>
      </c>
      <c r="L23" s="111">
        <v>0</v>
      </c>
      <c r="M23" s="111">
        <v>0</v>
      </c>
      <c r="N23" s="111">
        <v>0</v>
      </c>
      <c r="O23" s="111">
        <v>0</v>
      </c>
      <c r="P23" s="111">
        <v>0</v>
      </c>
      <c r="Q23" s="111">
        <v>0</v>
      </c>
      <c r="R23" s="111">
        <v>0</v>
      </c>
      <c r="S23" s="111">
        <v>0.8</v>
      </c>
      <c r="T23" s="111">
        <v>0</v>
      </c>
      <c r="U23" s="111">
        <v>0</v>
      </c>
      <c r="V23" s="111">
        <v>0</v>
      </c>
      <c r="W23" s="111">
        <v>0</v>
      </c>
      <c r="X23" s="111">
        <v>0</v>
      </c>
      <c r="Y23" s="111">
        <v>0.8</v>
      </c>
      <c r="Z23" s="111">
        <v>0</v>
      </c>
      <c r="AA23" s="111">
        <v>0.8</v>
      </c>
      <c r="AB23" s="111">
        <v>0.8</v>
      </c>
      <c r="AC23" s="111">
        <v>0</v>
      </c>
      <c r="AD23" s="111">
        <v>0.8</v>
      </c>
      <c r="AE23" s="111">
        <v>0.8</v>
      </c>
      <c r="AF23" s="111">
        <v>0</v>
      </c>
      <c r="AG23" s="111">
        <v>0.8</v>
      </c>
      <c r="AH23" s="111">
        <v>0</v>
      </c>
      <c r="AI23" s="111">
        <v>0.8</v>
      </c>
      <c r="AJ23" s="111">
        <v>0.8</v>
      </c>
      <c r="AK23" s="111">
        <v>0.8</v>
      </c>
      <c r="AL23" s="111">
        <v>0</v>
      </c>
      <c r="AM23" s="111">
        <v>0.8</v>
      </c>
      <c r="AN23" s="111">
        <v>0.8</v>
      </c>
      <c r="AO23" s="111">
        <v>0.8</v>
      </c>
      <c r="AP23" s="111">
        <v>0</v>
      </c>
      <c r="AQ23" s="111">
        <v>0</v>
      </c>
      <c r="AR23" s="111">
        <v>0</v>
      </c>
    </row>
    <row r="24" spans="1:44" customFormat="1" x14ac:dyDescent="0.15">
      <c r="A24" s="191" t="s">
        <v>215</v>
      </c>
      <c r="B24" s="111">
        <v>0</v>
      </c>
      <c r="C24" s="111">
        <v>0</v>
      </c>
      <c r="D24" s="111">
        <v>0</v>
      </c>
      <c r="E24" s="111">
        <v>0</v>
      </c>
      <c r="F24" s="111">
        <v>0</v>
      </c>
      <c r="G24" s="111">
        <v>0</v>
      </c>
      <c r="H24" s="111">
        <v>0</v>
      </c>
      <c r="I24" s="111">
        <v>0</v>
      </c>
      <c r="J24" s="111">
        <v>0</v>
      </c>
      <c r="K24" s="111">
        <v>0</v>
      </c>
      <c r="L24" s="111">
        <v>0</v>
      </c>
      <c r="M24" s="111">
        <v>0</v>
      </c>
      <c r="N24" s="111">
        <v>0</v>
      </c>
      <c r="O24" s="111">
        <v>0</v>
      </c>
      <c r="P24" s="111">
        <v>0</v>
      </c>
      <c r="Q24" s="111">
        <v>0</v>
      </c>
      <c r="R24" s="111">
        <v>0</v>
      </c>
      <c r="S24" s="111">
        <v>0</v>
      </c>
      <c r="T24" s="111">
        <v>0</v>
      </c>
      <c r="U24" s="111">
        <v>0</v>
      </c>
      <c r="V24" s="111">
        <v>0</v>
      </c>
      <c r="W24" s="111">
        <v>0</v>
      </c>
      <c r="X24" s="111">
        <v>0</v>
      </c>
      <c r="Y24" s="111">
        <v>0</v>
      </c>
      <c r="Z24" s="111">
        <v>0</v>
      </c>
      <c r="AA24" s="111">
        <v>0</v>
      </c>
      <c r="AB24" s="111">
        <v>0.8</v>
      </c>
      <c r="AC24" s="111">
        <v>0.8</v>
      </c>
      <c r="AD24" s="111">
        <v>0.8</v>
      </c>
      <c r="AE24" s="111">
        <v>0.8</v>
      </c>
      <c r="AF24" s="111">
        <v>0</v>
      </c>
      <c r="AG24" s="111">
        <v>0</v>
      </c>
      <c r="AH24" s="111">
        <v>0.8</v>
      </c>
      <c r="AI24" s="111">
        <v>0.8</v>
      </c>
      <c r="AJ24" s="111">
        <v>0</v>
      </c>
      <c r="AK24" s="111">
        <v>0</v>
      </c>
      <c r="AL24" s="111">
        <v>0</v>
      </c>
      <c r="AM24" s="111">
        <v>0</v>
      </c>
      <c r="AN24" s="111">
        <v>0.8</v>
      </c>
      <c r="AO24" s="111">
        <v>0.8</v>
      </c>
      <c r="AP24" s="111">
        <v>0</v>
      </c>
      <c r="AQ24" s="111">
        <v>0</v>
      </c>
      <c r="AR24" s="111">
        <v>0</v>
      </c>
    </row>
    <row r="25" spans="1:44" customFormat="1" x14ac:dyDescent="0.15">
      <c r="A25" s="191" t="s">
        <v>216</v>
      </c>
      <c r="B25" s="111">
        <v>0</v>
      </c>
      <c r="C25" s="111">
        <v>0</v>
      </c>
      <c r="D25" s="111">
        <v>0</v>
      </c>
      <c r="E25" s="111">
        <v>0</v>
      </c>
      <c r="F25" s="111">
        <v>0</v>
      </c>
      <c r="G25" s="111">
        <v>0</v>
      </c>
      <c r="H25" s="111">
        <v>0</v>
      </c>
      <c r="I25" s="111">
        <v>0</v>
      </c>
      <c r="J25" s="111">
        <v>0</v>
      </c>
      <c r="K25" s="111">
        <v>0</v>
      </c>
      <c r="L25" s="111">
        <v>0</v>
      </c>
      <c r="M25" s="111">
        <v>0</v>
      </c>
      <c r="N25" s="111">
        <v>0</v>
      </c>
      <c r="O25" s="111">
        <v>0</v>
      </c>
      <c r="P25" s="111">
        <v>0</v>
      </c>
      <c r="Q25" s="111">
        <v>0</v>
      </c>
      <c r="R25" s="111">
        <v>0</v>
      </c>
      <c r="S25" s="111">
        <v>0</v>
      </c>
      <c r="T25" s="111">
        <v>0</v>
      </c>
      <c r="U25" s="111">
        <v>0</v>
      </c>
      <c r="V25" s="111">
        <v>0</v>
      </c>
      <c r="W25" s="111">
        <v>0</v>
      </c>
      <c r="X25" s="111">
        <v>0</v>
      </c>
      <c r="Y25" s="111">
        <v>0</v>
      </c>
      <c r="Z25" s="111">
        <v>0</v>
      </c>
      <c r="AA25" s="111">
        <v>0</v>
      </c>
      <c r="AB25" s="111">
        <v>0.8</v>
      </c>
      <c r="AC25" s="111">
        <v>0.8</v>
      </c>
      <c r="AD25" s="111">
        <v>0.8</v>
      </c>
      <c r="AE25" s="111">
        <v>0</v>
      </c>
      <c r="AF25" s="111">
        <v>0</v>
      </c>
      <c r="AG25" s="111">
        <v>0</v>
      </c>
      <c r="AH25" s="111">
        <v>0.8</v>
      </c>
      <c r="AI25" s="111">
        <v>0.8</v>
      </c>
      <c r="AJ25" s="111">
        <v>0</v>
      </c>
      <c r="AK25" s="111">
        <v>0</v>
      </c>
      <c r="AL25" s="111">
        <v>0</v>
      </c>
      <c r="AM25" s="111">
        <v>0.8</v>
      </c>
      <c r="AN25" s="111">
        <v>0.8</v>
      </c>
      <c r="AO25" s="111">
        <v>0.8</v>
      </c>
      <c r="AP25" s="111">
        <v>0</v>
      </c>
      <c r="AQ25" s="111">
        <v>0</v>
      </c>
      <c r="AR25" s="111">
        <v>0</v>
      </c>
    </row>
    <row r="26" spans="1:44" customFormat="1" x14ac:dyDescent="0.15">
      <c r="A26" s="191" t="s">
        <v>217</v>
      </c>
      <c r="B26" s="111">
        <v>0</v>
      </c>
      <c r="C26" s="111">
        <v>0</v>
      </c>
      <c r="D26" s="111">
        <v>0</v>
      </c>
      <c r="E26" s="111">
        <v>0</v>
      </c>
      <c r="F26" s="111">
        <v>0</v>
      </c>
      <c r="G26" s="111">
        <v>0</v>
      </c>
      <c r="H26" s="111">
        <v>0</v>
      </c>
      <c r="I26" s="111">
        <v>0</v>
      </c>
      <c r="J26" s="111">
        <v>0</v>
      </c>
      <c r="K26" s="111">
        <v>0</v>
      </c>
      <c r="L26" s="111">
        <v>0</v>
      </c>
      <c r="M26" s="111">
        <v>0</v>
      </c>
      <c r="N26" s="111">
        <v>0</v>
      </c>
      <c r="O26" s="111">
        <v>0</v>
      </c>
      <c r="P26" s="111">
        <v>0</v>
      </c>
      <c r="Q26" s="111">
        <v>0</v>
      </c>
      <c r="R26" s="111">
        <v>0</v>
      </c>
      <c r="S26" s="111">
        <v>0</v>
      </c>
      <c r="T26" s="111">
        <v>0</v>
      </c>
      <c r="U26" s="111">
        <v>0.8</v>
      </c>
      <c r="V26" s="111">
        <v>0</v>
      </c>
      <c r="W26" s="111">
        <v>0</v>
      </c>
      <c r="X26" s="111">
        <v>0</v>
      </c>
      <c r="Y26" s="111">
        <v>0</v>
      </c>
      <c r="Z26" s="111">
        <v>0</v>
      </c>
      <c r="AA26" s="111">
        <v>0.8</v>
      </c>
      <c r="AB26" s="111">
        <v>0</v>
      </c>
      <c r="AC26" s="111">
        <v>0</v>
      </c>
      <c r="AD26" s="111">
        <v>0.8</v>
      </c>
      <c r="AE26" s="111">
        <v>0</v>
      </c>
      <c r="AF26" s="111">
        <v>0</v>
      </c>
      <c r="AG26" s="111">
        <v>0</v>
      </c>
      <c r="AH26" s="111">
        <v>0</v>
      </c>
      <c r="AI26" s="111">
        <v>0</v>
      </c>
      <c r="AJ26" s="111">
        <v>0</v>
      </c>
      <c r="AK26" s="111">
        <v>0</v>
      </c>
      <c r="AL26" s="111">
        <v>0</v>
      </c>
      <c r="AM26" s="111">
        <v>0</v>
      </c>
      <c r="AN26" s="111">
        <v>0.8</v>
      </c>
      <c r="AO26" s="111">
        <v>0.8</v>
      </c>
      <c r="AP26" s="111">
        <v>0</v>
      </c>
      <c r="AQ26" s="111">
        <v>0</v>
      </c>
      <c r="AR26" s="111">
        <v>0</v>
      </c>
    </row>
    <row r="27" spans="1:44" customFormat="1" x14ac:dyDescent="0.15">
      <c r="A27" s="191" t="s">
        <v>218</v>
      </c>
      <c r="B27" s="111">
        <v>0</v>
      </c>
      <c r="C27" s="111">
        <v>0</v>
      </c>
      <c r="D27" s="111">
        <v>0</v>
      </c>
      <c r="E27" s="111">
        <v>0</v>
      </c>
      <c r="F27" s="111">
        <v>0</v>
      </c>
      <c r="G27" s="111">
        <v>0</v>
      </c>
      <c r="H27" s="111">
        <v>0</v>
      </c>
      <c r="I27" s="111">
        <v>0</v>
      </c>
      <c r="J27" s="111">
        <v>0</v>
      </c>
      <c r="K27" s="111">
        <v>0</v>
      </c>
      <c r="L27" s="111">
        <v>0</v>
      </c>
      <c r="M27" s="111">
        <v>0</v>
      </c>
      <c r="N27" s="111">
        <v>0</v>
      </c>
      <c r="O27" s="111">
        <v>0</v>
      </c>
      <c r="P27" s="111">
        <v>0</v>
      </c>
      <c r="Q27" s="111">
        <v>0</v>
      </c>
      <c r="R27" s="111">
        <v>0</v>
      </c>
      <c r="S27" s="111">
        <v>0</v>
      </c>
      <c r="T27" s="111">
        <v>0</v>
      </c>
      <c r="U27" s="111">
        <v>0</v>
      </c>
      <c r="V27" s="111">
        <v>0</v>
      </c>
      <c r="W27" s="111">
        <v>0</v>
      </c>
      <c r="X27" s="111">
        <v>0</v>
      </c>
      <c r="Y27" s="111">
        <v>0</v>
      </c>
      <c r="Z27" s="111">
        <v>0</v>
      </c>
      <c r="AA27" s="111">
        <v>0</v>
      </c>
      <c r="AB27" s="111">
        <v>0</v>
      </c>
      <c r="AC27" s="111">
        <v>0</v>
      </c>
      <c r="AD27" s="111">
        <v>0.8</v>
      </c>
      <c r="AE27" s="111">
        <v>0.8</v>
      </c>
      <c r="AF27" s="111">
        <v>0.8</v>
      </c>
      <c r="AG27" s="111">
        <v>0</v>
      </c>
      <c r="AH27" s="111">
        <v>0.8</v>
      </c>
      <c r="AI27" s="111">
        <v>0.8</v>
      </c>
      <c r="AJ27" s="111">
        <v>0.8</v>
      </c>
      <c r="AK27" s="111">
        <v>0.8</v>
      </c>
      <c r="AL27" s="111">
        <v>0</v>
      </c>
      <c r="AM27" s="111">
        <v>0</v>
      </c>
      <c r="AN27" s="111">
        <v>0.8</v>
      </c>
      <c r="AO27" s="111">
        <v>0.8</v>
      </c>
      <c r="AP27" s="111">
        <v>0</v>
      </c>
      <c r="AQ27" s="111">
        <v>0</v>
      </c>
      <c r="AR27" s="111">
        <v>0</v>
      </c>
    </row>
    <row r="28" spans="1:44" customFormat="1" x14ac:dyDescent="0.15">
      <c r="A28" s="191" t="s">
        <v>219</v>
      </c>
      <c r="B28" s="111">
        <v>0</v>
      </c>
      <c r="C28" s="111">
        <v>0</v>
      </c>
      <c r="D28" s="111">
        <v>0</v>
      </c>
      <c r="E28" s="111">
        <v>0</v>
      </c>
      <c r="F28" s="111">
        <v>0</v>
      </c>
      <c r="G28" s="111">
        <v>0</v>
      </c>
      <c r="H28" s="111">
        <v>0</v>
      </c>
      <c r="I28" s="111">
        <v>0</v>
      </c>
      <c r="J28" s="111">
        <v>0</v>
      </c>
      <c r="K28" s="111">
        <v>0</v>
      </c>
      <c r="L28" s="111">
        <v>0</v>
      </c>
      <c r="M28" s="111">
        <v>0</v>
      </c>
      <c r="N28" s="111">
        <v>0</v>
      </c>
      <c r="O28" s="111">
        <v>0</v>
      </c>
      <c r="P28" s="111">
        <v>0</v>
      </c>
      <c r="Q28" s="111">
        <v>0</v>
      </c>
      <c r="R28" s="111">
        <v>0</v>
      </c>
      <c r="S28" s="111">
        <v>0</v>
      </c>
      <c r="T28" s="111">
        <v>0</v>
      </c>
      <c r="U28" s="111">
        <v>0.8</v>
      </c>
      <c r="V28" s="111">
        <v>0</v>
      </c>
      <c r="W28" s="111">
        <v>0</v>
      </c>
      <c r="X28" s="111">
        <v>0</v>
      </c>
      <c r="Y28" s="111">
        <v>0</v>
      </c>
      <c r="Z28" s="111">
        <v>0</v>
      </c>
      <c r="AA28" s="111">
        <v>0</v>
      </c>
      <c r="AB28" s="111">
        <v>0.8</v>
      </c>
      <c r="AC28" s="111">
        <v>0.8</v>
      </c>
      <c r="AD28" s="111">
        <v>0.8</v>
      </c>
      <c r="AE28" s="111">
        <v>0</v>
      </c>
      <c r="AF28" s="111">
        <v>0</v>
      </c>
      <c r="AG28" s="111">
        <v>0</v>
      </c>
      <c r="AH28" s="111">
        <v>0.8</v>
      </c>
      <c r="AI28" s="111">
        <v>0.8</v>
      </c>
      <c r="AJ28" s="111">
        <v>0</v>
      </c>
      <c r="AK28" s="111">
        <v>0</v>
      </c>
      <c r="AL28" s="111">
        <v>0</v>
      </c>
      <c r="AM28" s="111">
        <v>0.8</v>
      </c>
      <c r="AN28" s="111">
        <v>0.8</v>
      </c>
      <c r="AO28" s="111">
        <v>0.8</v>
      </c>
      <c r="AP28" s="111">
        <v>0</v>
      </c>
      <c r="AQ28" s="111">
        <v>0</v>
      </c>
      <c r="AR28" s="111">
        <v>0</v>
      </c>
    </row>
    <row r="29" spans="1:44" customFormat="1" x14ac:dyDescent="0.15">
      <c r="A29" s="191" t="s">
        <v>220</v>
      </c>
      <c r="B29" s="111">
        <v>0</v>
      </c>
      <c r="C29" s="111">
        <v>0</v>
      </c>
      <c r="D29" s="111">
        <v>0</v>
      </c>
      <c r="E29" s="111">
        <v>0</v>
      </c>
      <c r="F29" s="111">
        <v>0</v>
      </c>
      <c r="G29" s="111">
        <v>0</v>
      </c>
      <c r="H29" s="111">
        <v>0</v>
      </c>
      <c r="I29" s="111">
        <v>0</v>
      </c>
      <c r="J29" s="111">
        <v>0</v>
      </c>
      <c r="K29" s="111">
        <v>0</v>
      </c>
      <c r="L29" s="111">
        <v>0</v>
      </c>
      <c r="M29" s="111">
        <v>0</v>
      </c>
      <c r="N29" s="111">
        <v>0</v>
      </c>
      <c r="O29" s="111">
        <v>0</v>
      </c>
      <c r="P29" s="111">
        <v>0</v>
      </c>
      <c r="Q29" s="111">
        <v>0</v>
      </c>
      <c r="R29" s="111">
        <v>0</v>
      </c>
      <c r="S29" s="111">
        <v>0</v>
      </c>
      <c r="T29" s="111">
        <v>0</v>
      </c>
      <c r="U29" s="111">
        <v>0.8</v>
      </c>
      <c r="V29" s="111">
        <v>0</v>
      </c>
      <c r="W29" s="111">
        <v>0</v>
      </c>
      <c r="X29" s="111">
        <v>0</v>
      </c>
      <c r="Y29" s="111">
        <v>0</v>
      </c>
      <c r="Z29" s="111">
        <v>0</v>
      </c>
      <c r="AA29" s="111">
        <v>0</v>
      </c>
      <c r="AB29" s="111">
        <v>0.8</v>
      </c>
      <c r="AC29" s="111">
        <v>0.8</v>
      </c>
      <c r="AD29" s="111">
        <v>0.8</v>
      </c>
      <c r="AE29" s="111">
        <v>0.8</v>
      </c>
      <c r="AF29" s="111">
        <v>0</v>
      </c>
      <c r="AG29" s="111">
        <v>0</v>
      </c>
      <c r="AH29" s="111">
        <v>0</v>
      </c>
      <c r="AI29" s="111">
        <v>0</v>
      </c>
      <c r="AJ29" s="111">
        <v>0</v>
      </c>
      <c r="AK29" s="111">
        <v>0</v>
      </c>
      <c r="AL29" s="111">
        <v>0</v>
      </c>
      <c r="AM29" s="111">
        <v>0.8</v>
      </c>
      <c r="AN29" s="111">
        <v>0.8</v>
      </c>
      <c r="AO29" s="111">
        <v>0.8</v>
      </c>
      <c r="AP29" s="111">
        <v>0</v>
      </c>
      <c r="AQ29" s="111">
        <v>0</v>
      </c>
      <c r="AR29" s="111">
        <v>0</v>
      </c>
    </row>
    <row r="30" spans="1:44" customFormat="1" x14ac:dyDescent="0.15">
      <c r="A30" s="191" t="s">
        <v>221</v>
      </c>
      <c r="B30" s="111">
        <v>0</v>
      </c>
      <c r="C30" s="111">
        <v>0</v>
      </c>
      <c r="D30" s="111">
        <v>0</v>
      </c>
      <c r="E30" s="111">
        <v>0</v>
      </c>
      <c r="F30" s="111">
        <v>0</v>
      </c>
      <c r="G30" s="111">
        <v>0</v>
      </c>
      <c r="H30" s="111">
        <v>0</v>
      </c>
      <c r="I30" s="111">
        <v>0</v>
      </c>
      <c r="J30" s="111">
        <v>0</v>
      </c>
      <c r="K30" s="111">
        <v>0</v>
      </c>
      <c r="L30" s="111">
        <v>0</v>
      </c>
      <c r="M30" s="111">
        <v>0</v>
      </c>
      <c r="N30" s="111">
        <v>0</v>
      </c>
      <c r="O30" s="111">
        <v>0</v>
      </c>
      <c r="P30" s="111">
        <v>0</v>
      </c>
      <c r="Q30" s="111">
        <v>0</v>
      </c>
      <c r="R30" s="111">
        <v>0</v>
      </c>
      <c r="S30" s="111">
        <v>0</v>
      </c>
      <c r="T30" s="111">
        <v>0</v>
      </c>
      <c r="U30" s="111">
        <v>0</v>
      </c>
      <c r="V30" s="111">
        <v>0</v>
      </c>
      <c r="W30" s="111">
        <v>0</v>
      </c>
      <c r="X30" s="111">
        <v>0</v>
      </c>
      <c r="Y30" s="111">
        <v>0</v>
      </c>
      <c r="Z30" s="111">
        <v>0</v>
      </c>
      <c r="AA30" s="111">
        <v>0</v>
      </c>
      <c r="AB30" s="111">
        <v>0</v>
      </c>
      <c r="AC30" s="111">
        <v>0</v>
      </c>
      <c r="AD30" s="111">
        <v>0</v>
      </c>
      <c r="AE30" s="111">
        <v>0</v>
      </c>
      <c r="AF30" s="111">
        <v>0</v>
      </c>
      <c r="AG30" s="111">
        <v>0</v>
      </c>
      <c r="AH30" s="111">
        <v>0</v>
      </c>
      <c r="AI30" s="111">
        <v>0</v>
      </c>
      <c r="AJ30" s="111">
        <v>0</v>
      </c>
      <c r="AK30" s="111">
        <v>0</v>
      </c>
      <c r="AL30" s="111">
        <v>0</v>
      </c>
      <c r="AM30" s="111">
        <v>0</v>
      </c>
      <c r="AN30" s="111">
        <v>0</v>
      </c>
      <c r="AO30" s="111">
        <v>0</v>
      </c>
      <c r="AP30" s="111">
        <v>0</v>
      </c>
      <c r="AQ30" s="111">
        <v>0</v>
      </c>
      <c r="AR30" s="111">
        <v>0</v>
      </c>
    </row>
    <row r="31" spans="1:44" customFormat="1" x14ac:dyDescent="0.15">
      <c r="A31" s="191" t="s">
        <v>222</v>
      </c>
      <c r="B31" s="111">
        <v>0</v>
      </c>
      <c r="C31" s="111">
        <v>0</v>
      </c>
      <c r="D31" s="111">
        <v>0</v>
      </c>
      <c r="E31" s="111">
        <v>0</v>
      </c>
      <c r="F31" s="111">
        <v>0</v>
      </c>
      <c r="G31" s="111">
        <v>0</v>
      </c>
      <c r="H31" s="111">
        <v>0</v>
      </c>
      <c r="I31" s="111">
        <v>0</v>
      </c>
      <c r="J31" s="111">
        <v>0</v>
      </c>
      <c r="K31" s="111">
        <v>0</v>
      </c>
      <c r="L31" s="111">
        <v>0</v>
      </c>
      <c r="M31" s="111">
        <v>0</v>
      </c>
      <c r="N31" s="111">
        <v>0</v>
      </c>
      <c r="O31" s="111">
        <v>0</v>
      </c>
      <c r="P31" s="111">
        <v>0</v>
      </c>
      <c r="Q31" s="111">
        <v>0</v>
      </c>
      <c r="R31" s="111">
        <v>0</v>
      </c>
      <c r="S31" s="111">
        <v>0</v>
      </c>
      <c r="T31" s="111">
        <v>0</v>
      </c>
      <c r="U31" s="111">
        <v>0</v>
      </c>
      <c r="V31" s="111">
        <v>0</v>
      </c>
      <c r="W31" s="111">
        <v>0</v>
      </c>
      <c r="X31" s="111">
        <v>0</v>
      </c>
      <c r="Y31" s="111">
        <v>0</v>
      </c>
      <c r="Z31" s="111">
        <v>0</v>
      </c>
      <c r="AA31" s="111">
        <v>0</v>
      </c>
      <c r="AB31" s="111">
        <v>0</v>
      </c>
      <c r="AC31" s="111">
        <v>0</v>
      </c>
      <c r="AD31" s="111">
        <v>0.8</v>
      </c>
      <c r="AE31" s="111">
        <v>0</v>
      </c>
      <c r="AF31" s="111">
        <v>0</v>
      </c>
      <c r="AG31" s="111">
        <v>0</v>
      </c>
      <c r="AH31" s="111">
        <v>0</v>
      </c>
      <c r="AI31" s="111">
        <v>0</v>
      </c>
      <c r="AJ31" s="111">
        <v>0</v>
      </c>
      <c r="AK31" s="111">
        <v>0</v>
      </c>
      <c r="AL31" s="111">
        <v>0</v>
      </c>
      <c r="AM31" s="111">
        <v>0</v>
      </c>
      <c r="AN31" s="111">
        <v>0</v>
      </c>
      <c r="AO31" s="111">
        <v>0</v>
      </c>
      <c r="AP31" s="111">
        <v>0</v>
      </c>
      <c r="AQ31" s="111">
        <v>0</v>
      </c>
      <c r="AR31" s="111">
        <v>0</v>
      </c>
    </row>
    <row r="32" spans="1:44" customFormat="1" x14ac:dyDescent="0.15">
      <c r="A32" s="191" t="s">
        <v>223</v>
      </c>
      <c r="B32" s="111">
        <v>0</v>
      </c>
      <c r="C32" s="111">
        <v>0</v>
      </c>
      <c r="D32" s="111">
        <v>0</v>
      </c>
      <c r="E32" s="111">
        <v>0</v>
      </c>
      <c r="F32" s="111">
        <v>0</v>
      </c>
      <c r="G32" s="111">
        <v>0</v>
      </c>
      <c r="H32" s="111">
        <v>0</v>
      </c>
      <c r="I32" s="111">
        <v>0</v>
      </c>
      <c r="J32" s="111">
        <v>0</v>
      </c>
      <c r="K32" s="111">
        <v>0</v>
      </c>
      <c r="L32" s="111">
        <v>0</v>
      </c>
      <c r="M32" s="111">
        <v>0</v>
      </c>
      <c r="N32" s="111">
        <v>0</v>
      </c>
      <c r="O32" s="111">
        <v>0</v>
      </c>
      <c r="P32" s="111">
        <v>0</v>
      </c>
      <c r="Q32" s="111">
        <v>0</v>
      </c>
      <c r="R32" s="111">
        <v>0</v>
      </c>
      <c r="S32" s="111">
        <v>0</v>
      </c>
      <c r="T32" s="111">
        <v>0</v>
      </c>
      <c r="U32" s="111">
        <v>0</v>
      </c>
      <c r="V32" s="111">
        <v>0</v>
      </c>
      <c r="W32" s="111">
        <v>0</v>
      </c>
      <c r="X32" s="111">
        <v>0</v>
      </c>
      <c r="Y32" s="111">
        <v>0</v>
      </c>
      <c r="Z32" s="111">
        <v>0</v>
      </c>
      <c r="AA32" s="111">
        <v>0</v>
      </c>
      <c r="AB32" s="111">
        <v>0</v>
      </c>
      <c r="AC32" s="111">
        <v>0</v>
      </c>
      <c r="AD32" s="111">
        <v>0.8</v>
      </c>
      <c r="AE32" s="111">
        <v>0</v>
      </c>
      <c r="AF32" s="111">
        <v>0</v>
      </c>
      <c r="AG32" s="111">
        <v>0</v>
      </c>
      <c r="AH32" s="111">
        <v>0</v>
      </c>
      <c r="AI32" s="111">
        <v>0</v>
      </c>
      <c r="AJ32" s="111">
        <v>0</v>
      </c>
      <c r="AK32" s="111">
        <v>0</v>
      </c>
      <c r="AL32" s="111">
        <v>0</v>
      </c>
      <c r="AM32" s="111">
        <v>0</v>
      </c>
      <c r="AN32" s="111">
        <v>0.8</v>
      </c>
      <c r="AO32" s="111">
        <v>0.8</v>
      </c>
      <c r="AP32" s="111">
        <v>0</v>
      </c>
      <c r="AQ32" s="111">
        <v>0</v>
      </c>
      <c r="AR32" s="111">
        <v>0</v>
      </c>
    </row>
    <row r="33" spans="1:44" x14ac:dyDescent="0.15">
      <c r="A33" s="191" t="s">
        <v>224</v>
      </c>
      <c r="B33" s="111">
        <v>0</v>
      </c>
      <c r="C33" s="111">
        <v>0</v>
      </c>
      <c r="D33" s="111">
        <v>0</v>
      </c>
      <c r="E33" s="111">
        <v>0</v>
      </c>
      <c r="F33" s="111">
        <v>0</v>
      </c>
      <c r="G33" s="111">
        <v>0</v>
      </c>
      <c r="H33" s="111">
        <v>0</v>
      </c>
      <c r="I33" s="111">
        <v>0</v>
      </c>
      <c r="J33" s="111">
        <v>0</v>
      </c>
      <c r="K33" s="111">
        <v>0</v>
      </c>
      <c r="L33" s="111">
        <v>0</v>
      </c>
      <c r="M33" s="111">
        <v>0</v>
      </c>
      <c r="N33" s="111">
        <v>0</v>
      </c>
      <c r="O33" s="111">
        <v>0</v>
      </c>
      <c r="P33" s="111">
        <v>0</v>
      </c>
      <c r="Q33" s="111">
        <v>0</v>
      </c>
      <c r="R33" s="111">
        <v>0</v>
      </c>
      <c r="S33" s="111">
        <v>0</v>
      </c>
      <c r="T33" s="111">
        <v>0</v>
      </c>
      <c r="U33" s="111">
        <v>0</v>
      </c>
      <c r="V33" s="111">
        <v>0</v>
      </c>
      <c r="W33" s="111">
        <v>0</v>
      </c>
      <c r="X33" s="111">
        <v>0</v>
      </c>
      <c r="Y33" s="111">
        <v>0</v>
      </c>
      <c r="Z33" s="111">
        <v>0</v>
      </c>
      <c r="AA33" s="111">
        <v>0</v>
      </c>
      <c r="AB33" s="111">
        <v>0</v>
      </c>
      <c r="AC33" s="111">
        <v>0</v>
      </c>
      <c r="AD33" s="111">
        <v>0.8</v>
      </c>
      <c r="AE33" s="111">
        <v>0</v>
      </c>
      <c r="AF33" s="111">
        <v>0.8</v>
      </c>
      <c r="AG33" s="111">
        <v>0</v>
      </c>
      <c r="AH33" s="111">
        <v>0</v>
      </c>
      <c r="AI33" s="111">
        <v>0.8</v>
      </c>
      <c r="AJ33" s="111">
        <v>0.8</v>
      </c>
      <c r="AK33" s="111">
        <v>0.8</v>
      </c>
      <c r="AL33" s="111">
        <v>0</v>
      </c>
      <c r="AM33" s="111">
        <v>0</v>
      </c>
      <c r="AN33" s="111">
        <v>0.8</v>
      </c>
      <c r="AO33" s="111">
        <v>0.8</v>
      </c>
      <c r="AP33" s="111">
        <v>0</v>
      </c>
      <c r="AQ33" s="111">
        <v>0</v>
      </c>
      <c r="AR33" s="111">
        <v>0</v>
      </c>
    </row>
    <row r="34" spans="1:44" x14ac:dyDescent="0.15">
      <c r="A34" s="191" t="s">
        <v>225</v>
      </c>
      <c r="B34" s="111">
        <v>0</v>
      </c>
      <c r="C34" s="111">
        <v>0</v>
      </c>
      <c r="D34" s="111">
        <v>0</v>
      </c>
      <c r="E34" s="111">
        <v>0</v>
      </c>
      <c r="F34" s="111">
        <v>0</v>
      </c>
      <c r="G34" s="111">
        <v>0</v>
      </c>
      <c r="H34" s="111">
        <v>0</v>
      </c>
      <c r="I34" s="111">
        <v>0</v>
      </c>
      <c r="J34" s="111">
        <v>0</v>
      </c>
      <c r="K34" s="111">
        <v>0</v>
      </c>
      <c r="L34" s="111">
        <v>0</v>
      </c>
      <c r="M34" s="111">
        <v>0</v>
      </c>
      <c r="N34" s="111">
        <v>0</v>
      </c>
      <c r="O34" s="111">
        <v>0</v>
      </c>
      <c r="P34" s="111">
        <v>0</v>
      </c>
      <c r="Q34" s="111">
        <v>0</v>
      </c>
      <c r="R34" s="111">
        <v>0</v>
      </c>
      <c r="S34" s="111">
        <v>0</v>
      </c>
      <c r="T34" s="111">
        <v>0</v>
      </c>
      <c r="U34" s="111">
        <v>0.8</v>
      </c>
      <c r="V34" s="111">
        <v>0</v>
      </c>
      <c r="W34" s="111">
        <v>0</v>
      </c>
      <c r="X34" s="111">
        <v>0</v>
      </c>
      <c r="Y34" s="111">
        <v>0</v>
      </c>
      <c r="Z34" s="111">
        <v>0</v>
      </c>
      <c r="AA34" s="111">
        <v>0</v>
      </c>
      <c r="AB34" s="111">
        <v>0</v>
      </c>
      <c r="AC34" s="111">
        <v>0</v>
      </c>
      <c r="AD34" s="111">
        <v>0.8</v>
      </c>
      <c r="AE34" s="111">
        <v>0.8</v>
      </c>
      <c r="AF34" s="111">
        <v>0</v>
      </c>
      <c r="AG34" s="111">
        <v>0</v>
      </c>
      <c r="AH34" s="111">
        <v>0.8</v>
      </c>
      <c r="AI34" s="111">
        <v>0.8</v>
      </c>
      <c r="AJ34" s="111">
        <v>0</v>
      </c>
      <c r="AK34" s="111">
        <v>0</v>
      </c>
      <c r="AL34" s="111">
        <v>0</v>
      </c>
      <c r="AM34" s="111">
        <v>0.8</v>
      </c>
      <c r="AN34" s="111">
        <v>0.8</v>
      </c>
      <c r="AO34" s="111">
        <v>0</v>
      </c>
      <c r="AP34" s="111">
        <v>0</v>
      </c>
      <c r="AQ34" s="111">
        <v>0</v>
      </c>
      <c r="AR34" s="111">
        <v>0</v>
      </c>
    </row>
    <row r="35" spans="1:44" x14ac:dyDescent="0.15">
      <c r="A35" s="191" t="s">
        <v>226</v>
      </c>
      <c r="B35" s="111">
        <v>0</v>
      </c>
      <c r="C35" s="111">
        <v>0</v>
      </c>
      <c r="D35" s="111">
        <v>0</v>
      </c>
      <c r="E35" s="111">
        <v>0</v>
      </c>
      <c r="F35" s="111">
        <v>0</v>
      </c>
      <c r="G35" s="111">
        <v>0</v>
      </c>
      <c r="H35" s="111">
        <v>0</v>
      </c>
      <c r="I35" s="111">
        <v>0</v>
      </c>
      <c r="J35" s="111">
        <v>0</v>
      </c>
      <c r="K35" s="111">
        <v>0</v>
      </c>
      <c r="L35" s="111">
        <v>0</v>
      </c>
      <c r="M35" s="111">
        <v>0</v>
      </c>
      <c r="N35" s="111">
        <v>0</v>
      </c>
      <c r="O35" s="111">
        <v>0</v>
      </c>
      <c r="P35" s="111">
        <v>0</v>
      </c>
      <c r="Q35" s="111">
        <v>0</v>
      </c>
      <c r="R35" s="111">
        <v>0.8</v>
      </c>
      <c r="S35" s="111">
        <v>0</v>
      </c>
      <c r="T35" s="111">
        <v>0</v>
      </c>
      <c r="U35" s="111">
        <v>0.8</v>
      </c>
      <c r="V35" s="111">
        <v>0</v>
      </c>
      <c r="W35" s="111">
        <v>0</v>
      </c>
      <c r="X35" s="111">
        <v>0</v>
      </c>
      <c r="Y35" s="111">
        <v>0</v>
      </c>
      <c r="Z35" s="111">
        <v>0</v>
      </c>
      <c r="AA35" s="111">
        <v>0</v>
      </c>
      <c r="AB35" s="111">
        <v>0</v>
      </c>
      <c r="AC35" s="111">
        <v>0</v>
      </c>
      <c r="AD35" s="111">
        <v>0.8</v>
      </c>
      <c r="AE35" s="111">
        <v>0.8</v>
      </c>
      <c r="AF35" s="111">
        <v>0</v>
      </c>
      <c r="AG35" s="111">
        <v>0</v>
      </c>
      <c r="AH35" s="111">
        <v>0</v>
      </c>
      <c r="AI35" s="111">
        <v>0.8</v>
      </c>
      <c r="AJ35" s="111">
        <v>0</v>
      </c>
      <c r="AK35" s="111">
        <v>0</v>
      </c>
      <c r="AL35" s="111">
        <v>0</v>
      </c>
      <c r="AM35" s="111">
        <v>0.8</v>
      </c>
      <c r="AN35" s="111">
        <v>0.8</v>
      </c>
      <c r="AO35" s="111">
        <v>0.8</v>
      </c>
      <c r="AP35" s="111">
        <v>0</v>
      </c>
      <c r="AQ35" s="111">
        <v>0</v>
      </c>
      <c r="AR35" s="111">
        <v>0</v>
      </c>
    </row>
    <row r="36" spans="1:44" x14ac:dyDescent="0.15">
      <c r="A36" s="191" t="s">
        <v>227</v>
      </c>
      <c r="B36" s="111">
        <v>0</v>
      </c>
      <c r="C36" s="111">
        <v>0</v>
      </c>
      <c r="D36" s="111">
        <v>0</v>
      </c>
      <c r="E36" s="111">
        <v>0</v>
      </c>
      <c r="F36" s="111">
        <v>0</v>
      </c>
      <c r="G36" s="111">
        <v>0</v>
      </c>
      <c r="H36" s="111">
        <v>0</v>
      </c>
      <c r="I36" s="111">
        <v>0</v>
      </c>
      <c r="J36" s="111">
        <v>0</v>
      </c>
      <c r="K36" s="111">
        <v>0</v>
      </c>
      <c r="L36" s="111">
        <v>0</v>
      </c>
      <c r="M36" s="111">
        <v>0</v>
      </c>
      <c r="N36" s="111">
        <v>0</v>
      </c>
      <c r="O36" s="111">
        <v>0</v>
      </c>
      <c r="P36" s="111">
        <v>0</v>
      </c>
      <c r="Q36" s="111">
        <v>0</v>
      </c>
      <c r="R36" s="111">
        <v>0</v>
      </c>
      <c r="S36" s="111">
        <v>0</v>
      </c>
      <c r="T36" s="111">
        <v>0</v>
      </c>
      <c r="U36" s="111">
        <v>0</v>
      </c>
      <c r="V36" s="111">
        <v>0</v>
      </c>
      <c r="W36" s="111">
        <v>0</v>
      </c>
      <c r="X36" s="111">
        <v>0</v>
      </c>
      <c r="Y36" s="111">
        <v>0</v>
      </c>
      <c r="Z36" s="111">
        <v>0</v>
      </c>
      <c r="AA36" s="111">
        <v>0</v>
      </c>
      <c r="AB36" s="111">
        <v>0</v>
      </c>
      <c r="AC36" s="111">
        <v>0</v>
      </c>
      <c r="AD36" s="111">
        <v>0</v>
      </c>
      <c r="AE36" s="111">
        <v>0</v>
      </c>
      <c r="AF36" s="111">
        <v>0</v>
      </c>
      <c r="AG36" s="111">
        <v>0</v>
      </c>
      <c r="AH36" s="111">
        <v>0</v>
      </c>
      <c r="AI36" s="111">
        <v>0</v>
      </c>
      <c r="AJ36" s="111">
        <v>0</v>
      </c>
      <c r="AK36" s="111">
        <v>0</v>
      </c>
      <c r="AL36" s="111">
        <v>0</v>
      </c>
      <c r="AM36" s="111">
        <v>0</v>
      </c>
      <c r="AN36" s="111">
        <v>0</v>
      </c>
      <c r="AO36" s="111">
        <v>0</v>
      </c>
      <c r="AP36" s="111">
        <v>0</v>
      </c>
      <c r="AQ36" s="111">
        <v>0</v>
      </c>
      <c r="AR36" s="111">
        <v>0</v>
      </c>
    </row>
    <row r="37" spans="1:44" x14ac:dyDescent="0.15">
      <c r="A37" s="191" t="s">
        <v>228</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c r="AQ37" s="111">
        <v>0</v>
      </c>
      <c r="AR37" s="111">
        <v>0</v>
      </c>
    </row>
    <row r="38" spans="1:44" x14ac:dyDescent="0.15">
      <c r="A38" s="191" t="s">
        <v>229</v>
      </c>
      <c r="B38" s="111">
        <v>0</v>
      </c>
      <c r="C38" s="111">
        <v>0</v>
      </c>
      <c r="D38" s="111">
        <v>0</v>
      </c>
      <c r="E38" s="111">
        <v>0</v>
      </c>
      <c r="F38" s="111">
        <v>0</v>
      </c>
      <c r="G38" s="111">
        <v>0</v>
      </c>
      <c r="H38" s="111">
        <v>0</v>
      </c>
      <c r="I38" s="111">
        <v>0</v>
      </c>
      <c r="J38" s="111">
        <v>0</v>
      </c>
      <c r="K38" s="111">
        <v>0</v>
      </c>
      <c r="L38" s="111">
        <v>0</v>
      </c>
      <c r="M38" s="111">
        <v>0</v>
      </c>
      <c r="N38" s="111">
        <v>0</v>
      </c>
      <c r="O38" s="111">
        <v>0</v>
      </c>
      <c r="P38" s="111">
        <v>0</v>
      </c>
      <c r="Q38" s="111">
        <v>0</v>
      </c>
      <c r="R38" s="111">
        <v>0</v>
      </c>
      <c r="S38" s="111">
        <v>0</v>
      </c>
      <c r="T38" s="111">
        <v>0</v>
      </c>
      <c r="U38" s="111">
        <v>0</v>
      </c>
      <c r="V38" s="111">
        <v>0</v>
      </c>
      <c r="W38" s="111">
        <v>0</v>
      </c>
      <c r="X38" s="111">
        <v>0</v>
      </c>
      <c r="Y38" s="111">
        <v>0</v>
      </c>
      <c r="Z38" s="111">
        <v>0</v>
      </c>
      <c r="AA38" s="111">
        <v>0</v>
      </c>
      <c r="AB38" s="111">
        <v>0</v>
      </c>
      <c r="AC38" s="111">
        <v>0</v>
      </c>
      <c r="AD38" s="111">
        <v>0</v>
      </c>
      <c r="AE38" s="111">
        <v>0</v>
      </c>
      <c r="AF38" s="111">
        <v>0</v>
      </c>
      <c r="AG38" s="111">
        <v>0</v>
      </c>
      <c r="AH38" s="111">
        <v>0</v>
      </c>
      <c r="AI38" s="111">
        <v>0</v>
      </c>
      <c r="AJ38" s="111">
        <v>0</v>
      </c>
      <c r="AK38" s="111">
        <v>0</v>
      </c>
      <c r="AL38" s="111">
        <v>0</v>
      </c>
      <c r="AM38" s="111">
        <v>0</v>
      </c>
      <c r="AN38" s="111">
        <v>0</v>
      </c>
      <c r="AO38" s="111">
        <v>0</v>
      </c>
      <c r="AP38" s="111">
        <v>0</v>
      </c>
      <c r="AQ38" s="111">
        <v>0</v>
      </c>
      <c r="AR38" s="111">
        <v>0</v>
      </c>
    </row>
    <row r="39" spans="1:44" x14ac:dyDescent="0.15">
      <c r="A39" s="191" t="s">
        <v>230</v>
      </c>
      <c r="B39" s="111">
        <v>0</v>
      </c>
      <c r="C39" s="111">
        <v>0</v>
      </c>
      <c r="D39" s="111">
        <v>0</v>
      </c>
      <c r="E39" s="111">
        <v>0</v>
      </c>
      <c r="F39" s="111">
        <v>0</v>
      </c>
      <c r="G39" s="111">
        <v>0</v>
      </c>
      <c r="H39" s="111">
        <v>0</v>
      </c>
      <c r="I39" s="111">
        <v>0</v>
      </c>
      <c r="J39" s="111">
        <v>0</v>
      </c>
      <c r="K39" s="111">
        <v>0</v>
      </c>
      <c r="L39" s="111">
        <v>0</v>
      </c>
      <c r="M39" s="111">
        <v>0</v>
      </c>
      <c r="N39" s="111">
        <v>0</v>
      </c>
      <c r="O39" s="111">
        <v>0</v>
      </c>
      <c r="P39" s="111">
        <v>0</v>
      </c>
      <c r="Q39" s="111">
        <v>0</v>
      </c>
      <c r="R39" s="111">
        <v>0</v>
      </c>
      <c r="S39" s="111">
        <v>0</v>
      </c>
      <c r="T39" s="111">
        <v>0</v>
      </c>
      <c r="U39" s="111">
        <v>0</v>
      </c>
      <c r="V39" s="111">
        <v>0</v>
      </c>
      <c r="W39" s="111">
        <v>0</v>
      </c>
      <c r="X39" s="111">
        <v>0</v>
      </c>
      <c r="Y39" s="111">
        <v>0</v>
      </c>
      <c r="Z39" s="111">
        <v>0</v>
      </c>
      <c r="AA39" s="111">
        <v>0</v>
      </c>
      <c r="AB39" s="111">
        <v>0</v>
      </c>
      <c r="AC39" s="111">
        <v>0</v>
      </c>
      <c r="AD39" s="111">
        <v>0</v>
      </c>
      <c r="AE39" s="111">
        <v>0</v>
      </c>
      <c r="AF39" s="111">
        <v>0</v>
      </c>
      <c r="AG39" s="111">
        <v>0</v>
      </c>
      <c r="AH39" s="111">
        <v>0</v>
      </c>
      <c r="AI39" s="111">
        <v>0</v>
      </c>
      <c r="AJ39" s="111">
        <v>0</v>
      </c>
      <c r="AK39" s="111">
        <v>0</v>
      </c>
      <c r="AL39" s="111">
        <v>0</v>
      </c>
      <c r="AM39" s="111">
        <v>0</v>
      </c>
      <c r="AN39" s="111">
        <v>0</v>
      </c>
      <c r="AO39" s="111">
        <v>0</v>
      </c>
      <c r="AP39" s="111">
        <v>0</v>
      </c>
      <c r="AQ39" s="111">
        <v>0</v>
      </c>
      <c r="AR39" s="111">
        <v>0</v>
      </c>
    </row>
    <row r="40" spans="1:44" x14ac:dyDescent="0.15">
      <c r="A40" s="191" t="s">
        <v>231</v>
      </c>
      <c r="B40" s="111">
        <v>0</v>
      </c>
      <c r="C40" s="111">
        <v>0</v>
      </c>
      <c r="D40" s="111">
        <v>0</v>
      </c>
      <c r="E40" s="111">
        <v>0</v>
      </c>
      <c r="F40" s="111">
        <v>0</v>
      </c>
      <c r="G40" s="111">
        <v>0</v>
      </c>
      <c r="H40" s="111">
        <v>0</v>
      </c>
      <c r="I40" s="111">
        <v>0</v>
      </c>
      <c r="J40" s="111">
        <v>0</v>
      </c>
      <c r="K40" s="111">
        <v>0</v>
      </c>
      <c r="L40" s="111">
        <v>0</v>
      </c>
      <c r="M40" s="111">
        <v>0</v>
      </c>
      <c r="N40" s="111">
        <v>0</v>
      </c>
      <c r="O40" s="111">
        <v>0</v>
      </c>
      <c r="P40" s="111">
        <v>0</v>
      </c>
      <c r="Q40" s="111">
        <v>0</v>
      </c>
      <c r="R40" s="111">
        <v>0</v>
      </c>
      <c r="S40" s="111">
        <v>0</v>
      </c>
      <c r="T40" s="111">
        <v>0</v>
      </c>
      <c r="U40" s="111">
        <v>0</v>
      </c>
      <c r="V40" s="111">
        <v>0</v>
      </c>
      <c r="W40" s="111">
        <v>0</v>
      </c>
      <c r="X40" s="111">
        <v>0</v>
      </c>
      <c r="Y40" s="111">
        <v>0</v>
      </c>
      <c r="Z40" s="111">
        <v>0</v>
      </c>
      <c r="AA40" s="111">
        <v>0</v>
      </c>
      <c r="AB40" s="111">
        <v>0</v>
      </c>
      <c r="AC40" s="111">
        <v>0</v>
      </c>
      <c r="AD40" s="111">
        <v>0</v>
      </c>
      <c r="AE40" s="111">
        <v>0</v>
      </c>
      <c r="AF40" s="111">
        <v>0</v>
      </c>
      <c r="AG40" s="111">
        <v>0</v>
      </c>
      <c r="AH40" s="111">
        <v>0</v>
      </c>
      <c r="AI40" s="111">
        <v>0</v>
      </c>
      <c r="AJ40" s="111">
        <v>0</v>
      </c>
      <c r="AK40" s="111">
        <v>0</v>
      </c>
      <c r="AL40" s="111">
        <v>0</v>
      </c>
      <c r="AM40" s="111">
        <v>0</v>
      </c>
      <c r="AN40" s="111">
        <v>0</v>
      </c>
      <c r="AO40" s="111">
        <v>0</v>
      </c>
      <c r="AP40" s="111">
        <v>0</v>
      </c>
      <c r="AQ40" s="111">
        <v>0</v>
      </c>
      <c r="AR40" s="111">
        <v>0</v>
      </c>
    </row>
    <row r="41" spans="1:44" x14ac:dyDescent="0.15">
      <c r="A41" s="191" t="s">
        <v>232</v>
      </c>
      <c r="B41" s="111">
        <v>0</v>
      </c>
      <c r="C41" s="111">
        <v>0</v>
      </c>
      <c r="D41" s="111">
        <v>0</v>
      </c>
      <c r="E41" s="111">
        <v>0</v>
      </c>
      <c r="F41" s="111">
        <v>0</v>
      </c>
      <c r="G41" s="111">
        <v>0</v>
      </c>
      <c r="H41" s="111">
        <v>0</v>
      </c>
      <c r="I41" s="111">
        <v>0</v>
      </c>
      <c r="J41" s="111">
        <v>0</v>
      </c>
      <c r="K41" s="111">
        <v>0</v>
      </c>
      <c r="L41" s="111">
        <v>0</v>
      </c>
      <c r="M41" s="111">
        <v>0</v>
      </c>
      <c r="N41" s="111">
        <v>0</v>
      </c>
      <c r="O41" s="111">
        <v>0</v>
      </c>
      <c r="P41" s="111">
        <v>0</v>
      </c>
      <c r="Q41" s="111">
        <v>0</v>
      </c>
      <c r="R41" s="111">
        <v>0</v>
      </c>
      <c r="S41" s="111">
        <v>0</v>
      </c>
      <c r="T41" s="111">
        <v>0</v>
      </c>
      <c r="U41" s="111">
        <v>0</v>
      </c>
      <c r="V41" s="111">
        <v>0</v>
      </c>
      <c r="W41" s="111">
        <v>0</v>
      </c>
      <c r="X41" s="111">
        <v>0</v>
      </c>
      <c r="Y41" s="111">
        <v>0</v>
      </c>
      <c r="Z41" s="111">
        <v>0</v>
      </c>
      <c r="AA41" s="111">
        <v>0</v>
      </c>
      <c r="AB41" s="111">
        <v>0</v>
      </c>
      <c r="AC41" s="111">
        <v>0</v>
      </c>
      <c r="AD41" s="111">
        <v>0</v>
      </c>
      <c r="AE41" s="111">
        <v>0</v>
      </c>
      <c r="AF41" s="111">
        <v>0</v>
      </c>
      <c r="AG41" s="111">
        <v>0</v>
      </c>
      <c r="AH41" s="111">
        <v>0</v>
      </c>
      <c r="AI41" s="111">
        <v>0</v>
      </c>
      <c r="AJ41" s="111">
        <v>0</v>
      </c>
      <c r="AK41" s="111">
        <v>0</v>
      </c>
      <c r="AL41" s="111">
        <v>0</v>
      </c>
      <c r="AM41" s="111">
        <v>0</v>
      </c>
      <c r="AN41" s="111">
        <v>0</v>
      </c>
      <c r="AO41" s="111">
        <v>0</v>
      </c>
      <c r="AP41" s="111">
        <v>0</v>
      </c>
      <c r="AQ41" s="111">
        <v>0</v>
      </c>
      <c r="AR41" s="111">
        <v>0</v>
      </c>
    </row>
    <row r="42" spans="1:44" x14ac:dyDescent="0.15">
      <c r="A42" s="191" t="s">
        <v>233</v>
      </c>
      <c r="B42" s="111">
        <v>0</v>
      </c>
      <c r="C42" s="111">
        <v>0</v>
      </c>
      <c r="D42" s="111">
        <v>0</v>
      </c>
      <c r="E42" s="111">
        <v>0</v>
      </c>
      <c r="F42" s="111">
        <v>0</v>
      </c>
      <c r="G42" s="111">
        <v>0</v>
      </c>
      <c r="H42" s="111">
        <v>0</v>
      </c>
      <c r="I42" s="111">
        <v>0</v>
      </c>
      <c r="J42" s="111">
        <v>0</v>
      </c>
      <c r="K42" s="111">
        <v>0</v>
      </c>
      <c r="L42" s="111">
        <v>0</v>
      </c>
      <c r="M42" s="111">
        <v>0</v>
      </c>
      <c r="N42" s="111">
        <v>0</v>
      </c>
      <c r="O42" s="111">
        <v>0</v>
      </c>
      <c r="P42" s="111">
        <v>0</v>
      </c>
      <c r="Q42" s="111">
        <v>0</v>
      </c>
      <c r="R42" s="111">
        <v>0</v>
      </c>
      <c r="S42" s="111">
        <v>0</v>
      </c>
      <c r="T42" s="111">
        <v>0</v>
      </c>
      <c r="U42" s="111">
        <v>0</v>
      </c>
      <c r="V42" s="111">
        <v>0</v>
      </c>
      <c r="W42" s="111">
        <v>0</v>
      </c>
      <c r="X42" s="111">
        <v>0</v>
      </c>
      <c r="Y42" s="111">
        <v>0</v>
      </c>
      <c r="Z42" s="111">
        <v>0</v>
      </c>
      <c r="AA42" s="111">
        <v>0</v>
      </c>
      <c r="AB42" s="111">
        <v>0</v>
      </c>
      <c r="AC42" s="111">
        <v>0</v>
      </c>
      <c r="AD42" s="111">
        <v>0</v>
      </c>
      <c r="AE42" s="111">
        <v>0</v>
      </c>
      <c r="AF42" s="111">
        <v>0</v>
      </c>
      <c r="AG42" s="111">
        <v>0</v>
      </c>
      <c r="AH42" s="111">
        <v>0</v>
      </c>
      <c r="AI42" s="111">
        <v>0</v>
      </c>
      <c r="AJ42" s="111">
        <v>0.8</v>
      </c>
      <c r="AK42" s="111">
        <v>0.8</v>
      </c>
      <c r="AL42" s="111">
        <v>0</v>
      </c>
      <c r="AM42" s="111">
        <v>0</v>
      </c>
      <c r="AN42" s="111">
        <v>0</v>
      </c>
      <c r="AO42" s="111">
        <v>0</v>
      </c>
      <c r="AP42" s="111">
        <v>0</v>
      </c>
      <c r="AQ42" s="111">
        <v>0</v>
      </c>
      <c r="AR42" s="111">
        <v>0</v>
      </c>
    </row>
    <row r="43" spans="1:44" x14ac:dyDescent="0.15">
      <c r="A43" s="191" t="s">
        <v>234</v>
      </c>
      <c r="B43" s="111">
        <v>0</v>
      </c>
      <c r="C43" s="111">
        <v>0.8</v>
      </c>
      <c r="D43" s="111">
        <v>0</v>
      </c>
      <c r="E43" s="111">
        <v>0.8</v>
      </c>
      <c r="F43" s="111">
        <v>0.8</v>
      </c>
      <c r="G43" s="111">
        <v>0.8</v>
      </c>
      <c r="H43" s="111">
        <v>0.8</v>
      </c>
      <c r="I43" s="111">
        <v>0.8</v>
      </c>
      <c r="J43" s="111">
        <v>0.8</v>
      </c>
      <c r="K43" s="111">
        <v>0.8</v>
      </c>
      <c r="L43" s="111">
        <v>0.8</v>
      </c>
      <c r="M43" s="111">
        <v>0.8</v>
      </c>
      <c r="N43" s="111">
        <v>0</v>
      </c>
      <c r="O43" s="111">
        <v>0</v>
      </c>
      <c r="P43" s="111">
        <v>0</v>
      </c>
      <c r="Q43" s="111">
        <v>0</v>
      </c>
      <c r="R43" s="111">
        <v>0</v>
      </c>
      <c r="S43" s="111">
        <v>0</v>
      </c>
      <c r="T43" s="111">
        <v>0</v>
      </c>
      <c r="U43" s="111">
        <v>0</v>
      </c>
      <c r="V43" s="111">
        <v>0</v>
      </c>
      <c r="W43" s="111">
        <v>0</v>
      </c>
      <c r="X43" s="111">
        <v>0</v>
      </c>
      <c r="Y43" s="111">
        <v>0</v>
      </c>
      <c r="Z43" s="111">
        <v>0</v>
      </c>
      <c r="AA43" s="111">
        <v>0</v>
      </c>
      <c r="AB43" s="111">
        <v>0</v>
      </c>
      <c r="AC43" s="111">
        <v>0</v>
      </c>
      <c r="AD43" s="111">
        <v>0</v>
      </c>
      <c r="AE43" s="111">
        <v>0</v>
      </c>
      <c r="AF43" s="111">
        <v>0</v>
      </c>
      <c r="AG43" s="111">
        <v>0</v>
      </c>
      <c r="AH43" s="111">
        <v>0</v>
      </c>
      <c r="AI43" s="111">
        <v>0</v>
      </c>
      <c r="AJ43" s="111">
        <v>0</v>
      </c>
      <c r="AK43" s="111">
        <v>0</v>
      </c>
      <c r="AL43" s="111">
        <v>0</v>
      </c>
      <c r="AM43" s="111">
        <v>0</v>
      </c>
      <c r="AN43" s="111">
        <v>0</v>
      </c>
      <c r="AO43" s="111">
        <v>0</v>
      </c>
      <c r="AP43" s="111">
        <v>0</v>
      </c>
      <c r="AQ43" s="111">
        <v>0</v>
      </c>
      <c r="AR43" s="111">
        <v>0</v>
      </c>
    </row>
    <row r="44" spans="1:44" x14ac:dyDescent="0.15">
      <c r="A44" s="191" t="s">
        <v>235</v>
      </c>
      <c r="B44" s="111">
        <v>0</v>
      </c>
      <c r="C44" s="111">
        <v>0</v>
      </c>
      <c r="D44" s="111">
        <v>0</v>
      </c>
      <c r="E44" s="111">
        <v>0</v>
      </c>
      <c r="F44" s="111">
        <v>0</v>
      </c>
      <c r="G44" s="111">
        <v>0</v>
      </c>
      <c r="H44" s="111">
        <v>0</v>
      </c>
      <c r="I44" s="111">
        <v>0</v>
      </c>
      <c r="J44" s="111">
        <v>0</v>
      </c>
      <c r="K44" s="111">
        <v>0</v>
      </c>
      <c r="L44" s="111">
        <v>0</v>
      </c>
      <c r="M44" s="111">
        <v>0</v>
      </c>
      <c r="N44" s="111">
        <v>0</v>
      </c>
      <c r="O44" s="111">
        <v>0</v>
      </c>
      <c r="P44" s="111">
        <v>0</v>
      </c>
      <c r="Q44" s="111">
        <v>0</v>
      </c>
      <c r="R44" s="111">
        <v>0</v>
      </c>
      <c r="S44" s="111">
        <v>0</v>
      </c>
      <c r="T44" s="111">
        <v>0</v>
      </c>
      <c r="U44" s="111">
        <v>0</v>
      </c>
      <c r="V44" s="111">
        <v>0</v>
      </c>
      <c r="W44" s="111">
        <v>0</v>
      </c>
      <c r="X44" s="111">
        <v>0</v>
      </c>
      <c r="Y44" s="111">
        <v>0</v>
      </c>
      <c r="Z44" s="111">
        <v>0</v>
      </c>
      <c r="AA44" s="111">
        <v>0</v>
      </c>
      <c r="AB44" s="111">
        <v>0</v>
      </c>
      <c r="AC44" s="111">
        <v>0</v>
      </c>
      <c r="AD44" s="111">
        <v>0</v>
      </c>
      <c r="AE44" s="111">
        <v>0</v>
      </c>
      <c r="AF44" s="111">
        <v>0</v>
      </c>
      <c r="AG44" s="111">
        <v>0</v>
      </c>
      <c r="AH44" s="111">
        <v>0</v>
      </c>
      <c r="AI44" s="111">
        <v>0</v>
      </c>
      <c r="AJ44" s="111">
        <v>0</v>
      </c>
      <c r="AK44" s="111">
        <v>0</v>
      </c>
      <c r="AL44" s="111">
        <v>0</v>
      </c>
      <c r="AM44" s="111">
        <v>0</v>
      </c>
      <c r="AN44" s="111">
        <v>0</v>
      </c>
      <c r="AO44" s="111">
        <v>0</v>
      </c>
      <c r="AP44" s="111">
        <v>0</v>
      </c>
      <c r="AQ44" s="111">
        <v>0</v>
      </c>
      <c r="AR44" s="111">
        <v>0</v>
      </c>
    </row>
    <row r="45" spans="1:44" x14ac:dyDescent="0.15">
      <c r="A45" s="191" t="s">
        <v>242</v>
      </c>
      <c r="B45" s="111">
        <v>0</v>
      </c>
      <c r="C45" s="111">
        <v>0</v>
      </c>
      <c r="D45" s="111">
        <v>0</v>
      </c>
      <c r="E45" s="111">
        <v>0</v>
      </c>
      <c r="F45" s="111">
        <v>0</v>
      </c>
      <c r="G45" s="111">
        <v>0</v>
      </c>
      <c r="H45" s="111">
        <v>0</v>
      </c>
      <c r="I45" s="111">
        <v>0</v>
      </c>
      <c r="J45" s="111">
        <v>0</v>
      </c>
      <c r="K45" s="111">
        <v>0</v>
      </c>
      <c r="L45" s="111">
        <v>0</v>
      </c>
      <c r="M45" s="111">
        <v>0</v>
      </c>
      <c r="N45" s="111">
        <v>0</v>
      </c>
      <c r="O45" s="111">
        <v>0</v>
      </c>
      <c r="P45" s="111">
        <v>0</v>
      </c>
      <c r="Q45" s="111">
        <v>0</v>
      </c>
      <c r="R45" s="111">
        <v>0</v>
      </c>
      <c r="S45" s="111">
        <v>0</v>
      </c>
      <c r="T45" s="111">
        <v>0</v>
      </c>
      <c r="U45" s="111">
        <v>0</v>
      </c>
      <c r="V45" s="111">
        <v>0</v>
      </c>
      <c r="W45" s="111">
        <v>0</v>
      </c>
      <c r="X45" s="111">
        <v>0</v>
      </c>
      <c r="Y45" s="111">
        <v>0</v>
      </c>
      <c r="Z45" s="111">
        <v>0</v>
      </c>
      <c r="AA45" s="111">
        <v>0</v>
      </c>
      <c r="AB45" s="111">
        <v>0</v>
      </c>
      <c r="AC45" s="111">
        <v>0</v>
      </c>
      <c r="AD45" s="111">
        <v>0</v>
      </c>
      <c r="AE45" s="111">
        <v>0</v>
      </c>
      <c r="AF45" s="111">
        <v>0</v>
      </c>
      <c r="AG45" s="111">
        <v>0</v>
      </c>
      <c r="AH45" s="111">
        <v>0</v>
      </c>
      <c r="AI45" s="111">
        <v>0</v>
      </c>
      <c r="AJ45" s="111">
        <v>0.8</v>
      </c>
      <c r="AK45" s="111">
        <v>0.8</v>
      </c>
      <c r="AL45" s="111">
        <v>0</v>
      </c>
      <c r="AM45" s="111">
        <v>0</v>
      </c>
      <c r="AN45" s="111">
        <v>0.8</v>
      </c>
      <c r="AO45" s="111">
        <v>0.8</v>
      </c>
      <c r="AP45" s="111">
        <v>0</v>
      </c>
      <c r="AQ45" s="111">
        <v>0</v>
      </c>
      <c r="AR45"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R45"/>
  <sheetViews>
    <sheetView workbookViewId="0">
      <selection activeCell="A3" sqref="A3"/>
    </sheetView>
  </sheetViews>
  <sheetFormatPr baseColWidth="10" defaultRowHeight="13" x14ac:dyDescent="0.15"/>
  <cols>
    <col min="1" max="1" width="35" style="111" bestFit="1" customWidth="1"/>
    <col min="2" max="44" width="2.33203125" style="111" customWidth="1"/>
    <col min="45" max="16384" width="10.83203125" style="111"/>
  </cols>
  <sheetData>
    <row r="1" spans="1:44" x14ac:dyDescent="0.15">
      <c r="A1" s="62" t="s">
        <v>139</v>
      </c>
      <c r="B1" s="194" t="s">
        <v>193</v>
      </c>
      <c r="C1" s="194" t="s">
        <v>194</v>
      </c>
      <c r="D1" s="194" t="s">
        <v>195</v>
      </c>
      <c r="E1" s="194" t="s">
        <v>196</v>
      </c>
      <c r="F1" s="194" t="s">
        <v>197</v>
      </c>
      <c r="G1" s="194" t="s">
        <v>198</v>
      </c>
      <c r="H1" s="194" t="s">
        <v>199</v>
      </c>
      <c r="I1" s="194" t="s">
        <v>200</v>
      </c>
      <c r="J1" s="194" t="s">
        <v>201</v>
      </c>
      <c r="K1" s="194" t="s">
        <v>202</v>
      </c>
      <c r="L1" s="194" t="s">
        <v>203</v>
      </c>
      <c r="M1" s="194" t="s">
        <v>204</v>
      </c>
      <c r="N1" s="194" t="s">
        <v>205</v>
      </c>
      <c r="O1" s="194" t="s">
        <v>206</v>
      </c>
      <c r="P1" s="194" t="s">
        <v>207</v>
      </c>
      <c r="Q1" s="194" t="s">
        <v>208</v>
      </c>
      <c r="R1" s="194" t="s">
        <v>209</v>
      </c>
      <c r="S1" s="194" t="s">
        <v>210</v>
      </c>
      <c r="T1" s="194" t="s">
        <v>211</v>
      </c>
      <c r="U1" s="194" t="s">
        <v>212</v>
      </c>
      <c r="V1" s="194" t="s">
        <v>213</v>
      </c>
      <c r="W1" s="194" t="s">
        <v>214</v>
      </c>
      <c r="X1" s="194" t="s">
        <v>215</v>
      </c>
      <c r="Y1" s="194" t="s">
        <v>216</v>
      </c>
      <c r="Z1" s="194" t="s">
        <v>217</v>
      </c>
      <c r="AA1" s="194" t="s">
        <v>218</v>
      </c>
      <c r="AB1" s="194" t="s">
        <v>219</v>
      </c>
      <c r="AC1" s="194" t="s">
        <v>220</v>
      </c>
      <c r="AD1" s="194" t="s">
        <v>221</v>
      </c>
      <c r="AE1" s="194" t="s">
        <v>222</v>
      </c>
      <c r="AF1" s="194" t="s">
        <v>223</v>
      </c>
      <c r="AG1" s="194" t="s">
        <v>224</v>
      </c>
      <c r="AH1" s="194" t="s">
        <v>225</v>
      </c>
      <c r="AI1" s="194" t="s">
        <v>226</v>
      </c>
      <c r="AJ1" s="194" t="s">
        <v>227</v>
      </c>
      <c r="AK1" s="194" t="s">
        <v>228</v>
      </c>
      <c r="AL1" s="194" t="s">
        <v>229</v>
      </c>
      <c r="AM1" s="194" t="s">
        <v>230</v>
      </c>
      <c r="AN1" s="194" t="s">
        <v>231</v>
      </c>
      <c r="AO1" s="194" t="s">
        <v>232</v>
      </c>
      <c r="AP1" s="194" t="s">
        <v>233</v>
      </c>
      <c r="AQ1" s="194" t="s">
        <v>234</v>
      </c>
      <c r="AR1" s="194" t="s">
        <v>235</v>
      </c>
    </row>
    <row r="2" spans="1:44" customFormat="1" x14ac:dyDescent="0.15">
      <c r="A2" s="193" t="s">
        <v>193</v>
      </c>
      <c r="B2" s="111">
        <v>0</v>
      </c>
      <c r="C2" s="111">
        <v>1</v>
      </c>
      <c r="D2" s="111">
        <v>1</v>
      </c>
      <c r="E2" s="111">
        <v>1</v>
      </c>
      <c r="F2" s="111">
        <v>1</v>
      </c>
      <c r="G2" s="111">
        <v>1</v>
      </c>
      <c r="H2" s="111">
        <v>1</v>
      </c>
      <c r="I2" s="111">
        <v>0</v>
      </c>
      <c r="J2" s="111">
        <v>1</v>
      </c>
      <c r="K2" s="111">
        <v>1</v>
      </c>
      <c r="L2" s="111">
        <v>1</v>
      </c>
      <c r="M2" s="111">
        <v>0</v>
      </c>
      <c r="N2" s="111">
        <v>0</v>
      </c>
      <c r="O2" s="111">
        <v>0</v>
      </c>
      <c r="P2" s="111">
        <v>0</v>
      </c>
      <c r="Q2" s="111">
        <v>0</v>
      </c>
      <c r="R2" s="111">
        <v>0</v>
      </c>
      <c r="S2" s="111">
        <v>0</v>
      </c>
      <c r="T2" s="111">
        <v>1</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c r="AQ2" s="111">
        <v>0</v>
      </c>
      <c r="AR2" s="111">
        <v>0</v>
      </c>
    </row>
    <row r="3" spans="1:44" customFormat="1" x14ac:dyDescent="0.15">
      <c r="A3" s="193" t="s">
        <v>194</v>
      </c>
      <c r="B3" s="111">
        <v>0</v>
      </c>
      <c r="C3" s="111">
        <v>0</v>
      </c>
      <c r="D3" s="111">
        <v>0</v>
      </c>
      <c r="E3" s="111">
        <v>0</v>
      </c>
      <c r="F3" s="111">
        <v>1</v>
      </c>
      <c r="G3" s="111">
        <v>1</v>
      </c>
      <c r="H3" s="111">
        <v>1</v>
      </c>
      <c r="I3" s="111">
        <v>0</v>
      </c>
      <c r="J3" s="111">
        <v>0</v>
      </c>
      <c r="K3" s="111">
        <v>0</v>
      </c>
      <c r="L3" s="111">
        <v>1</v>
      </c>
      <c r="M3" s="111">
        <v>0</v>
      </c>
      <c r="N3" s="111">
        <v>0</v>
      </c>
      <c r="O3" s="111">
        <v>0</v>
      </c>
      <c r="P3" s="111">
        <v>0</v>
      </c>
      <c r="Q3" s="111">
        <v>0</v>
      </c>
      <c r="R3" s="111">
        <v>0</v>
      </c>
      <c r="S3" s="111">
        <v>0</v>
      </c>
      <c r="T3" s="111">
        <v>0</v>
      </c>
      <c r="U3" s="111">
        <v>0</v>
      </c>
      <c r="V3" s="111">
        <v>0</v>
      </c>
      <c r="W3" s="111">
        <v>0</v>
      </c>
      <c r="X3" s="111">
        <v>0</v>
      </c>
      <c r="Y3" s="111">
        <v>0</v>
      </c>
      <c r="Z3" s="111">
        <v>0</v>
      </c>
      <c r="AA3" s="111">
        <v>0</v>
      </c>
      <c r="AB3" s="111">
        <v>0</v>
      </c>
      <c r="AC3" s="111">
        <v>0</v>
      </c>
      <c r="AD3" s="111">
        <v>0</v>
      </c>
      <c r="AE3" s="111">
        <v>0</v>
      </c>
      <c r="AF3" s="111">
        <v>0</v>
      </c>
      <c r="AG3" s="111">
        <v>0</v>
      </c>
      <c r="AH3" s="111">
        <v>0</v>
      </c>
      <c r="AI3" s="111">
        <v>0</v>
      </c>
      <c r="AJ3" s="111">
        <v>0</v>
      </c>
      <c r="AK3" s="111">
        <v>0</v>
      </c>
      <c r="AL3" s="111">
        <v>0</v>
      </c>
      <c r="AM3" s="111">
        <v>0</v>
      </c>
      <c r="AN3" s="111">
        <v>0</v>
      </c>
      <c r="AO3" s="111">
        <v>0</v>
      </c>
      <c r="AP3" s="111">
        <v>0</v>
      </c>
      <c r="AQ3" s="111">
        <v>0</v>
      </c>
      <c r="AR3" s="111">
        <v>0</v>
      </c>
    </row>
    <row r="4" spans="1:44" customFormat="1" x14ac:dyDescent="0.15">
      <c r="A4" s="193" t="s">
        <v>195</v>
      </c>
      <c r="B4" s="111">
        <v>0</v>
      </c>
      <c r="C4" s="111">
        <v>0</v>
      </c>
      <c r="D4" s="111">
        <v>1</v>
      </c>
      <c r="E4" s="111">
        <v>1</v>
      </c>
      <c r="F4" s="111">
        <v>1</v>
      </c>
      <c r="G4" s="111">
        <v>1</v>
      </c>
      <c r="H4" s="111">
        <v>1</v>
      </c>
      <c r="I4" s="111">
        <v>0</v>
      </c>
      <c r="J4" s="111">
        <v>0</v>
      </c>
      <c r="K4" s="111">
        <v>1</v>
      </c>
      <c r="L4" s="111">
        <v>1</v>
      </c>
      <c r="M4" s="111">
        <v>0</v>
      </c>
      <c r="N4" s="111">
        <v>0</v>
      </c>
      <c r="O4" s="111">
        <v>0</v>
      </c>
      <c r="P4" s="111">
        <v>0</v>
      </c>
      <c r="Q4" s="111">
        <v>1</v>
      </c>
      <c r="R4" s="111">
        <v>0</v>
      </c>
      <c r="S4" s="111">
        <v>0</v>
      </c>
      <c r="T4" s="111">
        <v>1</v>
      </c>
      <c r="U4" s="111">
        <v>0</v>
      </c>
      <c r="V4" s="111">
        <v>1</v>
      </c>
      <c r="W4" s="111">
        <v>1</v>
      </c>
      <c r="X4" s="111">
        <v>0</v>
      </c>
      <c r="Y4" s="111">
        <v>0</v>
      </c>
      <c r="Z4" s="111">
        <v>0</v>
      </c>
      <c r="AA4" s="111">
        <v>0</v>
      </c>
      <c r="AB4" s="111">
        <v>0</v>
      </c>
      <c r="AC4" s="111">
        <v>0</v>
      </c>
      <c r="AD4" s="111">
        <v>0</v>
      </c>
      <c r="AE4" s="111">
        <v>0</v>
      </c>
      <c r="AF4" s="111">
        <v>0</v>
      </c>
      <c r="AG4" s="111">
        <v>1</v>
      </c>
      <c r="AH4" s="111">
        <v>0</v>
      </c>
      <c r="AI4" s="111">
        <v>0</v>
      </c>
      <c r="AJ4" s="111">
        <v>0</v>
      </c>
      <c r="AK4" s="111">
        <v>0</v>
      </c>
      <c r="AL4" s="111">
        <v>0</v>
      </c>
      <c r="AM4" s="111">
        <v>0</v>
      </c>
      <c r="AN4" s="111">
        <v>0</v>
      </c>
      <c r="AO4" s="111">
        <v>0</v>
      </c>
      <c r="AP4" s="111">
        <v>0</v>
      </c>
      <c r="AQ4" s="111">
        <v>0</v>
      </c>
      <c r="AR4" s="111">
        <v>0</v>
      </c>
    </row>
    <row r="5" spans="1:44" customFormat="1" x14ac:dyDescent="0.15">
      <c r="A5" s="193" t="s">
        <v>196</v>
      </c>
      <c r="B5" s="111">
        <v>0</v>
      </c>
      <c r="C5" s="111">
        <v>0</v>
      </c>
      <c r="D5" s="111">
        <v>0</v>
      </c>
      <c r="E5" s="111">
        <v>1</v>
      </c>
      <c r="F5" s="111">
        <v>1</v>
      </c>
      <c r="G5" s="111">
        <v>1</v>
      </c>
      <c r="H5" s="111">
        <v>1</v>
      </c>
      <c r="I5" s="111">
        <v>0</v>
      </c>
      <c r="J5" s="111">
        <v>0</v>
      </c>
      <c r="K5" s="111">
        <v>1</v>
      </c>
      <c r="L5" s="111">
        <v>1</v>
      </c>
      <c r="M5" s="111">
        <v>1</v>
      </c>
      <c r="N5" s="111">
        <v>0</v>
      </c>
      <c r="O5" s="111">
        <v>1</v>
      </c>
      <c r="P5" s="111">
        <v>1</v>
      </c>
      <c r="Q5" s="111">
        <v>0</v>
      </c>
      <c r="R5" s="111">
        <v>0</v>
      </c>
      <c r="S5" s="111">
        <v>1</v>
      </c>
      <c r="T5" s="111">
        <v>1</v>
      </c>
      <c r="U5" s="111">
        <v>0</v>
      </c>
      <c r="V5" s="111">
        <v>1</v>
      </c>
      <c r="W5" s="111">
        <v>1</v>
      </c>
      <c r="X5" s="111">
        <v>0</v>
      </c>
      <c r="Y5" s="111">
        <v>0</v>
      </c>
      <c r="Z5" s="111">
        <v>1</v>
      </c>
      <c r="AA5" s="111">
        <v>0</v>
      </c>
      <c r="AB5" s="111">
        <v>1</v>
      </c>
      <c r="AC5" s="111">
        <v>1</v>
      </c>
      <c r="AD5" s="111">
        <v>0</v>
      </c>
      <c r="AE5" s="111">
        <v>0</v>
      </c>
      <c r="AF5" s="111">
        <v>0</v>
      </c>
      <c r="AG5" s="111">
        <v>1</v>
      </c>
      <c r="AH5" s="111">
        <v>0</v>
      </c>
      <c r="AI5" s="111">
        <v>0</v>
      </c>
      <c r="AJ5" s="111">
        <v>1</v>
      </c>
      <c r="AK5" s="111">
        <v>0</v>
      </c>
      <c r="AL5" s="111">
        <v>0</v>
      </c>
      <c r="AM5" s="111">
        <v>0</v>
      </c>
      <c r="AN5" s="111">
        <v>0</v>
      </c>
      <c r="AO5" s="111">
        <v>0</v>
      </c>
      <c r="AP5" s="111">
        <v>0</v>
      </c>
      <c r="AQ5" s="111">
        <v>0</v>
      </c>
      <c r="AR5" s="111">
        <v>0</v>
      </c>
    </row>
    <row r="6" spans="1:44" customFormat="1" x14ac:dyDescent="0.15">
      <c r="A6" s="193" t="s">
        <v>197</v>
      </c>
      <c r="B6" s="111">
        <v>0</v>
      </c>
      <c r="C6" s="111">
        <v>0</v>
      </c>
      <c r="D6" s="111">
        <v>0</v>
      </c>
      <c r="E6" s="111">
        <v>0</v>
      </c>
      <c r="F6" s="111">
        <v>0</v>
      </c>
      <c r="G6" s="111">
        <v>0</v>
      </c>
      <c r="H6" s="111">
        <v>1</v>
      </c>
      <c r="I6" s="111">
        <v>0</v>
      </c>
      <c r="J6" s="111">
        <v>0</v>
      </c>
      <c r="K6" s="111">
        <v>0</v>
      </c>
      <c r="L6" s="111">
        <v>1</v>
      </c>
      <c r="M6" s="111">
        <v>1</v>
      </c>
      <c r="N6" s="111">
        <v>0</v>
      </c>
      <c r="O6" s="111">
        <v>0</v>
      </c>
      <c r="P6" s="111">
        <v>1</v>
      </c>
      <c r="Q6" s="111">
        <v>0</v>
      </c>
      <c r="R6" s="111">
        <v>1</v>
      </c>
      <c r="S6" s="111">
        <v>1</v>
      </c>
      <c r="T6" s="111">
        <v>0</v>
      </c>
      <c r="U6" s="111">
        <v>0</v>
      </c>
      <c r="V6" s="111">
        <v>0</v>
      </c>
      <c r="W6" s="111">
        <v>0</v>
      </c>
      <c r="X6" s="111">
        <v>0</v>
      </c>
      <c r="Y6" s="111">
        <v>0</v>
      </c>
      <c r="Z6" s="111">
        <v>0</v>
      </c>
      <c r="AA6" s="111">
        <v>0</v>
      </c>
      <c r="AB6" s="111">
        <v>0</v>
      </c>
      <c r="AC6" s="111">
        <v>0</v>
      </c>
      <c r="AD6" s="111">
        <v>0</v>
      </c>
      <c r="AE6" s="111">
        <v>0</v>
      </c>
      <c r="AF6" s="111">
        <v>0</v>
      </c>
      <c r="AG6" s="111">
        <v>0</v>
      </c>
      <c r="AH6" s="111">
        <v>1</v>
      </c>
      <c r="AI6" s="111">
        <v>1</v>
      </c>
      <c r="AJ6" s="111">
        <v>0</v>
      </c>
      <c r="AK6" s="111">
        <v>0</v>
      </c>
      <c r="AL6" s="111">
        <v>0</v>
      </c>
      <c r="AM6" s="111">
        <v>0</v>
      </c>
      <c r="AN6" s="111">
        <v>0</v>
      </c>
      <c r="AO6" s="111">
        <v>0</v>
      </c>
      <c r="AP6" s="111">
        <v>0</v>
      </c>
      <c r="AQ6" s="111">
        <v>0</v>
      </c>
      <c r="AR6" s="111">
        <v>0</v>
      </c>
    </row>
    <row r="7" spans="1:44" customFormat="1" x14ac:dyDescent="0.15">
      <c r="A7" s="193" t="s">
        <v>198</v>
      </c>
      <c r="B7" s="111">
        <v>0</v>
      </c>
      <c r="C7" s="111">
        <v>0</v>
      </c>
      <c r="D7" s="111">
        <v>0</v>
      </c>
      <c r="E7" s="111">
        <v>0</v>
      </c>
      <c r="F7" s="111">
        <v>0</v>
      </c>
      <c r="G7" s="111">
        <v>1</v>
      </c>
      <c r="H7" s="111">
        <v>0</v>
      </c>
      <c r="I7" s="111">
        <v>0</v>
      </c>
      <c r="J7" s="111">
        <v>0</v>
      </c>
      <c r="K7" s="111">
        <v>0</v>
      </c>
      <c r="L7" s="111">
        <v>0</v>
      </c>
      <c r="M7" s="111">
        <v>1</v>
      </c>
      <c r="N7" s="111">
        <v>0</v>
      </c>
      <c r="O7" s="111">
        <v>1</v>
      </c>
      <c r="P7" s="111">
        <v>1</v>
      </c>
      <c r="Q7" s="111">
        <v>0</v>
      </c>
      <c r="R7" s="111">
        <v>1</v>
      </c>
      <c r="S7" s="111">
        <v>1</v>
      </c>
      <c r="T7" s="111">
        <v>1</v>
      </c>
      <c r="U7" s="111">
        <v>1</v>
      </c>
      <c r="V7" s="111">
        <v>0</v>
      </c>
      <c r="W7" s="111">
        <v>0</v>
      </c>
      <c r="X7" s="111">
        <v>1</v>
      </c>
      <c r="Y7" s="111">
        <v>1</v>
      </c>
      <c r="Z7" s="111">
        <v>1</v>
      </c>
      <c r="AA7" s="111">
        <v>1</v>
      </c>
      <c r="AB7" s="111">
        <v>0</v>
      </c>
      <c r="AC7" s="111">
        <v>0</v>
      </c>
      <c r="AD7" s="111">
        <v>1</v>
      </c>
      <c r="AE7" s="111">
        <v>1</v>
      </c>
      <c r="AF7" s="111">
        <v>1</v>
      </c>
      <c r="AG7" s="111">
        <v>0</v>
      </c>
      <c r="AH7" s="111">
        <v>1</v>
      </c>
      <c r="AI7" s="111">
        <v>0</v>
      </c>
      <c r="AJ7" s="111">
        <v>0</v>
      </c>
      <c r="AK7" s="111">
        <v>0</v>
      </c>
      <c r="AL7" s="111">
        <v>1</v>
      </c>
      <c r="AM7" s="111">
        <v>0</v>
      </c>
      <c r="AN7" s="111">
        <v>0</v>
      </c>
      <c r="AO7" s="111">
        <v>0</v>
      </c>
      <c r="AP7" s="111">
        <v>0</v>
      </c>
      <c r="AQ7" s="111">
        <v>0</v>
      </c>
      <c r="AR7" s="111">
        <v>0</v>
      </c>
    </row>
    <row r="8" spans="1:44" customFormat="1" x14ac:dyDescent="0.15">
      <c r="A8" s="193" t="s">
        <v>199</v>
      </c>
      <c r="B8" s="111">
        <v>0</v>
      </c>
      <c r="C8" s="111">
        <v>0</v>
      </c>
      <c r="D8" s="111">
        <v>0</v>
      </c>
      <c r="E8" s="111">
        <v>0</v>
      </c>
      <c r="F8" s="111">
        <v>0</v>
      </c>
      <c r="G8" s="111">
        <v>0</v>
      </c>
      <c r="H8" s="111">
        <v>0</v>
      </c>
      <c r="I8" s="111">
        <v>0</v>
      </c>
      <c r="J8" s="111">
        <v>0</v>
      </c>
      <c r="K8" s="111">
        <v>0</v>
      </c>
      <c r="L8" s="111">
        <v>0</v>
      </c>
      <c r="M8" s="111">
        <v>1</v>
      </c>
      <c r="N8" s="111">
        <v>1</v>
      </c>
      <c r="O8" s="111">
        <v>1</v>
      </c>
      <c r="P8" s="111">
        <v>1</v>
      </c>
      <c r="Q8" s="111">
        <v>1</v>
      </c>
      <c r="R8" s="111">
        <v>1</v>
      </c>
      <c r="S8" s="111">
        <v>1</v>
      </c>
      <c r="T8" s="111">
        <v>0</v>
      </c>
      <c r="U8" s="111">
        <v>1</v>
      </c>
      <c r="V8" s="111">
        <v>0</v>
      </c>
      <c r="W8" s="111">
        <v>0</v>
      </c>
      <c r="X8" s="111">
        <v>1</v>
      </c>
      <c r="Y8" s="111">
        <v>1</v>
      </c>
      <c r="Z8" s="111">
        <v>1</v>
      </c>
      <c r="AA8" s="111">
        <v>1</v>
      </c>
      <c r="AB8" s="111">
        <v>1</v>
      </c>
      <c r="AC8" s="111">
        <v>1</v>
      </c>
      <c r="AD8" s="111">
        <v>1</v>
      </c>
      <c r="AE8" s="111">
        <v>1</v>
      </c>
      <c r="AF8" s="111">
        <v>1</v>
      </c>
      <c r="AG8" s="111">
        <v>1</v>
      </c>
      <c r="AH8" s="111">
        <v>1</v>
      </c>
      <c r="AI8" s="111">
        <v>1</v>
      </c>
      <c r="AJ8" s="111">
        <v>0</v>
      </c>
      <c r="AK8" s="111">
        <v>0</v>
      </c>
      <c r="AL8" s="111">
        <v>1</v>
      </c>
      <c r="AM8" s="111">
        <v>0</v>
      </c>
      <c r="AN8" s="111">
        <v>0</v>
      </c>
      <c r="AO8" s="111">
        <v>0</v>
      </c>
      <c r="AP8" s="111">
        <v>0</v>
      </c>
      <c r="AQ8" s="111">
        <v>0</v>
      </c>
      <c r="AR8" s="111">
        <v>0</v>
      </c>
    </row>
    <row r="9" spans="1:44" customFormat="1" x14ac:dyDescent="0.15">
      <c r="A9" s="193" t="s">
        <v>200</v>
      </c>
      <c r="B9" s="111">
        <v>0</v>
      </c>
      <c r="C9" s="111">
        <v>0</v>
      </c>
      <c r="D9" s="111">
        <v>0</v>
      </c>
      <c r="E9" s="111">
        <v>0</v>
      </c>
      <c r="F9" s="111">
        <v>0</v>
      </c>
      <c r="G9" s="111">
        <v>0</v>
      </c>
      <c r="H9" s="111">
        <v>0</v>
      </c>
      <c r="I9" s="111">
        <v>0</v>
      </c>
      <c r="J9" s="111">
        <v>0</v>
      </c>
      <c r="K9" s="111">
        <v>0</v>
      </c>
      <c r="L9" s="111">
        <v>0</v>
      </c>
      <c r="M9" s="111">
        <v>1</v>
      </c>
      <c r="N9" s="111">
        <v>1</v>
      </c>
      <c r="O9" s="111">
        <v>1</v>
      </c>
      <c r="P9" s="111">
        <v>1</v>
      </c>
      <c r="Q9" s="111">
        <v>1</v>
      </c>
      <c r="R9" s="111">
        <v>1</v>
      </c>
      <c r="S9" s="111">
        <v>1</v>
      </c>
      <c r="T9" s="111">
        <v>0</v>
      </c>
      <c r="U9" s="111">
        <v>1</v>
      </c>
      <c r="V9" s="111">
        <v>0</v>
      </c>
      <c r="W9" s="111">
        <v>0</v>
      </c>
      <c r="X9" s="111">
        <v>1</v>
      </c>
      <c r="Y9" s="111">
        <v>1</v>
      </c>
      <c r="Z9" s="111">
        <v>1</v>
      </c>
      <c r="AA9" s="111">
        <v>1</v>
      </c>
      <c r="AB9" s="111">
        <v>1</v>
      </c>
      <c r="AC9" s="111">
        <v>1</v>
      </c>
      <c r="AD9" s="111">
        <v>1</v>
      </c>
      <c r="AE9" s="111">
        <v>1</v>
      </c>
      <c r="AF9" s="111">
        <v>1</v>
      </c>
      <c r="AG9" s="111">
        <v>1</v>
      </c>
      <c r="AH9" s="111">
        <v>1</v>
      </c>
      <c r="AI9" s="111">
        <v>1</v>
      </c>
      <c r="AJ9" s="111">
        <v>0</v>
      </c>
      <c r="AK9" s="111">
        <v>0</v>
      </c>
      <c r="AL9" s="111">
        <v>1</v>
      </c>
      <c r="AM9" s="111">
        <v>0</v>
      </c>
      <c r="AN9" s="111">
        <v>0</v>
      </c>
      <c r="AO9" s="111">
        <v>0</v>
      </c>
      <c r="AP9" s="111">
        <v>0</v>
      </c>
      <c r="AQ9" s="111">
        <v>0</v>
      </c>
      <c r="AR9" s="111">
        <v>0</v>
      </c>
    </row>
    <row r="10" spans="1:44" customFormat="1" x14ac:dyDescent="0.15">
      <c r="A10" s="193" t="s">
        <v>201</v>
      </c>
      <c r="B10" s="111">
        <v>0</v>
      </c>
      <c r="C10" s="111">
        <v>0</v>
      </c>
      <c r="D10" s="111">
        <v>0</v>
      </c>
      <c r="E10" s="111">
        <v>0</v>
      </c>
      <c r="F10" s="111">
        <v>0</v>
      </c>
      <c r="G10" s="111">
        <v>0</v>
      </c>
      <c r="H10" s="111">
        <v>0</v>
      </c>
      <c r="I10" s="111">
        <v>0</v>
      </c>
      <c r="J10" s="111">
        <v>0</v>
      </c>
      <c r="K10" s="111">
        <v>0</v>
      </c>
      <c r="L10" s="111">
        <v>0</v>
      </c>
      <c r="M10" s="111">
        <v>0</v>
      </c>
      <c r="N10" s="111">
        <v>0</v>
      </c>
      <c r="O10" s="111">
        <v>0</v>
      </c>
      <c r="P10" s="111">
        <v>1</v>
      </c>
      <c r="Q10" s="111">
        <v>1</v>
      </c>
      <c r="R10" s="111">
        <v>1</v>
      </c>
      <c r="S10" s="111">
        <v>0</v>
      </c>
      <c r="T10" s="111">
        <v>0</v>
      </c>
      <c r="U10" s="111">
        <v>0</v>
      </c>
      <c r="V10" s="111">
        <v>0</v>
      </c>
      <c r="W10" s="111">
        <v>0</v>
      </c>
      <c r="X10" s="111">
        <v>0</v>
      </c>
      <c r="Y10" s="111">
        <v>0</v>
      </c>
      <c r="Z10" s="111">
        <v>0</v>
      </c>
      <c r="AA10" s="111">
        <v>0</v>
      </c>
      <c r="AB10" s="111">
        <v>0</v>
      </c>
      <c r="AC10" s="111">
        <v>0</v>
      </c>
      <c r="AD10" s="111">
        <v>0</v>
      </c>
      <c r="AE10" s="111">
        <v>0</v>
      </c>
      <c r="AF10" s="111">
        <v>0</v>
      </c>
      <c r="AG10" s="111">
        <v>0</v>
      </c>
      <c r="AH10" s="111">
        <v>1</v>
      </c>
      <c r="AI10" s="111">
        <v>0</v>
      </c>
      <c r="AJ10" s="111">
        <v>0</v>
      </c>
      <c r="AK10" s="111">
        <v>0</v>
      </c>
      <c r="AL10" s="111">
        <v>0</v>
      </c>
      <c r="AM10" s="111">
        <v>0</v>
      </c>
      <c r="AN10" s="111">
        <v>0</v>
      </c>
      <c r="AO10" s="111">
        <v>0</v>
      </c>
      <c r="AP10" s="111">
        <v>0</v>
      </c>
      <c r="AQ10" s="111">
        <v>0</v>
      </c>
      <c r="AR10" s="111">
        <v>0</v>
      </c>
    </row>
    <row r="11" spans="1:44" customFormat="1" x14ac:dyDescent="0.15">
      <c r="A11" s="193" t="s">
        <v>202</v>
      </c>
      <c r="B11" s="111">
        <v>0</v>
      </c>
      <c r="C11" s="111">
        <v>0</v>
      </c>
      <c r="D11" s="111">
        <v>0</v>
      </c>
      <c r="E11" s="111">
        <v>0</v>
      </c>
      <c r="F11" s="111">
        <v>0</v>
      </c>
      <c r="G11" s="111">
        <v>0</v>
      </c>
      <c r="H11" s="111">
        <v>0</v>
      </c>
      <c r="I11" s="111">
        <v>0</v>
      </c>
      <c r="J11" s="111">
        <v>0</v>
      </c>
      <c r="K11" s="111">
        <v>0</v>
      </c>
      <c r="L11" s="111">
        <v>0</v>
      </c>
      <c r="M11" s="111">
        <v>1</v>
      </c>
      <c r="N11" s="111">
        <v>1</v>
      </c>
      <c r="O11" s="111">
        <v>1</v>
      </c>
      <c r="P11" s="111">
        <v>1</v>
      </c>
      <c r="Q11" s="111">
        <v>0</v>
      </c>
      <c r="R11" s="111">
        <v>1</v>
      </c>
      <c r="S11" s="111">
        <v>0</v>
      </c>
      <c r="T11" s="111">
        <v>0</v>
      </c>
      <c r="U11" s="111">
        <v>1</v>
      </c>
      <c r="V11" s="111">
        <v>0</v>
      </c>
      <c r="W11" s="111">
        <v>0</v>
      </c>
      <c r="X11" s="111">
        <v>0</v>
      </c>
      <c r="Y11" s="111">
        <v>0</v>
      </c>
      <c r="Z11" s="111">
        <v>0</v>
      </c>
      <c r="AA11" s="111">
        <v>0</v>
      </c>
      <c r="AB11" s="111">
        <v>0</v>
      </c>
      <c r="AC11" s="111">
        <v>0</v>
      </c>
      <c r="AD11" s="111">
        <v>1</v>
      </c>
      <c r="AE11" s="111">
        <v>0</v>
      </c>
      <c r="AF11" s="111">
        <v>0</v>
      </c>
      <c r="AG11" s="111">
        <v>0</v>
      </c>
      <c r="AH11" s="111">
        <v>1</v>
      </c>
      <c r="AI11" s="111">
        <v>0</v>
      </c>
      <c r="AJ11" s="111">
        <v>0</v>
      </c>
      <c r="AK11" s="111">
        <v>0</v>
      </c>
      <c r="AL11" s="111">
        <v>0</v>
      </c>
      <c r="AM11" s="111">
        <v>0</v>
      </c>
      <c r="AN11" s="111">
        <v>0</v>
      </c>
      <c r="AO11" s="111">
        <v>0</v>
      </c>
      <c r="AP11" s="111">
        <v>0</v>
      </c>
      <c r="AQ11" s="111">
        <v>0</v>
      </c>
      <c r="AR11" s="111">
        <v>0</v>
      </c>
    </row>
    <row r="12" spans="1:44" customFormat="1" x14ac:dyDescent="0.15">
      <c r="A12" s="193" t="s">
        <v>203</v>
      </c>
      <c r="B12" s="111">
        <v>0</v>
      </c>
      <c r="C12" s="111">
        <v>0</v>
      </c>
      <c r="D12" s="111">
        <v>0</v>
      </c>
      <c r="E12" s="111">
        <v>0</v>
      </c>
      <c r="F12" s="111">
        <v>0</v>
      </c>
      <c r="G12" s="111">
        <v>0</v>
      </c>
      <c r="H12" s="111">
        <v>0</v>
      </c>
      <c r="I12" s="111">
        <v>0</v>
      </c>
      <c r="J12" s="111">
        <v>0</v>
      </c>
      <c r="K12" s="111">
        <v>0</v>
      </c>
      <c r="L12" s="111">
        <v>0</v>
      </c>
      <c r="M12" s="111">
        <v>1</v>
      </c>
      <c r="N12" s="111">
        <v>1</v>
      </c>
      <c r="O12" s="111">
        <v>1</v>
      </c>
      <c r="P12" s="111">
        <v>1</v>
      </c>
      <c r="Q12" s="111">
        <v>0</v>
      </c>
      <c r="R12" s="111">
        <v>1</v>
      </c>
      <c r="S12" s="111">
        <v>1</v>
      </c>
      <c r="T12" s="111">
        <v>0</v>
      </c>
      <c r="U12" s="111">
        <v>0</v>
      </c>
      <c r="V12" s="111">
        <v>0</v>
      </c>
      <c r="W12" s="111">
        <v>0</v>
      </c>
      <c r="X12" s="111">
        <v>0</v>
      </c>
      <c r="Y12" s="111">
        <v>1</v>
      </c>
      <c r="Z12" s="111">
        <v>0</v>
      </c>
      <c r="AA12" s="111">
        <v>1</v>
      </c>
      <c r="AB12" s="111">
        <v>1</v>
      </c>
      <c r="AC12" s="111">
        <v>1</v>
      </c>
      <c r="AD12" s="111">
        <v>1</v>
      </c>
      <c r="AE12" s="111">
        <v>1</v>
      </c>
      <c r="AF12" s="111">
        <v>1</v>
      </c>
      <c r="AG12" s="111">
        <v>0</v>
      </c>
      <c r="AH12" s="111">
        <v>1</v>
      </c>
      <c r="AI12" s="111">
        <v>0</v>
      </c>
      <c r="AJ12" s="111">
        <v>0</v>
      </c>
      <c r="AK12" s="111">
        <v>0</v>
      </c>
      <c r="AL12" s="111">
        <v>1</v>
      </c>
      <c r="AM12" s="111">
        <v>0</v>
      </c>
      <c r="AN12" s="111">
        <v>0</v>
      </c>
      <c r="AO12" s="111">
        <v>0</v>
      </c>
      <c r="AP12" s="111">
        <v>0</v>
      </c>
      <c r="AQ12" s="111">
        <v>0</v>
      </c>
      <c r="AR12" s="111">
        <v>0</v>
      </c>
    </row>
    <row r="13" spans="1:44" customFormat="1" x14ac:dyDescent="0.15">
      <c r="A13" s="193" t="s">
        <v>204</v>
      </c>
      <c r="B13" s="111">
        <v>0</v>
      </c>
      <c r="C13" s="111">
        <v>0</v>
      </c>
      <c r="D13" s="111">
        <v>0</v>
      </c>
      <c r="E13" s="111">
        <v>0</v>
      </c>
      <c r="F13" s="111">
        <v>0</v>
      </c>
      <c r="G13" s="111">
        <v>0</v>
      </c>
      <c r="H13" s="111">
        <v>0</v>
      </c>
      <c r="I13" s="111">
        <v>0</v>
      </c>
      <c r="J13" s="111">
        <v>0</v>
      </c>
      <c r="K13" s="111">
        <v>0</v>
      </c>
      <c r="L13" s="111">
        <v>0</v>
      </c>
      <c r="M13" s="111">
        <v>1</v>
      </c>
      <c r="N13" s="111">
        <v>1</v>
      </c>
      <c r="O13" s="111">
        <v>1</v>
      </c>
      <c r="P13" s="111">
        <v>1</v>
      </c>
      <c r="Q13" s="111">
        <v>1</v>
      </c>
      <c r="R13" s="111">
        <v>0</v>
      </c>
      <c r="S13" s="111">
        <v>1</v>
      </c>
      <c r="T13" s="111">
        <v>0</v>
      </c>
      <c r="U13" s="111">
        <v>1</v>
      </c>
      <c r="V13" s="111">
        <v>0</v>
      </c>
      <c r="W13" s="111">
        <v>0</v>
      </c>
      <c r="X13" s="111">
        <v>1</v>
      </c>
      <c r="Y13" s="111">
        <v>1</v>
      </c>
      <c r="Z13" s="111">
        <v>1</v>
      </c>
      <c r="AA13" s="111">
        <v>1</v>
      </c>
      <c r="AB13" s="111">
        <v>1</v>
      </c>
      <c r="AC13" s="111">
        <v>1</v>
      </c>
      <c r="AD13" s="111">
        <v>1</v>
      </c>
      <c r="AE13" s="111">
        <v>1</v>
      </c>
      <c r="AF13" s="111">
        <v>1</v>
      </c>
      <c r="AG13" s="111">
        <v>1</v>
      </c>
      <c r="AH13" s="111">
        <v>1</v>
      </c>
      <c r="AI13" s="111">
        <v>1</v>
      </c>
      <c r="AJ13" s="111">
        <v>0</v>
      </c>
      <c r="AK13" s="111">
        <v>1</v>
      </c>
      <c r="AL13" s="111">
        <v>1</v>
      </c>
      <c r="AM13" s="111">
        <v>0</v>
      </c>
      <c r="AN13" s="111">
        <v>0</v>
      </c>
      <c r="AO13" s="111">
        <v>0</v>
      </c>
      <c r="AP13" s="111">
        <v>0</v>
      </c>
      <c r="AQ13" s="111">
        <v>0</v>
      </c>
      <c r="AR13" s="111">
        <v>0</v>
      </c>
    </row>
    <row r="14" spans="1:44" customFormat="1" x14ac:dyDescent="0.15">
      <c r="A14" s="193" t="s">
        <v>205</v>
      </c>
      <c r="B14" s="111">
        <v>0</v>
      </c>
      <c r="C14" s="111">
        <v>0</v>
      </c>
      <c r="D14" s="111">
        <v>0</v>
      </c>
      <c r="E14" s="111">
        <v>0</v>
      </c>
      <c r="F14" s="111">
        <v>0</v>
      </c>
      <c r="G14" s="111">
        <v>0</v>
      </c>
      <c r="H14" s="111">
        <v>0</v>
      </c>
      <c r="I14" s="111">
        <v>0</v>
      </c>
      <c r="J14" s="111">
        <v>0</v>
      </c>
      <c r="K14" s="111">
        <v>0</v>
      </c>
      <c r="L14" s="111">
        <v>0</v>
      </c>
      <c r="M14" s="111">
        <v>0</v>
      </c>
      <c r="N14" s="111">
        <v>0</v>
      </c>
      <c r="O14" s="111">
        <v>0</v>
      </c>
      <c r="P14" s="111">
        <v>0</v>
      </c>
      <c r="Q14" s="111">
        <v>0</v>
      </c>
      <c r="R14" s="111">
        <v>0</v>
      </c>
      <c r="S14" s="111">
        <v>0</v>
      </c>
      <c r="T14" s="111">
        <v>0</v>
      </c>
      <c r="U14" s="111">
        <v>1</v>
      </c>
      <c r="V14" s="111">
        <v>0</v>
      </c>
      <c r="W14" s="111">
        <v>0</v>
      </c>
      <c r="X14" s="111">
        <v>0</v>
      </c>
      <c r="Y14" s="111">
        <v>0</v>
      </c>
      <c r="Z14" s="111">
        <v>0</v>
      </c>
      <c r="AA14" s="111">
        <v>0</v>
      </c>
      <c r="AB14" s="111">
        <v>0</v>
      </c>
      <c r="AC14" s="111">
        <v>0</v>
      </c>
      <c r="AD14" s="111">
        <v>1</v>
      </c>
      <c r="AE14" s="111">
        <v>0</v>
      </c>
      <c r="AF14" s="111">
        <v>0</v>
      </c>
      <c r="AG14" s="111">
        <v>0</v>
      </c>
      <c r="AH14" s="111">
        <v>0</v>
      </c>
      <c r="AI14" s="111">
        <v>1</v>
      </c>
      <c r="AJ14" s="111">
        <v>0</v>
      </c>
      <c r="AK14" s="111">
        <v>0</v>
      </c>
      <c r="AL14" s="111">
        <v>0</v>
      </c>
      <c r="AM14" s="111">
        <v>1</v>
      </c>
      <c r="AN14" s="111">
        <v>0</v>
      </c>
      <c r="AO14" s="111">
        <v>0</v>
      </c>
      <c r="AP14" s="111">
        <v>0</v>
      </c>
      <c r="AQ14" s="111">
        <v>0</v>
      </c>
      <c r="AR14" s="111">
        <v>0</v>
      </c>
    </row>
    <row r="15" spans="1:44" customFormat="1" x14ac:dyDescent="0.15">
      <c r="A15" s="193" t="s">
        <v>206</v>
      </c>
      <c r="B15" s="111">
        <v>0</v>
      </c>
      <c r="C15" s="111">
        <v>0</v>
      </c>
      <c r="D15" s="111">
        <v>0</v>
      </c>
      <c r="E15" s="111">
        <v>0</v>
      </c>
      <c r="F15" s="111">
        <v>0</v>
      </c>
      <c r="G15" s="111">
        <v>0</v>
      </c>
      <c r="H15" s="111">
        <v>0</v>
      </c>
      <c r="I15" s="111">
        <v>0</v>
      </c>
      <c r="J15" s="111">
        <v>0</v>
      </c>
      <c r="K15" s="111">
        <v>0</v>
      </c>
      <c r="L15" s="111">
        <v>0</v>
      </c>
      <c r="M15" s="111">
        <v>0</v>
      </c>
      <c r="N15" s="111">
        <v>0</v>
      </c>
      <c r="O15" s="111">
        <v>0</v>
      </c>
      <c r="P15" s="111">
        <v>0</v>
      </c>
      <c r="Q15" s="111">
        <v>0</v>
      </c>
      <c r="R15" s="111">
        <v>0</v>
      </c>
      <c r="S15" s="111">
        <v>0</v>
      </c>
      <c r="T15" s="111">
        <v>0</v>
      </c>
      <c r="U15" s="111">
        <v>1</v>
      </c>
      <c r="V15" s="111">
        <v>0</v>
      </c>
      <c r="W15" s="111">
        <v>0</v>
      </c>
      <c r="X15" s="111">
        <v>0</v>
      </c>
      <c r="Y15" s="111">
        <v>0</v>
      </c>
      <c r="Z15" s="111">
        <v>0</v>
      </c>
      <c r="AA15" s="111">
        <v>0</v>
      </c>
      <c r="AB15" s="111">
        <v>0</v>
      </c>
      <c r="AC15" s="111">
        <v>0</v>
      </c>
      <c r="AD15" s="111">
        <v>1</v>
      </c>
      <c r="AE15" s="111">
        <v>0</v>
      </c>
      <c r="AF15" s="111">
        <v>0</v>
      </c>
      <c r="AG15" s="111">
        <v>0</v>
      </c>
      <c r="AH15" s="111">
        <v>0</v>
      </c>
      <c r="AI15" s="111">
        <v>1</v>
      </c>
      <c r="AJ15" s="111">
        <v>0</v>
      </c>
      <c r="AK15" s="111">
        <v>0</v>
      </c>
      <c r="AL15" s="111">
        <v>0</v>
      </c>
      <c r="AM15" s="111">
        <v>1</v>
      </c>
      <c r="AN15" s="111">
        <v>0</v>
      </c>
      <c r="AO15" s="111">
        <v>0</v>
      </c>
      <c r="AP15" s="111">
        <v>0</v>
      </c>
      <c r="AQ15" s="111">
        <v>0</v>
      </c>
      <c r="AR15" s="111">
        <v>0</v>
      </c>
    </row>
    <row r="16" spans="1:44" customFormat="1" x14ac:dyDescent="0.15">
      <c r="A16" s="193" t="s">
        <v>207</v>
      </c>
      <c r="B16" s="111">
        <v>0</v>
      </c>
      <c r="C16" s="111">
        <v>0</v>
      </c>
      <c r="D16" s="111">
        <v>0</v>
      </c>
      <c r="E16" s="111">
        <v>0</v>
      </c>
      <c r="F16" s="111">
        <v>0</v>
      </c>
      <c r="G16" s="111">
        <v>0</v>
      </c>
      <c r="H16" s="111">
        <v>0</v>
      </c>
      <c r="I16" s="111">
        <v>0</v>
      </c>
      <c r="J16" s="111">
        <v>0</v>
      </c>
      <c r="K16" s="111">
        <v>0</v>
      </c>
      <c r="L16" s="111">
        <v>0</v>
      </c>
      <c r="M16" s="111">
        <v>0</v>
      </c>
      <c r="N16" s="111">
        <v>0</v>
      </c>
      <c r="O16" s="111">
        <v>0</v>
      </c>
      <c r="P16" s="111">
        <v>0</v>
      </c>
      <c r="Q16" s="111">
        <v>0</v>
      </c>
      <c r="R16" s="111">
        <v>0</v>
      </c>
      <c r="S16" s="111">
        <v>0</v>
      </c>
      <c r="T16" s="111">
        <v>0</v>
      </c>
      <c r="U16" s="111">
        <v>1</v>
      </c>
      <c r="V16" s="111">
        <v>0</v>
      </c>
      <c r="W16" s="111">
        <v>0</v>
      </c>
      <c r="X16" s="111">
        <v>0</v>
      </c>
      <c r="Y16" s="111">
        <v>0</v>
      </c>
      <c r="Z16" s="111">
        <v>0</v>
      </c>
      <c r="AA16" s="111">
        <v>0</v>
      </c>
      <c r="AB16" s="111">
        <v>0</v>
      </c>
      <c r="AC16" s="111">
        <v>0</v>
      </c>
      <c r="AD16" s="111">
        <v>1</v>
      </c>
      <c r="AE16" s="111">
        <v>0</v>
      </c>
      <c r="AF16" s="111">
        <v>0</v>
      </c>
      <c r="AG16" s="111">
        <v>0</v>
      </c>
      <c r="AH16" s="111">
        <v>0</v>
      </c>
      <c r="AI16" s="111">
        <v>1</v>
      </c>
      <c r="AJ16" s="111">
        <v>0</v>
      </c>
      <c r="AK16" s="111">
        <v>0</v>
      </c>
      <c r="AL16" s="111">
        <v>0</v>
      </c>
      <c r="AM16" s="111">
        <v>1</v>
      </c>
      <c r="AN16" s="111">
        <v>0</v>
      </c>
      <c r="AO16" s="111">
        <v>0</v>
      </c>
      <c r="AP16" s="111">
        <v>0</v>
      </c>
      <c r="AQ16" s="111">
        <v>0</v>
      </c>
      <c r="AR16" s="111">
        <v>0</v>
      </c>
    </row>
    <row r="17" spans="1:44" customFormat="1" x14ac:dyDescent="0.15">
      <c r="A17" s="193" t="s">
        <v>208</v>
      </c>
      <c r="B17" s="111">
        <v>0</v>
      </c>
      <c r="C17" s="111">
        <v>0</v>
      </c>
      <c r="D17" s="111">
        <v>0</v>
      </c>
      <c r="E17" s="111">
        <v>0</v>
      </c>
      <c r="F17" s="111">
        <v>0</v>
      </c>
      <c r="G17" s="111">
        <v>0</v>
      </c>
      <c r="H17" s="111">
        <v>0</v>
      </c>
      <c r="I17" s="111">
        <v>0</v>
      </c>
      <c r="J17" s="111">
        <v>0</v>
      </c>
      <c r="K17" s="111">
        <v>0</v>
      </c>
      <c r="L17" s="111">
        <v>0</v>
      </c>
      <c r="M17" s="111">
        <v>0</v>
      </c>
      <c r="N17" s="111">
        <v>0</v>
      </c>
      <c r="O17" s="111">
        <v>0</v>
      </c>
      <c r="P17" s="111">
        <v>0</v>
      </c>
      <c r="Q17" s="111">
        <v>0</v>
      </c>
      <c r="R17" s="111">
        <v>0</v>
      </c>
      <c r="S17" s="111">
        <v>0</v>
      </c>
      <c r="T17" s="111">
        <v>0</v>
      </c>
      <c r="U17" s="111">
        <v>1</v>
      </c>
      <c r="V17" s="111">
        <v>0</v>
      </c>
      <c r="W17" s="111">
        <v>0</v>
      </c>
      <c r="X17" s="111">
        <v>0</v>
      </c>
      <c r="Y17" s="111">
        <v>0</v>
      </c>
      <c r="Z17" s="111">
        <v>0</v>
      </c>
      <c r="AA17" s="111">
        <v>0</v>
      </c>
      <c r="AB17" s="111">
        <v>0</v>
      </c>
      <c r="AC17" s="111">
        <v>0</v>
      </c>
      <c r="AD17" s="111">
        <v>1</v>
      </c>
      <c r="AE17" s="111">
        <v>1</v>
      </c>
      <c r="AF17" s="111">
        <v>0</v>
      </c>
      <c r="AG17" s="111">
        <v>0</v>
      </c>
      <c r="AH17" s="111">
        <v>0</v>
      </c>
      <c r="AI17" s="111">
        <v>1</v>
      </c>
      <c r="AJ17" s="111">
        <v>0</v>
      </c>
      <c r="AK17" s="111">
        <v>0</v>
      </c>
      <c r="AL17" s="111">
        <v>0</v>
      </c>
      <c r="AM17" s="111">
        <v>1</v>
      </c>
      <c r="AN17" s="111">
        <v>0</v>
      </c>
      <c r="AO17" s="111">
        <v>0</v>
      </c>
      <c r="AP17" s="111">
        <v>0</v>
      </c>
      <c r="AQ17" s="111">
        <v>0</v>
      </c>
      <c r="AR17" s="111">
        <v>0</v>
      </c>
    </row>
    <row r="18" spans="1:44" customFormat="1" x14ac:dyDescent="0.15">
      <c r="A18" s="193" t="s">
        <v>209</v>
      </c>
      <c r="B18" s="111">
        <v>0</v>
      </c>
      <c r="C18" s="111">
        <v>0</v>
      </c>
      <c r="D18" s="111">
        <v>0</v>
      </c>
      <c r="E18" s="111">
        <v>0</v>
      </c>
      <c r="F18" s="111">
        <v>0</v>
      </c>
      <c r="G18" s="111">
        <v>0</v>
      </c>
      <c r="H18" s="111">
        <v>0</v>
      </c>
      <c r="I18" s="111">
        <v>0</v>
      </c>
      <c r="J18" s="111">
        <v>0</v>
      </c>
      <c r="K18" s="111">
        <v>0</v>
      </c>
      <c r="L18" s="111">
        <v>0</v>
      </c>
      <c r="M18" s="111">
        <v>0</v>
      </c>
      <c r="N18" s="111">
        <v>0</v>
      </c>
      <c r="O18" s="111">
        <v>0</v>
      </c>
      <c r="P18" s="111">
        <v>0</v>
      </c>
      <c r="Q18" s="111">
        <v>0</v>
      </c>
      <c r="R18" s="111">
        <v>0</v>
      </c>
      <c r="S18" s="111">
        <v>0</v>
      </c>
      <c r="T18" s="111">
        <v>0</v>
      </c>
      <c r="U18" s="111">
        <v>0</v>
      </c>
      <c r="V18" s="111">
        <v>0</v>
      </c>
      <c r="W18" s="111">
        <v>0</v>
      </c>
      <c r="X18" s="111">
        <v>0</v>
      </c>
      <c r="Y18" s="111">
        <v>0</v>
      </c>
      <c r="Z18" s="111">
        <v>0</v>
      </c>
      <c r="AA18" s="111">
        <v>0</v>
      </c>
      <c r="AB18" s="111">
        <v>0</v>
      </c>
      <c r="AC18" s="111">
        <v>0</v>
      </c>
      <c r="AD18" s="111">
        <v>1</v>
      </c>
      <c r="AE18" s="111">
        <v>0</v>
      </c>
      <c r="AF18" s="111">
        <v>0</v>
      </c>
      <c r="AG18" s="111">
        <v>0</v>
      </c>
      <c r="AH18" s="111">
        <v>1</v>
      </c>
      <c r="AI18" s="111">
        <v>0</v>
      </c>
      <c r="AJ18" s="111">
        <v>0</v>
      </c>
      <c r="AK18" s="111">
        <v>0</v>
      </c>
      <c r="AL18" s="111">
        <v>0</v>
      </c>
      <c r="AM18" s="111">
        <v>0</v>
      </c>
      <c r="AN18" s="111">
        <v>1</v>
      </c>
      <c r="AO18" s="111">
        <v>1</v>
      </c>
      <c r="AP18" s="111">
        <v>0</v>
      </c>
      <c r="AQ18" s="111">
        <v>0</v>
      </c>
      <c r="AR18" s="111">
        <v>0</v>
      </c>
    </row>
    <row r="19" spans="1:44" customFormat="1" x14ac:dyDescent="0.15">
      <c r="A19" s="193" t="s">
        <v>210</v>
      </c>
      <c r="B19" s="111">
        <v>0</v>
      </c>
      <c r="C19" s="111">
        <v>0</v>
      </c>
      <c r="D19" s="111">
        <v>0</v>
      </c>
      <c r="E19" s="111">
        <v>0</v>
      </c>
      <c r="F19" s="111">
        <v>0</v>
      </c>
      <c r="G19" s="111">
        <v>0</v>
      </c>
      <c r="H19" s="111">
        <v>0</v>
      </c>
      <c r="I19" s="111">
        <v>0</v>
      </c>
      <c r="J19" s="111">
        <v>0</v>
      </c>
      <c r="K19" s="111">
        <v>0</v>
      </c>
      <c r="L19" s="111">
        <v>0</v>
      </c>
      <c r="M19" s="111">
        <v>0</v>
      </c>
      <c r="N19" s="111">
        <v>1</v>
      </c>
      <c r="O19" s="111">
        <v>1</v>
      </c>
      <c r="P19" s="111">
        <v>1</v>
      </c>
      <c r="Q19" s="111">
        <v>0</v>
      </c>
      <c r="R19" s="111">
        <v>1</v>
      </c>
      <c r="S19" s="111">
        <v>1</v>
      </c>
      <c r="T19" s="111">
        <v>0</v>
      </c>
      <c r="U19" s="111">
        <v>1</v>
      </c>
      <c r="V19" s="111">
        <v>0</v>
      </c>
      <c r="W19" s="111">
        <v>0</v>
      </c>
      <c r="X19" s="111">
        <v>1</v>
      </c>
      <c r="Y19" s="111">
        <v>1</v>
      </c>
      <c r="Z19" s="111">
        <v>1</v>
      </c>
      <c r="AA19" s="111">
        <v>0</v>
      </c>
      <c r="AB19" s="111">
        <v>1</v>
      </c>
      <c r="AC19" s="111">
        <v>0</v>
      </c>
      <c r="AD19" s="111">
        <v>1</v>
      </c>
      <c r="AE19" s="111">
        <v>0</v>
      </c>
      <c r="AF19" s="111">
        <v>1</v>
      </c>
      <c r="AG19" s="111">
        <v>0</v>
      </c>
      <c r="AH19" s="111">
        <v>1</v>
      </c>
      <c r="AI19" s="111">
        <v>1</v>
      </c>
      <c r="AJ19" s="111">
        <v>0</v>
      </c>
      <c r="AK19" s="111">
        <v>0</v>
      </c>
      <c r="AL19" s="111">
        <v>0</v>
      </c>
      <c r="AM19" s="111">
        <v>1</v>
      </c>
      <c r="AN19" s="111">
        <v>1</v>
      </c>
      <c r="AO19" s="111">
        <v>1</v>
      </c>
      <c r="AP19" s="111">
        <v>0</v>
      </c>
      <c r="AQ19" s="111">
        <v>0</v>
      </c>
      <c r="AR19" s="111">
        <v>0</v>
      </c>
    </row>
    <row r="20" spans="1:44" customFormat="1" x14ac:dyDescent="0.15">
      <c r="A20" s="193" t="s">
        <v>211</v>
      </c>
      <c r="B20" s="111">
        <v>0</v>
      </c>
      <c r="C20" s="111">
        <v>0</v>
      </c>
      <c r="D20" s="111">
        <v>0</v>
      </c>
      <c r="E20" s="111">
        <v>0</v>
      </c>
      <c r="F20" s="111">
        <v>0</v>
      </c>
      <c r="G20" s="111">
        <v>0</v>
      </c>
      <c r="H20" s="111">
        <v>0</v>
      </c>
      <c r="I20" s="111">
        <v>0</v>
      </c>
      <c r="J20" s="111">
        <v>0</v>
      </c>
      <c r="K20" s="111">
        <v>0</v>
      </c>
      <c r="L20" s="111">
        <v>0</v>
      </c>
      <c r="M20" s="111">
        <v>0</v>
      </c>
      <c r="N20" s="111">
        <v>0</v>
      </c>
      <c r="O20" s="111">
        <v>0</v>
      </c>
      <c r="P20" s="111">
        <v>0</v>
      </c>
      <c r="Q20" s="111">
        <v>0</v>
      </c>
      <c r="R20" s="111">
        <v>0</v>
      </c>
      <c r="S20" s="111">
        <v>1</v>
      </c>
      <c r="T20" s="111">
        <v>0</v>
      </c>
      <c r="U20" s="111">
        <v>1</v>
      </c>
      <c r="V20" s="111">
        <v>0</v>
      </c>
      <c r="W20" s="111">
        <v>0</v>
      </c>
      <c r="X20" s="111">
        <v>0</v>
      </c>
      <c r="Y20" s="111">
        <v>1</v>
      </c>
      <c r="Z20" s="111">
        <v>0</v>
      </c>
      <c r="AA20" s="111">
        <v>1</v>
      </c>
      <c r="AB20" s="111">
        <v>1</v>
      </c>
      <c r="AC20" s="111">
        <v>1</v>
      </c>
      <c r="AD20" s="111">
        <v>1</v>
      </c>
      <c r="AE20" s="111">
        <v>1</v>
      </c>
      <c r="AF20" s="111">
        <v>0</v>
      </c>
      <c r="AG20" s="111">
        <v>1</v>
      </c>
      <c r="AH20" s="111">
        <v>0</v>
      </c>
      <c r="AI20" s="111">
        <v>1</v>
      </c>
      <c r="AJ20" s="111">
        <v>1</v>
      </c>
      <c r="AK20" s="111">
        <v>1</v>
      </c>
      <c r="AL20" s="111">
        <v>0</v>
      </c>
      <c r="AM20" s="111">
        <v>1</v>
      </c>
      <c r="AN20" s="111">
        <v>1</v>
      </c>
      <c r="AO20" s="111">
        <v>1</v>
      </c>
      <c r="AP20" s="111">
        <v>0</v>
      </c>
      <c r="AQ20" s="111">
        <v>0</v>
      </c>
      <c r="AR20" s="111">
        <v>0</v>
      </c>
    </row>
    <row r="21" spans="1:44" customFormat="1" x14ac:dyDescent="0.15">
      <c r="A21" s="193" t="s">
        <v>212</v>
      </c>
      <c r="B21" s="111">
        <v>0</v>
      </c>
      <c r="C21" s="111">
        <v>0</v>
      </c>
      <c r="D21" s="111">
        <v>0</v>
      </c>
      <c r="E21" s="111">
        <v>0</v>
      </c>
      <c r="F21" s="111">
        <v>0</v>
      </c>
      <c r="G21" s="111">
        <v>0</v>
      </c>
      <c r="H21" s="111">
        <v>0</v>
      </c>
      <c r="I21" s="111">
        <v>0</v>
      </c>
      <c r="J21" s="111">
        <v>0</v>
      </c>
      <c r="K21" s="111">
        <v>0</v>
      </c>
      <c r="L21" s="111">
        <v>0</v>
      </c>
      <c r="M21" s="111">
        <v>0</v>
      </c>
      <c r="N21" s="111">
        <v>0</v>
      </c>
      <c r="O21" s="111">
        <v>0</v>
      </c>
      <c r="P21" s="111">
        <v>0</v>
      </c>
      <c r="Q21" s="111">
        <v>0</v>
      </c>
      <c r="R21" s="111">
        <v>0</v>
      </c>
      <c r="S21" s="111">
        <v>1</v>
      </c>
      <c r="T21" s="111">
        <v>0</v>
      </c>
      <c r="U21" s="111">
        <v>1</v>
      </c>
      <c r="V21" s="111">
        <v>0</v>
      </c>
      <c r="W21" s="111">
        <v>0</v>
      </c>
      <c r="X21" s="111">
        <v>0</v>
      </c>
      <c r="Y21" s="111">
        <v>0</v>
      </c>
      <c r="Z21" s="111">
        <v>0</v>
      </c>
      <c r="AA21" s="111">
        <v>1</v>
      </c>
      <c r="AB21" s="111">
        <v>0</v>
      </c>
      <c r="AC21" s="111">
        <v>0</v>
      </c>
      <c r="AD21" s="111">
        <v>1</v>
      </c>
      <c r="AE21" s="111">
        <v>0</v>
      </c>
      <c r="AF21" s="111">
        <v>0</v>
      </c>
      <c r="AG21" s="111">
        <v>0</v>
      </c>
      <c r="AH21" s="111">
        <v>1</v>
      </c>
      <c r="AI21" s="111">
        <v>1</v>
      </c>
      <c r="AJ21" s="111">
        <v>0</v>
      </c>
      <c r="AK21" s="111">
        <v>0</v>
      </c>
      <c r="AL21" s="111">
        <v>0</v>
      </c>
      <c r="AM21" s="111">
        <v>1</v>
      </c>
      <c r="AN21" s="111">
        <v>1</v>
      </c>
      <c r="AO21" s="111">
        <v>1</v>
      </c>
      <c r="AP21" s="111">
        <v>0</v>
      </c>
      <c r="AQ21" s="111">
        <v>0</v>
      </c>
      <c r="AR21" s="111">
        <v>0</v>
      </c>
    </row>
    <row r="22" spans="1:44" customFormat="1" x14ac:dyDescent="0.15">
      <c r="A22" s="193" t="s">
        <v>213</v>
      </c>
      <c r="B22" s="111">
        <v>0</v>
      </c>
      <c r="C22" s="111">
        <v>0</v>
      </c>
      <c r="D22" s="111">
        <v>0</v>
      </c>
      <c r="E22" s="111">
        <v>0</v>
      </c>
      <c r="F22" s="111">
        <v>0</v>
      </c>
      <c r="G22" s="111">
        <v>0</v>
      </c>
      <c r="H22" s="111">
        <v>0</v>
      </c>
      <c r="I22" s="111">
        <v>0</v>
      </c>
      <c r="J22" s="111">
        <v>0</v>
      </c>
      <c r="K22" s="111">
        <v>0</v>
      </c>
      <c r="L22" s="111">
        <v>0</v>
      </c>
      <c r="M22" s="111">
        <v>0</v>
      </c>
      <c r="N22" s="111">
        <v>0</v>
      </c>
      <c r="O22" s="111">
        <v>0</v>
      </c>
      <c r="P22" s="111">
        <v>0</v>
      </c>
      <c r="Q22" s="111">
        <v>0</v>
      </c>
      <c r="R22" s="111">
        <v>0</v>
      </c>
      <c r="S22" s="111">
        <v>1</v>
      </c>
      <c r="T22" s="111">
        <v>0</v>
      </c>
      <c r="U22" s="111">
        <v>0</v>
      </c>
      <c r="V22" s="111">
        <v>0</v>
      </c>
      <c r="W22" s="111">
        <v>0</v>
      </c>
      <c r="X22" s="111">
        <v>0</v>
      </c>
      <c r="Y22" s="111">
        <v>1</v>
      </c>
      <c r="Z22" s="111">
        <v>0</v>
      </c>
      <c r="AA22" s="111">
        <v>1</v>
      </c>
      <c r="AB22" s="111">
        <v>1</v>
      </c>
      <c r="AC22" s="111">
        <v>1</v>
      </c>
      <c r="AD22" s="111">
        <v>1</v>
      </c>
      <c r="AE22" s="111">
        <v>1</v>
      </c>
      <c r="AF22" s="111">
        <v>0</v>
      </c>
      <c r="AG22" s="111">
        <v>1</v>
      </c>
      <c r="AH22" s="111">
        <v>0</v>
      </c>
      <c r="AI22" s="111">
        <v>1</v>
      </c>
      <c r="AJ22" s="111">
        <v>1</v>
      </c>
      <c r="AK22" s="111">
        <v>1</v>
      </c>
      <c r="AL22" s="111">
        <v>0</v>
      </c>
      <c r="AM22" s="111">
        <v>1</v>
      </c>
      <c r="AN22" s="111">
        <v>1</v>
      </c>
      <c r="AO22" s="111">
        <v>1</v>
      </c>
      <c r="AP22" s="111">
        <v>0</v>
      </c>
      <c r="AQ22" s="111">
        <v>0</v>
      </c>
      <c r="AR22" s="111">
        <v>0</v>
      </c>
    </row>
    <row r="23" spans="1:44" customFormat="1" x14ac:dyDescent="0.15">
      <c r="A23" s="193" t="s">
        <v>214</v>
      </c>
      <c r="B23" s="111">
        <v>0</v>
      </c>
      <c r="C23" s="111">
        <v>0</v>
      </c>
      <c r="D23" s="111">
        <v>0</v>
      </c>
      <c r="E23" s="111">
        <v>0</v>
      </c>
      <c r="F23" s="111">
        <v>0</v>
      </c>
      <c r="G23" s="111">
        <v>0</v>
      </c>
      <c r="H23" s="111">
        <v>0</v>
      </c>
      <c r="I23" s="111">
        <v>0</v>
      </c>
      <c r="J23" s="111">
        <v>0</v>
      </c>
      <c r="K23" s="111">
        <v>0</v>
      </c>
      <c r="L23" s="111">
        <v>0</v>
      </c>
      <c r="M23" s="111">
        <v>0</v>
      </c>
      <c r="N23" s="111">
        <v>0</v>
      </c>
      <c r="O23" s="111">
        <v>0</v>
      </c>
      <c r="P23" s="111">
        <v>0</v>
      </c>
      <c r="Q23" s="111">
        <v>0</v>
      </c>
      <c r="R23" s="111">
        <v>0</v>
      </c>
      <c r="S23" s="111">
        <v>1</v>
      </c>
      <c r="T23" s="111">
        <v>0</v>
      </c>
      <c r="U23" s="111">
        <v>0</v>
      </c>
      <c r="V23" s="111">
        <v>0</v>
      </c>
      <c r="W23" s="111">
        <v>0</v>
      </c>
      <c r="X23" s="111">
        <v>0</v>
      </c>
      <c r="Y23" s="111">
        <v>1</v>
      </c>
      <c r="Z23" s="111">
        <v>0</v>
      </c>
      <c r="AA23" s="111">
        <v>1</v>
      </c>
      <c r="AB23" s="111">
        <v>1</v>
      </c>
      <c r="AC23" s="111">
        <v>0</v>
      </c>
      <c r="AD23" s="111">
        <v>1</v>
      </c>
      <c r="AE23" s="111">
        <v>1</v>
      </c>
      <c r="AF23" s="111">
        <v>0</v>
      </c>
      <c r="AG23" s="111">
        <v>1</v>
      </c>
      <c r="AH23" s="111">
        <v>0</v>
      </c>
      <c r="AI23" s="111">
        <v>1</v>
      </c>
      <c r="AJ23" s="111">
        <v>1</v>
      </c>
      <c r="AK23" s="111">
        <v>1</v>
      </c>
      <c r="AL23" s="111">
        <v>0</v>
      </c>
      <c r="AM23" s="111">
        <v>1</v>
      </c>
      <c r="AN23" s="111">
        <v>1</v>
      </c>
      <c r="AO23" s="111">
        <v>1</v>
      </c>
      <c r="AP23" s="111">
        <v>0</v>
      </c>
      <c r="AQ23" s="111">
        <v>0</v>
      </c>
      <c r="AR23" s="111">
        <v>0</v>
      </c>
    </row>
    <row r="24" spans="1:44" customFormat="1" x14ac:dyDescent="0.15">
      <c r="A24" s="193" t="s">
        <v>215</v>
      </c>
      <c r="B24" s="111">
        <v>0</v>
      </c>
      <c r="C24" s="111">
        <v>0</v>
      </c>
      <c r="D24" s="111">
        <v>0</v>
      </c>
      <c r="E24" s="111">
        <v>0</v>
      </c>
      <c r="F24" s="111">
        <v>0</v>
      </c>
      <c r="G24" s="111">
        <v>0</v>
      </c>
      <c r="H24" s="111">
        <v>0</v>
      </c>
      <c r="I24" s="111">
        <v>0</v>
      </c>
      <c r="J24" s="111">
        <v>0</v>
      </c>
      <c r="K24" s="111">
        <v>0</v>
      </c>
      <c r="L24" s="111">
        <v>0</v>
      </c>
      <c r="M24" s="111">
        <v>0</v>
      </c>
      <c r="N24" s="111">
        <v>0</v>
      </c>
      <c r="O24" s="111">
        <v>0</v>
      </c>
      <c r="P24" s="111">
        <v>0</v>
      </c>
      <c r="Q24" s="111">
        <v>0</v>
      </c>
      <c r="R24" s="111">
        <v>0</v>
      </c>
      <c r="S24" s="111">
        <v>0</v>
      </c>
      <c r="T24" s="111">
        <v>0</v>
      </c>
      <c r="U24" s="111">
        <v>0</v>
      </c>
      <c r="V24" s="111">
        <v>0</v>
      </c>
      <c r="W24" s="111">
        <v>0</v>
      </c>
      <c r="X24" s="111">
        <v>0</v>
      </c>
      <c r="Y24" s="111">
        <v>0</v>
      </c>
      <c r="Z24" s="111">
        <v>0</v>
      </c>
      <c r="AA24" s="111">
        <v>0</v>
      </c>
      <c r="AB24" s="111">
        <v>1</v>
      </c>
      <c r="AC24" s="111">
        <v>1</v>
      </c>
      <c r="AD24" s="111">
        <v>1</v>
      </c>
      <c r="AE24" s="111">
        <v>1</v>
      </c>
      <c r="AF24" s="111">
        <v>0</v>
      </c>
      <c r="AG24" s="111">
        <v>0</v>
      </c>
      <c r="AH24" s="111">
        <v>1</v>
      </c>
      <c r="AI24" s="111">
        <v>1</v>
      </c>
      <c r="AJ24" s="111">
        <v>0</v>
      </c>
      <c r="AK24" s="111">
        <v>0</v>
      </c>
      <c r="AL24" s="111">
        <v>0</v>
      </c>
      <c r="AM24" s="111">
        <v>0</v>
      </c>
      <c r="AN24" s="111">
        <v>1</v>
      </c>
      <c r="AO24" s="111">
        <v>1</v>
      </c>
      <c r="AP24" s="111">
        <v>0</v>
      </c>
      <c r="AQ24" s="111">
        <v>0</v>
      </c>
      <c r="AR24" s="111">
        <v>0</v>
      </c>
    </row>
    <row r="25" spans="1:44" customFormat="1" x14ac:dyDescent="0.15">
      <c r="A25" s="193" t="s">
        <v>216</v>
      </c>
      <c r="B25" s="111">
        <v>0</v>
      </c>
      <c r="C25" s="111">
        <v>0</v>
      </c>
      <c r="D25" s="111">
        <v>0</v>
      </c>
      <c r="E25" s="111">
        <v>0</v>
      </c>
      <c r="F25" s="111">
        <v>0</v>
      </c>
      <c r="G25" s="111">
        <v>0</v>
      </c>
      <c r="H25" s="111">
        <v>0</v>
      </c>
      <c r="I25" s="111">
        <v>0</v>
      </c>
      <c r="J25" s="111">
        <v>0</v>
      </c>
      <c r="K25" s="111">
        <v>0</v>
      </c>
      <c r="L25" s="111">
        <v>0</v>
      </c>
      <c r="M25" s="111">
        <v>0</v>
      </c>
      <c r="N25" s="111">
        <v>0</v>
      </c>
      <c r="O25" s="111">
        <v>0</v>
      </c>
      <c r="P25" s="111">
        <v>0</v>
      </c>
      <c r="Q25" s="111">
        <v>0</v>
      </c>
      <c r="R25" s="111">
        <v>0</v>
      </c>
      <c r="S25" s="111">
        <v>0</v>
      </c>
      <c r="T25" s="111">
        <v>0</v>
      </c>
      <c r="U25" s="111">
        <v>0</v>
      </c>
      <c r="V25" s="111">
        <v>0</v>
      </c>
      <c r="W25" s="111">
        <v>0</v>
      </c>
      <c r="X25" s="111">
        <v>0</v>
      </c>
      <c r="Y25" s="111">
        <v>0</v>
      </c>
      <c r="Z25" s="111">
        <v>0</v>
      </c>
      <c r="AA25" s="111">
        <v>0</v>
      </c>
      <c r="AB25" s="111">
        <v>1</v>
      </c>
      <c r="AC25" s="111">
        <v>1</v>
      </c>
      <c r="AD25" s="111">
        <v>1</v>
      </c>
      <c r="AE25" s="111">
        <v>0</v>
      </c>
      <c r="AF25" s="111">
        <v>0</v>
      </c>
      <c r="AG25" s="111">
        <v>0</v>
      </c>
      <c r="AH25" s="111">
        <v>1</v>
      </c>
      <c r="AI25" s="111">
        <v>1</v>
      </c>
      <c r="AJ25" s="111">
        <v>0</v>
      </c>
      <c r="AK25" s="111">
        <v>0</v>
      </c>
      <c r="AL25" s="111">
        <v>0</v>
      </c>
      <c r="AM25" s="111">
        <v>1</v>
      </c>
      <c r="AN25" s="111">
        <v>1</v>
      </c>
      <c r="AO25" s="111">
        <v>1</v>
      </c>
      <c r="AP25" s="111">
        <v>0</v>
      </c>
      <c r="AQ25" s="111">
        <v>0</v>
      </c>
      <c r="AR25" s="111">
        <v>0</v>
      </c>
    </row>
    <row r="26" spans="1:44" customFormat="1" x14ac:dyDescent="0.15">
      <c r="A26" s="193" t="s">
        <v>217</v>
      </c>
      <c r="B26" s="111">
        <v>0</v>
      </c>
      <c r="C26" s="111">
        <v>0</v>
      </c>
      <c r="D26" s="111">
        <v>0</v>
      </c>
      <c r="E26" s="111">
        <v>0</v>
      </c>
      <c r="F26" s="111">
        <v>0</v>
      </c>
      <c r="G26" s="111">
        <v>0</v>
      </c>
      <c r="H26" s="111">
        <v>0</v>
      </c>
      <c r="I26" s="111">
        <v>0</v>
      </c>
      <c r="J26" s="111">
        <v>0</v>
      </c>
      <c r="K26" s="111">
        <v>0</v>
      </c>
      <c r="L26" s="111">
        <v>0</v>
      </c>
      <c r="M26" s="111">
        <v>0</v>
      </c>
      <c r="N26" s="111">
        <v>0</v>
      </c>
      <c r="O26" s="111">
        <v>0</v>
      </c>
      <c r="P26" s="111">
        <v>0</v>
      </c>
      <c r="Q26" s="111">
        <v>0</v>
      </c>
      <c r="R26" s="111">
        <v>0</v>
      </c>
      <c r="S26" s="111">
        <v>0</v>
      </c>
      <c r="T26" s="111">
        <v>0</v>
      </c>
      <c r="U26" s="111">
        <v>1</v>
      </c>
      <c r="V26" s="111">
        <v>0</v>
      </c>
      <c r="W26" s="111">
        <v>0</v>
      </c>
      <c r="X26" s="111">
        <v>0</v>
      </c>
      <c r="Y26" s="111">
        <v>0</v>
      </c>
      <c r="Z26" s="111">
        <v>0</v>
      </c>
      <c r="AA26" s="111">
        <v>1</v>
      </c>
      <c r="AB26" s="111">
        <v>0</v>
      </c>
      <c r="AC26" s="111">
        <v>0</v>
      </c>
      <c r="AD26" s="111">
        <v>1</v>
      </c>
      <c r="AE26" s="111">
        <v>0</v>
      </c>
      <c r="AF26" s="111">
        <v>0</v>
      </c>
      <c r="AG26" s="111">
        <v>0</v>
      </c>
      <c r="AH26" s="111">
        <v>0</v>
      </c>
      <c r="AI26" s="111">
        <v>0</v>
      </c>
      <c r="AJ26" s="111">
        <v>0</v>
      </c>
      <c r="AK26" s="111">
        <v>0</v>
      </c>
      <c r="AL26" s="111">
        <v>0</v>
      </c>
      <c r="AM26" s="111">
        <v>0</v>
      </c>
      <c r="AN26" s="111">
        <v>1</v>
      </c>
      <c r="AO26" s="111">
        <v>1</v>
      </c>
      <c r="AP26" s="111">
        <v>0</v>
      </c>
      <c r="AQ26" s="111">
        <v>0</v>
      </c>
      <c r="AR26" s="111">
        <v>0</v>
      </c>
    </row>
    <row r="27" spans="1:44" customFormat="1" x14ac:dyDescent="0.15">
      <c r="A27" s="193" t="s">
        <v>218</v>
      </c>
      <c r="B27" s="111">
        <v>0</v>
      </c>
      <c r="C27" s="111">
        <v>0</v>
      </c>
      <c r="D27" s="111">
        <v>0</v>
      </c>
      <c r="E27" s="111">
        <v>0</v>
      </c>
      <c r="F27" s="111">
        <v>0</v>
      </c>
      <c r="G27" s="111">
        <v>0</v>
      </c>
      <c r="H27" s="111">
        <v>0</v>
      </c>
      <c r="I27" s="111">
        <v>0</v>
      </c>
      <c r="J27" s="111">
        <v>0</v>
      </c>
      <c r="K27" s="111">
        <v>0</v>
      </c>
      <c r="L27" s="111">
        <v>0</v>
      </c>
      <c r="M27" s="111">
        <v>0</v>
      </c>
      <c r="N27" s="111">
        <v>0</v>
      </c>
      <c r="O27" s="111">
        <v>0</v>
      </c>
      <c r="P27" s="111">
        <v>0</v>
      </c>
      <c r="Q27" s="111">
        <v>0</v>
      </c>
      <c r="R27" s="111">
        <v>0</v>
      </c>
      <c r="S27" s="111">
        <v>0</v>
      </c>
      <c r="T27" s="111">
        <v>0</v>
      </c>
      <c r="U27" s="111">
        <v>0</v>
      </c>
      <c r="V27" s="111">
        <v>0</v>
      </c>
      <c r="W27" s="111">
        <v>0</v>
      </c>
      <c r="X27" s="111">
        <v>0</v>
      </c>
      <c r="Y27" s="111">
        <v>0</v>
      </c>
      <c r="Z27" s="111">
        <v>0</v>
      </c>
      <c r="AA27" s="111">
        <v>0</v>
      </c>
      <c r="AB27" s="111">
        <v>0</v>
      </c>
      <c r="AC27" s="111">
        <v>0</v>
      </c>
      <c r="AD27" s="111">
        <v>1</v>
      </c>
      <c r="AE27" s="111">
        <v>1</v>
      </c>
      <c r="AF27" s="111">
        <v>1</v>
      </c>
      <c r="AG27" s="111">
        <v>0</v>
      </c>
      <c r="AH27" s="111">
        <v>1</v>
      </c>
      <c r="AI27" s="111">
        <v>1</v>
      </c>
      <c r="AJ27" s="111">
        <v>1</v>
      </c>
      <c r="AK27" s="111">
        <v>1</v>
      </c>
      <c r="AL27" s="111">
        <v>0</v>
      </c>
      <c r="AM27" s="111">
        <v>0</v>
      </c>
      <c r="AN27" s="111">
        <v>1</v>
      </c>
      <c r="AO27" s="111">
        <v>1</v>
      </c>
      <c r="AP27" s="111">
        <v>0</v>
      </c>
      <c r="AQ27" s="111">
        <v>0</v>
      </c>
      <c r="AR27" s="111">
        <v>0</v>
      </c>
    </row>
    <row r="28" spans="1:44" customFormat="1" x14ac:dyDescent="0.15">
      <c r="A28" s="193" t="s">
        <v>219</v>
      </c>
      <c r="B28" s="111">
        <v>0</v>
      </c>
      <c r="C28" s="111">
        <v>0</v>
      </c>
      <c r="D28" s="111">
        <v>0</v>
      </c>
      <c r="E28" s="111">
        <v>0</v>
      </c>
      <c r="F28" s="111">
        <v>0</v>
      </c>
      <c r="G28" s="111">
        <v>0</v>
      </c>
      <c r="H28" s="111">
        <v>0</v>
      </c>
      <c r="I28" s="111">
        <v>0</v>
      </c>
      <c r="J28" s="111">
        <v>0</v>
      </c>
      <c r="K28" s="111">
        <v>0</v>
      </c>
      <c r="L28" s="111">
        <v>0</v>
      </c>
      <c r="M28" s="111">
        <v>0</v>
      </c>
      <c r="N28" s="111">
        <v>0</v>
      </c>
      <c r="O28" s="111">
        <v>0</v>
      </c>
      <c r="P28" s="111">
        <v>0</v>
      </c>
      <c r="Q28" s="111">
        <v>0</v>
      </c>
      <c r="R28" s="111">
        <v>0</v>
      </c>
      <c r="S28" s="111">
        <v>0</v>
      </c>
      <c r="T28" s="111">
        <v>0</v>
      </c>
      <c r="U28" s="111">
        <v>1</v>
      </c>
      <c r="V28" s="111">
        <v>0</v>
      </c>
      <c r="W28" s="111">
        <v>0</v>
      </c>
      <c r="X28" s="111">
        <v>0</v>
      </c>
      <c r="Y28" s="111">
        <v>0</v>
      </c>
      <c r="Z28" s="111">
        <v>0</v>
      </c>
      <c r="AA28" s="111">
        <v>0</v>
      </c>
      <c r="AB28" s="111">
        <v>1</v>
      </c>
      <c r="AC28" s="111">
        <v>1</v>
      </c>
      <c r="AD28" s="111">
        <v>1</v>
      </c>
      <c r="AE28" s="111">
        <v>0</v>
      </c>
      <c r="AF28" s="111">
        <v>0</v>
      </c>
      <c r="AG28" s="111">
        <v>0</v>
      </c>
      <c r="AH28" s="111">
        <v>1</v>
      </c>
      <c r="AI28" s="111">
        <v>1</v>
      </c>
      <c r="AJ28" s="111">
        <v>0</v>
      </c>
      <c r="AK28" s="111">
        <v>0</v>
      </c>
      <c r="AL28" s="111">
        <v>0</v>
      </c>
      <c r="AM28" s="111">
        <v>1</v>
      </c>
      <c r="AN28" s="111">
        <v>1</v>
      </c>
      <c r="AO28" s="111">
        <v>1</v>
      </c>
      <c r="AP28" s="111">
        <v>0</v>
      </c>
      <c r="AQ28" s="111">
        <v>0</v>
      </c>
      <c r="AR28" s="111">
        <v>0</v>
      </c>
    </row>
    <row r="29" spans="1:44" customFormat="1" x14ac:dyDescent="0.15">
      <c r="A29" s="193" t="s">
        <v>220</v>
      </c>
      <c r="B29" s="111">
        <v>0</v>
      </c>
      <c r="C29" s="111">
        <v>0</v>
      </c>
      <c r="D29" s="111">
        <v>0</v>
      </c>
      <c r="E29" s="111">
        <v>0</v>
      </c>
      <c r="F29" s="111">
        <v>0</v>
      </c>
      <c r="G29" s="111">
        <v>0</v>
      </c>
      <c r="H29" s="111">
        <v>0</v>
      </c>
      <c r="I29" s="111">
        <v>0</v>
      </c>
      <c r="J29" s="111">
        <v>0</v>
      </c>
      <c r="K29" s="111">
        <v>0</v>
      </c>
      <c r="L29" s="111">
        <v>0</v>
      </c>
      <c r="M29" s="111">
        <v>0</v>
      </c>
      <c r="N29" s="111">
        <v>0</v>
      </c>
      <c r="O29" s="111">
        <v>0</v>
      </c>
      <c r="P29" s="111">
        <v>0</v>
      </c>
      <c r="Q29" s="111">
        <v>0</v>
      </c>
      <c r="R29" s="111">
        <v>0</v>
      </c>
      <c r="S29" s="111">
        <v>0</v>
      </c>
      <c r="T29" s="111">
        <v>0</v>
      </c>
      <c r="U29" s="111">
        <v>1</v>
      </c>
      <c r="V29" s="111">
        <v>0</v>
      </c>
      <c r="W29" s="111">
        <v>0</v>
      </c>
      <c r="X29" s="111">
        <v>0</v>
      </c>
      <c r="Y29" s="111">
        <v>0</v>
      </c>
      <c r="Z29" s="111">
        <v>0</v>
      </c>
      <c r="AA29" s="111">
        <v>0</v>
      </c>
      <c r="AB29" s="111">
        <v>1</v>
      </c>
      <c r="AC29" s="111">
        <v>1</v>
      </c>
      <c r="AD29" s="111">
        <v>1</v>
      </c>
      <c r="AE29" s="111">
        <v>1</v>
      </c>
      <c r="AF29" s="111">
        <v>0</v>
      </c>
      <c r="AG29" s="111">
        <v>0</v>
      </c>
      <c r="AH29" s="111">
        <v>0</v>
      </c>
      <c r="AI29" s="111">
        <v>0</v>
      </c>
      <c r="AJ29" s="111">
        <v>0</v>
      </c>
      <c r="AK29" s="111">
        <v>0</v>
      </c>
      <c r="AL29" s="111">
        <v>0</v>
      </c>
      <c r="AM29" s="111">
        <v>1</v>
      </c>
      <c r="AN29" s="111">
        <v>1</v>
      </c>
      <c r="AO29" s="111">
        <v>1</v>
      </c>
      <c r="AP29" s="111">
        <v>0</v>
      </c>
      <c r="AQ29" s="111">
        <v>0</v>
      </c>
      <c r="AR29" s="111">
        <v>0</v>
      </c>
    </row>
    <row r="30" spans="1:44" customFormat="1" x14ac:dyDescent="0.15">
      <c r="A30" s="193" t="s">
        <v>221</v>
      </c>
      <c r="B30" s="111">
        <v>0</v>
      </c>
      <c r="C30" s="111">
        <v>0</v>
      </c>
      <c r="D30" s="111">
        <v>0</v>
      </c>
      <c r="E30" s="111">
        <v>0</v>
      </c>
      <c r="F30" s="111">
        <v>0</v>
      </c>
      <c r="G30" s="111">
        <v>0</v>
      </c>
      <c r="H30" s="111">
        <v>0</v>
      </c>
      <c r="I30" s="111">
        <v>0</v>
      </c>
      <c r="J30" s="111">
        <v>0</v>
      </c>
      <c r="K30" s="111">
        <v>0</v>
      </c>
      <c r="L30" s="111">
        <v>0</v>
      </c>
      <c r="M30" s="111">
        <v>0</v>
      </c>
      <c r="N30" s="111">
        <v>0</v>
      </c>
      <c r="O30" s="111">
        <v>0</v>
      </c>
      <c r="P30" s="111">
        <v>0</v>
      </c>
      <c r="Q30" s="111">
        <v>0</v>
      </c>
      <c r="R30" s="111">
        <v>0</v>
      </c>
      <c r="S30" s="111">
        <v>0</v>
      </c>
      <c r="T30" s="111">
        <v>0</v>
      </c>
      <c r="U30" s="111">
        <v>0</v>
      </c>
      <c r="V30" s="111">
        <v>0</v>
      </c>
      <c r="W30" s="111">
        <v>0</v>
      </c>
      <c r="X30" s="111">
        <v>0</v>
      </c>
      <c r="Y30" s="111">
        <v>0</v>
      </c>
      <c r="Z30" s="111">
        <v>0</v>
      </c>
      <c r="AA30" s="111">
        <v>0</v>
      </c>
      <c r="AB30" s="111">
        <v>0</v>
      </c>
      <c r="AC30" s="111">
        <v>0</v>
      </c>
      <c r="AD30" s="111">
        <v>0</v>
      </c>
      <c r="AE30" s="111">
        <v>0</v>
      </c>
      <c r="AF30" s="111">
        <v>0</v>
      </c>
      <c r="AG30" s="111">
        <v>0</v>
      </c>
      <c r="AH30" s="111">
        <v>0</v>
      </c>
      <c r="AI30" s="111">
        <v>0</v>
      </c>
      <c r="AJ30" s="111">
        <v>0</v>
      </c>
      <c r="AK30" s="111">
        <v>0</v>
      </c>
      <c r="AL30" s="111">
        <v>0</v>
      </c>
      <c r="AM30" s="111">
        <v>0</v>
      </c>
      <c r="AN30" s="111">
        <v>0</v>
      </c>
      <c r="AO30" s="111">
        <v>0</v>
      </c>
      <c r="AP30" s="111">
        <v>0</v>
      </c>
      <c r="AQ30" s="111">
        <v>0</v>
      </c>
      <c r="AR30" s="111">
        <v>0</v>
      </c>
    </row>
    <row r="31" spans="1:44" customFormat="1" x14ac:dyDescent="0.15">
      <c r="A31" s="193" t="s">
        <v>222</v>
      </c>
      <c r="B31" s="111">
        <v>0</v>
      </c>
      <c r="C31" s="111">
        <v>0</v>
      </c>
      <c r="D31" s="111">
        <v>0</v>
      </c>
      <c r="E31" s="111">
        <v>0</v>
      </c>
      <c r="F31" s="111">
        <v>0</v>
      </c>
      <c r="G31" s="111">
        <v>0</v>
      </c>
      <c r="H31" s="111">
        <v>0</v>
      </c>
      <c r="I31" s="111">
        <v>0</v>
      </c>
      <c r="J31" s="111">
        <v>0</v>
      </c>
      <c r="K31" s="111">
        <v>0</v>
      </c>
      <c r="L31" s="111">
        <v>0</v>
      </c>
      <c r="M31" s="111">
        <v>0</v>
      </c>
      <c r="N31" s="111">
        <v>0</v>
      </c>
      <c r="O31" s="111">
        <v>0</v>
      </c>
      <c r="P31" s="111">
        <v>0</v>
      </c>
      <c r="Q31" s="111">
        <v>0</v>
      </c>
      <c r="R31" s="111">
        <v>0</v>
      </c>
      <c r="S31" s="111">
        <v>0</v>
      </c>
      <c r="T31" s="111">
        <v>0</v>
      </c>
      <c r="U31" s="111">
        <v>0</v>
      </c>
      <c r="V31" s="111">
        <v>0</v>
      </c>
      <c r="W31" s="111">
        <v>0</v>
      </c>
      <c r="X31" s="111">
        <v>0</v>
      </c>
      <c r="Y31" s="111">
        <v>0</v>
      </c>
      <c r="Z31" s="111">
        <v>0</v>
      </c>
      <c r="AA31" s="111">
        <v>0</v>
      </c>
      <c r="AB31" s="111">
        <v>0</v>
      </c>
      <c r="AC31" s="111">
        <v>0</v>
      </c>
      <c r="AD31" s="111">
        <v>1</v>
      </c>
      <c r="AE31" s="111">
        <v>0</v>
      </c>
      <c r="AF31" s="111">
        <v>0</v>
      </c>
      <c r="AG31" s="111">
        <v>0</v>
      </c>
      <c r="AH31" s="111">
        <v>0</v>
      </c>
      <c r="AI31" s="111">
        <v>0</v>
      </c>
      <c r="AJ31" s="111">
        <v>0</v>
      </c>
      <c r="AK31" s="111">
        <v>0</v>
      </c>
      <c r="AL31" s="111">
        <v>0</v>
      </c>
      <c r="AM31" s="111">
        <v>0</v>
      </c>
      <c r="AN31" s="111">
        <v>0</v>
      </c>
      <c r="AO31" s="111">
        <v>0</v>
      </c>
      <c r="AP31" s="111">
        <v>0</v>
      </c>
      <c r="AQ31" s="111">
        <v>0</v>
      </c>
      <c r="AR31" s="111">
        <v>0</v>
      </c>
    </row>
    <row r="32" spans="1:44" x14ac:dyDescent="0.15">
      <c r="A32" s="193" t="s">
        <v>223</v>
      </c>
      <c r="B32" s="111">
        <v>0</v>
      </c>
      <c r="C32" s="111">
        <v>0</v>
      </c>
      <c r="D32" s="111">
        <v>0</v>
      </c>
      <c r="E32" s="111">
        <v>0</v>
      </c>
      <c r="F32" s="111">
        <v>0</v>
      </c>
      <c r="G32" s="111">
        <v>0</v>
      </c>
      <c r="H32" s="111">
        <v>0</v>
      </c>
      <c r="I32" s="111">
        <v>0</v>
      </c>
      <c r="J32" s="111">
        <v>0</v>
      </c>
      <c r="K32" s="111">
        <v>0</v>
      </c>
      <c r="L32" s="111">
        <v>0</v>
      </c>
      <c r="M32" s="111">
        <v>0</v>
      </c>
      <c r="N32" s="111">
        <v>0</v>
      </c>
      <c r="O32" s="111">
        <v>0</v>
      </c>
      <c r="P32" s="111">
        <v>0</v>
      </c>
      <c r="Q32" s="111">
        <v>0</v>
      </c>
      <c r="R32" s="111">
        <v>0</v>
      </c>
      <c r="S32" s="111">
        <v>0</v>
      </c>
      <c r="T32" s="111">
        <v>0</v>
      </c>
      <c r="U32" s="111">
        <v>0</v>
      </c>
      <c r="V32" s="111">
        <v>0</v>
      </c>
      <c r="W32" s="111">
        <v>0</v>
      </c>
      <c r="X32" s="111">
        <v>0</v>
      </c>
      <c r="Y32" s="111">
        <v>0</v>
      </c>
      <c r="Z32" s="111">
        <v>0</v>
      </c>
      <c r="AA32" s="111">
        <v>0</v>
      </c>
      <c r="AB32" s="111">
        <v>0</v>
      </c>
      <c r="AC32" s="111">
        <v>0</v>
      </c>
      <c r="AD32" s="111">
        <v>1</v>
      </c>
      <c r="AE32" s="111">
        <v>0</v>
      </c>
      <c r="AF32" s="111">
        <v>0</v>
      </c>
      <c r="AG32" s="111">
        <v>0</v>
      </c>
      <c r="AH32" s="111">
        <v>0</v>
      </c>
      <c r="AI32" s="111">
        <v>0</v>
      </c>
      <c r="AJ32" s="111">
        <v>0</v>
      </c>
      <c r="AK32" s="111">
        <v>0</v>
      </c>
      <c r="AL32" s="111">
        <v>0</v>
      </c>
      <c r="AM32" s="111">
        <v>0</v>
      </c>
      <c r="AN32" s="111">
        <v>1</v>
      </c>
      <c r="AO32" s="111">
        <v>1</v>
      </c>
      <c r="AP32" s="111">
        <v>0</v>
      </c>
      <c r="AQ32" s="111">
        <v>0</v>
      </c>
      <c r="AR32" s="111">
        <v>0</v>
      </c>
    </row>
    <row r="33" spans="1:44" x14ac:dyDescent="0.15">
      <c r="A33" s="193" t="s">
        <v>224</v>
      </c>
      <c r="B33" s="111">
        <v>0</v>
      </c>
      <c r="C33" s="111">
        <v>0</v>
      </c>
      <c r="D33" s="111">
        <v>0</v>
      </c>
      <c r="E33" s="111">
        <v>0</v>
      </c>
      <c r="F33" s="111">
        <v>0</v>
      </c>
      <c r="G33" s="111">
        <v>0</v>
      </c>
      <c r="H33" s="111">
        <v>0</v>
      </c>
      <c r="I33" s="111">
        <v>0</v>
      </c>
      <c r="J33" s="111">
        <v>0</v>
      </c>
      <c r="K33" s="111">
        <v>0</v>
      </c>
      <c r="L33" s="111">
        <v>0</v>
      </c>
      <c r="M33" s="111">
        <v>0</v>
      </c>
      <c r="N33" s="111">
        <v>0</v>
      </c>
      <c r="O33" s="111">
        <v>0</v>
      </c>
      <c r="P33" s="111">
        <v>0</v>
      </c>
      <c r="Q33" s="111">
        <v>0</v>
      </c>
      <c r="R33" s="111">
        <v>0</v>
      </c>
      <c r="S33" s="111">
        <v>0</v>
      </c>
      <c r="T33" s="111">
        <v>0</v>
      </c>
      <c r="U33" s="111">
        <v>0</v>
      </c>
      <c r="V33" s="111">
        <v>0</v>
      </c>
      <c r="W33" s="111">
        <v>0</v>
      </c>
      <c r="X33" s="111">
        <v>0</v>
      </c>
      <c r="Y33" s="111">
        <v>0</v>
      </c>
      <c r="Z33" s="111">
        <v>0</v>
      </c>
      <c r="AA33" s="111">
        <v>0</v>
      </c>
      <c r="AB33" s="111">
        <v>0</v>
      </c>
      <c r="AC33" s="111">
        <v>0</v>
      </c>
      <c r="AD33" s="111">
        <v>1</v>
      </c>
      <c r="AE33" s="111">
        <v>0</v>
      </c>
      <c r="AF33" s="111">
        <v>1</v>
      </c>
      <c r="AG33" s="111">
        <v>0</v>
      </c>
      <c r="AH33" s="111">
        <v>0</v>
      </c>
      <c r="AI33" s="111">
        <v>1</v>
      </c>
      <c r="AJ33" s="111">
        <v>1</v>
      </c>
      <c r="AK33" s="111">
        <v>1</v>
      </c>
      <c r="AL33" s="111">
        <v>0</v>
      </c>
      <c r="AM33" s="111">
        <v>0</v>
      </c>
      <c r="AN33" s="111">
        <v>1</v>
      </c>
      <c r="AO33" s="111">
        <v>1</v>
      </c>
      <c r="AP33" s="111">
        <v>0</v>
      </c>
      <c r="AQ33" s="111">
        <v>0</v>
      </c>
      <c r="AR33" s="111">
        <v>0</v>
      </c>
    </row>
    <row r="34" spans="1:44" x14ac:dyDescent="0.15">
      <c r="A34" s="193" t="s">
        <v>225</v>
      </c>
      <c r="B34" s="111">
        <v>0</v>
      </c>
      <c r="C34" s="111">
        <v>0</v>
      </c>
      <c r="D34" s="111">
        <v>0</v>
      </c>
      <c r="E34" s="111">
        <v>0</v>
      </c>
      <c r="F34" s="111">
        <v>0</v>
      </c>
      <c r="G34" s="111">
        <v>0</v>
      </c>
      <c r="H34" s="111">
        <v>0</v>
      </c>
      <c r="I34" s="111">
        <v>0</v>
      </c>
      <c r="J34" s="111">
        <v>0</v>
      </c>
      <c r="K34" s="111">
        <v>0</v>
      </c>
      <c r="L34" s="111">
        <v>0</v>
      </c>
      <c r="M34" s="111">
        <v>0</v>
      </c>
      <c r="N34" s="111">
        <v>0</v>
      </c>
      <c r="O34" s="111">
        <v>0</v>
      </c>
      <c r="P34" s="111">
        <v>0</v>
      </c>
      <c r="Q34" s="111">
        <v>0</v>
      </c>
      <c r="R34" s="111">
        <v>0</v>
      </c>
      <c r="S34" s="111">
        <v>0</v>
      </c>
      <c r="T34" s="111">
        <v>0</v>
      </c>
      <c r="U34" s="111">
        <v>1</v>
      </c>
      <c r="V34" s="111">
        <v>0</v>
      </c>
      <c r="W34" s="111">
        <v>0</v>
      </c>
      <c r="X34" s="111">
        <v>0</v>
      </c>
      <c r="Y34" s="111">
        <v>0</v>
      </c>
      <c r="Z34" s="111">
        <v>0</v>
      </c>
      <c r="AA34" s="111">
        <v>0</v>
      </c>
      <c r="AB34" s="111">
        <v>0</v>
      </c>
      <c r="AC34" s="111">
        <v>0</v>
      </c>
      <c r="AD34" s="111">
        <v>1</v>
      </c>
      <c r="AE34" s="111">
        <v>1</v>
      </c>
      <c r="AF34" s="111">
        <v>0</v>
      </c>
      <c r="AG34" s="111">
        <v>0</v>
      </c>
      <c r="AH34" s="111">
        <v>1</v>
      </c>
      <c r="AI34" s="111">
        <v>1</v>
      </c>
      <c r="AJ34" s="111">
        <v>0</v>
      </c>
      <c r="AK34" s="111">
        <v>0</v>
      </c>
      <c r="AL34" s="111">
        <v>0</v>
      </c>
      <c r="AM34" s="111">
        <v>1</v>
      </c>
      <c r="AN34" s="111">
        <v>1</v>
      </c>
      <c r="AO34" s="111">
        <v>0</v>
      </c>
      <c r="AP34" s="111">
        <v>0</v>
      </c>
      <c r="AQ34" s="111">
        <v>0</v>
      </c>
      <c r="AR34" s="111">
        <v>0</v>
      </c>
    </row>
    <row r="35" spans="1:44" x14ac:dyDescent="0.15">
      <c r="A35" s="193" t="s">
        <v>226</v>
      </c>
      <c r="B35" s="111">
        <v>0</v>
      </c>
      <c r="C35" s="111">
        <v>0</v>
      </c>
      <c r="D35" s="111">
        <v>0</v>
      </c>
      <c r="E35" s="111">
        <v>0</v>
      </c>
      <c r="F35" s="111">
        <v>0</v>
      </c>
      <c r="G35" s="111">
        <v>0</v>
      </c>
      <c r="H35" s="111">
        <v>0</v>
      </c>
      <c r="I35" s="111">
        <v>0</v>
      </c>
      <c r="J35" s="111">
        <v>0</v>
      </c>
      <c r="K35" s="111">
        <v>0</v>
      </c>
      <c r="L35" s="111">
        <v>0</v>
      </c>
      <c r="M35" s="111">
        <v>0</v>
      </c>
      <c r="N35" s="111">
        <v>0</v>
      </c>
      <c r="O35" s="111">
        <v>0</v>
      </c>
      <c r="P35" s="111">
        <v>0</v>
      </c>
      <c r="Q35" s="111">
        <v>0</v>
      </c>
      <c r="R35" s="111">
        <v>1</v>
      </c>
      <c r="S35" s="111">
        <v>0</v>
      </c>
      <c r="T35" s="111">
        <v>0</v>
      </c>
      <c r="U35" s="111">
        <v>1</v>
      </c>
      <c r="V35" s="111">
        <v>0</v>
      </c>
      <c r="W35" s="111">
        <v>0</v>
      </c>
      <c r="X35" s="111">
        <v>0</v>
      </c>
      <c r="Y35" s="111">
        <v>0</v>
      </c>
      <c r="Z35" s="111">
        <v>0</v>
      </c>
      <c r="AA35" s="111">
        <v>0</v>
      </c>
      <c r="AB35" s="111">
        <v>0</v>
      </c>
      <c r="AC35" s="111">
        <v>0</v>
      </c>
      <c r="AD35" s="111">
        <v>1</v>
      </c>
      <c r="AE35" s="111">
        <v>1</v>
      </c>
      <c r="AF35" s="111">
        <v>0</v>
      </c>
      <c r="AG35" s="111">
        <v>0</v>
      </c>
      <c r="AH35" s="111">
        <v>0</v>
      </c>
      <c r="AI35" s="111">
        <v>1</v>
      </c>
      <c r="AJ35" s="111">
        <v>0</v>
      </c>
      <c r="AK35" s="111">
        <v>0</v>
      </c>
      <c r="AL35" s="111">
        <v>0</v>
      </c>
      <c r="AM35" s="111">
        <v>1</v>
      </c>
      <c r="AN35" s="111">
        <v>1</v>
      </c>
      <c r="AO35" s="111">
        <v>1</v>
      </c>
      <c r="AP35" s="111">
        <v>0</v>
      </c>
      <c r="AQ35" s="111">
        <v>0</v>
      </c>
      <c r="AR35" s="111">
        <v>0</v>
      </c>
    </row>
    <row r="36" spans="1:44" x14ac:dyDescent="0.15">
      <c r="A36" s="193" t="s">
        <v>227</v>
      </c>
      <c r="B36" s="111">
        <v>0</v>
      </c>
      <c r="C36" s="111">
        <v>0</v>
      </c>
      <c r="D36" s="111">
        <v>0</v>
      </c>
      <c r="E36" s="111">
        <v>0</v>
      </c>
      <c r="F36" s="111">
        <v>0</v>
      </c>
      <c r="G36" s="111">
        <v>0</v>
      </c>
      <c r="H36" s="111">
        <v>0</v>
      </c>
      <c r="I36" s="111">
        <v>0</v>
      </c>
      <c r="J36" s="111">
        <v>0</v>
      </c>
      <c r="K36" s="111">
        <v>0</v>
      </c>
      <c r="L36" s="111">
        <v>0</v>
      </c>
      <c r="M36" s="111">
        <v>0</v>
      </c>
      <c r="N36" s="111">
        <v>0</v>
      </c>
      <c r="O36" s="111">
        <v>0</v>
      </c>
      <c r="P36" s="111">
        <v>0</v>
      </c>
      <c r="Q36" s="111">
        <v>0</v>
      </c>
      <c r="R36" s="111">
        <v>0</v>
      </c>
      <c r="S36" s="111">
        <v>0</v>
      </c>
      <c r="T36" s="111">
        <v>0</v>
      </c>
      <c r="U36" s="111">
        <v>0</v>
      </c>
      <c r="V36" s="111">
        <v>0</v>
      </c>
      <c r="W36" s="111">
        <v>0</v>
      </c>
      <c r="X36" s="111">
        <v>0</v>
      </c>
      <c r="Y36" s="111">
        <v>0</v>
      </c>
      <c r="Z36" s="111">
        <v>0</v>
      </c>
      <c r="AA36" s="111">
        <v>0</v>
      </c>
      <c r="AB36" s="111">
        <v>0</v>
      </c>
      <c r="AC36" s="111">
        <v>0</v>
      </c>
      <c r="AD36" s="111">
        <v>0</v>
      </c>
      <c r="AE36" s="111">
        <v>0</v>
      </c>
      <c r="AF36" s="111">
        <v>0</v>
      </c>
      <c r="AG36" s="111">
        <v>0</v>
      </c>
      <c r="AH36" s="111">
        <v>0</v>
      </c>
      <c r="AI36" s="111">
        <v>0</v>
      </c>
      <c r="AJ36" s="111">
        <v>0</v>
      </c>
      <c r="AK36" s="111">
        <v>0</v>
      </c>
      <c r="AL36" s="111">
        <v>0</v>
      </c>
      <c r="AM36" s="111">
        <v>0</v>
      </c>
      <c r="AN36" s="111">
        <v>0</v>
      </c>
      <c r="AO36" s="111">
        <v>0</v>
      </c>
      <c r="AP36" s="111">
        <v>0</v>
      </c>
      <c r="AQ36" s="111">
        <v>0</v>
      </c>
      <c r="AR36" s="111">
        <v>0</v>
      </c>
    </row>
    <row r="37" spans="1:44" x14ac:dyDescent="0.15">
      <c r="A37" s="193" t="s">
        <v>228</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c r="AQ37" s="111">
        <v>0</v>
      </c>
      <c r="AR37" s="111">
        <v>0</v>
      </c>
    </row>
    <row r="38" spans="1:44" x14ac:dyDescent="0.15">
      <c r="A38" s="193" t="s">
        <v>229</v>
      </c>
      <c r="B38" s="111">
        <v>0</v>
      </c>
      <c r="C38" s="111">
        <v>0</v>
      </c>
      <c r="D38" s="111">
        <v>0</v>
      </c>
      <c r="E38" s="111">
        <v>0</v>
      </c>
      <c r="F38" s="111">
        <v>0</v>
      </c>
      <c r="G38" s="111">
        <v>0</v>
      </c>
      <c r="H38" s="111">
        <v>0</v>
      </c>
      <c r="I38" s="111">
        <v>0</v>
      </c>
      <c r="J38" s="111">
        <v>0</v>
      </c>
      <c r="K38" s="111">
        <v>0</v>
      </c>
      <c r="L38" s="111">
        <v>0</v>
      </c>
      <c r="M38" s="111">
        <v>0</v>
      </c>
      <c r="N38" s="111">
        <v>0</v>
      </c>
      <c r="O38" s="111">
        <v>0</v>
      </c>
      <c r="P38" s="111">
        <v>0</v>
      </c>
      <c r="Q38" s="111">
        <v>0</v>
      </c>
      <c r="R38" s="111">
        <v>0</v>
      </c>
      <c r="S38" s="111">
        <v>0</v>
      </c>
      <c r="T38" s="111">
        <v>0</v>
      </c>
      <c r="U38" s="111">
        <v>0</v>
      </c>
      <c r="V38" s="111">
        <v>0</v>
      </c>
      <c r="W38" s="111">
        <v>0</v>
      </c>
      <c r="X38" s="111">
        <v>0</v>
      </c>
      <c r="Y38" s="111">
        <v>0</v>
      </c>
      <c r="Z38" s="111">
        <v>0</v>
      </c>
      <c r="AA38" s="111">
        <v>0</v>
      </c>
      <c r="AB38" s="111">
        <v>0</v>
      </c>
      <c r="AC38" s="111">
        <v>0</v>
      </c>
      <c r="AD38" s="111">
        <v>0</v>
      </c>
      <c r="AE38" s="111">
        <v>0</v>
      </c>
      <c r="AF38" s="111">
        <v>0</v>
      </c>
      <c r="AG38" s="111">
        <v>0</v>
      </c>
      <c r="AH38" s="111">
        <v>0</v>
      </c>
      <c r="AI38" s="111">
        <v>0</v>
      </c>
      <c r="AJ38" s="111">
        <v>0</v>
      </c>
      <c r="AK38" s="111">
        <v>0</v>
      </c>
      <c r="AL38" s="111">
        <v>0</v>
      </c>
      <c r="AM38" s="111">
        <v>0</v>
      </c>
      <c r="AN38" s="111">
        <v>0</v>
      </c>
      <c r="AO38" s="111">
        <v>0</v>
      </c>
      <c r="AP38" s="111">
        <v>0</v>
      </c>
      <c r="AQ38" s="111">
        <v>0</v>
      </c>
      <c r="AR38" s="111">
        <v>0</v>
      </c>
    </row>
    <row r="39" spans="1:44" x14ac:dyDescent="0.15">
      <c r="A39" s="193" t="s">
        <v>230</v>
      </c>
      <c r="B39" s="111">
        <v>0</v>
      </c>
      <c r="C39" s="111">
        <v>0</v>
      </c>
      <c r="D39" s="111">
        <v>0</v>
      </c>
      <c r="E39" s="111">
        <v>0</v>
      </c>
      <c r="F39" s="111">
        <v>0</v>
      </c>
      <c r="G39" s="111">
        <v>0</v>
      </c>
      <c r="H39" s="111">
        <v>0</v>
      </c>
      <c r="I39" s="111">
        <v>0</v>
      </c>
      <c r="J39" s="111">
        <v>0</v>
      </c>
      <c r="K39" s="111">
        <v>0</v>
      </c>
      <c r="L39" s="111">
        <v>0</v>
      </c>
      <c r="M39" s="111">
        <v>0</v>
      </c>
      <c r="N39" s="111">
        <v>0</v>
      </c>
      <c r="O39" s="111">
        <v>0</v>
      </c>
      <c r="P39" s="111">
        <v>0</v>
      </c>
      <c r="Q39" s="111">
        <v>0</v>
      </c>
      <c r="R39" s="111">
        <v>0</v>
      </c>
      <c r="S39" s="111">
        <v>0</v>
      </c>
      <c r="T39" s="111">
        <v>0</v>
      </c>
      <c r="U39" s="111">
        <v>0</v>
      </c>
      <c r="V39" s="111">
        <v>0</v>
      </c>
      <c r="W39" s="111">
        <v>0</v>
      </c>
      <c r="X39" s="111">
        <v>0</v>
      </c>
      <c r="Y39" s="111">
        <v>0</v>
      </c>
      <c r="Z39" s="111">
        <v>0</v>
      </c>
      <c r="AA39" s="111">
        <v>0</v>
      </c>
      <c r="AB39" s="111">
        <v>0</v>
      </c>
      <c r="AC39" s="111">
        <v>0</v>
      </c>
      <c r="AD39" s="111">
        <v>0</v>
      </c>
      <c r="AE39" s="111">
        <v>0</v>
      </c>
      <c r="AF39" s="111">
        <v>0</v>
      </c>
      <c r="AG39" s="111">
        <v>0</v>
      </c>
      <c r="AH39" s="111">
        <v>0</v>
      </c>
      <c r="AI39" s="111">
        <v>0</v>
      </c>
      <c r="AJ39" s="111">
        <v>0</v>
      </c>
      <c r="AK39" s="111">
        <v>0</v>
      </c>
      <c r="AL39" s="111">
        <v>0</v>
      </c>
      <c r="AM39" s="111">
        <v>0</v>
      </c>
      <c r="AN39" s="111">
        <v>0</v>
      </c>
      <c r="AO39" s="111">
        <v>0</v>
      </c>
      <c r="AP39" s="111">
        <v>0</v>
      </c>
      <c r="AQ39" s="111">
        <v>0</v>
      </c>
      <c r="AR39" s="111">
        <v>0</v>
      </c>
    </row>
    <row r="40" spans="1:44" x14ac:dyDescent="0.15">
      <c r="A40" s="193" t="s">
        <v>231</v>
      </c>
      <c r="B40" s="111">
        <v>0</v>
      </c>
      <c r="C40" s="111">
        <v>0</v>
      </c>
      <c r="D40" s="111">
        <v>0</v>
      </c>
      <c r="E40" s="111">
        <v>0</v>
      </c>
      <c r="F40" s="111">
        <v>0</v>
      </c>
      <c r="G40" s="111">
        <v>0</v>
      </c>
      <c r="H40" s="111">
        <v>0</v>
      </c>
      <c r="I40" s="111">
        <v>0</v>
      </c>
      <c r="J40" s="111">
        <v>0</v>
      </c>
      <c r="K40" s="111">
        <v>0</v>
      </c>
      <c r="L40" s="111">
        <v>0</v>
      </c>
      <c r="M40" s="111">
        <v>0</v>
      </c>
      <c r="N40" s="111">
        <v>0</v>
      </c>
      <c r="O40" s="111">
        <v>0</v>
      </c>
      <c r="P40" s="111">
        <v>0</v>
      </c>
      <c r="Q40" s="111">
        <v>0</v>
      </c>
      <c r="R40" s="111">
        <v>0</v>
      </c>
      <c r="S40" s="111">
        <v>0</v>
      </c>
      <c r="T40" s="111">
        <v>0</v>
      </c>
      <c r="U40" s="111">
        <v>0</v>
      </c>
      <c r="V40" s="111">
        <v>0</v>
      </c>
      <c r="W40" s="111">
        <v>0</v>
      </c>
      <c r="X40" s="111">
        <v>0</v>
      </c>
      <c r="Y40" s="111">
        <v>0</v>
      </c>
      <c r="Z40" s="111">
        <v>0</v>
      </c>
      <c r="AA40" s="111">
        <v>0</v>
      </c>
      <c r="AB40" s="111">
        <v>0</v>
      </c>
      <c r="AC40" s="111">
        <v>0</v>
      </c>
      <c r="AD40" s="111">
        <v>0</v>
      </c>
      <c r="AE40" s="111">
        <v>0</v>
      </c>
      <c r="AF40" s="111">
        <v>0</v>
      </c>
      <c r="AG40" s="111">
        <v>0</v>
      </c>
      <c r="AH40" s="111">
        <v>0</v>
      </c>
      <c r="AI40" s="111">
        <v>0</v>
      </c>
      <c r="AJ40" s="111">
        <v>0</v>
      </c>
      <c r="AK40" s="111">
        <v>0</v>
      </c>
      <c r="AL40" s="111">
        <v>0</v>
      </c>
      <c r="AM40" s="111">
        <v>0</v>
      </c>
      <c r="AN40" s="111">
        <v>0</v>
      </c>
      <c r="AO40" s="111">
        <v>0</v>
      </c>
      <c r="AP40" s="111">
        <v>0</v>
      </c>
      <c r="AQ40" s="111">
        <v>0</v>
      </c>
      <c r="AR40" s="111">
        <v>0</v>
      </c>
    </row>
    <row r="41" spans="1:44" x14ac:dyDescent="0.15">
      <c r="A41" s="193" t="s">
        <v>232</v>
      </c>
      <c r="B41" s="111">
        <v>0</v>
      </c>
      <c r="C41" s="111">
        <v>0</v>
      </c>
      <c r="D41" s="111">
        <v>0</v>
      </c>
      <c r="E41" s="111">
        <v>0</v>
      </c>
      <c r="F41" s="111">
        <v>0</v>
      </c>
      <c r="G41" s="111">
        <v>0</v>
      </c>
      <c r="H41" s="111">
        <v>0</v>
      </c>
      <c r="I41" s="111">
        <v>0</v>
      </c>
      <c r="J41" s="111">
        <v>0</v>
      </c>
      <c r="K41" s="111">
        <v>0</v>
      </c>
      <c r="L41" s="111">
        <v>0</v>
      </c>
      <c r="M41" s="111">
        <v>0</v>
      </c>
      <c r="N41" s="111">
        <v>0</v>
      </c>
      <c r="O41" s="111">
        <v>0</v>
      </c>
      <c r="P41" s="111">
        <v>0</v>
      </c>
      <c r="Q41" s="111">
        <v>0</v>
      </c>
      <c r="R41" s="111">
        <v>0</v>
      </c>
      <c r="S41" s="111">
        <v>0</v>
      </c>
      <c r="T41" s="111">
        <v>0</v>
      </c>
      <c r="U41" s="111">
        <v>0</v>
      </c>
      <c r="V41" s="111">
        <v>0</v>
      </c>
      <c r="W41" s="111">
        <v>0</v>
      </c>
      <c r="X41" s="111">
        <v>0</v>
      </c>
      <c r="Y41" s="111">
        <v>0</v>
      </c>
      <c r="Z41" s="111">
        <v>0</v>
      </c>
      <c r="AA41" s="111">
        <v>0</v>
      </c>
      <c r="AB41" s="111">
        <v>0</v>
      </c>
      <c r="AC41" s="111">
        <v>0</v>
      </c>
      <c r="AD41" s="111">
        <v>0</v>
      </c>
      <c r="AE41" s="111">
        <v>0</v>
      </c>
      <c r="AF41" s="111">
        <v>0</v>
      </c>
      <c r="AG41" s="111">
        <v>0</v>
      </c>
      <c r="AH41" s="111">
        <v>0</v>
      </c>
      <c r="AI41" s="111">
        <v>0</v>
      </c>
      <c r="AJ41" s="111">
        <v>0</v>
      </c>
      <c r="AK41" s="111">
        <v>0</v>
      </c>
      <c r="AL41" s="111">
        <v>0</v>
      </c>
      <c r="AM41" s="111">
        <v>0</v>
      </c>
      <c r="AN41" s="111">
        <v>0</v>
      </c>
      <c r="AO41" s="111">
        <v>0</v>
      </c>
      <c r="AP41" s="111">
        <v>0</v>
      </c>
      <c r="AQ41" s="111">
        <v>0</v>
      </c>
      <c r="AR41" s="111">
        <v>0</v>
      </c>
    </row>
    <row r="42" spans="1:44" x14ac:dyDescent="0.15">
      <c r="A42" s="193" t="s">
        <v>233</v>
      </c>
      <c r="B42" s="111">
        <v>0</v>
      </c>
      <c r="C42" s="111">
        <v>0</v>
      </c>
      <c r="D42" s="111">
        <v>0</v>
      </c>
      <c r="E42" s="111">
        <v>0</v>
      </c>
      <c r="F42" s="111">
        <v>0</v>
      </c>
      <c r="G42" s="111">
        <v>0</v>
      </c>
      <c r="H42" s="111">
        <v>0</v>
      </c>
      <c r="I42" s="111">
        <v>0</v>
      </c>
      <c r="J42" s="111">
        <v>0</v>
      </c>
      <c r="K42" s="111">
        <v>0</v>
      </c>
      <c r="L42" s="111">
        <v>0</v>
      </c>
      <c r="M42" s="111">
        <v>0</v>
      </c>
      <c r="N42" s="111">
        <v>0</v>
      </c>
      <c r="O42" s="111">
        <v>0</v>
      </c>
      <c r="P42" s="111">
        <v>0</v>
      </c>
      <c r="Q42" s="111">
        <v>0</v>
      </c>
      <c r="R42" s="111">
        <v>0</v>
      </c>
      <c r="S42" s="111">
        <v>0</v>
      </c>
      <c r="T42" s="111">
        <v>0</v>
      </c>
      <c r="U42" s="111">
        <v>0</v>
      </c>
      <c r="V42" s="111">
        <v>0</v>
      </c>
      <c r="W42" s="111">
        <v>0</v>
      </c>
      <c r="X42" s="111">
        <v>0</v>
      </c>
      <c r="Y42" s="111">
        <v>0</v>
      </c>
      <c r="Z42" s="111">
        <v>0</v>
      </c>
      <c r="AA42" s="111">
        <v>0</v>
      </c>
      <c r="AB42" s="111">
        <v>0</v>
      </c>
      <c r="AC42" s="111">
        <v>0</v>
      </c>
      <c r="AD42" s="111">
        <v>0</v>
      </c>
      <c r="AE42" s="111">
        <v>0</v>
      </c>
      <c r="AF42" s="111">
        <v>0</v>
      </c>
      <c r="AG42" s="111">
        <v>0</v>
      </c>
      <c r="AH42" s="111">
        <v>0</v>
      </c>
      <c r="AI42" s="111">
        <v>0</v>
      </c>
      <c r="AJ42" s="111">
        <v>1</v>
      </c>
      <c r="AK42" s="111">
        <v>1</v>
      </c>
      <c r="AL42" s="111">
        <v>0</v>
      </c>
      <c r="AM42" s="111">
        <v>0</v>
      </c>
      <c r="AN42" s="111">
        <v>0</v>
      </c>
      <c r="AO42" s="111">
        <v>0</v>
      </c>
      <c r="AP42" s="111">
        <v>0</v>
      </c>
      <c r="AQ42" s="111">
        <v>0</v>
      </c>
      <c r="AR42" s="111">
        <v>0</v>
      </c>
    </row>
    <row r="43" spans="1:44" x14ac:dyDescent="0.15">
      <c r="A43" s="193" t="s">
        <v>234</v>
      </c>
      <c r="B43" s="111">
        <v>0</v>
      </c>
      <c r="C43" s="111">
        <v>1</v>
      </c>
      <c r="D43" s="111">
        <v>0</v>
      </c>
      <c r="E43" s="111">
        <v>1</v>
      </c>
      <c r="F43" s="111">
        <v>1</v>
      </c>
      <c r="G43" s="111">
        <v>1</v>
      </c>
      <c r="H43" s="111">
        <v>1</v>
      </c>
      <c r="I43" s="111">
        <v>1</v>
      </c>
      <c r="J43" s="111">
        <v>1</v>
      </c>
      <c r="K43" s="111">
        <v>1</v>
      </c>
      <c r="L43" s="111">
        <v>1</v>
      </c>
      <c r="M43" s="111">
        <v>1</v>
      </c>
      <c r="N43" s="111">
        <v>0</v>
      </c>
      <c r="O43" s="111">
        <v>0</v>
      </c>
      <c r="P43" s="111">
        <v>0</v>
      </c>
      <c r="Q43" s="111">
        <v>0</v>
      </c>
      <c r="R43" s="111">
        <v>0</v>
      </c>
      <c r="S43" s="111">
        <v>0</v>
      </c>
      <c r="T43" s="111">
        <v>0</v>
      </c>
      <c r="U43" s="111">
        <v>0</v>
      </c>
      <c r="V43" s="111">
        <v>0</v>
      </c>
      <c r="W43" s="111">
        <v>0</v>
      </c>
      <c r="X43" s="111">
        <v>0</v>
      </c>
      <c r="Y43" s="111">
        <v>0</v>
      </c>
      <c r="Z43" s="111">
        <v>0</v>
      </c>
      <c r="AA43" s="111">
        <v>0</v>
      </c>
      <c r="AB43" s="111">
        <v>0</v>
      </c>
      <c r="AC43" s="111">
        <v>0</v>
      </c>
      <c r="AD43" s="111">
        <v>0</v>
      </c>
      <c r="AE43" s="111">
        <v>0</v>
      </c>
      <c r="AF43" s="111">
        <v>0</v>
      </c>
      <c r="AG43" s="111">
        <v>0</v>
      </c>
      <c r="AH43" s="111">
        <v>0</v>
      </c>
      <c r="AI43" s="111">
        <v>0</v>
      </c>
      <c r="AJ43" s="111">
        <v>0</v>
      </c>
      <c r="AK43" s="111">
        <v>0</v>
      </c>
      <c r="AL43" s="111">
        <v>0</v>
      </c>
      <c r="AM43" s="111">
        <v>0</v>
      </c>
      <c r="AN43" s="111">
        <v>0</v>
      </c>
      <c r="AO43" s="111">
        <v>0</v>
      </c>
      <c r="AP43" s="111">
        <v>0</v>
      </c>
      <c r="AQ43" s="111">
        <v>0</v>
      </c>
      <c r="AR43" s="111">
        <v>0</v>
      </c>
    </row>
    <row r="44" spans="1:44" x14ac:dyDescent="0.15">
      <c r="A44" s="193" t="s">
        <v>235</v>
      </c>
      <c r="B44" s="111">
        <v>0</v>
      </c>
      <c r="C44" s="111">
        <v>0</v>
      </c>
      <c r="D44" s="111">
        <v>0</v>
      </c>
      <c r="E44" s="111">
        <v>0</v>
      </c>
      <c r="F44" s="111">
        <v>0</v>
      </c>
      <c r="G44" s="111">
        <v>0</v>
      </c>
      <c r="H44" s="111">
        <v>0</v>
      </c>
      <c r="I44" s="111">
        <v>0</v>
      </c>
      <c r="J44" s="111">
        <v>0</v>
      </c>
      <c r="K44" s="111">
        <v>0</v>
      </c>
      <c r="L44" s="111">
        <v>0</v>
      </c>
      <c r="M44" s="111">
        <v>0</v>
      </c>
      <c r="N44" s="111">
        <v>0</v>
      </c>
      <c r="O44" s="111">
        <v>0</v>
      </c>
      <c r="P44" s="111">
        <v>0</v>
      </c>
      <c r="Q44" s="111">
        <v>0</v>
      </c>
      <c r="R44" s="111">
        <v>0</v>
      </c>
      <c r="S44" s="111">
        <v>0</v>
      </c>
      <c r="T44" s="111">
        <v>0</v>
      </c>
      <c r="U44" s="111">
        <v>0</v>
      </c>
      <c r="V44" s="111">
        <v>0</v>
      </c>
      <c r="W44" s="111">
        <v>0</v>
      </c>
      <c r="X44" s="111">
        <v>0</v>
      </c>
      <c r="Y44" s="111">
        <v>0</v>
      </c>
      <c r="Z44" s="111">
        <v>0</v>
      </c>
      <c r="AA44" s="111">
        <v>0</v>
      </c>
      <c r="AB44" s="111">
        <v>0</v>
      </c>
      <c r="AC44" s="111">
        <v>0</v>
      </c>
      <c r="AD44" s="111">
        <v>0</v>
      </c>
      <c r="AE44" s="111">
        <v>0</v>
      </c>
      <c r="AF44" s="111">
        <v>0</v>
      </c>
      <c r="AG44" s="111">
        <v>0</v>
      </c>
      <c r="AH44" s="111">
        <v>0</v>
      </c>
      <c r="AI44" s="111">
        <v>0</v>
      </c>
      <c r="AJ44" s="111">
        <v>0</v>
      </c>
      <c r="AK44" s="111">
        <v>0</v>
      </c>
      <c r="AL44" s="111">
        <v>0</v>
      </c>
      <c r="AM44" s="111">
        <v>0</v>
      </c>
      <c r="AN44" s="111">
        <v>0</v>
      </c>
      <c r="AO44" s="111">
        <v>0</v>
      </c>
      <c r="AP44" s="111">
        <v>0</v>
      </c>
      <c r="AQ44" s="111">
        <v>0</v>
      </c>
      <c r="AR44" s="111">
        <v>0</v>
      </c>
    </row>
    <row r="45" spans="1:44" x14ac:dyDescent="0.15">
      <c r="A45" s="193" t="s">
        <v>242</v>
      </c>
      <c r="B45" s="111">
        <v>0</v>
      </c>
      <c r="C45" s="111">
        <v>0</v>
      </c>
      <c r="D45" s="111">
        <v>0</v>
      </c>
      <c r="E45" s="111">
        <v>0</v>
      </c>
      <c r="F45" s="111">
        <v>0</v>
      </c>
      <c r="G45" s="111">
        <v>0</v>
      </c>
      <c r="H45" s="111">
        <v>0</v>
      </c>
      <c r="I45" s="111">
        <v>0</v>
      </c>
      <c r="J45" s="111">
        <v>0</v>
      </c>
      <c r="K45" s="111">
        <v>0</v>
      </c>
      <c r="L45" s="111">
        <v>0</v>
      </c>
      <c r="M45" s="111">
        <v>0</v>
      </c>
      <c r="N45" s="111">
        <v>0</v>
      </c>
      <c r="O45" s="111">
        <v>0</v>
      </c>
      <c r="P45" s="111">
        <v>0</v>
      </c>
      <c r="Q45" s="111">
        <v>0</v>
      </c>
      <c r="R45" s="111">
        <v>0</v>
      </c>
      <c r="S45" s="111">
        <v>0</v>
      </c>
      <c r="T45" s="111">
        <v>0</v>
      </c>
      <c r="U45" s="111">
        <v>0</v>
      </c>
      <c r="V45" s="111">
        <v>0</v>
      </c>
      <c r="W45" s="111">
        <v>0</v>
      </c>
      <c r="X45" s="111">
        <v>0</v>
      </c>
      <c r="Y45" s="111">
        <v>0</v>
      </c>
      <c r="Z45" s="111">
        <v>0</v>
      </c>
      <c r="AA45" s="111">
        <v>0</v>
      </c>
      <c r="AB45" s="111">
        <v>0</v>
      </c>
      <c r="AC45" s="111">
        <v>0</v>
      </c>
      <c r="AD45" s="111">
        <v>0</v>
      </c>
      <c r="AE45" s="111">
        <v>0</v>
      </c>
      <c r="AF45" s="111">
        <v>0</v>
      </c>
      <c r="AG45" s="111">
        <v>0</v>
      </c>
      <c r="AH45" s="111">
        <v>0</v>
      </c>
      <c r="AI45" s="111">
        <v>0</v>
      </c>
      <c r="AJ45" s="111">
        <v>1</v>
      </c>
      <c r="AK45" s="111">
        <v>1</v>
      </c>
      <c r="AL45" s="111">
        <v>0</v>
      </c>
      <c r="AM45" s="111">
        <v>0</v>
      </c>
      <c r="AN45" s="111">
        <v>1</v>
      </c>
      <c r="AO45" s="111">
        <v>1</v>
      </c>
      <c r="AP45" s="111">
        <v>0</v>
      </c>
      <c r="AQ45" s="111">
        <v>0</v>
      </c>
      <c r="AR45"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H185"/>
  <sheetViews>
    <sheetView workbookViewId="0">
      <selection activeCell="A3" sqref="A3"/>
    </sheetView>
  </sheetViews>
  <sheetFormatPr baseColWidth="10" defaultRowHeight="13" x14ac:dyDescent="0.15"/>
  <cols>
    <col min="1" max="1" width="3.33203125" customWidth="1"/>
    <col min="2" max="2" width="35" bestFit="1" customWidth="1"/>
    <col min="3" max="4" width="3.83203125" bestFit="1" customWidth="1"/>
    <col min="5" max="8" width="3.83203125" customWidth="1"/>
  </cols>
  <sheetData>
    <row r="1" spans="1:8" ht="112" x14ac:dyDescent="0.15">
      <c r="A1" s="5" t="s">
        <v>83</v>
      </c>
      <c r="B1" s="3" t="s">
        <v>0</v>
      </c>
      <c r="C1" s="196" t="s">
        <v>236</v>
      </c>
      <c r="D1" s="196" t="s">
        <v>237</v>
      </c>
      <c r="E1" s="196" t="s">
        <v>238</v>
      </c>
      <c r="F1" s="196" t="s">
        <v>239</v>
      </c>
      <c r="G1" s="196" t="s">
        <v>240</v>
      </c>
      <c r="H1" s="196" t="s">
        <v>241</v>
      </c>
    </row>
    <row r="2" spans="1:8" x14ac:dyDescent="0.15">
      <c r="A2">
        <v>1</v>
      </c>
      <c r="B2" s="195" t="s">
        <v>193</v>
      </c>
      <c r="C2">
        <v>0</v>
      </c>
      <c r="D2">
        <v>0</v>
      </c>
      <c r="E2">
        <v>0</v>
      </c>
      <c r="F2">
        <v>0</v>
      </c>
      <c r="G2">
        <v>0</v>
      </c>
      <c r="H2">
        <v>0</v>
      </c>
    </row>
    <row r="3" spans="1:8" x14ac:dyDescent="0.15">
      <c r="A3">
        <v>2</v>
      </c>
      <c r="B3" s="195" t="s">
        <v>194</v>
      </c>
      <c r="C3">
        <v>0</v>
      </c>
      <c r="D3">
        <v>0</v>
      </c>
      <c r="E3">
        <v>0</v>
      </c>
      <c r="F3">
        <v>0</v>
      </c>
      <c r="G3">
        <v>0</v>
      </c>
      <c r="H3">
        <v>0</v>
      </c>
    </row>
    <row r="4" spans="1:8" x14ac:dyDescent="0.15">
      <c r="A4">
        <v>3</v>
      </c>
      <c r="B4" s="195" t="s">
        <v>195</v>
      </c>
      <c r="C4">
        <v>0</v>
      </c>
      <c r="D4">
        <v>0</v>
      </c>
      <c r="E4">
        <v>0</v>
      </c>
      <c r="F4">
        <v>0</v>
      </c>
      <c r="G4">
        <v>0</v>
      </c>
      <c r="H4">
        <v>0</v>
      </c>
    </row>
    <row r="5" spans="1:8" x14ac:dyDescent="0.15">
      <c r="A5">
        <v>4</v>
      </c>
      <c r="B5" s="195" t="s">
        <v>196</v>
      </c>
      <c r="C5">
        <v>0</v>
      </c>
      <c r="D5">
        <v>0</v>
      </c>
      <c r="E5">
        <v>0</v>
      </c>
      <c r="F5">
        <v>0</v>
      </c>
      <c r="G5">
        <v>0</v>
      </c>
      <c r="H5">
        <v>0</v>
      </c>
    </row>
    <row r="6" spans="1:8" x14ac:dyDescent="0.15">
      <c r="A6">
        <v>5</v>
      </c>
      <c r="B6" s="195" t="s">
        <v>197</v>
      </c>
      <c r="C6">
        <v>0</v>
      </c>
      <c r="D6">
        <v>0</v>
      </c>
      <c r="E6">
        <v>0</v>
      </c>
      <c r="F6">
        <v>0</v>
      </c>
      <c r="G6">
        <v>0</v>
      </c>
      <c r="H6">
        <v>0</v>
      </c>
    </row>
    <row r="7" spans="1:8" x14ac:dyDescent="0.15">
      <c r="A7">
        <v>6</v>
      </c>
      <c r="B7" s="195" t="s">
        <v>198</v>
      </c>
      <c r="C7">
        <v>0</v>
      </c>
      <c r="D7">
        <v>0</v>
      </c>
      <c r="E7">
        <v>0</v>
      </c>
      <c r="F7">
        <v>0</v>
      </c>
      <c r="G7">
        <v>0</v>
      </c>
      <c r="H7">
        <v>0</v>
      </c>
    </row>
    <row r="8" spans="1:8" x14ac:dyDescent="0.15">
      <c r="A8">
        <v>7</v>
      </c>
      <c r="B8" s="195" t="s">
        <v>199</v>
      </c>
      <c r="C8">
        <v>0</v>
      </c>
      <c r="D8">
        <v>0</v>
      </c>
      <c r="E8">
        <v>0</v>
      </c>
      <c r="F8">
        <v>0</v>
      </c>
      <c r="G8">
        <v>0</v>
      </c>
      <c r="H8">
        <v>0</v>
      </c>
    </row>
    <row r="9" spans="1:8" x14ac:dyDescent="0.15">
      <c r="A9">
        <v>8</v>
      </c>
      <c r="B9" s="195" t="s">
        <v>200</v>
      </c>
      <c r="C9">
        <v>0</v>
      </c>
      <c r="D9">
        <v>0</v>
      </c>
      <c r="E9">
        <v>0</v>
      </c>
      <c r="F9">
        <v>0</v>
      </c>
      <c r="G9">
        <v>0</v>
      </c>
      <c r="H9">
        <v>0</v>
      </c>
    </row>
    <row r="10" spans="1:8" x14ac:dyDescent="0.15">
      <c r="A10">
        <v>9</v>
      </c>
      <c r="B10" s="195" t="s">
        <v>201</v>
      </c>
      <c r="C10">
        <v>0.8</v>
      </c>
      <c r="D10">
        <v>0</v>
      </c>
      <c r="E10">
        <v>0.8</v>
      </c>
      <c r="F10">
        <v>0.8</v>
      </c>
      <c r="G10">
        <v>0</v>
      </c>
      <c r="H10">
        <v>0.8</v>
      </c>
    </row>
    <row r="11" spans="1:8" x14ac:dyDescent="0.15">
      <c r="A11">
        <v>10</v>
      </c>
      <c r="B11" s="195" t="s">
        <v>202</v>
      </c>
      <c r="C11">
        <v>0</v>
      </c>
      <c r="D11">
        <v>0</v>
      </c>
      <c r="E11">
        <v>0</v>
      </c>
      <c r="F11">
        <v>0</v>
      </c>
      <c r="G11">
        <v>0</v>
      </c>
      <c r="H11">
        <v>0</v>
      </c>
    </row>
    <row r="12" spans="1:8" x14ac:dyDescent="0.15">
      <c r="A12">
        <v>11</v>
      </c>
      <c r="B12" s="195" t="s">
        <v>203</v>
      </c>
      <c r="C12">
        <v>0</v>
      </c>
      <c r="D12">
        <v>0</v>
      </c>
      <c r="E12">
        <v>0</v>
      </c>
      <c r="F12">
        <v>0</v>
      </c>
      <c r="G12">
        <v>0</v>
      </c>
      <c r="H12">
        <v>0</v>
      </c>
    </row>
    <row r="13" spans="1:8" x14ac:dyDescent="0.15">
      <c r="A13">
        <v>12</v>
      </c>
      <c r="B13" s="195" t="s">
        <v>204</v>
      </c>
      <c r="C13">
        <v>0</v>
      </c>
      <c r="D13">
        <v>0</v>
      </c>
      <c r="E13">
        <v>0</v>
      </c>
      <c r="F13">
        <v>0</v>
      </c>
      <c r="G13">
        <v>0</v>
      </c>
      <c r="H13">
        <v>0</v>
      </c>
    </row>
    <row r="14" spans="1:8" x14ac:dyDescent="0.15">
      <c r="A14">
        <v>13</v>
      </c>
      <c r="B14" s="195" t="s">
        <v>205</v>
      </c>
      <c r="C14">
        <v>0.8</v>
      </c>
      <c r="D14">
        <v>0.8</v>
      </c>
      <c r="E14">
        <v>0.8</v>
      </c>
      <c r="F14">
        <v>0.8</v>
      </c>
      <c r="G14">
        <v>0.8</v>
      </c>
      <c r="H14">
        <v>0</v>
      </c>
    </row>
    <row r="15" spans="1:8" x14ac:dyDescent="0.15">
      <c r="A15">
        <v>14</v>
      </c>
      <c r="B15" s="195" t="s">
        <v>206</v>
      </c>
      <c r="C15">
        <v>0.8</v>
      </c>
      <c r="D15">
        <v>0.8</v>
      </c>
      <c r="E15">
        <v>0.8</v>
      </c>
      <c r="F15">
        <v>0.8</v>
      </c>
      <c r="G15">
        <v>0.8</v>
      </c>
      <c r="H15">
        <v>0</v>
      </c>
    </row>
    <row r="16" spans="1:8" x14ac:dyDescent="0.15">
      <c r="A16">
        <v>15</v>
      </c>
      <c r="B16" s="195" t="s">
        <v>207</v>
      </c>
      <c r="C16">
        <v>0.8</v>
      </c>
      <c r="D16">
        <v>0.8</v>
      </c>
      <c r="E16">
        <v>0.8</v>
      </c>
      <c r="F16">
        <v>0.8</v>
      </c>
      <c r="G16">
        <v>0.8</v>
      </c>
      <c r="H16">
        <v>0</v>
      </c>
    </row>
    <row r="17" spans="1:8" x14ac:dyDescent="0.15">
      <c r="A17">
        <v>16</v>
      </c>
      <c r="B17" s="195" t="s">
        <v>208</v>
      </c>
      <c r="C17">
        <v>0.8</v>
      </c>
      <c r="D17">
        <v>0.8</v>
      </c>
      <c r="E17">
        <v>0.8</v>
      </c>
      <c r="F17">
        <v>0.8</v>
      </c>
      <c r="G17">
        <v>0.8</v>
      </c>
      <c r="H17">
        <v>0</v>
      </c>
    </row>
    <row r="18" spans="1:8" x14ac:dyDescent="0.15">
      <c r="A18">
        <v>17</v>
      </c>
      <c r="B18" s="195" t="s">
        <v>209</v>
      </c>
      <c r="C18">
        <v>0.8</v>
      </c>
      <c r="D18">
        <v>0.8</v>
      </c>
      <c r="E18">
        <v>0.8</v>
      </c>
      <c r="F18">
        <v>0.8</v>
      </c>
      <c r="G18">
        <v>0.8</v>
      </c>
      <c r="H18">
        <v>0</v>
      </c>
    </row>
    <row r="19" spans="1:8" x14ac:dyDescent="0.15">
      <c r="A19">
        <v>18</v>
      </c>
      <c r="B19" s="195" t="s">
        <v>210</v>
      </c>
      <c r="C19">
        <v>0.8</v>
      </c>
      <c r="D19">
        <v>0.8</v>
      </c>
      <c r="E19">
        <v>0.8</v>
      </c>
      <c r="F19">
        <v>0.8</v>
      </c>
      <c r="G19">
        <v>0.8</v>
      </c>
      <c r="H19">
        <v>0</v>
      </c>
    </row>
    <row r="20" spans="1:8" x14ac:dyDescent="0.15">
      <c r="A20">
        <v>19</v>
      </c>
      <c r="B20" s="195" t="s">
        <v>211</v>
      </c>
      <c r="C20">
        <v>0.8</v>
      </c>
      <c r="D20">
        <v>0.8</v>
      </c>
      <c r="E20">
        <v>0.8</v>
      </c>
      <c r="F20">
        <v>0.8</v>
      </c>
      <c r="G20">
        <v>0.8</v>
      </c>
      <c r="H20">
        <v>0</v>
      </c>
    </row>
    <row r="21" spans="1:8" x14ac:dyDescent="0.15">
      <c r="A21">
        <v>20</v>
      </c>
      <c r="B21" s="195" t="s">
        <v>212</v>
      </c>
      <c r="C21">
        <v>0.8</v>
      </c>
      <c r="D21">
        <v>0.8</v>
      </c>
      <c r="E21">
        <v>0.8</v>
      </c>
      <c r="F21">
        <v>0.8</v>
      </c>
      <c r="G21">
        <v>0.8</v>
      </c>
      <c r="H21">
        <v>0</v>
      </c>
    </row>
    <row r="22" spans="1:8" x14ac:dyDescent="0.15">
      <c r="A22">
        <v>21</v>
      </c>
      <c r="B22" s="195" t="s">
        <v>213</v>
      </c>
      <c r="C22">
        <v>0</v>
      </c>
      <c r="D22">
        <v>0</v>
      </c>
      <c r="E22">
        <v>0</v>
      </c>
      <c r="F22">
        <v>0</v>
      </c>
      <c r="G22">
        <v>0</v>
      </c>
      <c r="H22">
        <v>0</v>
      </c>
    </row>
    <row r="23" spans="1:8" x14ac:dyDescent="0.15">
      <c r="A23">
        <v>22</v>
      </c>
      <c r="B23" s="195" t="s">
        <v>214</v>
      </c>
      <c r="C23">
        <v>0.8</v>
      </c>
      <c r="D23">
        <v>0.8</v>
      </c>
      <c r="E23">
        <v>0.8</v>
      </c>
      <c r="F23">
        <v>0.8</v>
      </c>
      <c r="G23">
        <v>0.8</v>
      </c>
      <c r="H23">
        <v>0</v>
      </c>
    </row>
    <row r="24" spans="1:8" x14ac:dyDescent="0.15">
      <c r="A24">
        <v>23</v>
      </c>
      <c r="B24" s="195" t="s">
        <v>215</v>
      </c>
      <c r="C24">
        <v>0</v>
      </c>
      <c r="D24">
        <v>0</v>
      </c>
      <c r="E24">
        <v>0</v>
      </c>
      <c r="F24">
        <v>0</v>
      </c>
      <c r="G24">
        <v>0</v>
      </c>
      <c r="H24">
        <v>0</v>
      </c>
    </row>
    <row r="25" spans="1:8" x14ac:dyDescent="0.15">
      <c r="A25">
        <v>24</v>
      </c>
      <c r="B25" s="195" t="s">
        <v>216</v>
      </c>
      <c r="C25">
        <v>0.8</v>
      </c>
      <c r="D25">
        <v>0.8</v>
      </c>
      <c r="E25">
        <v>0.8</v>
      </c>
      <c r="F25">
        <v>0.8</v>
      </c>
      <c r="G25">
        <v>0.8</v>
      </c>
      <c r="H25">
        <v>0</v>
      </c>
    </row>
    <row r="26" spans="1:8" x14ac:dyDescent="0.15">
      <c r="A26">
        <v>25</v>
      </c>
      <c r="B26" s="195" t="s">
        <v>217</v>
      </c>
      <c r="C26">
        <v>0.8</v>
      </c>
      <c r="D26">
        <v>0.8</v>
      </c>
      <c r="E26">
        <v>0.8</v>
      </c>
      <c r="F26">
        <v>0.8</v>
      </c>
      <c r="G26">
        <v>0.8</v>
      </c>
      <c r="H26">
        <v>0</v>
      </c>
    </row>
    <row r="27" spans="1:8" x14ac:dyDescent="0.15">
      <c r="A27">
        <v>26</v>
      </c>
      <c r="B27" s="195" t="s">
        <v>218</v>
      </c>
      <c r="C27">
        <v>0.8</v>
      </c>
      <c r="D27">
        <v>0.8</v>
      </c>
      <c r="E27">
        <v>0.8</v>
      </c>
      <c r="F27">
        <v>0.8</v>
      </c>
      <c r="G27">
        <v>0.8</v>
      </c>
      <c r="H27">
        <v>0</v>
      </c>
    </row>
    <row r="28" spans="1:8" x14ac:dyDescent="0.15">
      <c r="A28">
        <v>27</v>
      </c>
      <c r="B28" s="195" t="s">
        <v>219</v>
      </c>
      <c r="C28">
        <v>0.8</v>
      </c>
      <c r="D28">
        <v>0.8</v>
      </c>
      <c r="E28">
        <v>0.8</v>
      </c>
      <c r="F28">
        <v>0.8</v>
      </c>
      <c r="G28">
        <v>0.8</v>
      </c>
      <c r="H28">
        <v>0</v>
      </c>
    </row>
    <row r="29" spans="1:8" x14ac:dyDescent="0.15">
      <c r="A29">
        <v>28</v>
      </c>
      <c r="B29" s="195" t="s">
        <v>220</v>
      </c>
      <c r="C29">
        <v>0.8</v>
      </c>
      <c r="D29">
        <v>0.8</v>
      </c>
      <c r="E29">
        <v>0.8</v>
      </c>
      <c r="F29">
        <v>0.8</v>
      </c>
      <c r="G29">
        <v>0.8</v>
      </c>
      <c r="H29">
        <v>0</v>
      </c>
    </row>
    <row r="30" spans="1:8" x14ac:dyDescent="0.15">
      <c r="A30">
        <v>29</v>
      </c>
      <c r="B30" s="195" t="s">
        <v>221</v>
      </c>
      <c r="C30">
        <v>0.8</v>
      </c>
      <c r="D30">
        <v>0.8</v>
      </c>
      <c r="E30">
        <v>0.8</v>
      </c>
      <c r="F30">
        <v>0.8</v>
      </c>
      <c r="G30">
        <v>0.8</v>
      </c>
      <c r="H30">
        <v>0</v>
      </c>
    </row>
    <row r="31" spans="1:8" x14ac:dyDescent="0.15">
      <c r="A31">
        <v>30</v>
      </c>
      <c r="B31" s="195" t="s">
        <v>222</v>
      </c>
      <c r="C31">
        <v>0.8</v>
      </c>
      <c r="D31">
        <v>0.8</v>
      </c>
      <c r="E31">
        <v>0.8</v>
      </c>
      <c r="F31">
        <v>0.8</v>
      </c>
      <c r="G31">
        <v>0.8</v>
      </c>
      <c r="H31">
        <v>0</v>
      </c>
    </row>
    <row r="32" spans="1:8" x14ac:dyDescent="0.15">
      <c r="A32">
        <v>31</v>
      </c>
      <c r="B32" s="195" t="s">
        <v>223</v>
      </c>
      <c r="C32">
        <v>0.8</v>
      </c>
      <c r="D32">
        <v>0.8</v>
      </c>
      <c r="E32">
        <v>0.8</v>
      </c>
      <c r="F32">
        <v>0.8</v>
      </c>
      <c r="G32">
        <v>0.8</v>
      </c>
      <c r="H32">
        <v>0</v>
      </c>
    </row>
    <row r="33" spans="1:8" x14ac:dyDescent="0.15">
      <c r="A33">
        <v>32</v>
      </c>
      <c r="B33" s="195" t="s">
        <v>224</v>
      </c>
      <c r="C33">
        <v>0.8</v>
      </c>
      <c r="D33">
        <v>0.8</v>
      </c>
      <c r="E33">
        <v>0.8</v>
      </c>
      <c r="F33">
        <v>0.8</v>
      </c>
      <c r="G33">
        <v>0.8</v>
      </c>
      <c r="H33">
        <v>0</v>
      </c>
    </row>
    <row r="34" spans="1:8" x14ac:dyDescent="0.15">
      <c r="A34">
        <v>33</v>
      </c>
      <c r="B34" s="195" t="s">
        <v>225</v>
      </c>
      <c r="C34">
        <v>0.8</v>
      </c>
      <c r="D34">
        <v>0</v>
      </c>
      <c r="E34">
        <v>0.8</v>
      </c>
      <c r="F34">
        <v>0</v>
      </c>
      <c r="G34">
        <v>0.8</v>
      </c>
      <c r="H34">
        <v>0</v>
      </c>
    </row>
    <row r="35" spans="1:8" x14ac:dyDescent="0.15">
      <c r="A35">
        <v>34</v>
      </c>
      <c r="B35" s="195" t="s">
        <v>226</v>
      </c>
      <c r="C35">
        <v>0.8</v>
      </c>
      <c r="D35">
        <v>0.8</v>
      </c>
      <c r="E35">
        <v>0.8</v>
      </c>
      <c r="F35">
        <v>0.8</v>
      </c>
      <c r="G35">
        <v>0.8</v>
      </c>
      <c r="H35">
        <v>0</v>
      </c>
    </row>
    <row r="36" spans="1:8" x14ac:dyDescent="0.15">
      <c r="A36">
        <v>35</v>
      </c>
      <c r="B36" s="195" t="s">
        <v>227</v>
      </c>
      <c r="C36">
        <v>0</v>
      </c>
      <c r="D36">
        <v>0</v>
      </c>
      <c r="E36">
        <v>0</v>
      </c>
      <c r="F36">
        <v>0</v>
      </c>
      <c r="G36">
        <v>0</v>
      </c>
      <c r="H36">
        <v>0</v>
      </c>
    </row>
    <row r="37" spans="1:8" x14ac:dyDescent="0.15">
      <c r="A37">
        <v>36</v>
      </c>
      <c r="B37" s="195" t="s">
        <v>228</v>
      </c>
      <c r="C37">
        <v>0</v>
      </c>
      <c r="D37">
        <v>0</v>
      </c>
      <c r="E37">
        <v>0</v>
      </c>
      <c r="F37">
        <v>0</v>
      </c>
      <c r="G37">
        <v>0</v>
      </c>
      <c r="H37">
        <v>0</v>
      </c>
    </row>
    <row r="38" spans="1:8" x14ac:dyDescent="0.15">
      <c r="A38">
        <v>37</v>
      </c>
      <c r="B38" s="195" t="s">
        <v>229</v>
      </c>
      <c r="C38">
        <v>0</v>
      </c>
      <c r="D38">
        <v>0</v>
      </c>
      <c r="E38">
        <v>0</v>
      </c>
      <c r="F38">
        <v>0</v>
      </c>
      <c r="G38">
        <v>0</v>
      </c>
      <c r="H38">
        <v>0</v>
      </c>
    </row>
    <row r="39" spans="1:8" x14ac:dyDescent="0.15">
      <c r="A39">
        <v>38</v>
      </c>
      <c r="B39" s="195" t="s">
        <v>230</v>
      </c>
      <c r="C39">
        <v>0</v>
      </c>
      <c r="D39">
        <v>0</v>
      </c>
      <c r="E39">
        <v>0</v>
      </c>
      <c r="F39">
        <v>0</v>
      </c>
      <c r="G39">
        <v>0</v>
      </c>
      <c r="H39">
        <v>0</v>
      </c>
    </row>
    <row r="40" spans="1:8" x14ac:dyDescent="0.15">
      <c r="A40">
        <v>39</v>
      </c>
      <c r="B40" s="195" t="s">
        <v>231</v>
      </c>
      <c r="C40">
        <v>0</v>
      </c>
      <c r="D40">
        <v>0</v>
      </c>
      <c r="E40">
        <v>0</v>
      </c>
      <c r="F40">
        <v>0</v>
      </c>
      <c r="G40">
        <v>0</v>
      </c>
      <c r="H40">
        <v>0</v>
      </c>
    </row>
    <row r="41" spans="1:8" x14ac:dyDescent="0.15">
      <c r="A41">
        <v>40</v>
      </c>
      <c r="B41" s="195" t="s">
        <v>232</v>
      </c>
      <c r="C41">
        <v>0</v>
      </c>
      <c r="D41">
        <v>0</v>
      </c>
      <c r="E41">
        <v>0</v>
      </c>
      <c r="F41">
        <v>0</v>
      </c>
      <c r="G41">
        <v>0</v>
      </c>
      <c r="H41">
        <v>0</v>
      </c>
    </row>
    <row r="42" spans="1:8" x14ac:dyDescent="0.15">
      <c r="A42">
        <v>41</v>
      </c>
      <c r="B42" s="195" t="s">
        <v>233</v>
      </c>
      <c r="C42">
        <v>0</v>
      </c>
      <c r="D42">
        <v>0</v>
      </c>
      <c r="E42">
        <v>0</v>
      </c>
      <c r="F42">
        <v>0</v>
      </c>
      <c r="G42">
        <v>0</v>
      </c>
      <c r="H42">
        <v>0</v>
      </c>
    </row>
    <row r="43" spans="1:8" x14ac:dyDescent="0.15">
      <c r="A43">
        <v>42</v>
      </c>
      <c r="B43" s="195" t="s">
        <v>234</v>
      </c>
      <c r="C43">
        <v>0</v>
      </c>
      <c r="D43">
        <v>0</v>
      </c>
      <c r="E43">
        <v>0</v>
      </c>
      <c r="F43">
        <v>0</v>
      </c>
      <c r="G43">
        <v>0</v>
      </c>
      <c r="H43">
        <v>0</v>
      </c>
    </row>
    <row r="44" spans="1:8" x14ac:dyDescent="0.15">
      <c r="A44">
        <v>43</v>
      </c>
      <c r="B44" s="195" t="s">
        <v>235</v>
      </c>
      <c r="C44">
        <v>0</v>
      </c>
      <c r="D44">
        <v>0</v>
      </c>
      <c r="E44">
        <v>0</v>
      </c>
      <c r="F44">
        <v>0</v>
      </c>
      <c r="G44">
        <v>0</v>
      </c>
      <c r="H44">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H44"/>
  <sheetViews>
    <sheetView workbookViewId="0">
      <selection activeCell="A3" sqref="A3"/>
    </sheetView>
  </sheetViews>
  <sheetFormatPr baseColWidth="10" defaultRowHeight="13" x14ac:dyDescent="0.15"/>
  <cols>
    <col min="1" max="1" width="3.33203125" customWidth="1"/>
    <col min="2" max="2" width="35" bestFit="1" customWidth="1"/>
    <col min="3" max="4" width="3.83203125" bestFit="1" customWidth="1"/>
    <col min="5" max="8" width="3.83203125" customWidth="1"/>
  </cols>
  <sheetData>
    <row r="1" spans="1:8" ht="112" x14ac:dyDescent="0.15">
      <c r="A1" s="5" t="s">
        <v>82</v>
      </c>
      <c r="B1" s="3" t="s">
        <v>0</v>
      </c>
      <c r="C1" s="198" t="s">
        <v>236</v>
      </c>
      <c r="D1" s="198" t="s">
        <v>237</v>
      </c>
      <c r="E1" s="198" t="s">
        <v>238</v>
      </c>
      <c r="F1" s="198" t="s">
        <v>239</v>
      </c>
      <c r="G1" s="198" t="s">
        <v>240</v>
      </c>
      <c r="H1" s="198" t="s">
        <v>241</v>
      </c>
    </row>
    <row r="2" spans="1:8" x14ac:dyDescent="0.15">
      <c r="A2">
        <v>1</v>
      </c>
      <c r="B2" s="197" t="s">
        <v>193</v>
      </c>
      <c r="C2">
        <v>0</v>
      </c>
      <c r="D2">
        <v>0</v>
      </c>
      <c r="E2">
        <v>0</v>
      </c>
      <c r="F2">
        <v>0</v>
      </c>
      <c r="G2">
        <v>0</v>
      </c>
      <c r="H2">
        <v>0</v>
      </c>
    </row>
    <row r="3" spans="1:8" x14ac:dyDescent="0.15">
      <c r="A3">
        <v>2</v>
      </c>
      <c r="B3" s="197" t="s">
        <v>194</v>
      </c>
      <c r="C3">
        <v>0</v>
      </c>
      <c r="D3">
        <v>0</v>
      </c>
      <c r="E3">
        <v>0</v>
      </c>
      <c r="F3">
        <v>0</v>
      </c>
      <c r="G3">
        <v>0</v>
      </c>
      <c r="H3">
        <v>0</v>
      </c>
    </row>
    <row r="4" spans="1:8" x14ac:dyDescent="0.15">
      <c r="A4">
        <v>3</v>
      </c>
      <c r="B4" s="197" t="s">
        <v>195</v>
      </c>
      <c r="C4">
        <v>0</v>
      </c>
      <c r="D4">
        <v>0</v>
      </c>
      <c r="E4">
        <v>0</v>
      </c>
      <c r="F4">
        <v>0</v>
      </c>
      <c r="G4">
        <v>0</v>
      </c>
      <c r="H4">
        <v>0</v>
      </c>
    </row>
    <row r="5" spans="1:8" x14ac:dyDescent="0.15">
      <c r="A5">
        <v>4</v>
      </c>
      <c r="B5" s="197" t="s">
        <v>196</v>
      </c>
      <c r="C5">
        <v>0</v>
      </c>
      <c r="D5">
        <v>0</v>
      </c>
      <c r="E5">
        <v>0</v>
      </c>
      <c r="F5">
        <v>0</v>
      </c>
      <c r="G5">
        <v>0</v>
      </c>
      <c r="H5">
        <v>0</v>
      </c>
    </row>
    <row r="6" spans="1:8" x14ac:dyDescent="0.15">
      <c r="A6">
        <v>5</v>
      </c>
      <c r="B6" s="197" t="s">
        <v>197</v>
      </c>
      <c r="C6">
        <v>0</v>
      </c>
      <c r="D6">
        <v>0</v>
      </c>
      <c r="E6">
        <v>0</v>
      </c>
      <c r="F6">
        <v>0</v>
      </c>
      <c r="G6">
        <v>0</v>
      </c>
      <c r="H6">
        <v>0</v>
      </c>
    </row>
    <row r="7" spans="1:8" x14ac:dyDescent="0.15">
      <c r="A7">
        <v>6</v>
      </c>
      <c r="B7" s="197" t="s">
        <v>198</v>
      </c>
      <c r="C7">
        <v>0</v>
      </c>
      <c r="D7">
        <v>0</v>
      </c>
      <c r="E7">
        <v>0</v>
      </c>
      <c r="F7">
        <v>0</v>
      </c>
      <c r="G7">
        <v>0</v>
      </c>
      <c r="H7">
        <v>0</v>
      </c>
    </row>
    <row r="8" spans="1:8" x14ac:dyDescent="0.15">
      <c r="A8">
        <v>7</v>
      </c>
      <c r="B8" s="197" t="s">
        <v>199</v>
      </c>
      <c r="C8">
        <v>0</v>
      </c>
      <c r="D8">
        <v>0</v>
      </c>
      <c r="E8">
        <v>0</v>
      </c>
      <c r="F8">
        <v>0</v>
      </c>
      <c r="G8">
        <v>0</v>
      </c>
      <c r="H8">
        <v>0</v>
      </c>
    </row>
    <row r="9" spans="1:8" x14ac:dyDescent="0.15">
      <c r="A9">
        <v>8</v>
      </c>
      <c r="B9" s="197" t="s">
        <v>200</v>
      </c>
      <c r="C9">
        <v>0</v>
      </c>
      <c r="D9">
        <v>0</v>
      </c>
      <c r="E9">
        <v>0</v>
      </c>
      <c r="F9">
        <v>0</v>
      </c>
      <c r="G9">
        <v>0</v>
      </c>
      <c r="H9">
        <v>0</v>
      </c>
    </row>
    <row r="10" spans="1:8" x14ac:dyDescent="0.15">
      <c r="A10">
        <v>9</v>
      </c>
      <c r="B10" s="197" t="s">
        <v>201</v>
      </c>
      <c r="C10">
        <v>0.8</v>
      </c>
      <c r="D10">
        <v>0</v>
      </c>
      <c r="E10">
        <v>0.8</v>
      </c>
      <c r="F10">
        <v>0.8</v>
      </c>
      <c r="G10">
        <v>0</v>
      </c>
      <c r="H10">
        <v>0.8</v>
      </c>
    </row>
    <row r="11" spans="1:8" x14ac:dyDescent="0.15">
      <c r="A11">
        <v>10</v>
      </c>
      <c r="B11" s="197" t="s">
        <v>202</v>
      </c>
      <c r="C11">
        <v>0</v>
      </c>
      <c r="D11">
        <v>0</v>
      </c>
      <c r="E11">
        <v>0</v>
      </c>
      <c r="F11">
        <v>0</v>
      </c>
      <c r="G11">
        <v>0</v>
      </c>
      <c r="H11">
        <v>0</v>
      </c>
    </row>
    <row r="12" spans="1:8" x14ac:dyDescent="0.15">
      <c r="A12">
        <v>11</v>
      </c>
      <c r="B12" s="197" t="s">
        <v>203</v>
      </c>
      <c r="C12">
        <v>0</v>
      </c>
      <c r="D12">
        <v>0</v>
      </c>
      <c r="E12">
        <v>0</v>
      </c>
      <c r="F12">
        <v>0</v>
      </c>
      <c r="G12">
        <v>0</v>
      </c>
      <c r="H12">
        <v>0</v>
      </c>
    </row>
    <row r="13" spans="1:8" x14ac:dyDescent="0.15">
      <c r="A13">
        <v>12</v>
      </c>
      <c r="B13" s="197" t="s">
        <v>204</v>
      </c>
      <c r="C13">
        <v>0</v>
      </c>
      <c r="D13">
        <v>0</v>
      </c>
      <c r="E13">
        <v>0</v>
      </c>
      <c r="F13">
        <v>0</v>
      </c>
      <c r="G13">
        <v>0</v>
      </c>
      <c r="H13">
        <v>0</v>
      </c>
    </row>
    <row r="14" spans="1:8" x14ac:dyDescent="0.15">
      <c r="A14">
        <v>13</v>
      </c>
      <c r="B14" s="197" t="s">
        <v>205</v>
      </c>
      <c r="C14">
        <v>0.8</v>
      </c>
      <c r="D14">
        <v>0.8</v>
      </c>
      <c r="E14">
        <v>0.8</v>
      </c>
      <c r="F14">
        <v>0.8</v>
      </c>
      <c r="G14">
        <v>0.8</v>
      </c>
      <c r="H14">
        <v>0</v>
      </c>
    </row>
    <row r="15" spans="1:8" x14ac:dyDescent="0.15">
      <c r="A15">
        <v>14</v>
      </c>
      <c r="B15" s="197" t="s">
        <v>206</v>
      </c>
      <c r="C15">
        <v>0.8</v>
      </c>
      <c r="D15">
        <v>0.8</v>
      </c>
      <c r="E15">
        <v>0.8</v>
      </c>
      <c r="F15">
        <v>0.8</v>
      </c>
      <c r="G15">
        <v>0.8</v>
      </c>
      <c r="H15">
        <v>0</v>
      </c>
    </row>
    <row r="16" spans="1:8" x14ac:dyDescent="0.15">
      <c r="A16">
        <v>15</v>
      </c>
      <c r="B16" s="197" t="s">
        <v>207</v>
      </c>
      <c r="C16">
        <v>0.8</v>
      </c>
      <c r="D16">
        <v>0.8</v>
      </c>
      <c r="E16">
        <v>0.8</v>
      </c>
      <c r="F16">
        <v>0.8</v>
      </c>
      <c r="G16">
        <v>0.8</v>
      </c>
      <c r="H16">
        <v>0</v>
      </c>
    </row>
    <row r="17" spans="1:8" x14ac:dyDescent="0.15">
      <c r="A17">
        <v>16</v>
      </c>
      <c r="B17" s="197" t="s">
        <v>208</v>
      </c>
      <c r="C17">
        <v>0.8</v>
      </c>
      <c r="D17">
        <v>0.8</v>
      </c>
      <c r="E17">
        <v>0.8</v>
      </c>
      <c r="F17">
        <v>0.8</v>
      </c>
      <c r="G17">
        <v>0.8</v>
      </c>
      <c r="H17">
        <v>0</v>
      </c>
    </row>
    <row r="18" spans="1:8" x14ac:dyDescent="0.15">
      <c r="A18">
        <v>17</v>
      </c>
      <c r="B18" s="197" t="s">
        <v>209</v>
      </c>
      <c r="C18">
        <v>0.8</v>
      </c>
      <c r="D18">
        <v>0.8</v>
      </c>
      <c r="E18">
        <v>0.8</v>
      </c>
      <c r="F18">
        <v>0.8</v>
      </c>
      <c r="G18">
        <v>0.8</v>
      </c>
      <c r="H18">
        <v>0</v>
      </c>
    </row>
    <row r="19" spans="1:8" x14ac:dyDescent="0.15">
      <c r="A19">
        <v>18</v>
      </c>
      <c r="B19" s="197" t="s">
        <v>210</v>
      </c>
      <c r="C19">
        <v>0.8</v>
      </c>
      <c r="D19">
        <v>0.8</v>
      </c>
      <c r="E19">
        <v>0.8</v>
      </c>
      <c r="F19">
        <v>0.8</v>
      </c>
      <c r="G19">
        <v>0.8</v>
      </c>
      <c r="H19">
        <v>0</v>
      </c>
    </row>
    <row r="20" spans="1:8" x14ac:dyDescent="0.15">
      <c r="A20">
        <v>19</v>
      </c>
      <c r="B20" s="197" t="s">
        <v>211</v>
      </c>
      <c r="C20">
        <v>0.8</v>
      </c>
      <c r="D20">
        <v>0.8</v>
      </c>
      <c r="E20">
        <v>0.8</v>
      </c>
      <c r="F20">
        <v>0.8</v>
      </c>
      <c r="G20">
        <v>0.8</v>
      </c>
      <c r="H20">
        <v>0</v>
      </c>
    </row>
    <row r="21" spans="1:8" x14ac:dyDescent="0.15">
      <c r="A21">
        <v>20</v>
      </c>
      <c r="B21" s="197" t="s">
        <v>212</v>
      </c>
      <c r="C21">
        <v>0.8</v>
      </c>
      <c r="D21">
        <v>0.8</v>
      </c>
      <c r="E21">
        <v>0.8</v>
      </c>
      <c r="F21">
        <v>0.8</v>
      </c>
      <c r="G21">
        <v>0.8</v>
      </c>
      <c r="H21">
        <v>0</v>
      </c>
    </row>
    <row r="22" spans="1:8" x14ac:dyDescent="0.15">
      <c r="A22">
        <v>21</v>
      </c>
      <c r="B22" s="197" t="s">
        <v>213</v>
      </c>
      <c r="C22">
        <v>0</v>
      </c>
      <c r="D22">
        <v>0</v>
      </c>
      <c r="E22">
        <v>0</v>
      </c>
      <c r="F22">
        <v>0</v>
      </c>
      <c r="G22">
        <v>0</v>
      </c>
      <c r="H22">
        <v>0</v>
      </c>
    </row>
    <row r="23" spans="1:8" x14ac:dyDescent="0.15">
      <c r="A23">
        <v>22</v>
      </c>
      <c r="B23" s="197" t="s">
        <v>214</v>
      </c>
      <c r="C23">
        <v>0.8</v>
      </c>
      <c r="D23">
        <v>0.8</v>
      </c>
      <c r="E23">
        <v>0.8</v>
      </c>
      <c r="F23">
        <v>0.8</v>
      </c>
      <c r="G23">
        <v>0.8</v>
      </c>
      <c r="H23">
        <v>0</v>
      </c>
    </row>
    <row r="24" spans="1:8" x14ac:dyDescent="0.15">
      <c r="A24">
        <v>23</v>
      </c>
      <c r="B24" s="197" t="s">
        <v>215</v>
      </c>
      <c r="C24">
        <v>0</v>
      </c>
      <c r="D24">
        <v>0</v>
      </c>
      <c r="E24">
        <v>0</v>
      </c>
      <c r="F24">
        <v>0</v>
      </c>
      <c r="G24">
        <v>0</v>
      </c>
      <c r="H24">
        <v>0</v>
      </c>
    </row>
    <row r="25" spans="1:8" x14ac:dyDescent="0.15">
      <c r="A25">
        <v>24</v>
      </c>
      <c r="B25" s="197" t="s">
        <v>216</v>
      </c>
      <c r="C25">
        <v>0.8</v>
      </c>
      <c r="D25">
        <v>0.8</v>
      </c>
      <c r="E25">
        <v>0.8</v>
      </c>
      <c r="F25">
        <v>0.8</v>
      </c>
      <c r="G25">
        <v>0.8</v>
      </c>
      <c r="H25">
        <v>0</v>
      </c>
    </row>
    <row r="26" spans="1:8" x14ac:dyDescent="0.15">
      <c r="A26">
        <v>25</v>
      </c>
      <c r="B26" s="197" t="s">
        <v>217</v>
      </c>
      <c r="C26">
        <v>0.8</v>
      </c>
      <c r="D26">
        <v>0.8</v>
      </c>
      <c r="E26">
        <v>0.8</v>
      </c>
      <c r="F26">
        <v>0.8</v>
      </c>
      <c r="G26">
        <v>0.8</v>
      </c>
      <c r="H26">
        <v>0</v>
      </c>
    </row>
    <row r="27" spans="1:8" x14ac:dyDescent="0.15">
      <c r="A27">
        <v>26</v>
      </c>
      <c r="B27" s="197" t="s">
        <v>218</v>
      </c>
      <c r="C27">
        <v>0.8</v>
      </c>
      <c r="D27">
        <v>0.8</v>
      </c>
      <c r="E27">
        <v>0.8</v>
      </c>
      <c r="F27">
        <v>0.8</v>
      </c>
      <c r="G27">
        <v>0.8</v>
      </c>
      <c r="H27">
        <v>0</v>
      </c>
    </row>
    <row r="28" spans="1:8" x14ac:dyDescent="0.15">
      <c r="A28">
        <v>27</v>
      </c>
      <c r="B28" s="197" t="s">
        <v>219</v>
      </c>
      <c r="C28">
        <v>0.8</v>
      </c>
      <c r="D28">
        <v>0.8</v>
      </c>
      <c r="E28">
        <v>0.8</v>
      </c>
      <c r="F28">
        <v>0.8</v>
      </c>
      <c r="G28">
        <v>0.8</v>
      </c>
      <c r="H28">
        <v>0</v>
      </c>
    </row>
    <row r="29" spans="1:8" x14ac:dyDescent="0.15">
      <c r="A29">
        <v>28</v>
      </c>
      <c r="B29" s="197" t="s">
        <v>220</v>
      </c>
      <c r="C29">
        <v>0.8</v>
      </c>
      <c r="D29">
        <v>0.8</v>
      </c>
      <c r="E29">
        <v>0.8</v>
      </c>
      <c r="F29">
        <v>0.8</v>
      </c>
      <c r="G29">
        <v>0.8</v>
      </c>
      <c r="H29">
        <v>0</v>
      </c>
    </row>
    <row r="30" spans="1:8" x14ac:dyDescent="0.15">
      <c r="A30">
        <v>29</v>
      </c>
      <c r="B30" s="197" t="s">
        <v>221</v>
      </c>
      <c r="C30">
        <v>0.8</v>
      </c>
      <c r="D30">
        <v>0.8</v>
      </c>
      <c r="E30">
        <v>0.8</v>
      </c>
      <c r="F30">
        <v>0.8</v>
      </c>
      <c r="G30">
        <v>0.8</v>
      </c>
      <c r="H30">
        <v>0</v>
      </c>
    </row>
    <row r="31" spans="1:8" x14ac:dyDescent="0.15">
      <c r="A31">
        <v>30</v>
      </c>
      <c r="B31" s="197" t="s">
        <v>222</v>
      </c>
      <c r="C31">
        <v>0.8</v>
      </c>
      <c r="D31">
        <v>0.8</v>
      </c>
      <c r="E31">
        <v>0.8</v>
      </c>
      <c r="F31">
        <v>0.8</v>
      </c>
      <c r="G31">
        <v>0.8</v>
      </c>
      <c r="H31">
        <v>0</v>
      </c>
    </row>
    <row r="32" spans="1:8" x14ac:dyDescent="0.15">
      <c r="A32">
        <v>31</v>
      </c>
      <c r="B32" s="197" t="s">
        <v>223</v>
      </c>
      <c r="C32">
        <v>0.8</v>
      </c>
      <c r="D32">
        <v>0.8</v>
      </c>
      <c r="E32">
        <v>0.8</v>
      </c>
      <c r="F32">
        <v>0.8</v>
      </c>
      <c r="G32">
        <v>0.8</v>
      </c>
      <c r="H32">
        <v>0</v>
      </c>
    </row>
    <row r="33" spans="1:8" x14ac:dyDescent="0.15">
      <c r="A33">
        <v>32</v>
      </c>
      <c r="B33" s="197" t="s">
        <v>224</v>
      </c>
      <c r="C33">
        <v>0.8</v>
      </c>
      <c r="D33">
        <v>0.8</v>
      </c>
      <c r="E33">
        <v>0.8</v>
      </c>
      <c r="F33">
        <v>0.8</v>
      </c>
      <c r="G33">
        <v>0.8</v>
      </c>
      <c r="H33">
        <v>0</v>
      </c>
    </row>
    <row r="34" spans="1:8" x14ac:dyDescent="0.15">
      <c r="A34">
        <v>33</v>
      </c>
      <c r="B34" s="197" t="s">
        <v>225</v>
      </c>
      <c r="C34">
        <v>0.8</v>
      </c>
      <c r="D34">
        <v>0</v>
      </c>
      <c r="E34">
        <v>0.8</v>
      </c>
      <c r="F34">
        <v>0</v>
      </c>
      <c r="G34">
        <v>0.8</v>
      </c>
      <c r="H34">
        <v>0</v>
      </c>
    </row>
    <row r="35" spans="1:8" x14ac:dyDescent="0.15">
      <c r="A35">
        <v>34</v>
      </c>
      <c r="B35" s="197" t="s">
        <v>226</v>
      </c>
      <c r="C35">
        <v>0.8</v>
      </c>
      <c r="D35">
        <v>0.8</v>
      </c>
      <c r="E35">
        <v>0.8</v>
      </c>
      <c r="F35">
        <v>0.8</v>
      </c>
      <c r="G35">
        <v>0.8</v>
      </c>
      <c r="H35">
        <v>0</v>
      </c>
    </row>
    <row r="36" spans="1:8" x14ac:dyDescent="0.15">
      <c r="A36">
        <v>35</v>
      </c>
      <c r="B36" s="197" t="s">
        <v>227</v>
      </c>
      <c r="C36">
        <v>0</v>
      </c>
      <c r="D36">
        <v>0</v>
      </c>
      <c r="E36">
        <v>0</v>
      </c>
      <c r="F36">
        <v>0</v>
      </c>
      <c r="G36">
        <v>0</v>
      </c>
      <c r="H36">
        <v>0</v>
      </c>
    </row>
    <row r="37" spans="1:8" x14ac:dyDescent="0.15">
      <c r="A37">
        <v>36</v>
      </c>
      <c r="B37" s="197" t="s">
        <v>228</v>
      </c>
      <c r="C37">
        <v>0</v>
      </c>
      <c r="D37">
        <v>0</v>
      </c>
      <c r="E37">
        <v>0</v>
      </c>
      <c r="F37">
        <v>0</v>
      </c>
      <c r="G37">
        <v>0</v>
      </c>
      <c r="H37">
        <v>0</v>
      </c>
    </row>
    <row r="38" spans="1:8" x14ac:dyDescent="0.15">
      <c r="A38">
        <v>37</v>
      </c>
      <c r="B38" s="197" t="s">
        <v>229</v>
      </c>
      <c r="C38">
        <v>0</v>
      </c>
      <c r="D38">
        <v>0</v>
      </c>
      <c r="E38">
        <v>0</v>
      </c>
      <c r="F38">
        <v>0</v>
      </c>
      <c r="G38">
        <v>0</v>
      </c>
      <c r="H38">
        <v>0</v>
      </c>
    </row>
    <row r="39" spans="1:8" x14ac:dyDescent="0.15">
      <c r="A39">
        <v>38</v>
      </c>
      <c r="B39" s="197" t="s">
        <v>230</v>
      </c>
      <c r="C39">
        <v>0</v>
      </c>
      <c r="D39">
        <v>0</v>
      </c>
      <c r="E39">
        <v>0</v>
      </c>
      <c r="F39">
        <v>0</v>
      </c>
      <c r="G39">
        <v>0</v>
      </c>
      <c r="H39">
        <v>0</v>
      </c>
    </row>
    <row r="40" spans="1:8" x14ac:dyDescent="0.15">
      <c r="A40">
        <v>39</v>
      </c>
      <c r="B40" s="197" t="s">
        <v>231</v>
      </c>
      <c r="C40">
        <v>0</v>
      </c>
      <c r="D40">
        <v>0</v>
      </c>
      <c r="E40">
        <v>0</v>
      </c>
      <c r="F40">
        <v>0</v>
      </c>
      <c r="G40">
        <v>0</v>
      </c>
      <c r="H40">
        <v>0</v>
      </c>
    </row>
    <row r="41" spans="1:8" x14ac:dyDescent="0.15">
      <c r="A41">
        <v>40</v>
      </c>
      <c r="B41" s="197" t="s">
        <v>232</v>
      </c>
      <c r="C41">
        <v>0</v>
      </c>
      <c r="D41">
        <v>0</v>
      </c>
      <c r="E41">
        <v>0</v>
      </c>
      <c r="F41">
        <v>0</v>
      </c>
      <c r="G41">
        <v>0</v>
      </c>
      <c r="H41">
        <v>0</v>
      </c>
    </row>
    <row r="42" spans="1:8" x14ac:dyDescent="0.15">
      <c r="A42">
        <v>41</v>
      </c>
      <c r="B42" s="197" t="s">
        <v>233</v>
      </c>
      <c r="C42">
        <v>0</v>
      </c>
      <c r="D42">
        <v>0</v>
      </c>
      <c r="E42">
        <v>0</v>
      </c>
      <c r="F42">
        <v>0</v>
      </c>
      <c r="G42">
        <v>0</v>
      </c>
      <c r="H42">
        <v>0</v>
      </c>
    </row>
    <row r="43" spans="1:8" x14ac:dyDescent="0.15">
      <c r="A43">
        <v>42</v>
      </c>
      <c r="B43" s="197" t="s">
        <v>234</v>
      </c>
      <c r="C43">
        <v>0</v>
      </c>
      <c r="D43">
        <v>0</v>
      </c>
      <c r="E43">
        <v>0</v>
      </c>
      <c r="F43">
        <v>0</v>
      </c>
      <c r="G43">
        <v>0</v>
      </c>
      <c r="H43">
        <v>0</v>
      </c>
    </row>
    <row r="44" spans="1:8" x14ac:dyDescent="0.15">
      <c r="A44">
        <v>43</v>
      </c>
      <c r="B44" s="197" t="s">
        <v>235</v>
      </c>
      <c r="C44">
        <v>0</v>
      </c>
      <c r="D44">
        <v>0</v>
      </c>
      <c r="E44">
        <v>0</v>
      </c>
      <c r="F44">
        <v>0</v>
      </c>
      <c r="G44">
        <v>0</v>
      </c>
      <c r="H44">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4" sqref="K4"/>
    </sheetView>
  </sheetViews>
  <sheetFormatPr baseColWidth="10" defaultColWidth="8.83203125" defaultRowHeight="15" customHeight="1" x14ac:dyDescent="0.15"/>
  <cols>
    <col min="1" max="1" width="8.83203125" style="82"/>
    <col min="2" max="2" width="41.83203125" style="82" bestFit="1" customWidth="1"/>
    <col min="3" max="3" width="9.33203125" style="82" bestFit="1" customWidth="1"/>
    <col min="4" max="4" width="13" style="82" bestFit="1" customWidth="1"/>
    <col min="5" max="6" width="9.33203125" style="82" bestFit="1" customWidth="1"/>
    <col min="7" max="7" width="9.33203125" style="98" bestFit="1" customWidth="1"/>
    <col min="8" max="8" width="9.33203125" style="82" bestFit="1" customWidth="1"/>
    <col min="9" max="9" width="11" style="82" customWidth="1"/>
    <col min="10" max="10" width="8.83203125" style="82"/>
    <col min="15" max="16384" width="8.83203125" style="82"/>
  </cols>
  <sheetData>
    <row r="1" spans="1:10" ht="15" customHeight="1" x14ac:dyDescent="0.15">
      <c r="A1" s="4" t="s">
        <v>25</v>
      </c>
      <c r="B1" s="1" t="s">
        <v>0</v>
      </c>
      <c r="C1" s="1" t="s">
        <v>12</v>
      </c>
      <c r="D1" s="1" t="s">
        <v>13</v>
      </c>
      <c r="E1" s="1" t="s">
        <v>1</v>
      </c>
      <c r="F1" s="1" t="s">
        <v>2</v>
      </c>
      <c r="G1" s="34" t="s">
        <v>14</v>
      </c>
      <c r="H1" s="1" t="s">
        <v>26</v>
      </c>
      <c r="I1" s="1" t="s">
        <v>24</v>
      </c>
    </row>
    <row r="2" spans="1:10" ht="15" customHeight="1" x14ac:dyDescent="0.15">
      <c r="A2" s="150">
        <v>1</v>
      </c>
      <c r="B2" s="150" t="s">
        <v>193</v>
      </c>
      <c r="C2" s="8">
        <v>1</v>
      </c>
      <c r="D2" s="9">
        <v>15.607000350952148</v>
      </c>
      <c r="E2" s="9">
        <v>109</v>
      </c>
      <c r="F2" s="10"/>
      <c r="G2" s="9">
        <v>0.44175469875335693</v>
      </c>
      <c r="H2" s="10"/>
      <c r="I2">
        <v>0</v>
      </c>
      <c r="J2"/>
    </row>
    <row r="3" spans="1:10" ht="15" customHeight="1" x14ac:dyDescent="0.15">
      <c r="A3" s="151">
        <v>2</v>
      </c>
      <c r="B3" s="151" t="s">
        <v>194</v>
      </c>
      <c r="C3" s="8">
        <v>2</v>
      </c>
      <c r="D3" s="9">
        <v>0.41289535164833069</v>
      </c>
      <c r="E3" s="9">
        <v>72.800003051757812</v>
      </c>
      <c r="F3" s="9">
        <v>145.60000610351562</v>
      </c>
      <c r="G3" s="9">
        <v>0.80000013113021851</v>
      </c>
      <c r="H3" s="9">
        <v>0.5</v>
      </c>
      <c r="I3">
        <v>0</v>
      </c>
      <c r="J3"/>
    </row>
    <row r="4" spans="1:10" ht="15" customHeight="1" x14ac:dyDescent="0.15">
      <c r="A4" s="152">
        <v>3</v>
      </c>
      <c r="B4" s="152" t="s">
        <v>195</v>
      </c>
      <c r="C4" s="8">
        <v>2.0559661388397217</v>
      </c>
      <c r="D4" s="9">
        <v>5.0260887145996094</v>
      </c>
      <c r="E4" s="9">
        <v>45.279998779296875</v>
      </c>
      <c r="F4" s="9">
        <v>120</v>
      </c>
      <c r="G4" s="9">
        <v>0.79999947547912598</v>
      </c>
      <c r="H4" s="9">
        <v>0.37733331322669983</v>
      </c>
      <c r="I4">
        <v>0</v>
      </c>
      <c r="J4"/>
    </row>
    <row r="5" spans="1:10" ht="15" customHeight="1" x14ac:dyDescent="0.15">
      <c r="A5" s="153">
        <v>4</v>
      </c>
      <c r="B5" s="153" t="s">
        <v>196</v>
      </c>
      <c r="C5" s="8">
        <v>2.6339161396026611</v>
      </c>
      <c r="D5" s="9">
        <v>9.3083953857421875</v>
      </c>
      <c r="E5" s="9">
        <v>7</v>
      </c>
      <c r="F5" s="9">
        <v>23.299999237060547</v>
      </c>
      <c r="G5" s="9">
        <v>0.80000495910644531</v>
      </c>
      <c r="H5" s="9">
        <v>0.30042919516563416</v>
      </c>
      <c r="I5">
        <v>0</v>
      </c>
      <c r="J5"/>
    </row>
    <row r="6" spans="1:10" ht="15" customHeight="1" x14ac:dyDescent="0.15">
      <c r="A6" s="154">
        <v>5</v>
      </c>
      <c r="B6" s="154" t="s">
        <v>197</v>
      </c>
      <c r="C6" s="8">
        <v>2.1172471046447754</v>
      </c>
      <c r="D6" s="9">
        <v>1.4428795576095581</v>
      </c>
      <c r="E6" s="9">
        <v>15</v>
      </c>
      <c r="F6" s="9">
        <v>49.999996185302734</v>
      </c>
      <c r="G6" s="9">
        <v>0.94995003938674927</v>
      </c>
      <c r="H6" s="9">
        <v>0.30000001192092896</v>
      </c>
      <c r="I6">
        <v>0</v>
      </c>
      <c r="J6"/>
    </row>
    <row r="7" spans="1:10" ht="15" customHeight="1" x14ac:dyDescent="0.15">
      <c r="A7" s="155">
        <v>6</v>
      </c>
      <c r="B7" s="155" t="s">
        <v>198</v>
      </c>
      <c r="C7" s="8">
        <v>2.6715543270111084</v>
      </c>
      <c r="D7" s="9">
        <v>2.5</v>
      </c>
      <c r="E7" s="9">
        <v>5.6599998474121094</v>
      </c>
      <c r="F7" s="9">
        <v>37.497684478759766</v>
      </c>
      <c r="G7" s="9">
        <v>0.94997161626815796</v>
      </c>
      <c r="H7" s="9">
        <v>0.15094265341758728</v>
      </c>
      <c r="I7">
        <v>0</v>
      </c>
      <c r="J7"/>
    </row>
    <row r="8" spans="1:10" ht="15" customHeight="1" x14ac:dyDescent="0.15">
      <c r="A8" s="156">
        <v>7</v>
      </c>
      <c r="B8" s="156" t="s">
        <v>199</v>
      </c>
      <c r="C8" s="8">
        <v>2.223109245300293</v>
      </c>
      <c r="D8" s="9">
        <v>12.769858360290527</v>
      </c>
      <c r="E8" s="9">
        <v>0.88999998569488525</v>
      </c>
      <c r="F8" s="9">
        <v>9.869999885559082</v>
      </c>
      <c r="G8" s="9">
        <v>0.79995101690292358</v>
      </c>
      <c r="H8" s="9">
        <v>9.0172238647937775E-2</v>
      </c>
      <c r="I8">
        <v>0</v>
      </c>
      <c r="J8"/>
    </row>
    <row r="9" spans="1:10" ht="15" customHeight="1" x14ac:dyDescent="0.15">
      <c r="A9" s="157">
        <v>8</v>
      </c>
      <c r="B9" s="157" t="s">
        <v>200</v>
      </c>
      <c r="C9" s="8">
        <v>2</v>
      </c>
      <c r="D9" s="9">
        <v>1.8993645906448364</v>
      </c>
      <c r="E9" s="9">
        <v>3</v>
      </c>
      <c r="F9" s="9">
        <v>20</v>
      </c>
      <c r="G9" s="9">
        <v>0.79994988441467285</v>
      </c>
      <c r="H9" s="9">
        <v>0.15000000596046448</v>
      </c>
      <c r="I9">
        <v>0</v>
      </c>
      <c r="J9"/>
    </row>
    <row r="10" spans="1:10" ht="15" customHeight="1" x14ac:dyDescent="0.15">
      <c r="A10" s="158">
        <v>9</v>
      </c>
      <c r="B10" s="158" t="s">
        <v>201</v>
      </c>
      <c r="C10" s="8">
        <v>2</v>
      </c>
      <c r="D10" s="9">
        <v>0.55809557437896729</v>
      </c>
      <c r="E10" s="9">
        <v>0.89999997615814209</v>
      </c>
      <c r="F10" s="9">
        <v>4.5</v>
      </c>
      <c r="G10" s="9">
        <v>0.79999059438705444</v>
      </c>
      <c r="H10" s="9">
        <v>0.19999998807907104</v>
      </c>
      <c r="I10">
        <v>0.32869014143943787</v>
      </c>
      <c r="J10"/>
    </row>
    <row r="11" spans="1:10" ht="15" customHeight="1" x14ac:dyDescent="0.15">
      <c r="A11" s="159">
        <v>10</v>
      </c>
      <c r="B11" s="159" t="s">
        <v>202</v>
      </c>
      <c r="C11" s="8">
        <v>2.1344940662384033</v>
      </c>
      <c r="D11" s="9">
        <v>1.4390511512756348</v>
      </c>
      <c r="E11" s="9">
        <v>0.60000002384185791</v>
      </c>
      <c r="F11" s="9">
        <v>3</v>
      </c>
      <c r="G11" s="9">
        <v>0.79975605010986328</v>
      </c>
      <c r="H11" s="9">
        <v>0.20000000298023224</v>
      </c>
      <c r="I11">
        <v>0</v>
      </c>
      <c r="J11"/>
    </row>
    <row r="12" spans="1:10" ht="15" customHeight="1" x14ac:dyDescent="0.15">
      <c r="A12" s="160">
        <v>11</v>
      </c>
      <c r="B12" s="160" t="s">
        <v>203</v>
      </c>
      <c r="C12" s="8">
        <v>2.5622758865356445</v>
      </c>
      <c r="D12" s="9">
        <v>4.1983599662780762</v>
      </c>
      <c r="E12" s="9">
        <v>2.4000000953674316</v>
      </c>
      <c r="F12" s="9">
        <v>10</v>
      </c>
      <c r="G12" s="9">
        <v>0.79994732141494751</v>
      </c>
      <c r="H12" s="9">
        <v>0.24000000953674316</v>
      </c>
      <c r="I12">
        <v>0</v>
      </c>
      <c r="J12"/>
    </row>
    <row r="13" spans="1:10" ht="15" customHeight="1" x14ac:dyDescent="0.15">
      <c r="A13" s="161">
        <v>12</v>
      </c>
      <c r="B13" s="161" t="s">
        <v>204</v>
      </c>
      <c r="C13" s="8">
        <v>3.1824347972869873</v>
      </c>
      <c r="D13" s="9">
        <v>6.9235644340515137</v>
      </c>
      <c r="E13" s="9">
        <v>2.2400000095367432</v>
      </c>
      <c r="F13" s="9">
        <v>5.1673188209533691</v>
      </c>
      <c r="G13" s="9">
        <v>0.48541462421417236</v>
      </c>
      <c r="H13" s="9">
        <v>0.43349367380142212</v>
      </c>
      <c r="I13">
        <v>0</v>
      </c>
      <c r="J13"/>
    </row>
    <row r="14" spans="1:10" ht="15" customHeight="1" x14ac:dyDescent="0.15">
      <c r="A14" s="162">
        <v>13</v>
      </c>
      <c r="B14" s="162" t="s">
        <v>205</v>
      </c>
      <c r="C14" s="8">
        <v>3.3009963035583496</v>
      </c>
      <c r="D14" s="9">
        <v>0.25038999319076538</v>
      </c>
      <c r="E14" s="9">
        <v>0.71034955978393555</v>
      </c>
      <c r="F14" s="9">
        <v>3.8917367458343506</v>
      </c>
      <c r="G14" s="9">
        <v>0.60392296314239502</v>
      </c>
      <c r="H14" s="9">
        <v>0.18252764642238617</v>
      </c>
      <c r="I14">
        <v>1.7324065789580345E-2</v>
      </c>
      <c r="J14"/>
    </row>
    <row r="15" spans="1:10" ht="15" customHeight="1" x14ac:dyDescent="0.15">
      <c r="A15" s="163">
        <v>14</v>
      </c>
      <c r="B15" s="163" t="s">
        <v>206</v>
      </c>
      <c r="C15" s="8">
        <v>3.6137402057647705</v>
      </c>
      <c r="D15" s="9">
        <v>0.19824427366256714</v>
      </c>
      <c r="E15" s="9">
        <v>0.56667119264602661</v>
      </c>
      <c r="F15" s="9">
        <v>3.186915397644043</v>
      </c>
      <c r="G15" s="9">
        <v>0.78035420179367065</v>
      </c>
      <c r="H15" s="9">
        <v>0.17781181633472443</v>
      </c>
      <c r="I15">
        <v>1.9958822522312403E-3</v>
      </c>
      <c r="J15"/>
    </row>
    <row r="16" spans="1:10" ht="15" customHeight="1" x14ac:dyDescent="0.15">
      <c r="A16" s="164">
        <v>15</v>
      </c>
      <c r="B16" s="164" t="s">
        <v>207</v>
      </c>
      <c r="C16" s="8">
        <v>3.4164814949035645</v>
      </c>
      <c r="D16" s="9">
        <v>0.4685671329498291</v>
      </c>
      <c r="E16" s="9">
        <v>0.68695616722106934</v>
      </c>
      <c r="F16" s="9">
        <v>3.3705770969390869</v>
      </c>
      <c r="G16" s="9">
        <v>0.79499262571334839</v>
      </c>
      <c r="H16" s="9">
        <v>0.20380966365337372</v>
      </c>
      <c r="I16">
        <v>0.11922017484903336</v>
      </c>
      <c r="J16"/>
    </row>
    <row r="17" spans="1:10" ht="15" customHeight="1" x14ac:dyDescent="0.15">
      <c r="A17" s="165">
        <v>16</v>
      </c>
      <c r="B17" s="165" t="s">
        <v>208</v>
      </c>
      <c r="C17" s="8">
        <v>3.2775239944458008</v>
      </c>
      <c r="D17" s="9">
        <v>0.257375568151474</v>
      </c>
      <c r="E17" s="9">
        <v>1.2645243406295776</v>
      </c>
      <c r="F17" s="9">
        <v>4.2039585113525391</v>
      </c>
      <c r="G17" s="9">
        <v>0.66433733701705933</v>
      </c>
      <c r="H17" s="9">
        <v>0.30079373717308044</v>
      </c>
      <c r="I17">
        <v>4.9807623028755188E-2</v>
      </c>
      <c r="J17"/>
    </row>
    <row r="18" spans="1:10" ht="15" customHeight="1" x14ac:dyDescent="0.15">
      <c r="A18" s="166">
        <v>17</v>
      </c>
      <c r="B18" s="166" t="s">
        <v>209</v>
      </c>
      <c r="C18" s="8">
        <v>3.3679459095001221</v>
      </c>
      <c r="D18" s="9">
        <v>0.28859451413154602</v>
      </c>
      <c r="E18" s="9">
        <v>0.67797732353210449</v>
      </c>
      <c r="F18" s="9">
        <v>3.9860434532165527</v>
      </c>
      <c r="G18" s="9">
        <v>0.75187802314758301</v>
      </c>
      <c r="H18" s="9">
        <v>0.1700877845287323</v>
      </c>
      <c r="I18">
        <v>5.2138097584247589E-2</v>
      </c>
      <c r="J18"/>
    </row>
    <row r="19" spans="1:10" ht="15" customHeight="1" x14ac:dyDescent="0.15">
      <c r="A19" s="167">
        <v>18</v>
      </c>
      <c r="B19" s="167" t="s">
        <v>210</v>
      </c>
      <c r="C19" s="8">
        <v>3.8256287574768066</v>
      </c>
      <c r="D19" s="9">
        <v>0.90881872177124023</v>
      </c>
      <c r="E19" s="9">
        <v>0.87149226665496826</v>
      </c>
      <c r="F19" s="9">
        <v>3.9360432624816895</v>
      </c>
      <c r="G19" s="9">
        <v>0.97430962324142456</v>
      </c>
      <c r="H19" s="9">
        <v>0.22141328454017639</v>
      </c>
      <c r="I19">
        <v>4.9016091972589493E-2</v>
      </c>
      <c r="J19"/>
    </row>
    <row r="20" spans="1:10" ht="15" customHeight="1" x14ac:dyDescent="0.15">
      <c r="A20" s="168">
        <v>19</v>
      </c>
      <c r="B20" s="168" t="s">
        <v>211</v>
      </c>
      <c r="C20" s="8">
        <v>3.2742688655853271</v>
      </c>
      <c r="D20" s="9">
        <v>0.49357730150222778</v>
      </c>
      <c r="E20" s="9">
        <v>1.2400000095367432</v>
      </c>
      <c r="F20" s="9">
        <v>4.7245597839355469</v>
      </c>
      <c r="G20" s="9">
        <v>0.93607920408248901</v>
      </c>
      <c r="H20" s="9">
        <v>0.26245832443237305</v>
      </c>
      <c r="I20">
        <v>5.2269734442234039E-2</v>
      </c>
      <c r="J20"/>
    </row>
    <row r="21" spans="1:10" ht="15" customHeight="1" x14ac:dyDescent="0.15">
      <c r="A21" s="169">
        <v>20</v>
      </c>
      <c r="B21" s="169" t="s">
        <v>212</v>
      </c>
      <c r="C21" s="8">
        <v>4.2564020156860352</v>
      </c>
      <c r="D21" s="9">
        <v>0.40211132168769836</v>
      </c>
      <c r="E21" s="9">
        <v>0.70520025491714478</v>
      </c>
      <c r="F21" s="9">
        <v>2.4897146224975586</v>
      </c>
      <c r="G21" s="9">
        <v>0.96836090087890625</v>
      </c>
      <c r="H21" s="9">
        <v>0.28324541449546814</v>
      </c>
      <c r="I21">
        <v>2.2381721064448357E-2</v>
      </c>
      <c r="J21"/>
    </row>
    <row r="22" spans="1:10" ht="15" customHeight="1" x14ac:dyDescent="0.15">
      <c r="A22" s="170">
        <v>21</v>
      </c>
      <c r="B22" s="170" t="s">
        <v>213</v>
      </c>
      <c r="C22" s="8">
        <v>3.4056258201599121</v>
      </c>
      <c r="D22" s="9">
        <v>0.34488153457641602</v>
      </c>
      <c r="E22" s="9">
        <v>1.1059416532516479</v>
      </c>
      <c r="F22" s="9">
        <v>8.6654796600341797</v>
      </c>
      <c r="G22" s="9">
        <v>0.9588552713394165</v>
      </c>
      <c r="H22" s="9">
        <v>0.12762613594532013</v>
      </c>
      <c r="I22">
        <v>0</v>
      </c>
      <c r="J22"/>
    </row>
    <row r="23" spans="1:10" ht="15" customHeight="1" x14ac:dyDescent="0.15">
      <c r="A23" s="171">
        <v>22</v>
      </c>
      <c r="B23" s="171" t="s">
        <v>214</v>
      </c>
      <c r="C23" s="8">
        <v>3.4027361869812012</v>
      </c>
      <c r="D23" s="9">
        <v>1.3266048431396484</v>
      </c>
      <c r="E23" s="9">
        <v>1.6878364086151123</v>
      </c>
      <c r="F23" s="9">
        <v>6.3353753089904785</v>
      </c>
      <c r="G23" s="9">
        <v>0.99730181694030762</v>
      </c>
      <c r="H23" s="9">
        <v>0.2664145827293396</v>
      </c>
      <c r="I23">
        <v>0.41144368052482605</v>
      </c>
      <c r="J23"/>
    </row>
    <row r="24" spans="1:10" ht="15" customHeight="1" x14ac:dyDescent="0.15">
      <c r="A24" s="172">
        <v>23</v>
      </c>
      <c r="B24" s="172" t="s">
        <v>215</v>
      </c>
      <c r="C24" s="8">
        <v>3.7712981700897217</v>
      </c>
      <c r="D24" s="9">
        <v>0.35381677746772766</v>
      </c>
      <c r="E24" s="9">
        <v>0.77471524477005005</v>
      </c>
      <c r="F24" s="9">
        <v>4.7875251770019531</v>
      </c>
      <c r="G24" s="9">
        <v>0.81978374719619751</v>
      </c>
      <c r="H24" s="9">
        <v>0.16181956231594086</v>
      </c>
      <c r="I24">
        <v>0</v>
      </c>
      <c r="J24"/>
    </row>
    <row r="25" spans="1:10" ht="15" customHeight="1" x14ac:dyDescent="0.15">
      <c r="A25" s="173">
        <v>24</v>
      </c>
      <c r="B25" s="173" t="s">
        <v>216</v>
      </c>
      <c r="C25" s="8">
        <v>3.9390852451324463</v>
      </c>
      <c r="D25" s="9">
        <v>1.1416261196136475</v>
      </c>
      <c r="E25" s="9">
        <v>0.70837539434432983</v>
      </c>
      <c r="F25" s="9">
        <v>3.025479793548584</v>
      </c>
      <c r="G25" s="9">
        <v>0.90090978145599365</v>
      </c>
      <c r="H25" s="9">
        <v>0.23413655161857605</v>
      </c>
      <c r="I25">
        <v>8.8072881102561951E-2</v>
      </c>
      <c r="J25"/>
    </row>
    <row r="26" spans="1:10" ht="15" customHeight="1" x14ac:dyDescent="0.15">
      <c r="A26" s="174">
        <v>25</v>
      </c>
      <c r="B26" s="174" t="s">
        <v>217</v>
      </c>
      <c r="C26" s="8">
        <v>3.7121028900146484</v>
      </c>
      <c r="D26" s="9">
        <v>0.11487077921628952</v>
      </c>
      <c r="E26" s="9">
        <v>1.0946829319000244</v>
      </c>
      <c r="F26" s="9">
        <v>3.2405190467834473</v>
      </c>
      <c r="G26" s="9">
        <v>0.99546694755554199</v>
      </c>
      <c r="H26" s="9">
        <v>0.33781099319458008</v>
      </c>
      <c r="I26">
        <v>2.9132213443517685E-2</v>
      </c>
      <c r="J26"/>
    </row>
    <row r="27" spans="1:10" ht="15" customHeight="1" x14ac:dyDescent="0.15">
      <c r="A27" s="175">
        <v>26</v>
      </c>
      <c r="B27" s="175" t="s">
        <v>218</v>
      </c>
      <c r="C27" s="8">
        <v>3.8787767887115479</v>
      </c>
      <c r="D27" s="9">
        <v>0.85000002384185791</v>
      </c>
      <c r="E27" s="9">
        <v>0.4018939733505249</v>
      </c>
      <c r="F27" s="9">
        <v>3.0118839740753174</v>
      </c>
      <c r="G27" s="9">
        <v>0.87485194206237793</v>
      </c>
      <c r="H27" s="9">
        <v>0.13343606889247894</v>
      </c>
      <c r="I27">
        <v>2.8437351807951927E-2</v>
      </c>
      <c r="J27"/>
    </row>
    <row r="28" spans="1:10" ht="15" customHeight="1" x14ac:dyDescent="0.15">
      <c r="A28" s="176">
        <v>27</v>
      </c>
      <c r="B28" s="176" t="s">
        <v>219</v>
      </c>
      <c r="C28" s="8">
        <v>4.2745490074157715</v>
      </c>
      <c r="D28" s="9">
        <v>0.29781916737556458</v>
      </c>
      <c r="E28" s="9">
        <v>0.9591791033744812</v>
      </c>
      <c r="F28" s="9">
        <v>2.8609619140625</v>
      </c>
      <c r="G28" s="9">
        <v>0.75462919473648071</v>
      </c>
      <c r="H28" s="9">
        <v>0.33526453375816345</v>
      </c>
      <c r="I28">
        <v>5.9971623122692108E-2</v>
      </c>
      <c r="J28"/>
    </row>
    <row r="29" spans="1:10" ht="15" customHeight="1" x14ac:dyDescent="0.15">
      <c r="A29" s="177">
        <v>28</v>
      </c>
      <c r="B29" s="177" t="s">
        <v>220</v>
      </c>
      <c r="C29" s="8">
        <v>4.177793025970459</v>
      </c>
      <c r="D29" s="9">
        <v>0.45669439435005188</v>
      </c>
      <c r="E29" s="9">
        <v>0.36653450131416321</v>
      </c>
      <c r="F29" s="9">
        <v>1.9780304431915283</v>
      </c>
      <c r="G29" s="9">
        <v>0.93955951929092407</v>
      </c>
      <c r="H29" s="9">
        <v>0.18530276417732239</v>
      </c>
      <c r="I29">
        <v>5.302710086107254E-2</v>
      </c>
      <c r="J29"/>
    </row>
    <row r="30" spans="1:10" ht="15" customHeight="1" x14ac:dyDescent="0.15">
      <c r="A30" s="178">
        <v>29</v>
      </c>
      <c r="B30" s="178" t="s">
        <v>221</v>
      </c>
      <c r="C30" s="8">
        <v>4.3067302703857422</v>
      </c>
      <c r="D30" s="9">
        <v>0.5</v>
      </c>
      <c r="E30" s="9">
        <v>0.2542625367641449</v>
      </c>
      <c r="F30" s="9">
        <v>2.2065799236297607</v>
      </c>
      <c r="G30" s="9">
        <v>0.85281330347061157</v>
      </c>
      <c r="H30" s="9">
        <v>0.11522924154996872</v>
      </c>
      <c r="I30">
        <v>0.10841923952102661</v>
      </c>
      <c r="J30"/>
    </row>
    <row r="31" spans="1:10" ht="15" customHeight="1" x14ac:dyDescent="0.15">
      <c r="A31" s="179">
        <v>30</v>
      </c>
      <c r="B31" s="179" t="s">
        <v>222</v>
      </c>
      <c r="C31" s="8">
        <v>4.1345758438110352</v>
      </c>
      <c r="D31" s="9">
        <v>0.10050902515649796</v>
      </c>
      <c r="E31" s="9">
        <v>0.22383126616477966</v>
      </c>
      <c r="F31" s="9">
        <v>2.1011912822723389</v>
      </c>
      <c r="G31" s="9">
        <v>0.24374417960643768</v>
      </c>
      <c r="H31" s="9">
        <v>0.10652589052915573</v>
      </c>
      <c r="I31">
        <v>2.4309309665113688E-3</v>
      </c>
      <c r="J31"/>
    </row>
    <row r="32" spans="1:10" ht="15" customHeight="1" x14ac:dyDescent="0.15">
      <c r="A32" s="207">
        <v>31</v>
      </c>
      <c r="B32" s="207" t="s">
        <v>223</v>
      </c>
      <c r="C32" s="8">
        <v>4.0866503715515137</v>
      </c>
      <c r="D32" s="9">
        <v>0.18120837211608887</v>
      </c>
      <c r="E32" s="9">
        <v>0.25279006361961365</v>
      </c>
      <c r="F32" s="9">
        <v>2.6281974315643311</v>
      </c>
      <c r="G32" s="9">
        <v>0.75706052780151367</v>
      </c>
      <c r="H32" s="9">
        <v>9.6183821558952332E-2</v>
      </c>
      <c r="I32">
        <v>2.610386535525322E-2</v>
      </c>
      <c r="J32"/>
    </row>
    <row r="33" spans="1:10" ht="15" customHeight="1" x14ac:dyDescent="0.15">
      <c r="A33" s="208">
        <v>32</v>
      </c>
      <c r="B33" s="208" t="s">
        <v>224</v>
      </c>
      <c r="C33" s="8">
        <v>3.706679105758667</v>
      </c>
      <c r="D33" s="9">
        <v>0.40781915187835693</v>
      </c>
      <c r="E33" s="9">
        <v>0.81659036874771118</v>
      </c>
      <c r="F33" s="9">
        <v>5.8698840141296387</v>
      </c>
      <c r="G33" s="9">
        <v>0.95461559295654297</v>
      </c>
      <c r="H33" s="9">
        <v>0.13911524415016174</v>
      </c>
      <c r="I33">
        <v>9.7991093993186951E-2</v>
      </c>
      <c r="J33"/>
    </row>
    <row r="34" spans="1:10" ht="15" customHeight="1" x14ac:dyDescent="0.15">
      <c r="A34" s="209">
        <v>33</v>
      </c>
      <c r="B34" s="209" t="s">
        <v>225</v>
      </c>
      <c r="C34" s="8">
        <v>4.0138792991638184</v>
      </c>
      <c r="D34" s="9">
        <v>0.15000000596046448</v>
      </c>
      <c r="E34" s="9">
        <v>3.5</v>
      </c>
      <c r="F34" s="9">
        <v>15</v>
      </c>
      <c r="G34" s="9">
        <v>0.53994369506835938</v>
      </c>
      <c r="H34" s="9">
        <v>0.23333333432674408</v>
      </c>
      <c r="I34">
        <v>2.8263971209526062E-2</v>
      </c>
      <c r="J34"/>
    </row>
    <row r="35" spans="1:10" ht="15" customHeight="1" x14ac:dyDescent="0.15">
      <c r="A35" s="210">
        <v>34</v>
      </c>
      <c r="B35" s="210" t="s">
        <v>226</v>
      </c>
      <c r="C35" s="8">
        <v>4.2895121574401855</v>
      </c>
      <c r="D35" s="9">
        <v>0.10000000149011612</v>
      </c>
      <c r="E35" s="9">
        <v>3</v>
      </c>
      <c r="F35" s="9">
        <v>15</v>
      </c>
      <c r="G35" s="9">
        <v>0.91543400287628174</v>
      </c>
      <c r="H35" s="9">
        <v>0.20000000298023224</v>
      </c>
      <c r="I35">
        <v>5.1595844328403473E-2</v>
      </c>
      <c r="J35"/>
    </row>
    <row r="36" spans="1:10" ht="15" customHeight="1" x14ac:dyDescent="0.15">
      <c r="A36" s="211">
        <v>35</v>
      </c>
      <c r="B36" s="211" t="s">
        <v>227</v>
      </c>
      <c r="C36" s="8">
        <v>4.3275041580200195</v>
      </c>
      <c r="D36" s="9">
        <v>9.9060102365911007E-4</v>
      </c>
      <c r="E36" s="9">
        <v>0.2800000011920929</v>
      </c>
      <c r="F36" s="9">
        <v>69.2034912109375</v>
      </c>
      <c r="G36" s="7">
        <v>0</v>
      </c>
      <c r="H36" s="9">
        <v>4.0460387244820595E-3</v>
      </c>
      <c r="I36">
        <v>0</v>
      </c>
      <c r="J36"/>
    </row>
    <row r="37" spans="1:10" ht="15" customHeight="1" x14ac:dyDescent="0.15">
      <c r="A37" s="212">
        <v>36</v>
      </c>
      <c r="B37" s="212" t="s">
        <v>228</v>
      </c>
      <c r="C37" s="8">
        <v>4.3019089698791504</v>
      </c>
      <c r="D37" s="9">
        <v>5.3654918447136879E-3</v>
      </c>
      <c r="E37" s="9">
        <v>0.2800000011920929</v>
      </c>
      <c r="F37" s="9">
        <v>58.675880432128906</v>
      </c>
      <c r="G37" s="7">
        <v>0</v>
      </c>
      <c r="H37" s="9">
        <v>4.7719776630401611E-3</v>
      </c>
      <c r="I37">
        <v>0</v>
      </c>
      <c r="J37"/>
    </row>
    <row r="38" spans="1:10" ht="15" customHeight="1" x14ac:dyDescent="0.15">
      <c r="A38" s="213">
        <v>37</v>
      </c>
      <c r="B38" s="213" t="s">
        <v>229</v>
      </c>
      <c r="C38" s="8">
        <v>3.573723316192627</v>
      </c>
      <c r="D38" s="9">
        <v>3.3066098694689572E-4</v>
      </c>
      <c r="E38" s="9">
        <v>0.2800000011920929</v>
      </c>
      <c r="F38" s="9">
        <v>64.120254516601562</v>
      </c>
      <c r="G38" s="7">
        <v>0</v>
      </c>
      <c r="H38" s="9">
        <v>4.3667950667440891E-3</v>
      </c>
      <c r="I38">
        <v>0</v>
      </c>
      <c r="J38"/>
    </row>
    <row r="39" spans="1:10" ht="15" customHeight="1" x14ac:dyDescent="0.15">
      <c r="A39" s="214">
        <v>38</v>
      </c>
      <c r="B39" s="214" t="s">
        <v>230</v>
      </c>
      <c r="C39" s="8">
        <v>4.8354883193969727</v>
      </c>
      <c r="D39" s="9">
        <v>4.8540098941884935E-4</v>
      </c>
      <c r="E39" s="9">
        <v>3.9999999105930328E-2</v>
      </c>
      <c r="F39" s="9">
        <v>15.899999618530273</v>
      </c>
      <c r="G39" s="7">
        <v>0</v>
      </c>
      <c r="H39" s="9">
        <v>2.515723230317235E-3</v>
      </c>
      <c r="I39">
        <v>0</v>
      </c>
      <c r="J39"/>
    </row>
    <row r="40" spans="1:10" ht="15" customHeight="1" x14ac:dyDescent="0.15">
      <c r="A40" s="215">
        <v>39</v>
      </c>
      <c r="B40" s="215" t="s">
        <v>231</v>
      </c>
      <c r="C40" s="8">
        <v>4.8979525566101074</v>
      </c>
      <c r="D40" s="9">
        <v>9.4951801002025604E-3</v>
      </c>
      <c r="E40" s="9">
        <v>3.9999999105930328E-2</v>
      </c>
      <c r="F40" s="9">
        <v>40.700000762939453</v>
      </c>
      <c r="G40" s="7">
        <v>0</v>
      </c>
      <c r="H40" s="9">
        <v>9.8280096426606178E-4</v>
      </c>
      <c r="I40">
        <v>0</v>
      </c>
      <c r="J40"/>
    </row>
    <row r="41" spans="1:10" ht="15" customHeight="1" x14ac:dyDescent="0.15">
      <c r="A41" s="216">
        <v>40</v>
      </c>
      <c r="B41" s="216" t="s">
        <v>232</v>
      </c>
      <c r="C41" s="8">
        <v>5.0018658638000488</v>
      </c>
      <c r="D41" s="9">
        <v>6.0245571658015251E-3</v>
      </c>
      <c r="E41" s="9">
        <v>7.9999998211860657E-2</v>
      </c>
      <c r="F41" s="9">
        <v>23.639999389648438</v>
      </c>
      <c r="G41" s="7">
        <v>0</v>
      </c>
      <c r="H41" s="9">
        <v>3.3840946853160858E-3</v>
      </c>
      <c r="I41">
        <v>0</v>
      </c>
      <c r="J41"/>
    </row>
    <row r="42" spans="1:10" ht="15" customHeight="1" x14ac:dyDescent="0.15">
      <c r="A42" s="217">
        <v>41</v>
      </c>
      <c r="B42" s="217" t="s">
        <v>233</v>
      </c>
      <c r="C42" s="8">
        <v>1</v>
      </c>
      <c r="D42" s="9">
        <v>2.500000037252903E-2</v>
      </c>
      <c r="E42" s="9">
        <v>7.9999998211860657E-2</v>
      </c>
      <c r="F42" s="10"/>
      <c r="G42" s="9">
        <v>0.77592635154724121</v>
      </c>
      <c r="H42" s="10"/>
      <c r="I42">
        <v>0</v>
      </c>
      <c r="J42"/>
    </row>
    <row r="43" spans="1:10" ht="15" customHeight="1" x14ac:dyDescent="0.15">
      <c r="A43" s="218">
        <v>42</v>
      </c>
      <c r="B43" s="218" t="s">
        <v>234</v>
      </c>
      <c r="C43" s="8">
        <v>1</v>
      </c>
      <c r="D43" s="9">
        <v>10</v>
      </c>
      <c r="E43" s="10"/>
      <c r="F43" s="10"/>
      <c r="G43" s="7">
        <v>0.19774264097213745</v>
      </c>
      <c r="H43" s="10"/>
      <c r="I43">
        <v>0</v>
      </c>
      <c r="J43"/>
    </row>
    <row r="44" spans="1:10" ht="15" customHeight="1" x14ac:dyDescent="0.15">
      <c r="A44" s="219">
        <v>43</v>
      </c>
      <c r="B44" s="219" t="s">
        <v>235</v>
      </c>
      <c r="C44" s="8">
        <v>1</v>
      </c>
      <c r="D44" s="9">
        <v>5</v>
      </c>
      <c r="E44" s="10"/>
      <c r="F44" s="10"/>
      <c r="G44" s="7">
        <v>0</v>
      </c>
      <c r="H44" s="10"/>
      <c r="I44">
        <v>0</v>
      </c>
      <c r="J44"/>
    </row>
    <row r="45" spans="1:10" ht="15" customHeight="1" x14ac:dyDescent="0.15">
      <c r="A45" s="220">
        <v>44</v>
      </c>
      <c r="B45" s="220" t="s">
        <v>236</v>
      </c>
      <c r="C45" s="8">
        <v>4.675206184387207</v>
      </c>
      <c r="D45" s="10"/>
      <c r="E45" s="10"/>
      <c r="F45" s="10"/>
      <c r="G45" s="10"/>
      <c r="H45" s="10"/>
      <c r="I45">
        <v>6.6236361861228943E-2</v>
      </c>
      <c r="J45"/>
    </row>
    <row r="46" spans="1:10" ht="15" customHeight="1" x14ac:dyDescent="0.15">
      <c r="A46" s="221">
        <v>45</v>
      </c>
      <c r="B46" s="221" t="s">
        <v>237</v>
      </c>
      <c r="C46" s="8">
        <v>4.4482879638671875</v>
      </c>
      <c r="D46" s="10"/>
      <c r="E46" s="10"/>
      <c r="F46" s="10"/>
      <c r="G46" s="10"/>
      <c r="H46" s="10"/>
      <c r="I46">
        <v>0.54476869106292725</v>
      </c>
      <c r="J46"/>
    </row>
    <row r="47" spans="1:10" ht="15" customHeight="1" x14ac:dyDescent="0.15">
      <c r="A47" s="222">
        <v>46</v>
      </c>
      <c r="B47" s="222" t="s">
        <v>238</v>
      </c>
      <c r="C47" s="8">
        <v>4.8984804153442383</v>
      </c>
      <c r="D47" s="10"/>
      <c r="E47" s="10"/>
      <c r="F47" s="10"/>
      <c r="G47" s="10"/>
      <c r="H47" s="10"/>
      <c r="I47">
        <v>0.59746706485748291</v>
      </c>
      <c r="J47"/>
    </row>
    <row r="48" spans="1:10" ht="15" customHeight="1" x14ac:dyDescent="0.15">
      <c r="A48" s="223">
        <v>47</v>
      </c>
      <c r="B48" s="223" t="s">
        <v>239</v>
      </c>
      <c r="C48" s="8">
        <v>4.6979556083679199</v>
      </c>
      <c r="D48" s="10"/>
      <c r="E48" s="10"/>
      <c r="F48" s="10"/>
      <c r="G48" s="10"/>
      <c r="H48" s="10"/>
      <c r="I48">
        <v>5.8607935905456543E-2</v>
      </c>
      <c r="J48"/>
    </row>
    <row r="49" spans="1:10" ht="15" customHeight="1" x14ac:dyDescent="0.15">
      <c r="A49" s="224">
        <v>48</v>
      </c>
      <c r="B49" s="224" t="s">
        <v>240</v>
      </c>
      <c r="C49" s="8">
        <v>4.8939886093139648</v>
      </c>
      <c r="D49" s="10"/>
      <c r="E49" s="10"/>
      <c r="F49" s="10"/>
      <c r="G49" s="10"/>
      <c r="H49" s="10"/>
      <c r="I49">
        <v>8.3214834332466125E-2</v>
      </c>
      <c r="J49"/>
    </row>
    <row r="50" spans="1:10" ht="15" customHeight="1" x14ac:dyDescent="0.15">
      <c r="A50" s="225">
        <v>49</v>
      </c>
      <c r="B50" s="225" t="s">
        <v>241</v>
      </c>
      <c r="C50" s="8">
        <v>3</v>
      </c>
      <c r="D50" s="10"/>
      <c r="E50" s="10"/>
      <c r="F50" s="10"/>
      <c r="G50" s="10"/>
      <c r="H50" s="10"/>
      <c r="I50">
        <v>0.32743841409683228</v>
      </c>
      <c r="J50"/>
    </row>
    <row r="51" spans="1:10" ht="15" customHeight="1" x14ac:dyDescent="0.15">
      <c r="A51"/>
      <c r="B51"/>
      <c r="C51"/>
      <c r="D51"/>
      <c r="E51"/>
      <c r="F51"/>
      <c r="G51"/>
      <c r="H51"/>
      <c r="I51"/>
      <c r="J51"/>
    </row>
    <row r="52" spans="1:10" ht="15" customHeight="1" x14ac:dyDescent="0.15">
      <c r="A52"/>
      <c r="B52"/>
      <c r="C52"/>
      <c r="D52"/>
      <c r="E52"/>
      <c r="F52"/>
      <c r="G52"/>
      <c r="H52"/>
      <c r="I52"/>
      <c r="J52"/>
    </row>
    <row r="53" spans="1:10" ht="15" customHeight="1" x14ac:dyDescent="0.15">
      <c r="A53"/>
      <c r="B53"/>
      <c r="C53"/>
      <c r="D53"/>
      <c r="E53"/>
      <c r="F53"/>
      <c r="G53"/>
      <c r="H53"/>
      <c r="I53"/>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2" bestFit="1" customWidth="1"/>
    <col min="2" max="4" width="9.5" style="82" bestFit="1" customWidth="1"/>
    <col min="5" max="7" width="9" style="82" bestFit="1" customWidth="1"/>
    <col min="8" max="16" width="12.6640625" style="82" bestFit="1" customWidth="1"/>
    <col min="17" max="17" width="12.33203125" style="82" bestFit="1" customWidth="1"/>
    <col min="18" max="18" width="8.83203125" style="82"/>
    <col min="19" max="21" width="9.33203125" style="82" bestFit="1" customWidth="1"/>
    <col min="22" max="23" width="8.83203125" style="82"/>
    <col min="24" max="24" width="9.33203125" style="82" bestFit="1" customWidth="1"/>
    <col min="25" max="27" width="8.83203125" style="82"/>
    <col min="28" max="58" width="9" style="82" bestFit="1" customWidth="1"/>
    <col min="59" max="59" width="12.33203125" style="82" bestFit="1" customWidth="1"/>
    <col min="60" max="60" width="9" style="82" bestFit="1" customWidth="1"/>
    <col min="61" max="61" width="11.33203125" style="82" bestFit="1" customWidth="1"/>
    <col min="62" max="77" width="9" style="82" bestFit="1" customWidth="1"/>
    <col min="78" max="78" width="12.33203125" style="82" bestFit="1" customWidth="1"/>
    <col min="79" max="79" width="9" style="82" bestFit="1" customWidth="1"/>
    <col min="80" max="80" width="12.33203125" style="82" bestFit="1" customWidth="1"/>
    <col min="81" max="107" width="9" style="82" bestFit="1" customWidth="1"/>
    <col min="108" max="108" width="11.33203125" style="82" bestFit="1" customWidth="1"/>
    <col min="109" max="124" width="9" style="82" bestFit="1" customWidth="1"/>
    <col min="125" max="125" width="10.33203125" style="82" bestFit="1" customWidth="1"/>
    <col min="126" max="129" width="9.33203125" style="82" bestFit="1" customWidth="1"/>
    <col min="130" max="130" width="9" style="82" bestFit="1" customWidth="1"/>
    <col min="131" max="134" width="9.33203125" style="82" bestFit="1" customWidth="1"/>
    <col min="135" max="165" width="9" style="82" bestFit="1" customWidth="1"/>
    <col min="166" max="166" width="12.33203125" style="82" bestFit="1" customWidth="1"/>
    <col min="167" max="170" width="9" style="82" bestFit="1" customWidth="1"/>
    <col min="171" max="176" width="8.83203125" style="82"/>
    <col min="177" max="177" width="13.83203125" style="82" bestFit="1" customWidth="1"/>
    <col min="178" max="16384" width="8.83203125" style="82"/>
  </cols>
  <sheetData>
    <row r="1" spans="1:209" ht="15" customHeight="1" x14ac:dyDescent="0.15">
      <c r="A1" t="s">
        <v>15</v>
      </c>
      <c r="B1" t="s">
        <v>1</v>
      </c>
      <c r="C1" t="s">
        <v>16</v>
      </c>
      <c r="D1" t="s">
        <v>246</v>
      </c>
      <c r="E1" t="s">
        <v>247</v>
      </c>
      <c r="F1" t="s">
        <v>248</v>
      </c>
      <c r="G1" t="s">
        <v>249</v>
      </c>
      <c r="H1" t="s">
        <v>250</v>
      </c>
      <c r="I1" t="s">
        <v>251</v>
      </c>
      <c r="J1" t="s">
        <v>193</v>
      </c>
      <c r="K1" t="s">
        <v>194</v>
      </c>
      <c r="L1" t="s">
        <v>195</v>
      </c>
      <c r="M1" t="s">
        <v>196</v>
      </c>
      <c r="N1" t="s">
        <v>197</v>
      </c>
      <c r="O1" t="s">
        <v>198</v>
      </c>
      <c r="P1" t="s">
        <v>199</v>
      </c>
      <c r="Q1" t="s">
        <v>200</v>
      </c>
      <c r="R1" t="s">
        <v>201</v>
      </c>
      <c r="S1" t="s">
        <v>202</v>
      </c>
      <c r="T1" t="s">
        <v>203</v>
      </c>
      <c r="U1" t="s">
        <v>204</v>
      </c>
      <c r="V1" t="s">
        <v>205</v>
      </c>
      <c r="W1" t="s">
        <v>206</v>
      </c>
      <c r="X1" t="s">
        <v>207</v>
      </c>
      <c r="Y1" t="s">
        <v>208</v>
      </c>
      <c r="Z1" t="s">
        <v>209</v>
      </c>
      <c r="AA1" t="s">
        <v>210</v>
      </c>
      <c r="AB1" t="s">
        <v>211</v>
      </c>
      <c r="AC1" t="s">
        <v>212</v>
      </c>
      <c r="AD1" t="s">
        <v>213</v>
      </c>
      <c r="AE1" t="s">
        <v>214</v>
      </c>
      <c r="AF1" t="s">
        <v>215</v>
      </c>
      <c r="AG1" t="s">
        <v>216</v>
      </c>
      <c r="AH1" t="s">
        <v>217</v>
      </c>
      <c r="AI1" t="s">
        <v>218</v>
      </c>
      <c r="AJ1" t="s">
        <v>219</v>
      </c>
      <c r="AK1" t="s">
        <v>220</v>
      </c>
      <c r="AL1" t="s">
        <v>221</v>
      </c>
      <c r="AM1" t="s">
        <v>222</v>
      </c>
      <c r="AN1" t="s">
        <v>223</v>
      </c>
      <c r="AO1" t="s">
        <v>224</v>
      </c>
      <c r="AP1" t="s">
        <v>225</v>
      </c>
      <c r="AQ1" t="s">
        <v>226</v>
      </c>
      <c r="AR1" t="s">
        <v>227</v>
      </c>
      <c r="AS1" t="s">
        <v>228</v>
      </c>
      <c r="AT1" t="s">
        <v>229</v>
      </c>
      <c r="AU1" t="s">
        <v>230</v>
      </c>
      <c r="AV1" t="s">
        <v>231</v>
      </c>
      <c r="AW1" t="s">
        <v>232</v>
      </c>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193</v>
      </c>
      <c r="B2">
        <v>109</v>
      </c>
      <c r="C2">
        <v>60.848739624023438</v>
      </c>
      <c r="D2"/>
      <c r="E2"/>
      <c r="F2"/>
      <c r="G2"/>
      <c r="H2"/>
      <c r="I2"/>
      <c r="J2"/>
      <c r="K2" s="21">
        <v>0.77039235830307007</v>
      </c>
      <c r="L2" s="298">
        <v>36.596702575683594</v>
      </c>
      <c r="M2" s="252">
        <v>5.4405531883239746</v>
      </c>
      <c r="N2" s="22">
        <v>0.69338089227676392</v>
      </c>
      <c r="O2" s="20">
        <v>2.1022920608520508</v>
      </c>
      <c r="P2" s="17">
        <v>1.2113651037216187</v>
      </c>
      <c r="Q2"/>
      <c r="R2" s="11">
        <v>8.0458447337150574E-2</v>
      </c>
      <c r="S2" s="13">
        <v>0.17980070412158966</v>
      </c>
      <c r="T2" s="14">
        <v>1.0760196447372437</v>
      </c>
      <c r="U2"/>
      <c r="V2"/>
      <c r="W2"/>
      <c r="X2"/>
      <c r="Y2"/>
      <c r="Z2"/>
      <c r="AA2"/>
      <c r="AB2" s="11">
        <v>2.9879444628022611E-4</v>
      </c>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194</v>
      </c>
      <c r="B3">
        <v>72.800003051757812</v>
      </c>
      <c r="C3">
        <v>14.559990882873535</v>
      </c>
      <c r="D3"/>
      <c r="E3"/>
      <c r="F3"/>
      <c r="G3"/>
      <c r="H3"/>
      <c r="I3"/>
      <c r="J3"/>
      <c r="K3"/>
      <c r="L3"/>
      <c r="M3"/>
      <c r="N3" s="142">
        <v>8.7363510131835938</v>
      </c>
      <c r="O3" s="108">
        <v>11.352054595947266</v>
      </c>
      <c r="P3" s="295">
        <v>30.525531768798828</v>
      </c>
      <c r="Q3"/>
      <c r="R3"/>
      <c r="S3"/>
      <c r="T3" s="289">
        <v>7.626072883605957</v>
      </c>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195</v>
      </c>
      <c r="B4">
        <v>45.279998779296875</v>
      </c>
      <c r="C4">
        <v>9.0560235977172852</v>
      </c>
      <c r="D4"/>
      <c r="E4"/>
      <c r="F4"/>
      <c r="G4"/>
      <c r="H4"/>
      <c r="I4"/>
      <c r="J4"/>
      <c r="K4"/>
      <c r="L4" s="76">
        <v>6.3599996566772461</v>
      </c>
      <c r="M4" s="297">
        <v>22.633205413818359</v>
      </c>
      <c r="N4" s="21">
        <v>0.35884749889373779</v>
      </c>
      <c r="O4" s="228">
        <v>3.7303047180175781</v>
      </c>
      <c r="P4" s="16">
        <v>0.62692141532897949</v>
      </c>
      <c r="Q4"/>
      <c r="R4"/>
      <c r="S4" s="11">
        <v>4.2947445064783096E-2</v>
      </c>
      <c r="T4" s="23">
        <v>1.2529703378677368</v>
      </c>
      <c r="U4"/>
      <c r="V4"/>
      <c r="W4"/>
      <c r="X4"/>
      <c r="Y4" s="11">
        <v>2.1527599892579019E-4</v>
      </c>
      <c r="Z4"/>
      <c r="AA4"/>
      <c r="AB4" s="22">
        <v>0.28623118996620178</v>
      </c>
      <c r="AC4"/>
      <c r="AD4" s="22">
        <v>0.23487105965614319</v>
      </c>
      <c r="AE4" s="15">
        <v>0.66887319087982178</v>
      </c>
      <c r="AF4"/>
      <c r="AG4"/>
      <c r="AH4"/>
      <c r="AI4"/>
      <c r="AJ4"/>
      <c r="AK4"/>
      <c r="AL4"/>
      <c r="AM4"/>
      <c r="AN4"/>
      <c r="AO4" s="11">
        <v>2.8586255386471748E-2</v>
      </c>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196</v>
      </c>
      <c r="B5">
        <v>7</v>
      </c>
      <c r="C5">
        <v>1.3999652862548828</v>
      </c>
      <c r="D5"/>
      <c r="E5"/>
      <c r="F5"/>
      <c r="G5"/>
      <c r="H5"/>
      <c r="I5"/>
      <c r="J5"/>
      <c r="K5"/>
      <c r="L5"/>
      <c r="M5" s="293">
        <v>1.1416999101638794</v>
      </c>
      <c r="N5" s="23">
        <v>0.19376049935817719</v>
      </c>
      <c r="O5" s="296">
        <v>2.0141863822937012</v>
      </c>
      <c r="P5" s="252">
        <v>0.33850759267807007</v>
      </c>
      <c r="Q5"/>
      <c r="R5"/>
      <c r="S5" s="12">
        <v>2.3189568892121315E-2</v>
      </c>
      <c r="T5" s="291">
        <v>0.67654412984848022</v>
      </c>
      <c r="U5" s="64">
        <v>0.15372353792190552</v>
      </c>
      <c r="V5"/>
      <c r="W5" s="11">
        <v>6.7879682319471613E-6</v>
      </c>
      <c r="X5" s="11">
        <v>3.3920137211680412E-3</v>
      </c>
      <c r="Y5"/>
      <c r="Z5"/>
      <c r="AA5" s="11">
        <v>3.842795267701149E-4</v>
      </c>
      <c r="AB5" s="16">
        <v>9.4332031905651093E-2</v>
      </c>
      <c r="AC5"/>
      <c r="AD5" s="23">
        <v>0.19424198567867279</v>
      </c>
      <c r="AE5" s="26">
        <v>0.54173934459686279</v>
      </c>
      <c r="AF5"/>
      <c r="AG5"/>
      <c r="AH5" s="13">
        <v>1.199694350361824E-2</v>
      </c>
      <c r="AI5"/>
      <c r="AJ5" s="13">
        <v>9.0611148625612259E-3</v>
      </c>
      <c r="AK5" s="11">
        <v>4.8523689620196819E-3</v>
      </c>
      <c r="AL5"/>
      <c r="AM5"/>
      <c r="AN5"/>
      <c r="AO5" s="23">
        <v>0.1980852335691452</v>
      </c>
      <c r="AP5"/>
      <c r="AQ5"/>
      <c r="AR5" s="11">
        <v>3.3126267953775823E-4</v>
      </c>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197</v>
      </c>
      <c r="B6">
        <v>15</v>
      </c>
      <c r="C6">
        <v>0.75074940919876099</v>
      </c>
      <c r="D6"/>
      <c r="E6"/>
      <c r="F6"/>
      <c r="G6"/>
      <c r="H6"/>
      <c r="I6"/>
      <c r="J6"/>
      <c r="K6"/>
      <c r="L6"/>
      <c r="M6"/>
      <c r="N6"/>
      <c r="O6"/>
      <c r="P6" s="107">
        <v>4.3676033020019531</v>
      </c>
      <c r="Q6"/>
      <c r="R6"/>
      <c r="S6"/>
      <c r="T6" s="262">
        <v>2.1822819709777832</v>
      </c>
      <c r="U6" s="294">
        <v>7.4378323554992676</v>
      </c>
      <c r="V6"/>
      <c r="W6"/>
      <c r="X6" s="13">
        <v>4.3765544891357422E-2</v>
      </c>
      <c r="Y6"/>
      <c r="Z6" s="13">
        <v>3.1887214630842209E-2</v>
      </c>
      <c r="AA6" s="13">
        <v>2.4790884926915169E-2</v>
      </c>
      <c r="AB6"/>
      <c r="AC6"/>
      <c r="AD6"/>
      <c r="AE6"/>
      <c r="AF6"/>
      <c r="AG6"/>
      <c r="AH6"/>
      <c r="AI6"/>
      <c r="AJ6"/>
      <c r="AK6"/>
      <c r="AL6"/>
      <c r="AM6"/>
      <c r="AN6"/>
      <c r="AO6"/>
      <c r="AP6" s="12">
        <v>4.6776775270700455E-2</v>
      </c>
      <c r="AQ6" s="21">
        <v>0.11431125551462173</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198</v>
      </c>
      <c r="B7">
        <v>5.6599998474121094</v>
      </c>
      <c r="C7">
        <v>0.28316065669059753</v>
      </c>
      <c r="D7"/>
      <c r="E7"/>
      <c r="F7"/>
      <c r="G7"/>
      <c r="H7"/>
      <c r="I7"/>
      <c r="J7"/>
      <c r="K7"/>
      <c r="L7"/>
      <c r="M7"/>
      <c r="N7"/>
      <c r="O7" s="290">
        <v>1.8748842477798462</v>
      </c>
      <c r="P7"/>
      <c r="Q7"/>
      <c r="R7"/>
      <c r="S7"/>
      <c r="T7"/>
      <c r="U7" s="144">
        <v>2.1463792324066162</v>
      </c>
      <c r="V7"/>
      <c r="W7" s="284">
        <v>0.18955525755882263</v>
      </c>
      <c r="X7" s="22">
        <v>3.7889044731855392E-2</v>
      </c>
      <c r="Y7"/>
      <c r="Z7" s="13">
        <v>9.2018824070692062E-3</v>
      </c>
      <c r="AA7" s="233">
        <v>0.32050150632858276</v>
      </c>
      <c r="AB7" s="11">
        <v>4.2275600135326385E-3</v>
      </c>
      <c r="AC7" s="12">
        <v>2.0030861720442772E-2</v>
      </c>
      <c r="AD7"/>
      <c r="AE7"/>
      <c r="AF7" s="243">
        <v>0.13551254570484161</v>
      </c>
      <c r="AG7" s="65">
        <v>0.23491671681404114</v>
      </c>
      <c r="AH7" s="13">
        <v>8.9337825775146484E-3</v>
      </c>
      <c r="AI7" s="19">
        <v>0.24269762635231018</v>
      </c>
      <c r="AJ7"/>
      <c r="AK7"/>
      <c r="AL7" s="13">
        <v>1.018022745847702E-2</v>
      </c>
      <c r="AM7" s="11">
        <v>2.2936123423278332E-3</v>
      </c>
      <c r="AN7" s="22">
        <v>3.8100112229585648E-2</v>
      </c>
      <c r="AO7"/>
      <c r="AP7" s="18">
        <v>9.8990105092525482E-2</v>
      </c>
      <c r="AQ7"/>
      <c r="AR7"/>
      <c r="AS7"/>
      <c r="AT7" s="11">
        <v>2.5442480109632015E-3</v>
      </c>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199</v>
      </c>
      <c r="B8">
        <v>0.88999998569488525</v>
      </c>
      <c r="C8">
        <v>0.17804358899593353</v>
      </c>
      <c r="D8"/>
      <c r="E8"/>
      <c r="F8"/>
      <c r="G8"/>
      <c r="H8"/>
      <c r="I8"/>
      <c r="J8"/>
      <c r="K8"/>
      <c r="L8"/>
      <c r="M8"/>
      <c r="N8"/>
      <c r="O8"/>
      <c r="P8"/>
      <c r="Q8"/>
      <c r="R8"/>
      <c r="S8"/>
      <c r="T8"/>
      <c r="U8" s="269">
        <v>0.34995979070663452</v>
      </c>
      <c r="V8" s="252">
        <v>4.293639212846756E-2</v>
      </c>
      <c r="W8" s="13">
        <v>1.9791948143392801E-3</v>
      </c>
      <c r="X8" s="148">
        <v>2.6621198281645775E-2</v>
      </c>
      <c r="Y8" s="245">
        <v>4.699716717004776E-2</v>
      </c>
      <c r="Z8" s="63">
        <v>4.8640090972185135E-2</v>
      </c>
      <c r="AA8" s="63">
        <v>4.8926714807748795E-2</v>
      </c>
      <c r="AB8"/>
      <c r="AC8" s="21">
        <v>7.0587215013802052E-3</v>
      </c>
      <c r="AD8"/>
      <c r="AE8"/>
      <c r="AF8" s="284">
        <v>2.9182741418480873E-2</v>
      </c>
      <c r="AG8" s="286">
        <v>3.4267406910657883E-2</v>
      </c>
      <c r="AH8" s="21">
        <v>6.3935592770576477E-3</v>
      </c>
      <c r="AI8" s="148">
        <v>2.6864323765039444E-2</v>
      </c>
      <c r="AJ8" s="22">
        <v>4.4922647066414356E-3</v>
      </c>
      <c r="AK8" s="21">
        <v>7.6872128993272781E-3</v>
      </c>
      <c r="AL8" s="12">
        <v>4.3314951471984386E-3</v>
      </c>
      <c r="AM8" s="11">
        <v>8.50612239446491E-4</v>
      </c>
      <c r="AN8" s="13">
        <v>2.610647352412343E-3</v>
      </c>
      <c r="AO8" s="13">
        <v>1.4001574600115418E-3</v>
      </c>
      <c r="AP8" s="15">
        <v>1.3213391415774822E-2</v>
      </c>
      <c r="AQ8" s="21">
        <v>7.0451716892421246E-3</v>
      </c>
      <c r="AR8"/>
      <c r="AS8"/>
      <c r="AT8" s="11">
        <v>4.9809640040621161E-4</v>
      </c>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200</v>
      </c>
      <c r="B9">
        <v>3</v>
      </c>
      <c r="C9">
        <v>0.60015034675598145</v>
      </c>
      <c r="D9"/>
      <c r="E9"/>
      <c r="F9"/>
      <c r="G9"/>
      <c r="H9"/>
      <c r="I9"/>
      <c r="J9"/>
      <c r="K9"/>
      <c r="L9"/>
      <c r="M9"/>
      <c r="N9"/>
      <c r="O9"/>
      <c r="P9"/>
      <c r="Q9"/>
      <c r="R9"/>
      <c r="S9"/>
      <c r="T9"/>
      <c r="U9" s="269">
        <v>1.1802757978439331</v>
      </c>
      <c r="V9" s="252">
        <v>0.14433553814888</v>
      </c>
      <c r="W9" s="13">
        <v>6.653287447988987E-3</v>
      </c>
      <c r="X9" s="148">
        <v>8.9490167796611786E-2</v>
      </c>
      <c r="Y9" s="245">
        <v>0.15798629820346832</v>
      </c>
      <c r="Z9" s="245">
        <v>0.16048121452331543</v>
      </c>
      <c r="AA9" s="69">
        <v>0.15505631268024445</v>
      </c>
      <c r="AB9"/>
      <c r="AC9" s="21">
        <v>2.6365214958786964E-2</v>
      </c>
      <c r="AD9"/>
      <c r="AE9"/>
      <c r="AF9" s="284">
        <v>9.8101086914539337E-2</v>
      </c>
      <c r="AG9" s="286">
        <v>0.11519376933574677</v>
      </c>
      <c r="AH9" s="21">
        <v>2.1492674946784973E-2</v>
      </c>
      <c r="AI9" s="18">
        <v>5.3914904594421387E-2</v>
      </c>
      <c r="AJ9" s="22">
        <v>1.9586777314543724E-2</v>
      </c>
      <c r="AK9" s="21">
        <v>2.5841435417532921E-2</v>
      </c>
      <c r="AL9" s="12">
        <v>1.4560811221599579E-2</v>
      </c>
      <c r="AM9" s="11">
        <v>2.6999376714229584E-3</v>
      </c>
      <c r="AN9" s="12">
        <v>1.0029698722064495E-2</v>
      </c>
      <c r="AO9" s="13">
        <v>4.7067874111235142E-3</v>
      </c>
      <c r="AP9" s="148">
        <v>8.8836625218391418E-2</v>
      </c>
      <c r="AQ9" s="21">
        <v>2.368314191699028E-2</v>
      </c>
      <c r="AR9"/>
      <c r="AS9"/>
      <c r="AT9" s="11">
        <v>5.5813573999330401E-4</v>
      </c>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201</v>
      </c>
      <c r="B10">
        <v>0.89999997615814209</v>
      </c>
      <c r="C10">
        <v>0.18000845611095428</v>
      </c>
      <c r="D10" s="11">
        <v>6.6329503897577524E-4</v>
      </c>
      <c r="E10"/>
      <c r="F10" s="13">
        <v>1.4864228432998061E-3</v>
      </c>
      <c r="G10" s="11">
        <v>9.3155191279947758E-5</v>
      </c>
      <c r="H10"/>
      <c r="I10" s="246">
        <v>0.58670669794082642</v>
      </c>
      <c r="J10"/>
      <c r="K10"/>
      <c r="L10"/>
      <c r="M10"/>
      <c r="N10"/>
      <c r="O10"/>
      <c r="P10"/>
      <c r="Q10"/>
      <c r="R10"/>
      <c r="S10"/>
      <c r="T10"/>
      <c r="U10"/>
      <c r="V10"/>
      <c r="W10"/>
      <c r="X10" s="14">
        <v>8.4862355142831802E-3</v>
      </c>
      <c r="Y10" s="230">
        <v>7.1732982993125916E-2</v>
      </c>
      <c r="Z10" s="17">
        <v>1.051110215485096E-2</v>
      </c>
      <c r="AA10"/>
      <c r="AB10"/>
      <c r="AC10"/>
      <c r="AD10"/>
      <c r="AE10"/>
      <c r="AF10"/>
      <c r="AG10"/>
      <c r="AH10"/>
      <c r="AI10"/>
      <c r="AJ10"/>
      <c r="AK10"/>
      <c r="AL10"/>
      <c r="AM10"/>
      <c r="AN10"/>
      <c r="AO10"/>
      <c r="AP10" s="227">
        <v>4.0311649441719055E-2</v>
      </c>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202</v>
      </c>
      <c r="B11">
        <v>0.60000002384185791</v>
      </c>
      <c r="C11">
        <v>0.12014637142419815</v>
      </c>
      <c r="D11"/>
      <c r="E11"/>
      <c r="F11"/>
      <c r="G11"/>
      <c r="H11"/>
      <c r="I11"/>
      <c r="J11"/>
      <c r="K11"/>
      <c r="L11"/>
      <c r="M11"/>
      <c r="N11"/>
      <c r="O11"/>
      <c r="P11"/>
      <c r="Q11"/>
      <c r="R11"/>
      <c r="S11"/>
      <c r="T11"/>
      <c r="U11" s="228">
        <v>4.9717467278242111E-2</v>
      </c>
      <c r="V11" s="227">
        <v>2.7085956186056137E-2</v>
      </c>
      <c r="W11" s="15">
        <v>9.4401054084300995E-3</v>
      </c>
      <c r="X11" s="287">
        <v>0.36202627420425415</v>
      </c>
      <c r="Y11"/>
      <c r="Z11" s="13">
        <v>7.9930119682103395E-4</v>
      </c>
      <c r="AA11"/>
      <c r="AB11"/>
      <c r="AC11" s="18">
        <v>1.0439619421958923E-2</v>
      </c>
      <c r="AD11"/>
      <c r="AE11"/>
      <c r="AF11"/>
      <c r="AG11"/>
      <c r="AH11"/>
      <c r="AI11"/>
      <c r="AJ11"/>
      <c r="AK11"/>
      <c r="AL11" s="13">
        <v>1.5843950677663088E-3</v>
      </c>
      <c r="AM11"/>
      <c r="AN11"/>
      <c r="AO11"/>
      <c r="AP11" s="24">
        <v>1.876048743724823E-2</v>
      </c>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203</v>
      </c>
      <c r="B12">
        <v>2.4000000953674316</v>
      </c>
      <c r="C12">
        <v>0.48012644052505493</v>
      </c>
      <c r="D12"/>
      <c r="E12"/>
      <c r="F12"/>
      <c r="G12"/>
      <c r="H12"/>
      <c r="I12"/>
      <c r="J12"/>
      <c r="K12"/>
      <c r="L12"/>
      <c r="M12"/>
      <c r="N12"/>
      <c r="O12"/>
      <c r="P12"/>
      <c r="Q12"/>
      <c r="R12"/>
      <c r="S12"/>
      <c r="T12"/>
      <c r="U12" s="292">
        <v>1.7041411399841309</v>
      </c>
      <c r="V12" s="11">
        <v>1.1605150066316128E-3</v>
      </c>
      <c r="W12" s="14">
        <v>2.4681910872459412E-2</v>
      </c>
      <c r="X12" s="13">
        <v>3.1586538534611464E-3</v>
      </c>
      <c r="Y12"/>
      <c r="Z12" s="12">
        <v>1.0410955175757408E-2</v>
      </c>
      <c r="AA12" s="16">
        <v>3.4080222249031067E-2</v>
      </c>
      <c r="AB12"/>
      <c r="AC12"/>
      <c r="AD12"/>
      <c r="AE12"/>
      <c r="AF12"/>
      <c r="AG12" s="15">
        <v>3.8674365729093552E-2</v>
      </c>
      <c r="AH12"/>
      <c r="AI12" s="18">
        <v>4.1465457528829575E-2</v>
      </c>
      <c r="AJ12" s="21">
        <v>1.7045939341187477E-2</v>
      </c>
      <c r="AK12" s="12">
        <v>1.0758431628346443E-2</v>
      </c>
      <c r="AL12" s="22">
        <v>1.2468451634049416E-2</v>
      </c>
      <c r="AM12" s="11">
        <v>3.301645047031343E-4</v>
      </c>
      <c r="AN12" s="13">
        <v>4.5374990440905094E-3</v>
      </c>
      <c r="AO12"/>
      <c r="AP12" s="22">
        <v>1.6076099127531052E-2</v>
      </c>
      <c r="AQ12"/>
      <c r="AR12"/>
      <c r="AS12"/>
      <c r="AT12" s="11">
        <v>8.8376452913507819E-4</v>
      </c>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204</v>
      </c>
      <c r="B13">
        <v>2.2400000095367432</v>
      </c>
      <c r="C13">
        <v>1.152671217918396</v>
      </c>
      <c r="D13"/>
      <c r="E13"/>
      <c r="F13"/>
      <c r="G13"/>
      <c r="H13"/>
      <c r="I13"/>
      <c r="J13"/>
      <c r="K13"/>
      <c r="L13"/>
      <c r="M13"/>
      <c r="N13"/>
      <c r="O13"/>
      <c r="P13"/>
      <c r="Q13"/>
      <c r="R13"/>
      <c r="S13"/>
      <c r="T13"/>
      <c r="U13" s="13">
        <v>2.5834229309111834E-3</v>
      </c>
      <c r="V13" s="12">
        <v>7.7409343793988228E-3</v>
      </c>
      <c r="W13" s="11">
        <v>2.7378278900869191E-4</v>
      </c>
      <c r="X13" s="64">
        <v>4.6972092241048813E-2</v>
      </c>
      <c r="Y13" s="14">
        <v>2.0316055044531822E-2</v>
      </c>
      <c r="Z13"/>
      <c r="AA13" s="230">
        <v>0.17875921726226807</v>
      </c>
      <c r="AB13"/>
      <c r="AC13" s="17">
        <v>2.748485654592514E-2</v>
      </c>
      <c r="AD13"/>
      <c r="AE13"/>
      <c r="AF13" s="227">
        <v>0.10275643318891525</v>
      </c>
      <c r="AG13" s="226">
        <v>0.16116763651371002</v>
      </c>
      <c r="AH13" s="22">
        <v>1.1290513910353184E-2</v>
      </c>
      <c r="AI13" s="109">
        <v>0.15123444795608521</v>
      </c>
      <c r="AJ13" s="22">
        <v>1.1074753478169441E-2</v>
      </c>
      <c r="AK13" s="64">
        <v>4.9580682069063187E-2</v>
      </c>
      <c r="AL13" s="284">
        <v>7.2657905519008636E-2</v>
      </c>
      <c r="AM13" s="17">
        <v>2.4545302614569664E-2</v>
      </c>
      <c r="AN13" s="16">
        <v>2.8615402057766914E-2</v>
      </c>
      <c r="AO13" s="12">
        <v>9.6842152997851372E-3</v>
      </c>
      <c r="AP13" s="232">
        <v>0.15532353520393372</v>
      </c>
      <c r="AQ13" s="14">
        <v>2.3822609335184097E-2</v>
      </c>
      <c r="AR13"/>
      <c r="AS13" s="11">
        <v>9.0889690909534693E-4</v>
      </c>
      <c r="AT13" s="11">
        <v>5.3590338211506605E-4</v>
      </c>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205</v>
      </c>
      <c r="B14">
        <v>0.71034955978393555</v>
      </c>
      <c r="C14">
        <v>0.28135314583778381</v>
      </c>
      <c r="D14" s="17">
        <v>8.679867722094059E-3</v>
      </c>
      <c r="E14" s="11">
        <v>3.279053489677608E-4</v>
      </c>
      <c r="F14" s="230">
        <v>5.6420594453811646E-2</v>
      </c>
      <c r="G14" s="11">
        <v>4.278325941413641E-4</v>
      </c>
      <c r="H14" s="12">
        <v>3.3321301452815533E-3</v>
      </c>
      <c r="I14"/>
      <c r="J14"/>
      <c r="K14"/>
      <c r="L14"/>
      <c r="M14"/>
      <c r="N14"/>
      <c r="O14"/>
      <c r="P14"/>
      <c r="Q14"/>
      <c r="R14"/>
      <c r="S14"/>
      <c r="T14"/>
      <c r="U14"/>
      <c r="V14"/>
      <c r="W14"/>
      <c r="X14"/>
      <c r="Y14"/>
      <c r="Z14"/>
      <c r="AA14"/>
      <c r="AB14"/>
      <c r="AC14" s="269">
        <v>0.27999529242515564</v>
      </c>
      <c r="AD14"/>
      <c r="AE14"/>
      <c r="AF14"/>
      <c r="AG14"/>
      <c r="AH14"/>
      <c r="AI14"/>
      <c r="AJ14"/>
      <c r="AK14"/>
      <c r="AL14" s="69">
        <v>3.6352347582578659E-2</v>
      </c>
      <c r="AM14"/>
      <c r="AN14"/>
      <c r="AO14"/>
      <c r="AP14"/>
      <c r="AQ14" s="66">
        <v>4.1918665170669556E-2</v>
      </c>
      <c r="AR14"/>
      <c r="AS14"/>
      <c r="AT14"/>
      <c r="AU14" s="13">
        <v>1.5417879913002253E-3</v>
      </c>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206</v>
      </c>
      <c r="B15">
        <v>0.56667119264602661</v>
      </c>
      <c r="C15">
        <v>0.12446694821119308</v>
      </c>
      <c r="D15" s="22">
        <v>3.6418254021555185E-3</v>
      </c>
      <c r="E15" s="11">
        <v>9.2144400696270168E-6</v>
      </c>
      <c r="F15" s="14">
        <v>5.9084231033921242E-3</v>
      </c>
      <c r="G15" s="11">
        <v>1.9591434465837665E-5</v>
      </c>
      <c r="H15" s="11">
        <v>4.8873847117647529E-4</v>
      </c>
      <c r="I15"/>
      <c r="J15"/>
      <c r="K15"/>
      <c r="L15"/>
      <c r="M15"/>
      <c r="N15"/>
      <c r="O15"/>
      <c r="P15"/>
      <c r="Q15"/>
      <c r="R15"/>
      <c r="S15"/>
      <c r="T15"/>
      <c r="U15"/>
      <c r="V15"/>
      <c r="W15"/>
      <c r="X15"/>
      <c r="Y15"/>
      <c r="Z15"/>
      <c r="AA15"/>
      <c r="AB15"/>
      <c r="AC15" s="268">
        <v>0.35364460945129395</v>
      </c>
      <c r="AD15"/>
      <c r="AE15"/>
      <c r="AF15"/>
      <c r="AG15"/>
      <c r="AH15"/>
      <c r="AI15"/>
      <c r="AJ15"/>
      <c r="AK15"/>
      <c r="AL15" s="65">
        <v>2.3599663749337196E-2</v>
      </c>
      <c r="AM15"/>
      <c r="AN15"/>
      <c r="AO15"/>
      <c r="AP15"/>
      <c r="AQ15" s="74">
        <v>5.2944857627153397E-2</v>
      </c>
      <c r="AR15"/>
      <c r="AS15"/>
      <c r="AT15"/>
      <c r="AU15" s="12">
        <v>1.9473363645374775E-3</v>
      </c>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207</v>
      </c>
      <c r="B16">
        <v>0.68695616722106934</v>
      </c>
      <c r="C16">
        <v>0.14083108305931091</v>
      </c>
      <c r="D16" s="28">
        <v>3.2347742468118668E-2</v>
      </c>
      <c r="E16" s="13">
        <v>1.3553011231124401E-3</v>
      </c>
      <c r="F16" s="231">
        <v>0.19096475839614868</v>
      </c>
      <c r="G16" s="13">
        <v>9.9536217749118805E-4</v>
      </c>
      <c r="H16" s="65">
        <v>2.8772464022040367E-2</v>
      </c>
      <c r="I16"/>
      <c r="J16"/>
      <c r="K16"/>
      <c r="L16"/>
      <c r="M16"/>
      <c r="N16"/>
      <c r="O16"/>
      <c r="P16"/>
      <c r="Q16"/>
      <c r="R16"/>
      <c r="S16"/>
      <c r="T16"/>
      <c r="U16"/>
      <c r="V16"/>
      <c r="W16"/>
      <c r="X16"/>
      <c r="Y16"/>
      <c r="Z16"/>
      <c r="AA16"/>
      <c r="AB16"/>
      <c r="AC16" s="270">
        <v>0.14962214231491089</v>
      </c>
      <c r="AD16"/>
      <c r="AE16"/>
      <c r="AF16"/>
      <c r="AG16"/>
      <c r="AH16"/>
      <c r="AI16"/>
      <c r="AJ16"/>
      <c r="AK16"/>
      <c r="AL16" s="20">
        <v>1.3242064975202084E-2</v>
      </c>
      <c r="AM16"/>
      <c r="AN16"/>
      <c r="AO16"/>
      <c r="AP16"/>
      <c r="AQ16" s="264">
        <v>0.12800136208534241</v>
      </c>
      <c r="AR16"/>
      <c r="AS16"/>
      <c r="AT16"/>
      <c r="AU16" s="13">
        <v>8.2389108138158917E-4</v>
      </c>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208</v>
      </c>
      <c r="B17">
        <v>1.2645243406295776</v>
      </c>
      <c r="C17">
        <v>0.42445361614227295</v>
      </c>
      <c r="D17" s="67">
        <v>7.8832007944583893E-2</v>
      </c>
      <c r="E17" s="11">
        <v>1.4282007759902626E-4</v>
      </c>
      <c r="F17" s="232">
        <v>8.5978485643863678E-2</v>
      </c>
      <c r="G17" s="11">
        <v>2.6561843696981668E-4</v>
      </c>
      <c r="H17" s="64">
        <v>2.830224297940731E-2</v>
      </c>
      <c r="I17"/>
      <c r="J17"/>
      <c r="K17"/>
      <c r="L17"/>
      <c r="M17"/>
      <c r="N17"/>
      <c r="O17"/>
      <c r="P17"/>
      <c r="Q17"/>
      <c r="R17"/>
      <c r="S17"/>
      <c r="T17"/>
      <c r="U17"/>
      <c r="V17"/>
      <c r="W17"/>
      <c r="X17"/>
      <c r="Y17"/>
      <c r="Z17"/>
      <c r="AA17"/>
      <c r="AB17"/>
      <c r="AC17" s="143">
        <v>0.2723957896232605</v>
      </c>
      <c r="AD17"/>
      <c r="AE17"/>
      <c r="AF17"/>
      <c r="AG17"/>
      <c r="AH17"/>
      <c r="AI17"/>
      <c r="AJ17"/>
      <c r="AK17"/>
      <c r="AL17" s="16">
        <v>1.8177708610892296E-2</v>
      </c>
      <c r="AM17" s="12">
        <v>4.9252756871283054E-3</v>
      </c>
      <c r="AN17"/>
      <c r="AO17"/>
      <c r="AP17"/>
      <c r="AQ17" s="276">
        <v>0.34955081343650818</v>
      </c>
      <c r="AR17"/>
      <c r="AS17"/>
      <c r="AT17"/>
      <c r="AU17" s="13">
        <v>1.4999414561316371E-3</v>
      </c>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209</v>
      </c>
      <c r="B18">
        <v>0.67797732353210449</v>
      </c>
      <c r="C18">
        <v>0.16822107136249542</v>
      </c>
      <c r="D18" s="11">
        <v>3.7037779111415148E-4</v>
      </c>
      <c r="E18" s="12">
        <v>3.1030145473778248E-3</v>
      </c>
      <c r="F18" s="142">
        <v>8.066876232624054E-2</v>
      </c>
      <c r="G18" s="241">
        <v>9.5023512840270996E-2</v>
      </c>
      <c r="H18" s="13">
        <v>1.4964524889364839E-3</v>
      </c>
      <c r="I18"/>
      <c r="J18"/>
      <c r="K18"/>
      <c r="L18"/>
      <c r="M18"/>
      <c r="N18"/>
      <c r="O18"/>
      <c r="P18"/>
      <c r="Q18"/>
      <c r="R18"/>
      <c r="S18"/>
      <c r="T18"/>
      <c r="U18"/>
      <c r="V18"/>
      <c r="W18"/>
      <c r="X18"/>
      <c r="Y18"/>
      <c r="Z18"/>
      <c r="AA18"/>
      <c r="AB18"/>
      <c r="AC18"/>
      <c r="AD18"/>
      <c r="AE18"/>
      <c r="AF18"/>
      <c r="AG18"/>
      <c r="AH18"/>
      <c r="AI18"/>
      <c r="AJ18"/>
      <c r="AK18"/>
      <c r="AL18" s="66">
        <v>4.0111925452947617E-2</v>
      </c>
      <c r="AM18"/>
      <c r="AN18"/>
      <c r="AO18"/>
      <c r="AP18" s="266">
        <v>0.2338687926530838</v>
      </c>
      <c r="AQ18"/>
      <c r="AR18"/>
      <c r="AS18"/>
      <c r="AT18"/>
      <c r="AU18"/>
      <c r="AV18" s="71">
        <v>4.8207219690084457E-2</v>
      </c>
      <c r="AW18" s="14">
        <v>6.9061457179486752E-3</v>
      </c>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210</v>
      </c>
      <c r="B19">
        <v>0.87149226665496826</v>
      </c>
      <c r="C19">
        <v>2.2388964891433716E-2</v>
      </c>
      <c r="D19" s="13">
        <v>2.3776700254529715E-3</v>
      </c>
      <c r="E19" s="11">
        <v>3.930002567358315E-4</v>
      </c>
      <c r="F19" s="233">
        <v>4.897892102599144E-2</v>
      </c>
      <c r="G19" s="11">
        <v>4.5307274558581412E-4</v>
      </c>
      <c r="H19" s="13">
        <v>1.7311879200860858E-3</v>
      </c>
      <c r="I19"/>
      <c r="J19"/>
      <c r="K19"/>
      <c r="L19"/>
      <c r="M19"/>
      <c r="N19"/>
      <c r="O19"/>
      <c r="P19"/>
      <c r="Q19"/>
      <c r="R19"/>
      <c r="S19"/>
      <c r="T19"/>
      <c r="U19"/>
      <c r="V19" s="232">
        <v>6.0044221580028534E-2</v>
      </c>
      <c r="W19" s="13">
        <v>9.0381741756573319E-4</v>
      </c>
      <c r="X19" s="20">
        <v>1.7371013760566711E-2</v>
      </c>
      <c r="Y19"/>
      <c r="Z19" s="13">
        <v>1.2656378094106913E-3</v>
      </c>
      <c r="AA19" s="275">
        <v>9.8397672176361084E-2</v>
      </c>
      <c r="AB19"/>
      <c r="AC19" s="277">
        <v>0.11020273715257645</v>
      </c>
      <c r="AD19"/>
      <c r="AE19"/>
      <c r="AF19" s="272">
        <v>9.3192778527736664E-2</v>
      </c>
      <c r="AG19" s="278">
        <v>0.11403784900903702</v>
      </c>
      <c r="AH19" s="28">
        <v>4.1368354111909866E-2</v>
      </c>
      <c r="AI19"/>
      <c r="AJ19" s="19">
        <v>3.7497647106647491E-2</v>
      </c>
      <c r="AK19"/>
      <c r="AL19" s="228">
        <v>7.112419605255127E-2</v>
      </c>
      <c r="AM19"/>
      <c r="AN19" s="20">
        <v>1.7817137762904167E-2</v>
      </c>
      <c r="AO19"/>
      <c r="AP19" s="63">
        <v>4.7034379094839096E-2</v>
      </c>
      <c r="AQ19" s="74">
        <v>8.2495860755443573E-2</v>
      </c>
      <c r="AR19"/>
      <c r="AS19"/>
      <c r="AT19"/>
      <c r="AU19" s="11">
        <v>4.2478030081838369E-4</v>
      </c>
      <c r="AV19" s="11">
        <v>4.2522660805843771E-4</v>
      </c>
      <c r="AW19" s="13">
        <v>1.5661760699003935E-3</v>
      </c>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211</v>
      </c>
      <c r="B20">
        <v>1.2400000095367432</v>
      </c>
      <c r="C20">
        <v>7.9261787235736847E-2</v>
      </c>
      <c r="D20" s="11">
        <v>4.772261600010097E-4</v>
      </c>
      <c r="E20" s="228">
        <v>0.10211348533630371</v>
      </c>
      <c r="F20" s="11">
        <v>1.1662041069939733E-3</v>
      </c>
      <c r="G20" s="11">
        <v>7.4006238719448447E-6</v>
      </c>
      <c r="H20" s="13">
        <v>2.1354728378355503E-3</v>
      </c>
      <c r="I20"/>
      <c r="J20"/>
      <c r="K20"/>
      <c r="L20"/>
      <c r="M20"/>
      <c r="N20"/>
      <c r="O20"/>
      <c r="P20"/>
      <c r="Q20"/>
      <c r="R20"/>
      <c r="S20"/>
      <c r="T20"/>
      <c r="U20"/>
      <c r="V20"/>
      <c r="W20"/>
      <c r="X20"/>
      <c r="Y20"/>
      <c r="Z20"/>
      <c r="AA20" s="17">
        <v>1.449428778141737E-2</v>
      </c>
      <c r="AB20"/>
      <c r="AC20" s="271">
        <v>0.1696370542049408</v>
      </c>
      <c r="AD20"/>
      <c r="AE20"/>
      <c r="AF20"/>
      <c r="AG20" s="247">
        <v>0.16798135638237</v>
      </c>
      <c r="AH20"/>
      <c r="AI20" s="283">
        <v>0.25934147834777832</v>
      </c>
      <c r="AJ20" s="69">
        <v>6.3865728676319122E-2</v>
      </c>
      <c r="AK20" s="252">
        <v>6.0397282242774963E-2</v>
      </c>
      <c r="AL20" s="15">
        <v>1.9668683409690857E-2</v>
      </c>
      <c r="AM20" s="12">
        <v>4.893091507256031E-3</v>
      </c>
      <c r="AN20"/>
      <c r="AO20" s="259">
        <v>0.10668569803237915</v>
      </c>
      <c r="AP20"/>
      <c r="AQ20" s="234">
        <v>0.12151902168989182</v>
      </c>
      <c r="AR20" s="12">
        <v>4.3009174987673759E-3</v>
      </c>
      <c r="AS20" s="24">
        <v>3.8328923285007477E-2</v>
      </c>
      <c r="AT20"/>
      <c r="AU20" s="11">
        <v>3.5996607039123774E-4</v>
      </c>
      <c r="AV20" s="18">
        <v>2.1923026069998741E-2</v>
      </c>
      <c r="AW20" s="13">
        <v>1.4418917708098888E-3</v>
      </c>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212</v>
      </c>
      <c r="B21">
        <v>0.70520025491714478</v>
      </c>
      <c r="C21">
        <v>2.2311901673674583E-2</v>
      </c>
      <c r="D21" s="12">
        <v>2.1060823928564787E-3</v>
      </c>
      <c r="E21" s="11">
        <v>3.3933139638975263E-4</v>
      </c>
      <c r="F21" s="233">
        <v>3.9672885090112686E-2</v>
      </c>
      <c r="G21" s="14">
        <v>7.4881403706967831E-3</v>
      </c>
      <c r="H21" s="21">
        <v>6.0540647245943546E-3</v>
      </c>
      <c r="I21"/>
      <c r="J21"/>
      <c r="K21"/>
      <c r="L21"/>
      <c r="M21"/>
      <c r="N21"/>
      <c r="O21"/>
      <c r="P21"/>
      <c r="Q21"/>
      <c r="R21"/>
      <c r="S21"/>
      <c r="T21"/>
      <c r="U21"/>
      <c r="V21"/>
      <c r="W21"/>
      <c r="X21"/>
      <c r="Y21"/>
      <c r="Z21"/>
      <c r="AA21" s="274">
        <v>0.22239026427268982</v>
      </c>
      <c r="AB21"/>
      <c r="AC21" s="71">
        <v>4.9814220517873764E-2</v>
      </c>
      <c r="AD21"/>
      <c r="AE21"/>
      <c r="AF21"/>
      <c r="AG21"/>
      <c r="AH21"/>
      <c r="AI21" s="247">
        <v>9.5499724149703979E-2</v>
      </c>
      <c r="AJ21"/>
      <c r="AK21"/>
      <c r="AL21" s="20">
        <v>1.412173081189394E-2</v>
      </c>
      <c r="AM21"/>
      <c r="AN21"/>
      <c r="AO21"/>
      <c r="AP21" s="63">
        <v>3.9164338260889053E-2</v>
      </c>
      <c r="AQ21" s="258">
        <v>0.10814230144023895</v>
      </c>
      <c r="AR21"/>
      <c r="AS21"/>
      <c r="AT21"/>
      <c r="AU21" s="13">
        <v>1.5360851539298892E-3</v>
      </c>
      <c r="AV21" s="253">
        <v>7.4962832033634186E-2</v>
      </c>
      <c r="AW21" s="24">
        <v>2.159629762172699E-2</v>
      </c>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213</v>
      </c>
      <c r="B22">
        <v>1.1059416532516479</v>
      </c>
      <c r="C22">
        <v>4.5503668487071991E-2</v>
      </c>
      <c r="D22"/>
      <c r="E22"/>
      <c r="F22"/>
      <c r="G22"/>
      <c r="H22"/>
      <c r="I22"/>
      <c r="J22"/>
      <c r="K22"/>
      <c r="L22"/>
      <c r="M22"/>
      <c r="N22"/>
      <c r="O22"/>
      <c r="P22"/>
      <c r="Q22"/>
      <c r="R22"/>
      <c r="S22"/>
      <c r="T22"/>
      <c r="U22"/>
      <c r="V22"/>
      <c r="W22"/>
      <c r="X22"/>
      <c r="Y22"/>
      <c r="Z22"/>
      <c r="AA22" s="11">
        <v>3.5989983007311821E-4</v>
      </c>
      <c r="AB22"/>
      <c r="AC22"/>
      <c r="AD22"/>
      <c r="AE22"/>
      <c r="AF22"/>
      <c r="AG22" s="267">
        <v>0.20033879578113556</v>
      </c>
      <c r="AH22"/>
      <c r="AI22" s="261">
        <v>0.13361638784408569</v>
      </c>
      <c r="AJ22" s="273">
        <v>0.24703092873096466</v>
      </c>
      <c r="AK22" s="145">
        <v>0.11001147329807281</v>
      </c>
      <c r="AL22" s="265">
        <v>0.18859107792377472</v>
      </c>
      <c r="AM22" s="13">
        <v>2.6205892208963633E-3</v>
      </c>
      <c r="AN22"/>
      <c r="AO22" s="12">
        <v>3.402219619601965E-3</v>
      </c>
      <c r="AP22"/>
      <c r="AQ22" s="12">
        <v>4.2173648253083229E-3</v>
      </c>
      <c r="AR22" s="148">
        <v>3.2600618898868561E-2</v>
      </c>
      <c r="AS22" s="106">
        <v>0.13691557943820953</v>
      </c>
      <c r="AT22"/>
      <c r="AU22" s="11">
        <v>1.119924672821071E-5</v>
      </c>
      <c r="AV22" s="11">
        <v>6.723246187902987E-4</v>
      </c>
      <c r="AW22" s="11">
        <v>4.9525748181622475E-5</v>
      </c>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214</v>
      </c>
      <c r="B23">
        <v>1.6878364086151123</v>
      </c>
      <c r="C23">
        <v>4.5540914870798588E-3</v>
      </c>
      <c r="D23" s="11">
        <v>5.7818269851850346E-6</v>
      </c>
      <c r="E23" s="110">
        <v>0.30748587846755981</v>
      </c>
      <c r="F23" s="13">
        <v>2.5281666312366724E-3</v>
      </c>
      <c r="G23" s="11">
        <v>1.2343992420937866E-4</v>
      </c>
      <c r="H23" s="11">
        <v>4.6044156079005916E-6</v>
      </c>
      <c r="I23"/>
      <c r="J23"/>
      <c r="K23"/>
      <c r="L23"/>
      <c r="M23"/>
      <c r="N23"/>
      <c r="O23"/>
      <c r="P23"/>
      <c r="Q23"/>
      <c r="R23"/>
      <c r="S23"/>
      <c r="T23"/>
      <c r="U23"/>
      <c r="V23"/>
      <c r="W23"/>
      <c r="X23"/>
      <c r="Y23"/>
      <c r="Z23"/>
      <c r="AA23" s="244">
        <v>0.18874634802341461</v>
      </c>
      <c r="AB23"/>
      <c r="AC23"/>
      <c r="AD23"/>
      <c r="AE23"/>
      <c r="AF23"/>
      <c r="AG23" s="288">
        <v>0.50988960266113281</v>
      </c>
      <c r="AH23"/>
      <c r="AI23" s="18">
        <v>2.8947219252586365E-2</v>
      </c>
      <c r="AJ23" s="65">
        <v>7.0643529295921326E-2</v>
      </c>
      <c r="AK23"/>
      <c r="AL23" s="12">
        <v>6.1169727705419064E-3</v>
      </c>
      <c r="AM23" s="11">
        <v>1.36508111609146E-4</v>
      </c>
      <c r="AN23"/>
      <c r="AO23" s="254">
        <v>0.19494780898094177</v>
      </c>
      <c r="AP23"/>
      <c r="AQ23" s="247">
        <v>0.22831667959690094</v>
      </c>
      <c r="AR23" s="22">
        <v>1.0852496139705181E-2</v>
      </c>
      <c r="AS23" s="245">
        <v>9.0172387659549713E-2</v>
      </c>
      <c r="AT23"/>
      <c r="AU23" s="11">
        <v>7.9187040682882071E-4</v>
      </c>
      <c r="AV23" s="243">
        <v>4.0783464908599854E-2</v>
      </c>
      <c r="AW23" s="13">
        <v>2.7896498795598745E-3</v>
      </c>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215</v>
      </c>
      <c r="B24">
        <v>0.77471524477005005</v>
      </c>
      <c r="C24">
        <v>0.13961628079414368</v>
      </c>
      <c r="D24"/>
      <c r="E24"/>
      <c r="F24"/>
      <c r="G24"/>
      <c r="H24"/>
      <c r="I24"/>
      <c r="J24"/>
      <c r="K24"/>
      <c r="L24"/>
      <c r="M24"/>
      <c r="N24"/>
      <c r="O24"/>
      <c r="P24"/>
      <c r="Q24"/>
      <c r="R24"/>
      <c r="S24"/>
      <c r="T24"/>
      <c r="U24"/>
      <c r="V24"/>
      <c r="W24"/>
      <c r="X24"/>
      <c r="Y24"/>
      <c r="Z24"/>
      <c r="AA24"/>
      <c r="AB24"/>
      <c r="AC24"/>
      <c r="AD24"/>
      <c r="AE24"/>
      <c r="AF24"/>
      <c r="AG24"/>
      <c r="AH24"/>
      <c r="AI24"/>
      <c r="AJ24" s="263">
        <v>0.16373886168003082</v>
      </c>
      <c r="AK24" s="266">
        <v>0.26808315515518188</v>
      </c>
      <c r="AL24" s="248">
        <v>0.12854965031147003</v>
      </c>
      <c r="AM24" s="25">
        <v>1.9616814330220222E-2</v>
      </c>
      <c r="AN24"/>
      <c r="AO24"/>
      <c r="AP24" s="17">
        <v>8.902023546397686E-3</v>
      </c>
      <c r="AQ24" s="63">
        <v>4.2380049824714661E-2</v>
      </c>
      <c r="AR24"/>
      <c r="AS24"/>
      <c r="AT24"/>
      <c r="AU24"/>
      <c r="AV24" s="12">
        <v>2.621383173391223E-3</v>
      </c>
      <c r="AW24" s="13">
        <v>1.2070870725437999E-3</v>
      </c>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216</v>
      </c>
      <c r="B25">
        <v>0.70837539434432983</v>
      </c>
      <c r="C25">
        <v>7.0193074643611908E-2</v>
      </c>
      <c r="D25" s="13">
        <v>8.8956183753907681E-4</v>
      </c>
      <c r="E25" s="11">
        <v>5.6316686095669866E-4</v>
      </c>
      <c r="F25" s="234">
        <v>7.0116803050041199E-2</v>
      </c>
      <c r="G25" s="12">
        <v>2.677147975191474E-3</v>
      </c>
      <c r="H25" s="12">
        <v>2.9001815710216761E-3</v>
      </c>
      <c r="I25"/>
      <c r="J25"/>
      <c r="K25"/>
      <c r="L25"/>
      <c r="M25"/>
      <c r="N25"/>
      <c r="O25"/>
      <c r="P25"/>
      <c r="Q25"/>
      <c r="R25"/>
      <c r="S25"/>
      <c r="T25"/>
      <c r="U25"/>
      <c r="V25"/>
      <c r="W25"/>
      <c r="X25"/>
      <c r="Y25"/>
      <c r="Z25"/>
      <c r="AA25"/>
      <c r="AB25"/>
      <c r="AC25"/>
      <c r="AD25"/>
      <c r="AE25"/>
      <c r="AF25"/>
      <c r="AG25"/>
      <c r="AH25"/>
      <c r="AI25"/>
      <c r="AJ25" s="285">
        <v>0.19029948115348816</v>
      </c>
      <c r="AK25" s="262">
        <v>0.10286747664213181</v>
      </c>
      <c r="AL25" s="15">
        <v>1.1118963360786438E-2</v>
      </c>
      <c r="AM25"/>
      <c r="AN25"/>
      <c r="AO25"/>
      <c r="AP25" s="281">
        <v>0.10444582998752594</v>
      </c>
      <c r="AQ25" s="148">
        <v>2.1014664322137833E-2</v>
      </c>
      <c r="AR25"/>
      <c r="AS25"/>
      <c r="AT25"/>
      <c r="AU25" s="13">
        <v>1.5893353847786784E-3</v>
      </c>
      <c r="AV25" s="280">
        <v>9.4783291220664978E-2</v>
      </c>
      <c r="AW25" s="252">
        <v>3.4916434437036514E-2</v>
      </c>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217</v>
      </c>
      <c r="B26">
        <v>1.0946829319000244</v>
      </c>
      <c r="C26">
        <v>4.9622552469372749E-3</v>
      </c>
      <c r="D26" s="11">
        <v>6.5162795362994075E-4</v>
      </c>
      <c r="E26" s="13">
        <v>1.5839189291000366E-3</v>
      </c>
      <c r="F26" s="77">
        <v>0.24232859909534454</v>
      </c>
      <c r="G26" s="13">
        <v>2.5981194339692593E-3</v>
      </c>
      <c r="H26" s="22">
        <v>6.4462958835065365E-3</v>
      </c>
      <c r="I26"/>
      <c r="J26"/>
      <c r="K26"/>
      <c r="L26"/>
      <c r="M26"/>
      <c r="N26"/>
      <c r="O26"/>
      <c r="P26"/>
      <c r="Q26"/>
      <c r="R26"/>
      <c r="S26"/>
      <c r="T26"/>
      <c r="U26"/>
      <c r="V26"/>
      <c r="W26"/>
      <c r="X26"/>
      <c r="Y26"/>
      <c r="Z26"/>
      <c r="AA26"/>
      <c r="AB26"/>
      <c r="AC26" s="257">
        <v>0.34875470399856567</v>
      </c>
      <c r="AD26"/>
      <c r="AE26"/>
      <c r="AF26"/>
      <c r="AG26"/>
      <c r="AH26"/>
      <c r="AI26" s="255">
        <v>0.3120151162147522</v>
      </c>
      <c r="AJ26"/>
      <c r="AK26"/>
      <c r="AL26" s="250">
        <v>0.1744215190410614</v>
      </c>
      <c r="AM26"/>
      <c r="AN26"/>
      <c r="AO26"/>
      <c r="AP26"/>
      <c r="AQ26"/>
      <c r="AR26"/>
      <c r="AS26"/>
      <c r="AT26"/>
      <c r="AU26"/>
      <c r="AV26" s="11">
        <v>6.7284971009939909E-4</v>
      </c>
      <c r="AW26" s="11">
        <v>2.4786553694866598E-4</v>
      </c>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218</v>
      </c>
      <c r="B27">
        <v>0.4018939733505249</v>
      </c>
      <c r="C27">
        <v>5.0296250730752945E-2</v>
      </c>
      <c r="D27" s="11">
        <v>1.0326787742087618E-4</v>
      </c>
      <c r="E27" s="67">
        <v>2.5421004742383957E-2</v>
      </c>
      <c r="F27" s="17">
        <v>4.4298842549324036E-3</v>
      </c>
      <c r="G27" s="21">
        <v>3.3548646606504917E-3</v>
      </c>
      <c r="H27" s="11">
        <v>1.4668470248579979E-4</v>
      </c>
      <c r="I27"/>
      <c r="J27"/>
      <c r="K27"/>
      <c r="L27"/>
      <c r="M27"/>
      <c r="N27"/>
      <c r="O27"/>
      <c r="P27"/>
      <c r="Q27"/>
      <c r="R27"/>
      <c r="S27"/>
      <c r="T27"/>
      <c r="U27"/>
      <c r="V27"/>
      <c r="W27"/>
      <c r="X27"/>
      <c r="Y27"/>
      <c r="Z27"/>
      <c r="AA27"/>
      <c r="AB27"/>
      <c r="AC27"/>
      <c r="AD27"/>
      <c r="AE27"/>
      <c r="AF27"/>
      <c r="AG27"/>
      <c r="AH27"/>
      <c r="AI27"/>
      <c r="AJ27"/>
      <c r="AK27"/>
      <c r="AL27" s="69">
        <v>2.0809559151530266E-2</v>
      </c>
      <c r="AM27" s="11">
        <v>2.1304978872649372E-4</v>
      </c>
      <c r="AN27" s="258">
        <v>6.1632528901100159E-2</v>
      </c>
      <c r="AO27"/>
      <c r="AP27" s="262">
        <v>5.8229472488164902E-2</v>
      </c>
      <c r="AQ27" s="279">
        <v>0.1234862357378006</v>
      </c>
      <c r="AR27" s="148">
        <v>1.2098297476768494E-2</v>
      </c>
      <c r="AS27" s="227">
        <v>1.8517512828111649E-2</v>
      </c>
      <c r="AT27"/>
      <c r="AU27"/>
      <c r="AV27" s="19">
        <v>1.7276760190725327E-2</v>
      </c>
      <c r="AW27" s="16">
        <v>5.8786454610526562E-3</v>
      </c>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219</v>
      </c>
      <c r="B28">
        <v>0.9591791033744812</v>
      </c>
      <c r="C28">
        <v>0.23535454273223877</v>
      </c>
      <c r="D28" s="13">
        <v>1.2671179138123989E-3</v>
      </c>
      <c r="E28" s="12">
        <v>3.5409019328653812E-3</v>
      </c>
      <c r="F28" s="235">
        <v>0.19059392809867859</v>
      </c>
      <c r="G28" s="13">
        <v>1.1140048736706376E-3</v>
      </c>
      <c r="H28" s="22">
        <v>4.8533142544329166E-3</v>
      </c>
      <c r="I28"/>
      <c r="J28"/>
      <c r="K28"/>
      <c r="L28"/>
      <c r="M28"/>
      <c r="N28"/>
      <c r="O28"/>
      <c r="P28"/>
      <c r="Q28"/>
      <c r="R28"/>
      <c r="S28"/>
      <c r="T28"/>
      <c r="U28"/>
      <c r="V28"/>
      <c r="W28"/>
      <c r="X28"/>
      <c r="Y28"/>
      <c r="Z28"/>
      <c r="AA28"/>
      <c r="AB28"/>
      <c r="AC28" s="76">
        <v>0.13451693952083588</v>
      </c>
      <c r="AD28"/>
      <c r="AE28"/>
      <c r="AF28"/>
      <c r="AG28"/>
      <c r="AH28"/>
      <c r="AI28"/>
      <c r="AJ28" s="11">
        <v>2.8606754494830966E-4</v>
      </c>
      <c r="AK28" s="74">
        <v>9.0997040271759033E-2</v>
      </c>
      <c r="AL28" s="24">
        <v>2.9359098523855209E-2</v>
      </c>
      <c r="AM28"/>
      <c r="AN28"/>
      <c r="AO28"/>
      <c r="AP28" s="149">
        <v>5.8167070150375366E-2</v>
      </c>
      <c r="AQ28" s="74">
        <v>9.0626142919063568E-2</v>
      </c>
      <c r="AR28"/>
      <c r="AS28"/>
      <c r="AT28"/>
      <c r="AU28" s="13">
        <v>1.0377784492447972E-3</v>
      </c>
      <c r="AV28" s="254">
        <v>0.1102970615029335</v>
      </c>
      <c r="AW28" s="21">
        <v>7.1681095287203789E-3</v>
      </c>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220</v>
      </c>
      <c r="B29">
        <v>0.36653450131416321</v>
      </c>
      <c r="C29">
        <v>2.2153520956635475E-2</v>
      </c>
      <c r="D29" s="109">
        <v>2.4402067065238953E-2</v>
      </c>
      <c r="E29" s="13">
        <v>9.2329410836100578E-4</v>
      </c>
      <c r="F29" s="236">
        <v>8.3341628313064575E-2</v>
      </c>
      <c r="G29" s="21">
        <v>2.5285638403147459E-3</v>
      </c>
      <c r="H29" s="16">
        <v>4.9151359125971794E-3</v>
      </c>
      <c r="I29"/>
      <c r="J29"/>
      <c r="K29"/>
      <c r="L29"/>
      <c r="M29"/>
      <c r="N29"/>
      <c r="O29"/>
      <c r="P29"/>
      <c r="Q29"/>
      <c r="R29"/>
      <c r="S29"/>
      <c r="T29"/>
      <c r="U29"/>
      <c r="V29"/>
      <c r="W29"/>
      <c r="X29"/>
      <c r="Y29"/>
      <c r="Z29"/>
      <c r="AA29"/>
      <c r="AB29"/>
      <c r="AC29" s="256">
        <v>8.7721072137355804E-2</v>
      </c>
      <c r="AD29"/>
      <c r="AE29"/>
      <c r="AF29"/>
      <c r="AG29"/>
      <c r="AH29"/>
      <c r="AI29"/>
      <c r="AJ29" s="24">
        <v>1.1193008162081242E-2</v>
      </c>
      <c r="AK29" s="68">
        <v>3.362651914358139E-2</v>
      </c>
      <c r="AL29" s="232">
        <v>2.5064557790756226E-2</v>
      </c>
      <c r="AM29" s="13">
        <v>9.9132058676332235E-4</v>
      </c>
      <c r="AN29"/>
      <c r="AO29"/>
      <c r="AP29"/>
      <c r="AQ29"/>
      <c r="AR29"/>
      <c r="AS29"/>
      <c r="AT29"/>
      <c r="AU29" s="21">
        <v>2.8740537818521261E-3</v>
      </c>
      <c r="AV29" s="28">
        <v>1.692395843565464E-2</v>
      </c>
      <c r="AW29" s="247">
        <v>4.987582191824913E-2</v>
      </c>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221</v>
      </c>
      <c r="B30">
        <v>0.2542625367641449</v>
      </c>
      <c r="C30">
        <v>3.7424061447381973E-2</v>
      </c>
      <c r="D30" s="226">
        <v>1.8288053572177887E-2</v>
      </c>
      <c r="E30" s="22">
        <v>1.5740720555186272E-3</v>
      </c>
      <c r="F30" s="237">
        <v>0.15927428007125854</v>
      </c>
      <c r="G30" s="27">
        <v>9.1757979243993759E-3</v>
      </c>
      <c r="H30" s="244">
        <v>2.852628193795681E-2</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222</v>
      </c>
      <c r="B31">
        <v>0.22383126616477966</v>
      </c>
      <c r="C31">
        <v>0.16927370429039001</v>
      </c>
      <c r="D31" s="11">
        <v>1.8016553076449782E-4</v>
      </c>
      <c r="E31" s="13">
        <v>3.0940704164095223E-4</v>
      </c>
      <c r="F31" s="238">
        <v>2.0372802391648293E-2</v>
      </c>
      <c r="G31" s="17">
        <v>2.6289280503988266E-3</v>
      </c>
      <c r="H31" s="12">
        <v>6.948907976038754E-4</v>
      </c>
      <c r="I31"/>
      <c r="J31"/>
      <c r="K31"/>
      <c r="L31"/>
      <c r="M31"/>
      <c r="N31"/>
      <c r="O31"/>
      <c r="P31"/>
      <c r="Q31"/>
      <c r="R31"/>
      <c r="S31"/>
      <c r="T31"/>
      <c r="U31"/>
      <c r="V31"/>
      <c r="W31"/>
      <c r="X31"/>
      <c r="Y31"/>
      <c r="Z31"/>
      <c r="AA31"/>
      <c r="AB31"/>
      <c r="AC31"/>
      <c r="AD31"/>
      <c r="AE31"/>
      <c r="AF31"/>
      <c r="AG31"/>
      <c r="AH31"/>
      <c r="AI31"/>
      <c r="AJ31"/>
      <c r="AK31"/>
      <c r="AL31" s="247">
        <v>3.0371373519301414E-2</v>
      </c>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223</v>
      </c>
      <c r="B32">
        <v>0.25279006361961365</v>
      </c>
      <c r="C32">
        <v>6.1412684619426727E-2</v>
      </c>
      <c r="D32" s="227">
        <v>1.1236666701734066E-2</v>
      </c>
      <c r="E32" s="12">
        <v>1.1484733549878001E-3</v>
      </c>
      <c r="F32" s="239">
        <v>7.4529409408569336E-2</v>
      </c>
      <c r="G32" s="242">
        <v>3.2144024968147278E-2</v>
      </c>
      <c r="H32" s="234">
        <v>2.4995829910039902E-2</v>
      </c>
      <c r="I32"/>
      <c r="J32"/>
      <c r="K32"/>
      <c r="L32"/>
      <c r="M32"/>
      <c r="N32"/>
      <c r="O32"/>
      <c r="P32"/>
      <c r="Q32"/>
      <c r="R32"/>
      <c r="S32"/>
      <c r="T32"/>
      <c r="U32"/>
      <c r="V32"/>
      <c r="W32"/>
      <c r="X32"/>
      <c r="Y32"/>
      <c r="Z32"/>
      <c r="AA32"/>
      <c r="AB32"/>
      <c r="AC32"/>
      <c r="AD32"/>
      <c r="AE32"/>
      <c r="AF32"/>
      <c r="AG32"/>
      <c r="AH32"/>
      <c r="AI32"/>
      <c r="AJ32"/>
      <c r="AK32"/>
      <c r="AL32" s="248">
        <v>4.19132299721241E-2</v>
      </c>
      <c r="AM32"/>
      <c r="AN32"/>
      <c r="AO32"/>
      <c r="AP32"/>
      <c r="AQ32"/>
      <c r="AR32"/>
      <c r="AS32"/>
      <c r="AT32"/>
      <c r="AU32"/>
      <c r="AV32" s="15">
        <v>3.8387682288885117E-3</v>
      </c>
      <c r="AW32" s="22">
        <v>1.5709759900346398E-3</v>
      </c>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224</v>
      </c>
      <c r="B33">
        <v>0.81659036874771118</v>
      </c>
      <c r="C33">
        <v>3.7060469388961792E-2</v>
      </c>
      <c r="D33" s="11">
        <v>3.969359677284956E-4</v>
      </c>
      <c r="E33" s="229">
        <v>0.14474771916866302</v>
      </c>
      <c r="F33" s="238">
        <v>7.4239380657672882E-2</v>
      </c>
      <c r="G33" s="243">
        <v>1.919247955083847E-2</v>
      </c>
      <c r="H33" s="13">
        <v>1.7042455729097128E-3</v>
      </c>
      <c r="I33"/>
      <c r="J33"/>
      <c r="K33"/>
      <c r="L33"/>
      <c r="M33"/>
      <c r="N33"/>
      <c r="O33"/>
      <c r="P33"/>
      <c r="Q33"/>
      <c r="R33"/>
      <c r="S33"/>
      <c r="T33"/>
      <c r="U33"/>
      <c r="V33"/>
      <c r="W33"/>
      <c r="X33"/>
      <c r="Y33"/>
      <c r="Z33"/>
      <c r="AA33"/>
      <c r="AB33"/>
      <c r="AC33"/>
      <c r="AD33"/>
      <c r="AE33"/>
      <c r="AF33"/>
      <c r="AG33"/>
      <c r="AH33"/>
      <c r="AI33"/>
      <c r="AJ33"/>
      <c r="AK33"/>
      <c r="AL33" s="22">
        <v>5.330350250005722E-3</v>
      </c>
      <c r="AM33"/>
      <c r="AN33" s="141">
        <v>0.10510203987360001</v>
      </c>
      <c r="AO33"/>
      <c r="AP33"/>
      <c r="AQ33" s="282">
        <v>0.29560708999633789</v>
      </c>
      <c r="AR33" s="20">
        <v>1.6810642555356026E-2</v>
      </c>
      <c r="AS33" s="251">
        <v>6.9471463561058044E-2</v>
      </c>
      <c r="AT33"/>
      <c r="AU33"/>
      <c r="AV33" s="14">
        <v>8.528498001396656E-3</v>
      </c>
      <c r="AW33" s="28">
        <v>3.8399077951908112E-2</v>
      </c>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225</v>
      </c>
      <c r="B34">
        <v>3.5</v>
      </c>
      <c r="C34">
        <v>1.6101970672607422</v>
      </c>
      <c r="D34" s="11">
        <v>6.49853958748281E-4</v>
      </c>
      <c r="E34"/>
      <c r="F34" s="13">
        <v>4.0305396541953087E-3</v>
      </c>
      <c r="G34"/>
      <c r="H34" s="245">
        <v>0.18374606966972351</v>
      </c>
      <c r="I34"/>
      <c r="J34"/>
      <c r="K34"/>
      <c r="L34"/>
      <c r="M34"/>
      <c r="N34"/>
      <c r="O34"/>
      <c r="P34"/>
      <c r="Q34"/>
      <c r="R34"/>
      <c r="S34"/>
      <c r="T34"/>
      <c r="U34"/>
      <c r="V34"/>
      <c r="W34"/>
      <c r="X34"/>
      <c r="Y34"/>
      <c r="Z34"/>
      <c r="AA34"/>
      <c r="AB34"/>
      <c r="AC34" s="11">
        <v>3.3384766429662704E-3</v>
      </c>
      <c r="AD34"/>
      <c r="AE34"/>
      <c r="AF34"/>
      <c r="AG34"/>
      <c r="AH34"/>
      <c r="AI34"/>
      <c r="AJ34"/>
      <c r="AK34"/>
      <c r="AL34" s="248">
        <v>0.58086705207824707</v>
      </c>
      <c r="AM34" s="14">
        <v>3.6218445748090744E-2</v>
      </c>
      <c r="AN34"/>
      <c r="AO34"/>
      <c r="AP34" s="265">
        <v>0.59994006156921387</v>
      </c>
      <c r="AQ34" s="259">
        <v>0.29989513754844666</v>
      </c>
      <c r="AR34"/>
      <c r="AS34"/>
      <c r="AT34"/>
      <c r="AU34" s="11">
        <v>7.7209656592458487E-4</v>
      </c>
      <c r="AV34" s="69">
        <v>0.18034513294696808</v>
      </c>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226</v>
      </c>
      <c r="B35">
        <v>3</v>
      </c>
      <c r="C35">
        <v>0.25369799137115479</v>
      </c>
      <c r="D35" s="11">
        <v>8.9685898274183273E-5</v>
      </c>
      <c r="E35" s="13">
        <v>3.4457598812878132E-3</v>
      </c>
      <c r="F35" s="240">
        <v>0.49510365724563599</v>
      </c>
      <c r="G35" s="13">
        <v>6.9978400133550167E-3</v>
      </c>
      <c r="H35" s="12">
        <v>1.0321460664272308E-2</v>
      </c>
      <c r="I35"/>
      <c r="J35"/>
      <c r="K35"/>
      <c r="L35"/>
      <c r="M35"/>
      <c r="N35"/>
      <c r="O35"/>
      <c r="P35"/>
      <c r="Q35"/>
      <c r="R35"/>
      <c r="S35"/>
      <c r="T35"/>
      <c r="U35"/>
      <c r="V35"/>
      <c r="W35"/>
      <c r="X35"/>
      <c r="Y35"/>
      <c r="Z35" s="266">
        <v>1.0352116823196411</v>
      </c>
      <c r="AA35"/>
      <c r="AB35"/>
      <c r="AC35" s="13">
        <v>5.0077149644494057E-3</v>
      </c>
      <c r="AD35"/>
      <c r="AE35"/>
      <c r="AF35"/>
      <c r="AG35"/>
      <c r="AH35"/>
      <c r="AI35"/>
      <c r="AJ35"/>
      <c r="AK35"/>
      <c r="AL35" s="253">
        <v>0.31726986169815063</v>
      </c>
      <c r="AM35" s="13">
        <v>3.6218445748090744E-3</v>
      </c>
      <c r="AN35"/>
      <c r="AO35"/>
      <c r="AP35"/>
      <c r="AQ35" s="260">
        <v>0.44985172152519226</v>
      </c>
      <c r="AR35"/>
      <c r="AS35"/>
      <c r="AT35"/>
      <c r="AU35" s="13">
        <v>3.8604827132076025E-3</v>
      </c>
      <c r="AV35" s="26">
        <v>0.2318723052740097</v>
      </c>
      <c r="AW35" s="149">
        <v>0.18364767730236053</v>
      </c>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227</v>
      </c>
      <c r="B36">
        <v>0.2800000011920929</v>
      </c>
      <c r="C36">
        <v>0.2800000011920929</v>
      </c>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228</v>
      </c>
      <c r="B37">
        <v>0.2800000011920929</v>
      </c>
      <c r="C37">
        <v>0.2800000011920929</v>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229</v>
      </c>
      <c r="B38">
        <v>0.2800000011920929</v>
      </c>
      <c r="C38">
        <v>0.2800000011920929</v>
      </c>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230</v>
      </c>
      <c r="B39">
        <v>3.9999999105930328E-2</v>
      </c>
      <c r="C39">
        <v>3.9999999105930328E-2</v>
      </c>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231</v>
      </c>
      <c r="B40">
        <v>3.9999999105930328E-2</v>
      </c>
      <c r="C40">
        <v>3.9999999105930328E-2</v>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232</v>
      </c>
      <c r="B41">
        <v>7.9999998211860657E-2</v>
      </c>
      <c r="C41">
        <v>7.9999998211860657E-2</v>
      </c>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233</v>
      </c>
      <c r="B42"/>
      <c r="C42">
        <v>0.77592635154724121</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s="19">
        <v>3.4278510138392448E-3</v>
      </c>
      <c r="AS42" s="249">
        <v>1.5739886090159416E-2</v>
      </c>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234</v>
      </c>
      <c r="B43"/>
      <c r="C43">
        <v>0.19774264097213745</v>
      </c>
      <c r="D43"/>
      <c r="E43"/>
      <c r="F43"/>
      <c r="G43"/>
      <c r="H43"/>
      <c r="I43"/>
      <c r="J43"/>
      <c r="K43" s="9">
        <v>48.09405517578125</v>
      </c>
      <c r="L43"/>
      <c r="M43" s="9">
        <v>7.590996265411377</v>
      </c>
      <c r="N43" s="9">
        <v>54.107978820800781</v>
      </c>
      <c r="O43" s="9">
        <v>14.06163215637207</v>
      </c>
      <c r="P43" s="9">
        <v>81.925025939941406</v>
      </c>
      <c r="Q43" s="9">
        <v>37.987293243408203</v>
      </c>
      <c r="R43" s="9">
        <v>1.255715012550354</v>
      </c>
      <c r="S43" s="9">
        <v>1.0792883634567261</v>
      </c>
      <c r="T43" s="9">
        <v>6.2975401878356934</v>
      </c>
      <c r="U43" s="9">
        <v>4.2927589416503906</v>
      </c>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235</v>
      </c>
      <c r="B44"/>
      <c r="C44">
        <v>0</v>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19"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44.1640625" bestFit="1" customWidth="1"/>
    <col min="5" max="5" width="3.33203125" bestFit="1" customWidth="1"/>
    <col min="6" max="6" width="4.83203125" bestFit="1" customWidth="1"/>
    <col min="7" max="7" width="3.33203125" bestFit="1" customWidth="1"/>
    <col min="8" max="8" width="44.164062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3"/>
      <c r="D1" s="1" t="s">
        <v>32</v>
      </c>
      <c r="E1" s="1" t="s">
        <v>33</v>
      </c>
      <c r="F1" s="1" t="s">
        <v>34</v>
      </c>
      <c r="G1" s="1" t="s">
        <v>35</v>
      </c>
      <c r="H1" s="1" t="s">
        <v>36</v>
      </c>
      <c r="J1" s="1" t="s">
        <v>130</v>
      </c>
      <c r="K1" s="1" t="s">
        <v>131</v>
      </c>
      <c r="L1" s="61" t="s">
        <v>166</v>
      </c>
    </row>
    <row r="2" spans="1:12" x14ac:dyDescent="0.15">
      <c r="A2" s="1" t="s">
        <v>37</v>
      </c>
      <c r="B2" s="38">
        <v>3</v>
      </c>
      <c r="C2" s="36"/>
      <c r="D2" t="s">
        <v>38</v>
      </c>
      <c r="E2">
        <v>1</v>
      </c>
      <c r="F2">
        <v>1</v>
      </c>
      <c r="G2">
        <v>1</v>
      </c>
      <c r="H2" t="s">
        <v>38</v>
      </c>
      <c r="J2" s="54"/>
      <c r="K2" s="55"/>
      <c r="L2" s="61" t="s">
        <v>167</v>
      </c>
    </row>
    <row r="3" spans="1:12" ht="14" thickBot="1" x14ac:dyDescent="0.2">
      <c r="A3" s="1" t="s">
        <v>39</v>
      </c>
      <c r="B3" s="39">
        <v>0</v>
      </c>
      <c r="C3" s="36"/>
      <c r="D3" t="s">
        <v>40</v>
      </c>
      <c r="E3">
        <v>2</v>
      </c>
      <c r="F3">
        <v>1.1000000000000001</v>
      </c>
      <c r="G3">
        <v>2</v>
      </c>
      <c r="H3" t="s">
        <v>40</v>
      </c>
      <c r="J3" s="56"/>
      <c r="K3" s="57"/>
    </row>
    <row r="4" spans="1:12" x14ac:dyDescent="0.15">
      <c r="D4" t="s">
        <v>41</v>
      </c>
      <c r="E4">
        <v>3</v>
      </c>
      <c r="F4">
        <v>1.2</v>
      </c>
      <c r="G4">
        <v>3</v>
      </c>
      <c r="H4" t="s">
        <v>41</v>
      </c>
      <c r="J4" s="56"/>
      <c r="K4" s="57"/>
    </row>
    <row r="5" spans="1:12" x14ac:dyDescent="0.15">
      <c r="D5" s="199" t="s">
        <v>193</v>
      </c>
      <c r="E5">
        <v>4</v>
      </c>
      <c r="F5">
        <v>2</v>
      </c>
      <c r="G5">
        <v>4</v>
      </c>
      <c r="H5" s="200" t="s">
        <v>193</v>
      </c>
      <c r="J5" s="56"/>
      <c r="K5" s="57"/>
    </row>
    <row r="6" spans="1:12" ht="14" thickBot="1" x14ac:dyDescent="0.2">
      <c r="A6" s="40" t="s">
        <v>121</v>
      </c>
      <c r="D6" s="199" t="s">
        <v>194</v>
      </c>
      <c r="E6">
        <v>5</v>
      </c>
      <c r="F6">
        <v>9</v>
      </c>
      <c r="G6">
        <v>5</v>
      </c>
      <c r="H6" s="200" t="s">
        <v>194</v>
      </c>
      <c r="J6" s="56"/>
      <c r="K6" s="57"/>
    </row>
    <row r="7" spans="1:12" x14ac:dyDescent="0.15">
      <c r="A7" s="35" t="s">
        <v>126</v>
      </c>
      <c r="B7" s="42">
        <v>1</v>
      </c>
      <c r="C7" s="37"/>
      <c r="D7" s="199" t="s">
        <v>195</v>
      </c>
      <c r="E7">
        <v>6</v>
      </c>
      <c r="F7">
        <v>3.14</v>
      </c>
      <c r="G7">
        <v>6</v>
      </c>
      <c r="H7" s="200" t="s">
        <v>195</v>
      </c>
      <c r="J7" s="56"/>
      <c r="K7" s="57"/>
    </row>
    <row r="8" spans="1:12" x14ac:dyDescent="0.15">
      <c r="A8" s="35" t="s">
        <v>38</v>
      </c>
      <c r="B8" s="43">
        <v>1</v>
      </c>
      <c r="C8" s="37"/>
      <c r="D8" s="199" t="s">
        <v>196</v>
      </c>
      <c r="E8">
        <v>7</v>
      </c>
      <c r="F8">
        <v>3.11</v>
      </c>
      <c r="G8">
        <v>7</v>
      </c>
      <c r="H8" s="200" t="s">
        <v>196</v>
      </c>
      <c r="J8" s="56"/>
      <c r="K8" s="57"/>
    </row>
    <row r="9" spans="1:12" x14ac:dyDescent="0.15">
      <c r="A9" s="35" t="s">
        <v>40</v>
      </c>
      <c r="B9" s="43">
        <v>1.1000000000000001</v>
      </c>
      <c r="C9" s="37"/>
      <c r="D9" s="199" t="s">
        <v>197</v>
      </c>
      <c r="E9">
        <v>8</v>
      </c>
      <c r="F9">
        <v>3.21</v>
      </c>
      <c r="G9">
        <v>8</v>
      </c>
      <c r="H9" s="200" t="s">
        <v>197</v>
      </c>
      <c r="J9" s="56"/>
      <c r="K9" s="57"/>
    </row>
    <row r="10" spans="1:12" x14ac:dyDescent="0.15">
      <c r="A10" s="35" t="s">
        <v>41</v>
      </c>
      <c r="B10" s="43">
        <v>1.2</v>
      </c>
      <c r="C10" s="37"/>
      <c r="D10" s="199" t="s">
        <v>198</v>
      </c>
      <c r="E10">
        <v>9</v>
      </c>
      <c r="F10">
        <v>3.21</v>
      </c>
      <c r="G10">
        <v>9</v>
      </c>
      <c r="H10" s="200" t="s">
        <v>198</v>
      </c>
      <c r="J10" s="56"/>
      <c r="K10" s="57"/>
    </row>
    <row r="11" spans="1:12" ht="12" customHeight="1" x14ac:dyDescent="0.15">
      <c r="A11" s="41" t="s">
        <v>127</v>
      </c>
      <c r="B11" s="43">
        <v>2</v>
      </c>
      <c r="C11" s="37"/>
      <c r="D11" s="199" t="s">
        <v>199</v>
      </c>
      <c r="E11">
        <v>10</v>
      </c>
      <c r="F11">
        <v>3.21</v>
      </c>
      <c r="G11">
        <v>10</v>
      </c>
      <c r="H11" s="200" t="s">
        <v>199</v>
      </c>
      <c r="J11" s="56"/>
      <c r="K11" s="57"/>
    </row>
    <row r="12" spans="1:12" x14ac:dyDescent="0.15">
      <c r="A12" s="35" t="s">
        <v>42</v>
      </c>
      <c r="B12" s="43">
        <v>2.1</v>
      </c>
      <c r="C12" s="37"/>
      <c r="D12" s="199" t="s">
        <v>200</v>
      </c>
      <c r="E12">
        <v>11</v>
      </c>
      <c r="F12">
        <v>3.21</v>
      </c>
      <c r="G12">
        <v>11</v>
      </c>
      <c r="H12" s="200" t="s">
        <v>200</v>
      </c>
      <c r="J12" s="56"/>
      <c r="K12" s="57"/>
    </row>
    <row r="13" spans="1:12" x14ac:dyDescent="0.15">
      <c r="A13" s="35" t="s">
        <v>43</v>
      </c>
      <c r="B13" s="43">
        <v>2.2000000000000002</v>
      </c>
      <c r="C13" s="37"/>
      <c r="D13" s="199" t="s">
        <v>201</v>
      </c>
      <c r="E13">
        <v>12</v>
      </c>
      <c r="F13">
        <v>3.21</v>
      </c>
      <c r="G13">
        <v>12</v>
      </c>
      <c r="H13" s="200" t="s">
        <v>201</v>
      </c>
      <c r="J13" s="56"/>
      <c r="K13" s="57"/>
    </row>
    <row r="14" spans="1:12" x14ac:dyDescent="0.15">
      <c r="A14" s="35" t="s">
        <v>67</v>
      </c>
      <c r="B14" s="43">
        <v>2.2999999999999998</v>
      </c>
      <c r="C14" s="37"/>
      <c r="D14" s="199" t="s">
        <v>202</v>
      </c>
      <c r="E14">
        <v>13</v>
      </c>
      <c r="F14">
        <v>3.21</v>
      </c>
      <c r="G14">
        <v>13</v>
      </c>
      <c r="H14" s="200" t="s">
        <v>202</v>
      </c>
      <c r="J14" s="56"/>
      <c r="K14" s="57"/>
    </row>
    <row r="15" spans="1:12" x14ac:dyDescent="0.15">
      <c r="A15" s="41" t="s">
        <v>128</v>
      </c>
      <c r="B15" s="43">
        <v>3</v>
      </c>
      <c r="C15" s="37"/>
      <c r="D15" s="199" t="s">
        <v>203</v>
      </c>
      <c r="E15">
        <v>14</v>
      </c>
      <c r="F15">
        <v>3.21</v>
      </c>
      <c r="G15">
        <v>14</v>
      </c>
      <c r="H15" s="200" t="s">
        <v>203</v>
      </c>
      <c r="J15" s="56"/>
      <c r="K15" s="57"/>
    </row>
    <row r="16" spans="1:12" x14ac:dyDescent="0.15">
      <c r="A16" s="35" t="s">
        <v>62</v>
      </c>
      <c r="B16" s="43">
        <v>3.11</v>
      </c>
      <c r="C16" s="37"/>
      <c r="D16" s="199" t="s">
        <v>204</v>
      </c>
      <c r="E16">
        <v>15</v>
      </c>
      <c r="F16">
        <v>3.21</v>
      </c>
      <c r="G16">
        <v>15</v>
      </c>
      <c r="H16" s="200" t="s">
        <v>204</v>
      </c>
      <c r="J16" s="56"/>
      <c r="K16" s="57"/>
    </row>
    <row r="17" spans="1:12" x14ac:dyDescent="0.15">
      <c r="A17" s="35" t="s">
        <v>61</v>
      </c>
      <c r="B17" s="43">
        <v>3.12</v>
      </c>
      <c r="C17" s="37"/>
      <c r="D17" s="199" t="s">
        <v>205</v>
      </c>
      <c r="E17">
        <v>16</v>
      </c>
      <c r="F17">
        <v>3.22</v>
      </c>
      <c r="G17">
        <v>16</v>
      </c>
      <c r="H17" s="200" t="s">
        <v>205</v>
      </c>
      <c r="J17" s="56"/>
      <c r="K17" s="57"/>
    </row>
    <row r="18" spans="1:12" x14ac:dyDescent="0.15">
      <c r="A18" s="35" t="s">
        <v>68</v>
      </c>
      <c r="B18" s="43">
        <v>3.13</v>
      </c>
      <c r="C18" s="37"/>
      <c r="D18" s="199" t="s">
        <v>206</v>
      </c>
      <c r="E18">
        <v>17</v>
      </c>
      <c r="F18">
        <v>3.22</v>
      </c>
      <c r="G18">
        <v>17</v>
      </c>
      <c r="H18" s="200" t="s">
        <v>206</v>
      </c>
      <c r="J18" s="56"/>
      <c r="K18" s="57"/>
    </row>
    <row r="19" spans="1:12" x14ac:dyDescent="0.15">
      <c r="A19" s="35" t="s">
        <v>66</v>
      </c>
      <c r="B19" s="43">
        <v>3.21</v>
      </c>
      <c r="C19" s="37"/>
      <c r="D19" s="199" t="s">
        <v>207</v>
      </c>
      <c r="E19">
        <v>18</v>
      </c>
      <c r="F19">
        <v>3.22</v>
      </c>
      <c r="G19">
        <v>18</v>
      </c>
      <c r="H19" s="200" t="s">
        <v>207</v>
      </c>
      <c r="J19" s="56"/>
      <c r="K19" s="57"/>
    </row>
    <row r="20" spans="1:12" x14ac:dyDescent="0.15">
      <c r="A20" s="35" t="s">
        <v>63</v>
      </c>
      <c r="B20" s="43">
        <v>3.22</v>
      </c>
      <c r="C20" s="37"/>
      <c r="D20" s="199" t="s">
        <v>208</v>
      </c>
      <c r="E20">
        <v>19</v>
      </c>
      <c r="F20">
        <v>3.22</v>
      </c>
      <c r="G20">
        <v>19</v>
      </c>
      <c r="H20" s="200" t="s">
        <v>208</v>
      </c>
      <c r="J20" s="56"/>
      <c r="K20" s="57"/>
    </row>
    <row r="21" spans="1:12" ht="14" thickBot="1" x14ac:dyDescent="0.2">
      <c r="A21" s="35" t="s">
        <v>69</v>
      </c>
      <c r="B21" s="43">
        <v>3.23</v>
      </c>
      <c r="C21" s="37"/>
      <c r="D21" s="199" t="s">
        <v>209</v>
      </c>
      <c r="E21">
        <v>20</v>
      </c>
      <c r="F21">
        <v>3.22</v>
      </c>
      <c r="G21">
        <v>20</v>
      </c>
      <c r="H21" s="200" t="s">
        <v>209</v>
      </c>
      <c r="J21" s="58"/>
      <c r="K21" s="59"/>
      <c r="L21" s="61" t="s">
        <v>152</v>
      </c>
    </row>
    <row r="22" spans="1:12" x14ac:dyDescent="0.15">
      <c r="A22" s="35" t="s">
        <v>64</v>
      </c>
      <c r="B22" s="43">
        <v>8</v>
      </c>
      <c r="C22" s="37"/>
      <c r="D22" s="199" t="s">
        <v>210</v>
      </c>
      <c r="E22">
        <v>21</v>
      </c>
      <c r="F22">
        <v>3.22</v>
      </c>
      <c r="G22">
        <v>21</v>
      </c>
      <c r="H22" s="200" t="s">
        <v>210</v>
      </c>
    </row>
    <row r="23" spans="1:12" x14ac:dyDescent="0.15">
      <c r="A23" s="35" t="s">
        <v>129</v>
      </c>
      <c r="B23" s="43">
        <v>4</v>
      </c>
      <c r="C23" s="37"/>
      <c r="D23" s="199" t="s">
        <v>211</v>
      </c>
      <c r="E23">
        <v>22</v>
      </c>
      <c r="F23">
        <v>3</v>
      </c>
      <c r="G23">
        <v>22</v>
      </c>
      <c r="H23" s="200" t="s">
        <v>211</v>
      </c>
    </row>
    <row r="24" spans="1:12" x14ac:dyDescent="0.15">
      <c r="A24" s="35" t="s">
        <v>122</v>
      </c>
      <c r="B24" s="43">
        <v>4.0999999999999996</v>
      </c>
      <c r="C24" s="37"/>
      <c r="D24" s="199" t="s">
        <v>212</v>
      </c>
      <c r="E24">
        <v>23</v>
      </c>
      <c r="F24">
        <v>3</v>
      </c>
      <c r="G24">
        <v>23</v>
      </c>
      <c r="H24" s="200" t="s">
        <v>212</v>
      </c>
    </row>
    <row r="25" spans="1:12" x14ac:dyDescent="0.15">
      <c r="A25" s="35" t="s">
        <v>70</v>
      </c>
      <c r="B25" s="43">
        <v>4.2</v>
      </c>
      <c r="C25" s="37"/>
      <c r="D25" s="199" t="s">
        <v>213</v>
      </c>
      <c r="E25">
        <v>24</v>
      </c>
      <c r="F25">
        <v>3.12</v>
      </c>
      <c r="G25">
        <v>24</v>
      </c>
      <c r="H25" s="200" t="s">
        <v>213</v>
      </c>
    </row>
    <row r="26" spans="1:12" x14ac:dyDescent="0.15">
      <c r="A26" s="35" t="s">
        <v>123</v>
      </c>
      <c r="B26" s="43">
        <v>4.3</v>
      </c>
      <c r="C26" s="37"/>
      <c r="D26" s="199" t="s">
        <v>214</v>
      </c>
      <c r="E26">
        <v>25</v>
      </c>
      <c r="F26">
        <v>3.12</v>
      </c>
      <c r="G26">
        <v>25</v>
      </c>
      <c r="H26" s="200" t="s">
        <v>214</v>
      </c>
    </row>
    <row r="27" spans="1:12" x14ac:dyDescent="0.15">
      <c r="A27" s="35" t="s">
        <v>125</v>
      </c>
      <c r="B27" s="43">
        <v>6.1</v>
      </c>
      <c r="D27" s="199" t="s">
        <v>215</v>
      </c>
      <c r="E27">
        <v>26</v>
      </c>
      <c r="F27">
        <v>3.22</v>
      </c>
      <c r="G27">
        <v>26</v>
      </c>
      <c r="H27" s="200" t="s">
        <v>215</v>
      </c>
    </row>
    <row r="28" spans="1:12" x14ac:dyDescent="0.15">
      <c r="A28" s="35" t="s">
        <v>124</v>
      </c>
      <c r="B28" s="43">
        <v>6.2</v>
      </c>
      <c r="D28" s="199" t="s">
        <v>216</v>
      </c>
      <c r="E28">
        <v>27</v>
      </c>
      <c r="F28">
        <v>3.22</v>
      </c>
      <c r="G28">
        <v>27</v>
      </c>
      <c r="H28" s="200" t="s">
        <v>216</v>
      </c>
    </row>
    <row r="29" spans="1:12" x14ac:dyDescent="0.15">
      <c r="A29" s="35" t="s">
        <v>44</v>
      </c>
      <c r="B29" s="43">
        <v>5</v>
      </c>
      <c r="D29" s="199" t="s">
        <v>217</v>
      </c>
      <c r="E29">
        <v>28</v>
      </c>
      <c r="F29">
        <v>3.22</v>
      </c>
      <c r="G29">
        <v>28</v>
      </c>
      <c r="H29" s="200" t="s">
        <v>217</v>
      </c>
    </row>
    <row r="30" spans="1:12" x14ac:dyDescent="0.15">
      <c r="A30" s="35" t="s">
        <v>73</v>
      </c>
      <c r="B30" s="43">
        <v>7</v>
      </c>
      <c r="D30" s="199" t="s">
        <v>218</v>
      </c>
      <c r="E30">
        <v>29</v>
      </c>
      <c r="F30">
        <v>3.12</v>
      </c>
      <c r="G30">
        <v>29</v>
      </c>
      <c r="H30" s="200" t="s">
        <v>218</v>
      </c>
    </row>
    <row r="31" spans="1:12" x14ac:dyDescent="0.15">
      <c r="A31" s="35" t="s">
        <v>169</v>
      </c>
      <c r="B31" s="43">
        <v>3.14</v>
      </c>
      <c r="D31" s="199" t="s">
        <v>219</v>
      </c>
      <c r="E31">
        <v>30</v>
      </c>
      <c r="F31">
        <v>3.12</v>
      </c>
      <c r="G31">
        <v>30</v>
      </c>
      <c r="H31" s="200" t="s">
        <v>219</v>
      </c>
    </row>
    <row r="32" spans="1:12" ht="12" customHeight="1" thickBot="1" x14ac:dyDescent="0.2">
      <c r="A32" s="41" t="s">
        <v>170</v>
      </c>
      <c r="B32" s="44">
        <v>9</v>
      </c>
      <c r="D32" s="199" t="s">
        <v>220</v>
      </c>
      <c r="E32">
        <v>31</v>
      </c>
      <c r="F32">
        <v>3.22</v>
      </c>
      <c r="G32">
        <v>31</v>
      </c>
      <c r="H32" s="200" t="s">
        <v>220</v>
      </c>
    </row>
    <row r="33" spans="4:8" customFormat="1" ht="12" customHeight="1" x14ac:dyDescent="0.15">
      <c r="D33" s="199" t="s">
        <v>221</v>
      </c>
      <c r="E33">
        <v>32</v>
      </c>
      <c r="F33">
        <v>3.12</v>
      </c>
      <c r="G33">
        <v>32</v>
      </c>
      <c r="H33" s="200" t="s">
        <v>221</v>
      </c>
    </row>
    <row r="34" spans="4:8" customFormat="1" ht="12" customHeight="1" x14ac:dyDescent="0.15">
      <c r="D34" s="199" t="s">
        <v>222</v>
      </c>
      <c r="E34">
        <v>33</v>
      </c>
      <c r="F34">
        <v>3.22</v>
      </c>
      <c r="G34">
        <v>33</v>
      </c>
      <c r="H34" s="200" t="s">
        <v>222</v>
      </c>
    </row>
    <row r="35" spans="4:8" customFormat="1" x14ac:dyDescent="0.15">
      <c r="D35" s="199" t="s">
        <v>223</v>
      </c>
      <c r="E35">
        <v>34</v>
      </c>
      <c r="F35">
        <v>3.22</v>
      </c>
      <c r="G35">
        <v>34</v>
      </c>
      <c r="H35" s="200" t="s">
        <v>223</v>
      </c>
    </row>
    <row r="36" spans="4:8" customFormat="1" x14ac:dyDescent="0.15">
      <c r="D36" s="199" t="s">
        <v>224</v>
      </c>
      <c r="E36">
        <v>35</v>
      </c>
      <c r="F36">
        <v>3.12</v>
      </c>
      <c r="G36">
        <v>35</v>
      </c>
      <c r="H36" s="200" t="s">
        <v>224</v>
      </c>
    </row>
    <row r="37" spans="4:8" customFormat="1" ht="12" customHeight="1" x14ac:dyDescent="0.15">
      <c r="D37" s="199" t="s">
        <v>225</v>
      </c>
      <c r="E37">
        <v>36</v>
      </c>
      <c r="F37">
        <v>3.21</v>
      </c>
      <c r="G37">
        <v>36</v>
      </c>
      <c r="H37" s="200" t="s">
        <v>225</v>
      </c>
    </row>
    <row r="38" spans="4:8" customFormat="1" x14ac:dyDescent="0.15">
      <c r="D38" s="199" t="s">
        <v>226</v>
      </c>
      <c r="E38">
        <v>37</v>
      </c>
      <c r="F38">
        <v>3.21</v>
      </c>
      <c r="G38">
        <v>37</v>
      </c>
      <c r="H38" s="200" t="s">
        <v>226</v>
      </c>
    </row>
    <row r="39" spans="4:8" customFormat="1" x14ac:dyDescent="0.15">
      <c r="D39" s="199" t="s">
        <v>227</v>
      </c>
      <c r="E39">
        <v>38</v>
      </c>
      <c r="F39">
        <v>3.13</v>
      </c>
      <c r="G39">
        <v>38</v>
      </c>
      <c r="H39" s="200" t="s">
        <v>227</v>
      </c>
    </row>
    <row r="40" spans="4:8" customFormat="1" x14ac:dyDescent="0.15">
      <c r="D40" s="199" t="s">
        <v>228</v>
      </c>
      <c r="E40">
        <v>39</v>
      </c>
      <c r="F40">
        <v>3.13</v>
      </c>
      <c r="G40">
        <v>39</v>
      </c>
      <c r="H40" s="200" t="s">
        <v>228</v>
      </c>
    </row>
    <row r="41" spans="4:8" customFormat="1" x14ac:dyDescent="0.15">
      <c r="D41" s="199" t="s">
        <v>229</v>
      </c>
      <c r="E41">
        <v>40</v>
      </c>
      <c r="F41">
        <v>3.13</v>
      </c>
      <c r="G41">
        <v>40</v>
      </c>
      <c r="H41" s="200" t="s">
        <v>229</v>
      </c>
    </row>
    <row r="42" spans="4:8" customFormat="1" x14ac:dyDescent="0.15">
      <c r="D42" s="199" t="s">
        <v>230</v>
      </c>
      <c r="E42">
        <v>41</v>
      </c>
      <c r="F42">
        <v>3.13</v>
      </c>
      <c r="G42">
        <v>41</v>
      </c>
      <c r="H42" s="200" t="s">
        <v>230</v>
      </c>
    </row>
    <row r="43" spans="4:8" customFormat="1" x14ac:dyDescent="0.15">
      <c r="D43" s="199" t="s">
        <v>231</v>
      </c>
      <c r="E43">
        <v>42</v>
      </c>
      <c r="F43">
        <v>3.13</v>
      </c>
      <c r="G43">
        <v>42</v>
      </c>
      <c r="H43" s="200" t="s">
        <v>231</v>
      </c>
    </row>
    <row r="44" spans="4:8" customFormat="1" x14ac:dyDescent="0.15">
      <c r="D44" s="199" t="s">
        <v>232</v>
      </c>
      <c r="E44">
        <v>43</v>
      </c>
      <c r="F44">
        <v>3.13</v>
      </c>
      <c r="G44">
        <v>43</v>
      </c>
      <c r="H44" s="200" t="s">
        <v>232</v>
      </c>
    </row>
    <row r="45" spans="4:8" customFormat="1" x14ac:dyDescent="0.15">
      <c r="D45" s="199" t="s">
        <v>233</v>
      </c>
      <c r="E45">
        <v>44</v>
      </c>
      <c r="F45">
        <v>4.2</v>
      </c>
      <c r="G45">
        <v>44</v>
      </c>
      <c r="H45" s="200" t="s">
        <v>233</v>
      </c>
    </row>
    <row r="46" spans="4:8" customFormat="1" x14ac:dyDescent="0.15">
      <c r="D46" s="199" t="s">
        <v>234</v>
      </c>
      <c r="E46">
        <v>45</v>
      </c>
      <c r="F46">
        <v>4.0999999999999996</v>
      </c>
      <c r="G46">
        <v>45</v>
      </c>
      <c r="H46" s="200" t="s">
        <v>234</v>
      </c>
    </row>
    <row r="47" spans="4:8" customFormat="1" x14ac:dyDescent="0.15">
      <c r="D47" s="199" t="s">
        <v>235</v>
      </c>
      <c r="E47">
        <v>46</v>
      </c>
      <c r="F47">
        <v>4.3</v>
      </c>
      <c r="G47">
        <v>46</v>
      </c>
      <c r="H47" s="200" t="s">
        <v>235</v>
      </c>
    </row>
    <row r="48" spans="4:8" customFormat="1" x14ac:dyDescent="0.15">
      <c r="D48" s="199" t="s">
        <v>236</v>
      </c>
      <c r="E48">
        <v>47</v>
      </c>
      <c r="F48">
        <v>5</v>
      </c>
      <c r="G48">
        <v>47</v>
      </c>
      <c r="H48" s="200" t="s">
        <v>236</v>
      </c>
    </row>
    <row r="49" spans="4:8" customFormat="1" x14ac:dyDescent="0.15">
      <c r="D49" s="199" t="s">
        <v>237</v>
      </c>
      <c r="E49">
        <v>48</v>
      </c>
      <c r="F49">
        <v>5</v>
      </c>
      <c r="G49">
        <v>48</v>
      </c>
      <c r="H49" s="200" t="s">
        <v>237</v>
      </c>
    </row>
    <row r="50" spans="4:8" customFormat="1" ht="12" customHeight="1" x14ac:dyDescent="0.15">
      <c r="D50" s="199" t="s">
        <v>238</v>
      </c>
      <c r="E50">
        <v>49</v>
      </c>
      <c r="F50">
        <v>5</v>
      </c>
      <c r="G50">
        <v>49</v>
      </c>
      <c r="H50" s="200" t="s">
        <v>238</v>
      </c>
    </row>
    <row r="51" spans="4:8" customFormat="1" x14ac:dyDescent="0.15">
      <c r="D51" s="199" t="s">
        <v>239</v>
      </c>
      <c r="E51">
        <v>50</v>
      </c>
      <c r="F51">
        <v>5</v>
      </c>
      <c r="G51">
        <v>50</v>
      </c>
      <c r="H51" s="200" t="s">
        <v>239</v>
      </c>
    </row>
    <row r="52" spans="4:8" customFormat="1" ht="12" customHeight="1" x14ac:dyDescent="0.15">
      <c r="D52" s="199" t="s">
        <v>240</v>
      </c>
      <c r="E52">
        <v>51</v>
      </c>
      <c r="F52">
        <v>5</v>
      </c>
      <c r="G52">
        <v>51</v>
      </c>
      <c r="H52" s="200" t="s">
        <v>240</v>
      </c>
    </row>
    <row r="53" spans="4:8" customFormat="1" x14ac:dyDescent="0.15">
      <c r="D53" s="199" t="s">
        <v>241</v>
      </c>
      <c r="E53">
        <v>52</v>
      </c>
      <c r="F53">
        <v>5</v>
      </c>
      <c r="G53">
        <v>52</v>
      </c>
      <c r="H53" s="200" t="s">
        <v>241</v>
      </c>
    </row>
    <row r="54" spans="4:8" customFormat="1" ht="12" customHeight="1" x14ac:dyDescent="0.15">
      <c r="D54" s="199" t="s">
        <v>138</v>
      </c>
      <c r="E54">
        <v>53</v>
      </c>
      <c r="F54">
        <v>6.1</v>
      </c>
      <c r="G54">
        <v>53</v>
      </c>
      <c r="H54" s="200" t="s">
        <v>138</v>
      </c>
    </row>
    <row r="55" spans="4:8" customFormat="1" ht="12" customHeight="1" x14ac:dyDescent="0.15">
      <c r="D55" s="199" t="s">
        <v>45</v>
      </c>
      <c r="E55">
        <v>54</v>
      </c>
      <c r="F55">
        <v>6.2</v>
      </c>
      <c r="G55">
        <v>54</v>
      </c>
      <c r="H55" s="200" t="s">
        <v>45</v>
      </c>
    </row>
    <row r="56" spans="4:8" customFormat="1" x14ac:dyDescent="0.15"/>
    <row r="57" spans="4:8" customFormat="1" x14ac:dyDescent="0.15"/>
    <row r="58" spans="4:8" customFormat="1" x14ac:dyDescent="0.15"/>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40.1640625" style="83" bestFit="1" customWidth="1"/>
    <col min="2" max="2" width="6.83203125" style="82" customWidth="1"/>
    <col min="3" max="3" width="13.1640625" style="82" customWidth="1"/>
    <col min="4" max="4" width="39.6640625" style="82" customWidth="1"/>
    <col min="5" max="5" width="8.1640625" style="82" customWidth="1"/>
    <col min="6" max="6" width="44.1640625" style="82" bestFit="1" customWidth="1"/>
    <col min="7" max="9" width="2.33203125" style="82" customWidth="1"/>
    <col min="10" max="10" width="2.33203125" style="82" bestFit="1" customWidth="1"/>
    <col min="11" max="15" width="2.33203125" style="82" customWidth="1"/>
    <col min="16" max="16" width="2.33203125" style="72" customWidth="1"/>
    <col min="17" max="17" width="2.33203125" style="82" customWidth="1"/>
    <col min="18" max="18" width="2.33203125" style="73" customWidth="1"/>
    <col min="19" max="16384" width="11.5" style="82"/>
  </cols>
  <sheetData>
    <row r="1" spans="1:23" ht="15" customHeight="1" thickBot="1" x14ac:dyDescent="0.2">
      <c r="F1" s="1"/>
      <c r="G1" s="70" t="s">
        <v>46</v>
      </c>
      <c r="H1" s="70" t="s">
        <v>47</v>
      </c>
      <c r="I1" s="70" t="s">
        <v>120</v>
      </c>
      <c r="J1" s="70" t="s">
        <v>132</v>
      </c>
      <c r="K1" s="84" t="s">
        <v>48</v>
      </c>
      <c r="L1" s="73"/>
      <c r="M1" s="84" t="s">
        <v>119</v>
      </c>
      <c r="N1" s="73"/>
      <c r="O1" s="84" t="s">
        <v>49</v>
      </c>
      <c r="P1" s="75"/>
      <c r="Q1" s="84" t="s">
        <v>50</v>
      </c>
      <c r="R1" s="70" t="s">
        <v>154</v>
      </c>
    </row>
    <row r="2" spans="1:23" ht="15" customHeight="1" x14ac:dyDescent="0.15">
      <c r="A2" s="84" t="s">
        <v>51</v>
      </c>
      <c r="B2" s="85">
        <v>0.5</v>
      </c>
      <c r="C2" s="83" t="s">
        <v>52</v>
      </c>
      <c r="D2" s="86"/>
      <c r="F2" s="1"/>
      <c r="G2" s="87"/>
      <c r="H2" s="87"/>
      <c r="I2" s="87" t="s">
        <v>133</v>
      </c>
      <c r="J2" s="87" t="s">
        <v>133</v>
      </c>
      <c r="K2" s="87" t="s">
        <v>52</v>
      </c>
      <c r="L2" s="87" t="s">
        <v>53</v>
      </c>
      <c r="M2" s="87" t="s">
        <v>52</v>
      </c>
      <c r="N2" s="87" t="s">
        <v>53</v>
      </c>
      <c r="O2" s="87" t="s">
        <v>52</v>
      </c>
      <c r="P2" s="88" t="s">
        <v>53</v>
      </c>
      <c r="Q2" s="87"/>
      <c r="R2" s="89" t="s">
        <v>155</v>
      </c>
    </row>
    <row r="3" spans="1:23" ht="15" customHeight="1" thickBot="1" x14ac:dyDescent="0.2">
      <c r="A3" s="84" t="s">
        <v>54</v>
      </c>
      <c r="B3" s="90">
        <v>0.5</v>
      </c>
      <c r="C3" s="83" t="s">
        <v>53</v>
      </c>
      <c r="D3" s="86"/>
      <c r="F3" t="s">
        <v>38</v>
      </c>
      <c r="G3">
        <v>0</v>
      </c>
      <c r="H3">
        <v>0</v>
      </c>
      <c r="I3">
        <v>0</v>
      </c>
      <c r="J3">
        <v>0</v>
      </c>
      <c r="K3">
        <v>0</v>
      </c>
      <c r="L3">
        <v>0</v>
      </c>
      <c r="M3">
        <v>0</v>
      </c>
      <c r="N3">
        <v>0</v>
      </c>
      <c r="O3">
        <v>0</v>
      </c>
      <c r="P3">
        <v>0</v>
      </c>
      <c r="Q3" s="140">
        <v>0</v>
      </c>
      <c r="R3" s="37">
        <v>0</v>
      </c>
    </row>
    <row r="4" spans="1:23" ht="15" customHeight="1" thickBot="1" x14ac:dyDescent="0.2">
      <c r="F4" t="s">
        <v>40</v>
      </c>
      <c r="G4">
        <v>0</v>
      </c>
      <c r="H4">
        <v>0</v>
      </c>
      <c r="I4">
        <v>0</v>
      </c>
      <c r="J4">
        <v>0</v>
      </c>
      <c r="K4">
        <v>0</v>
      </c>
      <c r="L4">
        <v>0</v>
      </c>
      <c r="M4">
        <v>0</v>
      </c>
      <c r="N4">
        <v>0</v>
      </c>
      <c r="O4">
        <v>0</v>
      </c>
      <c r="P4">
        <v>0</v>
      </c>
      <c r="Q4" s="140">
        <v>0</v>
      </c>
      <c r="R4" s="112">
        <v>0</v>
      </c>
    </row>
    <row r="5" spans="1:23" ht="15" customHeight="1" x14ac:dyDescent="0.15">
      <c r="A5" s="84" t="s">
        <v>55</v>
      </c>
      <c r="B5" s="91">
        <v>0.5</v>
      </c>
      <c r="C5" s="83" t="s">
        <v>52</v>
      </c>
      <c r="D5" s="86"/>
      <c r="F5" t="s">
        <v>41</v>
      </c>
      <c r="G5">
        <v>0</v>
      </c>
      <c r="H5">
        <v>0</v>
      </c>
      <c r="I5">
        <v>0</v>
      </c>
      <c r="J5">
        <v>0</v>
      </c>
      <c r="K5">
        <v>0</v>
      </c>
      <c r="L5">
        <v>0</v>
      </c>
      <c r="M5">
        <v>0</v>
      </c>
      <c r="N5">
        <v>0</v>
      </c>
      <c r="O5">
        <v>0</v>
      </c>
      <c r="P5">
        <v>0</v>
      </c>
      <c r="Q5" s="140">
        <v>0</v>
      </c>
      <c r="R5" s="112">
        <v>0</v>
      </c>
    </row>
    <row r="6" spans="1:23" ht="15" customHeight="1" thickBot="1" x14ac:dyDescent="0.2">
      <c r="A6" s="84"/>
      <c r="B6" s="92">
        <v>0.5</v>
      </c>
      <c r="C6" s="83" t="s">
        <v>53</v>
      </c>
      <c r="D6" s="86"/>
      <c r="F6" s="201" t="s">
        <v>193</v>
      </c>
      <c r="G6" s="82">
        <v>0</v>
      </c>
      <c r="H6" s="82">
        <v>0</v>
      </c>
      <c r="I6" s="82">
        <v>0</v>
      </c>
      <c r="J6" s="82">
        <v>0</v>
      </c>
      <c r="K6" s="82">
        <v>0</v>
      </c>
      <c r="L6" s="82">
        <v>0</v>
      </c>
      <c r="M6" s="82">
        <v>1</v>
      </c>
      <c r="N6" s="82">
        <v>0</v>
      </c>
      <c r="O6" s="82">
        <v>0</v>
      </c>
      <c r="P6" s="72">
        <v>0</v>
      </c>
      <c r="Q6" s="82">
        <v>0</v>
      </c>
      <c r="R6" s="73">
        <v>1</v>
      </c>
      <c r="S6"/>
      <c r="T6"/>
    </row>
    <row r="7" spans="1:23" ht="15" customHeight="1" thickBot="1" x14ac:dyDescent="0.2">
      <c r="F7" s="201" t="s">
        <v>194</v>
      </c>
      <c r="G7" s="82">
        <v>0</v>
      </c>
      <c r="H7" s="82">
        <v>0</v>
      </c>
      <c r="I7" s="82">
        <v>0</v>
      </c>
      <c r="J7" s="82">
        <v>0</v>
      </c>
      <c r="K7" s="82">
        <v>1</v>
      </c>
      <c r="L7" s="82">
        <v>0</v>
      </c>
      <c r="M7" s="82">
        <v>1</v>
      </c>
      <c r="N7" s="82">
        <v>0</v>
      </c>
      <c r="O7" s="82">
        <v>1</v>
      </c>
      <c r="P7" s="72">
        <v>0</v>
      </c>
      <c r="Q7" s="82">
        <v>0</v>
      </c>
      <c r="R7" s="73">
        <v>1</v>
      </c>
      <c r="S7"/>
      <c r="T7"/>
    </row>
    <row r="8" spans="1:23" ht="15" customHeight="1" x14ac:dyDescent="0.15">
      <c r="A8" s="84" t="s">
        <v>56</v>
      </c>
      <c r="B8" s="91">
        <v>1</v>
      </c>
      <c r="C8" s="202" t="s">
        <v>193</v>
      </c>
      <c r="D8" s="86" t="s">
        <v>160</v>
      </c>
      <c r="F8" s="201" t="s">
        <v>195</v>
      </c>
      <c r="G8" s="82">
        <v>0</v>
      </c>
      <c r="H8" s="82">
        <v>0</v>
      </c>
      <c r="I8" s="82">
        <v>0</v>
      </c>
      <c r="J8" s="82">
        <v>0</v>
      </c>
      <c r="K8" s="82">
        <v>1</v>
      </c>
      <c r="L8" s="82">
        <v>0</v>
      </c>
      <c r="M8" s="82">
        <v>1</v>
      </c>
      <c r="N8" s="82">
        <v>0</v>
      </c>
      <c r="O8" s="82">
        <v>1</v>
      </c>
      <c r="P8" s="72">
        <v>0</v>
      </c>
      <c r="Q8" s="82">
        <v>0</v>
      </c>
      <c r="R8" s="73">
        <v>1</v>
      </c>
      <c r="S8"/>
      <c r="T8"/>
      <c r="W8"/>
    </row>
    <row r="9" spans="1:23" ht="15" customHeight="1" x14ac:dyDescent="0.15">
      <c r="A9" s="126" t="s">
        <v>168</v>
      </c>
      <c r="B9" s="93"/>
      <c r="C9" s="81"/>
      <c r="D9" s="86" t="s">
        <v>160</v>
      </c>
      <c r="F9" s="201" t="s">
        <v>196</v>
      </c>
      <c r="G9" s="82">
        <v>0</v>
      </c>
      <c r="H9" s="82">
        <v>0</v>
      </c>
      <c r="I9" s="82">
        <v>0</v>
      </c>
      <c r="J9" s="82">
        <v>0</v>
      </c>
      <c r="K9" s="82">
        <v>1</v>
      </c>
      <c r="L9" s="82">
        <v>0</v>
      </c>
      <c r="M9" s="82">
        <v>1</v>
      </c>
      <c r="N9" s="82">
        <v>0</v>
      </c>
      <c r="O9" s="82">
        <v>1</v>
      </c>
      <c r="P9" s="72">
        <v>0</v>
      </c>
      <c r="Q9" s="82">
        <v>0</v>
      </c>
      <c r="R9" s="73">
        <v>1</v>
      </c>
      <c r="S9"/>
      <c r="T9"/>
      <c r="W9"/>
    </row>
    <row r="10" spans="1:23" ht="15" customHeight="1" x14ac:dyDescent="0.15">
      <c r="B10" s="93"/>
      <c r="C10" s="81"/>
      <c r="D10" s="86" t="s">
        <v>160</v>
      </c>
      <c r="F10" s="201" t="s">
        <v>197</v>
      </c>
      <c r="G10" s="82">
        <v>0</v>
      </c>
      <c r="H10" s="82">
        <v>0</v>
      </c>
      <c r="I10" s="82">
        <v>0</v>
      </c>
      <c r="J10" s="82">
        <v>0</v>
      </c>
      <c r="K10" s="82">
        <v>1</v>
      </c>
      <c r="L10" s="82">
        <v>0</v>
      </c>
      <c r="M10" s="82">
        <v>1</v>
      </c>
      <c r="N10" s="82">
        <v>0</v>
      </c>
      <c r="O10" s="82">
        <v>1</v>
      </c>
      <c r="P10" s="72">
        <v>0</v>
      </c>
      <c r="Q10" s="82">
        <v>0</v>
      </c>
      <c r="R10" s="73">
        <v>1</v>
      </c>
      <c r="S10"/>
      <c r="T10"/>
      <c r="W10"/>
    </row>
    <row r="11" spans="1:23" ht="15" customHeight="1" x14ac:dyDescent="0.15">
      <c r="A11" s="84"/>
      <c r="B11" s="93"/>
      <c r="C11" s="96"/>
      <c r="D11" s="86" t="s">
        <v>160</v>
      </c>
      <c r="F11" s="201" t="s">
        <v>198</v>
      </c>
      <c r="G11" s="82">
        <v>0</v>
      </c>
      <c r="H11" s="82">
        <v>0</v>
      </c>
      <c r="I11" s="82">
        <v>0</v>
      </c>
      <c r="J11" s="82">
        <v>0</v>
      </c>
      <c r="K11" s="82">
        <v>1</v>
      </c>
      <c r="L11" s="82">
        <v>0</v>
      </c>
      <c r="M11" s="82">
        <v>1</v>
      </c>
      <c r="N11" s="82">
        <v>0</v>
      </c>
      <c r="O11" s="82">
        <v>1</v>
      </c>
      <c r="P11" s="72">
        <v>0</v>
      </c>
      <c r="Q11" s="82">
        <v>0</v>
      </c>
      <c r="R11" s="73">
        <v>1</v>
      </c>
      <c r="S11"/>
      <c r="T11"/>
      <c r="W11"/>
    </row>
    <row r="12" spans="1:23" ht="15" customHeight="1" x14ac:dyDescent="0.15">
      <c r="B12" s="93"/>
      <c r="C12" s="97"/>
      <c r="D12" s="86" t="s">
        <v>160</v>
      </c>
      <c r="F12" s="201" t="s">
        <v>199</v>
      </c>
      <c r="G12" s="82">
        <v>0</v>
      </c>
      <c r="H12" s="82">
        <v>0</v>
      </c>
      <c r="I12" s="82">
        <v>0</v>
      </c>
      <c r="J12" s="82">
        <v>0</v>
      </c>
      <c r="K12" s="82">
        <v>1</v>
      </c>
      <c r="L12" s="82">
        <v>0</v>
      </c>
      <c r="M12" s="82">
        <v>1</v>
      </c>
      <c r="N12" s="82">
        <v>0</v>
      </c>
      <c r="O12" s="82">
        <v>1</v>
      </c>
      <c r="P12" s="72">
        <v>0</v>
      </c>
      <c r="Q12" s="82">
        <v>0</v>
      </c>
      <c r="R12" s="73">
        <v>1</v>
      </c>
      <c r="S12"/>
      <c r="T12"/>
      <c r="W12"/>
    </row>
    <row r="13" spans="1:23" ht="15" customHeight="1" x14ac:dyDescent="0.15">
      <c r="B13" s="93"/>
      <c r="C13" s="97"/>
      <c r="D13" s="86" t="s">
        <v>160</v>
      </c>
      <c r="F13" s="201" t="s">
        <v>200</v>
      </c>
      <c r="G13" s="82">
        <v>0</v>
      </c>
      <c r="H13" s="82">
        <v>0</v>
      </c>
      <c r="I13" s="82">
        <v>0</v>
      </c>
      <c r="J13" s="82">
        <v>0</v>
      </c>
      <c r="K13" s="82">
        <v>1</v>
      </c>
      <c r="L13" s="82">
        <v>0</v>
      </c>
      <c r="M13" s="82">
        <v>1</v>
      </c>
      <c r="N13" s="82">
        <v>0</v>
      </c>
      <c r="O13" s="82">
        <v>1</v>
      </c>
      <c r="P13" s="72">
        <v>0</v>
      </c>
      <c r="Q13" s="82">
        <v>0</v>
      </c>
      <c r="R13" s="73">
        <v>1</v>
      </c>
      <c r="S13"/>
      <c r="T13"/>
      <c r="W13"/>
    </row>
    <row r="14" spans="1:23" ht="15" customHeight="1" x14ac:dyDescent="0.15">
      <c r="B14" s="93"/>
      <c r="C14" s="81"/>
      <c r="D14" s="86" t="s">
        <v>160</v>
      </c>
      <c r="F14" s="201" t="s">
        <v>201</v>
      </c>
      <c r="G14" s="82">
        <v>0</v>
      </c>
      <c r="H14" s="82">
        <v>0</v>
      </c>
      <c r="I14" s="82">
        <v>0</v>
      </c>
      <c r="J14" s="82">
        <v>0</v>
      </c>
      <c r="K14" s="82">
        <v>1</v>
      </c>
      <c r="L14" s="82">
        <v>0</v>
      </c>
      <c r="M14" s="82">
        <v>1</v>
      </c>
      <c r="N14" s="82">
        <v>0</v>
      </c>
      <c r="O14" s="82">
        <v>1</v>
      </c>
      <c r="P14" s="72">
        <v>0</v>
      </c>
      <c r="Q14" s="82">
        <v>0</v>
      </c>
      <c r="R14" s="73">
        <v>1</v>
      </c>
      <c r="S14"/>
      <c r="T14"/>
      <c r="W14"/>
    </row>
    <row r="15" spans="1:23" ht="15" customHeight="1" x14ac:dyDescent="0.15">
      <c r="B15" s="93"/>
      <c r="C15" s="81"/>
      <c r="D15" s="86" t="s">
        <v>160</v>
      </c>
      <c r="F15" s="201" t="s">
        <v>202</v>
      </c>
      <c r="G15" s="82">
        <v>0</v>
      </c>
      <c r="H15" s="82">
        <v>0</v>
      </c>
      <c r="I15" s="82">
        <v>0</v>
      </c>
      <c r="J15" s="82">
        <v>0</v>
      </c>
      <c r="K15" s="82">
        <v>1</v>
      </c>
      <c r="L15" s="82">
        <v>0</v>
      </c>
      <c r="M15" s="82">
        <v>1</v>
      </c>
      <c r="N15" s="82">
        <v>0</v>
      </c>
      <c r="O15" s="82">
        <v>1</v>
      </c>
      <c r="P15" s="72">
        <v>0</v>
      </c>
      <c r="Q15" s="82">
        <v>0</v>
      </c>
      <c r="R15" s="73">
        <v>1</v>
      </c>
      <c r="S15"/>
      <c r="T15"/>
      <c r="W15"/>
    </row>
    <row r="16" spans="1:23" ht="15" customHeight="1" x14ac:dyDescent="0.15">
      <c r="B16" s="93"/>
      <c r="C16" s="81"/>
      <c r="D16" s="86" t="s">
        <v>160</v>
      </c>
      <c r="F16" s="201" t="s">
        <v>203</v>
      </c>
      <c r="G16" s="82">
        <v>0</v>
      </c>
      <c r="H16" s="82">
        <v>0</v>
      </c>
      <c r="I16" s="82">
        <v>0</v>
      </c>
      <c r="J16" s="82">
        <v>0</v>
      </c>
      <c r="K16" s="82">
        <v>1</v>
      </c>
      <c r="L16" s="82">
        <v>0</v>
      </c>
      <c r="M16" s="82">
        <v>1</v>
      </c>
      <c r="N16" s="82">
        <v>0</v>
      </c>
      <c r="O16" s="82">
        <v>1</v>
      </c>
      <c r="P16" s="72">
        <v>0</v>
      </c>
      <c r="Q16" s="82">
        <v>0</v>
      </c>
      <c r="R16" s="73">
        <v>1</v>
      </c>
      <c r="S16"/>
      <c r="T16"/>
    </row>
    <row r="17" spans="1:20" ht="15" customHeight="1" thickBot="1" x14ac:dyDescent="0.2">
      <c r="B17" s="92"/>
      <c r="C17" s="81"/>
      <c r="D17" s="86" t="s">
        <v>160</v>
      </c>
      <c r="F17" s="201" t="s">
        <v>204</v>
      </c>
      <c r="G17" s="82">
        <v>0</v>
      </c>
      <c r="H17" s="82">
        <v>0</v>
      </c>
      <c r="I17" s="82">
        <v>0</v>
      </c>
      <c r="J17" s="82">
        <v>0</v>
      </c>
      <c r="K17" s="82">
        <v>1</v>
      </c>
      <c r="L17" s="82">
        <v>0</v>
      </c>
      <c r="M17" s="82">
        <v>1</v>
      </c>
      <c r="N17" s="82">
        <v>0</v>
      </c>
      <c r="O17" s="82">
        <v>1</v>
      </c>
      <c r="P17" s="72">
        <v>0</v>
      </c>
      <c r="Q17" s="82">
        <v>0</v>
      </c>
      <c r="R17" s="73">
        <v>1</v>
      </c>
      <c r="S17"/>
      <c r="T17"/>
    </row>
    <row r="18" spans="1:20" ht="15" customHeight="1" thickBot="1" x14ac:dyDescent="0.2">
      <c r="B18" s="94"/>
      <c r="F18" s="201" t="s">
        <v>205</v>
      </c>
      <c r="G18" s="82">
        <v>0</v>
      </c>
      <c r="H18" s="82">
        <v>0</v>
      </c>
      <c r="I18" s="82">
        <v>0</v>
      </c>
      <c r="J18" s="82">
        <v>0</v>
      </c>
      <c r="K18" s="82">
        <v>1</v>
      </c>
      <c r="L18" s="82">
        <v>0</v>
      </c>
      <c r="M18" s="82">
        <v>1</v>
      </c>
      <c r="N18" s="82">
        <v>0</v>
      </c>
      <c r="O18" s="82">
        <v>1</v>
      </c>
      <c r="P18" s="72">
        <v>0</v>
      </c>
      <c r="Q18" s="82">
        <v>0</v>
      </c>
      <c r="R18" s="73">
        <v>1</v>
      </c>
      <c r="S18"/>
      <c r="T18"/>
    </row>
    <row r="19" spans="1:20" ht="15" customHeight="1" x14ac:dyDescent="0.15">
      <c r="A19" s="84" t="s">
        <v>57</v>
      </c>
      <c r="B19" s="91">
        <v>1</v>
      </c>
      <c r="C19" s="203" t="s">
        <v>193</v>
      </c>
      <c r="D19" s="86" t="s">
        <v>160</v>
      </c>
      <c r="F19" s="201" t="s">
        <v>206</v>
      </c>
      <c r="G19" s="82">
        <v>0</v>
      </c>
      <c r="H19" s="82">
        <v>0</v>
      </c>
      <c r="I19" s="82">
        <v>0</v>
      </c>
      <c r="J19" s="82">
        <v>0</v>
      </c>
      <c r="K19" s="82">
        <v>1</v>
      </c>
      <c r="L19" s="82">
        <v>0</v>
      </c>
      <c r="M19" s="82">
        <v>1</v>
      </c>
      <c r="N19" s="82">
        <v>0</v>
      </c>
      <c r="O19" s="82">
        <v>1</v>
      </c>
      <c r="P19" s="72">
        <v>0</v>
      </c>
      <c r="Q19" s="82">
        <v>0</v>
      </c>
      <c r="R19" s="73">
        <v>1</v>
      </c>
      <c r="S19"/>
      <c r="T19"/>
    </row>
    <row r="20" spans="1:20" ht="15" customHeight="1" x14ac:dyDescent="0.15">
      <c r="A20" s="126" t="s">
        <v>168</v>
      </c>
      <c r="B20" s="93"/>
      <c r="C20" s="81"/>
      <c r="D20" s="86" t="s">
        <v>160</v>
      </c>
      <c r="F20" s="201" t="s">
        <v>207</v>
      </c>
      <c r="G20" s="82">
        <v>0</v>
      </c>
      <c r="H20" s="82">
        <v>0</v>
      </c>
      <c r="I20" s="82">
        <v>0</v>
      </c>
      <c r="J20" s="82">
        <v>0</v>
      </c>
      <c r="K20" s="82">
        <v>1</v>
      </c>
      <c r="L20" s="82">
        <v>0</v>
      </c>
      <c r="M20" s="82">
        <v>1</v>
      </c>
      <c r="N20" s="82">
        <v>0</v>
      </c>
      <c r="O20" s="82">
        <v>1</v>
      </c>
      <c r="P20" s="72">
        <v>0</v>
      </c>
      <c r="Q20" s="82">
        <v>0</v>
      </c>
      <c r="R20" s="73">
        <v>1</v>
      </c>
      <c r="S20"/>
      <c r="T20"/>
    </row>
    <row r="21" spans="1:20" ht="15" customHeight="1" x14ac:dyDescent="0.15">
      <c r="B21" s="93"/>
      <c r="C21" s="81"/>
      <c r="D21" s="86" t="s">
        <v>160</v>
      </c>
      <c r="F21" s="201" t="s">
        <v>208</v>
      </c>
      <c r="G21" s="82">
        <v>0</v>
      </c>
      <c r="H21" s="82">
        <v>0</v>
      </c>
      <c r="I21" s="82">
        <v>0</v>
      </c>
      <c r="J21" s="82">
        <v>0</v>
      </c>
      <c r="K21" s="82">
        <v>1</v>
      </c>
      <c r="L21" s="82">
        <v>0</v>
      </c>
      <c r="M21" s="82">
        <v>1</v>
      </c>
      <c r="N21" s="82">
        <v>0</v>
      </c>
      <c r="O21" s="82">
        <v>1</v>
      </c>
      <c r="P21" s="72">
        <v>0</v>
      </c>
      <c r="Q21" s="82">
        <v>0</v>
      </c>
      <c r="R21" s="73">
        <v>1</v>
      </c>
      <c r="S21"/>
      <c r="T21"/>
    </row>
    <row r="22" spans="1:20" ht="15" customHeight="1" x14ac:dyDescent="0.15">
      <c r="A22" s="82"/>
      <c r="B22" s="93"/>
      <c r="C22" s="96"/>
      <c r="D22" s="86" t="s">
        <v>160</v>
      </c>
      <c r="F22" s="201" t="s">
        <v>209</v>
      </c>
      <c r="G22" s="82">
        <v>0</v>
      </c>
      <c r="H22" s="82">
        <v>0</v>
      </c>
      <c r="I22" s="82">
        <v>0</v>
      </c>
      <c r="J22" s="82">
        <v>0</v>
      </c>
      <c r="K22" s="82">
        <v>1</v>
      </c>
      <c r="L22" s="82">
        <v>0</v>
      </c>
      <c r="M22" s="82">
        <v>1</v>
      </c>
      <c r="N22" s="82">
        <v>0</v>
      </c>
      <c r="O22" s="82">
        <v>1</v>
      </c>
      <c r="P22" s="72">
        <v>0</v>
      </c>
      <c r="Q22" s="82">
        <v>0</v>
      </c>
      <c r="R22" s="73">
        <v>1</v>
      </c>
      <c r="S22"/>
      <c r="T22"/>
    </row>
    <row r="23" spans="1:20" ht="15" customHeight="1" x14ac:dyDescent="0.15">
      <c r="A23" s="82"/>
      <c r="B23" s="93"/>
      <c r="C23" s="97"/>
      <c r="D23" s="86" t="s">
        <v>160</v>
      </c>
      <c r="F23" s="201" t="s">
        <v>210</v>
      </c>
      <c r="G23" s="82">
        <v>0</v>
      </c>
      <c r="H23" s="82">
        <v>0</v>
      </c>
      <c r="I23" s="82">
        <v>0</v>
      </c>
      <c r="J23" s="82">
        <v>0</v>
      </c>
      <c r="K23" s="82">
        <v>1</v>
      </c>
      <c r="L23" s="82">
        <v>0</v>
      </c>
      <c r="M23" s="82">
        <v>1</v>
      </c>
      <c r="N23" s="82">
        <v>0</v>
      </c>
      <c r="O23" s="82">
        <v>1</v>
      </c>
      <c r="P23" s="72">
        <v>0</v>
      </c>
      <c r="Q23" s="82">
        <v>0</v>
      </c>
      <c r="R23" s="73">
        <v>1</v>
      </c>
      <c r="S23"/>
      <c r="T23"/>
    </row>
    <row r="24" spans="1:20" ht="15" customHeight="1" x14ac:dyDescent="0.15">
      <c r="A24" s="82"/>
      <c r="B24" s="93"/>
      <c r="C24" s="97"/>
      <c r="D24" s="86" t="s">
        <v>160</v>
      </c>
      <c r="F24" s="201" t="s">
        <v>211</v>
      </c>
      <c r="G24" s="82">
        <v>0</v>
      </c>
      <c r="H24" s="82">
        <v>0</v>
      </c>
      <c r="I24" s="82">
        <v>0</v>
      </c>
      <c r="J24" s="82">
        <v>0</v>
      </c>
      <c r="K24" s="82">
        <v>1</v>
      </c>
      <c r="L24" s="82">
        <v>0</v>
      </c>
      <c r="M24" s="82">
        <v>1</v>
      </c>
      <c r="N24" s="82">
        <v>0</v>
      </c>
      <c r="O24" s="82">
        <v>1</v>
      </c>
      <c r="P24" s="72">
        <v>0</v>
      </c>
      <c r="Q24" s="82">
        <v>0</v>
      </c>
      <c r="R24" s="73">
        <v>1</v>
      </c>
      <c r="S24"/>
      <c r="T24"/>
    </row>
    <row r="25" spans="1:20" ht="15" customHeight="1" x14ac:dyDescent="0.15">
      <c r="A25" s="82"/>
      <c r="B25" s="93"/>
      <c r="C25" s="81"/>
      <c r="D25" s="86" t="s">
        <v>160</v>
      </c>
      <c r="F25" s="201" t="s">
        <v>212</v>
      </c>
      <c r="G25" s="82">
        <v>0</v>
      </c>
      <c r="H25" s="82">
        <v>0</v>
      </c>
      <c r="I25" s="82">
        <v>0</v>
      </c>
      <c r="J25" s="82">
        <v>0</v>
      </c>
      <c r="K25" s="82">
        <v>1</v>
      </c>
      <c r="L25" s="82">
        <v>0</v>
      </c>
      <c r="M25" s="82">
        <v>1</v>
      </c>
      <c r="N25" s="82">
        <v>0</v>
      </c>
      <c r="O25" s="82">
        <v>1</v>
      </c>
      <c r="P25" s="72">
        <v>0</v>
      </c>
      <c r="Q25" s="82">
        <v>0</v>
      </c>
      <c r="R25" s="73">
        <v>1</v>
      </c>
      <c r="S25"/>
      <c r="T25"/>
    </row>
    <row r="26" spans="1:20" ht="15" customHeight="1" x14ac:dyDescent="0.15">
      <c r="B26" s="93"/>
      <c r="C26" s="81"/>
      <c r="D26" s="86" t="s">
        <v>160</v>
      </c>
      <c r="F26" s="201" t="s">
        <v>213</v>
      </c>
      <c r="G26" s="82">
        <v>0</v>
      </c>
      <c r="H26" s="82">
        <v>0</v>
      </c>
      <c r="I26" s="82">
        <v>0</v>
      </c>
      <c r="J26" s="82">
        <v>0</v>
      </c>
      <c r="K26" s="82">
        <v>1</v>
      </c>
      <c r="L26" s="82">
        <v>0</v>
      </c>
      <c r="M26" s="82">
        <v>1</v>
      </c>
      <c r="N26" s="82">
        <v>0</v>
      </c>
      <c r="O26" s="82">
        <v>1</v>
      </c>
      <c r="P26" s="72">
        <v>0</v>
      </c>
      <c r="Q26" s="82">
        <v>0</v>
      </c>
      <c r="R26" s="73">
        <v>1</v>
      </c>
      <c r="S26"/>
      <c r="T26"/>
    </row>
    <row r="27" spans="1:20" ht="15" customHeight="1" x14ac:dyDescent="0.15">
      <c r="B27" s="93"/>
      <c r="C27" s="81"/>
      <c r="D27" s="86" t="s">
        <v>160</v>
      </c>
      <c r="F27" s="201" t="s">
        <v>214</v>
      </c>
      <c r="G27" s="82">
        <v>0</v>
      </c>
      <c r="H27" s="82">
        <v>0</v>
      </c>
      <c r="I27" s="82">
        <v>0</v>
      </c>
      <c r="J27" s="82">
        <v>0</v>
      </c>
      <c r="K27" s="82">
        <v>1</v>
      </c>
      <c r="L27" s="82">
        <v>0</v>
      </c>
      <c r="M27" s="82">
        <v>1</v>
      </c>
      <c r="N27" s="82">
        <v>0</v>
      </c>
      <c r="O27" s="82">
        <v>1</v>
      </c>
      <c r="P27" s="72">
        <v>0</v>
      </c>
      <c r="Q27" s="82">
        <v>0</v>
      </c>
      <c r="R27" s="73">
        <v>1</v>
      </c>
      <c r="S27"/>
      <c r="T27"/>
    </row>
    <row r="28" spans="1:20" ht="15" customHeight="1" thickBot="1" x14ac:dyDescent="0.2">
      <c r="B28" s="92"/>
      <c r="C28" s="81"/>
      <c r="D28" s="86" t="s">
        <v>160</v>
      </c>
      <c r="F28" s="201" t="s">
        <v>215</v>
      </c>
      <c r="G28" s="82">
        <v>0</v>
      </c>
      <c r="H28" s="82">
        <v>0</v>
      </c>
      <c r="I28" s="82">
        <v>0</v>
      </c>
      <c r="J28" s="82">
        <v>0</v>
      </c>
      <c r="K28" s="82">
        <v>1</v>
      </c>
      <c r="L28" s="82">
        <v>0</v>
      </c>
      <c r="M28" s="82">
        <v>1</v>
      </c>
      <c r="N28" s="82">
        <v>0</v>
      </c>
      <c r="O28" s="82">
        <v>1</v>
      </c>
      <c r="P28" s="72">
        <v>0</v>
      </c>
      <c r="Q28" s="82">
        <v>0</v>
      </c>
      <c r="R28" s="73">
        <v>1</v>
      </c>
      <c r="S28"/>
      <c r="T28"/>
    </row>
    <row r="29" spans="1:20" ht="15" customHeight="1" x14ac:dyDescent="0.15">
      <c r="F29" s="201" t="s">
        <v>216</v>
      </c>
      <c r="G29" s="82">
        <v>0</v>
      </c>
      <c r="H29" s="82">
        <v>0</v>
      </c>
      <c r="I29" s="82">
        <v>0</v>
      </c>
      <c r="J29" s="82">
        <v>0</v>
      </c>
      <c r="K29" s="82">
        <v>1</v>
      </c>
      <c r="L29" s="82">
        <v>0</v>
      </c>
      <c r="M29" s="82">
        <v>1</v>
      </c>
      <c r="N29" s="82">
        <v>0</v>
      </c>
      <c r="O29" s="82">
        <v>1</v>
      </c>
      <c r="P29" s="72">
        <v>0</v>
      </c>
      <c r="Q29" s="82">
        <v>0</v>
      </c>
      <c r="R29" s="73">
        <v>1</v>
      </c>
      <c r="S29"/>
      <c r="T29"/>
    </row>
    <row r="30" spans="1:20" ht="15" customHeight="1" x14ac:dyDescent="0.15">
      <c r="F30" s="201" t="s">
        <v>217</v>
      </c>
      <c r="G30" s="82">
        <v>0</v>
      </c>
      <c r="H30" s="82">
        <v>0</v>
      </c>
      <c r="I30" s="82">
        <v>0</v>
      </c>
      <c r="J30" s="82">
        <v>0</v>
      </c>
      <c r="K30" s="82">
        <v>1</v>
      </c>
      <c r="L30" s="82">
        <v>0</v>
      </c>
      <c r="M30" s="82">
        <v>1</v>
      </c>
      <c r="N30" s="82">
        <v>0</v>
      </c>
      <c r="O30" s="82">
        <v>1</v>
      </c>
      <c r="P30" s="72">
        <v>0</v>
      </c>
      <c r="Q30" s="82">
        <v>0</v>
      </c>
      <c r="R30" s="73">
        <v>1</v>
      </c>
      <c r="S30"/>
      <c r="T30"/>
    </row>
    <row r="31" spans="1:20" ht="15" customHeight="1" x14ac:dyDescent="0.15">
      <c r="A31" s="127"/>
      <c r="B31" s="138" t="s">
        <v>17</v>
      </c>
      <c r="C31" s="138" t="s">
        <v>1</v>
      </c>
      <c r="D31" s="138" t="s">
        <v>161</v>
      </c>
      <c r="E31" s="139" t="s">
        <v>163</v>
      </c>
      <c r="F31" s="201" t="s">
        <v>218</v>
      </c>
      <c r="G31" s="82">
        <v>0</v>
      </c>
      <c r="H31" s="82">
        <v>0</v>
      </c>
      <c r="I31" s="82">
        <v>0</v>
      </c>
      <c r="J31" s="82">
        <v>0</v>
      </c>
      <c r="K31" s="82">
        <v>1</v>
      </c>
      <c r="L31" s="82">
        <v>0</v>
      </c>
      <c r="M31" s="82">
        <v>1</v>
      </c>
      <c r="N31" s="82">
        <v>0</v>
      </c>
      <c r="O31" s="82">
        <v>1</v>
      </c>
      <c r="P31" s="72">
        <v>0</v>
      </c>
      <c r="Q31" s="82">
        <v>0</v>
      </c>
      <c r="R31" s="73">
        <v>1</v>
      </c>
      <c r="S31"/>
      <c r="T31"/>
    </row>
    <row r="32" spans="1:20" ht="15" customHeight="1" x14ac:dyDescent="0.15">
      <c r="A32" s="204" t="s">
        <v>193</v>
      </c>
      <c r="B32" s="94">
        <v>15.606999999999999</v>
      </c>
      <c r="C32" s="94">
        <v>109</v>
      </c>
      <c r="D32" s="94">
        <v>1701.163</v>
      </c>
      <c r="E32" s="129">
        <v>1</v>
      </c>
      <c r="F32" s="201" t="s">
        <v>219</v>
      </c>
      <c r="G32" s="82">
        <v>0</v>
      </c>
      <c r="H32" s="82">
        <v>0</v>
      </c>
      <c r="I32" s="82">
        <v>0</v>
      </c>
      <c r="J32" s="82">
        <v>0</v>
      </c>
      <c r="K32" s="82">
        <v>1</v>
      </c>
      <c r="L32" s="82">
        <v>0</v>
      </c>
      <c r="M32" s="82">
        <v>1</v>
      </c>
      <c r="N32" s="82">
        <v>0</v>
      </c>
      <c r="O32" s="82">
        <v>1</v>
      </c>
      <c r="P32" s="72">
        <v>0</v>
      </c>
      <c r="Q32" s="82">
        <v>0</v>
      </c>
      <c r="R32" s="73">
        <v>1</v>
      </c>
      <c r="S32"/>
      <c r="T32"/>
    </row>
    <row r="33" spans="1:20" ht="15" customHeight="1" x14ac:dyDescent="0.15">
      <c r="A33" s="128"/>
      <c r="B33" s="94"/>
      <c r="C33" s="94"/>
      <c r="D33" s="94"/>
      <c r="E33" s="129"/>
      <c r="F33" s="201" t="s">
        <v>220</v>
      </c>
      <c r="G33" s="82">
        <v>0</v>
      </c>
      <c r="H33" s="82">
        <v>0</v>
      </c>
      <c r="I33" s="82">
        <v>0</v>
      </c>
      <c r="J33" s="82">
        <v>0</v>
      </c>
      <c r="K33" s="82">
        <v>1</v>
      </c>
      <c r="L33" s="82">
        <v>0</v>
      </c>
      <c r="M33" s="82">
        <v>1</v>
      </c>
      <c r="N33" s="82">
        <v>0</v>
      </c>
      <c r="O33" s="82">
        <v>1</v>
      </c>
      <c r="P33" s="72">
        <v>0</v>
      </c>
      <c r="Q33" s="82">
        <v>0</v>
      </c>
      <c r="R33" s="73">
        <v>1</v>
      </c>
      <c r="S33"/>
      <c r="T33"/>
    </row>
    <row r="34" spans="1:20" ht="15" customHeight="1" x14ac:dyDescent="0.15">
      <c r="A34" s="130"/>
      <c r="B34" s="94"/>
      <c r="C34" s="94"/>
      <c r="D34" s="94"/>
      <c r="E34" s="129"/>
      <c r="F34" s="201" t="s">
        <v>221</v>
      </c>
      <c r="G34" s="82">
        <v>0</v>
      </c>
      <c r="H34" s="82">
        <v>0</v>
      </c>
      <c r="I34" s="82">
        <v>0</v>
      </c>
      <c r="J34" s="82">
        <v>0</v>
      </c>
      <c r="K34" s="82">
        <v>1</v>
      </c>
      <c r="L34" s="82">
        <v>0</v>
      </c>
      <c r="M34" s="82">
        <v>1</v>
      </c>
      <c r="N34" s="82">
        <v>0</v>
      </c>
      <c r="O34" s="82">
        <v>1</v>
      </c>
      <c r="P34" s="72">
        <v>0</v>
      </c>
      <c r="Q34" s="82">
        <v>0</v>
      </c>
      <c r="R34" s="73">
        <v>1</v>
      </c>
      <c r="S34"/>
      <c r="T34"/>
    </row>
    <row r="35" spans="1:20" ht="15" customHeight="1" x14ac:dyDescent="0.15">
      <c r="A35" s="131"/>
      <c r="B35" s="94"/>
      <c r="C35" s="94"/>
      <c r="D35" s="94"/>
      <c r="E35" s="129"/>
      <c r="F35" s="201" t="s">
        <v>222</v>
      </c>
      <c r="G35" s="82">
        <v>0</v>
      </c>
      <c r="H35" s="82">
        <v>0</v>
      </c>
      <c r="I35" s="82">
        <v>0</v>
      </c>
      <c r="J35" s="82">
        <v>0</v>
      </c>
      <c r="K35" s="82">
        <v>1</v>
      </c>
      <c r="L35" s="82">
        <v>0</v>
      </c>
      <c r="M35" s="82">
        <v>1</v>
      </c>
      <c r="N35" s="82">
        <v>0</v>
      </c>
      <c r="O35" s="82">
        <v>1</v>
      </c>
      <c r="P35" s="72">
        <v>0</v>
      </c>
      <c r="Q35" s="82">
        <v>0</v>
      </c>
      <c r="R35" s="73">
        <v>1</v>
      </c>
      <c r="S35"/>
      <c r="T35"/>
    </row>
    <row r="36" spans="1:20" ht="15" customHeight="1" x14ac:dyDescent="0.15">
      <c r="A36" s="132"/>
      <c r="B36" s="94"/>
      <c r="C36" s="94"/>
      <c r="D36" s="94"/>
      <c r="E36" s="129"/>
      <c r="F36" s="201" t="s">
        <v>223</v>
      </c>
      <c r="G36" s="82">
        <v>0</v>
      </c>
      <c r="H36" s="82">
        <v>0</v>
      </c>
      <c r="I36" s="82">
        <v>0</v>
      </c>
      <c r="J36" s="82">
        <v>0</v>
      </c>
      <c r="K36" s="82">
        <v>1</v>
      </c>
      <c r="L36" s="82">
        <v>0</v>
      </c>
      <c r="M36" s="82">
        <v>1</v>
      </c>
      <c r="N36" s="82">
        <v>0</v>
      </c>
      <c r="O36" s="82">
        <v>1</v>
      </c>
      <c r="P36" s="72">
        <v>0</v>
      </c>
      <c r="Q36" s="82">
        <v>0</v>
      </c>
      <c r="R36" s="73">
        <v>1</v>
      </c>
      <c r="S36"/>
      <c r="T36"/>
    </row>
    <row r="37" spans="1:20" ht="15" customHeight="1" x14ac:dyDescent="0.15">
      <c r="A37" s="132"/>
      <c r="B37" s="94"/>
      <c r="C37" s="94"/>
      <c r="D37" s="94"/>
      <c r="E37" s="129"/>
      <c r="F37" s="201" t="s">
        <v>224</v>
      </c>
      <c r="G37" s="82">
        <v>0</v>
      </c>
      <c r="H37" s="82">
        <v>0</v>
      </c>
      <c r="I37" s="82">
        <v>0</v>
      </c>
      <c r="J37" s="82">
        <v>0</v>
      </c>
      <c r="K37" s="82">
        <v>1</v>
      </c>
      <c r="L37" s="82">
        <v>0</v>
      </c>
      <c r="M37" s="82">
        <v>1</v>
      </c>
      <c r="N37" s="82">
        <v>0</v>
      </c>
      <c r="O37" s="82">
        <v>1</v>
      </c>
      <c r="P37" s="72">
        <v>0</v>
      </c>
      <c r="Q37" s="82">
        <v>0</v>
      </c>
      <c r="R37" s="73">
        <v>1</v>
      </c>
      <c r="S37"/>
      <c r="T37"/>
    </row>
    <row r="38" spans="1:20" ht="15" customHeight="1" x14ac:dyDescent="0.15">
      <c r="A38" s="133"/>
      <c r="B38" s="94"/>
      <c r="C38" s="94"/>
      <c r="D38" s="94"/>
      <c r="E38" s="129"/>
      <c r="F38" s="201" t="s">
        <v>225</v>
      </c>
      <c r="G38" s="82">
        <v>0</v>
      </c>
      <c r="H38" s="82">
        <v>0</v>
      </c>
      <c r="I38" s="82">
        <v>0</v>
      </c>
      <c r="J38" s="82">
        <v>0</v>
      </c>
      <c r="K38" s="82">
        <v>1</v>
      </c>
      <c r="L38" s="82">
        <v>0</v>
      </c>
      <c r="M38" s="82">
        <v>1</v>
      </c>
      <c r="N38" s="82">
        <v>0</v>
      </c>
      <c r="O38" s="82">
        <v>1</v>
      </c>
      <c r="P38" s="72">
        <v>0</v>
      </c>
      <c r="Q38" s="82">
        <v>0</v>
      </c>
      <c r="R38" s="73">
        <v>1</v>
      </c>
      <c r="S38"/>
      <c r="T38"/>
    </row>
    <row r="39" spans="1:20" ht="15" customHeight="1" x14ac:dyDescent="0.15">
      <c r="A39" s="133"/>
      <c r="B39" s="94"/>
      <c r="C39" s="94"/>
      <c r="D39" s="94"/>
      <c r="E39" s="129"/>
      <c r="F39" s="201" t="s">
        <v>226</v>
      </c>
      <c r="G39" s="82">
        <v>0</v>
      </c>
      <c r="H39" s="82">
        <v>0</v>
      </c>
      <c r="I39" s="82">
        <v>0</v>
      </c>
      <c r="J39" s="82">
        <v>0</v>
      </c>
      <c r="K39" s="82">
        <v>1</v>
      </c>
      <c r="L39" s="82">
        <v>0</v>
      </c>
      <c r="M39" s="82">
        <v>1</v>
      </c>
      <c r="N39" s="82">
        <v>0</v>
      </c>
      <c r="O39" s="82">
        <v>1</v>
      </c>
      <c r="P39" s="72">
        <v>0</v>
      </c>
      <c r="Q39" s="82">
        <v>0</v>
      </c>
      <c r="R39" s="73">
        <v>1</v>
      </c>
      <c r="S39"/>
      <c r="T39"/>
    </row>
    <row r="40" spans="1:20" ht="15" customHeight="1" x14ac:dyDescent="0.15">
      <c r="A40" s="133"/>
      <c r="B40" s="94"/>
      <c r="C40" s="94"/>
      <c r="D40" s="94"/>
      <c r="E40" s="129"/>
      <c r="F40" s="201" t="s">
        <v>227</v>
      </c>
      <c r="G40" s="82">
        <v>0</v>
      </c>
      <c r="H40" s="82">
        <v>0</v>
      </c>
      <c r="I40" s="82">
        <v>0</v>
      </c>
      <c r="J40" s="82">
        <v>0</v>
      </c>
      <c r="K40" s="82">
        <v>1</v>
      </c>
      <c r="L40" s="82">
        <v>0</v>
      </c>
      <c r="M40" s="82">
        <v>1</v>
      </c>
      <c r="N40" s="82">
        <v>0</v>
      </c>
      <c r="O40" s="82">
        <v>1</v>
      </c>
      <c r="P40" s="72">
        <v>0</v>
      </c>
      <c r="Q40" s="82">
        <v>0</v>
      </c>
      <c r="R40" s="73">
        <v>1</v>
      </c>
      <c r="S40"/>
      <c r="T40"/>
    </row>
    <row r="41" spans="1:20" ht="15" customHeight="1" thickBot="1" x14ac:dyDescent="0.2">
      <c r="A41" s="133"/>
      <c r="B41" s="94"/>
      <c r="C41" s="94"/>
      <c r="D41" s="95"/>
      <c r="E41" s="134"/>
      <c r="F41" s="201" t="s">
        <v>228</v>
      </c>
      <c r="G41" s="82">
        <v>0</v>
      </c>
      <c r="H41" s="82">
        <v>0</v>
      </c>
      <c r="I41" s="82">
        <v>0</v>
      </c>
      <c r="J41" s="82">
        <v>0</v>
      </c>
      <c r="K41" s="82">
        <v>1</v>
      </c>
      <c r="L41" s="82">
        <v>0</v>
      </c>
      <c r="M41" s="82">
        <v>1</v>
      </c>
      <c r="N41" s="82">
        <v>0</v>
      </c>
      <c r="O41" s="82">
        <v>1</v>
      </c>
      <c r="P41" s="72">
        <v>0</v>
      </c>
      <c r="Q41" s="82">
        <v>0</v>
      </c>
      <c r="R41" s="73">
        <v>1</v>
      </c>
      <c r="S41"/>
      <c r="T41"/>
    </row>
    <row r="42" spans="1:20" ht="15" customHeight="1" x14ac:dyDescent="0.15">
      <c r="A42" s="135"/>
      <c r="B42" s="136"/>
      <c r="C42" s="136" t="s">
        <v>162</v>
      </c>
      <c r="D42" s="136">
        <f>SUM(D32:D41)</f>
        <v>1701.163</v>
      </c>
      <c r="E42" s="137">
        <f>SUM(E32:E41)</f>
        <v>1</v>
      </c>
      <c r="F42" s="201" t="s">
        <v>229</v>
      </c>
      <c r="G42" s="82">
        <v>0</v>
      </c>
      <c r="H42" s="82">
        <v>0</v>
      </c>
      <c r="I42" s="82">
        <v>0</v>
      </c>
      <c r="J42" s="82">
        <v>0</v>
      </c>
      <c r="K42" s="82">
        <v>1</v>
      </c>
      <c r="L42" s="82">
        <v>0</v>
      </c>
      <c r="M42" s="82">
        <v>1</v>
      </c>
      <c r="N42" s="82">
        <v>0</v>
      </c>
      <c r="O42" s="82">
        <v>1</v>
      </c>
      <c r="P42" s="72">
        <v>0</v>
      </c>
      <c r="Q42" s="82">
        <v>0</v>
      </c>
      <c r="R42" s="73">
        <v>1</v>
      </c>
      <c r="S42"/>
      <c r="T42"/>
    </row>
    <row r="43" spans="1:20" ht="15" customHeight="1" x14ac:dyDescent="0.15">
      <c r="A43" s="82"/>
      <c r="F43" s="201" t="s">
        <v>230</v>
      </c>
      <c r="G43" s="82">
        <v>0</v>
      </c>
      <c r="H43" s="82">
        <v>0</v>
      </c>
      <c r="I43" s="82">
        <v>0</v>
      </c>
      <c r="J43" s="82">
        <v>0</v>
      </c>
      <c r="K43" s="82">
        <v>1</v>
      </c>
      <c r="L43" s="82">
        <v>0</v>
      </c>
      <c r="M43" s="82">
        <v>1</v>
      </c>
      <c r="N43" s="82">
        <v>0</v>
      </c>
      <c r="O43" s="82">
        <v>1</v>
      </c>
      <c r="P43" s="72">
        <v>0</v>
      </c>
      <c r="Q43" s="82">
        <v>0</v>
      </c>
      <c r="R43" s="73">
        <v>1</v>
      </c>
      <c r="S43"/>
      <c r="T43"/>
    </row>
    <row r="44" spans="1:20" ht="15" customHeight="1" x14ac:dyDescent="0.15">
      <c r="A44" s="82"/>
      <c r="F44" s="201" t="s">
        <v>231</v>
      </c>
      <c r="G44" s="82">
        <v>0</v>
      </c>
      <c r="H44" s="82">
        <v>0</v>
      </c>
      <c r="I44" s="82">
        <v>0</v>
      </c>
      <c r="J44" s="82">
        <v>0</v>
      </c>
      <c r="K44" s="82">
        <v>1</v>
      </c>
      <c r="L44" s="82">
        <v>0</v>
      </c>
      <c r="M44" s="82">
        <v>1</v>
      </c>
      <c r="N44" s="82">
        <v>0</v>
      </c>
      <c r="O44" s="82">
        <v>1</v>
      </c>
      <c r="P44" s="72">
        <v>0</v>
      </c>
      <c r="Q44" s="82">
        <v>0</v>
      </c>
      <c r="R44" s="73">
        <v>1</v>
      </c>
    </row>
    <row r="45" spans="1:20" ht="15" customHeight="1" x14ac:dyDescent="0.15">
      <c r="A45" s="82"/>
      <c r="F45" s="201" t="s">
        <v>232</v>
      </c>
      <c r="G45" s="82">
        <v>0</v>
      </c>
      <c r="H45" s="82">
        <v>0</v>
      </c>
      <c r="I45" s="82">
        <v>0</v>
      </c>
      <c r="J45" s="82">
        <v>0</v>
      </c>
      <c r="K45" s="82">
        <v>1</v>
      </c>
      <c r="L45" s="82">
        <v>0</v>
      </c>
      <c r="M45" s="82">
        <v>1</v>
      </c>
      <c r="N45" s="82">
        <v>0</v>
      </c>
      <c r="O45" s="82">
        <v>1</v>
      </c>
      <c r="P45" s="72">
        <v>0</v>
      </c>
      <c r="Q45" s="82">
        <v>0</v>
      </c>
      <c r="R45" s="73">
        <v>1</v>
      </c>
    </row>
    <row r="46" spans="1:20" ht="15" customHeight="1" x14ac:dyDescent="0.15">
      <c r="A46" s="82"/>
      <c r="F46" s="201" t="s">
        <v>233</v>
      </c>
      <c r="G46" s="82">
        <v>0</v>
      </c>
      <c r="H46" s="82">
        <v>0</v>
      </c>
      <c r="I46" s="82">
        <v>0</v>
      </c>
      <c r="J46" s="82">
        <v>0</v>
      </c>
      <c r="K46" s="82">
        <v>1</v>
      </c>
      <c r="L46" s="82">
        <v>0</v>
      </c>
      <c r="M46" s="82">
        <v>1</v>
      </c>
      <c r="N46" s="82">
        <v>0</v>
      </c>
      <c r="O46" s="82">
        <v>1</v>
      </c>
      <c r="P46" s="72">
        <v>0</v>
      </c>
      <c r="Q46" s="82">
        <v>0</v>
      </c>
      <c r="R46" s="73">
        <v>1</v>
      </c>
    </row>
    <row r="47" spans="1:20" ht="15" customHeight="1" x14ac:dyDescent="0.15">
      <c r="A47" s="82"/>
      <c r="F47" s="201" t="s">
        <v>234</v>
      </c>
      <c r="G47" s="82">
        <v>0</v>
      </c>
      <c r="H47" s="82">
        <v>0</v>
      </c>
      <c r="I47" s="82">
        <v>0</v>
      </c>
      <c r="J47" s="82">
        <v>0</v>
      </c>
      <c r="K47" s="82">
        <v>0</v>
      </c>
      <c r="L47" s="82">
        <v>1</v>
      </c>
      <c r="M47" s="82">
        <v>0</v>
      </c>
      <c r="N47" s="82">
        <v>1</v>
      </c>
      <c r="O47" s="82">
        <v>0</v>
      </c>
      <c r="P47" s="72">
        <v>1</v>
      </c>
      <c r="Q47" s="82">
        <v>0</v>
      </c>
      <c r="R47" s="73">
        <v>1</v>
      </c>
    </row>
    <row r="48" spans="1:20" ht="15" customHeight="1" x14ac:dyDescent="0.15">
      <c r="A48" s="82"/>
      <c r="F48" s="201" t="s">
        <v>235</v>
      </c>
      <c r="G48" s="82">
        <v>0</v>
      </c>
      <c r="H48" s="82">
        <v>0</v>
      </c>
      <c r="I48" s="82">
        <v>0</v>
      </c>
      <c r="J48" s="82">
        <v>0</v>
      </c>
      <c r="K48" s="82">
        <v>0</v>
      </c>
      <c r="L48" s="82">
        <v>1</v>
      </c>
      <c r="M48" s="82">
        <v>0</v>
      </c>
      <c r="N48" s="82">
        <v>1</v>
      </c>
      <c r="O48" s="82">
        <v>0</v>
      </c>
      <c r="P48" s="72">
        <v>1</v>
      </c>
      <c r="Q48" s="82">
        <v>0</v>
      </c>
      <c r="R48" s="73">
        <v>1</v>
      </c>
    </row>
    <row r="49" spans="6:18" s="82" customFormat="1" ht="15" customHeight="1" x14ac:dyDescent="0.15">
      <c r="F49" s="201" t="s">
        <v>236</v>
      </c>
      <c r="G49" s="82">
        <v>0</v>
      </c>
      <c r="H49" s="82">
        <v>0</v>
      </c>
      <c r="I49" s="82">
        <v>0</v>
      </c>
      <c r="J49" s="82">
        <v>0</v>
      </c>
      <c r="K49" s="82">
        <v>0</v>
      </c>
      <c r="L49" s="82">
        <v>1</v>
      </c>
      <c r="M49" s="82">
        <v>0</v>
      </c>
      <c r="N49" s="82">
        <v>0</v>
      </c>
      <c r="O49" s="82">
        <v>0</v>
      </c>
      <c r="P49" s="72">
        <v>0</v>
      </c>
      <c r="Q49" s="82">
        <v>0</v>
      </c>
      <c r="R49" s="73">
        <v>1</v>
      </c>
    </row>
    <row r="50" spans="6:18" s="82" customFormat="1" ht="15" customHeight="1" x14ac:dyDescent="0.15">
      <c r="F50" s="201" t="s">
        <v>237</v>
      </c>
      <c r="G50" s="82">
        <v>0</v>
      </c>
      <c r="H50" s="82">
        <v>0</v>
      </c>
      <c r="I50" s="82">
        <v>0</v>
      </c>
      <c r="J50" s="82">
        <v>0</v>
      </c>
      <c r="K50" s="82">
        <v>0</v>
      </c>
      <c r="L50" s="82">
        <v>1</v>
      </c>
      <c r="M50" s="82">
        <v>0</v>
      </c>
      <c r="N50" s="82">
        <v>0</v>
      </c>
      <c r="O50" s="82">
        <v>0</v>
      </c>
      <c r="P50" s="72">
        <v>0</v>
      </c>
      <c r="Q50" s="82">
        <v>0</v>
      </c>
      <c r="R50" s="73">
        <v>1</v>
      </c>
    </row>
    <row r="51" spans="6:18" s="82" customFormat="1" ht="15" customHeight="1" x14ac:dyDescent="0.15">
      <c r="F51" s="201" t="s">
        <v>238</v>
      </c>
      <c r="G51" s="82">
        <v>0</v>
      </c>
      <c r="H51" s="82">
        <v>0</v>
      </c>
      <c r="I51" s="82">
        <v>0</v>
      </c>
      <c r="J51" s="82">
        <v>0</v>
      </c>
      <c r="K51" s="82">
        <v>0</v>
      </c>
      <c r="L51" s="82">
        <v>1</v>
      </c>
      <c r="M51" s="82">
        <v>0</v>
      </c>
      <c r="N51" s="82">
        <v>0</v>
      </c>
      <c r="O51" s="82">
        <v>0</v>
      </c>
      <c r="P51" s="72">
        <v>0</v>
      </c>
      <c r="Q51" s="82">
        <v>0</v>
      </c>
      <c r="R51" s="73">
        <v>1</v>
      </c>
    </row>
    <row r="52" spans="6:18" s="82" customFormat="1" ht="15" customHeight="1" x14ac:dyDescent="0.15">
      <c r="F52" s="201" t="s">
        <v>239</v>
      </c>
      <c r="G52" s="82">
        <v>0</v>
      </c>
      <c r="H52" s="82">
        <v>0</v>
      </c>
      <c r="I52" s="82">
        <v>0</v>
      </c>
      <c r="J52" s="82">
        <v>0</v>
      </c>
      <c r="K52" s="82">
        <v>0</v>
      </c>
      <c r="L52" s="82">
        <v>1</v>
      </c>
      <c r="M52" s="82">
        <v>0</v>
      </c>
      <c r="N52" s="82">
        <v>0</v>
      </c>
      <c r="O52" s="82">
        <v>0</v>
      </c>
      <c r="P52" s="72">
        <v>0</v>
      </c>
      <c r="Q52" s="82">
        <v>0</v>
      </c>
      <c r="R52" s="73">
        <v>1</v>
      </c>
    </row>
    <row r="53" spans="6:18" s="82" customFormat="1" ht="15" customHeight="1" x14ac:dyDescent="0.15">
      <c r="F53" s="201" t="s">
        <v>240</v>
      </c>
      <c r="G53" s="82">
        <v>0</v>
      </c>
      <c r="H53" s="82">
        <v>0</v>
      </c>
      <c r="I53" s="82">
        <v>0</v>
      </c>
      <c r="J53" s="82">
        <v>0</v>
      </c>
      <c r="K53" s="82">
        <v>0</v>
      </c>
      <c r="L53" s="82">
        <v>1</v>
      </c>
      <c r="M53" s="82">
        <v>0</v>
      </c>
      <c r="N53" s="82">
        <v>0</v>
      </c>
      <c r="O53" s="82">
        <v>0</v>
      </c>
      <c r="P53" s="72">
        <v>0</v>
      </c>
      <c r="Q53" s="82">
        <v>0</v>
      </c>
      <c r="R53" s="73">
        <v>1</v>
      </c>
    </row>
    <row r="54" spans="6:18" s="82" customFormat="1" ht="15" customHeight="1" x14ac:dyDescent="0.15">
      <c r="F54" s="201" t="s">
        <v>241</v>
      </c>
      <c r="G54" s="82">
        <v>0</v>
      </c>
      <c r="H54" s="82">
        <v>0</v>
      </c>
      <c r="I54" s="82">
        <v>0</v>
      </c>
      <c r="J54" s="82">
        <v>0</v>
      </c>
      <c r="K54" s="82">
        <v>0</v>
      </c>
      <c r="L54" s="82">
        <v>1</v>
      </c>
      <c r="M54" s="82">
        <v>0</v>
      </c>
      <c r="N54" s="82">
        <v>0</v>
      </c>
      <c r="O54" s="82">
        <v>0</v>
      </c>
      <c r="P54" s="72">
        <v>0</v>
      </c>
      <c r="Q54" s="82">
        <v>0</v>
      </c>
      <c r="R54" s="73">
        <v>1</v>
      </c>
    </row>
    <row r="55" spans="6:18" s="82" customFormat="1" ht="15" customHeight="1" x14ac:dyDescent="0.15">
      <c r="F55"/>
      <c r="G55"/>
      <c r="H55"/>
      <c r="I55"/>
      <c r="J55"/>
      <c r="K55"/>
      <c r="L55"/>
      <c r="M55"/>
      <c r="N55"/>
      <c r="O55"/>
      <c r="P55"/>
      <c r="Q55"/>
      <c r="R55"/>
    </row>
    <row r="56" spans="6:18" s="82" customFormat="1" ht="15" customHeight="1" x14ac:dyDescent="0.15">
      <c r="F56"/>
      <c r="G56"/>
      <c r="H56"/>
      <c r="I56"/>
      <c r="J56"/>
      <c r="K56"/>
      <c r="L56"/>
      <c r="M56"/>
      <c r="N56"/>
      <c r="O56"/>
      <c r="P56"/>
      <c r="Q56"/>
      <c r="R56"/>
    </row>
    <row r="57" spans="6:18" s="82" customFormat="1" ht="15" customHeight="1" x14ac:dyDescent="0.15">
      <c r="F57"/>
      <c r="G57"/>
      <c r="H57"/>
      <c r="I57"/>
      <c r="J57"/>
      <c r="K57"/>
      <c r="L57"/>
      <c r="M57"/>
      <c r="N57"/>
      <c r="O57"/>
      <c r="P57"/>
      <c r="Q57"/>
      <c r="R57"/>
    </row>
    <row r="58" spans="6:18" s="82" customFormat="1" ht="15" customHeight="1" x14ac:dyDescent="0.15">
      <c r="F58"/>
      <c r="G58"/>
      <c r="H58"/>
      <c r="I58"/>
      <c r="J58"/>
      <c r="K58"/>
      <c r="L58"/>
      <c r="M58"/>
      <c r="N58"/>
      <c r="O58"/>
      <c r="P58"/>
      <c r="Q58"/>
      <c r="R58"/>
    </row>
    <row r="59" spans="6:18" s="82" customFormat="1" ht="15" customHeight="1" x14ac:dyDescent="0.15">
      <c r="F59"/>
      <c r="G59"/>
      <c r="H59"/>
      <c r="I59"/>
      <c r="J59"/>
      <c r="K59"/>
      <c r="L59"/>
      <c r="M59"/>
      <c r="N59"/>
      <c r="O59"/>
      <c r="P59"/>
      <c r="Q59"/>
      <c r="R59"/>
    </row>
    <row r="60" spans="6:18" s="82" customFormat="1" ht="15" customHeight="1" x14ac:dyDescent="0.15">
      <c r="F60"/>
      <c r="G60"/>
      <c r="H60"/>
      <c r="I60"/>
      <c r="J60"/>
      <c r="K60"/>
      <c r="L60"/>
      <c r="M60"/>
      <c r="N60"/>
      <c r="O60"/>
      <c r="P60"/>
      <c r="Q60"/>
      <c r="R60"/>
    </row>
    <row r="61" spans="6:18" s="82" customFormat="1" ht="15" customHeight="1" x14ac:dyDescent="0.15">
      <c r="F61"/>
      <c r="G61"/>
      <c r="H61"/>
      <c r="I61"/>
      <c r="J61"/>
      <c r="K61"/>
      <c r="L61"/>
      <c r="M61"/>
      <c r="N61"/>
      <c r="O61"/>
      <c r="P61"/>
      <c r="Q61"/>
      <c r="R61"/>
    </row>
    <row r="62" spans="6:18" s="82" customFormat="1" ht="15" customHeight="1" x14ac:dyDescent="0.15">
      <c r="F62"/>
      <c r="G62"/>
      <c r="H62"/>
      <c r="I62"/>
      <c r="J62"/>
      <c r="K62"/>
      <c r="L62"/>
      <c r="M62"/>
      <c r="N62"/>
      <c r="O62"/>
      <c r="P62"/>
      <c r="Q62"/>
      <c r="R62"/>
    </row>
    <row r="63" spans="6:18" s="82" customFormat="1" ht="15" customHeight="1" x14ac:dyDescent="0.15">
      <c r="F63"/>
      <c r="G63"/>
      <c r="H63"/>
      <c r="I63"/>
      <c r="J63"/>
      <c r="K63"/>
      <c r="L63"/>
      <c r="M63"/>
      <c r="N63"/>
      <c r="O63"/>
      <c r="P63"/>
      <c r="Q63"/>
      <c r="R63"/>
    </row>
    <row r="64" spans="6:18" s="82"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2"/>
      <c r="F76"/>
      <c r="G76"/>
      <c r="H76"/>
      <c r="I76"/>
      <c r="J76"/>
      <c r="K76"/>
      <c r="L76"/>
      <c r="M76"/>
      <c r="N76"/>
      <c r="O76"/>
      <c r="P76"/>
      <c r="Q76"/>
      <c r="R76"/>
    </row>
    <row r="77" spans="1:18" ht="15" customHeight="1" x14ac:dyDescent="0.15">
      <c r="A77" s="82"/>
      <c r="F77"/>
      <c r="G77"/>
      <c r="H77"/>
      <c r="I77"/>
      <c r="J77"/>
      <c r="K77"/>
      <c r="L77"/>
      <c r="M77"/>
      <c r="N77"/>
      <c r="O77"/>
      <c r="P77"/>
      <c r="Q77"/>
      <c r="R77"/>
    </row>
    <row r="78" spans="1:18" ht="15" customHeight="1" x14ac:dyDescent="0.15">
      <c r="A78" s="82"/>
      <c r="F78"/>
      <c r="G78"/>
      <c r="H78"/>
      <c r="I78"/>
      <c r="J78"/>
      <c r="K78"/>
      <c r="L78"/>
      <c r="M78"/>
      <c r="N78"/>
      <c r="O78"/>
      <c r="P78"/>
      <c r="Q78"/>
      <c r="R78"/>
    </row>
    <row r="79" spans="1:18" ht="15" customHeight="1" x14ac:dyDescent="0.15">
      <c r="A79" s="82"/>
      <c r="F79"/>
      <c r="G79"/>
      <c r="H79"/>
      <c r="I79"/>
      <c r="J79"/>
      <c r="K79"/>
      <c r="L79"/>
      <c r="M79"/>
      <c r="N79"/>
      <c r="O79"/>
      <c r="P79"/>
      <c r="Q79"/>
      <c r="R79"/>
    </row>
    <row r="80" spans="1:18" ht="15" customHeight="1" x14ac:dyDescent="0.15">
      <c r="A80" s="82"/>
      <c r="F80"/>
      <c r="G80"/>
      <c r="H80"/>
      <c r="I80"/>
      <c r="J80"/>
      <c r="K80"/>
      <c r="L80"/>
      <c r="M80"/>
      <c r="N80"/>
      <c r="O80"/>
      <c r="P80"/>
      <c r="Q80"/>
      <c r="R80"/>
    </row>
    <row r="81" spans="1:18" ht="15" customHeight="1" x14ac:dyDescent="0.15">
      <c r="A81" s="82"/>
      <c r="F81"/>
      <c r="G81"/>
      <c r="H81"/>
      <c r="I81"/>
      <c r="J81"/>
      <c r="K81"/>
      <c r="L81"/>
      <c r="M81"/>
      <c r="N81"/>
      <c r="O81"/>
      <c r="P81"/>
      <c r="Q81"/>
      <c r="R81"/>
    </row>
    <row r="82" spans="1:18" ht="15" customHeight="1" x14ac:dyDescent="0.15">
      <c r="A82" s="82"/>
      <c r="F82"/>
      <c r="G82"/>
      <c r="H82"/>
      <c r="I82"/>
      <c r="J82"/>
      <c r="K82"/>
      <c r="L82"/>
      <c r="M82"/>
      <c r="N82"/>
      <c r="O82"/>
      <c r="P82"/>
      <c r="Q82"/>
      <c r="R82"/>
    </row>
    <row r="83" spans="1:18" ht="15" customHeight="1" x14ac:dyDescent="0.15">
      <c r="A83" s="82"/>
      <c r="F83"/>
      <c r="G83"/>
      <c r="H83"/>
      <c r="I83"/>
      <c r="J83"/>
      <c r="K83"/>
      <c r="L83"/>
      <c r="M83"/>
      <c r="N83"/>
      <c r="O83"/>
      <c r="P83"/>
      <c r="Q83"/>
      <c r="R83"/>
    </row>
    <row r="84" spans="1:18" ht="15" customHeight="1" x14ac:dyDescent="0.15">
      <c r="A84" s="82"/>
      <c r="F84"/>
      <c r="G84"/>
      <c r="H84"/>
      <c r="I84"/>
      <c r="J84"/>
      <c r="K84"/>
      <c r="L84"/>
      <c r="M84"/>
      <c r="N84"/>
      <c r="O84"/>
      <c r="P84"/>
      <c r="Q84"/>
      <c r="R84"/>
    </row>
    <row r="85" spans="1:18" ht="15" customHeight="1" x14ac:dyDescent="0.15">
      <c r="A85" s="82"/>
      <c r="F85"/>
      <c r="G85"/>
      <c r="H85"/>
      <c r="I85"/>
      <c r="J85"/>
      <c r="K85"/>
      <c r="L85"/>
      <c r="M85"/>
      <c r="N85"/>
      <c r="O85"/>
      <c r="P85"/>
      <c r="Q85"/>
      <c r="R85"/>
    </row>
    <row r="86" spans="1:18" ht="15" customHeight="1" x14ac:dyDescent="0.15">
      <c r="A86" s="82"/>
      <c r="F86"/>
      <c r="G86"/>
      <c r="H86"/>
      <c r="I86"/>
      <c r="J86"/>
      <c r="K86"/>
      <c r="L86"/>
      <c r="M86"/>
      <c r="N86"/>
      <c r="O86"/>
      <c r="P86"/>
      <c r="Q86"/>
      <c r="R86"/>
    </row>
    <row r="87" spans="1:18" ht="15" customHeight="1" x14ac:dyDescent="0.15">
      <c r="A87" s="82"/>
      <c r="F87"/>
      <c r="G87"/>
      <c r="H87"/>
      <c r="I87"/>
      <c r="J87"/>
      <c r="K87"/>
      <c r="L87"/>
      <c r="M87"/>
      <c r="N87"/>
      <c r="O87"/>
      <c r="P87"/>
      <c r="Q87"/>
      <c r="R87"/>
    </row>
    <row r="88" spans="1:18" ht="15" customHeight="1" x14ac:dyDescent="0.15">
      <c r="A88" s="82"/>
      <c r="F88"/>
      <c r="G88"/>
      <c r="H88"/>
      <c r="I88"/>
      <c r="J88"/>
      <c r="K88"/>
      <c r="L88"/>
      <c r="M88"/>
      <c r="N88"/>
      <c r="O88"/>
      <c r="P88"/>
      <c r="Q88"/>
      <c r="R88"/>
    </row>
    <row r="89" spans="1:18" ht="15" customHeight="1" x14ac:dyDescent="0.15">
      <c r="A89" s="82"/>
      <c r="F89"/>
      <c r="G89"/>
      <c r="H89"/>
      <c r="I89"/>
      <c r="J89"/>
      <c r="K89"/>
      <c r="L89"/>
      <c r="M89"/>
      <c r="N89"/>
      <c r="O89"/>
      <c r="P89"/>
      <c r="Q89"/>
      <c r="R89"/>
    </row>
    <row r="90" spans="1:18" ht="15" customHeight="1" x14ac:dyDescent="0.15">
      <c r="A90" s="82"/>
      <c r="F90"/>
      <c r="G90"/>
      <c r="H90"/>
      <c r="I90"/>
      <c r="J90"/>
      <c r="K90"/>
      <c r="L90"/>
      <c r="M90"/>
      <c r="N90"/>
      <c r="O90"/>
      <c r="P90"/>
      <c r="Q90"/>
      <c r="R90"/>
    </row>
    <row r="91" spans="1:18" ht="15" customHeight="1" x14ac:dyDescent="0.15">
      <c r="A91" s="82"/>
      <c r="F91"/>
      <c r="G91"/>
      <c r="H91"/>
      <c r="I91"/>
      <c r="J91"/>
      <c r="K91"/>
      <c r="L91"/>
      <c r="M91"/>
      <c r="N91"/>
      <c r="O91"/>
      <c r="P91"/>
      <c r="Q91"/>
      <c r="R91"/>
    </row>
    <row r="92" spans="1:18" ht="15" customHeight="1" x14ac:dyDescent="0.15">
      <c r="A92" s="82"/>
      <c r="F92"/>
      <c r="G92"/>
      <c r="H92"/>
      <c r="I92"/>
      <c r="J92"/>
      <c r="K92"/>
      <c r="L92"/>
      <c r="M92"/>
      <c r="N92"/>
      <c r="O92"/>
      <c r="P92"/>
      <c r="Q92"/>
      <c r="R92"/>
    </row>
    <row r="93" spans="1:18" ht="15" customHeight="1" x14ac:dyDescent="0.15">
      <c r="A93" s="82"/>
      <c r="F93"/>
      <c r="G93"/>
      <c r="H93"/>
      <c r="I93"/>
      <c r="J93"/>
      <c r="K93"/>
      <c r="L93"/>
      <c r="M93"/>
      <c r="N93"/>
      <c r="O93"/>
      <c r="P93"/>
      <c r="Q93"/>
      <c r="R93"/>
    </row>
    <row r="94" spans="1:18" ht="15" customHeight="1" x14ac:dyDescent="0.15">
      <c r="A94" s="82"/>
      <c r="F94"/>
      <c r="G94"/>
      <c r="H94"/>
      <c r="I94"/>
      <c r="J94"/>
      <c r="K94"/>
      <c r="L94"/>
      <c r="M94"/>
      <c r="N94"/>
      <c r="O94"/>
      <c r="P94"/>
      <c r="Q94"/>
      <c r="R94"/>
    </row>
    <row r="95" spans="1:18" ht="15" customHeight="1" x14ac:dyDescent="0.15">
      <c r="A95" s="82"/>
      <c r="F95"/>
      <c r="G95"/>
      <c r="H95"/>
      <c r="I95"/>
      <c r="J95"/>
      <c r="K95"/>
      <c r="L95"/>
      <c r="M95"/>
      <c r="N95"/>
      <c r="O95"/>
      <c r="P95"/>
      <c r="Q95"/>
      <c r="R95"/>
    </row>
    <row r="96" spans="1:18" ht="15" customHeight="1" x14ac:dyDescent="0.15">
      <c r="A96" s="82"/>
      <c r="F96"/>
      <c r="G96"/>
      <c r="H96"/>
      <c r="I96"/>
      <c r="J96"/>
      <c r="K96"/>
      <c r="L96"/>
      <c r="M96"/>
      <c r="N96"/>
      <c r="O96"/>
      <c r="P96"/>
      <c r="Q96"/>
      <c r="R96"/>
    </row>
    <row r="97" spans="1:18" ht="15" customHeight="1" x14ac:dyDescent="0.15">
      <c r="A97" s="82"/>
      <c r="F97"/>
      <c r="G97"/>
      <c r="H97"/>
      <c r="I97"/>
      <c r="J97"/>
      <c r="K97"/>
      <c r="L97"/>
      <c r="M97"/>
      <c r="N97"/>
      <c r="O97"/>
      <c r="P97"/>
      <c r="Q97"/>
      <c r="R97"/>
    </row>
    <row r="98" spans="1:18" ht="15" customHeight="1" x14ac:dyDescent="0.15">
      <c r="A98" s="82"/>
      <c r="F98"/>
      <c r="G98"/>
      <c r="H98"/>
      <c r="I98"/>
      <c r="J98"/>
      <c r="K98"/>
      <c r="L98"/>
      <c r="M98"/>
      <c r="N98"/>
      <c r="O98"/>
      <c r="P98"/>
      <c r="Q98"/>
      <c r="R98"/>
    </row>
    <row r="99" spans="1:18" ht="15" customHeight="1" x14ac:dyDescent="0.15">
      <c r="A99" s="82"/>
      <c r="F99"/>
      <c r="G99"/>
      <c r="H99"/>
      <c r="I99"/>
      <c r="J99"/>
      <c r="K99"/>
      <c r="L99"/>
      <c r="M99"/>
      <c r="N99"/>
      <c r="O99"/>
      <c r="P99"/>
      <c r="Q99"/>
      <c r="R99"/>
    </row>
    <row r="100" spans="1:18" ht="15" customHeight="1" x14ac:dyDescent="0.15">
      <c r="A100" s="82"/>
      <c r="F100"/>
      <c r="G100"/>
      <c r="H100"/>
      <c r="I100"/>
      <c r="J100"/>
      <c r="K100"/>
      <c r="L100"/>
      <c r="M100"/>
      <c r="N100"/>
      <c r="O100"/>
      <c r="P100"/>
      <c r="Q100"/>
      <c r="R100"/>
    </row>
    <row r="101" spans="1:18" ht="15" customHeight="1" x14ac:dyDescent="0.15">
      <c r="A101" s="82"/>
      <c r="F101"/>
      <c r="G101"/>
      <c r="H101"/>
      <c r="I101"/>
      <c r="J101"/>
      <c r="K101"/>
      <c r="L101"/>
      <c r="M101"/>
      <c r="N101"/>
      <c r="O101"/>
      <c r="P101"/>
      <c r="Q101"/>
      <c r="R101"/>
    </row>
    <row r="102" spans="1:18" ht="15" customHeight="1" x14ac:dyDescent="0.15">
      <c r="A102" s="82"/>
      <c r="F102"/>
      <c r="G102"/>
      <c r="H102"/>
      <c r="I102"/>
      <c r="J102"/>
      <c r="K102"/>
      <c r="L102"/>
      <c r="M102"/>
      <c r="N102"/>
      <c r="O102"/>
      <c r="P102"/>
      <c r="Q102"/>
      <c r="R102"/>
    </row>
    <row r="103" spans="1:18" ht="15" customHeight="1" x14ac:dyDescent="0.15">
      <c r="A103" s="82"/>
      <c r="F103"/>
      <c r="G103"/>
      <c r="H103"/>
      <c r="I103"/>
      <c r="J103"/>
      <c r="K103"/>
      <c r="L103"/>
      <c r="M103"/>
      <c r="N103"/>
      <c r="O103"/>
      <c r="P103"/>
      <c r="Q103"/>
      <c r="R103"/>
    </row>
    <row r="104" spans="1:18" ht="15" customHeight="1" x14ac:dyDescent="0.15">
      <c r="A104" s="82"/>
      <c r="F104"/>
      <c r="G104"/>
      <c r="H104"/>
      <c r="I104"/>
      <c r="J104"/>
      <c r="K104"/>
      <c r="L104"/>
      <c r="M104"/>
      <c r="N104"/>
      <c r="O104"/>
      <c r="P104"/>
      <c r="Q104"/>
      <c r="R104"/>
    </row>
    <row r="105" spans="1:18" ht="15" customHeight="1" x14ac:dyDescent="0.15">
      <c r="A105" s="82"/>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2" customFormat="1" ht="15" customHeight="1" x14ac:dyDescent="0.15">
      <c r="F113"/>
      <c r="G113"/>
      <c r="H113"/>
      <c r="I113"/>
      <c r="J113"/>
      <c r="K113"/>
      <c r="L113"/>
      <c r="M113"/>
      <c r="N113"/>
      <c r="O113"/>
      <c r="P113"/>
      <c r="Q113"/>
      <c r="R113"/>
    </row>
    <row r="114" spans="6:18" s="82" customFormat="1" ht="15" customHeight="1" x14ac:dyDescent="0.15">
      <c r="F114"/>
      <c r="G114"/>
      <c r="H114"/>
      <c r="I114"/>
      <c r="J114"/>
      <c r="K114"/>
      <c r="L114"/>
      <c r="M114"/>
      <c r="N114"/>
      <c r="O114"/>
      <c r="P114"/>
      <c r="Q114"/>
      <c r="R114"/>
    </row>
    <row r="115" spans="6:18" s="82" customFormat="1" ht="15" customHeight="1" x14ac:dyDescent="0.15">
      <c r="F115"/>
      <c r="G115"/>
      <c r="H115"/>
      <c r="I115"/>
      <c r="J115"/>
      <c r="K115"/>
      <c r="L115"/>
      <c r="M115"/>
      <c r="N115"/>
      <c r="O115"/>
      <c r="P115"/>
      <c r="Q115"/>
      <c r="R115"/>
    </row>
    <row r="116" spans="6:18" s="82" customFormat="1" ht="15" customHeight="1" x14ac:dyDescent="0.15">
      <c r="F116"/>
      <c r="G116"/>
      <c r="H116"/>
      <c r="I116"/>
      <c r="J116"/>
      <c r="K116"/>
      <c r="L116"/>
      <c r="M116"/>
      <c r="N116"/>
      <c r="O116"/>
      <c r="P116"/>
      <c r="Q116"/>
      <c r="R116"/>
    </row>
    <row r="117" spans="6:18" s="82" customFormat="1" ht="15" customHeight="1" x14ac:dyDescent="0.15">
      <c r="F117"/>
      <c r="G117"/>
      <c r="H117"/>
      <c r="I117"/>
      <c r="J117"/>
      <c r="K117"/>
      <c r="L117"/>
      <c r="M117"/>
      <c r="N117"/>
      <c r="O117"/>
      <c r="P117"/>
      <c r="Q117"/>
      <c r="R117"/>
    </row>
    <row r="118" spans="6:18" s="82" customFormat="1" ht="15" customHeight="1" x14ac:dyDescent="0.15">
      <c r="F118"/>
      <c r="G118"/>
      <c r="H118"/>
      <c r="I118"/>
      <c r="J118"/>
      <c r="K118"/>
      <c r="L118"/>
      <c r="M118"/>
      <c r="N118"/>
      <c r="O118"/>
      <c r="P118"/>
      <c r="Q118"/>
      <c r="R118"/>
    </row>
    <row r="119" spans="6:18" s="82" customFormat="1" ht="15" customHeight="1" x14ac:dyDescent="0.15">
      <c r="F119"/>
      <c r="G119"/>
      <c r="H119"/>
      <c r="I119"/>
      <c r="J119"/>
      <c r="K119"/>
      <c r="L119"/>
      <c r="M119"/>
      <c r="N119"/>
      <c r="O119"/>
      <c r="P119"/>
      <c r="Q119"/>
      <c r="R119"/>
    </row>
    <row r="120" spans="6:18" s="82" customFormat="1" ht="15" customHeight="1" x14ac:dyDescent="0.15">
      <c r="F120"/>
      <c r="G120"/>
      <c r="H120"/>
      <c r="I120"/>
      <c r="J120"/>
      <c r="K120"/>
      <c r="L120"/>
      <c r="M120"/>
      <c r="N120"/>
      <c r="O120"/>
      <c r="P120"/>
      <c r="Q120"/>
      <c r="R120"/>
    </row>
    <row r="121" spans="6:18" s="82" customFormat="1" ht="15" customHeight="1" x14ac:dyDescent="0.15">
      <c r="F121"/>
      <c r="G121"/>
      <c r="H121"/>
      <c r="I121"/>
      <c r="J121"/>
      <c r="K121"/>
      <c r="L121"/>
      <c r="M121"/>
      <c r="N121"/>
      <c r="O121"/>
      <c r="P121"/>
      <c r="Q121"/>
      <c r="R121"/>
    </row>
    <row r="122" spans="6:18" s="82" customFormat="1" ht="15" customHeight="1" x14ac:dyDescent="0.15">
      <c r="F122"/>
      <c r="G122"/>
      <c r="H122"/>
      <c r="I122"/>
      <c r="J122"/>
      <c r="K122"/>
      <c r="L122"/>
      <c r="M122"/>
      <c r="N122"/>
      <c r="O122"/>
      <c r="P122"/>
      <c r="Q122"/>
      <c r="R122"/>
    </row>
    <row r="123" spans="6:18" s="82" customFormat="1" ht="15" customHeight="1" x14ac:dyDescent="0.15">
      <c r="F123"/>
      <c r="G123"/>
      <c r="H123"/>
      <c r="I123"/>
      <c r="J123"/>
      <c r="K123"/>
      <c r="L123"/>
      <c r="M123"/>
      <c r="N123"/>
      <c r="O123"/>
      <c r="P123"/>
      <c r="Q123"/>
      <c r="R123"/>
    </row>
    <row r="124" spans="6:18" s="82" customFormat="1" ht="15" customHeight="1" x14ac:dyDescent="0.15">
      <c r="F124"/>
      <c r="G124"/>
      <c r="H124"/>
      <c r="I124"/>
      <c r="J124"/>
      <c r="K124"/>
      <c r="L124"/>
      <c r="M124"/>
      <c r="N124"/>
      <c r="O124"/>
      <c r="P124"/>
      <c r="Q124"/>
      <c r="R124"/>
    </row>
    <row r="125" spans="6:18" s="82" customFormat="1" ht="15" customHeight="1" x14ac:dyDescent="0.15">
      <c r="F125"/>
      <c r="G125"/>
      <c r="H125"/>
      <c r="I125"/>
      <c r="J125"/>
      <c r="K125"/>
      <c r="L125"/>
      <c r="M125"/>
      <c r="N125"/>
      <c r="O125"/>
      <c r="P125"/>
      <c r="Q125"/>
      <c r="R125"/>
    </row>
    <row r="126" spans="6:18" s="82" customFormat="1" ht="15" customHeight="1" x14ac:dyDescent="0.15">
      <c r="F126"/>
      <c r="G126"/>
      <c r="H126"/>
      <c r="I126"/>
      <c r="J126"/>
      <c r="K126"/>
      <c r="L126"/>
      <c r="M126"/>
      <c r="N126"/>
      <c r="O126"/>
      <c r="P126"/>
      <c r="Q126"/>
      <c r="R126"/>
    </row>
    <row r="127" spans="6:18" s="82" customFormat="1" ht="15" customHeight="1" x14ac:dyDescent="0.15">
      <c r="F127"/>
      <c r="G127"/>
      <c r="H127"/>
      <c r="I127"/>
      <c r="J127"/>
      <c r="K127"/>
      <c r="L127"/>
      <c r="M127"/>
      <c r="N127"/>
      <c r="O127"/>
      <c r="P127"/>
      <c r="Q127"/>
      <c r="R127"/>
    </row>
    <row r="128" spans="6:18" s="82" customFormat="1" ht="15" customHeight="1" x14ac:dyDescent="0.15">
      <c r="F128"/>
      <c r="G128"/>
      <c r="H128"/>
      <c r="I128"/>
      <c r="J128"/>
      <c r="K128"/>
      <c r="L128"/>
      <c r="M128"/>
      <c r="N128"/>
      <c r="O128"/>
      <c r="P128"/>
      <c r="Q128"/>
      <c r="R128"/>
    </row>
    <row r="129" spans="6:18" s="82" customFormat="1" ht="15" customHeight="1" x14ac:dyDescent="0.15">
      <c r="F129"/>
      <c r="G129"/>
      <c r="H129"/>
      <c r="I129"/>
      <c r="J129"/>
      <c r="K129"/>
      <c r="L129"/>
      <c r="M129"/>
      <c r="N129"/>
      <c r="O129"/>
      <c r="P129"/>
      <c r="Q129"/>
      <c r="R129"/>
    </row>
    <row r="130" spans="6:18" s="82" customFormat="1" ht="15" customHeight="1" x14ac:dyDescent="0.15">
      <c r="F130"/>
      <c r="G130"/>
      <c r="H130"/>
      <c r="I130"/>
      <c r="J130"/>
      <c r="K130"/>
      <c r="L130"/>
      <c r="M130"/>
      <c r="N130"/>
      <c r="O130"/>
      <c r="P130"/>
      <c r="Q130"/>
      <c r="R130"/>
    </row>
    <row r="131" spans="6:18" s="82" customFormat="1" ht="15" customHeight="1" x14ac:dyDescent="0.15">
      <c r="F131"/>
      <c r="G131"/>
      <c r="H131"/>
      <c r="I131"/>
      <c r="J131"/>
      <c r="K131"/>
      <c r="L131"/>
      <c r="M131"/>
      <c r="N131"/>
      <c r="O131"/>
      <c r="P131"/>
      <c r="Q131"/>
      <c r="R131"/>
    </row>
    <row r="132" spans="6:18" s="82" customFormat="1" ht="15" customHeight="1" x14ac:dyDescent="0.15">
      <c r="F132"/>
      <c r="G132"/>
      <c r="H132"/>
      <c r="I132"/>
      <c r="J132"/>
      <c r="K132"/>
      <c r="L132"/>
      <c r="M132"/>
      <c r="N132"/>
      <c r="O132"/>
      <c r="P132"/>
      <c r="Q132"/>
      <c r="R132"/>
    </row>
    <row r="133" spans="6:18" s="82" customFormat="1" ht="15" customHeight="1" x14ac:dyDescent="0.15">
      <c r="F133"/>
      <c r="G133"/>
      <c r="H133"/>
      <c r="I133"/>
      <c r="J133"/>
      <c r="K133"/>
      <c r="L133"/>
      <c r="M133"/>
      <c r="N133"/>
      <c r="O133"/>
      <c r="P133"/>
      <c r="Q133"/>
      <c r="R133"/>
    </row>
    <row r="134" spans="6:18" s="82" customFormat="1" ht="15" customHeight="1" x14ac:dyDescent="0.15">
      <c r="F134"/>
      <c r="G134"/>
      <c r="H134"/>
      <c r="I134"/>
      <c r="J134"/>
      <c r="K134"/>
      <c r="L134"/>
      <c r="M134"/>
      <c r="N134"/>
      <c r="O134"/>
      <c r="P134"/>
      <c r="Q134"/>
      <c r="R134"/>
    </row>
    <row r="135" spans="6:18" s="82" customFormat="1" ht="15" customHeight="1" x14ac:dyDescent="0.15">
      <c r="F135"/>
      <c r="G135"/>
      <c r="H135"/>
      <c r="I135"/>
      <c r="J135"/>
      <c r="K135"/>
      <c r="L135"/>
      <c r="M135"/>
      <c r="N135"/>
      <c r="O135"/>
      <c r="P135"/>
      <c r="Q135"/>
      <c r="R135"/>
    </row>
    <row r="136" spans="6:18" s="82" customFormat="1" ht="15" customHeight="1" x14ac:dyDescent="0.15">
      <c r="F136"/>
      <c r="G136"/>
      <c r="H136"/>
      <c r="I136"/>
      <c r="J136"/>
      <c r="K136"/>
      <c r="L136"/>
      <c r="M136"/>
      <c r="N136"/>
      <c r="O136"/>
      <c r="P136"/>
      <c r="Q136"/>
      <c r="R136"/>
    </row>
    <row r="137" spans="6:18" s="82" customFormat="1" ht="15" customHeight="1" x14ac:dyDescent="0.15">
      <c r="F137"/>
      <c r="G137"/>
      <c r="H137"/>
      <c r="I137"/>
      <c r="J137"/>
      <c r="K137"/>
      <c r="L137"/>
      <c r="M137"/>
      <c r="N137"/>
      <c r="O137"/>
      <c r="P137"/>
      <c r="Q137"/>
      <c r="R137"/>
    </row>
    <row r="138" spans="6:18" s="82" customFormat="1" ht="15" customHeight="1" x14ac:dyDescent="0.15">
      <c r="F138"/>
      <c r="G138"/>
      <c r="H138"/>
      <c r="I138"/>
      <c r="J138"/>
      <c r="K138"/>
      <c r="L138"/>
      <c r="M138"/>
      <c r="N138"/>
      <c r="O138"/>
      <c r="P138"/>
      <c r="Q138"/>
      <c r="R138"/>
    </row>
    <row r="139" spans="6:18" s="82" customFormat="1" ht="15" customHeight="1" x14ac:dyDescent="0.15">
      <c r="F139"/>
      <c r="G139"/>
      <c r="H139"/>
      <c r="I139"/>
      <c r="J139"/>
      <c r="K139"/>
      <c r="L139"/>
      <c r="M139"/>
      <c r="N139"/>
      <c r="O139"/>
      <c r="P139"/>
      <c r="Q139"/>
      <c r="R139"/>
    </row>
    <row r="140" spans="6:18" s="82" customFormat="1" ht="15" customHeight="1" x14ac:dyDescent="0.15">
      <c r="F140"/>
      <c r="G140"/>
      <c r="H140"/>
      <c r="I140"/>
      <c r="J140"/>
      <c r="K140"/>
      <c r="L140"/>
      <c r="M140"/>
      <c r="N140"/>
      <c r="O140"/>
      <c r="P140"/>
      <c r="Q140"/>
      <c r="R140"/>
    </row>
    <row r="141" spans="6:18" s="82" customFormat="1" ht="15" customHeight="1" x14ac:dyDescent="0.15">
      <c r="F141"/>
      <c r="G141"/>
      <c r="H141"/>
      <c r="I141"/>
      <c r="J141"/>
      <c r="K141"/>
      <c r="L141"/>
      <c r="M141"/>
      <c r="N141"/>
      <c r="O141"/>
      <c r="P141"/>
      <c r="Q141"/>
      <c r="R141"/>
    </row>
    <row r="142" spans="6:18" s="82" customFormat="1" ht="15" customHeight="1" x14ac:dyDescent="0.15">
      <c r="F142"/>
      <c r="G142"/>
      <c r="H142"/>
      <c r="I142"/>
      <c r="J142"/>
      <c r="K142"/>
      <c r="L142"/>
      <c r="M142"/>
      <c r="N142"/>
      <c r="O142"/>
      <c r="P142"/>
      <c r="Q142"/>
      <c r="R142"/>
    </row>
    <row r="143" spans="6:18" s="82" customFormat="1" ht="15" customHeight="1" x14ac:dyDescent="0.15">
      <c r="F143"/>
      <c r="G143"/>
      <c r="H143"/>
      <c r="I143"/>
      <c r="J143"/>
      <c r="K143"/>
      <c r="L143"/>
      <c r="M143"/>
      <c r="N143"/>
      <c r="O143"/>
      <c r="P143"/>
      <c r="Q143"/>
      <c r="R143"/>
    </row>
    <row r="144" spans="6:18" s="82" customFormat="1" ht="15" customHeight="1" x14ac:dyDescent="0.15">
      <c r="F144"/>
      <c r="G144"/>
      <c r="H144"/>
      <c r="I144"/>
      <c r="J144"/>
      <c r="K144"/>
      <c r="L144"/>
      <c r="M144"/>
      <c r="N144"/>
      <c r="O144"/>
      <c r="P144"/>
      <c r="Q144"/>
      <c r="R144"/>
    </row>
    <row r="145" spans="6:18" s="82" customFormat="1" ht="15" customHeight="1" x14ac:dyDescent="0.15">
      <c r="F145"/>
      <c r="G145"/>
      <c r="H145"/>
      <c r="I145"/>
      <c r="J145"/>
      <c r="K145"/>
      <c r="L145"/>
      <c r="M145"/>
      <c r="N145"/>
      <c r="O145"/>
      <c r="P145"/>
      <c r="Q145"/>
      <c r="R145"/>
    </row>
    <row r="146" spans="6:18" s="82" customFormat="1" ht="15" customHeight="1" x14ac:dyDescent="0.15">
      <c r="F146"/>
      <c r="G146"/>
      <c r="H146"/>
      <c r="I146"/>
      <c r="J146"/>
      <c r="K146"/>
      <c r="L146"/>
      <c r="M146"/>
      <c r="N146"/>
      <c r="O146"/>
      <c r="P146"/>
      <c r="Q146"/>
      <c r="R146"/>
    </row>
    <row r="147" spans="6:18" s="82" customFormat="1" ht="15" customHeight="1" x14ac:dyDescent="0.15">
      <c r="F147"/>
      <c r="G147"/>
      <c r="H147"/>
      <c r="I147"/>
      <c r="J147"/>
      <c r="K147"/>
      <c r="L147"/>
      <c r="M147"/>
      <c r="N147"/>
      <c r="O147"/>
      <c r="P147"/>
      <c r="Q147"/>
      <c r="R147"/>
    </row>
    <row r="148" spans="6:18" s="82" customFormat="1" ht="15" customHeight="1" x14ac:dyDescent="0.15">
      <c r="F148"/>
      <c r="G148"/>
      <c r="H148"/>
      <c r="I148"/>
      <c r="J148"/>
      <c r="K148"/>
      <c r="L148"/>
      <c r="M148"/>
      <c r="N148"/>
      <c r="O148"/>
      <c r="P148"/>
      <c r="Q148"/>
      <c r="R148"/>
    </row>
    <row r="149" spans="6:18" s="82" customFormat="1" ht="15" customHeight="1" x14ac:dyDescent="0.15">
      <c r="F149"/>
      <c r="G149"/>
      <c r="H149"/>
      <c r="I149"/>
      <c r="J149"/>
      <c r="K149"/>
      <c r="L149"/>
      <c r="M149"/>
      <c r="N149"/>
      <c r="O149"/>
      <c r="P149"/>
      <c r="Q149"/>
      <c r="R149"/>
    </row>
    <row r="150" spans="6:18" s="82" customFormat="1" ht="15" customHeight="1" x14ac:dyDescent="0.15">
      <c r="F150"/>
      <c r="G150"/>
      <c r="H150"/>
      <c r="I150"/>
      <c r="J150"/>
      <c r="K150"/>
      <c r="L150"/>
      <c r="M150"/>
      <c r="N150"/>
      <c r="O150"/>
      <c r="P150"/>
      <c r="Q150"/>
      <c r="R150"/>
    </row>
    <row r="151" spans="6:18" s="82" customFormat="1" ht="15" customHeight="1" x14ac:dyDescent="0.15">
      <c r="F151"/>
      <c r="G151"/>
      <c r="H151"/>
      <c r="I151"/>
      <c r="J151"/>
      <c r="K151"/>
      <c r="L151"/>
      <c r="M151"/>
      <c r="N151"/>
      <c r="O151"/>
      <c r="P151"/>
      <c r="Q151"/>
      <c r="R151"/>
    </row>
    <row r="152" spans="6:18" s="82" customFormat="1" ht="15" customHeight="1" x14ac:dyDescent="0.15">
      <c r="F152"/>
      <c r="G152"/>
      <c r="H152"/>
      <c r="I152"/>
      <c r="J152"/>
      <c r="K152"/>
      <c r="L152"/>
      <c r="M152"/>
      <c r="N152"/>
      <c r="O152"/>
      <c r="P152"/>
      <c r="Q152"/>
      <c r="R152"/>
    </row>
    <row r="153" spans="6:18" s="82" customFormat="1" ht="15" customHeight="1" x14ac:dyDescent="0.15">
      <c r="F153"/>
      <c r="G153"/>
      <c r="H153"/>
      <c r="I153"/>
      <c r="J153"/>
      <c r="K153"/>
      <c r="L153"/>
      <c r="M153"/>
      <c r="N153"/>
      <c r="O153"/>
      <c r="P153"/>
      <c r="Q153"/>
      <c r="R153"/>
    </row>
    <row r="154" spans="6:18" s="82" customFormat="1" ht="15" customHeight="1" x14ac:dyDescent="0.15">
      <c r="F154"/>
      <c r="G154"/>
      <c r="H154"/>
      <c r="I154"/>
      <c r="J154"/>
      <c r="K154"/>
      <c r="L154"/>
      <c r="M154"/>
      <c r="N154"/>
      <c r="O154"/>
      <c r="P154"/>
      <c r="Q154"/>
      <c r="R154"/>
    </row>
    <row r="155" spans="6:18" s="82" customFormat="1" ht="15" customHeight="1" x14ac:dyDescent="0.15">
      <c r="F155"/>
      <c r="G155"/>
      <c r="H155"/>
      <c r="I155"/>
      <c r="J155"/>
      <c r="K155"/>
      <c r="L155"/>
      <c r="M155"/>
      <c r="N155"/>
      <c r="O155"/>
      <c r="P155"/>
      <c r="Q155"/>
      <c r="R155"/>
    </row>
    <row r="156" spans="6:18" s="82" customFormat="1" ht="15" customHeight="1" x14ac:dyDescent="0.15">
      <c r="F156"/>
      <c r="G156"/>
      <c r="H156"/>
      <c r="I156"/>
      <c r="J156"/>
      <c r="K156"/>
      <c r="L156"/>
      <c r="M156"/>
      <c r="N156"/>
      <c r="O156"/>
      <c r="P156"/>
      <c r="Q156"/>
      <c r="R156"/>
    </row>
    <row r="157" spans="6:18" s="82" customFormat="1" ht="15" customHeight="1" x14ac:dyDescent="0.15">
      <c r="F157"/>
      <c r="G157"/>
      <c r="H157"/>
      <c r="I157"/>
      <c r="J157"/>
      <c r="K157"/>
      <c r="L157"/>
      <c r="M157"/>
      <c r="N157"/>
      <c r="O157"/>
      <c r="P157"/>
      <c r="Q157"/>
      <c r="R157"/>
    </row>
    <row r="158" spans="6:18" s="82" customFormat="1" ht="15" customHeight="1" x14ac:dyDescent="0.15">
      <c r="F158"/>
      <c r="G158"/>
      <c r="H158"/>
      <c r="I158"/>
      <c r="J158"/>
      <c r="K158"/>
      <c r="L158"/>
      <c r="M158"/>
      <c r="N158"/>
      <c r="O158"/>
      <c r="P158"/>
      <c r="Q158"/>
      <c r="R158"/>
    </row>
    <row r="159" spans="6:18" s="82" customFormat="1" ht="15" customHeight="1" x14ac:dyDescent="0.15">
      <c r="F159"/>
      <c r="G159"/>
      <c r="H159"/>
      <c r="I159"/>
      <c r="J159"/>
      <c r="K159"/>
      <c r="L159"/>
      <c r="M159"/>
      <c r="N159"/>
      <c r="O159"/>
      <c r="P159"/>
      <c r="Q159"/>
      <c r="R159"/>
    </row>
    <row r="160" spans="6:18" s="82" customFormat="1" ht="15" customHeight="1" x14ac:dyDescent="0.15">
      <c r="F160"/>
      <c r="G160"/>
      <c r="H160"/>
      <c r="I160"/>
      <c r="J160"/>
      <c r="K160"/>
      <c r="L160"/>
      <c r="M160"/>
      <c r="N160"/>
      <c r="O160"/>
      <c r="P160"/>
      <c r="Q160"/>
      <c r="R160"/>
    </row>
    <row r="161" spans="6:18" s="82" customFormat="1" ht="15" customHeight="1" x14ac:dyDescent="0.15">
      <c r="F161"/>
      <c r="G161"/>
      <c r="H161"/>
      <c r="I161"/>
      <c r="J161"/>
      <c r="K161"/>
      <c r="L161"/>
      <c r="M161"/>
      <c r="N161"/>
      <c r="O161"/>
      <c r="P161"/>
      <c r="Q161"/>
      <c r="R161"/>
    </row>
    <row r="162" spans="6:18" s="82" customFormat="1" ht="15" customHeight="1" x14ac:dyDescent="0.15">
      <c r="F162"/>
      <c r="G162"/>
      <c r="H162"/>
      <c r="I162"/>
      <c r="J162"/>
      <c r="K162"/>
      <c r="L162"/>
      <c r="M162"/>
      <c r="N162"/>
      <c r="O162"/>
      <c r="P162"/>
      <c r="Q162"/>
      <c r="R162"/>
    </row>
    <row r="163" spans="6:18" s="82" customFormat="1" ht="15" customHeight="1" x14ac:dyDescent="0.15">
      <c r="F163"/>
      <c r="G163"/>
      <c r="H163"/>
      <c r="I163"/>
      <c r="J163"/>
      <c r="K163"/>
      <c r="L163"/>
      <c r="M163"/>
      <c r="N163"/>
      <c r="O163"/>
      <c r="P163"/>
      <c r="Q163"/>
      <c r="R163"/>
    </row>
    <row r="164" spans="6:18" s="82" customFormat="1" ht="15" customHeight="1" x14ac:dyDescent="0.15">
      <c r="F164"/>
      <c r="G164"/>
      <c r="H164"/>
      <c r="I164"/>
      <c r="J164"/>
      <c r="K164"/>
      <c r="L164"/>
      <c r="M164"/>
      <c r="N164"/>
      <c r="O164"/>
      <c r="P164"/>
      <c r="Q164"/>
      <c r="R164"/>
    </row>
    <row r="165" spans="6:18" s="82" customFormat="1" ht="15" customHeight="1" x14ac:dyDescent="0.15">
      <c r="F165"/>
      <c r="G165"/>
      <c r="H165"/>
      <c r="I165"/>
      <c r="J165"/>
      <c r="K165"/>
      <c r="L165"/>
      <c r="M165"/>
      <c r="N165"/>
      <c r="O165"/>
      <c r="P165"/>
      <c r="Q165"/>
      <c r="R165"/>
    </row>
    <row r="166" spans="6:18" s="82" customFormat="1" ht="15" customHeight="1" x14ac:dyDescent="0.15">
      <c r="F166"/>
      <c r="G166"/>
      <c r="H166"/>
      <c r="I166"/>
      <c r="J166"/>
      <c r="K166"/>
      <c r="L166"/>
      <c r="M166"/>
      <c r="N166"/>
      <c r="O166"/>
      <c r="P166"/>
      <c r="Q166"/>
      <c r="R166"/>
    </row>
    <row r="167" spans="6:18" s="82" customFormat="1" ht="15" customHeight="1" x14ac:dyDescent="0.15">
      <c r="F167"/>
      <c r="G167"/>
      <c r="H167"/>
      <c r="I167"/>
      <c r="J167"/>
      <c r="K167"/>
      <c r="L167"/>
      <c r="M167"/>
      <c r="N167"/>
      <c r="O167"/>
      <c r="P167"/>
      <c r="Q167"/>
      <c r="R167"/>
    </row>
    <row r="168" spans="6:18" s="82" customFormat="1" ht="15" customHeight="1" x14ac:dyDescent="0.15">
      <c r="F168"/>
      <c r="G168"/>
      <c r="H168"/>
      <c r="I168"/>
      <c r="J168"/>
      <c r="K168"/>
      <c r="L168"/>
      <c r="M168"/>
      <c r="N168"/>
      <c r="O168"/>
      <c r="P168"/>
      <c r="Q168"/>
      <c r="R168"/>
    </row>
    <row r="169" spans="6:18" s="82" customFormat="1" ht="15" customHeight="1" x14ac:dyDescent="0.15">
      <c r="F169"/>
      <c r="G169"/>
      <c r="H169"/>
      <c r="I169"/>
      <c r="J169"/>
      <c r="K169"/>
      <c r="L169"/>
      <c r="M169"/>
      <c r="N169"/>
      <c r="O169"/>
      <c r="P169"/>
      <c r="Q169"/>
      <c r="R169"/>
    </row>
    <row r="170" spans="6:18" s="82" customFormat="1" ht="15" customHeight="1" x14ac:dyDescent="0.15">
      <c r="F170"/>
      <c r="G170"/>
      <c r="H170"/>
      <c r="I170"/>
      <c r="J170"/>
      <c r="K170"/>
      <c r="L170"/>
      <c r="M170"/>
      <c r="N170"/>
      <c r="O170"/>
      <c r="P170"/>
      <c r="Q170"/>
      <c r="R170"/>
    </row>
    <row r="171" spans="6:18" s="82" customFormat="1" ht="15" customHeight="1" x14ac:dyDescent="0.15">
      <c r="F171"/>
      <c r="G171"/>
      <c r="H171"/>
      <c r="I171"/>
      <c r="J171"/>
      <c r="K171"/>
      <c r="L171"/>
      <c r="M171"/>
      <c r="N171"/>
      <c r="O171"/>
      <c r="P171"/>
      <c r="Q171"/>
      <c r="R171"/>
    </row>
    <row r="172" spans="6:18" s="82" customFormat="1" ht="15" customHeight="1" x14ac:dyDescent="0.15">
      <c r="F172"/>
      <c r="G172"/>
      <c r="H172"/>
      <c r="I172"/>
      <c r="J172"/>
      <c r="K172"/>
      <c r="L172"/>
      <c r="M172"/>
      <c r="N172"/>
      <c r="O172"/>
      <c r="P172"/>
      <c r="Q172"/>
      <c r="R172"/>
    </row>
    <row r="173" spans="6:18" s="82" customFormat="1" ht="15" customHeight="1" x14ac:dyDescent="0.15">
      <c r="F173"/>
      <c r="G173"/>
      <c r="H173"/>
      <c r="I173"/>
      <c r="J173"/>
      <c r="K173"/>
      <c r="L173"/>
      <c r="M173"/>
      <c r="N173"/>
      <c r="O173"/>
      <c r="P173"/>
      <c r="Q173"/>
      <c r="R173"/>
    </row>
    <row r="174" spans="6:18" s="82" customFormat="1" ht="15" customHeight="1" x14ac:dyDescent="0.15">
      <c r="F174"/>
      <c r="G174"/>
      <c r="H174"/>
      <c r="I174"/>
      <c r="J174"/>
      <c r="K174"/>
      <c r="L174"/>
      <c r="M174"/>
      <c r="N174"/>
      <c r="O174"/>
      <c r="P174"/>
      <c r="Q174"/>
      <c r="R174"/>
    </row>
    <row r="175" spans="6:18" s="82" customFormat="1" ht="15" customHeight="1" x14ac:dyDescent="0.15">
      <c r="F175"/>
      <c r="G175"/>
      <c r="H175"/>
      <c r="I175"/>
      <c r="J175"/>
      <c r="K175"/>
      <c r="L175"/>
      <c r="M175"/>
      <c r="N175"/>
      <c r="O175"/>
      <c r="P175"/>
      <c r="Q175"/>
      <c r="R175"/>
    </row>
    <row r="176" spans="6:18" s="82" customFormat="1" ht="15" customHeight="1" x14ac:dyDescent="0.15">
      <c r="F176"/>
      <c r="G176"/>
      <c r="H176"/>
      <c r="I176"/>
      <c r="J176"/>
      <c r="K176"/>
      <c r="L176"/>
      <c r="M176"/>
      <c r="N176"/>
      <c r="O176"/>
      <c r="P176"/>
      <c r="Q176"/>
      <c r="R176"/>
    </row>
    <row r="177" spans="6:18" s="82" customFormat="1" ht="15" customHeight="1" x14ac:dyDescent="0.15">
      <c r="F177"/>
      <c r="G177"/>
      <c r="H177"/>
      <c r="I177"/>
      <c r="J177"/>
      <c r="K177"/>
      <c r="L177"/>
      <c r="M177"/>
      <c r="N177"/>
      <c r="O177"/>
      <c r="P177"/>
      <c r="Q177"/>
      <c r="R177"/>
    </row>
    <row r="178" spans="6:18" s="82" customFormat="1" ht="15" customHeight="1" x14ac:dyDescent="0.15">
      <c r="F178"/>
      <c r="G178"/>
      <c r="H178"/>
      <c r="I178"/>
      <c r="J178"/>
      <c r="K178"/>
      <c r="L178"/>
      <c r="M178"/>
      <c r="N178"/>
      <c r="O178"/>
      <c r="P178"/>
      <c r="Q178"/>
      <c r="R178"/>
    </row>
    <row r="179" spans="6:18" s="82" customFormat="1" ht="15" customHeight="1" x14ac:dyDescent="0.15">
      <c r="F179"/>
      <c r="G179"/>
      <c r="H179"/>
      <c r="I179"/>
      <c r="J179"/>
      <c r="K179"/>
      <c r="L179"/>
      <c r="M179"/>
      <c r="N179"/>
      <c r="O179"/>
      <c r="P179"/>
      <c r="Q179"/>
      <c r="R179"/>
    </row>
    <row r="180" spans="6:18" s="82" customFormat="1" ht="15" customHeight="1" x14ac:dyDescent="0.15">
      <c r="F180"/>
      <c r="G180"/>
      <c r="H180"/>
      <c r="I180"/>
      <c r="J180"/>
      <c r="K180"/>
      <c r="L180"/>
      <c r="M180"/>
      <c r="N180"/>
      <c r="O180"/>
      <c r="P180"/>
      <c r="Q180"/>
      <c r="R180"/>
    </row>
    <row r="181" spans="6:18" s="82" customFormat="1" ht="15" customHeight="1" x14ac:dyDescent="0.15">
      <c r="F181"/>
      <c r="G181"/>
      <c r="H181"/>
      <c r="I181"/>
      <c r="J181"/>
      <c r="K181"/>
      <c r="L181"/>
      <c r="M181"/>
      <c r="N181"/>
      <c r="O181"/>
      <c r="P181"/>
      <c r="Q181"/>
      <c r="R181"/>
    </row>
    <row r="182" spans="6:18" s="82" customFormat="1" ht="15" customHeight="1" x14ac:dyDescent="0.15">
      <c r="F182"/>
      <c r="G182"/>
      <c r="H182"/>
      <c r="I182"/>
      <c r="J182"/>
      <c r="K182"/>
      <c r="L182"/>
      <c r="M182"/>
      <c r="N182"/>
      <c r="O182"/>
      <c r="P182"/>
      <c r="Q182"/>
      <c r="R182"/>
    </row>
    <row r="183" spans="6:18" s="82" customFormat="1" ht="15" customHeight="1" x14ac:dyDescent="0.15">
      <c r="F183"/>
      <c r="G183"/>
      <c r="H183"/>
      <c r="I183"/>
      <c r="J183"/>
      <c r="K183"/>
      <c r="L183"/>
      <c r="M183"/>
      <c r="N183"/>
      <c r="O183"/>
      <c r="P183"/>
      <c r="Q183"/>
      <c r="R183"/>
    </row>
    <row r="184" spans="6:18" s="82" customFormat="1" ht="15" customHeight="1" x14ac:dyDescent="0.15">
      <c r="F184"/>
      <c r="G184"/>
      <c r="H184"/>
      <c r="I184"/>
      <c r="J184"/>
      <c r="K184"/>
      <c r="L184"/>
      <c r="M184"/>
      <c r="N184"/>
      <c r="O184"/>
      <c r="P184"/>
      <c r="Q184"/>
      <c r="R184"/>
    </row>
    <row r="185" spans="6:18" s="82" customFormat="1" ht="15" customHeight="1" x14ac:dyDescent="0.15">
      <c r="F185"/>
      <c r="G185"/>
      <c r="H185"/>
      <c r="I185"/>
      <c r="J185"/>
      <c r="K185"/>
      <c r="L185"/>
      <c r="M185"/>
      <c r="N185"/>
      <c r="O185"/>
      <c r="P185"/>
      <c r="Q185"/>
      <c r="R185"/>
    </row>
    <row r="186" spans="6:18" s="82" customFormat="1" ht="15" customHeight="1" x14ac:dyDescent="0.15">
      <c r="F186"/>
      <c r="G186"/>
      <c r="H186"/>
      <c r="I186"/>
      <c r="J186"/>
      <c r="K186"/>
      <c r="L186"/>
      <c r="M186"/>
      <c r="N186"/>
      <c r="O186"/>
      <c r="P186"/>
      <c r="Q186"/>
      <c r="R186"/>
    </row>
    <row r="187" spans="6:18" s="82" customFormat="1" ht="15" customHeight="1" x14ac:dyDescent="0.15">
      <c r="F187"/>
      <c r="G187"/>
      <c r="H187"/>
      <c r="I187"/>
      <c r="J187"/>
      <c r="K187"/>
      <c r="L187"/>
      <c r="M187"/>
      <c r="N187"/>
      <c r="O187"/>
      <c r="P187"/>
      <c r="Q187"/>
      <c r="R187"/>
    </row>
    <row r="188" spans="6:18" s="82"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E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44.1640625" bestFit="1" customWidth="1"/>
    <col min="2" max="2" width="2.33203125" style="112" customWidth="1"/>
    <col min="3" max="5" width="7.83203125" style="112" customWidth="1"/>
    <col min="6" max="8" width="8.83203125" style="6"/>
    <col min="9" max="9" width="13.1640625" style="6" customWidth="1"/>
    <col min="10" max="10" width="8.1640625" style="6" customWidth="1"/>
    <col min="11" max="11" width="15.83203125" style="6" customWidth="1"/>
    <col min="12" max="12" width="34.1640625" style="6" customWidth="1"/>
    <col min="13" max="13" width="9.6640625" style="6" customWidth="1"/>
    <col min="14" max="14" width="12.6640625" style="6" customWidth="1"/>
    <col min="15" max="15" width="32" style="6" customWidth="1"/>
    <col min="16" max="16" width="35" style="6" customWidth="1"/>
    <col min="17" max="17" width="11.5" style="6" customWidth="1"/>
    <col min="18" max="18" width="28.33203125" style="6" customWidth="1"/>
    <col min="19" max="19" width="21.5" style="6" customWidth="1"/>
    <col min="20" max="20" width="19.1640625" style="6" customWidth="1"/>
    <col min="21" max="21" width="12.5" style="6" customWidth="1"/>
    <col min="22" max="22" width="11.83203125" style="6" customWidth="1"/>
    <col min="23" max="23" width="18.5" style="6" customWidth="1"/>
    <col min="24" max="24" width="8.83203125" style="6" customWidth="1"/>
    <col min="25" max="25" width="14.1640625" style="6" customWidth="1"/>
    <col min="26" max="26" width="18.5" style="6" customWidth="1"/>
    <col min="27" max="27" width="16.1640625" style="6" customWidth="1"/>
    <col min="28" max="28" width="14.5" style="6" customWidth="1"/>
    <col min="29" max="29" width="17.6640625" style="6" customWidth="1"/>
    <col min="30" max="30" width="20" style="6" customWidth="1"/>
    <col min="31" max="31" width="12.5" style="6" customWidth="1"/>
    <col min="32" max="33" width="11.5" style="6" customWidth="1"/>
    <col min="34" max="34" width="24.6640625" style="6" customWidth="1"/>
    <col min="35" max="35" width="11.1640625" style="6" customWidth="1"/>
    <col min="36" max="36" width="15" style="6" customWidth="1"/>
    <col min="37" max="37" width="11" style="6" customWidth="1"/>
    <col min="38" max="38" width="9" style="6" customWidth="1"/>
    <col min="39" max="39" width="20.5" customWidth="1"/>
    <col min="40" max="40" width="13" customWidth="1"/>
    <col min="41" max="41" width="18.5" customWidth="1"/>
    <col min="42" max="42" width="24" customWidth="1"/>
    <col min="43" max="43" width="21.6640625" customWidth="1"/>
    <col min="44" max="44" width="29.5" customWidth="1"/>
    <col min="45" max="45" width="21.6640625" customWidth="1"/>
    <col min="46" max="46" width="9" customWidth="1"/>
    <col min="47" max="47" width="16.33203125" customWidth="1"/>
    <col min="48" max="48" width="17.5" customWidth="1"/>
    <col min="49" max="49" width="8.5" customWidth="1"/>
    <col min="50" max="50" width="7.6640625" customWidth="1"/>
    <col min="51" max="51" width="21.6640625" customWidth="1"/>
    <col min="52" max="52" width="36.83203125" customWidth="1"/>
    <col min="53" max="53" width="42.83203125" customWidth="1"/>
    <col min="54" max="54" width="44.1640625" customWidth="1"/>
    <col min="55" max="55" width="29.6640625" customWidth="1"/>
    <col min="56" max="56" width="16.83203125" customWidth="1"/>
    <col min="57" max="57" width="7.1640625" customWidth="1"/>
    <col min="81" max="81" width="22.1640625" bestFit="1" customWidth="1"/>
  </cols>
  <sheetData>
    <row r="1" spans="1:57" x14ac:dyDescent="0.15">
      <c r="A1" s="4" t="s">
        <v>156</v>
      </c>
      <c r="B1" s="36" t="s">
        <v>157</v>
      </c>
      <c r="C1" s="36" t="s">
        <v>17</v>
      </c>
      <c r="D1" s="36" t="s">
        <v>158</v>
      </c>
      <c r="E1" s="36" t="s">
        <v>159</v>
      </c>
      <c r="F1" t="s">
        <v>38</v>
      </c>
      <c r="G1" t="s">
        <v>40</v>
      </c>
      <c r="H1" t="s">
        <v>41</v>
      </c>
      <c r="I1" s="206" t="s">
        <v>193</v>
      </c>
      <c r="J1" s="206" t="s">
        <v>194</v>
      </c>
      <c r="K1" s="206" t="s">
        <v>195</v>
      </c>
      <c r="L1" s="206" t="s">
        <v>196</v>
      </c>
      <c r="M1" s="206" t="s">
        <v>197</v>
      </c>
      <c r="N1" s="206" t="s">
        <v>198</v>
      </c>
      <c r="O1" s="206" t="s">
        <v>199</v>
      </c>
      <c r="P1" s="206" t="s">
        <v>200</v>
      </c>
      <c r="Q1" s="206" t="s">
        <v>201</v>
      </c>
      <c r="R1" s="206" t="s">
        <v>202</v>
      </c>
      <c r="S1" s="206" t="s">
        <v>203</v>
      </c>
      <c r="T1" s="206" t="s">
        <v>204</v>
      </c>
      <c r="U1" s="206" t="s">
        <v>205</v>
      </c>
      <c r="V1" s="206" t="s">
        <v>206</v>
      </c>
      <c r="W1" s="206" t="s">
        <v>207</v>
      </c>
      <c r="X1" s="206" t="s">
        <v>208</v>
      </c>
      <c r="Y1" s="206" t="s">
        <v>209</v>
      </c>
      <c r="Z1" s="206" t="s">
        <v>210</v>
      </c>
      <c r="AA1" s="206" t="s">
        <v>211</v>
      </c>
      <c r="AB1" s="206" t="s">
        <v>212</v>
      </c>
      <c r="AC1" s="206" t="s">
        <v>213</v>
      </c>
      <c r="AD1" s="206" t="s">
        <v>214</v>
      </c>
      <c r="AE1" s="206" t="s">
        <v>215</v>
      </c>
      <c r="AF1" s="206" t="s">
        <v>216</v>
      </c>
      <c r="AG1" s="206" t="s">
        <v>217</v>
      </c>
      <c r="AH1" s="206" t="s">
        <v>218</v>
      </c>
      <c r="AI1" s="206" t="s">
        <v>219</v>
      </c>
      <c r="AJ1" s="206" t="s">
        <v>220</v>
      </c>
      <c r="AK1" s="206" t="s">
        <v>221</v>
      </c>
      <c r="AL1" s="206" t="s">
        <v>222</v>
      </c>
      <c r="AM1" s="206" t="s">
        <v>223</v>
      </c>
      <c r="AN1" s="206" t="s">
        <v>224</v>
      </c>
      <c r="AO1" s="206" t="s">
        <v>225</v>
      </c>
      <c r="AP1" s="206" t="s">
        <v>226</v>
      </c>
      <c r="AQ1" s="206" t="s">
        <v>227</v>
      </c>
      <c r="AR1" s="206" t="s">
        <v>228</v>
      </c>
      <c r="AS1" s="206" t="s">
        <v>229</v>
      </c>
      <c r="AT1" s="206" t="s">
        <v>230</v>
      </c>
      <c r="AU1" s="206" t="s">
        <v>231</v>
      </c>
      <c r="AV1" s="206" t="s">
        <v>232</v>
      </c>
      <c r="AW1" s="206" t="s">
        <v>233</v>
      </c>
      <c r="AX1" s="206" t="s">
        <v>234</v>
      </c>
      <c r="AY1" s="206" t="s">
        <v>235</v>
      </c>
      <c r="AZ1" s="206" t="s">
        <v>236</v>
      </c>
      <c r="BA1" s="206" t="s">
        <v>237</v>
      </c>
      <c r="BB1" s="206" t="s">
        <v>238</v>
      </c>
      <c r="BC1" s="206" t="s">
        <v>239</v>
      </c>
      <c r="BD1" s="206" t="s">
        <v>240</v>
      </c>
      <c r="BE1" s="206" t="s">
        <v>241</v>
      </c>
    </row>
    <row r="2" spans="1:57" x14ac:dyDescent="0.15">
      <c r="A2" t="s">
        <v>38</v>
      </c>
      <c r="B2" s="112">
        <v>0</v>
      </c>
      <c r="C2"/>
      <c r="D2"/>
      <c r="E2"/>
      <c r="F2"/>
      <c r="G2"/>
      <c r="H2"/>
      <c r="I2"/>
      <c r="J2"/>
      <c r="K2"/>
      <c r="L2"/>
      <c r="M2"/>
      <c r="N2"/>
      <c r="O2"/>
      <c r="P2"/>
      <c r="Q2"/>
      <c r="R2"/>
      <c r="S2"/>
      <c r="T2"/>
      <c r="U2"/>
      <c r="V2"/>
      <c r="W2"/>
      <c r="X2"/>
      <c r="Y2"/>
      <c r="Z2"/>
      <c r="AA2"/>
      <c r="AB2"/>
      <c r="AC2"/>
      <c r="AD2"/>
      <c r="AE2"/>
      <c r="AF2"/>
      <c r="AG2"/>
      <c r="AH2"/>
      <c r="AI2"/>
      <c r="AJ2"/>
      <c r="AK2"/>
      <c r="AL2"/>
    </row>
    <row r="3" spans="1:57" x14ac:dyDescent="0.15">
      <c r="A3" t="s">
        <v>40</v>
      </c>
      <c r="B3" s="112">
        <v>0</v>
      </c>
      <c r="C3"/>
      <c r="D3"/>
      <c r="E3"/>
      <c r="F3"/>
      <c r="G3"/>
      <c r="H3"/>
      <c r="I3"/>
      <c r="J3"/>
      <c r="K3"/>
      <c r="L3"/>
      <c r="M3"/>
      <c r="N3"/>
      <c r="O3"/>
      <c r="P3"/>
      <c r="Q3"/>
      <c r="R3"/>
      <c r="S3"/>
      <c r="T3"/>
      <c r="U3"/>
      <c r="V3"/>
      <c r="W3"/>
      <c r="X3"/>
      <c r="Y3"/>
      <c r="Z3"/>
      <c r="AA3"/>
      <c r="AB3"/>
      <c r="AC3"/>
      <c r="AD3"/>
      <c r="AE3"/>
      <c r="AF3"/>
      <c r="AG3"/>
      <c r="AH3"/>
      <c r="AI3"/>
      <c r="AJ3"/>
      <c r="AK3"/>
      <c r="AL3"/>
    </row>
    <row r="4" spans="1:57" x14ac:dyDescent="0.15">
      <c r="A4" t="s">
        <v>41</v>
      </c>
      <c r="B4" s="112">
        <v>0</v>
      </c>
      <c r="C4"/>
      <c r="D4"/>
      <c r="E4"/>
      <c r="F4"/>
      <c r="G4"/>
      <c r="H4"/>
      <c r="I4"/>
      <c r="J4"/>
      <c r="K4"/>
      <c r="L4"/>
      <c r="M4"/>
      <c r="N4"/>
      <c r="O4"/>
      <c r="P4"/>
      <c r="Q4"/>
      <c r="R4"/>
      <c r="S4"/>
      <c r="T4"/>
      <c r="U4"/>
      <c r="V4"/>
      <c r="W4"/>
      <c r="X4"/>
      <c r="Y4"/>
      <c r="Z4"/>
      <c r="AA4"/>
      <c r="AB4"/>
      <c r="AC4"/>
      <c r="AD4"/>
      <c r="AE4"/>
      <c r="AF4"/>
      <c r="AG4"/>
      <c r="AH4"/>
      <c r="AI4"/>
      <c r="AJ4"/>
      <c r="AK4"/>
      <c r="AL4"/>
    </row>
    <row r="5" spans="1:57" x14ac:dyDescent="0.15">
      <c r="A5" s="205" t="s">
        <v>193</v>
      </c>
      <c r="B5" s="112">
        <v>0</v>
      </c>
      <c r="C5"/>
      <c r="D5"/>
      <c r="E5"/>
      <c r="F5"/>
      <c r="G5"/>
      <c r="H5"/>
      <c r="I5"/>
      <c r="J5"/>
      <c r="K5"/>
      <c r="L5"/>
      <c r="M5"/>
      <c r="N5"/>
      <c r="O5"/>
      <c r="P5"/>
      <c r="Q5"/>
      <c r="R5"/>
      <c r="S5"/>
      <c r="T5"/>
      <c r="U5"/>
      <c r="V5"/>
      <c r="W5"/>
      <c r="X5"/>
      <c r="Y5"/>
      <c r="Z5"/>
      <c r="AA5"/>
      <c r="AB5"/>
      <c r="AC5"/>
      <c r="AD5"/>
      <c r="AE5"/>
      <c r="AF5"/>
      <c r="AG5"/>
      <c r="AH5"/>
      <c r="AI5"/>
      <c r="AJ5"/>
      <c r="AK5"/>
      <c r="AL5"/>
    </row>
    <row r="6" spans="1:57" x14ac:dyDescent="0.15">
      <c r="A6" s="205" t="s">
        <v>194</v>
      </c>
      <c r="B6" s="112">
        <v>0</v>
      </c>
      <c r="C6"/>
      <c r="D6"/>
      <c r="E6"/>
      <c r="F6"/>
      <c r="G6"/>
      <c r="H6"/>
      <c r="I6"/>
      <c r="J6"/>
      <c r="K6"/>
      <c r="L6"/>
      <c r="M6"/>
      <c r="N6"/>
      <c r="O6"/>
      <c r="P6"/>
      <c r="Q6"/>
      <c r="R6"/>
      <c r="S6"/>
      <c r="T6"/>
      <c r="U6"/>
      <c r="V6"/>
      <c r="W6"/>
      <c r="X6"/>
      <c r="Y6"/>
      <c r="Z6"/>
      <c r="AA6"/>
      <c r="AB6"/>
      <c r="AC6"/>
      <c r="AD6"/>
      <c r="AE6"/>
      <c r="AF6"/>
      <c r="AG6"/>
      <c r="AH6"/>
      <c r="AI6"/>
      <c r="AJ6"/>
      <c r="AK6"/>
      <c r="AL6"/>
    </row>
    <row r="7" spans="1:57" x14ac:dyDescent="0.15">
      <c r="A7" s="205" t="s">
        <v>195</v>
      </c>
      <c r="B7" s="112">
        <v>0</v>
      </c>
      <c r="C7"/>
      <c r="D7"/>
      <c r="E7"/>
      <c r="F7"/>
      <c r="G7"/>
      <c r="H7"/>
      <c r="I7"/>
      <c r="J7"/>
      <c r="K7"/>
      <c r="L7"/>
      <c r="M7"/>
      <c r="N7"/>
      <c r="O7"/>
      <c r="P7"/>
      <c r="Q7"/>
      <c r="R7"/>
      <c r="S7"/>
      <c r="T7"/>
      <c r="U7"/>
      <c r="V7"/>
      <c r="W7"/>
      <c r="X7"/>
      <c r="Y7"/>
      <c r="Z7"/>
      <c r="AA7"/>
      <c r="AB7"/>
      <c r="AC7"/>
      <c r="AD7"/>
      <c r="AE7"/>
      <c r="AF7"/>
      <c r="AG7"/>
      <c r="AH7"/>
      <c r="AI7"/>
      <c r="AJ7"/>
      <c r="AK7"/>
      <c r="AL7"/>
    </row>
    <row r="8" spans="1:57" x14ac:dyDescent="0.15">
      <c r="A8" s="205" t="s">
        <v>196</v>
      </c>
      <c r="B8" s="112">
        <v>0</v>
      </c>
      <c r="C8"/>
      <c r="D8"/>
      <c r="E8"/>
      <c r="F8"/>
      <c r="G8"/>
      <c r="H8"/>
      <c r="I8"/>
      <c r="J8"/>
      <c r="K8"/>
      <c r="L8"/>
      <c r="M8"/>
      <c r="N8"/>
      <c r="O8"/>
      <c r="P8"/>
      <c r="Q8"/>
      <c r="R8"/>
      <c r="S8"/>
      <c r="T8"/>
      <c r="U8"/>
      <c r="V8"/>
      <c r="W8"/>
      <c r="X8"/>
      <c r="Y8"/>
      <c r="Z8"/>
      <c r="AA8"/>
      <c r="AB8"/>
      <c r="AC8"/>
      <c r="AD8"/>
      <c r="AE8"/>
      <c r="AF8"/>
      <c r="AG8"/>
      <c r="AH8"/>
      <c r="AI8"/>
      <c r="AJ8"/>
      <c r="AK8"/>
      <c r="AL8"/>
    </row>
    <row r="9" spans="1:57" x14ac:dyDescent="0.15">
      <c r="A9" s="205" t="s">
        <v>197</v>
      </c>
      <c r="B9" s="112">
        <v>0</v>
      </c>
      <c r="C9"/>
      <c r="D9"/>
      <c r="E9"/>
      <c r="F9"/>
      <c r="G9"/>
      <c r="H9"/>
      <c r="I9"/>
      <c r="J9"/>
      <c r="K9"/>
      <c r="L9"/>
      <c r="M9"/>
      <c r="N9"/>
      <c r="O9"/>
      <c r="P9"/>
      <c r="Q9"/>
      <c r="R9"/>
      <c r="S9"/>
      <c r="T9"/>
      <c r="U9"/>
      <c r="V9"/>
      <c r="W9"/>
      <c r="X9"/>
      <c r="Y9"/>
      <c r="Z9"/>
      <c r="AA9"/>
      <c r="AB9"/>
      <c r="AC9"/>
      <c r="AD9"/>
      <c r="AE9"/>
      <c r="AF9"/>
      <c r="AG9"/>
      <c r="AH9"/>
      <c r="AI9"/>
      <c r="AJ9"/>
      <c r="AK9"/>
      <c r="AL9"/>
    </row>
    <row r="10" spans="1:57" x14ac:dyDescent="0.15">
      <c r="A10" s="205" t="s">
        <v>198</v>
      </c>
      <c r="B10" s="112">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57" x14ac:dyDescent="0.15">
      <c r="A11" s="205" t="s">
        <v>199</v>
      </c>
      <c r="B11" s="112">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57" x14ac:dyDescent="0.15">
      <c r="A12" s="205" t="s">
        <v>200</v>
      </c>
      <c r="B12" s="112">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57" x14ac:dyDescent="0.15">
      <c r="A13" s="205" t="s">
        <v>201</v>
      </c>
      <c r="B13" s="112">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57" x14ac:dyDescent="0.15">
      <c r="A14" s="205" t="s">
        <v>202</v>
      </c>
      <c r="B14" s="112">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57" x14ac:dyDescent="0.15">
      <c r="A15" s="205" t="s">
        <v>203</v>
      </c>
      <c r="B15" s="112">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57" x14ac:dyDescent="0.15">
      <c r="A16" s="205" t="s">
        <v>204</v>
      </c>
      <c r="B16" s="112">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205" t="s">
        <v>205</v>
      </c>
      <c r="B17" s="112">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205" t="s">
        <v>206</v>
      </c>
      <c r="B18" s="112">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205" t="s">
        <v>207</v>
      </c>
      <c r="B19" s="112">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205" t="s">
        <v>208</v>
      </c>
      <c r="B20" s="112">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205" t="s">
        <v>209</v>
      </c>
      <c r="B21" s="112">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205" t="s">
        <v>210</v>
      </c>
      <c r="B22" s="112">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205" t="s">
        <v>211</v>
      </c>
      <c r="B23" s="112">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205" t="s">
        <v>212</v>
      </c>
      <c r="B24" s="112">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205" t="s">
        <v>213</v>
      </c>
      <c r="B25" s="112">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205" t="s">
        <v>214</v>
      </c>
      <c r="B26" s="112">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205" t="s">
        <v>215</v>
      </c>
      <c r="B27" s="112">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205" t="s">
        <v>216</v>
      </c>
      <c r="B28" s="112">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205" t="s">
        <v>217</v>
      </c>
      <c r="B29" s="112">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205" t="s">
        <v>218</v>
      </c>
      <c r="B30" s="112">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205" t="s">
        <v>219</v>
      </c>
      <c r="B31" s="112">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205" t="s">
        <v>220</v>
      </c>
      <c r="B32" s="112">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205" t="s">
        <v>221</v>
      </c>
      <c r="B33" s="112">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205" t="s">
        <v>222</v>
      </c>
      <c r="B34" s="112">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205" t="s">
        <v>223</v>
      </c>
      <c r="B35" s="112">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205" t="s">
        <v>224</v>
      </c>
      <c r="B36" s="112">
        <v>0</v>
      </c>
      <c r="C36"/>
      <c r="D36"/>
    </row>
    <row r="37" spans="1:38" ht="15" customHeight="1" x14ac:dyDescent="0.15">
      <c r="A37" s="205" t="s">
        <v>225</v>
      </c>
      <c r="B37" s="112">
        <v>0</v>
      </c>
      <c r="C37"/>
      <c r="D37"/>
    </row>
    <row r="38" spans="1:38" ht="15" customHeight="1" x14ac:dyDescent="0.15">
      <c r="A38" s="205" t="s">
        <v>226</v>
      </c>
      <c r="B38" s="112">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205" t="s">
        <v>227</v>
      </c>
      <c r="B39" s="112">
        <v>0</v>
      </c>
      <c r="C39"/>
      <c r="D39"/>
    </row>
    <row r="40" spans="1:38" ht="15" customHeight="1" x14ac:dyDescent="0.15">
      <c r="A40" s="205" t="s">
        <v>228</v>
      </c>
      <c r="B40" s="112">
        <v>0</v>
      </c>
      <c r="C40"/>
      <c r="D40"/>
    </row>
    <row r="41" spans="1:38" ht="15" customHeight="1" x14ac:dyDescent="0.15">
      <c r="A41" s="205" t="s">
        <v>229</v>
      </c>
      <c r="B41" s="112">
        <v>0</v>
      </c>
      <c r="C41"/>
      <c r="D41"/>
    </row>
    <row r="42" spans="1:38" ht="15" customHeight="1" x14ac:dyDescent="0.15">
      <c r="A42" s="205" t="s">
        <v>230</v>
      </c>
      <c r="B42" s="112">
        <v>0</v>
      </c>
    </row>
    <row r="43" spans="1:38" ht="15" customHeight="1" x14ac:dyDescent="0.15">
      <c r="A43" s="205" t="s">
        <v>231</v>
      </c>
      <c r="B43" s="112">
        <v>0</v>
      </c>
    </row>
    <row r="44" spans="1:38" ht="15" customHeight="1" x14ac:dyDescent="0.15">
      <c r="A44" s="205" t="s">
        <v>232</v>
      </c>
      <c r="B44" s="112">
        <v>0</v>
      </c>
    </row>
    <row r="45" spans="1:38" ht="15" customHeight="1" x14ac:dyDescent="0.15">
      <c r="A45" s="205" t="s">
        <v>233</v>
      </c>
      <c r="B45" s="112">
        <v>0</v>
      </c>
    </row>
    <row r="46" spans="1:38" ht="15" customHeight="1" x14ac:dyDescent="0.15">
      <c r="A46" s="205" t="s">
        <v>234</v>
      </c>
      <c r="B46" s="112">
        <v>0</v>
      </c>
    </row>
    <row r="47" spans="1:38" ht="15" customHeight="1" x14ac:dyDescent="0.15">
      <c r="A47" s="205" t="s">
        <v>235</v>
      </c>
      <c r="B47" s="112">
        <v>0</v>
      </c>
    </row>
    <row r="48" spans="1:38" ht="15" customHeight="1" x14ac:dyDescent="0.15">
      <c r="A48" s="205" t="s">
        <v>236</v>
      </c>
      <c r="B48" s="112">
        <v>0</v>
      </c>
    </row>
    <row r="49" spans="1:38" ht="15" customHeight="1" x14ac:dyDescent="0.15">
      <c r="A49" s="205" t="s">
        <v>237</v>
      </c>
      <c r="B49" s="112">
        <v>0</v>
      </c>
    </row>
    <row r="50" spans="1:38" ht="15" customHeight="1" x14ac:dyDescent="0.15">
      <c r="A50" s="205" t="s">
        <v>238</v>
      </c>
      <c r="B50" s="112">
        <v>0</v>
      </c>
    </row>
    <row r="51" spans="1:38" ht="15" customHeight="1" x14ac:dyDescent="0.15">
      <c r="A51" s="205" t="s">
        <v>239</v>
      </c>
      <c r="B51" s="112">
        <v>0</v>
      </c>
    </row>
    <row r="52" spans="1:38" ht="15" customHeight="1" x14ac:dyDescent="0.15">
      <c r="A52" s="205" t="s">
        <v>240</v>
      </c>
      <c r="B52" s="112">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205" t="s">
        <v>241</v>
      </c>
      <c r="B53" s="112">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2022-10-24T04:58:40Z</dcterms:modified>
</cp:coreProperties>
</file>