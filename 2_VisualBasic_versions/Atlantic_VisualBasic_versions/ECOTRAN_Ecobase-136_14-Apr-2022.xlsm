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F5949188-D2DF-8646-9BF0-0B43D272502E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Main!$C$2:$N$48</definedName>
    <definedName name="matDetritus">Detritus!$C$2:$E$48</definedName>
    <definedName name="matDiet">Diets!$B$2:$AR$47</definedName>
    <definedName name="matDiscards">Discards!$C$2:$D$46</definedName>
    <definedName name="matFishery">Fishing!$C$2:$D$46</definedName>
    <definedName name="matFishing">Fishing!#REF!</definedName>
    <definedName name="matMort">Mortalities!$A$1:$AX$46</definedName>
    <definedName name="matOut">MainOutputs!$A$2:$I$48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<sst xmlns="http://schemas.openxmlformats.org/spreadsheetml/2006/main" count="1260" uniqueCount="245">
  <si>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</si>
  <si>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</si>
  <si>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</si>
  <si>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</si>
  <si>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</si>
  <si>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</si>
  <si>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</si>
  <si>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</si>
  <si>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</si>
  <si>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</si>
  <si>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</si>
  <si>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</si>
  <si>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</si>
  <si>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</si>
  <si>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</si>
  <si>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</si>
  <si>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</si>
  <si>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</si>
  <si>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</si>
  <si>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</si>
  <si>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</si>
  <si>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</si>
  <si>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</si>
  <si>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</si>
  <si>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</si>
  <si>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</si>
  <si>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</si>
  <si>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</si>
  <si>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</si>
  <si>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</si>
  <si>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</si>
  <si>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</si>
  <si>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</si>
  <si>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</si>
  <si>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</si>
  <si>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</si>
  <si>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</si>
  <si>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</si>
  <si>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</si>
  <si>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</si>
  <si>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</si>
  <si>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</si>
  <si>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</si>
  <si>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</si>
  <si>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</si>
  <si>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</si>
  <si>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</si>
  <si>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</si>
  <si>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</si>
  <si>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</si>
  <si>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</si>
  <si>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</si>
  <si>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</si>
  <si>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</si>
  <si>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</si>
  <si>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</si>
  <si>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</si>
  <si>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</si>
  <si>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</si>
  <si>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</si>
  <si>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</si>
  <si>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</si>
  <si>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</si>
  <si>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</si>
  <si>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</si>
  <si>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</si>
  <si>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</si>
  <si>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</si>
  <si>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</si>
  <si>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</si>
  <si>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</si>
  <si>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</si>
  <si>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</si>
  <si>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</si>
  <si>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</si>
  <si>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</si>
  <si>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</si>
  <si>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</si>
  <si>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</si>
  <si>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</si>
  <si>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</si>
  <si>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</si>
  <si>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</si>
  <si>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</si>
  <si>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</si>
  <si>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</si>
  <si>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</si>
  <si>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</si>
  <si>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</si>
  <si>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</si>
  <si>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</si>
  <si>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</si>
  <si>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</si>
  <si>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</si>
  <si>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</si>
  <si>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</si>
  <si>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</si>
  <si>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</si>
  <si>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</si>
  <si>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</si>
  <si>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</si>
  <si>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</si>
  <si>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</si>
  <si>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</si>
  <si>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</si>
  <si>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</si>
  <si>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</si>
  <si>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</si>
  <si>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</si>
  <si>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</si>
  <si>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</si>
  <si>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</si>
  <si>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</si>
  <si>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</si>
  <si>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</si>
  <si>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</si>
  <si>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</si>
  <si>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</si>
  <si>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</si>
  <si>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</si>
  <si>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</si>
  <si>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</si>
  <si>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</si>
  <si>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</si>
  <si>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</si>
  <si>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</si>
  <si>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</si>
  <si>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</si>
  <si>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</si>
  <si>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</si>
  <si>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</si>
  <si>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</si>
  <si>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</si>
  <si>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</si>
  <si>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</si>
  <si>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</si>
  <si>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</si>
  <si>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</si>
  <si>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</si>
  <si>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</si>
  <si>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</si>
  <si>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</si>
  <si>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</si>
  <si>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</si>
  <si>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</si>
  <si>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</si>
  <si>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</si>
  <si>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</si>
  <si>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</si>
  <si>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</si>
  <si>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</si>
  <si>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</si>
  <si>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</si>
  <si>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</si>
  <si>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</si>
  <si>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</si>
  <si>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</si>
  <si>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</si>
  <si>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</si>
  <si>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</si>
  <si>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</si>
  <si>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</si>
  <si>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</si>
  <si>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</si>
  <si>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</si>
  <si>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</si>
  <si>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</si>
  <si>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</si>
  <si>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</si>
  <si>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</si>
  <si>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</si>
  <si>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</si>
  <si>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</si>
  <si>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</si>
  <si>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</si>
  <si>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</si>
  <si>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</si>
  <si>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</si>
  <si>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</si>
  <si>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</si>
  <si>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</si>
  <si>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</si>
  <si>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</si>
  <si>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</si>
  <si>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</si>
  <si>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Sierra Leone 1978</t>
  </si>
  <si>
    <t>Sierra Leone</t>
  </si>
  <si>
    <t>BOX(-16.2272958506799 3.9965055861276,-11.4250418750915 9.094973358341)</t>
  </si>
  <si>
    <t>continental shelf</t>
  </si>
  <si>
    <t>WetWeight</t>
  </si>
  <si>
    <t>This model was constructed using biomasses from the Russian trawl survey and catches obtained from Brianard (1980) and Lim &amp;amp; Zang (1980) in                    FAO. 1980. Report of the second ad hoc working group on Coastal demersal stocks from Southern Mauritania to Liberia (CECAF Statistical Divisions 34.3.1 and 34.3.3). CECAF/ECAF Report 80/23, Centre de Reserches Oceanographiques de Dakar-Thiaroye, Dakar Senegal.; 6/6/02 12:32:57 PM; 06-Jun-02 17:29:32; 06-Jun-02 17:31:54; 06-Jun-02 17:35:00</t>
  </si>
  <si>
    <t>Heymans J.J.,Vakily J.M.(2004). Structure and dynamics of the marine ecosystem off Sierra Leone for three time periods: 1964, 1978, 1990 West African marine ecosystems: models and fisheries impacts. pp 160-169. In Palomares M.L.D.,Pauly D.</t>
  </si>
  <si>
    <t>Baleen whales</t>
  </si>
  <si>
    <t>Toothed whales and dolphins</t>
  </si>
  <si>
    <t>Turtles</t>
  </si>
  <si>
    <t>Seabirds</t>
  </si>
  <si>
    <t>L Deep Sharks and Rays</t>
  </si>
  <si>
    <t>L Coastal Sharks and Rays</t>
  </si>
  <si>
    <t>M Deep Sharks and Rays</t>
  </si>
  <si>
    <t>M Coastal Sharks and Rays</t>
  </si>
  <si>
    <t>Large Tuna</t>
  </si>
  <si>
    <t>Small Tuna</t>
  </si>
  <si>
    <t>Large pelagic predators</t>
  </si>
  <si>
    <t>Jacks</t>
  </si>
  <si>
    <t>Small pelagic predators</t>
  </si>
  <si>
    <t>Small pelagic invert feeders</t>
  </si>
  <si>
    <t>Scads and mackerels</t>
  </si>
  <si>
    <t>Bongo shad</t>
  </si>
  <si>
    <t>Sardinellas</t>
  </si>
  <si>
    <t>Groupers</t>
  </si>
  <si>
    <t>Croackers</t>
  </si>
  <si>
    <t>Gaint African Threadfin</t>
  </si>
  <si>
    <t>Large demersal predators</t>
  </si>
  <si>
    <t>Large demersal invert feeders</t>
  </si>
  <si>
    <t>Medium demersal predators</t>
  </si>
  <si>
    <t>Catfish</t>
  </si>
  <si>
    <t>Sickle-and spadefish</t>
  </si>
  <si>
    <t>Mullets and other herbivores</t>
  </si>
  <si>
    <t>Lesser African Threadfin</t>
  </si>
  <si>
    <t>Medium demersal invert feeders</t>
  </si>
  <si>
    <t>Small demersal predators</t>
  </si>
  <si>
    <t>Royal Threadfin</t>
  </si>
  <si>
    <t>Small demersal invert feeders</t>
  </si>
  <si>
    <t>Large Bathydem predators</t>
  </si>
  <si>
    <t>SM Bathydem invert feeders</t>
  </si>
  <si>
    <t>Large Bathypelagic predators</t>
  </si>
  <si>
    <t>M Bathypelagic invert feeders</t>
  </si>
  <si>
    <t>Small Bathypelagic predators</t>
  </si>
  <si>
    <t>Mesopelagics</t>
  </si>
  <si>
    <t>Cephalopods</t>
  </si>
  <si>
    <t>Crustaceans</t>
  </si>
  <si>
    <t>Benthos</t>
  </si>
  <si>
    <t>Carnivorous zooplankton</t>
  </si>
  <si>
    <t>Herbivorous zooplankton</t>
  </si>
  <si>
    <t>Primary producers</t>
  </si>
  <si>
    <t>Detritus</t>
  </si>
  <si>
    <t>detritus_TerminalBenthic</t>
  </si>
  <si>
    <t>Artisanal fleet</t>
  </si>
  <si>
    <t>Industrial fleet</t>
  </si>
  <si>
    <t>Import</t>
  </si>
  <si>
    <t>export</t>
  </si>
  <si>
    <t>sum</t>
  </si>
  <si>
    <t>TOTAL</t>
  </si>
  <si>
    <t>F Artisanal fleet</t>
  </si>
  <si>
    <t>F Industrial fleet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</si>
</sst>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8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FF9E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FF5D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FFA1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FF2000"/>
        <bgColor indexed="64"/>
      </patternFill>
    </fill>
    <fill>
      <patternFill patternType="solid">
        <fgColor rgb="FFFFFA00"/>
        <bgColor indexed="64"/>
      </patternFill>
    </fill>
    <fill>
      <patternFill patternType="solid">
        <fgColor rgb="FFFFDD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B3FF00"/>
        <bgColor indexed="64"/>
      </patternFill>
    </fill>
    <fill>
      <patternFill patternType="solid">
        <fgColor rgb="FFCF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FFCA00"/>
        <bgColor indexed="64"/>
      </patternFill>
    </fill>
    <fill>
      <patternFill patternType="solid">
        <fgColor rgb="FFEC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05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" fillId="0" borderId="0" xfId="0" applyFont="1" applyAlignment="1">
      <alignment horizontal="center"/>
    </xf>
    <xf numFmtId="0" fontId="0" fillId="37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8" borderId="3" xfId="0" applyNumberFormat="1" applyFont="1" applyFill="1" applyBorder="1"/>
    <xf numFmtId="0" fontId="0" fillId="38" borderId="2" xfId="0" applyFont="1" applyFill="1" applyBorder="1"/>
    <xf numFmtId="0" fontId="0" fillId="38" borderId="3" xfId="0" applyFont="1" applyFill="1" applyBorder="1"/>
    <xf numFmtId="0" fontId="0" fillId="3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430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80" t="s">
        <v>171</v>
      </c>
      <c r="C53" s="110">
        <v>136</v>
      </c>
      <c r="D53" s="110"/>
    </row>
    <row r="54" spans="2:4" x14ac:dyDescent="0.15">
      <c r="B54" s="180" t="s">
        <v>172</v>
      </c>
      <c r="C54" s="180" t="s">
        <v>185</v>
      </c>
      <c r="D54" s="110"/>
    </row>
    <row r="55" spans="2:4" x14ac:dyDescent="0.15">
      <c r="B55" s="180" t="s">
        <v>173</v>
      </c>
      <c r="C55" s="180" t="s">
        <v>186</v>
      </c>
      <c r="D55" s="110"/>
    </row>
    <row r="56" spans="2:4" x14ac:dyDescent="0.15">
      <c r="B56" s="180" t="s">
        <v>174</v>
      </c>
      <c r="C56" s="110">
        <v>168000</v>
      </c>
      <c r="D56" s="110"/>
    </row>
    <row r="57" spans="2:4" x14ac:dyDescent="0.15">
      <c r="B57" s="180" t="s">
        <v>175</v>
      </c>
      <c r="C57" s="180" t="s">
        <v>187</v>
      </c>
      <c r="D57" s="110"/>
    </row>
    <row r="58" spans="2:4" x14ac:dyDescent="0.15">
      <c r="B58" s="180" t="s">
        <v>176</v>
      </c>
      <c r="C58" s="180" t="s">
        <v>188</v>
      </c>
      <c r="D58" s="110"/>
    </row>
    <row r="59" spans="2:4" x14ac:dyDescent="0.15">
      <c r="B59" s="180" t="s">
        <v>177</v>
      </c>
      <c r="C59" s="180" t="s">
        <v>189</v>
      </c>
      <c r="D59" s="110"/>
    </row>
    <row r="60" spans="2:4" x14ac:dyDescent="0.15">
      <c r="B60" s="180" t="s">
        <v>178</v>
      </c>
      <c r="C60" s="180" t="s">
        <v>190</v>
      </c>
      <c r="D60" s="110"/>
    </row>
    <row r="61" spans="2:4" x14ac:dyDescent="0.15">
      <c r="B61" s="180" t="s">
        <v>179</v>
      </c>
      <c r="C61" s="110">
        <v>44</v>
      </c>
      <c r="D61" s="110"/>
    </row>
    <row r="62" spans="2:4" x14ac:dyDescent="0.15">
      <c r="B62" s="180" t="s">
        <v>180</v>
      </c>
      <c r="C62" s="110">
        <v>2</v>
      </c>
      <c r="D62" s="110"/>
    </row>
    <row r="63" spans="2:4" x14ac:dyDescent="0.15">
      <c r="B63" s="180" t="s">
        <v>181</v>
      </c>
      <c r="C63" s="110">
        <v>1978</v>
      </c>
      <c r="D63" s="110"/>
    </row>
    <row r="64" spans="2:4" x14ac:dyDescent="0.15">
      <c r="B64" s="180" t="s">
        <v>182</v>
      </c>
      <c r="C64" s="110">
        <v>1</v>
      </c>
      <c r="D64" s="110"/>
    </row>
    <row r="65" spans="2:4" x14ac:dyDescent="0.15">
      <c r="B65" s="180" t="s">
        <v>183</v>
      </c>
      <c r="C65" s="180" t="s">
        <v>191</v>
      </c>
      <c r="D65" s="110"/>
    </row>
    <row r="66" spans="2:4" x14ac:dyDescent="0.15">
      <c r="B66" s="180" t="s">
        <v>184</v>
      </c>
      <c r="D66" s="110"/>
    </row>
    <row r="67" spans="2:4" x14ac:dyDescent="0.15">
      <c r="B67" s="110"/>
      <c r="C67" s="110"/>
      <c r="D67" s="110"/>
    </row>
    <row r="68" spans="2:4" x14ac:dyDescent="0.15">
      <c r="B68" s="110"/>
      <c r="C68" s="110"/>
      <c r="D68" s="110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83" customWidth="1"/>
    <col min="2" max="3" width="3.33203125" style="83" customWidth="1"/>
    <col min="4" max="4" width="14.33203125" style="83" customWidth="1"/>
    <col min="5" max="5" width="27.5" style="83" bestFit="1" customWidth="1"/>
    <col min="6" max="6" width="2.33203125" style="83" bestFit="1" customWidth="1"/>
    <col min="7" max="7" width="13.83203125" style="83" bestFit="1" customWidth="1"/>
    <col min="8" max="8" width="11.83203125" style="83" customWidth="1"/>
    <col min="9" max="9" width="10.83203125" style="83" customWidth="1"/>
    <col min="10" max="10" width="12.83203125" style="83" customWidth="1"/>
    <col min="11" max="11" width="14.83203125" style="83" customWidth="1"/>
    <col min="12" max="12" width="2.33203125" style="83" customWidth="1"/>
    <col min="13" max="13" width="3.83203125" style="83" customWidth="1"/>
    <col min="14" max="14" width="2.33203125" style="83" customWidth="1"/>
    <col min="16" max="25" width="8.83203125" style="8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3"/>
  </cols>
  <sheetData>
    <row r="1" spans="1:46" s="100" customFormat="1" ht="15" customHeight="1" x14ac:dyDescent="0.15">
      <c r="A1" s="79" t="s">
        <v>18</v>
      </c>
      <c r="C1" s="80" t="s">
        <v>8</v>
      </c>
      <c r="D1" s="79" t="s">
        <v>23</v>
      </c>
      <c r="E1" s="79" t="s">
        <v>0</v>
      </c>
      <c r="F1" s="79" t="s">
        <v>7</v>
      </c>
      <c r="G1" s="81" t="s">
        <v>13</v>
      </c>
      <c r="H1" s="79" t="s">
        <v>1</v>
      </c>
      <c r="I1" s="79" t="s">
        <v>2</v>
      </c>
      <c r="J1" s="79" t="s">
        <v>14</v>
      </c>
      <c r="K1" s="79" t="s">
        <v>3</v>
      </c>
      <c r="L1" s="79" t="s">
        <v>4</v>
      </c>
      <c r="M1" s="79" t="s">
        <v>5</v>
      </c>
      <c r="N1" s="7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0">
        <v>1</v>
      </c>
      <c r="D2"/>
      <c r="E2" s="181" t="s">
        <v>192</v>
      </c>
      <c r="F2" s="83">
        <v>0</v>
      </c>
      <c r="G2" s="83">
        <v>3.0901137700000001E-2</v>
      </c>
      <c r="H2" s="83">
        <v>0.02</v>
      </c>
      <c r="I2" s="6">
        <v>4.8534393299999996</v>
      </c>
      <c r="J2" s="6">
        <v>0.37534780000000001</v>
      </c>
      <c r="K2" s="6">
        <v>4.1207889999999997E-3</v>
      </c>
      <c r="L2" s="6">
        <v>0</v>
      </c>
      <c r="M2" s="83">
        <v>0.2</v>
      </c>
      <c r="N2" s="83">
        <v>0</v>
      </c>
    </row>
    <row r="3" spans="1:46" ht="15" customHeight="1" x14ac:dyDescent="0.15">
      <c r="A3" s="1" t="s">
        <v>9</v>
      </c>
      <c r="B3" s="4">
        <v>43</v>
      </c>
      <c r="C3" s="83">
        <v>2</v>
      </c>
      <c r="D3"/>
      <c r="E3" s="181" t="s">
        <v>193</v>
      </c>
      <c r="F3" s="83">
        <v>0</v>
      </c>
      <c r="G3" s="83">
        <v>6.1803314800000002E-2</v>
      </c>
      <c r="H3" s="83">
        <v>7.0000000000000007E-2</v>
      </c>
      <c r="I3" s="83">
        <v>14.553226499999999</v>
      </c>
      <c r="J3" s="83">
        <v>0.19041003300000001</v>
      </c>
      <c r="K3" s="83">
        <v>4.8099299999999996E-3</v>
      </c>
      <c r="L3" s="83">
        <v>0</v>
      </c>
      <c r="M3" s="83">
        <v>0.2</v>
      </c>
      <c r="N3" s="83">
        <v>0</v>
      </c>
    </row>
    <row r="4" spans="1:46" ht="15" customHeight="1" x14ac:dyDescent="0.15">
      <c r="A4" s="1" t="s">
        <v>10</v>
      </c>
      <c r="B4" s="4">
        <v>2</v>
      </c>
      <c r="C4" s="83">
        <v>3</v>
      </c>
      <c r="D4"/>
      <c r="E4" s="181" t="s">
        <v>194</v>
      </c>
      <c r="F4" s="83">
        <v>0</v>
      </c>
      <c r="G4" s="83">
        <v>2.1075469999999999E-2</v>
      </c>
      <c r="H4" s="83">
        <v>0.15</v>
      </c>
      <c r="I4" s="83">
        <v>3.5</v>
      </c>
      <c r="J4" s="83">
        <v>0.95</v>
      </c>
      <c r="K4" s="83">
        <v>4.2857144E-2</v>
      </c>
      <c r="L4" s="83">
        <v>0</v>
      </c>
      <c r="M4" s="83">
        <v>0.2</v>
      </c>
      <c r="N4" s="8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83">
        <v>4</v>
      </c>
      <c r="D5"/>
      <c r="E5" s="181" t="s">
        <v>195</v>
      </c>
      <c r="F5" s="83">
        <v>0</v>
      </c>
      <c r="G5" s="83">
        <v>5.0000000000000001E-3</v>
      </c>
      <c r="H5" s="83">
        <v>1.4999999999999999E-2</v>
      </c>
      <c r="I5" s="83">
        <v>86.405640000000005</v>
      </c>
      <c r="J5" s="83">
        <v>2.43590232E-2</v>
      </c>
      <c r="K5" s="83">
        <v>1.7359977900000001E-4</v>
      </c>
      <c r="L5" s="83">
        <v>0</v>
      </c>
      <c r="M5" s="83">
        <v>0.2</v>
      </c>
      <c r="N5" s="83">
        <v>0</v>
      </c>
      <c r="P5" s="72"/>
      <c r="Q5" s="72"/>
      <c r="R5" s="72"/>
    </row>
    <row r="6" spans="1:46" ht="15" customHeight="1" thickBot="1" x14ac:dyDescent="0.2">
      <c r="B6" s="1"/>
      <c r="C6" s="83">
        <v>5</v>
      </c>
      <c r="D6"/>
      <c r="E6" s="181" t="s">
        <v>196</v>
      </c>
      <c r="F6" s="83">
        <v>0</v>
      </c>
      <c r="G6" s="83">
        <v>5.4530480000000003E-3</v>
      </c>
      <c r="H6" s="83">
        <v>0.2</v>
      </c>
      <c r="I6" s="83">
        <v>4.4647410000000001</v>
      </c>
      <c r="J6" s="83">
        <v>4.271614E-2</v>
      </c>
      <c r="K6" s="83">
        <v>4.4795429999999997E-2</v>
      </c>
      <c r="L6" s="83">
        <v>0</v>
      </c>
      <c r="M6" s="83">
        <v>0.2</v>
      </c>
      <c r="N6" s="83">
        <v>0</v>
      </c>
      <c r="P6" s="72"/>
      <c r="Q6" s="72"/>
      <c r="R6" s="72"/>
      <c r="W6" s="35" t="s">
        <v>31</v>
      </c>
      <c r="X6" s="51">
        <f>MAX(MainOutputs!G:G)</f>
        <v>0.95000314712524414</v>
      </c>
    </row>
    <row r="7" spans="1:46" ht="15" customHeight="1" x14ac:dyDescent="0.15">
      <c r="A7" s="2" t="s">
        <v>27</v>
      </c>
      <c r="B7" s="83">
        <f ca="1">COUNTIF(OFFSET(cornerDiets,1,1,NumLiving+NumDead+1,NumLiving+NumDead),"&gt;0")+NumLiving+NumDead+1</f>
        <v>464</v>
      </c>
      <c r="C7" s="83">
        <v>6</v>
      </c>
      <c r="D7"/>
      <c r="E7" s="181" t="s">
        <v>197</v>
      </c>
      <c r="F7" s="83">
        <v>0</v>
      </c>
      <c r="G7" s="83">
        <v>2.02808343E-3</v>
      </c>
      <c r="H7" s="83">
        <v>0.28319278399999998</v>
      </c>
      <c r="I7" s="83">
        <v>4.503171</v>
      </c>
      <c r="J7" s="83">
        <v>0.95</v>
      </c>
      <c r="K7" s="83">
        <v>6.2887415299999999E-2</v>
      </c>
      <c r="L7" s="83">
        <v>0</v>
      </c>
      <c r="M7" s="83">
        <v>0.2</v>
      </c>
      <c r="N7" s="83">
        <v>0</v>
      </c>
      <c r="P7" s="72"/>
      <c r="Q7" s="72"/>
      <c r="R7" s="72"/>
    </row>
    <row r="8" spans="1:46" ht="15" customHeight="1" x14ac:dyDescent="0.15">
      <c r="A8" s="2" t="s">
        <v>28</v>
      </c>
      <c r="B8" s="83">
        <f ca="1">COUNTIF(OFFSET(cornerFishing,1,2,NumLiving+NumDead,NumGears),"&gt;0")+NumDead*COUNTIF(OFFSET(cornerDiscards,1,2,NumLiving+NumDead,NumGears),"&gt;0")+NumLiving+NumDead+1</f>
        <v>93</v>
      </c>
      <c r="C8" s="83">
        <v>7</v>
      </c>
      <c r="D8"/>
      <c r="E8" s="181" t="s">
        <v>198</v>
      </c>
      <c r="F8" s="83">
        <v>0</v>
      </c>
      <c r="G8" s="83">
        <v>3.0426271299999999E-3</v>
      </c>
      <c r="H8" s="83">
        <v>0.4</v>
      </c>
      <c r="I8" s="83">
        <v>7.988982</v>
      </c>
      <c r="J8" s="83">
        <v>0.95</v>
      </c>
      <c r="K8" s="83">
        <v>5.0068955900000003E-2</v>
      </c>
      <c r="L8" s="83">
        <v>0</v>
      </c>
      <c r="M8" s="83">
        <v>0.2</v>
      </c>
      <c r="N8" s="83">
        <v>0</v>
      </c>
      <c r="P8" s="72"/>
      <c r="Q8" s="72"/>
      <c r="R8" s="72"/>
    </row>
    <row r="9" spans="1:46" ht="15" customHeight="1" x14ac:dyDescent="0.15">
      <c r="B9" s="1"/>
      <c r="C9" s="83">
        <v>8</v>
      </c>
      <c r="D9"/>
      <c r="E9" s="181" t="s">
        <v>199</v>
      </c>
      <c r="F9" s="83">
        <v>0</v>
      </c>
      <c r="G9" s="83">
        <v>7.2112865700000001E-2</v>
      </c>
      <c r="H9" s="83">
        <v>0.4</v>
      </c>
      <c r="I9" s="83">
        <v>7.988982</v>
      </c>
      <c r="J9" s="83">
        <v>0.95</v>
      </c>
      <c r="K9" s="83">
        <v>5.0068955900000003E-2</v>
      </c>
      <c r="L9" s="83">
        <v>0</v>
      </c>
      <c r="M9" s="83">
        <v>0.2</v>
      </c>
      <c r="N9" s="83">
        <v>0</v>
      </c>
      <c r="P9" s="72"/>
      <c r="Q9" s="72"/>
      <c r="R9" s="72"/>
    </row>
    <row r="10" spans="1:46" ht="15" customHeight="1" x14ac:dyDescent="0.15">
      <c r="B10" s="1"/>
      <c r="C10" s="83">
        <v>9</v>
      </c>
      <c r="D10"/>
      <c r="E10" s="181" t="s">
        <v>200</v>
      </c>
      <c r="F10" s="83">
        <v>0</v>
      </c>
      <c r="G10" s="83">
        <v>6.6812736899999996E-3</v>
      </c>
      <c r="H10" s="83">
        <v>0.99</v>
      </c>
      <c r="I10" s="83">
        <v>4.8527927399999999</v>
      </c>
      <c r="J10" s="83">
        <v>0.95</v>
      </c>
      <c r="K10" s="83">
        <v>0.20400624000000001</v>
      </c>
      <c r="L10" s="83">
        <v>0</v>
      </c>
      <c r="M10" s="83">
        <v>0.2</v>
      </c>
      <c r="N10" s="83">
        <v>0</v>
      </c>
    </row>
    <row r="11" spans="1:46" ht="15" customHeight="1" x14ac:dyDescent="0.15">
      <c r="C11" s="83">
        <v>10</v>
      </c>
      <c r="D11"/>
      <c r="E11" s="181" t="s">
        <v>201</v>
      </c>
      <c r="F11" s="83">
        <v>0</v>
      </c>
      <c r="G11" s="83">
        <v>2.0419662799999998E-2</v>
      </c>
      <c r="H11" s="83">
        <v>0.83</v>
      </c>
      <c r="I11" s="83">
        <v>6.5991220000000004</v>
      </c>
      <c r="J11" s="83">
        <v>0.95</v>
      </c>
      <c r="K11" s="83">
        <v>0.125774309</v>
      </c>
      <c r="L11" s="83">
        <v>0</v>
      </c>
      <c r="M11" s="83">
        <v>0.2</v>
      </c>
      <c r="N11" s="83">
        <v>0</v>
      </c>
    </row>
    <row r="12" spans="1:46" ht="15" customHeight="1" x14ac:dyDescent="0.15">
      <c r="C12" s="83">
        <v>11</v>
      </c>
      <c r="D12"/>
      <c r="E12" s="181" t="s">
        <v>202</v>
      </c>
      <c r="F12" s="83">
        <v>0</v>
      </c>
      <c r="G12" s="83">
        <v>5.9148144E-2</v>
      </c>
      <c r="H12" s="83">
        <v>0.7</v>
      </c>
      <c r="I12" s="83">
        <v>6.2589519999999998</v>
      </c>
      <c r="J12" s="83">
        <v>0.95</v>
      </c>
      <c r="K12" s="83">
        <v>0.111839809</v>
      </c>
      <c r="L12" s="83">
        <v>0</v>
      </c>
      <c r="M12" s="83">
        <v>0.2</v>
      </c>
      <c r="N12" s="83">
        <v>0</v>
      </c>
    </row>
    <row r="13" spans="1:46" ht="15" customHeight="1" x14ac:dyDescent="0.15">
      <c r="C13" s="83">
        <v>12</v>
      </c>
      <c r="D13"/>
      <c r="E13" s="181" t="s">
        <v>203</v>
      </c>
      <c r="F13" s="83">
        <v>0</v>
      </c>
      <c r="G13" s="83">
        <v>0.102236673</v>
      </c>
      <c r="H13" s="83">
        <v>0.71</v>
      </c>
      <c r="I13" s="83">
        <v>9.4623969999999993</v>
      </c>
      <c r="J13" s="83">
        <v>0.95</v>
      </c>
      <c r="K13" s="83">
        <v>7.5033840000000004E-2</v>
      </c>
      <c r="L13" s="83">
        <v>0</v>
      </c>
      <c r="M13" s="83">
        <v>0.2</v>
      </c>
      <c r="N13" s="83">
        <v>0</v>
      </c>
    </row>
    <row r="14" spans="1:46" ht="15" customHeight="1" x14ac:dyDescent="0.15">
      <c r="C14" s="83">
        <v>13</v>
      </c>
      <c r="D14"/>
      <c r="E14" s="181" t="s">
        <v>204</v>
      </c>
      <c r="F14" s="83">
        <v>0</v>
      </c>
      <c r="G14" s="83">
        <v>0.17984618199999999</v>
      </c>
      <c r="H14" s="83">
        <v>1.39</v>
      </c>
      <c r="I14" s="83">
        <v>14.074999999999999</v>
      </c>
      <c r="J14" s="83">
        <v>0.41326701599999999</v>
      </c>
      <c r="K14" s="83">
        <v>9.8756659999999996E-2</v>
      </c>
      <c r="L14" s="83">
        <v>0</v>
      </c>
      <c r="M14" s="83">
        <v>0.2</v>
      </c>
      <c r="N14" s="83">
        <v>0</v>
      </c>
    </row>
    <row r="15" spans="1:46" ht="15" customHeight="1" x14ac:dyDescent="0.15">
      <c r="C15" s="83">
        <v>14</v>
      </c>
      <c r="D15"/>
      <c r="E15" s="181" t="s">
        <v>205</v>
      </c>
      <c r="F15" s="83">
        <v>0</v>
      </c>
      <c r="G15" s="83">
        <v>1.0963105</v>
      </c>
      <c r="H15" s="83">
        <v>2.5835504500000002</v>
      </c>
      <c r="I15" s="83">
        <v>13.646124800000001</v>
      </c>
      <c r="J15" s="83">
        <v>0.95</v>
      </c>
      <c r="K15" s="83">
        <v>0.18932484099999999</v>
      </c>
      <c r="L15" s="83">
        <v>0</v>
      </c>
      <c r="M15" s="83">
        <v>0.2</v>
      </c>
      <c r="N15" s="83">
        <v>0</v>
      </c>
    </row>
    <row r="16" spans="1:46" ht="15" customHeight="1" x14ac:dyDescent="0.15">
      <c r="C16" s="83">
        <v>15</v>
      </c>
      <c r="D16"/>
      <c r="E16" s="181" t="s">
        <v>206</v>
      </c>
      <c r="F16" s="83">
        <v>0</v>
      </c>
      <c r="G16" s="83">
        <v>0.562963247</v>
      </c>
      <c r="H16" s="83">
        <v>1.07</v>
      </c>
      <c r="I16" s="83">
        <v>10.063629199999999</v>
      </c>
      <c r="J16" s="83">
        <v>0.95</v>
      </c>
      <c r="K16" s="83">
        <v>0.106323481</v>
      </c>
      <c r="L16" s="83">
        <v>0</v>
      </c>
      <c r="M16" s="83">
        <v>0.2</v>
      </c>
      <c r="N16" s="83">
        <v>0</v>
      </c>
    </row>
    <row r="17" spans="1:22" ht="15" customHeight="1" x14ac:dyDescent="0.15">
      <c r="C17" s="83">
        <v>16</v>
      </c>
      <c r="D17"/>
      <c r="E17" s="181" t="s">
        <v>207</v>
      </c>
      <c r="F17" s="83">
        <v>0</v>
      </c>
      <c r="G17" s="83">
        <v>0.60344660000000006</v>
      </c>
      <c r="H17" s="83">
        <v>0.86</v>
      </c>
      <c r="I17" s="83">
        <v>13.5073557</v>
      </c>
      <c r="J17" s="83">
        <v>0.95</v>
      </c>
      <c r="K17" s="83">
        <v>6.3669009999999998E-2</v>
      </c>
      <c r="L17" s="83">
        <v>0</v>
      </c>
      <c r="M17" s="83">
        <v>0.2</v>
      </c>
      <c r="N17" s="83">
        <v>0</v>
      </c>
      <c r="V17" s="1" t="s">
        <v>30</v>
      </c>
    </row>
    <row r="18" spans="1:22" ht="15" customHeight="1" x14ac:dyDescent="0.15">
      <c r="C18" s="83">
        <v>17</v>
      </c>
      <c r="D18"/>
      <c r="E18" s="181" t="s">
        <v>208</v>
      </c>
      <c r="F18" s="83">
        <v>0</v>
      </c>
      <c r="G18" s="83">
        <v>1.04942811</v>
      </c>
      <c r="H18" s="83">
        <v>1.23</v>
      </c>
      <c r="I18" s="83">
        <v>11.825473799999999</v>
      </c>
      <c r="J18" s="83">
        <v>0.95</v>
      </c>
      <c r="K18" s="83">
        <v>0.10401275</v>
      </c>
      <c r="L18" s="83">
        <v>0</v>
      </c>
      <c r="M18" s="83">
        <v>0.2</v>
      </c>
      <c r="N18" s="83">
        <v>0</v>
      </c>
      <c r="V18" s="1"/>
    </row>
    <row r="19" spans="1:22" ht="15" customHeight="1" x14ac:dyDescent="0.15">
      <c r="C19" s="83">
        <v>18</v>
      </c>
      <c r="D19"/>
      <c r="E19" s="181" t="s">
        <v>209</v>
      </c>
      <c r="F19" s="83">
        <v>0</v>
      </c>
      <c r="G19" s="83">
        <v>7.6337929999999998E-3</v>
      </c>
      <c r="H19" s="83">
        <v>0.99254006100000003</v>
      </c>
      <c r="I19" s="83">
        <v>6.61693335</v>
      </c>
      <c r="J19" s="83">
        <v>7.9708959999999999E-3</v>
      </c>
      <c r="K19" s="83">
        <v>0.15</v>
      </c>
      <c r="L19" s="83">
        <v>0</v>
      </c>
      <c r="M19" s="83">
        <v>0.2</v>
      </c>
      <c r="N19" s="83">
        <v>0</v>
      </c>
    </row>
    <row r="20" spans="1:22" ht="15" customHeight="1" thickBot="1" x14ac:dyDescent="0.2">
      <c r="C20" s="83">
        <v>19</v>
      </c>
      <c r="D20"/>
      <c r="E20" s="181" t="s">
        <v>210</v>
      </c>
      <c r="F20" s="83">
        <v>0</v>
      </c>
      <c r="G20" s="83">
        <v>7.2010299999999999E-2</v>
      </c>
      <c r="H20" s="83">
        <v>1.18</v>
      </c>
      <c r="I20" s="83">
        <v>8.3724779999999992</v>
      </c>
      <c r="J20" s="83">
        <v>0.95</v>
      </c>
      <c r="K20" s="83">
        <v>0.140937969</v>
      </c>
      <c r="L20" s="83">
        <v>0</v>
      </c>
      <c r="M20" s="83">
        <v>0.2</v>
      </c>
      <c r="N20" s="83">
        <v>0</v>
      </c>
    </row>
    <row r="21" spans="1:22" ht="15" customHeight="1" thickBot="1" x14ac:dyDescent="0.2">
      <c r="A21" s="46" t="s">
        <v>137</v>
      </c>
      <c r="B21" s="101"/>
      <c r="C21" s="83">
        <v>20</v>
      </c>
      <c r="D21"/>
      <c r="E21" s="181" t="s">
        <v>211</v>
      </c>
      <c r="F21" s="83">
        <v>0</v>
      </c>
      <c r="G21" s="83">
        <v>1.309155E-2</v>
      </c>
      <c r="H21" s="83">
        <v>0.76</v>
      </c>
      <c r="I21" s="83">
        <v>8.3724779999999992</v>
      </c>
      <c r="J21" s="83">
        <v>0.95</v>
      </c>
      <c r="K21" s="83">
        <v>9.0773604800000005E-2</v>
      </c>
      <c r="L21" s="83">
        <v>0</v>
      </c>
      <c r="M21" s="83">
        <v>0.2</v>
      </c>
      <c r="N21" s="83">
        <v>0</v>
      </c>
    </row>
    <row r="22" spans="1:22" ht="15" customHeight="1" x14ac:dyDescent="0.15">
      <c r="A22" s="102" t="s">
        <v>58</v>
      </c>
      <c r="B22" s="103">
        <v>0</v>
      </c>
      <c r="C22" s="83">
        <v>21</v>
      </c>
      <c r="D22"/>
      <c r="E22" s="181" t="s">
        <v>212</v>
      </c>
      <c r="F22" s="83">
        <v>0</v>
      </c>
      <c r="G22" s="83">
        <v>4.6199999999999998E-2</v>
      </c>
      <c r="H22" s="83">
        <v>0.54942154899999995</v>
      </c>
      <c r="I22" s="83">
        <v>7.0868277500000003</v>
      </c>
      <c r="J22" s="83">
        <v>0.93106929999999999</v>
      </c>
      <c r="K22" s="83">
        <v>7.7527150000000003E-2</v>
      </c>
      <c r="L22" s="83">
        <v>0</v>
      </c>
      <c r="M22" s="83">
        <v>0.2</v>
      </c>
      <c r="N22" s="83">
        <v>0</v>
      </c>
    </row>
    <row r="23" spans="1:22" ht="15" customHeight="1" x14ac:dyDescent="0.15">
      <c r="A23" s="102" t="s">
        <v>59</v>
      </c>
      <c r="B23" s="103">
        <v>1</v>
      </c>
      <c r="C23" s="83">
        <v>22</v>
      </c>
      <c r="D23"/>
      <c r="E23" s="181" t="s">
        <v>213</v>
      </c>
      <c r="F23" s="83">
        <v>0</v>
      </c>
      <c r="G23" s="83">
        <v>1.3217350000000001E-3</v>
      </c>
      <c r="H23" s="83">
        <v>1.07</v>
      </c>
      <c r="I23" s="83">
        <v>7.7119999999999997</v>
      </c>
      <c r="J23" s="83">
        <v>2.8201872499999999E-2</v>
      </c>
      <c r="K23" s="83">
        <v>0.13874481599999999</v>
      </c>
      <c r="L23" s="83">
        <v>0</v>
      </c>
      <c r="M23" s="83">
        <v>0.2</v>
      </c>
      <c r="N23" s="83">
        <v>0</v>
      </c>
    </row>
    <row r="24" spans="1:22" ht="15" customHeight="1" x14ac:dyDescent="0.15">
      <c r="A24" s="102" t="s">
        <v>60</v>
      </c>
      <c r="B24" s="103">
        <v>2</v>
      </c>
      <c r="C24" s="83">
        <v>23</v>
      </c>
      <c r="D24"/>
      <c r="E24" s="181" t="s">
        <v>214</v>
      </c>
      <c r="F24" s="83">
        <v>0</v>
      </c>
      <c r="G24" s="83">
        <v>0.477443069</v>
      </c>
      <c r="H24" s="83">
        <v>0.72349750000000002</v>
      </c>
      <c r="I24" s="83">
        <v>9.8655410000000003</v>
      </c>
      <c r="J24" s="83">
        <v>0.29706475100000002</v>
      </c>
      <c r="K24" s="83">
        <v>7.3335810000000001E-2</v>
      </c>
      <c r="L24" s="83">
        <v>0</v>
      </c>
      <c r="M24" s="83">
        <v>0.2</v>
      </c>
      <c r="N24" s="83">
        <v>0</v>
      </c>
    </row>
    <row r="25" spans="1:22" ht="15" customHeight="1" thickBot="1" x14ac:dyDescent="0.2">
      <c r="A25" s="104" t="s">
        <v>44</v>
      </c>
      <c r="B25" s="105">
        <v>3</v>
      </c>
      <c r="C25" s="83">
        <v>24</v>
      </c>
      <c r="D25"/>
      <c r="E25" s="181" t="s">
        <v>215</v>
      </c>
      <c r="F25" s="83">
        <v>0</v>
      </c>
      <c r="G25" s="83">
        <v>4.2501490000000003E-2</v>
      </c>
      <c r="H25" s="83">
        <v>0.93</v>
      </c>
      <c r="I25" s="83">
        <v>8.3184595100000003</v>
      </c>
      <c r="J25" s="83">
        <v>0.95</v>
      </c>
      <c r="K25" s="83">
        <v>0.111799546</v>
      </c>
      <c r="L25" s="83">
        <v>0</v>
      </c>
      <c r="M25" s="83">
        <v>0.2</v>
      </c>
      <c r="N25" s="83">
        <v>0</v>
      </c>
    </row>
    <row r="26" spans="1:22" ht="15" customHeight="1" x14ac:dyDescent="0.15">
      <c r="A26" s="106" t="s">
        <v>140</v>
      </c>
      <c r="C26" s="83">
        <v>25</v>
      </c>
      <c r="D26"/>
      <c r="E26" s="181" t="s">
        <v>216</v>
      </c>
      <c r="F26" s="83">
        <v>0</v>
      </c>
      <c r="G26" s="83">
        <v>3.19620371E-2</v>
      </c>
      <c r="H26" s="83">
        <v>0.81</v>
      </c>
      <c r="I26" s="83">
        <v>10.366666800000001</v>
      </c>
      <c r="J26" s="83">
        <v>0.95</v>
      </c>
      <c r="K26" s="83">
        <v>7.8135049999999998E-2</v>
      </c>
      <c r="L26" s="83">
        <v>0</v>
      </c>
      <c r="M26" s="83">
        <v>0.2</v>
      </c>
      <c r="N26" s="83">
        <v>0</v>
      </c>
    </row>
    <row r="27" spans="1:22" ht="15" customHeight="1" x14ac:dyDescent="0.15">
      <c r="C27" s="83">
        <v>26</v>
      </c>
      <c r="D27"/>
      <c r="E27" s="181" t="s">
        <v>217</v>
      </c>
      <c r="F27" s="83">
        <v>0</v>
      </c>
      <c r="G27" s="83">
        <v>0.15038336799999999</v>
      </c>
      <c r="H27" s="83">
        <v>0.55000000000000004</v>
      </c>
      <c r="I27" s="83">
        <v>13.7146683</v>
      </c>
      <c r="J27" s="83">
        <v>0.95</v>
      </c>
      <c r="K27" s="83">
        <v>4.0103048099999997E-2</v>
      </c>
      <c r="L27" s="83">
        <v>0</v>
      </c>
      <c r="M27" s="83">
        <v>0.2</v>
      </c>
      <c r="N27" s="83">
        <v>0</v>
      </c>
    </row>
    <row r="28" spans="1:22" ht="15" customHeight="1" x14ac:dyDescent="0.15">
      <c r="C28" s="83">
        <v>27</v>
      </c>
      <c r="D28"/>
      <c r="E28" s="181" t="s">
        <v>218</v>
      </c>
      <c r="F28" s="83">
        <v>0</v>
      </c>
      <c r="G28" s="83">
        <v>6.7782655400000003E-2</v>
      </c>
      <c r="H28" s="83">
        <v>1.07</v>
      </c>
      <c r="I28" s="83">
        <v>9.0072150000000004</v>
      </c>
      <c r="J28" s="83">
        <v>0.95</v>
      </c>
      <c r="K28" s="83">
        <v>0.11879366600000001</v>
      </c>
      <c r="L28" s="83">
        <v>0</v>
      </c>
      <c r="M28" s="83">
        <v>0.2</v>
      </c>
      <c r="N28" s="83">
        <v>0</v>
      </c>
    </row>
    <row r="29" spans="1:22" customFormat="1" ht="15" customHeight="1" x14ac:dyDescent="0.15">
      <c r="C29" s="83">
        <v>28</v>
      </c>
      <c r="E29" s="181" t="s">
        <v>219</v>
      </c>
      <c r="F29" s="83">
        <v>0</v>
      </c>
      <c r="G29" s="83">
        <v>0.17500798400000001</v>
      </c>
      <c r="H29" s="83">
        <v>0.77</v>
      </c>
      <c r="I29" s="83">
        <v>10.8625975</v>
      </c>
      <c r="J29" s="83">
        <v>0.95</v>
      </c>
      <c r="K29" s="83">
        <v>7.08854347E-2</v>
      </c>
      <c r="L29" s="83">
        <v>0</v>
      </c>
      <c r="M29" s="83">
        <v>0.2</v>
      </c>
      <c r="N29" s="83">
        <v>0</v>
      </c>
    </row>
    <row r="30" spans="1:22" customFormat="1" ht="15" customHeight="1" x14ac:dyDescent="0.15">
      <c r="C30" s="83">
        <v>29</v>
      </c>
      <c r="E30" s="181" t="s">
        <v>220</v>
      </c>
      <c r="F30" s="83">
        <v>0</v>
      </c>
      <c r="G30" s="83">
        <v>0.108655423</v>
      </c>
      <c r="H30" s="83">
        <v>1.36</v>
      </c>
      <c r="I30" s="83">
        <v>12.134</v>
      </c>
      <c r="J30" s="83">
        <v>0.95</v>
      </c>
      <c r="K30" s="83">
        <v>0.112081759</v>
      </c>
      <c r="L30" s="83">
        <v>0</v>
      </c>
      <c r="M30" s="83">
        <v>0.2</v>
      </c>
      <c r="N30" s="83">
        <v>0</v>
      </c>
    </row>
    <row r="31" spans="1:22" customFormat="1" ht="15" customHeight="1" x14ac:dyDescent="0.15">
      <c r="C31" s="83">
        <v>30</v>
      </c>
      <c r="E31" s="181" t="s">
        <v>221</v>
      </c>
      <c r="F31" s="83">
        <v>0</v>
      </c>
      <c r="G31" s="83">
        <v>5.1715339999999999E-2</v>
      </c>
      <c r="H31" s="83">
        <v>1.56</v>
      </c>
      <c r="I31" s="83">
        <v>11.7</v>
      </c>
      <c r="J31" s="83">
        <v>0.95</v>
      </c>
      <c r="K31" s="83">
        <v>0.133333325</v>
      </c>
      <c r="L31" s="83">
        <v>0</v>
      </c>
      <c r="M31" s="83">
        <v>0.2</v>
      </c>
      <c r="N31" s="83">
        <v>0</v>
      </c>
    </row>
    <row r="32" spans="1:22" customFormat="1" ht="15" customHeight="1" x14ac:dyDescent="0.15">
      <c r="C32" s="83">
        <v>31</v>
      </c>
      <c r="E32" s="181" t="s">
        <v>222</v>
      </c>
      <c r="F32" s="83">
        <v>0</v>
      </c>
      <c r="G32" s="83">
        <v>0.36669334799999997</v>
      </c>
      <c r="H32" s="83">
        <v>1.06</v>
      </c>
      <c r="I32" s="83">
        <v>10.45</v>
      </c>
      <c r="J32" s="83">
        <v>0.95</v>
      </c>
      <c r="K32" s="83">
        <v>0.1014354</v>
      </c>
      <c r="L32" s="83">
        <v>0</v>
      </c>
      <c r="M32" s="83">
        <v>0.2</v>
      </c>
      <c r="N32" s="83">
        <v>0</v>
      </c>
    </row>
    <row r="33" spans="3:14" customFormat="1" ht="15" customHeight="1" x14ac:dyDescent="0.15">
      <c r="C33" s="83">
        <v>32</v>
      </c>
      <c r="E33" s="181" t="s">
        <v>223</v>
      </c>
      <c r="F33" s="83">
        <v>0</v>
      </c>
      <c r="G33" s="83">
        <v>3.0136519999999999E-3</v>
      </c>
      <c r="H33" s="83">
        <v>0.73370460000000004</v>
      </c>
      <c r="I33" s="83">
        <v>6.0045065900000001</v>
      </c>
      <c r="J33" s="83">
        <v>0.73051290000000002</v>
      </c>
      <c r="K33" s="83">
        <v>0.12219232300000001</v>
      </c>
      <c r="L33" s="83">
        <v>0</v>
      </c>
      <c r="M33" s="83">
        <v>0.2</v>
      </c>
      <c r="N33" s="83">
        <v>0</v>
      </c>
    </row>
    <row r="34" spans="3:14" customFormat="1" ht="15" customHeight="1" x14ac:dyDescent="0.15">
      <c r="C34" s="83">
        <v>33</v>
      </c>
      <c r="E34" s="181" t="s">
        <v>224</v>
      </c>
      <c r="F34" s="83">
        <v>0</v>
      </c>
      <c r="G34" s="83">
        <v>8.9413259999999994E-2</v>
      </c>
      <c r="H34" s="83">
        <v>0.52</v>
      </c>
      <c r="I34" s="83">
        <v>4.16794157</v>
      </c>
      <c r="J34" s="83">
        <v>0.95</v>
      </c>
      <c r="K34" s="83">
        <v>0.12476182</v>
      </c>
      <c r="L34" s="83">
        <v>0</v>
      </c>
      <c r="M34" s="83">
        <v>0.2</v>
      </c>
      <c r="N34" s="83">
        <v>0</v>
      </c>
    </row>
    <row r="35" spans="3:14" customFormat="1" ht="15" customHeight="1" x14ac:dyDescent="0.15">
      <c r="C35" s="83">
        <v>34</v>
      </c>
      <c r="E35" s="181" t="s">
        <v>225</v>
      </c>
      <c r="F35" s="83">
        <v>0</v>
      </c>
      <c r="G35" s="83">
        <v>6.0940597200000002E-2</v>
      </c>
      <c r="H35" s="83">
        <v>0.59</v>
      </c>
      <c r="I35" s="83">
        <v>5.2287629999999998</v>
      </c>
      <c r="J35" s="83">
        <v>0.95</v>
      </c>
      <c r="K35" s="83">
        <v>0.112837389</v>
      </c>
      <c r="L35" s="83">
        <v>0</v>
      </c>
      <c r="M35" s="83">
        <v>0.2</v>
      </c>
      <c r="N35" s="83">
        <v>0</v>
      </c>
    </row>
    <row r="36" spans="3:14" customFormat="1" ht="15" customHeight="1" x14ac:dyDescent="0.15">
      <c r="C36" s="83">
        <v>35</v>
      </c>
      <c r="E36" s="181" t="s">
        <v>226</v>
      </c>
      <c r="F36" s="83">
        <v>0</v>
      </c>
      <c r="G36" s="83">
        <v>9.0195275800000002E-2</v>
      </c>
      <c r="H36" s="83">
        <v>0.3</v>
      </c>
      <c r="I36" s="83">
        <v>4.7</v>
      </c>
      <c r="J36" s="83">
        <v>0.95</v>
      </c>
      <c r="K36" s="83">
        <v>6.3829794499999995E-2</v>
      </c>
      <c r="L36" s="83">
        <v>0</v>
      </c>
      <c r="M36" s="83">
        <v>0.2</v>
      </c>
      <c r="N36" s="83">
        <v>0</v>
      </c>
    </row>
    <row r="37" spans="3:14" customFormat="1" ht="15" customHeight="1" x14ac:dyDescent="0.15">
      <c r="C37" s="83">
        <v>36</v>
      </c>
      <c r="E37" s="181" t="s">
        <v>227</v>
      </c>
      <c r="F37" s="83">
        <v>0</v>
      </c>
      <c r="G37" s="83">
        <v>4.0432299999999997E-2</v>
      </c>
      <c r="H37" s="83">
        <v>0.8</v>
      </c>
      <c r="I37" s="83">
        <v>5</v>
      </c>
      <c r="J37" s="83">
        <v>0.95</v>
      </c>
      <c r="K37" s="83">
        <v>0.16</v>
      </c>
      <c r="L37" s="83">
        <v>0</v>
      </c>
      <c r="M37" s="83">
        <v>0.2</v>
      </c>
      <c r="N37" s="83">
        <v>0</v>
      </c>
    </row>
    <row r="38" spans="3:14" customFormat="1" ht="15" customHeight="1" x14ac:dyDescent="0.15">
      <c r="C38" s="83">
        <v>37</v>
      </c>
      <c r="E38" s="181" t="s">
        <v>228</v>
      </c>
      <c r="F38" s="83">
        <v>0</v>
      </c>
      <c r="G38" s="83">
        <v>3.566614</v>
      </c>
      <c r="H38" s="83">
        <v>2.72</v>
      </c>
      <c r="I38" s="83">
        <v>9.4987879999999993</v>
      </c>
      <c r="J38" s="83">
        <v>4.4202216000000003E-2</v>
      </c>
      <c r="K38" s="83">
        <v>0.28635233599999999</v>
      </c>
      <c r="L38" s="83">
        <v>0</v>
      </c>
      <c r="M38" s="83">
        <v>0.2</v>
      </c>
      <c r="N38" s="83">
        <v>0</v>
      </c>
    </row>
    <row r="39" spans="3:14" customFormat="1" ht="15" customHeight="1" x14ac:dyDescent="0.15">
      <c r="C39" s="83">
        <v>38</v>
      </c>
      <c r="E39" s="181" t="s">
        <v>229</v>
      </c>
      <c r="F39" s="83">
        <v>0</v>
      </c>
      <c r="G39" s="83">
        <v>0.65490013400000002</v>
      </c>
      <c r="H39" s="83">
        <v>2.5</v>
      </c>
      <c r="I39" s="83">
        <v>10</v>
      </c>
      <c r="J39" s="83">
        <v>0.95</v>
      </c>
      <c r="K39" s="83">
        <v>0.25</v>
      </c>
      <c r="L39" s="83">
        <v>0</v>
      </c>
      <c r="M39" s="83">
        <v>0.2</v>
      </c>
      <c r="N39" s="83">
        <v>0</v>
      </c>
    </row>
    <row r="40" spans="3:14" customFormat="1" ht="15" customHeight="1" x14ac:dyDescent="0.15">
      <c r="C40" s="83">
        <v>39</v>
      </c>
      <c r="E40" s="181" t="s">
        <v>230</v>
      </c>
      <c r="F40" s="83">
        <v>0</v>
      </c>
      <c r="G40" s="83">
        <v>3.8475906800000002</v>
      </c>
      <c r="H40" s="83">
        <v>5.5</v>
      </c>
      <c r="I40" s="83">
        <v>20</v>
      </c>
      <c r="J40" s="83">
        <v>0.95</v>
      </c>
      <c r="K40" s="83">
        <v>0.27500000000000002</v>
      </c>
      <c r="L40" s="83">
        <v>0</v>
      </c>
      <c r="M40" s="83">
        <v>0.2</v>
      </c>
      <c r="N40" s="83">
        <v>0</v>
      </c>
    </row>
    <row r="41" spans="3:14" customFormat="1" ht="15" customHeight="1" x14ac:dyDescent="0.15">
      <c r="C41" s="83">
        <v>40</v>
      </c>
      <c r="E41" s="181" t="s">
        <v>231</v>
      </c>
      <c r="F41" s="83">
        <v>0</v>
      </c>
      <c r="G41" s="83">
        <v>12.7396727</v>
      </c>
      <c r="H41" s="83">
        <v>5</v>
      </c>
      <c r="I41" s="83">
        <v>25</v>
      </c>
      <c r="J41" s="83">
        <v>0.95</v>
      </c>
      <c r="K41" s="83">
        <v>0.2</v>
      </c>
      <c r="L41" s="83">
        <v>0</v>
      </c>
      <c r="M41" s="83">
        <v>0.2</v>
      </c>
      <c r="N41" s="83">
        <v>0</v>
      </c>
    </row>
    <row r="42" spans="3:14" customFormat="1" ht="15" customHeight="1" x14ac:dyDescent="0.15">
      <c r="C42" s="83">
        <v>41</v>
      </c>
      <c r="E42" s="181" t="s">
        <v>232</v>
      </c>
      <c r="F42" s="83">
        <v>0</v>
      </c>
      <c r="G42" s="83">
        <v>2.2373783600000001</v>
      </c>
      <c r="H42" s="83">
        <v>10</v>
      </c>
      <c r="I42" s="83">
        <v>50</v>
      </c>
      <c r="J42" s="83">
        <v>0.95</v>
      </c>
      <c r="K42" s="83">
        <v>0.2</v>
      </c>
      <c r="L42" s="83">
        <v>0</v>
      </c>
      <c r="M42" s="83">
        <v>0.2</v>
      </c>
      <c r="N42" s="83">
        <v>0</v>
      </c>
    </row>
    <row r="43" spans="3:14" customFormat="1" ht="15" customHeight="1" x14ac:dyDescent="0.15">
      <c r="C43" s="83">
        <v>42</v>
      </c>
      <c r="E43" s="181" t="s">
        <v>233</v>
      </c>
      <c r="F43" s="83">
        <v>0</v>
      </c>
      <c r="G43" s="83">
        <v>4.7148003599999999</v>
      </c>
      <c r="H43" s="83">
        <v>40</v>
      </c>
      <c r="I43" s="83">
        <v>200</v>
      </c>
      <c r="J43" s="83">
        <v>0.95</v>
      </c>
      <c r="K43" s="83">
        <v>0.2</v>
      </c>
      <c r="L43" s="83">
        <v>0</v>
      </c>
      <c r="M43" s="83">
        <v>0.2</v>
      </c>
      <c r="N43" s="83">
        <v>0</v>
      </c>
    </row>
    <row r="44" spans="3:14" customFormat="1" ht="15" customHeight="1" x14ac:dyDescent="0.15">
      <c r="C44" s="83">
        <v>43</v>
      </c>
      <c r="E44" s="181" t="s">
        <v>234</v>
      </c>
      <c r="F44" s="83">
        <v>1</v>
      </c>
      <c r="G44" s="83">
        <v>24</v>
      </c>
      <c r="H44" s="83">
        <v>197</v>
      </c>
      <c r="I44" s="83">
        <v>0</v>
      </c>
      <c r="J44" s="83">
        <v>0.18630117199999999</v>
      </c>
      <c r="K44" s="83">
        <v>0</v>
      </c>
      <c r="L44" s="83">
        <v>0</v>
      </c>
      <c r="M44" s="83">
        <v>0</v>
      </c>
      <c r="N44" s="83">
        <v>0</v>
      </c>
    </row>
    <row r="45" spans="3:14" customFormat="1" ht="15" customHeight="1" x14ac:dyDescent="0.15">
      <c r="C45" s="83">
        <v>44</v>
      </c>
      <c r="E45" s="181" t="s">
        <v>235</v>
      </c>
      <c r="F45" s="83">
        <v>2</v>
      </c>
      <c r="G45" s="83">
        <v>153.31246899999999</v>
      </c>
      <c r="H45" s="83">
        <v>0</v>
      </c>
      <c r="I45" s="83">
        <v>0</v>
      </c>
      <c r="J45" s="83">
        <v>0</v>
      </c>
      <c r="K45" s="83">
        <v>0</v>
      </c>
      <c r="L45" s="83">
        <v>0</v>
      </c>
      <c r="M45" s="83">
        <v>0</v>
      </c>
      <c r="N45" s="83">
        <v>0</v>
      </c>
    </row>
    <row r="46" spans="3:14" customFormat="1" ht="15" customHeight="1" x14ac:dyDescent="0.15">
      <c r="C46" s="83">
        <v>45</v>
      </c>
      <c r="E46" s="181" t="s">
        <v>236</v>
      </c>
      <c r="F46" s="83">
        <v>2</v>
      </c>
      <c r="G46" s="83">
        <v>5</v>
      </c>
      <c r="H46" s="83">
        <v>0</v>
      </c>
      <c r="I46" s="83">
        <v>0</v>
      </c>
      <c r="J46" s="83">
        <v>0</v>
      </c>
      <c r="K46" s="83">
        <v>0</v>
      </c>
      <c r="L46" s="83">
        <v>0</v>
      </c>
      <c r="M46" s="83">
        <v>0</v>
      </c>
      <c r="N46" s="83">
        <v>0</v>
      </c>
    </row>
    <row r="47" spans="3:14" customFormat="1" ht="15" customHeight="1" x14ac:dyDescent="0.15">
      <c r="C47" s="83">
        <v>46</v>
      </c>
      <c r="E47" s="181" t="s">
        <v>237</v>
      </c>
      <c r="F47" s="83">
        <v>3</v>
      </c>
      <c r="G47" s="83">
        <v>0</v>
      </c>
      <c r="H47" s="83">
        <v>0</v>
      </c>
      <c r="I47" s="83">
        <v>0</v>
      </c>
      <c r="J47" s="83">
        <v>0</v>
      </c>
      <c r="K47" s="83">
        <v>0</v>
      </c>
      <c r="L47" s="83">
        <v>0</v>
      </c>
      <c r="M47" s="83">
        <v>0</v>
      </c>
      <c r="N47" s="83">
        <v>0</v>
      </c>
    </row>
    <row r="48" spans="3:14" customFormat="1" ht="15" customHeight="1" x14ac:dyDescent="0.15">
      <c r="C48" s="83">
        <v>47</v>
      </c>
      <c r="E48" s="181" t="s">
        <v>238</v>
      </c>
      <c r="F48" s="83">
        <v>3</v>
      </c>
      <c r="G48" s="83">
        <v>0</v>
      </c>
      <c r="H48" s="83">
        <v>0</v>
      </c>
      <c r="I48" s="83">
        <v>0</v>
      </c>
      <c r="J48" s="83">
        <v>0</v>
      </c>
      <c r="K48" s="83">
        <v>0</v>
      </c>
      <c r="L48" s="83">
        <v>0</v>
      </c>
      <c r="M48" s="83">
        <v>0</v>
      </c>
      <c r="N48" s="83">
        <v>0</v>
      </c>
    </row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T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7.5" style="144" bestFit="1" customWidth="1"/>
    <col min="2" max="2" width="13.83203125" style="144" bestFit="1" customWidth="1"/>
    <col min="3" max="3" width="14.83203125" style="144" bestFit="1" customWidth="1"/>
    <col min="4" max="4" width="3.83203125" style="144" bestFit="1" customWidth="1"/>
    <col min="5" max="5" width="13.83203125" style="144" bestFit="1" customWidth="1"/>
    <col min="6" max="6" width="14.83203125" style="144" bestFit="1" customWidth="1"/>
    <col min="7" max="7" width="15.83203125" style="144" bestFit="1" customWidth="1"/>
    <col min="8" max="8" width="14.83203125" style="144" bestFit="1" customWidth="1"/>
    <col min="9" max="9" width="13.83203125" style="144" bestFit="1" customWidth="1"/>
    <col min="10" max="11" width="15.83203125" style="144" bestFit="1" customWidth="1"/>
    <col min="12" max="13" width="14.83203125" style="144" bestFit="1" customWidth="1"/>
    <col min="14" max="14" width="13.83203125" style="144" bestFit="1" customWidth="1"/>
    <col min="15" max="15" width="14.83203125" style="144" bestFit="1" customWidth="1"/>
    <col min="16" max="16" width="6.83203125" style="144" bestFit="1" customWidth="1"/>
    <col min="17" max="17" width="3.83203125" style="144" bestFit="1" customWidth="1"/>
    <col min="18" max="18" width="7.83203125" style="144" bestFit="1" customWidth="1"/>
    <col min="19" max="19" width="6.83203125" style="144" bestFit="1" customWidth="1"/>
    <col min="20" max="20" width="15.83203125" style="144" bestFit="1" customWidth="1"/>
    <col min="21" max="21" width="13.83203125" style="144" bestFit="1" customWidth="1"/>
    <col min="22" max="22" width="15.83203125" style="144" bestFit="1" customWidth="1"/>
    <col min="23" max="23" width="12.83203125" style="144" bestFit="1" customWidth="1"/>
    <col min="24" max="24" width="14.83203125" style="144" bestFit="1" customWidth="1"/>
    <col min="25" max="25" width="13.83203125" style="144" bestFit="1" customWidth="1"/>
    <col min="26" max="26" width="12.83203125" style="144" bestFit="1" customWidth="1"/>
    <col min="27" max="27" width="15.83203125" style="144" bestFit="1" customWidth="1"/>
    <col min="28" max="28" width="13.83203125" style="144" bestFit="1" customWidth="1"/>
    <col min="29" max="29" width="15.83203125" style="144" bestFit="1" customWidth="1"/>
    <col min="30" max="31" width="13.83203125" style="144" customWidth="1"/>
    <col min="32" max="32" width="14.83203125" style="144" customWidth="1"/>
    <col min="33" max="33" width="13.83203125" style="144" customWidth="1"/>
    <col min="34" max="34" width="14.83203125" style="144" customWidth="1"/>
    <col min="35" max="35" width="13.83203125" style="144" customWidth="1"/>
    <col min="36" max="36" width="12.83203125" style="144" customWidth="1"/>
    <col min="37" max="37" width="13.83203125" style="144" customWidth="1"/>
    <col min="38" max="38" width="14.83203125" style="144" customWidth="1"/>
    <col min="39" max="39" width="13.83203125" style="144" customWidth="1"/>
    <col min="40" max="42" width="4.83203125" style="144" customWidth="1"/>
    <col min="43" max="43" width="3.83203125" style="144" customWidth="1"/>
    <col min="44" max="46" width="2.33203125" style="144" customWidth="1"/>
    <col min="47" max="16384" width="8.83203125" style="144"/>
  </cols>
  <sheetData>
    <row r="1" spans="1:46" x14ac:dyDescent="0.15">
      <c r="A1" s="143" t="s">
        <v>19</v>
      </c>
      <c r="B1" s="183" t="s">
        <v>192</v>
      </c>
      <c r="C1" s="183" t="s">
        <v>193</v>
      </c>
      <c r="D1" s="183" t="s">
        <v>194</v>
      </c>
      <c r="E1" s="183" t="s">
        <v>195</v>
      </c>
      <c r="F1" s="183" t="s">
        <v>196</v>
      </c>
      <c r="G1" s="183" t="s">
        <v>197</v>
      </c>
      <c r="H1" s="183" t="s">
        <v>198</v>
      </c>
      <c r="I1" s="183" t="s">
        <v>199</v>
      </c>
      <c r="J1" s="183" t="s">
        <v>200</v>
      </c>
      <c r="K1" s="183" t="s">
        <v>201</v>
      </c>
      <c r="L1" s="183" t="s">
        <v>202</v>
      </c>
      <c r="M1" s="183" t="s">
        <v>203</v>
      </c>
      <c r="N1" s="183" t="s">
        <v>204</v>
      </c>
      <c r="O1" s="183" t="s">
        <v>205</v>
      </c>
      <c r="P1" s="183" t="s">
        <v>206</v>
      </c>
      <c r="Q1" s="183" t="s">
        <v>207</v>
      </c>
      <c r="R1" s="183" t="s">
        <v>208</v>
      </c>
      <c r="S1" s="183" t="s">
        <v>209</v>
      </c>
      <c r="T1" s="183" t="s">
        <v>210</v>
      </c>
      <c r="U1" s="183" t="s">
        <v>211</v>
      </c>
      <c r="V1" s="183" t="s">
        <v>212</v>
      </c>
      <c r="W1" s="183" t="s">
        <v>213</v>
      </c>
      <c r="X1" s="183" t="s">
        <v>214</v>
      </c>
      <c r="Y1" s="183" t="s">
        <v>215</v>
      </c>
      <c r="Z1" s="183" t="s">
        <v>216</v>
      </c>
      <c r="AA1" s="183" t="s">
        <v>217</v>
      </c>
      <c r="AB1" s="183" t="s">
        <v>218</v>
      </c>
      <c r="AC1" s="183" t="s">
        <v>219</v>
      </c>
      <c r="AD1" s="183" t="s">
        <v>220</v>
      </c>
      <c r="AE1" s="183" t="s">
        <v>221</v>
      </c>
      <c r="AF1" s="183" t="s">
        <v>222</v>
      </c>
      <c r="AG1" s="183" t="s">
        <v>223</v>
      </c>
      <c r="AH1" s="183" t="s">
        <v>224</v>
      </c>
      <c r="AI1" s="183" t="s">
        <v>225</v>
      </c>
      <c r="AJ1" s="183" t="s">
        <v>226</v>
      </c>
      <c r="AK1" s="183" t="s">
        <v>227</v>
      </c>
      <c r="AL1" s="183" t="s">
        <v>228</v>
      </c>
      <c r="AM1" s="183" t="s">
        <v>229</v>
      </c>
      <c r="AN1" s="183" t="s">
        <v>230</v>
      </c>
      <c r="AO1" s="183" t="s">
        <v>231</v>
      </c>
      <c r="AP1" s="183" t="s">
        <v>232</v>
      </c>
      <c r="AQ1" s="183" t="s">
        <v>233</v>
      </c>
      <c r="AR1" s="183" t="s">
        <v>234</v>
      </c>
      <c r="AS1" s="183" t="s">
        <v>235</v>
      </c>
      <c r="AT1" s="183" t="s">
        <v>236</v>
      </c>
    </row>
    <row r="2" spans="1:46" customFormat="1" x14ac:dyDescent="0.15">
      <c r="A2" s="182" t="s">
        <v>192</v>
      </c>
      <c r="B2" s="144">
        <v>0</v>
      </c>
      <c r="C2" s="144">
        <v>0</v>
      </c>
      <c r="D2" s="144">
        <v>0</v>
      </c>
      <c r="E2" s="144">
        <v>0</v>
      </c>
      <c r="F2" s="144">
        <v>6.0012005664873006E-3</v>
      </c>
      <c r="G2" s="144">
        <v>9.4018801211714319E-3</v>
      </c>
      <c r="H2" s="144">
        <v>0</v>
      </c>
      <c r="I2" s="144">
        <v>0</v>
      </c>
      <c r="J2" s="144">
        <v>0</v>
      </c>
      <c r="K2" s="144">
        <v>0</v>
      </c>
      <c r="L2" s="144">
        <v>0</v>
      </c>
      <c r="M2" s="144">
        <v>0</v>
      </c>
      <c r="N2" s="144">
        <v>0</v>
      </c>
      <c r="O2" s="144">
        <v>0</v>
      </c>
      <c r="P2" s="144">
        <v>0</v>
      </c>
      <c r="Q2" s="144">
        <v>0</v>
      </c>
      <c r="R2" s="144">
        <v>0</v>
      </c>
      <c r="S2" s="144">
        <v>0</v>
      </c>
      <c r="T2" s="144">
        <v>0</v>
      </c>
      <c r="U2" s="144">
        <v>0</v>
      </c>
      <c r="V2" s="144">
        <v>0</v>
      </c>
      <c r="W2" s="144">
        <v>0</v>
      </c>
      <c r="X2" s="144">
        <v>0</v>
      </c>
      <c r="Y2" s="144">
        <v>0</v>
      </c>
      <c r="Z2" s="144">
        <v>0</v>
      </c>
      <c r="AA2" s="144">
        <v>0</v>
      </c>
      <c r="AB2" s="144">
        <v>0</v>
      </c>
      <c r="AC2" s="144">
        <v>0</v>
      </c>
      <c r="AD2" s="144">
        <v>0</v>
      </c>
      <c r="AE2" s="144">
        <v>0</v>
      </c>
      <c r="AF2" s="144">
        <v>0</v>
      </c>
      <c r="AG2" s="144">
        <v>0</v>
      </c>
      <c r="AH2" s="144">
        <v>0</v>
      </c>
      <c r="AI2" s="144">
        <v>0</v>
      </c>
      <c r="AJ2" s="144">
        <v>0</v>
      </c>
      <c r="AK2" s="144">
        <v>0</v>
      </c>
      <c r="AL2" s="144">
        <v>0</v>
      </c>
      <c r="AM2" s="144">
        <v>0</v>
      </c>
      <c r="AN2" s="144">
        <v>0</v>
      </c>
      <c r="AO2" s="144">
        <v>0</v>
      </c>
      <c r="AP2" s="144">
        <v>0</v>
      </c>
      <c r="AQ2" s="144">
        <v>0</v>
      </c>
      <c r="AR2" s="144">
        <v>0</v>
      </c>
      <c r="AS2" s="144">
        <v>0</v>
      </c>
      <c r="AT2" s="144">
        <v>0</v>
      </c>
    </row>
    <row r="3" spans="1:46" customFormat="1" x14ac:dyDescent="0.15">
      <c r="A3" s="182" t="s">
        <v>193</v>
      </c>
      <c r="B3" s="144">
        <v>0</v>
      </c>
      <c r="C3" s="144">
        <v>4.0003998103010414E-4</v>
      </c>
      <c r="D3" s="144">
        <v>0</v>
      </c>
      <c r="E3" s="144">
        <v>0</v>
      </c>
      <c r="F3" s="144">
        <v>1.2002401172974601E-2</v>
      </c>
      <c r="G3" s="144">
        <v>1.8803760242342864E-2</v>
      </c>
      <c r="H3" s="144">
        <v>0</v>
      </c>
      <c r="I3" s="144">
        <v>0</v>
      </c>
      <c r="J3" s="144">
        <v>0</v>
      </c>
      <c r="K3" s="144">
        <v>0</v>
      </c>
      <c r="L3" s="144">
        <v>0</v>
      </c>
      <c r="M3" s="144">
        <v>0</v>
      </c>
      <c r="N3" s="144">
        <v>0</v>
      </c>
      <c r="O3" s="144">
        <v>0</v>
      </c>
      <c r="P3" s="144">
        <v>0</v>
      </c>
      <c r="Q3" s="144">
        <v>0</v>
      </c>
      <c r="R3" s="144">
        <v>0</v>
      </c>
      <c r="S3" s="144">
        <v>0</v>
      </c>
      <c r="T3" s="144">
        <v>0</v>
      </c>
      <c r="U3" s="144">
        <v>0</v>
      </c>
      <c r="V3" s="144">
        <v>0</v>
      </c>
      <c r="W3" s="144">
        <v>0</v>
      </c>
      <c r="X3" s="144">
        <v>0</v>
      </c>
      <c r="Y3" s="144">
        <v>0</v>
      </c>
      <c r="Z3" s="144">
        <v>0</v>
      </c>
      <c r="AA3" s="144">
        <v>0</v>
      </c>
      <c r="AB3" s="144">
        <v>0</v>
      </c>
      <c r="AC3" s="144">
        <v>0</v>
      </c>
      <c r="AD3" s="144">
        <v>0</v>
      </c>
      <c r="AE3" s="144">
        <v>0</v>
      </c>
      <c r="AF3" s="144">
        <v>0</v>
      </c>
      <c r="AG3" s="144">
        <v>0</v>
      </c>
      <c r="AH3" s="144">
        <v>0</v>
      </c>
      <c r="AI3" s="144">
        <v>0</v>
      </c>
      <c r="AJ3" s="144">
        <v>0</v>
      </c>
      <c r="AK3" s="144">
        <v>0</v>
      </c>
      <c r="AL3" s="144">
        <v>0</v>
      </c>
      <c r="AM3" s="144">
        <v>0</v>
      </c>
      <c r="AN3" s="144">
        <v>0</v>
      </c>
      <c r="AO3" s="144">
        <v>0</v>
      </c>
      <c r="AP3" s="144">
        <v>0</v>
      </c>
      <c r="AQ3" s="144">
        <v>0</v>
      </c>
      <c r="AR3" s="144">
        <v>0</v>
      </c>
      <c r="AS3" s="144">
        <v>0</v>
      </c>
      <c r="AT3" s="144">
        <v>0</v>
      </c>
    </row>
    <row r="4" spans="1:46" customFormat="1" x14ac:dyDescent="0.15">
      <c r="A4" s="182" t="s">
        <v>194</v>
      </c>
      <c r="B4" s="144">
        <v>0</v>
      </c>
      <c r="C4" s="144">
        <v>4.0003998103010414E-4</v>
      </c>
      <c r="D4" s="144">
        <v>0</v>
      </c>
      <c r="E4" s="144">
        <v>0</v>
      </c>
      <c r="F4" s="144">
        <v>0</v>
      </c>
      <c r="G4" s="144">
        <v>6.2012407799215919E-3</v>
      </c>
      <c r="H4" s="144">
        <v>0</v>
      </c>
      <c r="I4" s="144">
        <v>0</v>
      </c>
      <c r="J4" s="144">
        <v>0</v>
      </c>
      <c r="K4" s="144">
        <v>0</v>
      </c>
      <c r="L4" s="144">
        <v>0</v>
      </c>
      <c r="M4" s="144">
        <v>0</v>
      </c>
      <c r="N4" s="144">
        <v>0</v>
      </c>
      <c r="O4" s="144">
        <v>0</v>
      </c>
      <c r="P4" s="144">
        <v>0</v>
      </c>
      <c r="Q4" s="144">
        <v>0</v>
      </c>
      <c r="R4" s="144">
        <v>0</v>
      </c>
      <c r="S4" s="144">
        <v>0</v>
      </c>
      <c r="T4" s="144">
        <v>0</v>
      </c>
      <c r="U4" s="144">
        <v>0</v>
      </c>
      <c r="V4" s="144">
        <v>7.9007889671248166E-3</v>
      </c>
      <c r="W4" s="144">
        <v>0</v>
      </c>
      <c r="X4" s="144">
        <v>0</v>
      </c>
      <c r="Y4" s="144">
        <v>0</v>
      </c>
      <c r="Z4" s="144">
        <v>0</v>
      </c>
      <c r="AA4" s="144">
        <v>0</v>
      </c>
      <c r="AB4" s="144">
        <v>0</v>
      </c>
      <c r="AC4" s="144">
        <v>0</v>
      </c>
      <c r="AD4" s="144">
        <v>0</v>
      </c>
      <c r="AE4" s="144">
        <v>0</v>
      </c>
      <c r="AF4" s="144">
        <v>0</v>
      </c>
      <c r="AG4" s="144">
        <v>0</v>
      </c>
      <c r="AH4" s="144">
        <v>0</v>
      </c>
      <c r="AI4" s="144">
        <v>0</v>
      </c>
      <c r="AJ4" s="144">
        <v>0</v>
      </c>
      <c r="AK4" s="144">
        <v>0</v>
      </c>
      <c r="AL4" s="144">
        <v>0</v>
      </c>
      <c r="AM4" s="144">
        <v>0</v>
      </c>
      <c r="AN4" s="144">
        <v>0</v>
      </c>
      <c r="AO4" s="144">
        <v>0</v>
      </c>
      <c r="AP4" s="144">
        <v>0</v>
      </c>
      <c r="AQ4" s="144">
        <v>0</v>
      </c>
      <c r="AR4" s="144">
        <v>0</v>
      </c>
      <c r="AS4" s="144">
        <v>0</v>
      </c>
      <c r="AT4" s="144">
        <v>0</v>
      </c>
    </row>
    <row r="5" spans="1:46" customFormat="1" x14ac:dyDescent="0.15">
      <c r="A5" s="182" t="s">
        <v>195</v>
      </c>
      <c r="B5" s="144">
        <v>0</v>
      </c>
      <c r="C5" s="144">
        <v>0</v>
      </c>
      <c r="D5" s="144">
        <v>0</v>
      </c>
      <c r="E5" s="144">
        <v>0</v>
      </c>
      <c r="F5" s="144">
        <v>0</v>
      </c>
      <c r="G5" s="144">
        <v>2.0004001557811574E-4</v>
      </c>
      <c r="H5" s="144">
        <v>0</v>
      </c>
      <c r="I5" s="144">
        <v>0</v>
      </c>
      <c r="J5" s="144">
        <v>0</v>
      </c>
      <c r="K5" s="144">
        <v>0</v>
      </c>
      <c r="L5" s="144">
        <v>0</v>
      </c>
      <c r="M5" s="144">
        <v>0</v>
      </c>
      <c r="N5" s="144">
        <v>0</v>
      </c>
      <c r="O5" s="144">
        <v>0</v>
      </c>
      <c r="P5" s="144">
        <v>0</v>
      </c>
      <c r="Q5" s="144">
        <v>0</v>
      </c>
      <c r="R5" s="144">
        <v>0</v>
      </c>
      <c r="S5" s="144">
        <v>0</v>
      </c>
      <c r="T5" s="144">
        <v>0</v>
      </c>
      <c r="U5" s="144">
        <v>0</v>
      </c>
      <c r="V5" s="144">
        <v>0</v>
      </c>
      <c r="W5" s="144">
        <v>0</v>
      </c>
      <c r="X5" s="144">
        <v>0</v>
      </c>
      <c r="Y5" s="144">
        <v>0</v>
      </c>
      <c r="Z5" s="144">
        <v>0</v>
      </c>
      <c r="AA5" s="144">
        <v>0</v>
      </c>
      <c r="AB5" s="144">
        <v>0</v>
      </c>
      <c r="AC5" s="144">
        <v>0</v>
      </c>
      <c r="AD5" s="144">
        <v>0</v>
      </c>
      <c r="AE5" s="144">
        <v>0</v>
      </c>
      <c r="AF5" s="144">
        <v>0</v>
      </c>
      <c r="AG5" s="144">
        <v>0</v>
      </c>
      <c r="AH5" s="144">
        <v>0</v>
      </c>
      <c r="AI5" s="144">
        <v>0</v>
      </c>
      <c r="AJ5" s="144">
        <v>0</v>
      </c>
      <c r="AK5" s="144">
        <v>0</v>
      </c>
      <c r="AL5" s="144">
        <v>0</v>
      </c>
      <c r="AM5" s="144">
        <v>0</v>
      </c>
      <c r="AN5" s="144">
        <v>0</v>
      </c>
      <c r="AO5" s="144">
        <v>0</v>
      </c>
      <c r="AP5" s="144">
        <v>0</v>
      </c>
      <c r="AQ5" s="144">
        <v>0</v>
      </c>
      <c r="AR5" s="144">
        <v>0</v>
      </c>
      <c r="AS5" s="144">
        <v>0</v>
      </c>
      <c r="AT5" s="144">
        <v>0</v>
      </c>
    </row>
    <row r="6" spans="1:46" customFormat="1" x14ac:dyDescent="0.15">
      <c r="A6" s="182" t="s">
        <v>196</v>
      </c>
      <c r="B6" s="144">
        <v>0</v>
      </c>
      <c r="C6" s="144">
        <v>0</v>
      </c>
      <c r="D6" s="144">
        <v>0</v>
      </c>
      <c r="E6" s="144">
        <v>0</v>
      </c>
      <c r="F6" s="144">
        <v>0</v>
      </c>
      <c r="G6" s="144">
        <v>5.101020515741953E-3</v>
      </c>
      <c r="H6" s="144">
        <v>0</v>
      </c>
      <c r="I6" s="144">
        <v>0</v>
      </c>
      <c r="J6" s="144">
        <v>0</v>
      </c>
      <c r="K6" s="144">
        <v>0</v>
      </c>
      <c r="L6" s="144">
        <v>0</v>
      </c>
      <c r="M6" s="144">
        <v>0</v>
      </c>
      <c r="N6" s="144">
        <v>0</v>
      </c>
      <c r="O6" s="144">
        <v>0</v>
      </c>
      <c r="P6" s="144">
        <v>0</v>
      </c>
      <c r="Q6" s="144">
        <v>0</v>
      </c>
      <c r="R6" s="144">
        <v>0</v>
      </c>
      <c r="S6" s="144">
        <v>0</v>
      </c>
      <c r="T6" s="144">
        <v>0</v>
      </c>
      <c r="U6" s="144">
        <v>0</v>
      </c>
      <c r="V6" s="144">
        <v>0</v>
      </c>
      <c r="W6" s="144">
        <v>0</v>
      </c>
      <c r="X6" s="144">
        <v>0</v>
      </c>
      <c r="Y6" s="144">
        <v>0</v>
      </c>
      <c r="Z6" s="144">
        <v>0</v>
      </c>
      <c r="AA6" s="144">
        <v>0</v>
      </c>
      <c r="AB6" s="144">
        <v>0</v>
      </c>
      <c r="AC6" s="144">
        <v>0</v>
      </c>
      <c r="AD6" s="144">
        <v>0</v>
      </c>
      <c r="AE6" s="144">
        <v>0</v>
      </c>
      <c r="AF6" s="144">
        <v>0</v>
      </c>
      <c r="AG6" s="144">
        <v>0</v>
      </c>
      <c r="AH6" s="144">
        <v>0</v>
      </c>
      <c r="AI6" s="144">
        <v>0</v>
      </c>
      <c r="AJ6" s="144">
        <v>0</v>
      </c>
      <c r="AK6" s="144">
        <v>0</v>
      </c>
      <c r="AL6" s="144">
        <v>0</v>
      </c>
      <c r="AM6" s="144">
        <v>0</v>
      </c>
      <c r="AN6" s="144">
        <v>0</v>
      </c>
      <c r="AO6" s="144">
        <v>0</v>
      </c>
      <c r="AP6" s="144">
        <v>0</v>
      </c>
      <c r="AQ6" s="144">
        <v>0</v>
      </c>
      <c r="AR6" s="144">
        <v>0</v>
      </c>
      <c r="AS6" s="144">
        <v>0</v>
      </c>
      <c r="AT6" s="144">
        <v>0</v>
      </c>
    </row>
    <row r="7" spans="1:46" customFormat="1" x14ac:dyDescent="0.15">
      <c r="A7" s="182" t="s">
        <v>197</v>
      </c>
      <c r="B7" s="144">
        <v>0</v>
      </c>
      <c r="C7" s="144">
        <v>0</v>
      </c>
      <c r="D7" s="144">
        <v>0</v>
      </c>
      <c r="E7" s="144">
        <v>0</v>
      </c>
      <c r="F7" s="144">
        <v>0</v>
      </c>
      <c r="G7" s="144">
        <v>2.0304061761678753E-2</v>
      </c>
      <c r="H7" s="144">
        <v>0</v>
      </c>
      <c r="I7" s="144">
        <v>0</v>
      </c>
      <c r="J7" s="144">
        <v>0</v>
      </c>
      <c r="K7" s="144">
        <v>0</v>
      </c>
      <c r="L7" s="144">
        <v>0</v>
      </c>
      <c r="M7" s="144">
        <v>0</v>
      </c>
      <c r="N7" s="144">
        <v>0</v>
      </c>
      <c r="O7" s="144">
        <v>0</v>
      </c>
      <c r="P7" s="144">
        <v>0</v>
      </c>
      <c r="Q7" s="144">
        <v>0</v>
      </c>
      <c r="R7" s="144">
        <v>0</v>
      </c>
      <c r="S7" s="144">
        <v>0</v>
      </c>
      <c r="T7" s="144">
        <v>0</v>
      </c>
      <c r="U7" s="144">
        <v>0</v>
      </c>
      <c r="V7" s="144">
        <v>1.1001099954224423E-3</v>
      </c>
      <c r="W7" s="144">
        <v>0</v>
      </c>
      <c r="X7" s="144">
        <v>0</v>
      </c>
      <c r="Y7" s="144">
        <v>0</v>
      </c>
      <c r="Z7" s="144">
        <v>0</v>
      </c>
      <c r="AA7" s="144">
        <v>0</v>
      </c>
      <c r="AB7" s="144">
        <v>0</v>
      </c>
      <c r="AC7" s="144">
        <v>0</v>
      </c>
      <c r="AD7" s="144">
        <v>0</v>
      </c>
      <c r="AE7" s="144">
        <v>0</v>
      </c>
      <c r="AF7" s="144">
        <v>0</v>
      </c>
      <c r="AG7" s="144">
        <v>0</v>
      </c>
      <c r="AH7" s="144">
        <v>0</v>
      </c>
      <c r="AI7" s="144">
        <v>0</v>
      </c>
      <c r="AJ7" s="144">
        <v>0</v>
      </c>
      <c r="AK7" s="144">
        <v>0</v>
      </c>
      <c r="AL7" s="144">
        <v>0</v>
      </c>
      <c r="AM7" s="144">
        <v>0</v>
      </c>
      <c r="AN7" s="144">
        <v>0</v>
      </c>
      <c r="AO7" s="144">
        <v>0</v>
      </c>
      <c r="AP7" s="144">
        <v>0</v>
      </c>
      <c r="AQ7" s="144">
        <v>0</v>
      </c>
      <c r="AR7" s="144">
        <v>0</v>
      </c>
      <c r="AS7" s="144">
        <v>0</v>
      </c>
      <c r="AT7" s="144">
        <v>0</v>
      </c>
    </row>
    <row r="8" spans="1:46" customFormat="1" x14ac:dyDescent="0.15">
      <c r="A8" s="182" t="s">
        <v>198</v>
      </c>
      <c r="B8" s="144">
        <v>0</v>
      </c>
      <c r="C8" s="144">
        <v>0</v>
      </c>
      <c r="D8" s="144">
        <v>0</v>
      </c>
      <c r="E8" s="144">
        <v>0</v>
      </c>
      <c r="F8" s="144">
        <v>6.5013002995279057E-3</v>
      </c>
      <c r="G8" s="144">
        <v>2.9205842276404898E-2</v>
      </c>
      <c r="H8" s="144">
        <v>0</v>
      </c>
      <c r="I8" s="144">
        <v>0</v>
      </c>
      <c r="J8" s="144">
        <v>9.0009004336633709E-4</v>
      </c>
      <c r="K8" s="144">
        <v>0</v>
      </c>
      <c r="L8" s="144">
        <v>0</v>
      </c>
      <c r="M8" s="144">
        <v>0</v>
      </c>
      <c r="N8" s="144">
        <v>0</v>
      </c>
      <c r="O8" s="144">
        <v>0</v>
      </c>
      <c r="P8" s="144">
        <v>0</v>
      </c>
      <c r="Q8" s="144">
        <v>0</v>
      </c>
      <c r="R8" s="144">
        <v>0</v>
      </c>
      <c r="S8" s="144">
        <v>0</v>
      </c>
      <c r="T8" s="144">
        <v>0</v>
      </c>
      <c r="U8" s="144">
        <v>0</v>
      </c>
      <c r="V8" s="144">
        <v>0</v>
      </c>
      <c r="W8" s="144">
        <v>0</v>
      </c>
      <c r="X8" s="144">
        <v>0</v>
      </c>
      <c r="Y8" s="144">
        <v>0</v>
      </c>
      <c r="Z8" s="144">
        <v>0</v>
      </c>
      <c r="AA8" s="144">
        <v>0</v>
      </c>
      <c r="AB8" s="144">
        <v>0</v>
      </c>
      <c r="AC8" s="144">
        <v>0</v>
      </c>
      <c r="AD8" s="144">
        <v>0</v>
      </c>
      <c r="AE8" s="144">
        <v>0</v>
      </c>
      <c r="AF8" s="144">
        <v>0</v>
      </c>
      <c r="AG8" s="144">
        <v>0</v>
      </c>
      <c r="AH8" s="144">
        <v>0</v>
      </c>
      <c r="AI8" s="144">
        <v>0</v>
      </c>
      <c r="AJ8" s="144">
        <v>0</v>
      </c>
      <c r="AK8" s="144">
        <v>0</v>
      </c>
      <c r="AL8" s="144">
        <v>0</v>
      </c>
      <c r="AM8" s="144">
        <v>0</v>
      </c>
      <c r="AN8" s="144">
        <v>0</v>
      </c>
      <c r="AO8" s="144">
        <v>0</v>
      </c>
      <c r="AP8" s="144">
        <v>0</v>
      </c>
      <c r="AQ8" s="144">
        <v>0</v>
      </c>
      <c r="AR8" s="144">
        <v>0</v>
      </c>
      <c r="AS8" s="144">
        <v>0</v>
      </c>
      <c r="AT8" s="144">
        <v>0</v>
      </c>
    </row>
    <row r="9" spans="1:46" customFormat="1" x14ac:dyDescent="0.15">
      <c r="A9" s="182" t="s">
        <v>199</v>
      </c>
      <c r="B9" s="144">
        <v>0</v>
      </c>
      <c r="C9" s="144">
        <v>0</v>
      </c>
      <c r="D9" s="144">
        <v>0</v>
      </c>
      <c r="E9" s="144">
        <v>0</v>
      </c>
      <c r="F9" s="144">
        <v>3.2006402194598928E-3</v>
      </c>
      <c r="G9" s="144">
        <v>2.1304261174569319E-2</v>
      </c>
      <c r="H9" s="144">
        <v>0</v>
      </c>
      <c r="I9" s="144">
        <v>0</v>
      </c>
      <c r="J9" s="144">
        <v>0</v>
      </c>
      <c r="K9" s="144">
        <v>0</v>
      </c>
      <c r="L9" s="144">
        <v>0</v>
      </c>
      <c r="M9" s="144">
        <v>7.5308764027974704E-3</v>
      </c>
      <c r="N9" s="144">
        <v>0</v>
      </c>
      <c r="O9" s="144">
        <v>0</v>
      </c>
      <c r="P9" s="144">
        <v>0</v>
      </c>
      <c r="Q9" s="144">
        <v>0</v>
      </c>
      <c r="R9" s="144">
        <v>0</v>
      </c>
      <c r="S9" s="144">
        <v>0</v>
      </c>
      <c r="T9" s="144">
        <v>0</v>
      </c>
      <c r="U9" s="144">
        <v>0</v>
      </c>
      <c r="V9" s="144">
        <v>0</v>
      </c>
      <c r="W9" s="144">
        <v>0</v>
      </c>
      <c r="X9" s="144">
        <v>0</v>
      </c>
      <c r="Y9" s="144">
        <v>0</v>
      </c>
      <c r="Z9" s="144">
        <v>0</v>
      </c>
      <c r="AA9" s="144">
        <v>0</v>
      </c>
      <c r="AB9" s="144">
        <v>0</v>
      </c>
      <c r="AC9" s="144">
        <v>0</v>
      </c>
      <c r="AD9" s="144">
        <v>0</v>
      </c>
      <c r="AE9" s="144">
        <v>0</v>
      </c>
      <c r="AF9" s="144">
        <v>0</v>
      </c>
      <c r="AG9" s="144">
        <v>0</v>
      </c>
      <c r="AH9" s="144">
        <v>0</v>
      </c>
      <c r="AI9" s="144">
        <v>0</v>
      </c>
      <c r="AJ9" s="144">
        <v>0</v>
      </c>
      <c r="AK9" s="144">
        <v>0</v>
      </c>
      <c r="AL9" s="144">
        <v>0</v>
      </c>
      <c r="AM9" s="144">
        <v>0</v>
      </c>
      <c r="AN9" s="144">
        <v>0</v>
      </c>
      <c r="AO9" s="144">
        <v>0</v>
      </c>
      <c r="AP9" s="144">
        <v>0</v>
      </c>
      <c r="AQ9" s="144">
        <v>0</v>
      </c>
      <c r="AR9" s="144">
        <v>0</v>
      </c>
      <c r="AS9" s="144">
        <v>0</v>
      </c>
      <c r="AT9" s="144">
        <v>0</v>
      </c>
    </row>
    <row r="10" spans="1:46" customFormat="1" x14ac:dyDescent="0.15">
      <c r="A10" s="182" t="s">
        <v>200</v>
      </c>
      <c r="B10" s="144">
        <v>0</v>
      </c>
      <c r="C10" s="144">
        <v>0</v>
      </c>
      <c r="D10" s="144">
        <v>0</v>
      </c>
      <c r="E10" s="144">
        <v>0</v>
      </c>
      <c r="F10" s="144">
        <v>0</v>
      </c>
      <c r="G10" s="144">
        <v>1.5403080898514908E-2</v>
      </c>
      <c r="H10" s="144">
        <v>0</v>
      </c>
      <c r="I10" s="144">
        <v>0</v>
      </c>
      <c r="J10" s="144">
        <v>0</v>
      </c>
      <c r="K10" s="144">
        <v>0</v>
      </c>
      <c r="L10" s="144">
        <v>1.2974052449211569E-2</v>
      </c>
      <c r="M10" s="144">
        <v>0</v>
      </c>
      <c r="N10" s="144">
        <v>0</v>
      </c>
      <c r="O10" s="144">
        <v>0</v>
      </c>
      <c r="P10" s="144">
        <v>0</v>
      </c>
      <c r="Q10" s="144">
        <v>0</v>
      </c>
      <c r="R10" s="144">
        <v>0</v>
      </c>
      <c r="S10" s="144">
        <v>0</v>
      </c>
      <c r="T10" s="144">
        <v>0</v>
      </c>
      <c r="U10" s="144">
        <v>0</v>
      </c>
      <c r="V10" s="144">
        <v>0</v>
      </c>
      <c r="W10" s="144">
        <v>0</v>
      </c>
      <c r="X10" s="144">
        <v>0</v>
      </c>
      <c r="Y10" s="144">
        <v>0</v>
      </c>
      <c r="Z10" s="144">
        <v>0</v>
      </c>
      <c r="AA10" s="144">
        <v>0</v>
      </c>
      <c r="AB10" s="144">
        <v>0</v>
      </c>
      <c r="AC10" s="144">
        <v>0</v>
      </c>
      <c r="AD10" s="144">
        <v>0</v>
      </c>
      <c r="AE10" s="144">
        <v>0</v>
      </c>
      <c r="AF10" s="144">
        <v>0</v>
      </c>
      <c r="AG10" s="144">
        <v>0</v>
      </c>
      <c r="AH10" s="144">
        <v>0</v>
      </c>
      <c r="AI10" s="144">
        <v>0</v>
      </c>
      <c r="AJ10" s="144">
        <v>0</v>
      </c>
      <c r="AK10" s="144">
        <v>0</v>
      </c>
      <c r="AL10" s="144">
        <v>0</v>
      </c>
      <c r="AM10" s="144">
        <v>0</v>
      </c>
      <c r="AN10" s="144">
        <v>0</v>
      </c>
      <c r="AO10" s="144">
        <v>0</v>
      </c>
      <c r="AP10" s="144">
        <v>0</v>
      </c>
      <c r="AQ10" s="144">
        <v>0</v>
      </c>
      <c r="AR10" s="144">
        <v>0</v>
      </c>
      <c r="AS10" s="144">
        <v>0</v>
      </c>
      <c r="AT10" s="144">
        <v>0</v>
      </c>
    </row>
    <row r="11" spans="1:46" customFormat="1" x14ac:dyDescent="0.15">
      <c r="A11" s="182" t="s">
        <v>201</v>
      </c>
      <c r="B11" s="144">
        <v>0</v>
      </c>
      <c r="C11" s="144">
        <v>0</v>
      </c>
      <c r="D11" s="144">
        <v>0</v>
      </c>
      <c r="E11" s="144">
        <v>0</v>
      </c>
      <c r="F11" s="144">
        <v>0</v>
      </c>
      <c r="G11" s="144">
        <v>1.220244015726505E-2</v>
      </c>
      <c r="H11" s="144">
        <v>0</v>
      </c>
      <c r="I11" s="144">
        <v>0</v>
      </c>
      <c r="J11" s="144">
        <v>0</v>
      </c>
      <c r="K11" s="144">
        <v>0</v>
      </c>
      <c r="L11" s="144">
        <v>3.0938121801966111E-2</v>
      </c>
      <c r="M11" s="144">
        <v>0</v>
      </c>
      <c r="N11" s="144">
        <v>0</v>
      </c>
      <c r="O11" s="144">
        <v>0</v>
      </c>
      <c r="P11" s="144">
        <v>0</v>
      </c>
      <c r="Q11" s="144">
        <v>0</v>
      </c>
      <c r="R11" s="144">
        <v>0</v>
      </c>
      <c r="S11" s="144">
        <v>0</v>
      </c>
      <c r="T11" s="144">
        <v>0</v>
      </c>
      <c r="U11" s="144">
        <v>0</v>
      </c>
      <c r="V11" s="144">
        <v>0</v>
      </c>
      <c r="W11" s="144">
        <v>0</v>
      </c>
      <c r="X11" s="144">
        <v>0</v>
      </c>
      <c r="Y11" s="144">
        <v>0</v>
      </c>
      <c r="Z11" s="144">
        <v>0</v>
      </c>
      <c r="AA11" s="144">
        <v>0</v>
      </c>
      <c r="AB11" s="144">
        <v>0</v>
      </c>
      <c r="AC11" s="144">
        <v>0</v>
      </c>
      <c r="AD11" s="144">
        <v>0</v>
      </c>
      <c r="AE11" s="144">
        <v>0</v>
      </c>
      <c r="AF11" s="144">
        <v>0</v>
      </c>
      <c r="AG11" s="144">
        <v>0</v>
      </c>
      <c r="AH11" s="144">
        <v>0</v>
      </c>
      <c r="AI11" s="144">
        <v>0</v>
      </c>
      <c r="AJ11" s="144">
        <v>0</v>
      </c>
      <c r="AK11" s="144">
        <v>0</v>
      </c>
      <c r="AL11" s="144">
        <v>0</v>
      </c>
      <c r="AM11" s="144">
        <v>0</v>
      </c>
      <c r="AN11" s="144">
        <v>0</v>
      </c>
      <c r="AO11" s="144">
        <v>0</v>
      </c>
      <c r="AP11" s="144">
        <v>0</v>
      </c>
      <c r="AQ11" s="144">
        <v>0</v>
      </c>
      <c r="AR11" s="144">
        <v>0</v>
      </c>
      <c r="AS11" s="144">
        <v>0</v>
      </c>
      <c r="AT11" s="144">
        <v>0</v>
      </c>
    </row>
    <row r="12" spans="1:46" customFormat="1" x14ac:dyDescent="0.15">
      <c r="A12" s="182" t="s">
        <v>202</v>
      </c>
      <c r="B12" s="144">
        <v>0</v>
      </c>
      <c r="C12" s="144">
        <v>0</v>
      </c>
      <c r="D12" s="144">
        <v>0</v>
      </c>
      <c r="E12" s="144">
        <v>1.7303422437685151E-2</v>
      </c>
      <c r="F12" s="144">
        <v>9.5719150581972445E-2</v>
      </c>
      <c r="G12" s="144">
        <v>6.9913976801051339E-2</v>
      </c>
      <c r="H12" s="144">
        <v>0</v>
      </c>
      <c r="I12" s="144">
        <v>0</v>
      </c>
      <c r="J12" s="144">
        <v>2.000200025258526E-4</v>
      </c>
      <c r="K12" s="144">
        <v>0</v>
      </c>
      <c r="L12" s="144">
        <v>1.7964069652754537E-2</v>
      </c>
      <c r="M12" s="144">
        <v>4.4181139781745166E-3</v>
      </c>
      <c r="N12" s="144">
        <v>0</v>
      </c>
      <c r="O12" s="144">
        <v>0</v>
      </c>
      <c r="P12" s="144">
        <v>0</v>
      </c>
      <c r="Q12" s="144">
        <v>0</v>
      </c>
      <c r="R12" s="144">
        <v>0</v>
      </c>
      <c r="S12" s="144">
        <v>0</v>
      </c>
      <c r="T12" s="144">
        <v>4.0160638604417567E-4</v>
      </c>
      <c r="U12" s="144">
        <v>0</v>
      </c>
      <c r="V12" s="144">
        <v>0</v>
      </c>
      <c r="W12" s="144">
        <v>0</v>
      </c>
      <c r="X12" s="144">
        <v>0</v>
      </c>
      <c r="Y12" s="144">
        <v>0</v>
      </c>
      <c r="Z12" s="144">
        <v>0</v>
      </c>
      <c r="AA12" s="144">
        <v>0</v>
      </c>
      <c r="AB12" s="144">
        <v>0</v>
      </c>
      <c r="AC12" s="144">
        <v>0</v>
      </c>
      <c r="AD12" s="144">
        <v>0</v>
      </c>
      <c r="AE12" s="144">
        <v>0</v>
      </c>
      <c r="AF12" s="144">
        <v>0</v>
      </c>
      <c r="AG12" s="144">
        <v>0</v>
      </c>
      <c r="AH12" s="144">
        <v>0</v>
      </c>
      <c r="AI12" s="144">
        <v>0</v>
      </c>
      <c r="AJ12" s="144">
        <v>0</v>
      </c>
      <c r="AK12" s="144">
        <v>0</v>
      </c>
      <c r="AL12" s="144">
        <v>0</v>
      </c>
      <c r="AM12" s="144">
        <v>0</v>
      </c>
      <c r="AN12" s="144">
        <v>0</v>
      </c>
      <c r="AO12" s="144">
        <v>0</v>
      </c>
      <c r="AP12" s="144">
        <v>0</v>
      </c>
      <c r="AQ12" s="144">
        <v>0</v>
      </c>
      <c r="AR12" s="144">
        <v>0</v>
      </c>
      <c r="AS12" s="144">
        <v>0</v>
      </c>
      <c r="AT12" s="144">
        <v>0</v>
      </c>
    </row>
    <row r="13" spans="1:46" customFormat="1" x14ac:dyDescent="0.15">
      <c r="A13" s="182" t="s">
        <v>203</v>
      </c>
      <c r="B13" s="144">
        <v>0</v>
      </c>
      <c r="C13" s="144">
        <v>0</v>
      </c>
      <c r="D13" s="144">
        <v>0</v>
      </c>
      <c r="E13" s="144">
        <v>0</v>
      </c>
      <c r="F13" s="144">
        <v>0</v>
      </c>
      <c r="G13" s="144">
        <v>6.0012006073434745E-4</v>
      </c>
      <c r="H13" s="144">
        <v>0</v>
      </c>
      <c r="I13" s="144">
        <v>0</v>
      </c>
      <c r="J13" s="144">
        <v>0</v>
      </c>
      <c r="K13" s="144">
        <v>1.0701070491225123E-2</v>
      </c>
      <c r="L13" s="144">
        <v>2.7944111659840325E-2</v>
      </c>
      <c r="M13" s="144">
        <v>4.4181139781745166E-3</v>
      </c>
      <c r="N13" s="144">
        <v>0</v>
      </c>
      <c r="O13" s="144">
        <v>0</v>
      </c>
      <c r="P13" s="144">
        <v>0</v>
      </c>
      <c r="Q13" s="144">
        <v>0</v>
      </c>
      <c r="R13" s="144">
        <v>0</v>
      </c>
      <c r="S13" s="144">
        <v>0</v>
      </c>
      <c r="T13" s="144">
        <v>0</v>
      </c>
      <c r="U13" s="144">
        <v>0</v>
      </c>
      <c r="V13" s="144">
        <v>0</v>
      </c>
      <c r="W13" s="144">
        <v>0</v>
      </c>
      <c r="X13" s="144">
        <v>0</v>
      </c>
      <c r="Y13" s="144">
        <v>0</v>
      </c>
      <c r="Z13" s="144">
        <v>0</v>
      </c>
      <c r="AA13" s="144">
        <v>0</v>
      </c>
      <c r="AB13" s="144">
        <v>0</v>
      </c>
      <c r="AC13" s="144">
        <v>0</v>
      </c>
      <c r="AD13" s="144">
        <v>0</v>
      </c>
      <c r="AE13" s="144">
        <v>0</v>
      </c>
      <c r="AF13" s="144">
        <v>0</v>
      </c>
      <c r="AG13" s="144">
        <v>0</v>
      </c>
      <c r="AH13" s="144">
        <v>0</v>
      </c>
      <c r="AI13" s="144">
        <v>0</v>
      </c>
      <c r="AJ13" s="144">
        <v>0</v>
      </c>
      <c r="AK13" s="144">
        <v>0</v>
      </c>
      <c r="AL13" s="144">
        <v>0</v>
      </c>
      <c r="AM13" s="144">
        <v>0</v>
      </c>
      <c r="AN13" s="144">
        <v>0</v>
      </c>
      <c r="AO13" s="144">
        <v>0</v>
      </c>
      <c r="AP13" s="144">
        <v>0</v>
      </c>
      <c r="AQ13" s="144">
        <v>0</v>
      </c>
      <c r="AR13" s="144">
        <v>0</v>
      </c>
      <c r="AS13" s="144">
        <v>0</v>
      </c>
      <c r="AT13" s="144">
        <v>0</v>
      </c>
    </row>
    <row r="14" spans="1:46" customFormat="1" x14ac:dyDescent="0.15">
      <c r="A14" s="182" t="s">
        <v>204</v>
      </c>
      <c r="B14" s="144">
        <v>0</v>
      </c>
      <c r="C14" s="144">
        <v>0</v>
      </c>
      <c r="D14" s="144">
        <v>0</v>
      </c>
      <c r="E14" s="144">
        <v>0</v>
      </c>
      <c r="F14" s="144">
        <v>3.0006000182436484E-2</v>
      </c>
      <c r="G14" s="144">
        <v>1.1002200141796356E-2</v>
      </c>
      <c r="H14" s="144">
        <v>1.6999999971099997E-2</v>
      </c>
      <c r="I14" s="144">
        <v>0</v>
      </c>
      <c r="J14" s="144">
        <v>0</v>
      </c>
      <c r="K14" s="144">
        <v>7.7407739936525666E-2</v>
      </c>
      <c r="L14" s="144">
        <v>1.5968065391337299E-2</v>
      </c>
      <c r="M14" s="144">
        <v>0</v>
      </c>
      <c r="N14" s="144">
        <v>0</v>
      </c>
      <c r="O14" s="144">
        <v>0</v>
      </c>
      <c r="P14" s="144">
        <v>0</v>
      </c>
      <c r="Q14" s="144">
        <v>0</v>
      </c>
      <c r="R14" s="144">
        <v>0</v>
      </c>
      <c r="S14" s="144">
        <v>0</v>
      </c>
      <c r="T14" s="144">
        <v>0</v>
      </c>
      <c r="U14" s="144">
        <v>8.3333334566666667E-2</v>
      </c>
      <c r="V14" s="144">
        <v>3.3703371759760271E-2</v>
      </c>
      <c r="W14" s="144">
        <v>0</v>
      </c>
      <c r="X14" s="144">
        <v>0</v>
      </c>
      <c r="Y14" s="144">
        <v>0</v>
      </c>
      <c r="Z14" s="144">
        <v>0</v>
      </c>
      <c r="AA14" s="144">
        <v>0</v>
      </c>
      <c r="AB14" s="144">
        <v>0</v>
      </c>
      <c r="AC14" s="144">
        <v>0</v>
      </c>
      <c r="AD14" s="144">
        <v>0</v>
      </c>
      <c r="AE14" s="144">
        <v>0</v>
      </c>
      <c r="AF14" s="144">
        <v>0</v>
      </c>
      <c r="AG14" s="144">
        <v>0</v>
      </c>
      <c r="AH14" s="144">
        <v>0</v>
      </c>
      <c r="AI14" s="144">
        <v>0</v>
      </c>
      <c r="AJ14" s="144">
        <v>0</v>
      </c>
      <c r="AK14" s="144">
        <v>0</v>
      </c>
      <c r="AL14" s="144">
        <v>0</v>
      </c>
      <c r="AM14" s="144">
        <v>1.0010010272272279E-2</v>
      </c>
      <c r="AN14" s="144">
        <v>0</v>
      </c>
      <c r="AO14" s="144">
        <v>0</v>
      </c>
      <c r="AP14" s="144">
        <v>0</v>
      </c>
      <c r="AQ14" s="144">
        <v>0</v>
      </c>
      <c r="AR14" s="144">
        <v>0</v>
      </c>
      <c r="AS14" s="144">
        <v>0</v>
      </c>
      <c r="AT14" s="144">
        <v>0</v>
      </c>
    </row>
    <row r="15" spans="1:46" customFormat="1" x14ac:dyDescent="0.15">
      <c r="A15" s="182" t="s">
        <v>205</v>
      </c>
      <c r="B15" s="144">
        <v>3.2595778953675492E-2</v>
      </c>
      <c r="C15" s="144">
        <v>1.410140933131117E-2</v>
      </c>
      <c r="D15" s="144">
        <v>0</v>
      </c>
      <c r="E15" s="144">
        <v>7.4514739809704383E-2</v>
      </c>
      <c r="F15" s="144">
        <v>9.9719940606297255E-2</v>
      </c>
      <c r="G15" s="144">
        <v>6.4912980836598494E-2</v>
      </c>
      <c r="H15" s="144">
        <v>9.8584674132406028E-2</v>
      </c>
      <c r="I15" s="144">
        <v>0.15976804591067784</v>
      </c>
      <c r="J15" s="144">
        <v>0.18151815429221127</v>
      </c>
      <c r="K15" s="144">
        <v>0.33723372172346844</v>
      </c>
      <c r="L15" s="144">
        <v>0.20558882802596798</v>
      </c>
      <c r="M15" s="144">
        <v>0.51290289746625972</v>
      </c>
      <c r="N15" s="144">
        <v>8.3333333366666679E-2</v>
      </c>
      <c r="O15" s="144">
        <v>4.7538031137965391E-2</v>
      </c>
      <c r="P15" s="144">
        <v>4.1500000000000002E-2</v>
      </c>
      <c r="Q15" s="144">
        <v>0</v>
      </c>
      <c r="R15" s="144">
        <v>0</v>
      </c>
      <c r="S15" s="144">
        <v>6.4199999999999993E-2</v>
      </c>
      <c r="T15" s="144">
        <v>2.6606424465426673E-2</v>
      </c>
      <c r="U15" s="144">
        <v>0</v>
      </c>
      <c r="V15" s="144">
        <v>0.12531253647857454</v>
      </c>
      <c r="W15" s="144">
        <v>0</v>
      </c>
      <c r="X15" s="144">
        <v>5.5198708675230981E-2</v>
      </c>
      <c r="Y15" s="144">
        <v>0</v>
      </c>
      <c r="Z15" s="144">
        <v>0</v>
      </c>
      <c r="AA15" s="144">
        <v>0</v>
      </c>
      <c r="AB15" s="144">
        <v>0</v>
      </c>
      <c r="AC15" s="144">
        <v>4.6605879805716472E-3</v>
      </c>
      <c r="AD15" s="144">
        <v>0</v>
      </c>
      <c r="AE15" s="144">
        <v>0.16666111499996669</v>
      </c>
      <c r="AF15" s="144">
        <v>6.8992696396767382E-3</v>
      </c>
      <c r="AG15" s="144">
        <v>6.1799999802239998E-2</v>
      </c>
      <c r="AH15" s="144">
        <v>0</v>
      </c>
      <c r="AI15" s="144">
        <v>0</v>
      </c>
      <c r="AJ15" s="144">
        <v>0</v>
      </c>
      <c r="AK15" s="144">
        <v>5.555555533333334E-2</v>
      </c>
      <c r="AL15" s="144">
        <v>0</v>
      </c>
      <c r="AM15" s="144">
        <v>3.9039039161861869E-2</v>
      </c>
      <c r="AN15" s="144">
        <v>0</v>
      </c>
      <c r="AO15" s="144">
        <v>0</v>
      </c>
      <c r="AP15" s="144">
        <v>0</v>
      </c>
      <c r="AQ15" s="144">
        <v>0</v>
      </c>
      <c r="AR15" s="144">
        <v>0</v>
      </c>
      <c r="AS15" s="144">
        <v>0</v>
      </c>
      <c r="AT15" s="144">
        <v>0</v>
      </c>
    </row>
    <row r="16" spans="1:46" customFormat="1" x14ac:dyDescent="0.15">
      <c r="A16" s="182" t="s">
        <v>206</v>
      </c>
      <c r="B16" s="144">
        <v>3.2595778953675492E-2</v>
      </c>
      <c r="C16" s="144">
        <v>1.410140933131117E-2</v>
      </c>
      <c r="D16" s="144">
        <v>0</v>
      </c>
      <c r="E16" s="144">
        <v>4.6709239115607419E-2</v>
      </c>
      <c r="F16" s="144">
        <v>0</v>
      </c>
      <c r="G16" s="144">
        <v>3.1506304106053255E-2</v>
      </c>
      <c r="H16" s="144">
        <v>5.0333332214433327E-2</v>
      </c>
      <c r="I16" s="144">
        <v>0</v>
      </c>
      <c r="J16" s="144">
        <v>0.25072506416615614</v>
      </c>
      <c r="K16" s="144">
        <v>0.1013101339169257</v>
      </c>
      <c r="L16" s="144">
        <v>6.087824212322359E-2</v>
      </c>
      <c r="M16" s="144">
        <v>1.3455166433531479E-2</v>
      </c>
      <c r="N16" s="144">
        <v>8.3333333366666679E-2</v>
      </c>
      <c r="O16" s="144">
        <v>0</v>
      </c>
      <c r="P16" s="144">
        <v>0</v>
      </c>
      <c r="Q16" s="144">
        <v>0</v>
      </c>
      <c r="R16" s="144">
        <v>0</v>
      </c>
      <c r="S16" s="144">
        <v>0</v>
      </c>
      <c r="T16" s="144">
        <v>0</v>
      </c>
      <c r="U16" s="144">
        <v>0</v>
      </c>
      <c r="V16" s="144">
        <v>1.3601360743404739E-2</v>
      </c>
      <c r="W16" s="144">
        <v>0</v>
      </c>
      <c r="X16" s="144">
        <v>0</v>
      </c>
      <c r="Y16" s="144">
        <v>0</v>
      </c>
      <c r="Z16" s="144">
        <v>0</v>
      </c>
      <c r="AA16" s="144">
        <v>0</v>
      </c>
      <c r="AB16" s="144">
        <v>0</v>
      </c>
      <c r="AC16" s="144">
        <v>0</v>
      </c>
      <c r="AD16" s="144">
        <v>0</v>
      </c>
      <c r="AE16" s="144">
        <v>0</v>
      </c>
      <c r="AF16" s="144">
        <v>0</v>
      </c>
      <c r="AG16" s="144">
        <v>0</v>
      </c>
      <c r="AH16" s="144">
        <v>0</v>
      </c>
      <c r="AI16" s="144">
        <v>0</v>
      </c>
      <c r="AJ16" s="144">
        <v>0</v>
      </c>
      <c r="AK16" s="144">
        <v>0</v>
      </c>
      <c r="AL16" s="144">
        <v>0</v>
      </c>
      <c r="AM16" s="144">
        <v>3.9039039161861869E-2</v>
      </c>
      <c r="AN16" s="144">
        <v>0</v>
      </c>
      <c r="AO16" s="144">
        <v>0</v>
      </c>
      <c r="AP16" s="144">
        <v>0</v>
      </c>
      <c r="AQ16" s="144">
        <v>0</v>
      </c>
      <c r="AR16" s="144">
        <v>0</v>
      </c>
      <c r="AS16" s="144">
        <v>0</v>
      </c>
      <c r="AT16" s="144">
        <v>0</v>
      </c>
    </row>
    <row r="17" spans="1:46" customFormat="1" x14ac:dyDescent="0.15">
      <c r="A17" s="182" t="s">
        <v>207</v>
      </c>
      <c r="B17" s="144">
        <v>0</v>
      </c>
      <c r="C17" s="144">
        <v>1.410140933131117E-2</v>
      </c>
      <c r="D17" s="144">
        <v>0</v>
      </c>
      <c r="E17" s="144">
        <v>8.0215871714660422E-2</v>
      </c>
      <c r="F17" s="144">
        <v>0</v>
      </c>
      <c r="G17" s="144">
        <v>1.0002000728905786E-4</v>
      </c>
      <c r="H17" s="144">
        <v>0</v>
      </c>
      <c r="I17" s="144">
        <v>0</v>
      </c>
      <c r="J17" s="144">
        <v>0</v>
      </c>
      <c r="K17" s="144">
        <v>2.1502152082368241E-2</v>
      </c>
      <c r="L17" s="144">
        <v>0.10878242389723576</v>
      </c>
      <c r="M17" s="144">
        <v>0</v>
      </c>
      <c r="N17" s="144">
        <v>8.3333333366666679E-2</v>
      </c>
      <c r="O17" s="144">
        <v>0</v>
      </c>
      <c r="P17" s="144">
        <v>0</v>
      </c>
      <c r="Q17" s="144">
        <v>0</v>
      </c>
      <c r="R17" s="144">
        <v>0</v>
      </c>
      <c r="S17" s="144">
        <v>6.4199999999999993E-2</v>
      </c>
      <c r="T17" s="144">
        <v>0</v>
      </c>
      <c r="U17" s="144">
        <v>8.3333334566666667E-2</v>
      </c>
      <c r="V17" s="144">
        <v>0</v>
      </c>
      <c r="W17" s="144">
        <v>0</v>
      </c>
      <c r="X17" s="144">
        <v>0</v>
      </c>
      <c r="Y17" s="144">
        <v>2.7777777694444443E-2</v>
      </c>
      <c r="Z17" s="144">
        <v>0</v>
      </c>
      <c r="AA17" s="144">
        <v>0</v>
      </c>
      <c r="AB17" s="144">
        <v>4.3095688750225028E-2</v>
      </c>
      <c r="AC17" s="144">
        <v>0</v>
      </c>
      <c r="AD17" s="144">
        <v>0</v>
      </c>
      <c r="AE17" s="144">
        <v>0</v>
      </c>
      <c r="AF17" s="144">
        <v>6.8992696396767382E-3</v>
      </c>
      <c r="AG17" s="144">
        <v>0</v>
      </c>
      <c r="AH17" s="144">
        <v>0</v>
      </c>
      <c r="AI17" s="144">
        <v>0</v>
      </c>
      <c r="AJ17" s="144">
        <v>0</v>
      </c>
      <c r="AK17" s="144">
        <v>0</v>
      </c>
      <c r="AL17" s="144">
        <v>0</v>
      </c>
      <c r="AM17" s="144">
        <v>0</v>
      </c>
      <c r="AN17" s="144">
        <v>0</v>
      </c>
      <c r="AO17" s="144">
        <v>0</v>
      </c>
      <c r="AP17" s="144">
        <v>0</v>
      </c>
      <c r="AQ17" s="144">
        <v>0</v>
      </c>
      <c r="AR17" s="144">
        <v>0</v>
      </c>
      <c r="AS17" s="144">
        <v>0</v>
      </c>
      <c r="AT17" s="144">
        <v>0</v>
      </c>
    </row>
    <row r="18" spans="1:46" customFormat="1" x14ac:dyDescent="0.15">
      <c r="A18" s="182" t="s">
        <v>208</v>
      </c>
      <c r="B18" s="144">
        <v>3.2595778953675492E-2</v>
      </c>
      <c r="C18" s="144">
        <v>1.410140933131117E-2</v>
      </c>
      <c r="D18" s="144">
        <v>0</v>
      </c>
      <c r="E18" s="144">
        <v>3.5306985305821471E-2</v>
      </c>
      <c r="F18" s="144">
        <v>2.5605121755679142E-2</v>
      </c>
      <c r="G18" s="144">
        <v>1.490298019206961E-2</v>
      </c>
      <c r="H18" s="144">
        <v>8.4777779855877755E-2</v>
      </c>
      <c r="I18" s="144">
        <v>0.10127974357729454</v>
      </c>
      <c r="J18" s="144">
        <v>0</v>
      </c>
      <c r="K18" s="144">
        <v>3.8303829968590865E-2</v>
      </c>
      <c r="L18" s="144">
        <v>1.8962075533463085E-2</v>
      </c>
      <c r="M18" s="144">
        <v>0.18837232806944071</v>
      </c>
      <c r="N18" s="144">
        <v>8.3333333366666679E-2</v>
      </c>
      <c r="O18" s="144">
        <v>0</v>
      </c>
      <c r="P18" s="144">
        <v>0.01</v>
      </c>
      <c r="Q18" s="144">
        <v>0</v>
      </c>
      <c r="R18" s="144">
        <v>0</v>
      </c>
      <c r="S18" s="144">
        <v>6.4199999999999993E-2</v>
      </c>
      <c r="T18" s="144">
        <v>0.11817269295549902</v>
      </c>
      <c r="U18" s="144">
        <v>0</v>
      </c>
      <c r="V18" s="144">
        <v>4.0003999833543363E-3</v>
      </c>
      <c r="W18" s="144">
        <v>0</v>
      </c>
      <c r="X18" s="144">
        <v>0</v>
      </c>
      <c r="Y18" s="144">
        <v>0</v>
      </c>
      <c r="Z18" s="144">
        <v>0</v>
      </c>
      <c r="AA18" s="144">
        <v>0</v>
      </c>
      <c r="AB18" s="144">
        <v>0</v>
      </c>
      <c r="AC18" s="144">
        <v>4.6605879805716472E-3</v>
      </c>
      <c r="AD18" s="144">
        <v>0</v>
      </c>
      <c r="AE18" s="144">
        <v>0.16666111499996669</v>
      </c>
      <c r="AF18" s="144">
        <v>0</v>
      </c>
      <c r="AG18" s="144">
        <v>6.1799999802239998E-2</v>
      </c>
      <c r="AH18" s="144">
        <v>0</v>
      </c>
      <c r="AI18" s="144">
        <v>6.9444440555555528E-2</v>
      </c>
      <c r="AJ18" s="144">
        <v>0</v>
      </c>
      <c r="AK18" s="144">
        <v>5.555555533333334E-2</v>
      </c>
      <c r="AL18" s="144">
        <v>0</v>
      </c>
      <c r="AM18" s="144">
        <v>3.9039039161861869E-2</v>
      </c>
      <c r="AN18" s="144">
        <v>0</v>
      </c>
      <c r="AO18" s="144">
        <v>0</v>
      </c>
      <c r="AP18" s="144">
        <v>0</v>
      </c>
      <c r="AQ18" s="144">
        <v>0</v>
      </c>
      <c r="AR18" s="144">
        <v>0</v>
      </c>
      <c r="AS18" s="144">
        <v>0</v>
      </c>
      <c r="AT18" s="144">
        <v>0</v>
      </c>
    </row>
    <row r="19" spans="1:46" customFormat="1" x14ac:dyDescent="0.15">
      <c r="A19" s="182" t="s">
        <v>209</v>
      </c>
      <c r="B19" s="144">
        <v>0</v>
      </c>
      <c r="C19" s="144">
        <v>0</v>
      </c>
      <c r="D19" s="144">
        <v>0</v>
      </c>
      <c r="E19" s="144">
        <v>0</v>
      </c>
      <c r="F19" s="144">
        <v>0</v>
      </c>
      <c r="G19" s="144">
        <v>7.0014000902340456E-4</v>
      </c>
      <c r="H19" s="144">
        <v>0</v>
      </c>
      <c r="I19" s="144">
        <v>0</v>
      </c>
      <c r="J19" s="144">
        <v>0</v>
      </c>
      <c r="K19" s="144">
        <v>0</v>
      </c>
      <c r="L19" s="144">
        <v>0</v>
      </c>
      <c r="M19" s="144">
        <v>0</v>
      </c>
      <c r="N19" s="144">
        <v>0</v>
      </c>
      <c r="O19" s="144">
        <v>0</v>
      </c>
      <c r="P19" s="144">
        <v>0</v>
      </c>
      <c r="Q19" s="144">
        <v>0</v>
      </c>
      <c r="R19" s="144">
        <v>0</v>
      </c>
      <c r="S19" s="144">
        <v>0</v>
      </c>
      <c r="T19" s="144">
        <v>0</v>
      </c>
      <c r="U19" s="144">
        <v>0</v>
      </c>
      <c r="V19" s="144">
        <v>0</v>
      </c>
      <c r="W19" s="144">
        <v>0</v>
      </c>
      <c r="X19" s="144">
        <v>0</v>
      </c>
      <c r="Y19" s="144">
        <v>0</v>
      </c>
      <c r="Z19" s="144">
        <v>0</v>
      </c>
      <c r="AA19" s="144">
        <v>0</v>
      </c>
      <c r="AB19" s="144">
        <v>0</v>
      </c>
      <c r="AC19" s="144">
        <v>0</v>
      </c>
      <c r="AD19" s="144">
        <v>0</v>
      </c>
      <c r="AE19" s="144">
        <v>0</v>
      </c>
      <c r="AF19" s="144">
        <v>0</v>
      </c>
      <c r="AG19" s="144">
        <v>0</v>
      </c>
      <c r="AH19" s="144">
        <v>0</v>
      </c>
      <c r="AI19" s="144">
        <v>0</v>
      </c>
      <c r="AJ19" s="144">
        <v>0</v>
      </c>
      <c r="AK19" s="144">
        <v>0</v>
      </c>
      <c r="AL19" s="144">
        <v>0</v>
      </c>
      <c r="AM19" s="144">
        <v>0</v>
      </c>
      <c r="AN19" s="144">
        <v>0</v>
      </c>
      <c r="AO19" s="144">
        <v>0</v>
      </c>
      <c r="AP19" s="144">
        <v>0</v>
      </c>
      <c r="AQ19" s="144">
        <v>0</v>
      </c>
      <c r="AR19" s="144">
        <v>0</v>
      </c>
      <c r="AS19" s="144">
        <v>0</v>
      </c>
      <c r="AT19" s="144">
        <v>0</v>
      </c>
    </row>
    <row r="20" spans="1:46" customFormat="1" x14ac:dyDescent="0.15">
      <c r="A20" s="182" t="s">
        <v>210</v>
      </c>
      <c r="B20" s="144">
        <v>0</v>
      </c>
      <c r="C20" s="144">
        <v>0</v>
      </c>
      <c r="D20" s="144">
        <v>0</v>
      </c>
      <c r="E20" s="144">
        <v>0</v>
      </c>
      <c r="F20" s="144">
        <v>0</v>
      </c>
      <c r="G20" s="144">
        <v>1.6003201206249258E-3</v>
      </c>
      <c r="H20" s="144">
        <v>0</v>
      </c>
      <c r="I20" s="144">
        <v>4.5590880259868016E-2</v>
      </c>
      <c r="J20" s="144">
        <v>0</v>
      </c>
      <c r="K20" s="144">
        <v>0</v>
      </c>
      <c r="L20" s="144">
        <v>0</v>
      </c>
      <c r="M20" s="144">
        <v>0</v>
      </c>
      <c r="N20" s="144">
        <v>0</v>
      </c>
      <c r="O20" s="144">
        <v>0</v>
      </c>
      <c r="P20" s="144">
        <v>0</v>
      </c>
      <c r="Q20" s="144">
        <v>0</v>
      </c>
      <c r="R20" s="144">
        <v>0</v>
      </c>
      <c r="S20" s="144">
        <v>0</v>
      </c>
      <c r="T20" s="144">
        <v>3.5140560878865424E-3</v>
      </c>
      <c r="U20" s="144">
        <v>0</v>
      </c>
      <c r="V20" s="144">
        <v>0</v>
      </c>
      <c r="W20" s="144">
        <v>0</v>
      </c>
      <c r="X20" s="144">
        <v>0</v>
      </c>
      <c r="Y20" s="144">
        <v>0</v>
      </c>
      <c r="Z20" s="144">
        <v>0</v>
      </c>
      <c r="AA20" s="144">
        <v>0</v>
      </c>
      <c r="AB20" s="144">
        <v>0</v>
      </c>
      <c r="AC20" s="144">
        <v>0</v>
      </c>
      <c r="AD20" s="144">
        <v>0</v>
      </c>
      <c r="AE20" s="144">
        <v>0</v>
      </c>
      <c r="AF20" s="144">
        <v>0</v>
      </c>
      <c r="AG20" s="144">
        <v>0</v>
      </c>
      <c r="AH20" s="144">
        <v>0</v>
      </c>
      <c r="AI20" s="144">
        <v>0</v>
      </c>
      <c r="AJ20" s="144">
        <v>0</v>
      </c>
      <c r="AK20" s="144">
        <v>0</v>
      </c>
      <c r="AL20" s="144">
        <v>0</v>
      </c>
      <c r="AM20" s="144">
        <v>0</v>
      </c>
      <c r="AN20" s="144">
        <v>0</v>
      </c>
      <c r="AO20" s="144">
        <v>0</v>
      </c>
      <c r="AP20" s="144">
        <v>0</v>
      </c>
      <c r="AQ20" s="144">
        <v>0</v>
      </c>
      <c r="AR20" s="144">
        <v>0</v>
      </c>
      <c r="AS20" s="144">
        <v>0</v>
      </c>
      <c r="AT20" s="144">
        <v>0</v>
      </c>
    </row>
    <row r="21" spans="1:46" customFormat="1" x14ac:dyDescent="0.15">
      <c r="A21" s="182" t="s">
        <v>211</v>
      </c>
      <c r="B21" s="144">
        <v>0</v>
      </c>
      <c r="C21" s="144">
        <v>0</v>
      </c>
      <c r="D21" s="144">
        <v>0</v>
      </c>
      <c r="E21" s="144">
        <v>0</v>
      </c>
      <c r="F21" s="144">
        <v>0</v>
      </c>
      <c r="G21" s="144">
        <v>2.1204239073280236E-2</v>
      </c>
      <c r="H21" s="144">
        <v>0</v>
      </c>
      <c r="I21" s="144">
        <v>0</v>
      </c>
      <c r="J21" s="144">
        <v>0</v>
      </c>
      <c r="K21" s="144">
        <v>0</v>
      </c>
      <c r="L21" s="144">
        <v>0</v>
      </c>
      <c r="M21" s="144">
        <v>0</v>
      </c>
      <c r="N21" s="144">
        <v>0</v>
      </c>
      <c r="O21" s="144">
        <v>0</v>
      </c>
      <c r="P21" s="144">
        <v>0</v>
      </c>
      <c r="Q21" s="144">
        <v>0</v>
      </c>
      <c r="R21" s="144">
        <v>0</v>
      </c>
      <c r="S21" s="144">
        <v>0</v>
      </c>
      <c r="T21" s="144">
        <v>1.0040161651104441E-3</v>
      </c>
      <c r="U21" s="144">
        <v>0</v>
      </c>
      <c r="V21" s="144">
        <v>1.1301130952975995E-2</v>
      </c>
      <c r="W21" s="144">
        <v>0</v>
      </c>
      <c r="X21" s="144">
        <v>0</v>
      </c>
      <c r="Y21" s="144">
        <v>0</v>
      </c>
      <c r="Z21" s="144">
        <v>0</v>
      </c>
      <c r="AA21" s="144">
        <v>0</v>
      </c>
      <c r="AB21" s="144">
        <v>0</v>
      </c>
      <c r="AC21" s="144">
        <v>0</v>
      </c>
      <c r="AD21" s="144">
        <v>0</v>
      </c>
      <c r="AE21" s="144">
        <v>0</v>
      </c>
      <c r="AF21" s="144">
        <v>0</v>
      </c>
      <c r="AG21" s="144">
        <v>0</v>
      </c>
      <c r="AH21" s="144">
        <v>0</v>
      </c>
      <c r="AI21" s="144">
        <v>0</v>
      </c>
      <c r="AJ21" s="144">
        <v>0</v>
      </c>
      <c r="AK21" s="144">
        <v>0</v>
      </c>
      <c r="AL21" s="144">
        <v>0</v>
      </c>
      <c r="AM21" s="144">
        <v>0</v>
      </c>
      <c r="AN21" s="144">
        <v>0</v>
      </c>
      <c r="AO21" s="144">
        <v>0</v>
      </c>
      <c r="AP21" s="144">
        <v>0</v>
      </c>
      <c r="AQ21" s="144">
        <v>0</v>
      </c>
      <c r="AR21" s="144">
        <v>0</v>
      </c>
      <c r="AS21" s="144">
        <v>0</v>
      </c>
      <c r="AT21" s="144">
        <v>0</v>
      </c>
    </row>
    <row r="22" spans="1:46" customFormat="1" x14ac:dyDescent="0.15">
      <c r="A22" s="182" t="s">
        <v>212</v>
      </c>
      <c r="B22" s="144">
        <v>0</v>
      </c>
      <c r="C22" s="144">
        <v>0</v>
      </c>
      <c r="D22" s="144">
        <v>0</v>
      </c>
      <c r="E22" s="144">
        <v>0</v>
      </c>
      <c r="F22" s="144">
        <v>6.4012804489197855E-3</v>
      </c>
      <c r="G22" s="144">
        <v>2.8305663164803388E-2</v>
      </c>
      <c r="H22" s="144">
        <v>0</v>
      </c>
      <c r="I22" s="144">
        <v>1.0097980057558485E-2</v>
      </c>
      <c r="J22" s="144">
        <v>2.9002900366248627E-3</v>
      </c>
      <c r="K22" s="144">
        <v>0</v>
      </c>
      <c r="L22" s="144">
        <v>9.9800398070858335E-3</v>
      </c>
      <c r="M22" s="144">
        <v>1.004116995039662E-3</v>
      </c>
      <c r="N22" s="144">
        <v>0</v>
      </c>
      <c r="O22" s="144">
        <v>0</v>
      </c>
      <c r="P22" s="144">
        <v>0</v>
      </c>
      <c r="Q22" s="144">
        <v>0</v>
      </c>
      <c r="R22" s="144">
        <v>0</v>
      </c>
      <c r="S22" s="144">
        <v>0</v>
      </c>
      <c r="T22" s="144">
        <v>5.622489520618462E-3</v>
      </c>
      <c r="U22" s="144">
        <v>0</v>
      </c>
      <c r="V22" s="144">
        <v>1.0000999958385839E-2</v>
      </c>
      <c r="W22" s="144">
        <v>0</v>
      </c>
      <c r="X22" s="144">
        <v>0</v>
      </c>
      <c r="Y22" s="144">
        <v>0</v>
      </c>
      <c r="Z22" s="144">
        <v>0</v>
      </c>
      <c r="AA22" s="144">
        <v>0</v>
      </c>
      <c r="AB22" s="144">
        <v>0</v>
      </c>
      <c r="AC22" s="144">
        <v>0</v>
      </c>
      <c r="AD22" s="144">
        <v>0</v>
      </c>
      <c r="AE22" s="144">
        <v>0</v>
      </c>
      <c r="AF22" s="144">
        <v>0</v>
      </c>
      <c r="AG22" s="144">
        <v>4.1299999867840005E-2</v>
      </c>
      <c r="AH22" s="144">
        <v>0</v>
      </c>
      <c r="AI22" s="144">
        <v>0</v>
      </c>
      <c r="AJ22" s="144">
        <v>0</v>
      </c>
      <c r="AK22" s="144">
        <v>0</v>
      </c>
      <c r="AL22" s="144">
        <v>0</v>
      </c>
      <c r="AM22" s="144">
        <v>0</v>
      </c>
      <c r="AN22" s="144">
        <v>0</v>
      </c>
      <c r="AO22" s="144">
        <v>0</v>
      </c>
      <c r="AP22" s="144">
        <v>0</v>
      </c>
      <c r="AQ22" s="144">
        <v>0</v>
      </c>
      <c r="AR22" s="144">
        <v>0</v>
      </c>
      <c r="AS22" s="144">
        <v>0</v>
      </c>
      <c r="AT22" s="144">
        <v>0</v>
      </c>
    </row>
    <row r="23" spans="1:46" customFormat="1" x14ac:dyDescent="0.15">
      <c r="A23" s="182" t="s">
        <v>213</v>
      </c>
      <c r="B23" s="144">
        <v>0</v>
      </c>
      <c r="C23" s="144">
        <v>0</v>
      </c>
      <c r="D23" s="144">
        <v>0</v>
      </c>
      <c r="E23" s="144">
        <v>0</v>
      </c>
      <c r="F23" s="144">
        <v>0</v>
      </c>
      <c r="G23" s="144">
        <v>3.6007200464060803E-3</v>
      </c>
      <c r="H23" s="144">
        <v>0</v>
      </c>
      <c r="I23" s="144">
        <v>0</v>
      </c>
      <c r="J23" s="144">
        <v>0</v>
      </c>
      <c r="K23" s="144">
        <v>0</v>
      </c>
      <c r="L23" s="144">
        <v>0</v>
      </c>
      <c r="M23" s="144">
        <v>0</v>
      </c>
      <c r="N23" s="144">
        <v>0</v>
      </c>
      <c r="O23" s="144">
        <v>0</v>
      </c>
      <c r="P23" s="144">
        <v>0</v>
      </c>
      <c r="Q23" s="144">
        <v>0</v>
      </c>
      <c r="R23" s="144">
        <v>0</v>
      </c>
      <c r="S23" s="144">
        <v>0</v>
      </c>
      <c r="T23" s="144">
        <v>0</v>
      </c>
      <c r="U23" s="144">
        <v>0</v>
      </c>
      <c r="V23" s="144">
        <v>0</v>
      </c>
      <c r="W23" s="144">
        <v>0</v>
      </c>
      <c r="X23" s="144">
        <v>0</v>
      </c>
      <c r="Y23" s="144">
        <v>0</v>
      </c>
      <c r="Z23" s="144">
        <v>0</v>
      </c>
      <c r="AA23" s="144">
        <v>0</v>
      </c>
      <c r="AB23" s="144">
        <v>0</v>
      </c>
      <c r="AC23" s="144">
        <v>0</v>
      </c>
      <c r="AD23" s="144">
        <v>0</v>
      </c>
      <c r="AE23" s="144">
        <v>0</v>
      </c>
      <c r="AF23" s="144">
        <v>0</v>
      </c>
      <c r="AG23" s="144">
        <v>0</v>
      </c>
      <c r="AH23" s="144">
        <v>0</v>
      </c>
      <c r="AI23" s="144">
        <v>0</v>
      </c>
      <c r="AJ23" s="144">
        <v>0</v>
      </c>
      <c r="AK23" s="144">
        <v>0</v>
      </c>
      <c r="AL23" s="144">
        <v>0</v>
      </c>
      <c r="AM23" s="144">
        <v>0</v>
      </c>
      <c r="AN23" s="144">
        <v>0</v>
      </c>
      <c r="AO23" s="144">
        <v>0</v>
      </c>
      <c r="AP23" s="144">
        <v>0</v>
      </c>
      <c r="AQ23" s="144">
        <v>0</v>
      </c>
      <c r="AR23" s="144">
        <v>0</v>
      </c>
      <c r="AS23" s="144">
        <v>0</v>
      </c>
      <c r="AT23" s="144">
        <v>0</v>
      </c>
    </row>
    <row r="24" spans="1:46" customFormat="1" x14ac:dyDescent="0.15">
      <c r="A24" s="182" t="s">
        <v>214</v>
      </c>
      <c r="B24" s="144">
        <v>0</v>
      </c>
      <c r="C24" s="144">
        <v>0</v>
      </c>
      <c r="D24" s="144">
        <v>0</v>
      </c>
      <c r="E24" s="144">
        <v>0</v>
      </c>
      <c r="F24" s="144">
        <v>0</v>
      </c>
      <c r="G24" s="144">
        <v>4.7709543914880602E-2</v>
      </c>
      <c r="H24" s="144">
        <v>0</v>
      </c>
      <c r="I24" s="144">
        <v>6.4487100367576475E-2</v>
      </c>
      <c r="J24" s="144">
        <v>0.12921291763170076</v>
      </c>
      <c r="K24" s="144">
        <v>0</v>
      </c>
      <c r="L24" s="144">
        <v>2.3952096237005987E-2</v>
      </c>
      <c r="M24" s="144">
        <v>1.2350637438987852E-2</v>
      </c>
      <c r="N24" s="144">
        <v>0</v>
      </c>
      <c r="O24" s="144">
        <v>0</v>
      </c>
      <c r="P24" s="144">
        <v>0</v>
      </c>
      <c r="Q24" s="144">
        <v>0</v>
      </c>
      <c r="R24" s="144">
        <v>0</v>
      </c>
      <c r="S24" s="144">
        <v>0</v>
      </c>
      <c r="T24" s="144">
        <v>1.0040159651104392E-4</v>
      </c>
      <c r="U24" s="144">
        <v>0</v>
      </c>
      <c r="V24" s="144">
        <v>4.5304529811487852E-2</v>
      </c>
      <c r="W24" s="144">
        <v>0</v>
      </c>
      <c r="X24" s="144">
        <v>0</v>
      </c>
      <c r="Y24" s="144">
        <v>0</v>
      </c>
      <c r="Z24" s="144">
        <v>0</v>
      </c>
      <c r="AA24" s="144">
        <v>0</v>
      </c>
      <c r="AB24" s="144">
        <v>0</v>
      </c>
      <c r="AC24" s="144">
        <v>0</v>
      </c>
      <c r="AD24" s="144">
        <v>0</v>
      </c>
      <c r="AE24" s="144">
        <v>0</v>
      </c>
      <c r="AF24" s="144">
        <v>0</v>
      </c>
      <c r="AG24" s="144">
        <v>0</v>
      </c>
      <c r="AH24" s="144">
        <v>0</v>
      </c>
      <c r="AI24" s="144">
        <v>0</v>
      </c>
      <c r="AJ24" s="144">
        <v>0</v>
      </c>
      <c r="AK24" s="144">
        <v>0</v>
      </c>
      <c r="AL24" s="144">
        <v>0</v>
      </c>
      <c r="AM24" s="144">
        <v>0</v>
      </c>
      <c r="AN24" s="144">
        <v>0</v>
      </c>
      <c r="AO24" s="144">
        <v>0</v>
      </c>
      <c r="AP24" s="144">
        <v>0</v>
      </c>
      <c r="AQ24" s="144">
        <v>0</v>
      </c>
      <c r="AR24" s="144">
        <v>0</v>
      </c>
      <c r="AS24" s="144">
        <v>0</v>
      </c>
      <c r="AT24" s="144">
        <v>0</v>
      </c>
    </row>
    <row r="25" spans="1:46" customFormat="1" x14ac:dyDescent="0.15">
      <c r="A25" s="182" t="s">
        <v>215</v>
      </c>
      <c r="B25" s="144">
        <v>0</v>
      </c>
      <c r="C25" s="144">
        <v>0</v>
      </c>
      <c r="D25" s="144">
        <v>0</v>
      </c>
      <c r="E25" s="144">
        <v>2.2804510619609739E-2</v>
      </c>
      <c r="F25" s="144">
        <v>0</v>
      </c>
      <c r="G25" s="144">
        <v>3.0006002986717366E-3</v>
      </c>
      <c r="H25" s="144">
        <v>0</v>
      </c>
      <c r="I25" s="144">
        <v>3.0293941672675465E-2</v>
      </c>
      <c r="J25" s="144">
        <v>0</v>
      </c>
      <c r="K25" s="144">
        <v>0</v>
      </c>
      <c r="L25" s="144">
        <v>0</v>
      </c>
      <c r="M25" s="144">
        <v>0</v>
      </c>
      <c r="N25" s="144">
        <v>0</v>
      </c>
      <c r="O25" s="144">
        <v>0</v>
      </c>
      <c r="P25" s="144">
        <v>0</v>
      </c>
      <c r="Q25" s="144">
        <v>0</v>
      </c>
      <c r="R25" s="144">
        <v>0</v>
      </c>
      <c r="S25" s="144">
        <v>0</v>
      </c>
      <c r="T25" s="144">
        <v>0</v>
      </c>
      <c r="U25" s="144">
        <v>0</v>
      </c>
      <c r="V25" s="144">
        <v>0</v>
      </c>
      <c r="W25" s="144">
        <v>0</v>
      </c>
      <c r="X25" s="144">
        <v>0</v>
      </c>
      <c r="Y25" s="144">
        <v>0</v>
      </c>
      <c r="Z25" s="144">
        <v>0</v>
      </c>
      <c r="AA25" s="144">
        <v>0</v>
      </c>
      <c r="AB25" s="144">
        <v>0</v>
      </c>
      <c r="AC25" s="144">
        <v>0</v>
      </c>
      <c r="AD25" s="144">
        <v>0</v>
      </c>
      <c r="AE25" s="144">
        <v>0</v>
      </c>
      <c r="AF25" s="144">
        <v>0</v>
      </c>
      <c r="AG25" s="144">
        <v>0</v>
      </c>
      <c r="AH25" s="144">
        <v>0</v>
      </c>
      <c r="AI25" s="144">
        <v>0</v>
      </c>
      <c r="AJ25" s="144">
        <v>0</v>
      </c>
      <c r="AK25" s="144">
        <v>0</v>
      </c>
      <c r="AL25" s="144">
        <v>0</v>
      </c>
      <c r="AM25" s="144">
        <v>0</v>
      </c>
      <c r="AN25" s="144">
        <v>0</v>
      </c>
      <c r="AO25" s="144">
        <v>0</v>
      </c>
      <c r="AP25" s="144">
        <v>0</v>
      </c>
      <c r="AQ25" s="144">
        <v>0</v>
      </c>
      <c r="AR25" s="144">
        <v>0</v>
      </c>
      <c r="AS25" s="144">
        <v>0</v>
      </c>
      <c r="AT25" s="144">
        <v>0</v>
      </c>
    </row>
    <row r="26" spans="1:46" customFormat="1" x14ac:dyDescent="0.15">
      <c r="A26" s="182" t="s">
        <v>216</v>
      </c>
      <c r="B26" s="144">
        <v>0</v>
      </c>
      <c r="C26" s="144">
        <v>0</v>
      </c>
      <c r="D26" s="144">
        <v>0</v>
      </c>
      <c r="E26" s="144">
        <v>0</v>
      </c>
      <c r="F26" s="144">
        <v>0</v>
      </c>
      <c r="G26" s="144">
        <v>1.0702140737929191E-2</v>
      </c>
      <c r="H26" s="144">
        <v>0</v>
      </c>
      <c r="I26" s="144">
        <v>1.5196960086622672E-2</v>
      </c>
      <c r="J26" s="144">
        <v>0</v>
      </c>
      <c r="K26" s="144">
        <v>0</v>
      </c>
      <c r="L26" s="144">
        <v>0</v>
      </c>
      <c r="M26" s="144">
        <v>0</v>
      </c>
      <c r="N26" s="144">
        <v>0</v>
      </c>
      <c r="O26" s="144">
        <v>0</v>
      </c>
      <c r="P26" s="144">
        <v>0</v>
      </c>
      <c r="Q26" s="144">
        <v>0</v>
      </c>
      <c r="R26" s="144">
        <v>0</v>
      </c>
      <c r="S26" s="144">
        <v>6.4199999999999993E-2</v>
      </c>
      <c r="T26" s="144">
        <v>0</v>
      </c>
      <c r="U26" s="144">
        <v>8.3333334566666667E-2</v>
      </c>
      <c r="V26" s="144">
        <v>0</v>
      </c>
      <c r="W26" s="144">
        <v>0</v>
      </c>
      <c r="X26" s="144">
        <v>0</v>
      </c>
      <c r="Y26" s="144">
        <v>0</v>
      </c>
      <c r="Z26" s="144">
        <v>0</v>
      </c>
      <c r="AA26" s="144">
        <v>0</v>
      </c>
      <c r="AB26" s="144">
        <v>0</v>
      </c>
      <c r="AC26" s="144">
        <v>0</v>
      </c>
      <c r="AD26" s="144">
        <v>0</v>
      </c>
      <c r="AE26" s="144">
        <v>0</v>
      </c>
      <c r="AF26" s="144">
        <v>0</v>
      </c>
      <c r="AG26" s="144">
        <v>0</v>
      </c>
      <c r="AH26" s="144">
        <v>0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S26" s="144">
        <v>0</v>
      </c>
      <c r="AT26" s="144">
        <v>0</v>
      </c>
    </row>
    <row r="27" spans="1:46" customFormat="1" x14ac:dyDescent="0.15">
      <c r="A27" s="182" t="s">
        <v>217</v>
      </c>
      <c r="B27" s="144">
        <v>0</v>
      </c>
      <c r="C27" s="144">
        <v>3.400340138755871E-2</v>
      </c>
      <c r="D27" s="144">
        <v>0</v>
      </c>
      <c r="E27" s="144">
        <v>4.0207949018736207E-2</v>
      </c>
      <c r="F27" s="144">
        <v>0</v>
      </c>
      <c r="G27" s="144">
        <v>3.0006002986717366E-3</v>
      </c>
      <c r="H27" s="144">
        <v>0</v>
      </c>
      <c r="I27" s="144">
        <v>0</v>
      </c>
      <c r="J27" s="144">
        <v>0</v>
      </c>
      <c r="K27" s="144">
        <v>1.4801480787862789E-2</v>
      </c>
      <c r="L27" s="144">
        <v>2.2954092856297389E-2</v>
      </c>
      <c r="M27" s="144">
        <v>0</v>
      </c>
      <c r="N27" s="144">
        <v>0</v>
      </c>
      <c r="O27" s="144">
        <v>0</v>
      </c>
      <c r="P27" s="144">
        <v>0</v>
      </c>
      <c r="Q27" s="144">
        <v>0</v>
      </c>
      <c r="R27" s="144">
        <v>0</v>
      </c>
      <c r="S27" s="144">
        <v>6.4199999999999993E-2</v>
      </c>
      <c r="T27" s="144">
        <v>0</v>
      </c>
      <c r="U27" s="144">
        <v>8.3333334566666667E-2</v>
      </c>
      <c r="V27" s="144">
        <v>4.3004304021059094E-3</v>
      </c>
      <c r="W27" s="144">
        <v>0</v>
      </c>
      <c r="X27" s="144">
        <v>0</v>
      </c>
      <c r="Y27" s="144">
        <v>0</v>
      </c>
      <c r="Z27" s="144">
        <v>0</v>
      </c>
      <c r="AA27" s="144">
        <v>0</v>
      </c>
      <c r="AB27" s="144">
        <v>0</v>
      </c>
      <c r="AC27" s="144">
        <v>0</v>
      </c>
      <c r="AD27" s="144">
        <v>0</v>
      </c>
      <c r="AE27" s="144">
        <v>0</v>
      </c>
      <c r="AF27" s="144">
        <v>0</v>
      </c>
      <c r="AG27" s="144">
        <v>0</v>
      </c>
      <c r="AH27" s="144">
        <v>0</v>
      </c>
      <c r="AI27" s="144">
        <v>0</v>
      </c>
      <c r="AJ27" s="144">
        <v>0</v>
      </c>
      <c r="AK27" s="144">
        <v>0</v>
      </c>
      <c r="AL27" s="144">
        <v>0</v>
      </c>
      <c r="AM27" s="144">
        <v>0</v>
      </c>
      <c r="AN27" s="144">
        <v>0</v>
      </c>
      <c r="AO27" s="144">
        <v>0</v>
      </c>
      <c r="AP27" s="144">
        <v>0</v>
      </c>
      <c r="AQ27" s="144">
        <v>0</v>
      </c>
      <c r="AR27" s="144">
        <v>0</v>
      </c>
      <c r="AS27" s="144">
        <v>0</v>
      </c>
      <c r="AT27" s="144">
        <v>0</v>
      </c>
    </row>
    <row r="28" spans="1:46" customFormat="1" x14ac:dyDescent="0.15">
      <c r="A28" s="182" t="s">
        <v>218</v>
      </c>
      <c r="B28" s="144">
        <v>0</v>
      </c>
      <c r="C28" s="144">
        <v>0</v>
      </c>
      <c r="D28" s="144">
        <v>0</v>
      </c>
      <c r="E28" s="144">
        <v>0</v>
      </c>
      <c r="F28" s="144">
        <v>0</v>
      </c>
      <c r="G28" s="144">
        <v>2.1204239073280236E-2</v>
      </c>
      <c r="H28" s="144">
        <v>0</v>
      </c>
      <c r="I28" s="144">
        <v>0</v>
      </c>
      <c r="J28" s="144">
        <v>0</v>
      </c>
      <c r="K28" s="144">
        <v>0</v>
      </c>
      <c r="L28" s="144">
        <v>0</v>
      </c>
      <c r="M28" s="144">
        <v>0</v>
      </c>
      <c r="N28" s="144">
        <v>0</v>
      </c>
      <c r="O28" s="144">
        <v>0</v>
      </c>
      <c r="P28" s="144">
        <v>0</v>
      </c>
      <c r="Q28" s="144">
        <v>0</v>
      </c>
      <c r="R28" s="144">
        <v>0</v>
      </c>
      <c r="S28" s="144">
        <v>6.4199999999999993E-2</v>
      </c>
      <c r="T28" s="144">
        <v>1.3654617941501994E-2</v>
      </c>
      <c r="U28" s="144">
        <v>0</v>
      </c>
      <c r="V28" s="144">
        <v>4.6004599808574858E-3</v>
      </c>
      <c r="W28" s="144">
        <v>0</v>
      </c>
      <c r="X28" s="144">
        <v>8.7314327904456108E-3</v>
      </c>
      <c r="Y28" s="144">
        <v>2.7777777694444443E-2</v>
      </c>
      <c r="Z28" s="144">
        <v>0</v>
      </c>
      <c r="AA28" s="144">
        <v>0</v>
      </c>
      <c r="AB28" s="144">
        <v>0</v>
      </c>
      <c r="AC28" s="144">
        <v>0</v>
      </c>
      <c r="AD28" s="144">
        <v>0</v>
      </c>
      <c r="AE28" s="144">
        <v>0</v>
      </c>
      <c r="AF28" s="144">
        <v>0</v>
      </c>
      <c r="AG28" s="144">
        <v>0</v>
      </c>
      <c r="AH28" s="144">
        <v>0</v>
      </c>
      <c r="AI28" s="144">
        <v>0</v>
      </c>
      <c r="AJ28" s="144">
        <v>0</v>
      </c>
      <c r="AK28" s="144">
        <v>0</v>
      </c>
      <c r="AL28" s="144">
        <v>0</v>
      </c>
      <c r="AM28" s="144">
        <v>0</v>
      </c>
      <c r="AN28" s="144">
        <v>0</v>
      </c>
      <c r="AO28" s="144">
        <v>0</v>
      </c>
      <c r="AP28" s="144">
        <v>0</v>
      </c>
      <c r="AQ28" s="144">
        <v>0</v>
      </c>
      <c r="AR28" s="144">
        <v>0</v>
      </c>
      <c r="AS28" s="144">
        <v>0</v>
      </c>
      <c r="AT28" s="144">
        <v>0</v>
      </c>
    </row>
    <row r="29" spans="1:46" customFormat="1" x14ac:dyDescent="0.15">
      <c r="A29" s="182" t="s">
        <v>219</v>
      </c>
      <c r="B29" s="144">
        <v>0</v>
      </c>
      <c r="C29" s="144">
        <v>5.3005295186488912E-3</v>
      </c>
      <c r="D29" s="144">
        <v>0</v>
      </c>
      <c r="E29" s="144">
        <v>1.1302236548328242E-2</v>
      </c>
      <c r="F29" s="144">
        <v>8.8017600535147018E-3</v>
      </c>
      <c r="G29" s="144">
        <v>1.0702140737929191E-2</v>
      </c>
      <c r="H29" s="144">
        <v>0</v>
      </c>
      <c r="I29" s="144">
        <v>1.3097380074655066E-2</v>
      </c>
      <c r="J29" s="144">
        <v>1.0801080736396049E-2</v>
      </c>
      <c r="K29" s="144">
        <v>0</v>
      </c>
      <c r="L29" s="144">
        <v>9.9800398070858335E-3</v>
      </c>
      <c r="M29" s="144">
        <v>1.335475493402751E-2</v>
      </c>
      <c r="N29" s="144">
        <v>0</v>
      </c>
      <c r="O29" s="144">
        <v>0</v>
      </c>
      <c r="P29" s="144">
        <v>0</v>
      </c>
      <c r="Q29" s="144">
        <v>0</v>
      </c>
      <c r="R29" s="144">
        <v>0</v>
      </c>
      <c r="S29" s="144">
        <v>6.4199999999999993E-2</v>
      </c>
      <c r="T29" s="144">
        <v>7.8313251958614417E-3</v>
      </c>
      <c r="U29" s="144">
        <v>0</v>
      </c>
      <c r="V29" s="144">
        <v>1.0301029957137414E-2</v>
      </c>
      <c r="W29" s="144">
        <v>0</v>
      </c>
      <c r="X29" s="144">
        <v>6.8245678362103702E-3</v>
      </c>
      <c r="Y29" s="144">
        <v>2.7777777694444443E-2</v>
      </c>
      <c r="Z29" s="144">
        <v>0</v>
      </c>
      <c r="AA29" s="144">
        <v>0</v>
      </c>
      <c r="AB29" s="144">
        <v>0</v>
      </c>
      <c r="AC29" s="144">
        <v>0</v>
      </c>
      <c r="AD29" s="144">
        <v>0</v>
      </c>
      <c r="AE29" s="144">
        <v>0</v>
      </c>
      <c r="AF29" s="144">
        <v>0</v>
      </c>
      <c r="AG29" s="144">
        <v>0</v>
      </c>
      <c r="AH29" s="144">
        <v>0</v>
      </c>
      <c r="AI29" s="144">
        <v>0</v>
      </c>
      <c r="AJ29" s="144">
        <v>0</v>
      </c>
      <c r="AK29" s="144">
        <v>0</v>
      </c>
      <c r="AL29" s="144">
        <v>0</v>
      </c>
      <c r="AM29" s="144">
        <v>0</v>
      </c>
      <c r="AN29" s="144">
        <v>0</v>
      </c>
      <c r="AO29" s="144">
        <v>0</v>
      </c>
      <c r="AP29" s="144">
        <v>0</v>
      </c>
      <c r="AQ29" s="144">
        <v>0</v>
      </c>
      <c r="AR29" s="144">
        <v>0</v>
      </c>
      <c r="AS29" s="144">
        <v>0</v>
      </c>
      <c r="AT29" s="144">
        <v>0</v>
      </c>
    </row>
    <row r="30" spans="1:46" customFormat="1" x14ac:dyDescent="0.15">
      <c r="A30" s="182" t="s">
        <v>220</v>
      </c>
      <c r="B30" s="144">
        <v>0</v>
      </c>
      <c r="C30" s="144">
        <v>5.1005103081338023E-3</v>
      </c>
      <c r="D30" s="144">
        <v>0</v>
      </c>
      <c r="E30" s="144">
        <v>1.1102195225327061E-2</v>
      </c>
      <c r="F30" s="144">
        <v>0</v>
      </c>
      <c r="G30" s="144">
        <v>1.5803158503671109E-2</v>
      </c>
      <c r="H30" s="144">
        <v>0</v>
      </c>
      <c r="I30" s="144">
        <v>2.1595681223095381E-2</v>
      </c>
      <c r="J30" s="144">
        <v>0</v>
      </c>
      <c r="K30" s="144">
        <v>2.3702371880564059E-2</v>
      </c>
      <c r="L30" s="144">
        <v>0</v>
      </c>
      <c r="M30" s="144">
        <v>0</v>
      </c>
      <c r="N30" s="144">
        <v>0</v>
      </c>
      <c r="O30" s="144">
        <v>0</v>
      </c>
      <c r="P30" s="144">
        <v>0</v>
      </c>
      <c r="Q30" s="144">
        <v>0</v>
      </c>
      <c r="R30" s="144">
        <v>0</v>
      </c>
      <c r="S30" s="144">
        <v>1.11E-2</v>
      </c>
      <c r="T30" s="144">
        <v>1.586345439674499E-2</v>
      </c>
      <c r="U30" s="144">
        <v>8.3333334566666667E-2</v>
      </c>
      <c r="V30" s="144">
        <v>8.2008209658763851E-3</v>
      </c>
      <c r="W30" s="144">
        <v>0</v>
      </c>
      <c r="X30" s="144">
        <v>6.8245678362103702E-3</v>
      </c>
      <c r="Y30" s="144">
        <v>2.7777777694444443E-2</v>
      </c>
      <c r="Z30" s="144">
        <v>0</v>
      </c>
      <c r="AA30" s="144">
        <v>0</v>
      </c>
      <c r="AB30" s="144">
        <v>0</v>
      </c>
      <c r="AC30" s="144">
        <v>1.0131711779503522E-4</v>
      </c>
      <c r="AD30" s="144">
        <v>1.4463639891522702E-2</v>
      </c>
      <c r="AE30" s="144">
        <v>9.999666059997997E-3</v>
      </c>
      <c r="AF30" s="144">
        <v>4.3995342332721231E-3</v>
      </c>
      <c r="AG30" s="144">
        <v>0</v>
      </c>
      <c r="AH30" s="144">
        <v>0</v>
      </c>
      <c r="AI30" s="144">
        <v>0</v>
      </c>
      <c r="AJ30" s="144">
        <v>0</v>
      </c>
      <c r="AK30" s="144">
        <v>0</v>
      </c>
      <c r="AL30" s="144">
        <v>0</v>
      </c>
      <c r="AM30" s="144">
        <v>0</v>
      </c>
      <c r="AN30" s="144">
        <v>0</v>
      </c>
      <c r="AO30" s="144">
        <v>0</v>
      </c>
      <c r="AP30" s="144">
        <v>0</v>
      </c>
      <c r="AQ30" s="144">
        <v>0</v>
      </c>
      <c r="AR30" s="144">
        <v>0</v>
      </c>
      <c r="AS30" s="144">
        <v>0</v>
      </c>
      <c r="AT30" s="144">
        <v>0</v>
      </c>
    </row>
    <row r="31" spans="1:46" customFormat="1" x14ac:dyDescent="0.15">
      <c r="A31" s="182" t="s">
        <v>221</v>
      </c>
      <c r="B31" s="144">
        <v>0</v>
      </c>
      <c r="C31" s="144">
        <v>0</v>
      </c>
      <c r="D31" s="144">
        <v>0</v>
      </c>
      <c r="E31" s="144">
        <v>0</v>
      </c>
      <c r="F31" s="144">
        <v>0</v>
      </c>
      <c r="G31" s="144">
        <v>0</v>
      </c>
      <c r="H31" s="144">
        <v>0</v>
      </c>
      <c r="I31" s="144">
        <v>0</v>
      </c>
      <c r="J31" s="144">
        <v>0</v>
      </c>
      <c r="K31" s="144">
        <v>0</v>
      </c>
      <c r="L31" s="144">
        <v>0</v>
      </c>
      <c r="M31" s="144">
        <v>0</v>
      </c>
      <c r="N31" s="144">
        <v>0</v>
      </c>
      <c r="O31" s="144">
        <v>0</v>
      </c>
      <c r="P31" s="144">
        <v>0</v>
      </c>
      <c r="Q31" s="144">
        <v>0</v>
      </c>
      <c r="R31" s="144">
        <v>0</v>
      </c>
      <c r="S31" s="144">
        <v>6.4199999999999993E-2</v>
      </c>
      <c r="T31" s="144">
        <v>1.1144577778725889E-2</v>
      </c>
      <c r="U31" s="144">
        <v>4.1666667283333333E-2</v>
      </c>
      <c r="V31" s="144">
        <v>4.6004599808574858E-3</v>
      </c>
      <c r="W31" s="144">
        <v>0</v>
      </c>
      <c r="X31" s="144">
        <v>8.7314327904456108E-3</v>
      </c>
      <c r="Y31" s="144">
        <v>2.7777777694444443E-2</v>
      </c>
      <c r="Z31" s="144">
        <v>0</v>
      </c>
      <c r="AA31" s="144">
        <v>0</v>
      </c>
      <c r="AB31" s="144">
        <v>0</v>
      </c>
      <c r="AC31" s="144">
        <v>0</v>
      </c>
      <c r="AD31" s="144">
        <v>0</v>
      </c>
      <c r="AE31" s="144">
        <v>0</v>
      </c>
      <c r="AF31" s="144">
        <v>0</v>
      </c>
      <c r="AG31" s="144">
        <v>0</v>
      </c>
      <c r="AH31" s="144">
        <v>0</v>
      </c>
      <c r="AI31" s="144">
        <v>0</v>
      </c>
      <c r="AJ31" s="144">
        <v>0</v>
      </c>
      <c r="AK31" s="144">
        <v>0</v>
      </c>
      <c r="AL31" s="144">
        <v>0</v>
      </c>
      <c r="AM31" s="144">
        <v>0</v>
      </c>
      <c r="AN31" s="144">
        <v>0</v>
      </c>
      <c r="AO31" s="144">
        <v>0</v>
      </c>
      <c r="AP31" s="144">
        <v>0</v>
      </c>
      <c r="AQ31" s="144">
        <v>0</v>
      </c>
      <c r="AR31" s="144">
        <v>0</v>
      </c>
      <c r="AS31" s="144">
        <v>0</v>
      </c>
      <c r="AT31" s="144">
        <v>0</v>
      </c>
    </row>
    <row r="32" spans="1:46" customFormat="1" x14ac:dyDescent="0.15">
      <c r="A32" s="182" t="s">
        <v>222</v>
      </c>
      <c r="B32" s="144">
        <v>0</v>
      </c>
      <c r="C32" s="144">
        <v>1.0201020616267605E-2</v>
      </c>
      <c r="D32" s="144">
        <v>0</v>
      </c>
      <c r="E32" s="144">
        <v>1.0902156702361193E-2</v>
      </c>
      <c r="F32" s="144">
        <v>4.1308260251154222E-2</v>
      </c>
      <c r="G32" s="144">
        <v>5.1710340666442874E-2</v>
      </c>
      <c r="H32" s="144">
        <v>9.1428569844571421E-3</v>
      </c>
      <c r="I32" s="144">
        <v>1.3097380074655066E-2</v>
      </c>
      <c r="J32" s="144">
        <v>1.000100012629263E-2</v>
      </c>
      <c r="K32" s="144">
        <v>5.0205022058831893E-2</v>
      </c>
      <c r="L32" s="144">
        <v>1.2974052449211569E-2</v>
      </c>
      <c r="M32" s="144">
        <v>5.0908729748510878E-2</v>
      </c>
      <c r="N32" s="144">
        <v>0</v>
      </c>
      <c r="O32" s="144">
        <v>0</v>
      </c>
      <c r="P32" s="144">
        <v>0</v>
      </c>
      <c r="Q32" s="144">
        <v>0</v>
      </c>
      <c r="R32" s="144">
        <v>0</v>
      </c>
      <c r="S32" s="144">
        <v>1.0500000000000001E-2</v>
      </c>
      <c r="T32" s="144">
        <v>1.9879516697186708E-2</v>
      </c>
      <c r="U32" s="144">
        <v>4.1666667283333333E-2</v>
      </c>
      <c r="V32" s="144">
        <v>1.1101109953808282E-2</v>
      </c>
      <c r="W32" s="144">
        <v>0</v>
      </c>
      <c r="X32" s="144">
        <v>1.0036129259132895E-2</v>
      </c>
      <c r="Y32" s="144">
        <v>2.7777777694444443E-2</v>
      </c>
      <c r="Z32" s="144">
        <v>0</v>
      </c>
      <c r="AA32" s="144">
        <v>0</v>
      </c>
      <c r="AB32" s="144">
        <v>1.0298969701329878E-2</v>
      </c>
      <c r="AC32" s="144">
        <v>1.0131713279503594E-3</v>
      </c>
      <c r="AD32" s="144">
        <v>1.004419472466854E-2</v>
      </c>
      <c r="AE32" s="144">
        <v>0</v>
      </c>
      <c r="AF32" s="144">
        <v>6.8992696396767382E-3</v>
      </c>
      <c r="AG32" s="144">
        <v>0</v>
      </c>
      <c r="AH32" s="144">
        <v>0</v>
      </c>
      <c r="AI32" s="144">
        <v>0</v>
      </c>
      <c r="AJ32" s="144">
        <v>0</v>
      </c>
      <c r="AK32" s="144">
        <v>0</v>
      </c>
      <c r="AL32" s="144">
        <v>0</v>
      </c>
      <c r="AM32" s="144">
        <v>1.0010010272272279E-2</v>
      </c>
      <c r="AN32" s="144">
        <v>0</v>
      </c>
      <c r="AO32" s="144">
        <v>0</v>
      </c>
      <c r="AP32" s="144">
        <v>0</v>
      </c>
      <c r="AQ32" s="144">
        <v>0</v>
      </c>
      <c r="AR32" s="144">
        <v>0</v>
      </c>
      <c r="AS32" s="144">
        <v>0</v>
      </c>
      <c r="AT32" s="144">
        <v>0</v>
      </c>
    </row>
    <row r="33" spans="1:46" customFormat="1" x14ac:dyDescent="0.15">
      <c r="A33" s="182" t="s">
        <v>223</v>
      </c>
      <c r="B33" s="144">
        <v>0</v>
      </c>
      <c r="C33" s="144">
        <v>0</v>
      </c>
      <c r="D33" s="144">
        <v>0</v>
      </c>
      <c r="E33" s="144">
        <v>0</v>
      </c>
      <c r="F33" s="144">
        <v>6.4012804489197855E-3</v>
      </c>
      <c r="G33" s="144">
        <v>5.7811562745075422E-2</v>
      </c>
      <c r="H33" s="144">
        <v>2.4847682557758936E-2</v>
      </c>
      <c r="I33" s="144">
        <v>0</v>
      </c>
      <c r="J33" s="144">
        <v>0</v>
      </c>
      <c r="K33" s="144">
        <v>0</v>
      </c>
      <c r="L33" s="144">
        <v>0</v>
      </c>
      <c r="M33" s="144">
        <v>0</v>
      </c>
      <c r="N33" s="144">
        <v>0</v>
      </c>
      <c r="O33" s="144">
        <v>0</v>
      </c>
      <c r="P33" s="144">
        <v>0</v>
      </c>
      <c r="Q33" s="144">
        <v>0</v>
      </c>
      <c r="R33" s="144">
        <v>0</v>
      </c>
      <c r="S33" s="144">
        <v>0</v>
      </c>
      <c r="T33" s="144">
        <v>0</v>
      </c>
      <c r="U33" s="144">
        <v>0</v>
      </c>
      <c r="V33" s="144">
        <v>1.0000999958385841E-3</v>
      </c>
      <c r="W33" s="144">
        <v>0</v>
      </c>
      <c r="X33" s="144">
        <v>0</v>
      </c>
      <c r="Y33" s="144">
        <v>0</v>
      </c>
      <c r="Z33" s="144">
        <v>0</v>
      </c>
      <c r="AA33" s="144">
        <v>0</v>
      </c>
      <c r="AB33" s="144">
        <v>0</v>
      </c>
      <c r="AC33" s="144">
        <v>0</v>
      </c>
      <c r="AD33" s="144">
        <v>0</v>
      </c>
      <c r="AE33" s="144">
        <v>0</v>
      </c>
      <c r="AF33" s="144">
        <v>0</v>
      </c>
      <c r="AG33" s="144">
        <v>0</v>
      </c>
      <c r="AH33" s="144">
        <v>0</v>
      </c>
      <c r="AI33" s="144">
        <v>0</v>
      </c>
      <c r="AJ33" s="144">
        <v>0</v>
      </c>
      <c r="AK33" s="144">
        <v>0</v>
      </c>
      <c r="AL33" s="144">
        <v>0</v>
      </c>
      <c r="AM33" s="144">
        <v>0</v>
      </c>
      <c r="AN33" s="144">
        <v>0</v>
      </c>
      <c r="AO33" s="144">
        <v>0</v>
      </c>
      <c r="AP33" s="144">
        <v>0</v>
      </c>
      <c r="AQ33" s="144">
        <v>0</v>
      </c>
      <c r="AR33" s="144">
        <v>0</v>
      </c>
      <c r="AS33" s="144">
        <v>0</v>
      </c>
      <c r="AT33" s="144">
        <v>0</v>
      </c>
    </row>
    <row r="34" spans="1:46" customFormat="1" x14ac:dyDescent="0.15">
      <c r="A34" s="182" t="s">
        <v>224</v>
      </c>
      <c r="B34" s="144">
        <v>2.2053540892081339E-2</v>
      </c>
      <c r="C34" s="144">
        <v>3.400340138755871E-2</v>
      </c>
      <c r="D34" s="144">
        <v>0</v>
      </c>
      <c r="E34" s="144">
        <v>0</v>
      </c>
      <c r="F34" s="144">
        <v>5.981196036365672E-2</v>
      </c>
      <c r="G34" s="144">
        <v>3.4006804238279694E-3</v>
      </c>
      <c r="H34" s="144">
        <v>0.12560191778647672</v>
      </c>
      <c r="I34" s="144">
        <v>0</v>
      </c>
      <c r="J34" s="144">
        <v>0</v>
      </c>
      <c r="K34" s="144">
        <v>0</v>
      </c>
      <c r="L34" s="144">
        <v>0</v>
      </c>
      <c r="M34" s="144">
        <v>0</v>
      </c>
      <c r="N34" s="144">
        <v>0</v>
      </c>
      <c r="O34" s="144">
        <v>0</v>
      </c>
      <c r="P34" s="144">
        <v>0</v>
      </c>
      <c r="Q34" s="144">
        <v>0</v>
      </c>
      <c r="R34" s="144">
        <v>0</v>
      </c>
      <c r="S34" s="144">
        <v>0</v>
      </c>
      <c r="T34" s="144">
        <v>0</v>
      </c>
      <c r="U34" s="144">
        <v>0</v>
      </c>
      <c r="V34" s="144">
        <v>9.6009609600504007E-3</v>
      </c>
      <c r="W34" s="144">
        <v>0</v>
      </c>
      <c r="X34" s="144">
        <v>0</v>
      </c>
      <c r="Y34" s="144">
        <v>0</v>
      </c>
      <c r="Z34" s="144">
        <v>0</v>
      </c>
      <c r="AA34" s="144">
        <v>0</v>
      </c>
      <c r="AB34" s="144">
        <v>0</v>
      </c>
      <c r="AC34" s="144">
        <v>0</v>
      </c>
      <c r="AD34" s="144">
        <v>0</v>
      </c>
      <c r="AE34" s="144">
        <v>0</v>
      </c>
      <c r="AF34" s="144">
        <v>0</v>
      </c>
      <c r="AG34" s="144">
        <v>0.14339999954111998</v>
      </c>
      <c r="AH34" s="144">
        <v>0</v>
      </c>
      <c r="AI34" s="144">
        <v>0</v>
      </c>
      <c r="AJ34" s="144">
        <v>0</v>
      </c>
      <c r="AK34" s="144">
        <v>0</v>
      </c>
      <c r="AL34" s="144">
        <v>0</v>
      </c>
      <c r="AM34" s="144">
        <v>0</v>
      </c>
      <c r="AN34" s="144">
        <v>0</v>
      </c>
      <c r="AO34" s="144">
        <v>0</v>
      </c>
      <c r="AP34" s="144">
        <v>0</v>
      </c>
      <c r="AQ34" s="144">
        <v>0</v>
      </c>
      <c r="AR34" s="144">
        <v>0</v>
      </c>
      <c r="AS34" s="144">
        <v>0</v>
      </c>
      <c r="AT34" s="144">
        <v>0</v>
      </c>
    </row>
    <row r="35" spans="1:46" customFormat="1" x14ac:dyDescent="0.15">
      <c r="A35" s="182" t="s">
        <v>225</v>
      </c>
      <c r="B35" s="144">
        <v>0</v>
      </c>
      <c r="C35" s="144">
        <v>0</v>
      </c>
      <c r="D35" s="144">
        <v>0</v>
      </c>
      <c r="E35" s="144">
        <v>0</v>
      </c>
      <c r="F35" s="144">
        <v>6.4012804489197855E-3</v>
      </c>
      <c r="G35" s="144">
        <v>0</v>
      </c>
      <c r="H35" s="144">
        <v>1.111111138111111E-2</v>
      </c>
      <c r="I35" s="144">
        <v>5.8488302233383319E-2</v>
      </c>
      <c r="J35" s="144">
        <v>1.1001100138921893E-3</v>
      </c>
      <c r="K35" s="144">
        <v>0</v>
      </c>
      <c r="L35" s="144">
        <v>0</v>
      </c>
      <c r="M35" s="144">
        <v>0</v>
      </c>
      <c r="N35" s="144">
        <v>0</v>
      </c>
      <c r="O35" s="144">
        <v>0</v>
      </c>
      <c r="P35" s="144">
        <v>0</v>
      </c>
      <c r="Q35" s="144">
        <v>0</v>
      </c>
      <c r="R35" s="144">
        <v>0</v>
      </c>
      <c r="S35" s="144">
        <v>0</v>
      </c>
      <c r="T35" s="144">
        <v>0</v>
      </c>
      <c r="U35" s="144">
        <v>0</v>
      </c>
      <c r="V35" s="144">
        <v>0</v>
      </c>
      <c r="W35" s="144">
        <v>0</v>
      </c>
      <c r="X35" s="144">
        <v>0</v>
      </c>
      <c r="Y35" s="144">
        <v>0</v>
      </c>
      <c r="Z35" s="144">
        <v>0</v>
      </c>
      <c r="AA35" s="144">
        <v>0</v>
      </c>
      <c r="AB35" s="144">
        <v>0</v>
      </c>
      <c r="AC35" s="144">
        <v>0</v>
      </c>
      <c r="AD35" s="144">
        <v>0</v>
      </c>
      <c r="AE35" s="144">
        <v>0</v>
      </c>
      <c r="AF35" s="144">
        <v>0</v>
      </c>
      <c r="AG35" s="144">
        <v>0</v>
      </c>
      <c r="AH35" s="144">
        <v>0</v>
      </c>
      <c r="AI35" s="144">
        <v>0</v>
      </c>
      <c r="AJ35" s="144">
        <v>0</v>
      </c>
      <c r="AK35" s="144">
        <v>0</v>
      </c>
      <c r="AL35" s="144">
        <v>0</v>
      </c>
      <c r="AM35" s="144">
        <v>0</v>
      </c>
      <c r="AN35" s="144">
        <v>0</v>
      </c>
      <c r="AO35" s="144">
        <v>0</v>
      </c>
      <c r="AP35" s="144">
        <v>0</v>
      </c>
      <c r="AQ35" s="144">
        <v>0</v>
      </c>
      <c r="AR35" s="144">
        <v>0</v>
      </c>
      <c r="AS35" s="144">
        <v>0</v>
      </c>
      <c r="AT35" s="144">
        <v>0</v>
      </c>
    </row>
    <row r="36" spans="1:46" customFormat="1" x14ac:dyDescent="0.15">
      <c r="A36" s="182" t="s">
        <v>226</v>
      </c>
      <c r="B36" s="144">
        <v>2.2053540892081339E-2</v>
      </c>
      <c r="C36" s="144">
        <v>0</v>
      </c>
      <c r="D36" s="144">
        <v>0</v>
      </c>
      <c r="E36" s="144">
        <v>0</v>
      </c>
      <c r="F36" s="144">
        <v>0</v>
      </c>
      <c r="G36" s="144">
        <v>0</v>
      </c>
      <c r="H36" s="144">
        <v>1.111111138111111E-2</v>
      </c>
      <c r="I36" s="144">
        <v>0</v>
      </c>
      <c r="J36" s="144">
        <v>0</v>
      </c>
      <c r="K36" s="144">
        <v>0</v>
      </c>
      <c r="L36" s="144">
        <v>0</v>
      </c>
      <c r="M36" s="144">
        <v>0</v>
      </c>
      <c r="N36" s="144">
        <v>0</v>
      </c>
      <c r="O36" s="144">
        <v>0</v>
      </c>
      <c r="P36" s="144">
        <v>0</v>
      </c>
      <c r="Q36" s="144">
        <v>0</v>
      </c>
      <c r="R36" s="144">
        <v>0</v>
      </c>
      <c r="S36" s="144">
        <v>0</v>
      </c>
      <c r="T36" s="144">
        <v>0</v>
      </c>
      <c r="U36" s="144">
        <v>0</v>
      </c>
      <c r="V36" s="144">
        <v>0</v>
      </c>
      <c r="W36" s="144">
        <v>0</v>
      </c>
      <c r="X36" s="144">
        <v>0</v>
      </c>
      <c r="Y36" s="144">
        <v>0</v>
      </c>
      <c r="Z36" s="144">
        <v>0</v>
      </c>
      <c r="AA36" s="144">
        <v>0</v>
      </c>
      <c r="AB36" s="144">
        <v>0</v>
      </c>
      <c r="AC36" s="144">
        <v>0</v>
      </c>
      <c r="AD36" s="144">
        <v>0</v>
      </c>
      <c r="AE36" s="144">
        <v>0</v>
      </c>
      <c r="AF36" s="144">
        <v>0</v>
      </c>
      <c r="AG36" s="144">
        <v>0</v>
      </c>
      <c r="AH36" s="144">
        <v>0</v>
      </c>
      <c r="AI36" s="144">
        <v>6.9444440555555528E-2</v>
      </c>
      <c r="AJ36" s="144">
        <v>0</v>
      </c>
      <c r="AK36" s="144">
        <v>0</v>
      </c>
      <c r="AL36" s="144">
        <v>0</v>
      </c>
      <c r="AM36" s="144">
        <v>0</v>
      </c>
      <c r="AN36" s="144">
        <v>0</v>
      </c>
      <c r="AO36" s="144">
        <v>0</v>
      </c>
      <c r="AP36" s="144">
        <v>0</v>
      </c>
      <c r="AQ36" s="144">
        <v>0</v>
      </c>
      <c r="AR36" s="144">
        <v>0</v>
      </c>
      <c r="AS36" s="144">
        <v>0</v>
      </c>
      <c r="AT36" s="144">
        <v>0</v>
      </c>
    </row>
    <row r="37" spans="1:46" customFormat="1" x14ac:dyDescent="0.15">
      <c r="A37" s="182" t="s">
        <v>227</v>
      </c>
      <c r="B37" s="144">
        <v>2.2053540892081339E-2</v>
      </c>
      <c r="C37" s="144">
        <v>0</v>
      </c>
      <c r="D37" s="144">
        <v>0</v>
      </c>
      <c r="E37" s="144">
        <v>0</v>
      </c>
      <c r="F37" s="144">
        <v>0</v>
      </c>
      <c r="G37" s="144">
        <v>1.2002401254686949E-3</v>
      </c>
      <c r="H37" s="144">
        <v>9.187300984381587E-2</v>
      </c>
      <c r="I37" s="144">
        <v>0</v>
      </c>
      <c r="J37" s="144">
        <v>2.3902390301839386E-2</v>
      </c>
      <c r="K37" s="144">
        <v>0</v>
      </c>
      <c r="L37" s="144">
        <v>0</v>
      </c>
      <c r="M37" s="144">
        <v>0</v>
      </c>
      <c r="N37" s="144">
        <v>0</v>
      </c>
      <c r="O37" s="144">
        <v>0</v>
      </c>
      <c r="P37" s="144">
        <v>0</v>
      </c>
      <c r="Q37" s="144">
        <v>0</v>
      </c>
      <c r="R37" s="144">
        <v>0</v>
      </c>
      <c r="S37" s="144">
        <v>0</v>
      </c>
      <c r="T37" s="144">
        <v>0</v>
      </c>
      <c r="U37" s="144">
        <v>0</v>
      </c>
      <c r="V37" s="144">
        <v>6.0006003850315013E-4</v>
      </c>
      <c r="W37" s="144">
        <v>0</v>
      </c>
      <c r="X37" s="144">
        <v>0</v>
      </c>
      <c r="Y37" s="144">
        <v>0</v>
      </c>
      <c r="Z37" s="144">
        <v>0</v>
      </c>
      <c r="AA37" s="144">
        <v>0</v>
      </c>
      <c r="AB37" s="144">
        <v>0</v>
      </c>
      <c r="AC37" s="144">
        <v>0</v>
      </c>
      <c r="AD37" s="144">
        <v>0</v>
      </c>
      <c r="AE37" s="144">
        <v>0</v>
      </c>
      <c r="AF37" s="144">
        <v>0</v>
      </c>
      <c r="AG37" s="144">
        <v>0.11479999963264</v>
      </c>
      <c r="AH37" s="144">
        <v>0</v>
      </c>
      <c r="AI37" s="144">
        <v>6.9444440555555528E-2</v>
      </c>
      <c r="AJ37" s="144">
        <v>0</v>
      </c>
      <c r="AK37" s="144">
        <v>0</v>
      </c>
      <c r="AL37" s="144">
        <v>0</v>
      </c>
      <c r="AM37" s="144">
        <v>0</v>
      </c>
      <c r="AN37" s="144">
        <v>0</v>
      </c>
      <c r="AO37" s="144">
        <v>0</v>
      </c>
      <c r="AP37" s="144">
        <v>0</v>
      </c>
      <c r="AQ37" s="144">
        <v>0</v>
      </c>
      <c r="AR37" s="144">
        <v>0</v>
      </c>
      <c r="AS37" s="144">
        <v>0</v>
      </c>
      <c r="AT37" s="144">
        <v>0</v>
      </c>
    </row>
    <row r="38" spans="1:46" customFormat="1" x14ac:dyDescent="0.15">
      <c r="A38" s="182" t="s">
        <v>228</v>
      </c>
      <c r="B38" s="144">
        <v>4.382126269333747E-2</v>
      </c>
      <c r="C38" s="144">
        <v>6.8506846751405323E-2</v>
      </c>
      <c r="D38" s="144">
        <v>0</v>
      </c>
      <c r="E38" s="144">
        <v>0</v>
      </c>
      <c r="F38" s="144">
        <v>3.9007800237167427E-2</v>
      </c>
      <c r="G38" s="144">
        <v>0</v>
      </c>
      <c r="H38" s="144">
        <v>0.13994985776208524</v>
      </c>
      <c r="I38" s="144">
        <v>0.11667666666505699</v>
      </c>
      <c r="J38" s="144">
        <v>9.2609265169469809E-2</v>
      </c>
      <c r="K38" s="144">
        <v>0</v>
      </c>
      <c r="L38" s="144">
        <v>0</v>
      </c>
      <c r="M38" s="144">
        <v>0</v>
      </c>
      <c r="N38" s="144">
        <v>0</v>
      </c>
      <c r="O38" s="144">
        <v>0</v>
      </c>
      <c r="P38" s="144">
        <v>0</v>
      </c>
      <c r="Q38" s="144">
        <v>0</v>
      </c>
      <c r="R38" s="144">
        <v>0</v>
      </c>
      <c r="S38" s="144">
        <v>0</v>
      </c>
      <c r="T38" s="144">
        <v>0</v>
      </c>
      <c r="U38" s="144">
        <v>0</v>
      </c>
      <c r="V38" s="144">
        <v>4.9104909795674473E-2</v>
      </c>
      <c r="W38" s="144">
        <v>0</v>
      </c>
      <c r="X38" s="144">
        <v>0</v>
      </c>
      <c r="Y38" s="144">
        <v>0</v>
      </c>
      <c r="Z38" s="144">
        <v>0</v>
      </c>
      <c r="AA38" s="144">
        <v>0</v>
      </c>
      <c r="AB38" s="144">
        <v>0</v>
      </c>
      <c r="AC38" s="144">
        <v>0</v>
      </c>
      <c r="AD38" s="144">
        <v>0</v>
      </c>
      <c r="AE38" s="144">
        <v>0</v>
      </c>
      <c r="AF38" s="144">
        <v>0</v>
      </c>
      <c r="AG38" s="144">
        <v>0.12379999960383999</v>
      </c>
      <c r="AH38" s="144">
        <v>0</v>
      </c>
      <c r="AI38" s="144">
        <v>6.9444440555555528E-2</v>
      </c>
      <c r="AJ38" s="144">
        <v>0</v>
      </c>
      <c r="AK38" s="144">
        <v>0.51388889383333336</v>
      </c>
      <c r="AL38" s="144">
        <v>7.0006999495249539E-4</v>
      </c>
      <c r="AM38" s="144">
        <v>1.8018018990090118E-2</v>
      </c>
      <c r="AN38" s="144">
        <v>0</v>
      </c>
      <c r="AO38" s="144">
        <v>0</v>
      </c>
      <c r="AP38" s="144">
        <v>0</v>
      </c>
      <c r="AQ38" s="144">
        <v>0</v>
      </c>
      <c r="AR38" s="144">
        <v>0</v>
      </c>
      <c r="AS38" s="144">
        <v>0</v>
      </c>
      <c r="AT38" s="144">
        <v>0</v>
      </c>
    </row>
    <row r="39" spans="1:46" x14ac:dyDescent="0.15">
      <c r="A39" s="182" t="s">
        <v>229</v>
      </c>
      <c r="B39" s="144">
        <v>3.81484019754363E-2</v>
      </c>
      <c r="C39" s="144">
        <v>0.73357336521395111</v>
      </c>
      <c r="D39" s="144">
        <v>0</v>
      </c>
      <c r="E39" s="144">
        <v>5.1210129182633304E-2</v>
      </c>
      <c r="F39" s="144">
        <v>0.2708541766467934</v>
      </c>
      <c r="G39" s="144">
        <v>0.12162432956749437</v>
      </c>
      <c r="H39" s="144">
        <v>0.21899999962769998</v>
      </c>
      <c r="I39" s="144">
        <v>5.8488302233383319E-2</v>
      </c>
      <c r="J39" s="144">
        <v>0.22332233482011449</v>
      </c>
      <c r="K39" s="144">
        <v>0.20832082582917694</v>
      </c>
      <c r="L39" s="144">
        <v>0.17664670558541923</v>
      </c>
      <c r="M39" s="144">
        <v>0.1300331343576363</v>
      </c>
      <c r="N39" s="144">
        <v>0</v>
      </c>
      <c r="O39" s="144">
        <v>4.3034431030158204E-3</v>
      </c>
      <c r="P39" s="144">
        <v>0</v>
      </c>
      <c r="Q39" s="144">
        <v>0</v>
      </c>
      <c r="R39" s="144">
        <v>0</v>
      </c>
      <c r="S39" s="144">
        <v>0.1106</v>
      </c>
      <c r="T39" s="144">
        <v>1.7771084344454818E-2</v>
      </c>
      <c r="U39" s="144">
        <v>0</v>
      </c>
      <c r="V39" s="144">
        <v>7.5607559685396952E-2</v>
      </c>
      <c r="W39" s="144">
        <v>0</v>
      </c>
      <c r="X39" s="144">
        <v>7.4267358217583387E-3</v>
      </c>
      <c r="Y39" s="144">
        <v>0</v>
      </c>
      <c r="Z39" s="144">
        <v>0</v>
      </c>
      <c r="AA39" s="144">
        <v>0</v>
      </c>
      <c r="AB39" s="144">
        <v>0</v>
      </c>
      <c r="AC39" s="144">
        <v>6.5450863097592987E-2</v>
      </c>
      <c r="AD39" s="144">
        <v>6.0164726848764546E-2</v>
      </c>
      <c r="AE39" s="144">
        <v>0</v>
      </c>
      <c r="AF39" s="144">
        <v>0</v>
      </c>
      <c r="AG39" s="144">
        <v>0.13879999955583999</v>
      </c>
      <c r="AH39" s="144">
        <v>1.1249906314050716E-3</v>
      </c>
      <c r="AI39" s="144">
        <v>0.19444444955555562</v>
      </c>
      <c r="AJ39" s="144">
        <v>0</v>
      </c>
      <c r="AK39" s="144">
        <v>0</v>
      </c>
      <c r="AL39" s="144">
        <v>3.4003401854835473E-3</v>
      </c>
      <c r="AM39" s="144">
        <v>1.0010010272272279E-2</v>
      </c>
      <c r="AN39" s="144">
        <v>0</v>
      </c>
      <c r="AO39" s="144">
        <v>0</v>
      </c>
      <c r="AP39" s="144">
        <v>0</v>
      </c>
      <c r="AQ39" s="144">
        <v>0</v>
      </c>
      <c r="AR39" s="144">
        <v>0</v>
      </c>
      <c r="AS39" s="144">
        <v>0</v>
      </c>
      <c r="AT39" s="144">
        <v>0</v>
      </c>
    </row>
    <row r="40" spans="1:46" x14ac:dyDescent="0.15">
      <c r="A40" s="182" t="s">
        <v>230</v>
      </c>
      <c r="B40" s="144">
        <v>0</v>
      </c>
      <c r="C40" s="144">
        <v>0</v>
      </c>
      <c r="D40" s="144">
        <v>0</v>
      </c>
      <c r="E40" s="144">
        <v>9.1218040478413726E-2</v>
      </c>
      <c r="F40" s="144">
        <v>0.11112222867562316</v>
      </c>
      <c r="G40" s="144">
        <v>7.2914586439723206E-2</v>
      </c>
      <c r="H40" s="144">
        <v>6.1666667395166658E-2</v>
      </c>
      <c r="I40" s="144">
        <v>0.11667666666505699</v>
      </c>
      <c r="J40" s="144">
        <v>1.9001901639956016E-3</v>
      </c>
      <c r="K40" s="144">
        <v>1.9401941384090411E-2</v>
      </c>
      <c r="L40" s="144">
        <v>0.20658683400667652</v>
      </c>
      <c r="M40" s="144">
        <v>4.5486494675296717E-2</v>
      </c>
      <c r="N40" s="144">
        <v>0.3333333332666667</v>
      </c>
      <c r="O40" s="144">
        <v>0.25660527414261702</v>
      </c>
      <c r="P40" s="144">
        <v>0</v>
      </c>
      <c r="Q40" s="144">
        <v>0</v>
      </c>
      <c r="R40" s="144">
        <v>3.5049999999999998E-2</v>
      </c>
      <c r="S40" s="144">
        <v>0.35420000000000001</v>
      </c>
      <c r="T40" s="144">
        <v>0.7542168688629638</v>
      </c>
      <c r="U40" s="144">
        <v>0.49999999260000016</v>
      </c>
      <c r="V40" s="144">
        <v>0.25032502295839759</v>
      </c>
      <c r="W40" s="144">
        <v>0.16666666949999992</v>
      </c>
      <c r="X40" s="144">
        <v>0.58299878600802901</v>
      </c>
      <c r="Y40" s="144">
        <v>0.49999999450000004</v>
      </c>
      <c r="Z40" s="144">
        <v>0.30952380930000006</v>
      </c>
      <c r="AA40" s="144">
        <v>8.9937038821824784E-4</v>
      </c>
      <c r="AB40" s="144">
        <v>0.77442257754174526</v>
      </c>
      <c r="AC40" s="144">
        <v>0.14630193192403151</v>
      </c>
      <c r="AD40" s="144">
        <v>0.34783047139127149</v>
      </c>
      <c r="AE40" s="144">
        <v>0.65667810394006865</v>
      </c>
      <c r="AF40" s="144">
        <v>5.8699655276278018E-2</v>
      </c>
      <c r="AG40" s="144">
        <v>0.16219999948096001</v>
      </c>
      <c r="AH40" s="144">
        <v>0.1436227249027224</v>
      </c>
      <c r="AI40" s="144">
        <v>0.11111111288888892</v>
      </c>
      <c r="AJ40" s="144">
        <v>0</v>
      </c>
      <c r="AK40" s="144">
        <v>0.16666666999999996</v>
      </c>
      <c r="AL40" s="144">
        <v>1.7501750873812377E-2</v>
      </c>
      <c r="AM40" s="144">
        <v>0.71971971957637637</v>
      </c>
      <c r="AN40" s="144">
        <v>0.05</v>
      </c>
      <c r="AO40" s="144">
        <v>0</v>
      </c>
      <c r="AP40" s="144">
        <v>0</v>
      </c>
      <c r="AQ40" s="144">
        <v>0</v>
      </c>
      <c r="AR40" s="144">
        <v>0</v>
      </c>
      <c r="AS40" s="144">
        <v>0</v>
      </c>
      <c r="AT40" s="144">
        <v>0</v>
      </c>
    </row>
    <row r="41" spans="1:46" x14ac:dyDescent="0.15">
      <c r="A41" s="182" t="s">
        <v>231</v>
      </c>
      <c r="B41" s="144">
        <v>0</v>
      </c>
      <c r="C41" s="144">
        <v>5.2105207529171062E-2</v>
      </c>
      <c r="D41" s="144">
        <v>0</v>
      </c>
      <c r="E41" s="144">
        <v>0.33056539022292769</v>
      </c>
      <c r="F41" s="144">
        <v>0.14712941689454687</v>
      </c>
      <c r="G41" s="144">
        <v>9.7119421251675109E-2</v>
      </c>
      <c r="H41" s="144">
        <v>1.3333329977333337E-3</v>
      </c>
      <c r="I41" s="144">
        <v>0.11667666666505699</v>
      </c>
      <c r="J41" s="144">
        <v>1.8801881237430158E-2</v>
      </c>
      <c r="K41" s="144">
        <v>2.9302929975971604E-2</v>
      </c>
      <c r="L41" s="144">
        <v>3.9920163528343244E-3</v>
      </c>
      <c r="M41" s="144">
        <v>5.3218193137102125E-3</v>
      </c>
      <c r="N41" s="144">
        <v>0</v>
      </c>
      <c r="O41" s="144">
        <v>0.11939551985808995</v>
      </c>
      <c r="P41" s="144">
        <v>4.2500000000000003E-2</v>
      </c>
      <c r="Q41" s="144">
        <v>0.1</v>
      </c>
      <c r="R41" s="144">
        <v>0</v>
      </c>
      <c r="S41" s="144">
        <v>0</v>
      </c>
      <c r="T41" s="144">
        <v>0</v>
      </c>
      <c r="U41" s="144">
        <v>0</v>
      </c>
      <c r="V41" s="144">
        <v>0.29662966576572397</v>
      </c>
      <c r="W41" s="144">
        <v>0.45833333612499988</v>
      </c>
      <c r="X41" s="144">
        <v>0.26916902653994329</v>
      </c>
      <c r="Y41" s="144">
        <v>0.33333333933333326</v>
      </c>
      <c r="Z41" s="144">
        <v>0.30952380930000006</v>
      </c>
      <c r="AA41" s="144">
        <v>1.3590486521964627E-2</v>
      </c>
      <c r="AB41" s="144">
        <v>0.17218276400669985</v>
      </c>
      <c r="AC41" s="144">
        <v>0.63333332997376646</v>
      </c>
      <c r="AD41" s="144">
        <v>0.38388909712083175</v>
      </c>
      <c r="AE41" s="144">
        <v>0</v>
      </c>
      <c r="AF41" s="144">
        <v>0.61603478925635335</v>
      </c>
      <c r="AG41" s="144">
        <v>3.5400003086719992E-2</v>
      </c>
      <c r="AH41" s="144">
        <v>0.3948268559835228</v>
      </c>
      <c r="AI41" s="144">
        <v>0</v>
      </c>
      <c r="AJ41" s="144">
        <v>0.66666667066666652</v>
      </c>
      <c r="AK41" s="144">
        <v>0</v>
      </c>
      <c r="AL41" s="144">
        <v>0.17441744974245019</v>
      </c>
      <c r="AM41" s="144">
        <v>6.4064061742542491E-2</v>
      </c>
      <c r="AN41" s="144">
        <v>0.5</v>
      </c>
      <c r="AO41" s="144">
        <v>0.02</v>
      </c>
      <c r="AP41" s="144">
        <v>0</v>
      </c>
      <c r="AQ41" s="144">
        <v>0</v>
      </c>
      <c r="AR41" s="144">
        <v>0</v>
      </c>
      <c r="AS41" s="144">
        <v>0</v>
      </c>
      <c r="AT41" s="144">
        <v>0</v>
      </c>
    </row>
    <row r="42" spans="1:46" x14ac:dyDescent="0.15">
      <c r="A42" s="182" t="s">
        <v>232</v>
      </c>
      <c r="B42" s="144">
        <v>0.75408237579395576</v>
      </c>
      <c r="C42" s="144">
        <v>0</v>
      </c>
      <c r="D42" s="144">
        <v>0.1</v>
      </c>
      <c r="E42" s="144">
        <v>2.8505638324512805E-2</v>
      </c>
      <c r="F42" s="144">
        <v>1.9303860117367469E-2</v>
      </c>
      <c r="G42" s="144">
        <v>1.0902181440507315E-2</v>
      </c>
      <c r="H42" s="144">
        <v>5.3666666108766657E-2</v>
      </c>
      <c r="I42" s="144">
        <v>5.8488302233383319E-2</v>
      </c>
      <c r="J42" s="144">
        <v>4.1304130521588565E-2</v>
      </c>
      <c r="K42" s="144">
        <v>2.900289997621763E-2</v>
      </c>
      <c r="L42" s="144">
        <v>0</v>
      </c>
      <c r="M42" s="144">
        <v>3.0123507451189874E-3</v>
      </c>
      <c r="N42" s="144">
        <v>0</v>
      </c>
      <c r="O42" s="144">
        <v>0.20926741300944329</v>
      </c>
      <c r="P42" s="144">
        <v>0</v>
      </c>
      <c r="Q42" s="144">
        <v>0</v>
      </c>
      <c r="R42" s="144">
        <v>2.545E-2</v>
      </c>
      <c r="S42" s="144">
        <v>0</v>
      </c>
      <c r="T42" s="144">
        <v>0</v>
      </c>
      <c r="U42" s="144">
        <v>0</v>
      </c>
      <c r="V42" s="144">
        <v>1.7501750927175215E-2</v>
      </c>
      <c r="W42" s="144">
        <v>0</v>
      </c>
      <c r="X42" s="144">
        <v>4.4058612442593292E-2</v>
      </c>
      <c r="Y42" s="144">
        <v>0</v>
      </c>
      <c r="Z42" s="144">
        <v>0.16666666570000005</v>
      </c>
      <c r="AA42" s="144">
        <v>0.10702508559797139</v>
      </c>
      <c r="AB42" s="144">
        <v>0</v>
      </c>
      <c r="AC42" s="144">
        <v>5.6433635670834668E-2</v>
      </c>
      <c r="AD42" s="144">
        <v>2.8425071186811968E-2</v>
      </c>
      <c r="AE42" s="144">
        <v>0</v>
      </c>
      <c r="AF42" s="144">
        <v>4.3195425746671783E-2</v>
      </c>
      <c r="AG42" s="144">
        <v>0.10389999966752</v>
      </c>
      <c r="AH42" s="144">
        <v>0.40412696891246996</v>
      </c>
      <c r="AI42" s="144">
        <v>0.25000000200000005</v>
      </c>
      <c r="AJ42" s="144">
        <v>0.16666666466666677</v>
      </c>
      <c r="AK42" s="144">
        <v>0.20833332550000014</v>
      </c>
      <c r="AL42" s="144">
        <v>0.18361835067611171</v>
      </c>
      <c r="AM42" s="144">
        <v>5.1051051388588599E-2</v>
      </c>
      <c r="AN42" s="144">
        <v>0.1</v>
      </c>
      <c r="AO42" s="144">
        <v>0</v>
      </c>
      <c r="AP42" s="144">
        <v>0.02</v>
      </c>
      <c r="AQ42" s="144">
        <v>0</v>
      </c>
      <c r="AR42" s="144">
        <v>0</v>
      </c>
      <c r="AS42" s="144">
        <v>0</v>
      </c>
      <c r="AT42" s="144">
        <v>0</v>
      </c>
    </row>
    <row r="43" spans="1:46" x14ac:dyDescent="0.15">
      <c r="A43" s="182" t="s">
        <v>233</v>
      </c>
      <c r="B43" s="144">
        <v>0</v>
      </c>
      <c r="C43" s="144">
        <v>0</v>
      </c>
      <c r="D43" s="144">
        <v>0</v>
      </c>
      <c r="E43" s="144">
        <v>0</v>
      </c>
      <c r="F43" s="144">
        <v>0</v>
      </c>
      <c r="G43" s="144">
        <v>0</v>
      </c>
      <c r="H43" s="144">
        <v>0</v>
      </c>
      <c r="I43" s="144">
        <v>0</v>
      </c>
      <c r="J43" s="144">
        <v>1.0801080736396049E-2</v>
      </c>
      <c r="K43" s="144">
        <v>3.8503849968426845E-2</v>
      </c>
      <c r="L43" s="144">
        <v>3.2934132363383224E-2</v>
      </c>
      <c r="M43" s="144">
        <v>2.6107039871031226E-3</v>
      </c>
      <c r="N43" s="144">
        <v>0.3333333332666667</v>
      </c>
      <c r="O43" s="144">
        <v>0.15132105762232348</v>
      </c>
      <c r="P43" s="144">
        <v>0.72499999999999998</v>
      </c>
      <c r="Q43" s="144">
        <v>0.4</v>
      </c>
      <c r="R43" s="144">
        <v>0.33700000000000002</v>
      </c>
      <c r="S43" s="144">
        <v>0</v>
      </c>
      <c r="T43" s="144">
        <v>0</v>
      </c>
      <c r="U43" s="144">
        <v>0</v>
      </c>
      <c r="V43" s="144">
        <v>1.4001399941740175E-3</v>
      </c>
      <c r="W43" s="144">
        <v>0.19999999700000004</v>
      </c>
      <c r="X43" s="144">
        <v>0</v>
      </c>
      <c r="Y43" s="144">
        <v>0</v>
      </c>
      <c r="Z43" s="144">
        <v>7.1428571900000001E-2</v>
      </c>
      <c r="AA43" s="144">
        <v>0.10752473659142595</v>
      </c>
      <c r="AB43" s="144">
        <v>0</v>
      </c>
      <c r="AC43" s="144">
        <v>2.6849036470684345E-2</v>
      </c>
      <c r="AD43" s="144">
        <v>0</v>
      </c>
      <c r="AE43" s="144">
        <v>0</v>
      </c>
      <c r="AF43" s="144">
        <v>7.7491798648543039E-2</v>
      </c>
      <c r="AG43" s="144">
        <v>1.279999995904E-2</v>
      </c>
      <c r="AH43" s="144">
        <v>5.629845956987977E-2</v>
      </c>
      <c r="AI43" s="144">
        <v>0.1666666733333334</v>
      </c>
      <c r="AJ43" s="144">
        <v>0.16666666466666677</v>
      </c>
      <c r="AK43" s="144">
        <v>0</v>
      </c>
      <c r="AL43" s="144">
        <v>0.62036203852718974</v>
      </c>
      <c r="AM43" s="144">
        <v>0</v>
      </c>
      <c r="AN43" s="144">
        <v>0.1</v>
      </c>
      <c r="AO43" s="144">
        <v>0.15</v>
      </c>
      <c r="AP43" s="144">
        <v>0.78</v>
      </c>
      <c r="AQ43" s="144">
        <v>0</v>
      </c>
      <c r="AR43" s="144">
        <v>0</v>
      </c>
      <c r="AS43" s="144">
        <v>0</v>
      </c>
      <c r="AT43" s="144">
        <v>0</v>
      </c>
    </row>
    <row r="44" spans="1:46" x14ac:dyDescent="0.15">
      <c r="A44" s="182" t="s">
        <v>234</v>
      </c>
      <c r="B44" s="144">
        <v>0</v>
      </c>
      <c r="C44" s="144">
        <v>0</v>
      </c>
      <c r="D44" s="144">
        <v>0.9</v>
      </c>
      <c r="E44" s="144">
        <v>0</v>
      </c>
      <c r="F44" s="144">
        <v>0</v>
      </c>
      <c r="G44" s="144">
        <v>2.9005802173826781E-3</v>
      </c>
      <c r="H44" s="144">
        <v>0</v>
      </c>
      <c r="I44" s="144">
        <v>0</v>
      </c>
      <c r="J44" s="144">
        <v>0</v>
      </c>
      <c r="K44" s="144">
        <v>0</v>
      </c>
      <c r="L44" s="144">
        <v>0</v>
      </c>
      <c r="M44" s="144">
        <v>0</v>
      </c>
      <c r="N44" s="144">
        <v>0</v>
      </c>
      <c r="O44" s="144">
        <v>0.20446357589444908</v>
      </c>
      <c r="P44" s="144">
        <v>0.151</v>
      </c>
      <c r="Q44" s="144">
        <v>0.5</v>
      </c>
      <c r="R44" s="144">
        <v>0.1275</v>
      </c>
      <c r="S44" s="144">
        <v>0</v>
      </c>
      <c r="T44" s="144">
        <v>0</v>
      </c>
      <c r="U44" s="144">
        <v>0</v>
      </c>
      <c r="V44" s="144">
        <v>2.9002899879318933E-3</v>
      </c>
      <c r="W44" s="144">
        <v>0</v>
      </c>
      <c r="X44" s="144">
        <v>0</v>
      </c>
      <c r="Y44" s="144">
        <v>0</v>
      </c>
      <c r="Z44" s="144">
        <v>7.1428571900000001E-2</v>
      </c>
      <c r="AA44" s="144">
        <v>0.48675926862345359</v>
      </c>
      <c r="AB44" s="144">
        <v>0</v>
      </c>
      <c r="AC44" s="144">
        <v>5.4103339760548749E-2</v>
      </c>
      <c r="AD44" s="144">
        <v>0</v>
      </c>
      <c r="AE44" s="144">
        <v>0</v>
      </c>
      <c r="AF44" s="144">
        <v>0.17128185601284446</v>
      </c>
      <c r="AG44" s="144">
        <v>0</v>
      </c>
      <c r="AH44" s="144">
        <v>0</v>
      </c>
      <c r="AI44" s="144">
        <v>0</v>
      </c>
      <c r="AJ44" s="144">
        <v>0</v>
      </c>
      <c r="AK44" s="144">
        <v>0</v>
      </c>
      <c r="AL44" s="144">
        <v>0</v>
      </c>
      <c r="AM44" s="144">
        <v>0</v>
      </c>
      <c r="AN44" s="144">
        <v>0</v>
      </c>
      <c r="AO44" s="144">
        <v>0.03</v>
      </c>
      <c r="AP44" s="144">
        <v>0.1</v>
      </c>
      <c r="AQ44" s="144">
        <v>0.9</v>
      </c>
      <c r="AR44" s="144">
        <v>0</v>
      </c>
      <c r="AS44" s="144">
        <v>0</v>
      </c>
      <c r="AT44" s="144">
        <v>0</v>
      </c>
    </row>
    <row r="45" spans="1:46" x14ac:dyDescent="0.15">
      <c r="A45" s="182" t="s">
        <v>235</v>
      </c>
      <c r="B45" s="144">
        <v>0</v>
      </c>
      <c r="C45" s="144">
        <v>0</v>
      </c>
      <c r="D45" s="144">
        <v>0</v>
      </c>
      <c r="E45" s="144">
        <v>0</v>
      </c>
      <c r="F45" s="144">
        <v>4.7009400285817158E-3</v>
      </c>
      <c r="G45" s="144">
        <v>8.1816361054449269E-2</v>
      </c>
      <c r="H45" s="144">
        <v>0</v>
      </c>
      <c r="I45" s="144">
        <v>0</v>
      </c>
      <c r="J45" s="144">
        <v>0</v>
      </c>
      <c r="K45" s="144">
        <v>3.0003001975397543E-4</v>
      </c>
      <c r="L45" s="144">
        <v>0</v>
      </c>
      <c r="M45" s="144">
        <v>4.8197614761903785E-3</v>
      </c>
      <c r="N45" s="144">
        <v>0</v>
      </c>
      <c r="O45" s="144">
        <v>7.0056051677001756E-3</v>
      </c>
      <c r="P45" s="144">
        <v>0.03</v>
      </c>
      <c r="Q45" s="144">
        <v>0</v>
      </c>
      <c r="R45" s="144">
        <v>0.47499999999999998</v>
      </c>
      <c r="S45" s="144">
        <v>0</v>
      </c>
      <c r="T45" s="144">
        <v>4.2168676054638579E-3</v>
      </c>
      <c r="U45" s="144">
        <v>0</v>
      </c>
      <c r="V45" s="144">
        <v>0</v>
      </c>
      <c r="W45" s="144">
        <v>0.17499999737499999</v>
      </c>
      <c r="X45" s="144">
        <v>0</v>
      </c>
      <c r="Y45" s="144">
        <v>0</v>
      </c>
      <c r="Z45" s="144">
        <v>7.1428571900000001E-2</v>
      </c>
      <c r="AA45" s="144">
        <v>0.28420105227696624</v>
      </c>
      <c r="AB45" s="144">
        <v>0</v>
      </c>
      <c r="AC45" s="144">
        <v>7.0921986956524871E-3</v>
      </c>
      <c r="AD45" s="144">
        <v>0.15518279883612904</v>
      </c>
      <c r="AE45" s="144">
        <v>0</v>
      </c>
      <c r="AF45" s="144">
        <v>6.1993434918834502E-3</v>
      </c>
      <c r="AG45" s="144">
        <v>0</v>
      </c>
      <c r="AH45" s="144">
        <v>0</v>
      </c>
      <c r="AI45" s="144">
        <v>0</v>
      </c>
      <c r="AJ45" s="144">
        <v>0</v>
      </c>
      <c r="AK45" s="144">
        <v>0</v>
      </c>
      <c r="AL45" s="144">
        <v>0</v>
      </c>
      <c r="AM45" s="144">
        <v>0</v>
      </c>
      <c r="AN45" s="144">
        <v>0.25</v>
      </c>
      <c r="AO45" s="144">
        <v>0.8</v>
      </c>
      <c r="AP45" s="144">
        <v>0.1</v>
      </c>
      <c r="AQ45" s="144">
        <v>0.1</v>
      </c>
      <c r="AR45" s="144">
        <v>0</v>
      </c>
      <c r="AS45" s="144">
        <v>0</v>
      </c>
      <c r="AT45" s="144">
        <v>0</v>
      </c>
    </row>
    <row r="46" spans="1:46" x14ac:dyDescent="0.15">
      <c r="A46" s="182" t="s">
        <v>236</v>
      </c>
      <c r="B46" s="144">
        <v>0</v>
      </c>
      <c r="C46" s="144">
        <v>0</v>
      </c>
      <c r="D46" s="144">
        <v>0</v>
      </c>
      <c r="E46" s="144">
        <v>0</v>
      </c>
      <c r="F46" s="144">
        <v>0</v>
      </c>
      <c r="G46" s="144">
        <v>0</v>
      </c>
      <c r="H46" s="144">
        <v>0</v>
      </c>
      <c r="I46" s="144">
        <v>0</v>
      </c>
      <c r="J46" s="144">
        <v>0</v>
      </c>
      <c r="K46" s="144">
        <v>0</v>
      </c>
      <c r="L46" s="144">
        <v>0</v>
      </c>
      <c r="M46" s="144">
        <v>0</v>
      </c>
      <c r="N46" s="144">
        <v>0</v>
      </c>
      <c r="O46" s="144">
        <v>0</v>
      </c>
      <c r="P46" s="144">
        <v>0</v>
      </c>
      <c r="Q46" s="144">
        <v>0</v>
      </c>
      <c r="R46" s="144">
        <v>0</v>
      </c>
      <c r="S46" s="144">
        <v>0</v>
      </c>
      <c r="T46" s="144">
        <v>0</v>
      </c>
      <c r="U46" s="144">
        <v>0</v>
      </c>
      <c r="V46" s="144">
        <v>0</v>
      </c>
      <c r="W46" s="144">
        <v>0</v>
      </c>
      <c r="X46" s="144">
        <v>0</v>
      </c>
      <c r="Y46" s="144">
        <v>0</v>
      </c>
      <c r="Z46" s="144">
        <v>0</v>
      </c>
      <c r="AA46" s="144">
        <v>0</v>
      </c>
      <c r="AB46" s="144">
        <v>0</v>
      </c>
      <c r="AC46" s="144">
        <v>0</v>
      </c>
      <c r="AD46" s="144">
        <v>0</v>
      </c>
      <c r="AE46" s="144">
        <v>0</v>
      </c>
      <c r="AF46" s="144">
        <v>0</v>
      </c>
      <c r="AG46" s="144">
        <v>0</v>
      </c>
      <c r="AH46" s="144">
        <v>0</v>
      </c>
      <c r="AI46" s="144">
        <v>0</v>
      </c>
      <c r="AJ46" s="144">
        <v>0</v>
      </c>
      <c r="AK46" s="144">
        <v>0</v>
      </c>
      <c r="AL46" s="144">
        <v>0</v>
      </c>
      <c r="AM46" s="144">
        <v>0</v>
      </c>
      <c r="AN46" s="144">
        <v>0</v>
      </c>
      <c r="AO46" s="144">
        <v>0</v>
      </c>
      <c r="AP46" s="144">
        <v>0</v>
      </c>
      <c r="AQ46" s="144">
        <v>0</v>
      </c>
      <c r="AR46" s="144">
        <v>0</v>
      </c>
      <c r="AS46" s="144">
        <v>0</v>
      </c>
      <c r="AT46" s="144">
        <v>0</v>
      </c>
    </row>
    <row r="47" spans="1:46" x14ac:dyDescent="0.15">
      <c r="A47" s="182" t="s">
        <v>239</v>
      </c>
      <c r="B47" s="144">
        <v>0</v>
      </c>
      <c r="C47" s="144">
        <v>0</v>
      </c>
      <c r="D47" s="144">
        <v>0</v>
      </c>
      <c r="E47" s="144">
        <v>0.14813149529367126</v>
      </c>
      <c r="F47" s="144">
        <v>0</v>
      </c>
      <c r="G47" s="144">
        <v>0</v>
      </c>
      <c r="H47" s="144">
        <v>0</v>
      </c>
      <c r="I47" s="144">
        <v>0</v>
      </c>
      <c r="J47" s="144">
        <v>0</v>
      </c>
      <c r="K47" s="144">
        <v>0</v>
      </c>
      <c r="L47" s="144">
        <v>0</v>
      </c>
      <c r="M47" s="144">
        <v>0</v>
      </c>
      <c r="N47" s="144">
        <v>0</v>
      </c>
      <c r="O47" s="144">
        <v>1.0008006439571657E-4</v>
      </c>
      <c r="P47" s="144">
        <v>0</v>
      </c>
      <c r="Q47" s="144">
        <v>0</v>
      </c>
      <c r="R47" s="144">
        <v>0</v>
      </c>
      <c r="S47" s="144">
        <v>0</v>
      </c>
      <c r="T47" s="144">
        <v>0</v>
      </c>
      <c r="U47" s="144">
        <v>0</v>
      </c>
      <c r="V47" s="144">
        <v>0</v>
      </c>
      <c r="W47" s="144">
        <v>0</v>
      </c>
      <c r="X47" s="144">
        <v>0</v>
      </c>
      <c r="Y47" s="144">
        <v>0</v>
      </c>
      <c r="Z47" s="144">
        <v>0</v>
      </c>
      <c r="AA47" s="144">
        <v>0</v>
      </c>
      <c r="AB47" s="144">
        <v>0</v>
      </c>
      <c r="AC47" s="144">
        <v>0</v>
      </c>
      <c r="AD47" s="144">
        <v>0</v>
      </c>
      <c r="AE47" s="144">
        <v>0</v>
      </c>
      <c r="AF47" s="144">
        <v>1.9997884151236904E-3</v>
      </c>
      <c r="AG47" s="144">
        <v>0</v>
      </c>
      <c r="AH47" s="144">
        <v>0</v>
      </c>
      <c r="AI47" s="144">
        <v>0</v>
      </c>
      <c r="AJ47" s="144">
        <v>0</v>
      </c>
      <c r="AK47" s="144">
        <v>0</v>
      </c>
      <c r="AL47" s="144">
        <v>0</v>
      </c>
      <c r="AM47" s="144">
        <v>0</v>
      </c>
      <c r="AN47" s="144">
        <v>0</v>
      </c>
      <c r="AO47" s="144">
        <v>0</v>
      </c>
      <c r="AP47" s="144">
        <v>0</v>
      </c>
      <c r="AQ47" s="144">
        <v>0</v>
      </c>
      <c r="AR47" s="144">
        <v>0</v>
      </c>
      <c r="AS47" s="144">
        <v>0</v>
      </c>
      <c r="AT47" s="144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H53" sqref="H53"/>
    </sheetView>
  </sheetViews>
  <sheetFormatPr baseColWidth="10" defaultColWidth="8.83203125" defaultRowHeight="13" x14ac:dyDescent="0.15"/>
  <cols>
    <col min="1" max="1" width="3.33203125" customWidth="1"/>
    <col min="2" max="2" width="27.5" customWidth="1"/>
    <col min="3" max="4" width="12.6640625" style="112" customWidth="1"/>
    <col min="5" max="6" width="12.6640625" style="111" customWidth="1"/>
    <col min="7" max="8" width="8.83203125" style="112"/>
  </cols>
  <sheetData>
    <row r="1" spans="1:8" ht="70" x14ac:dyDescent="0.15">
      <c r="A1" s="5" t="s">
        <v>20</v>
      </c>
      <c r="B1" s="1" t="s">
        <v>0</v>
      </c>
      <c r="C1" s="185" t="s">
        <v>235</v>
      </c>
      <c r="D1" s="185" t="s">
        <v>236</v>
      </c>
      <c r="E1" s="185" t="s">
        <v>240</v>
      </c>
      <c r="F1" s="185" t="s">
        <v>241</v>
      </c>
      <c r="G1"/>
      <c r="H1"/>
    </row>
    <row r="2" spans="1:8" x14ac:dyDescent="0.15">
      <c r="A2">
        <v>1</v>
      </c>
      <c r="B2" s="184" t="s">
        <v>192</v>
      </c>
      <c r="C2" s="112">
        <v>1</v>
      </c>
      <c r="D2" s="112">
        <v>0</v>
      </c>
      <c r="E2" s="111">
        <v>0</v>
      </c>
      <c r="F2" s="111">
        <v>1</v>
      </c>
      <c r="G2"/>
      <c r="H2"/>
    </row>
    <row r="3" spans="1:8" x14ac:dyDescent="0.15">
      <c r="A3">
        <v>2</v>
      </c>
      <c r="B3" s="184" t="s">
        <v>193</v>
      </c>
      <c r="C3" s="112">
        <v>1</v>
      </c>
      <c r="D3" s="112">
        <v>0</v>
      </c>
      <c r="E3" s="111">
        <v>0</v>
      </c>
      <c r="F3" s="111">
        <v>1</v>
      </c>
      <c r="G3"/>
      <c r="H3"/>
    </row>
    <row r="4" spans="1:8" x14ac:dyDescent="0.15">
      <c r="A4">
        <v>3</v>
      </c>
      <c r="B4" s="184" t="s">
        <v>194</v>
      </c>
      <c r="C4" s="112">
        <v>1</v>
      </c>
      <c r="D4" s="112">
        <v>0</v>
      </c>
      <c r="E4" s="111">
        <v>0</v>
      </c>
      <c r="F4" s="111">
        <v>1</v>
      </c>
      <c r="G4"/>
      <c r="H4"/>
    </row>
    <row r="5" spans="1:8" x14ac:dyDescent="0.15">
      <c r="A5">
        <v>4</v>
      </c>
      <c r="B5" s="184" t="s">
        <v>195</v>
      </c>
      <c r="C5" s="112">
        <v>1</v>
      </c>
      <c r="D5" s="112">
        <v>0</v>
      </c>
      <c r="E5" s="111">
        <v>0</v>
      </c>
      <c r="F5" s="111">
        <v>1</v>
      </c>
      <c r="G5"/>
      <c r="H5"/>
    </row>
    <row r="6" spans="1:8" x14ac:dyDescent="0.15">
      <c r="A6">
        <v>5</v>
      </c>
      <c r="B6" s="184" t="s">
        <v>196</v>
      </c>
      <c r="C6" s="112">
        <v>1</v>
      </c>
      <c r="D6" s="112">
        <v>0</v>
      </c>
      <c r="E6" s="111">
        <v>0</v>
      </c>
      <c r="F6" s="111">
        <v>1</v>
      </c>
      <c r="G6"/>
      <c r="H6"/>
    </row>
    <row r="7" spans="1:8" x14ac:dyDescent="0.15">
      <c r="A7">
        <v>6</v>
      </c>
      <c r="B7" s="184" t="s">
        <v>197</v>
      </c>
      <c r="C7" s="112">
        <v>1</v>
      </c>
      <c r="D7" s="112">
        <v>0</v>
      </c>
      <c r="E7" s="111">
        <v>0</v>
      </c>
      <c r="F7" s="111">
        <v>1</v>
      </c>
      <c r="G7"/>
      <c r="H7"/>
    </row>
    <row r="8" spans="1:8" x14ac:dyDescent="0.15">
      <c r="A8">
        <v>7</v>
      </c>
      <c r="B8" s="184" t="s">
        <v>198</v>
      </c>
      <c r="C8" s="112">
        <v>1</v>
      </c>
      <c r="D8" s="112">
        <v>0</v>
      </c>
      <c r="E8" s="111">
        <v>0</v>
      </c>
      <c r="F8" s="111">
        <v>1</v>
      </c>
      <c r="G8"/>
      <c r="H8"/>
    </row>
    <row r="9" spans="1:8" x14ac:dyDescent="0.15">
      <c r="A9">
        <v>8</v>
      </c>
      <c r="B9" s="184" t="s">
        <v>199</v>
      </c>
      <c r="C9" s="112">
        <v>1</v>
      </c>
      <c r="D9" s="112">
        <v>0</v>
      </c>
      <c r="E9" s="111">
        <v>0</v>
      </c>
      <c r="F9" s="111">
        <v>1</v>
      </c>
      <c r="G9"/>
      <c r="H9"/>
    </row>
    <row r="10" spans="1:8" x14ac:dyDescent="0.15">
      <c r="A10">
        <v>9</v>
      </c>
      <c r="B10" s="184" t="s">
        <v>200</v>
      </c>
      <c r="C10" s="112">
        <v>1</v>
      </c>
      <c r="D10" s="112">
        <v>0</v>
      </c>
      <c r="E10" s="111">
        <v>0</v>
      </c>
      <c r="F10" s="111">
        <v>1</v>
      </c>
      <c r="G10"/>
      <c r="H10"/>
    </row>
    <row r="11" spans="1:8" x14ac:dyDescent="0.15">
      <c r="A11">
        <v>10</v>
      </c>
      <c r="B11" s="184" t="s">
        <v>201</v>
      </c>
      <c r="C11" s="112">
        <v>1</v>
      </c>
      <c r="D11" s="112">
        <v>0</v>
      </c>
      <c r="E11" s="111">
        <v>0</v>
      </c>
      <c r="F11" s="111">
        <v>1</v>
      </c>
      <c r="G11"/>
      <c r="H11"/>
    </row>
    <row r="12" spans="1:8" x14ac:dyDescent="0.15">
      <c r="A12">
        <v>11</v>
      </c>
      <c r="B12" s="184" t="s">
        <v>202</v>
      </c>
      <c r="C12" s="112">
        <v>1</v>
      </c>
      <c r="D12" s="112">
        <v>0</v>
      </c>
      <c r="E12" s="111">
        <v>0</v>
      </c>
      <c r="F12" s="111">
        <v>1</v>
      </c>
      <c r="G12"/>
      <c r="H12"/>
    </row>
    <row r="13" spans="1:8" x14ac:dyDescent="0.15">
      <c r="A13">
        <v>12</v>
      </c>
      <c r="B13" s="184" t="s">
        <v>203</v>
      </c>
      <c r="C13" s="112">
        <v>1</v>
      </c>
      <c r="D13" s="112">
        <v>0</v>
      </c>
      <c r="E13" s="111">
        <v>0</v>
      </c>
      <c r="F13" s="111">
        <v>1</v>
      </c>
      <c r="G13"/>
      <c r="H13"/>
    </row>
    <row r="14" spans="1:8" x14ac:dyDescent="0.15">
      <c r="A14">
        <v>13</v>
      </c>
      <c r="B14" s="184" t="s">
        <v>204</v>
      </c>
      <c r="C14" s="112">
        <v>1</v>
      </c>
      <c r="D14" s="112">
        <v>0</v>
      </c>
      <c r="E14" s="111">
        <v>0</v>
      </c>
      <c r="F14" s="111">
        <v>1</v>
      </c>
      <c r="G14"/>
      <c r="H14"/>
    </row>
    <row r="15" spans="1:8" x14ac:dyDescent="0.15">
      <c r="A15">
        <v>14</v>
      </c>
      <c r="B15" s="184" t="s">
        <v>205</v>
      </c>
      <c r="C15" s="112">
        <v>1</v>
      </c>
      <c r="D15" s="112">
        <v>0</v>
      </c>
      <c r="E15" s="111">
        <v>0</v>
      </c>
      <c r="F15" s="111">
        <v>1</v>
      </c>
      <c r="G15"/>
      <c r="H15"/>
    </row>
    <row r="16" spans="1:8" x14ac:dyDescent="0.15">
      <c r="A16">
        <v>15</v>
      </c>
      <c r="B16" s="184" t="s">
        <v>206</v>
      </c>
      <c r="C16" s="112">
        <v>1</v>
      </c>
      <c r="D16" s="112">
        <v>0</v>
      </c>
      <c r="E16" s="111">
        <v>0</v>
      </c>
      <c r="F16" s="111">
        <v>1</v>
      </c>
      <c r="G16"/>
      <c r="H16"/>
    </row>
    <row r="17" spans="1:8" ht="15" customHeight="1" x14ac:dyDescent="0.15">
      <c r="A17">
        <v>16</v>
      </c>
      <c r="B17" s="184" t="s">
        <v>207</v>
      </c>
      <c r="C17" s="112">
        <v>1</v>
      </c>
      <c r="D17" s="112">
        <v>0</v>
      </c>
      <c r="E17" s="111">
        <v>0</v>
      </c>
      <c r="F17" s="111">
        <v>1</v>
      </c>
      <c r="G17"/>
      <c r="H17"/>
    </row>
    <row r="18" spans="1:8" ht="15" customHeight="1" x14ac:dyDescent="0.15">
      <c r="A18">
        <v>17</v>
      </c>
      <c r="B18" s="184" t="s">
        <v>208</v>
      </c>
      <c r="C18" s="112">
        <v>1</v>
      </c>
      <c r="D18" s="112">
        <v>0</v>
      </c>
      <c r="E18" s="111">
        <v>0</v>
      </c>
      <c r="F18" s="111">
        <v>1</v>
      </c>
      <c r="G18"/>
      <c r="H18"/>
    </row>
    <row r="19" spans="1:8" ht="15" customHeight="1" x14ac:dyDescent="0.15">
      <c r="A19">
        <v>18</v>
      </c>
      <c r="B19" s="184" t="s">
        <v>209</v>
      </c>
      <c r="C19" s="112">
        <v>1</v>
      </c>
      <c r="D19" s="112">
        <v>0</v>
      </c>
      <c r="E19" s="111">
        <v>0</v>
      </c>
      <c r="F19" s="111">
        <v>1</v>
      </c>
      <c r="G19"/>
      <c r="H19"/>
    </row>
    <row r="20" spans="1:8" ht="15" customHeight="1" x14ac:dyDescent="0.15">
      <c r="A20">
        <v>19</v>
      </c>
      <c r="B20" s="184" t="s">
        <v>210</v>
      </c>
      <c r="C20" s="112">
        <v>1</v>
      </c>
      <c r="D20" s="112">
        <v>0</v>
      </c>
      <c r="E20" s="111">
        <v>0</v>
      </c>
      <c r="F20" s="111">
        <v>1</v>
      </c>
      <c r="G20"/>
      <c r="H20"/>
    </row>
    <row r="21" spans="1:8" ht="15" customHeight="1" x14ac:dyDescent="0.15">
      <c r="A21">
        <v>20</v>
      </c>
      <c r="B21" s="184" t="s">
        <v>211</v>
      </c>
      <c r="C21" s="112">
        <v>1</v>
      </c>
      <c r="D21" s="112">
        <v>0</v>
      </c>
      <c r="E21" s="111">
        <v>0</v>
      </c>
      <c r="F21" s="111">
        <v>1</v>
      </c>
      <c r="G21"/>
      <c r="H21"/>
    </row>
    <row r="22" spans="1:8" ht="15" customHeight="1" x14ac:dyDescent="0.15">
      <c r="A22">
        <v>21</v>
      </c>
      <c r="B22" s="184" t="s">
        <v>212</v>
      </c>
      <c r="C22" s="112">
        <v>1</v>
      </c>
      <c r="D22" s="112">
        <v>0</v>
      </c>
      <c r="E22" s="111">
        <v>0</v>
      </c>
      <c r="F22" s="111">
        <v>1</v>
      </c>
      <c r="G22"/>
      <c r="H22"/>
    </row>
    <row r="23" spans="1:8" ht="15" customHeight="1" x14ac:dyDescent="0.15">
      <c r="A23">
        <v>22</v>
      </c>
      <c r="B23" s="184" t="s">
        <v>213</v>
      </c>
      <c r="C23" s="112">
        <v>1</v>
      </c>
      <c r="D23" s="112">
        <v>0</v>
      </c>
      <c r="E23" s="111">
        <v>0</v>
      </c>
      <c r="F23" s="111">
        <v>1</v>
      </c>
      <c r="G23"/>
      <c r="H23"/>
    </row>
    <row r="24" spans="1:8" ht="15" customHeight="1" x14ac:dyDescent="0.15">
      <c r="A24">
        <v>23</v>
      </c>
      <c r="B24" s="184" t="s">
        <v>214</v>
      </c>
      <c r="C24" s="112">
        <v>1</v>
      </c>
      <c r="D24" s="112">
        <v>0</v>
      </c>
      <c r="E24" s="111">
        <v>0</v>
      </c>
      <c r="F24" s="111">
        <v>1</v>
      </c>
      <c r="G24"/>
      <c r="H24"/>
    </row>
    <row r="25" spans="1:8" ht="15" customHeight="1" x14ac:dyDescent="0.15">
      <c r="A25">
        <v>24</v>
      </c>
      <c r="B25" s="184" t="s">
        <v>215</v>
      </c>
      <c r="C25" s="112">
        <v>1</v>
      </c>
      <c r="D25" s="112">
        <v>0</v>
      </c>
      <c r="E25" s="111">
        <v>0</v>
      </c>
      <c r="F25" s="111">
        <v>1</v>
      </c>
      <c r="G25"/>
      <c r="H25"/>
    </row>
    <row r="26" spans="1:8" ht="15" customHeight="1" x14ac:dyDescent="0.15">
      <c r="A26">
        <v>25</v>
      </c>
      <c r="B26" s="184" t="s">
        <v>216</v>
      </c>
      <c r="C26" s="112">
        <v>1</v>
      </c>
      <c r="D26" s="112">
        <v>0</v>
      </c>
      <c r="E26" s="111">
        <v>0</v>
      </c>
      <c r="F26" s="111">
        <v>1</v>
      </c>
      <c r="G26"/>
      <c r="H26"/>
    </row>
    <row r="27" spans="1:8" ht="15" customHeight="1" x14ac:dyDescent="0.15">
      <c r="A27">
        <v>26</v>
      </c>
      <c r="B27" s="184" t="s">
        <v>217</v>
      </c>
      <c r="C27" s="112">
        <v>1</v>
      </c>
      <c r="D27" s="112">
        <v>0</v>
      </c>
      <c r="E27" s="111">
        <v>0</v>
      </c>
      <c r="F27" s="111">
        <v>1</v>
      </c>
      <c r="G27"/>
      <c r="H27"/>
    </row>
    <row r="28" spans="1:8" ht="15" customHeight="1" x14ac:dyDescent="0.15">
      <c r="A28">
        <v>27</v>
      </c>
      <c r="B28" s="184" t="s">
        <v>218</v>
      </c>
      <c r="C28" s="112">
        <v>1</v>
      </c>
      <c r="D28" s="112">
        <v>0</v>
      </c>
      <c r="E28" s="111">
        <v>0</v>
      </c>
      <c r="F28" s="111">
        <v>1</v>
      </c>
      <c r="G28"/>
      <c r="H28"/>
    </row>
    <row r="29" spans="1:8" ht="15" customHeight="1" x14ac:dyDescent="0.15">
      <c r="A29">
        <v>28</v>
      </c>
      <c r="B29" s="184" t="s">
        <v>219</v>
      </c>
      <c r="C29" s="112">
        <v>1</v>
      </c>
      <c r="D29" s="112">
        <v>0</v>
      </c>
      <c r="E29" s="111">
        <v>0</v>
      </c>
      <c r="F29" s="111">
        <v>1</v>
      </c>
      <c r="G29"/>
      <c r="H29"/>
    </row>
    <row r="30" spans="1:8" ht="15" customHeight="1" x14ac:dyDescent="0.15">
      <c r="A30">
        <v>29</v>
      </c>
      <c r="B30" s="184" t="s">
        <v>220</v>
      </c>
      <c r="C30" s="112">
        <v>1</v>
      </c>
      <c r="D30" s="112">
        <v>0</v>
      </c>
      <c r="E30" s="111">
        <v>0</v>
      </c>
      <c r="F30" s="111">
        <v>1</v>
      </c>
      <c r="G30"/>
      <c r="H30"/>
    </row>
    <row r="31" spans="1:8" ht="15" customHeight="1" x14ac:dyDescent="0.15">
      <c r="A31">
        <v>30</v>
      </c>
      <c r="B31" s="184" t="s">
        <v>221</v>
      </c>
      <c r="C31" s="112">
        <v>1</v>
      </c>
      <c r="D31" s="112">
        <v>0</v>
      </c>
      <c r="E31" s="111">
        <v>0</v>
      </c>
      <c r="F31" s="111">
        <v>1</v>
      </c>
      <c r="G31"/>
      <c r="H31"/>
    </row>
    <row r="32" spans="1:8" ht="15" customHeight="1" x14ac:dyDescent="0.15">
      <c r="A32">
        <v>31</v>
      </c>
      <c r="B32" s="184" t="s">
        <v>222</v>
      </c>
      <c r="C32" s="112">
        <v>1</v>
      </c>
      <c r="D32" s="112">
        <v>0</v>
      </c>
      <c r="E32" s="111">
        <v>0</v>
      </c>
      <c r="F32" s="111">
        <v>1</v>
      </c>
    </row>
    <row r="33" spans="1:8" ht="15" customHeight="1" x14ac:dyDescent="0.15">
      <c r="A33">
        <v>32</v>
      </c>
      <c r="B33" s="184" t="s">
        <v>223</v>
      </c>
      <c r="C33" s="112">
        <v>1</v>
      </c>
      <c r="D33" s="112">
        <v>0</v>
      </c>
      <c r="E33" s="111">
        <v>0</v>
      </c>
      <c r="F33" s="111">
        <v>1</v>
      </c>
    </row>
    <row r="34" spans="1:8" ht="15" customHeight="1" x14ac:dyDescent="0.15">
      <c r="A34">
        <v>33</v>
      </c>
      <c r="B34" s="184" t="s">
        <v>224</v>
      </c>
      <c r="C34" s="112">
        <v>1</v>
      </c>
      <c r="D34" s="112">
        <v>0</v>
      </c>
      <c r="E34" s="111">
        <v>0</v>
      </c>
      <c r="F34" s="111">
        <v>1</v>
      </c>
    </row>
    <row r="35" spans="1:8" ht="15" customHeight="1" x14ac:dyDescent="0.15">
      <c r="A35">
        <v>34</v>
      </c>
      <c r="B35" s="184" t="s">
        <v>225</v>
      </c>
      <c r="C35" s="112">
        <v>1</v>
      </c>
      <c r="D35" s="112">
        <v>0</v>
      </c>
      <c r="E35" s="111">
        <v>0</v>
      </c>
      <c r="F35" s="111">
        <v>1</v>
      </c>
    </row>
    <row r="36" spans="1:8" ht="15" customHeight="1" x14ac:dyDescent="0.15">
      <c r="A36">
        <v>35</v>
      </c>
      <c r="B36" s="184" t="s">
        <v>226</v>
      </c>
      <c r="C36" s="112">
        <v>1</v>
      </c>
      <c r="D36" s="112">
        <v>0</v>
      </c>
      <c r="E36" s="112">
        <v>0</v>
      </c>
      <c r="F36" s="112">
        <v>1</v>
      </c>
      <c r="G36"/>
      <c r="H36"/>
    </row>
    <row r="37" spans="1:8" ht="15" customHeight="1" x14ac:dyDescent="0.15">
      <c r="A37">
        <v>36</v>
      </c>
      <c r="B37" s="184" t="s">
        <v>227</v>
      </c>
      <c r="C37" s="112">
        <v>1</v>
      </c>
      <c r="D37" s="112">
        <v>0</v>
      </c>
      <c r="E37" s="112">
        <v>0</v>
      </c>
      <c r="F37" s="112">
        <v>1</v>
      </c>
      <c r="G37"/>
      <c r="H37"/>
    </row>
    <row r="38" spans="1:8" ht="15" customHeight="1" x14ac:dyDescent="0.15">
      <c r="A38">
        <v>37</v>
      </c>
      <c r="B38" s="184" t="s">
        <v>228</v>
      </c>
      <c r="C38" s="112">
        <v>1</v>
      </c>
      <c r="D38" s="112">
        <v>0</v>
      </c>
      <c r="E38" s="112">
        <v>0</v>
      </c>
      <c r="F38" s="112">
        <v>1</v>
      </c>
      <c r="G38"/>
      <c r="H38"/>
    </row>
    <row r="39" spans="1:8" ht="15" customHeight="1" x14ac:dyDescent="0.15">
      <c r="A39">
        <v>38</v>
      </c>
      <c r="B39" s="184" t="s">
        <v>229</v>
      </c>
      <c r="C39" s="112">
        <v>1</v>
      </c>
      <c r="D39" s="112">
        <v>0</v>
      </c>
      <c r="E39" s="112">
        <v>0</v>
      </c>
      <c r="F39" s="112">
        <v>1</v>
      </c>
      <c r="G39"/>
      <c r="H39"/>
    </row>
    <row r="40" spans="1:8" ht="15" customHeight="1" x14ac:dyDescent="0.15">
      <c r="A40">
        <v>39</v>
      </c>
      <c r="B40" s="184" t="s">
        <v>230</v>
      </c>
      <c r="C40" s="112">
        <v>1</v>
      </c>
      <c r="D40" s="112">
        <v>0</v>
      </c>
      <c r="E40" s="112">
        <v>0</v>
      </c>
      <c r="F40" s="112">
        <v>1</v>
      </c>
      <c r="G40"/>
      <c r="H40"/>
    </row>
    <row r="41" spans="1:8" ht="15" customHeight="1" x14ac:dyDescent="0.15">
      <c r="A41">
        <v>40</v>
      </c>
      <c r="B41" s="184" t="s">
        <v>231</v>
      </c>
      <c r="C41" s="112">
        <v>1</v>
      </c>
      <c r="D41" s="112">
        <v>0</v>
      </c>
      <c r="E41" s="112">
        <v>0</v>
      </c>
      <c r="F41" s="112">
        <v>1</v>
      </c>
      <c r="G41"/>
      <c r="H41"/>
    </row>
    <row r="42" spans="1:8" ht="15" customHeight="1" x14ac:dyDescent="0.15">
      <c r="A42">
        <v>41</v>
      </c>
      <c r="B42" s="184" t="s">
        <v>232</v>
      </c>
      <c r="C42" s="112">
        <v>1</v>
      </c>
      <c r="D42" s="112">
        <v>0</v>
      </c>
      <c r="E42" s="112">
        <v>0</v>
      </c>
      <c r="F42" s="112">
        <v>1</v>
      </c>
      <c r="G42"/>
      <c r="H42"/>
    </row>
    <row r="43" spans="1:8" ht="15" customHeight="1" x14ac:dyDescent="0.15">
      <c r="A43">
        <v>42</v>
      </c>
      <c r="B43" s="184" t="s">
        <v>233</v>
      </c>
      <c r="C43" s="112">
        <v>1</v>
      </c>
      <c r="D43" s="112">
        <v>0</v>
      </c>
      <c r="E43" s="112">
        <v>0</v>
      </c>
      <c r="F43" s="112">
        <v>1</v>
      </c>
      <c r="G43"/>
      <c r="H43"/>
    </row>
    <row r="44" spans="1:8" ht="15" customHeight="1" x14ac:dyDescent="0.15">
      <c r="A44">
        <v>43</v>
      </c>
      <c r="B44" s="184" t="s">
        <v>234</v>
      </c>
      <c r="C44" s="112">
        <v>1</v>
      </c>
      <c r="D44" s="112">
        <v>0</v>
      </c>
      <c r="E44" s="111">
        <v>0</v>
      </c>
      <c r="F44" s="111">
        <v>1</v>
      </c>
      <c r="G44"/>
      <c r="H44"/>
    </row>
    <row r="45" spans="1:8" ht="15" customHeight="1" x14ac:dyDescent="0.15">
      <c r="A45">
        <v>44</v>
      </c>
      <c r="B45" s="184" t="s">
        <v>235</v>
      </c>
      <c r="C45" s="112">
        <v>0</v>
      </c>
      <c r="D45" s="112">
        <v>1</v>
      </c>
      <c r="E45" s="111">
        <v>0</v>
      </c>
      <c r="F45" s="111">
        <v>1</v>
      </c>
      <c r="G45"/>
      <c r="H45"/>
    </row>
    <row r="46" spans="1:8" ht="15" customHeight="1" x14ac:dyDescent="0.15">
      <c r="A46">
        <v>45</v>
      </c>
      <c r="B46" s="184" t="s">
        <v>236</v>
      </c>
      <c r="C46" s="112">
        <v>0</v>
      </c>
      <c r="D46" s="112">
        <v>0</v>
      </c>
      <c r="E46" s="112">
        <v>1</v>
      </c>
      <c r="F46" s="112">
        <v>1</v>
      </c>
      <c r="G46"/>
      <c r="H46"/>
    </row>
    <row r="47" spans="1:8" ht="15" customHeight="1" x14ac:dyDescent="0.15">
      <c r="A47">
        <v>46</v>
      </c>
      <c r="B47" s="184" t="s">
        <v>237</v>
      </c>
      <c r="C47" s="112">
        <v>0</v>
      </c>
      <c r="D47" s="112">
        <v>1</v>
      </c>
      <c r="E47" s="111">
        <v>0</v>
      </c>
      <c r="F47" s="111">
        <v>1</v>
      </c>
      <c r="G47"/>
      <c r="H47"/>
    </row>
    <row r="48" spans="1:8" ht="15" customHeight="1" x14ac:dyDescent="0.15">
      <c r="A48">
        <v>47</v>
      </c>
      <c r="B48" s="184" t="s">
        <v>238</v>
      </c>
      <c r="C48" s="112">
        <v>0</v>
      </c>
      <c r="D48" s="112">
        <v>1</v>
      </c>
      <c r="E48" s="111">
        <v>0</v>
      </c>
      <c r="F48" s="111">
        <v>1</v>
      </c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7.5" bestFit="1" customWidth="1"/>
    <col min="3" max="5" width="8.83203125" bestFit="1" customWidth="1"/>
  </cols>
  <sheetData>
    <row r="1" spans="1:5" s="113" customFormat="1" ht="112" x14ac:dyDescent="0.15">
      <c r="A1" s="5" t="s">
        <v>21</v>
      </c>
      <c r="B1" s="3" t="s">
        <v>0</v>
      </c>
      <c r="C1" s="187" t="s">
        <v>237</v>
      </c>
      <c r="D1" s="187" t="s">
        <v>238</v>
      </c>
      <c r="E1" s="187" t="s">
        <v>242</v>
      </c>
    </row>
    <row r="2" spans="1:5" ht="15" customHeight="1" x14ac:dyDescent="0.15">
      <c r="A2">
        <v>1</v>
      </c>
      <c r="B2" s="186" t="s">
        <v>192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86" t="s">
        <v>193</v>
      </c>
      <c r="C3">
        <v>0</v>
      </c>
      <c r="D3">
        <v>0</v>
      </c>
      <c r="E3">
        <v>0</v>
      </c>
    </row>
    <row r="4" spans="1:5" ht="15" customHeight="1" x14ac:dyDescent="0.15">
      <c r="A4">
        <v>3</v>
      </c>
      <c r="B4" s="186" t="s">
        <v>194</v>
      </c>
      <c r="C4">
        <v>0</v>
      </c>
      <c r="D4">
        <v>0</v>
      </c>
      <c r="E4">
        <v>0</v>
      </c>
    </row>
    <row r="5" spans="1:5" ht="15" customHeight="1" x14ac:dyDescent="0.15">
      <c r="A5">
        <v>4</v>
      </c>
      <c r="B5" s="186" t="s">
        <v>195</v>
      </c>
      <c r="C5">
        <v>0</v>
      </c>
      <c r="D5">
        <v>0</v>
      </c>
      <c r="E5">
        <v>0</v>
      </c>
    </row>
    <row r="6" spans="1:5" ht="15" customHeight="1" x14ac:dyDescent="0.15">
      <c r="A6">
        <v>5</v>
      </c>
      <c r="B6" s="186" t="s">
        <v>196</v>
      </c>
      <c r="C6">
        <v>0</v>
      </c>
      <c r="D6">
        <v>0</v>
      </c>
      <c r="E6">
        <v>0</v>
      </c>
    </row>
    <row r="7" spans="1:5" ht="15" customHeight="1" x14ac:dyDescent="0.15">
      <c r="A7">
        <v>6</v>
      </c>
      <c r="B7" s="186" t="s">
        <v>197</v>
      </c>
      <c r="C7">
        <v>0</v>
      </c>
      <c r="D7">
        <v>0</v>
      </c>
      <c r="E7">
        <v>0</v>
      </c>
    </row>
    <row r="8" spans="1:5" ht="15" customHeight="1" x14ac:dyDescent="0.15">
      <c r="A8">
        <v>7</v>
      </c>
      <c r="B8" s="186" t="s">
        <v>198</v>
      </c>
      <c r="C8">
        <v>0</v>
      </c>
      <c r="D8">
        <v>7.0200000000000004E-4</v>
      </c>
      <c r="E8">
        <v>7.0200000000000004E-4</v>
      </c>
    </row>
    <row r="9" spans="1:5" ht="15" customHeight="1" x14ac:dyDescent="0.15">
      <c r="A9">
        <v>8</v>
      </c>
      <c r="B9" s="186" t="s">
        <v>199</v>
      </c>
      <c r="C9">
        <v>8.7220000000000006E-3</v>
      </c>
      <c r="D9">
        <v>1.1122999999999999E-2</v>
      </c>
      <c r="E9">
        <v>1.9845000000000002E-2</v>
      </c>
    </row>
    <row r="10" spans="1:5" ht="15" customHeight="1" x14ac:dyDescent="0.15">
      <c r="A10">
        <v>9</v>
      </c>
      <c r="B10" s="186" t="s">
        <v>200</v>
      </c>
      <c r="C10">
        <v>0</v>
      </c>
      <c r="D10">
        <v>1.34E-3</v>
      </c>
      <c r="E10">
        <v>1.34E-3</v>
      </c>
    </row>
    <row r="11" spans="1:5" ht="15" customHeight="1" x14ac:dyDescent="0.15">
      <c r="A11">
        <v>10</v>
      </c>
      <c r="B11" s="186" t="s">
        <v>201</v>
      </c>
      <c r="C11">
        <v>3.2390000000000001E-3</v>
      </c>
      <c r="D11">
        <v>1.297E-3</v>
      </c>
      <c r="E11">
        <v>4.5360000000000001E-3</v>
      </c>
    </row>
    <row r="12" spans="1:5" ht="15" customHeight="1" x14ac:dyDescent="0.15">
      <c r="A12">
        <v>11</v>
      </c>
      <c r="B12" s="186" t="s">
        <v>202</v>
      </c>
      <c r="C12">
        <v>4.4780000000000002E-3</v>
      </c>
      <c r="D12">
        <v>1.3238E-2</v>
      </c>
      <c r="E12">
        <v>1.7715999999999999E-2</v>
      </c>
    </row>
    <row r="13" spans="1:5" ht="15" customHeight="1" x14ac:dyDescent="0.15">
      <c r="A13">
        <v>12</v>
      </c>
      <c r="B13" s="186" t="s">
        <v>203</v>
      </c>
      <c r="C13">
        <v>2.8149999999999998E-3</v>
      </c>
      <c r="D13">
        <v>5.0077000000000003E-2</v>
      </c>
      <c r="E13">
        <v>5.2892000000000002E-2</v>
      </c>
    </row>
    <row r="14" spans="1:5" ht="15" customHeight="1" x14ac:dyDescent="0.15">
      <c r="A14">
        <v>13</v>
      </c>
      <c r="B14" s="186" t="s">
        <v>204</v>
      </c>
      <c r="C14">
        <v>0</v>
      </c>
      <c r="D14">
        <v>0</v>
      </c>
      <c r="E14">
        <v>0</v>
      </c>
    </row>
    <row r="15" spans="1:5" ht="15" customHeight="1" x14ac:dyDescent="0.15">
      <c r="A15">
        <v>14</v>
      </c>
      <c r="B15" s="186" t="s">
        <v>205</v>
      </c>
      <c r="C15">
        <v>1.7031000000000001E-2</v>
      </c>
      <c r="D15">
        <v>2.1160999999999999E-2</v>
      </c>
      <c r="E15">
        <v>3.8192000000000004E-2</v>
      </c>
    </row>
    <row r="16" spans="1:5" ht="15" customHeight="1" x14ac:dyDescent="0.15">
      <c r="A16">
        <v>15</v>
      </c>
      <c r="B16" s="186" t="s">
        <v>206</v>
      </c>
      <c r="C16">
        <v>1.2899999999999999E-4</v>
      </c>
      <c r="D16">
        <v>4.4609999999999997E-3</v>
      </c>
      <c r="E16">
        <v>4.5899999999999995E-3</v>
      </c>
    </row>
    <row r="17" spans="1:5" ht="15" customHeight="1" x14ac:dyDescent="0.15">
      <c r="A17">
        <v>16</v>
      </c>
      <c r="B17" s="186" t="s">
        <v>207</v>
      </c>
      <c r="C17">
        <v>0.116616</v>
      </c>
      <c r="D17">
        <v>0</v>
      </c>
      <c r="E17">
        <v>0.116616</v>
      </c>
    </row>
    <row r="18" spans="1:5" ht="15" customHeight="1" x14ac:dyDescent="0.15">
      <c r="A18">
        <v>17</v>
      </c>
      <c r="B18" s="186" t="s">
        <v>208</v>
      </c>
      <c r="C18">
        <v>4.1133000000000003E-2</v>
      </c>
      <c r="D18">
        <v>0.153472</v>
      </c>
      <c r="E18">
        <v>0.194605</v>
      </c>
    </row>
    <row r="19" spans="1:5" ht="15" customHeight="1" x14ac:dyDescent="0.15">
      <c r="A19">
        <v>18</v>
      </c>
      <c r="B19" s="186" t="s">
        <v>209</v>
      </c>
      <c r="C19">
        <v>9.9999999999999995E-7</v>
      </c>
      <c r="D19">
        <v>5.3000000000000001E-5</v>
      </c>
      <c r="E19">
        <v>5.3999999999999998E-5</v>
      </c>
    </row>
    <row r="20" spans="1:5" ht="15" customHeight="1" x14ac:dyDescent="0.15">
      <c r="A20">
        <v>19</v>
      </c>
      <c r="B20" s="186" t="s">
        <v>210</v>
      </c>
      <c r="C20">
        <v>2.4458000000000001E-2</v>
      </c>
      <c r="D20">
        <v>2.7866999999999999E-2</v>
      </c>
      <c r="E20">
        <v>5.2324999999999997E-2</v>
      </c>
    </row>
    <row r="21" spans="1:5" ht="15" customHeight="1" x14ac:dyDescent="0.15">
      <c r="A21">
        <v>20</v>
      </c>
      <c r="B21" s="186" t="s">
        <v>211</v>
      </c>
      <c r="C21">
        <v>3.4009999999999999E-3</v>
      </c>
      <c r="D21">
        <v>1.552E-3</v>
      </c>
      <c r="E21">
        <v>4.9529999999999999E-3</v>
      </c>
    </row>
    <row r="22" spans="1:5" ht="15" customHeight="1" x14ac:dyDescent="0.15">
      <c r="A22">
        <v>21</v>
      </c>
      <c r="B22" s="186" t="s">
        <v>212</v>
      </c>
      <c r="C22">
        <v>6.8400000000000004E-4</v>
      </c>
      <c r="D22">
        <v>4.5459999999999997E-3</v>
      </c>
      <c r="E22">
        <v>5.2299999999999994E-3</v>
      </c>
    </row>
    <row r="23" spans="1:5" ht="15" customHeight="1" x14ac:dyDescent="0.15">
      <c r="A23">
        <v>22</v>
      </c>
      <c r="B23" s="186" t="s">
        <v>213</v>
      </c>
      <c r="C23">
        <v>0</v>
      </c>
      <c r="D23">
        <v>6.9999999999999999E-6</v>
      </c>
      <c r="E23">
        <v>6.9999999999999999E-6</v>
      </c>
    </row>
    <row r="24" spans="1:5" ht="15" customHeight="1" x14ac:dyDescent="0.15">
      <c r="A24">
        <v>23</v>
      </c>
      <c r="B24" s="186" t="s">
        <v>214</v>
      </c>
      <c r="C24">
        <v>2.8299999999999999E-4</v>
      </c>
      <c r="D24">
        <v>2.4846E-2</v>
      </c>
      <c r="E24">
        <v>2.5128999999999999E-2</v>
      </c>
    </row>
    <row r="25" spans="1:5" ht="15" customHeight="1" x14ac:dyDescent="0.15">
      <c r="A25">
        <v>24</v>
      </c>
      <c r="B25" s="186" t="s">
        <v>215</v>
      </c>
      <c r="C25">
        <v>4.5909999999999996E-3</v>
      </c>
      <c r="D25">
        <v>5.6270000000000001E-3</v>
      </c>
      <c r="E25">
        <v>1.0218E-2</v>
      </c>
    </row>
    <row r="26" spans="1:5" ht="15" customHeight="1" x14ac:dyDescent="0.15">
      <c r="A26">
        <v>25</v>
      </c>
      <c r="B26" s="186" t="s">
        <v>216</v>
      </c>
      <c r="C26">
        <v>4.0400000000000001E-4</v>
      </c>
      <c r="D26">
        <v>2.9610000000000001E-3</v>
      </c>
      <c r="E26">
        <v>3.3649999999999999E-3</v>
      </c>
    </row>
    <row r="27" spans="1:5" ht="15" customHeight="1" x14ac:dyDescent="0.15">
      <c r="A27">
        <v>26</v>
      </c>
      <c r="B27" s="186" t="s">
        <v>217</v>
      </c>
      <c r="C27">
        <v>6.3160000000000004E-3</v>
      </c>
      <c r="D27">
        <v>0</v>
      </c>
      <c r="E27">
        <v>6.3160000000000004E-3</v>
      </c>
    </row>
    <row r="28" spans="1:5" ht="15" customHeight="1" x14ac:dyDescent="0.15">
      <c r="A28">
        <v>27</v>
      </c>
      <c r="B28" s="186" t="s">
        <v>218</v>
      </c>
      <c r="C28">
        <v>2.2650000000000001E-3</v>
      </c>
      <c r="D28">
        <v>2.513E-3</v>
      </c>
      <c r="E28">
        <v>4.7780000000000001E-3</v>
      </c>
    </row>
    <row r="29" spans="1:5" ht="15" customHeight="1" x14ac:dyDescent="0.15">
      <c r="A29">
        <v>28</v>
      </c>
      <c r="B29" s="186" t="s">
        <v>219</v>
      </c>
      <c r="C29">
        <v>6.9249999999999997E-3</v>
      </c>
      <c r="D29">
        <v>3.3318E-2</v>
      </c>
      <c r="E29">
        <v>4.0243000000000001E-2</v>
      </c>
    </row>
    <row r="30" spans="1:5" ht="15" customHeight="1" x14ac:dyDescent="0.15">
      <c r="A30">
        <v>29</v>
      </c>
      <c r="B30" s="186" t="s">
        <v>220</v>
      </c>
      <c r="C30">
        <v>0</v>
      </c>
      <c r="D30">
        <v>9.1380000000000003E-3</v>
      </c>
      <c r="E30">
        <v>9.1380000000000003E-3</v>
      </c>
    </row>
    <row r="31" spans="1:5" ht="15" customHeight="1" x14ac:dyDescent="0.15">
      <c r="A31">
        <v>30</v>
      </c>
      <c r="B31" s="186" t="s">
        <v>221</v>
      </c>
      <c r="C31">
        <v>9.4970000000000002E-3</v>
      </c>
      <c r="D31">
        <v>1.6200000000000001E-4</v>
      </c>
      <c r="E31">
        <v>9.6590000000000009E-3</v>
      </c>
    </row>
    <row r="32" spans="1:5" ht="15" customHeight="1" x14ac:dyDescent="0.15">
      <c r="A32">
        <v>31</v>
      </c>
      <c r="B32" s="186" t="s">
        <v>222</v>
      </c>
      <c r="C32">
        <v>4.2000000000000002E-4</v>
      </c>
      <c r="D32">
        <v>9.3307000000000001E-2</v>
      </c>
      <c r="E32">
        <v>9.3727000000000005E-2</v>
      </c>
    </row>
    <row r="33" spans="1:5" ht="15" customHeight="1" x14ac:dyDescent="0.15">
      <c r="A33">
        <v>32</v>
      </c>
      <c r="B33" s="186" t="s">
        <v>223</v>
      </c>
      <c r="C33">
        <v>0</v>
      </c>
      <c r="D33">
        <v>0</v>
      </c>
      <c r="E33">
        <v>0</v>
      </c>
    </row>
    <row r="34" spans="1:5" ht="15" customHeight="1" x14ac:dyDescent="0.15">
      <c r="A34">
        <v>33</v>
      </c>
      <c r="B34" s="186" t="s">
        <v>224</v>
      </c>
      <c r="C34">
        <v>0</v>
      </c>
      <c r="D34">
        <v>0</v>
      </c>
      <c r="E34">
        <v>0</v>
      </c>
    </row>
    <row r="35" spans="1:5" ht="15" customHeight="1" x14ac:dyDescent="0.15">
      <c r="A35">
        <v>34</v>
      </c>
      <c r="B35" s="186" t="s">
        <v>225</v>
      </c>
      <c r="C35">
        <v>0</v>
      </c>
      <c r="D35">
        <v>0</v>
      </c>
      <c r="E35">
        <v>0</v>
      </c>
    </row>
    <row r="36" spans="1:5" ht="15" customHeight="1" x14ac:dyDescent="0.15">
      <c r="A36">
        <v>35</v>
      </c>
      <c r="B36" s="186" t="s">
        <v>226</v>
      </c>
      <c r="C36">
        <v>0</v>
      </c>
      <c r="D36">
        <v>0</v>
      </c>
      <c r="E36">
        <v>0</v>
      </c>
    </row>
    <row r="37" spans="1:5" ht="15" customHeight="1" x14ac:dyDescent="0.15">
      <c r="A37">
        <v>36</v>
      </c>
      <c r="B37" s="186" t="s">
        <v>227</v>
      </c>
      <c r="C37">
        <v>0</v>
      </c>
      <c r="D37">
        <v>0</v>
      </c>
      <c r="E37">
        <v>0</v>
      </c>
    </row>
    <row r="38" spans="1:5" ht="15" customHeight="1" x14ac:dyDescent="0.15">
      <c r="A38">
        <v>37</v>
      </c>
      <c r="B38" s="186" t="s">
        <v>228</v>
      </c>
      <c r="C38">
        <v>0</v>
      </c>
      <c r="D38">
        <v>0</v>
      </c>
      <c r="E38">
        <v>0</v>
      </c>
    </row>
    <row r="39" spans="1:5" ht="15" customHeight="1" x14ac:dyDescent="0.15">
      <c r="A39">
        <v>38</v>
      </c>
      <c r="B39" s="186" t="s">
        <v>229</v>
      </c>
      <c r="C39">
        <v>0</v>
      </c>
      <c r="D39">
        <v>4.7029999999999997E-3</v>
      </c>
      <c r="E39">
        <v>4.7029999999999997E-3</v>
      </c>
    </row>
    <row r="40" spans="1:5" ht="15" customHeight="1" x14ac:dyDescent="0.15">
      <c r="A40">
        <v>39</v>
      </c>
      <c r="B40" s="186" t="s">
        <v>230</v>
      </c>
      <c r="C40">
        <v>8.52E-4</v>
      </c>
      <c r="D40">
        <v>8.4599999999999996E-4</v>
      </c>
      <c r="E40">
        <v>1.6979999999999999E-3</v>
      </c>
    </row>
    <row r="41" spans="1:5" ht="15" customHeight="1" x14ac:dyDescent="0.15">
      <c r="A41">
        <v>40</v>
      </c>
      <c r="B41" s="186" t="s">
        <v>231</v>
      </c>
      <c r="C41">
        <v>8.0000000000000007E-5</v>
      </c>
      <c r="D41">
        <v>7.6000000000000004E-5</v>
      </c>
      <c r="E41">
        <v>1.56E-4</v>
      </c>
    </row>
    <row r="42" spans="1:5" ht="15" customHeight="1" x14ac:dyDescent="0.15">
      <c r="A42">
        <v>41</v>
      </c>
      <c r="B42" s="186" t="s">
        <v>232</v>
      </c>
      <c r="C42">
        <v>0</v>
      </c>
      <c r="D42">
        <v>0</v>
      </c>
      <c r="E42">
        <v>0</v>
      </c>
    </row>
    <row r="43" spans="1:5" ht="15" customHeight="1" x14ac:dyDescent="0.15">
      <c r="A43">
        <v>42</v>
      </c>
      <c r="B43" s="186" t="s">
        <v>233</v>
      </c>
      <c r="C43">
        <v>0</v>
      </c>
      <c r="D43">
        <v>0</v>
      </c>
      <c r="E43">
        <v>0</v>
      </c>
    </row>
    <row r="44" spans="1:5" ht="15" customHeight="1" x14ac:dyDescent="0.15">
      <c r="A44">
        <v>43</v>
      </c>
      <c r="B44" s="186" t="s">
        <v>234</v>
      </c>
      <c r="C44">
        <v>0</v>
      </c>
      <c r="D44">
        <v>0</v>
      </c>
      <c r="E44">
        <v>0</v>
      </c>
    </row>
    <row r="45" spans="1:5" ht="15" customHeight="1" x14ac:dyDescent="0.15">
      <c r="A45">
        <v>44</v>
      </c>
      <c r="B45" s="186" t="s">
        <v>235</v>
      </c>
      <c r="C45">
        <v>0</v>
      </c>
      <c r="D45">
        <v>0</v>
      </c>
      <c r="E45">
        <v>0</v>
      </c>
    </row>
    <row r="46" spans="1:5" ht="15" customHeight="1" x14ac:dyDescent="0.15">
      <c r="A46">
        <v>45</v>
      </c>
      <c r="B46" s="186" t="s">
        <v>236</v>
      </c>
      <c r="C46">
        <v>0</v>
      </c>
      <c r="D46">
        <v>0</v>
      </c>
      <c r="E46">
        <v>0</v>
      </c>
    </row>
    <row r="47" spans="1:5" ht="15" customHeight="1" x14ac:dyDescent="0.15"/>
    <row r="48" spans="1:5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46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7.5" bestFit="1" customWidth="1"/>
    <col min="3" max="5" width="2.33203125" bestFit="1" customWidth="1"/>
  </cols>
  <sheetData>
    <row r="1" spans="1:5" s="113" customFormat="1" ht="112" x14ac:dyDescent="0.15">
      <c r="A1" s="5" t="s">
        <v>22</v>
      </c>
      <c r="B1" s="3" t="s">
        <v>0</v>
      </c>
      <c r="C1" s="189" t="s">
        <v>237</v>
      </c>
      <c r="D1" s="189" t="s">
        <v>238</v>
      </c>
      <c r="E1" s="189" t="s">
        <v>242</v>
      </c>
    </row>
    <row r="2" spans="1:5" x14ac:dyDescent="0.15">
      <c r="A2">
        <v>1</v>
      </c>
      <c r="B2" s="188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88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88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188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88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88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88" t="s">
        <v>198</v>
      </c>
      <c r="C8">
        <v>0</v>
      </c>
      <c r="D8">
        <v>0</v>
      </c>
      <c r="E8">
        <v>0</v>
      </c>
    </row>
    <row r="9" spans="1:5" x14ac:dyDescent="0.15">
      <c r="A9">
        <v>8</v>
      </c>
      <c r="B9" s="188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88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88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88" t="s">
        <v>202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88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88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88" t="s">
        <v>205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88" t="s">
        <v>206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88" t="s">
        <v>207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88" t="s">
        <v>208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88" t="s">
        <v>209</v>
      </c>
      <c r="C19">
        <v>0</v>
      </c>
      <c r="D19">
        <v>0</v>
      </c>
      <c r="E19">
        <v>0</v>
      </c>
    </row>
    <row r="20" spans="1:5" x14ac:dyDescent="0.15">
      <c r="A20">
        <v>19</v>
      </c>
      <c r="B20" s="188" t="s">
        <v>210</v>
      </c>
      <c r="C20">
        <v>0</v>
      </c>
      <c r="D20">
        <v>0</v>
      </c>
      <c r="E20">
        <v>0</v>
      </c>
    </row>
    <row r="21" spans="1:5" x14ac:dyDescent="0.15">
      <c r="A21">
        <v>20</v>
      </c>
      <c r="B21" s="188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88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88" t="s">
        <v>213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88" t="s">
        <v>214</v>
      </c>
      <c r="C24">
        <v>0</v>
      </c>
      <c r="D24">
        <v>0</v>
      </c>
      <c r="E24">
        <v>0</v>
      </c>
    </row>
    <row r="25" spans="1:5" x14ac:dyDescent="0.15">
      <c r="A25">
        <v>24</v>
      </c>
      <c r="B25" s="188" t="s">
        <v>215</v>
      </c>
      <c r="C25">
        <v>0</v>
      </c>
      <c r="D25">
        <v>0</v>
      </c>
      <c r="E25">
        <v>0</v>
      </c>
    </row>
    <row r="26" spans="1:5" x14ac:dyDescent="0.15">
      <c r="A26">
        <v>25</v>
      </c>
      <c r="B26" s="188" t="s">
        <v>216</v>
      </c>
      <c r="C26">
        <v>0</v>
      </c>
      <c r="D26">
        <v>0</v>
      </c>
      <c r="E26">
        <v>0</v>
      </c>
    </row>
    <row r="27" spans="1:5" x14ac:dyDescent="0.15">
      <c r="A27">
        <v>26</v>
      </c>
      <c r="B27" s="188" t="s">
        <v>217</v>
      </c>
      <c r="C27">
        <v>0</v>
      </c>
      <c r="D27">
        <v>0</v>
      </c>
      <c r="E27">
        <v>0</v>
      </c>
    </row>
    <row r="28" spans="1:5" x14ac:dyDescent="0.15">
      <c r="A28">
        <v>27</v>
      </c>
      <c r="B28" s="188" t="s">
        <v>218</v>
      </c>
      <c r="C28">
        <v>0</v>
      </c>
      <c r="D28">
        <v>0</v>
      </c>
      <c r="E28">
        <v>0</v>
      </c>
    </row>
    <row r="29" spans="1:5" x14ac:dyDescent="0.15">
      <c r="A29">
        <v>28</v>
      </c>
      <c r="B29" s="188" t="s">
        <v>219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88" t="s">
        <v>220</v>
      </c>
      <c r="C30">
        <v>0</v>
      </c>
      <c r="D30">
        <v>0</v>
      </c>
      <c r="E30">
        <v>0</v>
      </c>
    </row>
    <row r="31" spans="1:5" x14ac:dyDescent="0.15">
      <c r="A31">
        <v>30</v>
      </c>
      <c r="B31" s="188" t="s">
        <v>221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88" t="s">
        <v>222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88" t="s">
        <v>223</v>
      </c>
      <c r="C33">
        <v>0</v>
      </c>
      <c r="D33">
        <v>0</v>
      </c>
      <c r="E33">
        <v>0</v>
      </c>
    </row>
    <row r="34" spans="1:5" x14ac:dyDescent="0.15">
      <c r="A34">
        <v>33</v>
      </c>
      <c r="B34" s="188" t="s">
        <v>224</v>
      </c>
      <c r="C34">
        <v>0</v>
      </c>
      <c r="D34">
        <v>0</v>
      </c>
      <c r="E34">
        <v>0</v>
      </c>
    </row>
    <row r="35" spans="1:5" x14ac:dyDescent="0.15">
      <c r="A35">
        <v>34</v>
      </c>
      <c r="B35" s="188" t="s">
        <v>225</v>
      </c>
      <c r="C35">
        <v>0</v>
      </c>
      <c r="D35">
        <v>0</v>
      </c>
      <c r="E35">
        <v>0</v>
      </c>
    </row>
    <row r="36" spans="1:5" x14ac:dyDescent="0.15">
      <c r="A36">
        <v>35</v>
      </c>
      <c r="B36" s="188" t="s">
        <v>226</v>
      </c>
      <c r="C36">
        <v>0</v>
      </c>
      <c r="D36">
        <v>0</v>
      </c>
      <c r="E36">
        <v>0</v>
      </c>
    </row>
    <row r="37" spans="1:5" x14ac:dyDescent="0.15">
      <c r="A37">
        <v>36</v>
      </c>
      <c r="B37" s="188" t="s">
        <v>227</v>
      </c>
      <c r="C37">
        <v>0</v>
      </c>
      <c r="D37">
        <v>0</v>
      </c>
      <c r="E37">
        <v>0</v>
      </c>
    </row>
    <row r="38" spans="1:5" x14ac:dyDescent="0.15">
      <c r="A38">
        <v>37</v>
      </c>
      <c r="B38" s="188" t="s">
        <v>228</v>
      </c>
      <c r="C38">
        <v>0</v>
      </c>
      <c r="D38">
        <v>0</v>
      </c>
      <c r="E38">
        <v>0</v>
      </c>
    </row>
    <row r="39" spans="1:5" x14ac:dyDescent="0.15">
      <c r="A39">
        <v>38</v>
      </c>
      <c r="B39" s="188" t="s">
        <v>229</v>
      </c>
      <c r="C39">
        <v>0</v>
      </c>
      <c r="D39">
        <v>0</v>
      </c>
      <c r="E39">
        <v>0</v>
      </c>
    </row>
    <row r="40" spans="1:5" x14ac:dyDescent="0.15">
      <c r="A40">
        <v>39</v>
      </c>
      <c r="B40" s="188" t="s">
        <v>230</v>
      </c>
      <c r="C40">
        <v>0</v>
      </c>
      <c r="D40">
        <v>0</v>
      </c>
      <c r="E40">
        <v>0</v>
      </c>
    </row>
    <row r="41" spans="1:5" x14ac:dyDescent="0.15">
      <c r="A41">
        <v>40</v>
      </c>
      <c r="B41" s="188" t="s">
        <v>231</v>
      </c>
      <c r="C41">
        <v>0</v>
      </c>
      <c r="D41">
        <v>0</v>
      </c>
      <c r="E41">
        <v>0</v>
      </c>
    </row>
    <row r="42" spans="1:5" x14ac:dyDescent="0.15">
      <c r="A42">
        <v>41</v>
      </c>
      <c r="B42" s="188" t="s">
        <v>232</v>
      </c>
      <c r="C42">
        <v>0</v>
      </c>
      <c r="D42">
        <v>0</v>
      </c>
      <c r="E42">
        <v>0</v>
      </c>
    </row>
    <row r="43" spans="1:5" x14ac:dyDescent="0.15">
      <c r="A43">
        <v>42</v>
      </c>
      <c r="B43" s="188" t="s">
        <v>233</v>
      </c>
      <c r="C43">
        <v>0</v>
      </c>
      <c r="D43">
        <v>0</v>
      </c>
      <c r="E43">
        <v>0</v>
      </c>
    </row>
    <row r="44" spans="1:5" x14ac:dyDescent="0.15">
      <c r="A44">
        <v>43</v>
      </c>
      <c r="B44" s="188" t="s">
        <v>234</v>
      </c>
      <c r="C44">
        <v>0</v>
      </c>
      <c r="D44">
        <v>0</v>
      </c>
      <c r="E44">
        <v>0</v>
      </c>
    </row>
    <row r="45" spans="1:5" x14ac:dyDescent="0.15">
      <c r="A45">
        <v>44</v>
      </c>
      <c r="B45" s="188" t="s">
        <v>235</v>
      </c>
      <c r="C45">
        <v>0</v>
      </c>
      <c r="D45">
        <v>0</v>
      </c>
      <c r="E45">
        <v>0</v>
      </c>
    </row>
    <row r="46" spans="1:5" x14ac:dyDescent="0.15">
      <c r="A46">
        <v>45</v>
      </c>
      <c r="B46" s="188" t="s">
        <v>236</v>
      </c>
      <c r="C46">
        <v>0</v>
      </c>
      <c r="D46">
        <v>0</v>
      </c>
      <c r="E46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7.5" bestFit="1" customWidth="1"/>
    <col min="6" max="6" width="4.83203125" bestFit="1" customWidth="1"/>
    <col min="7" max="9" width="3.83203125" bestFit="1" customWidth="1"/>
    <col min="10" max="11" width="4.83203125" style="11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4" customFormat="1" ht="14" thickBot="1" x14ac:dyDescent="0.2">
      <c r="D1" s="115" t="s">
        <v>8</v>
      </c>
      <c r="E1" s="115" t="s">
        <v>0</v>
      </c>
      <c r="F1" s="116" t="s">
        <v>99</v>
      </c>
      <c r="G1" s="117" t="s">
        <v>84</v>
      </c>
      <c r="H1" s="117" t="s">
        <v>85</v>
      </c>
      <c r="I1" s="117" t="s">
        <v>86</v>
      </c>
      <c r="J1" s="117" t="s">
        <v>87</v>
      </c>
      <c r="K1" s="117" t="s">
        <v>88</v>
      </c>
      <c r="L1" s="118" t="s">
        <v>89</v>
      </c>
      <c r="M1" s="118" t="s">
        <v>93</v>
      </c>
      <c r="N1" s="118" t="s">
        <v>92</v>
      </c>
      <c r="O1" s="118" t="s">
        <v>90</v>
      </c>
      <c r="P1" s="118" t="s">
        <v>91</v>
      </c>
      <c r="Q1" s="119" t="s">
        <v>94</v>
      </c>
      <c r="R1" s="119" t="s">
        <v>95</v>
      </c>
      <c r="S1" s="119" t="s">
        <v>96</v>
      </c>
      <c r="T1" s="119" t="s">
        <v>97</v>
      </c>
      <c r="U1" s="119" t="s">
        <v>98</v>
      </c>
      <c r="V1" s="117" t="s">
        <v>100</v>
      </c>
      <c r="W1" s="117" t="s">
        <v>101</v>
      </c>
      <c r="X1" s="117" t="s">
        <v>102</v>
      </c>
      <c r="Y1" s="117" t="s">
        <v>134</v>
      </c>
      <c r="Z1" s="118" t="s">
        <v>103</v>
      </c>
      <c r="AA1" s="118" t="s">
        <v>104</v>
      </c>
      <c r="AB1" s="118" t="s">
        <v>105</v>
      </c>
      <c r="AC1" s="120" t="s">
        <v>135</v>
      </c>
      <c r="AD1" s="119" t="s">
        <v>106</v>
      </c>
      <c r="AE1" s="119" t="s">
        <v>107</v>
      </c>
      <c r="AF1" s="119" t="s">
        <v>108</v>
      </c>
      <c r="AG1" s="119" t="s">
        <v>136</v>
      </c>
      <c r="AH1" s="117" t="s">
        <v>109</v>
      </c>
      <c r="AI1" s="117" t="s">
        <v>111</v>
      </c>
      <c r="AJ1" s="117" t="s">
        <v>110</v>
      </c>
      <c r="AK1" s="118" t="s">
        <v>115</v>
      </c>
      <c r="AL1" s="118" t="s">
        <v>116</v>
      </c>
      <c r="AM1" s="118" t="s">
        <v>117</v>
      </c>
      <c r="AN1" s="119" t="s">
        <v>112</v>
      </c>
      <c r="AO1" s="119" t="s">
        <v>113</v>
      </c>
      <c r="AP1" s="119" t="s">
        <v>114</v>
      </c>
    </row>
    <row r="2" spans="1:42" x14ac:dyDescent="0.15">
      <c r="A2" s="121" t="s">
        <v>74</v>
      </c>
      <c r="B2" s="122">
        <v>1</v>
      </c>
      <c r="D2">
        <v>1</v>
      </c>
      <c r="E2" s="190" t="s">
        <v>192</v>
      </c>
      <c r="F2">
        <v>0.98</v>
      </c>
      <c r="G2">
        <v>0.8</v>
      </c>
      <c r="H2">
        <v>0.8</v>
      </c>
      <c r="I2">
        <v>0.8</v>
      </c>
      <c r="J2" s="112">
        <v>0.25</v>
      </c>
      <c r="K2" s="112">
        <v>0.05</v>
      </c>
    </row>
    <row r="3" spans="1:42" x14ac:dyDescent="0.15">
      <c r="A3" s="121" t="s">
        <v>75</v>
      </c>
      <c r="B3" s="123">
        <v>1</v>
      </c>
      <c r="D3">
        <v>2</v>
      </c>
      <c r="E3" s="190" t="s">
        <v>193</v>
      </c>
      <c r="F3">
        <v>0.98</v>
      </c>
      <c r="G3">
        <v>0.8</v>
      </c>
      <c r="H3">
        <v>0.8</v>
      </c>
      <c r="I3">
        <v>0.8</v>
      </c>
      <c r="J3" s="112">
        <v>0.25</v>
      </c>
      <c r="K3" s="112">
        <v>0.05</v>
      </c>
    </row>
    <row r="4" spans="1:42" x14ac:dyDescent="0.15">
      <c r="A4" s="121" t="s">
        <v>76</v>
      </c>
      <c r="B4" s="123">
        <v>1</v>
      </c>
      <c r="D4">
        <v>3</v>
      </c>
      <c r="E4" s="190" t="s">
        <v>194</v>
      </c>
      <c r="F4">
        <v>0.98</v>
      </c>
      <c r="G4">
        <v>0.8</v>
      </c>
      <c r="H4">
        <v>0.8</v>
      </c>
      <c r="I4">
        <v>0.8</v>
      </c>
      <c r="J4" s="112">
        <v>0.25</v>
      </c>
      <c r="K4" s="112">
        <v>0.05</v>
      </c>
    </row>
    <row r="5" spans="1:42" x14ac:dyDescent="0.15">
      <c r="A5" s="121" t="s">
        <v>77</v>
      </c>
      <c r="B5" s="123">
        <v>1</v>
      </c>
      <c r="D5">
        <v>4</v>
      </c>
      <c r="E5" s="190" t="s">
        <v>195</v>
      </c>
      <c r="F5">
        <v>0.98</v>
      </c>
      <c r="G5">
        <v>0.8</v>
      </c>
      <c r="H5">
        <v>0.8</v>
      </c>
      <c r="I5">
        <v>0.8</v>
      </c>
      <c r="J5" s="112">
        <v>0.25</v>
      </c>
      <c r="K5" s="112">
        <v>0.05</v>
      </c>
    </row>
    <row r="6" spans="1:42" x14ac:dyDescent="0.15">
      <c r="A6" s="121" t="s">
        <v>78</v>
      </c>
      <c r="B6" s="123">
        <v>1</v>
      </c>
      <c r="D6">
        <v>5</v>
      </c>
      <c r="E6" s="190" t="s">
        <v>196</v>
      </c>
      <c r="F6">
        <v>0.98</v>
      </c>
      <c r="G6">
        <v>0.8</v>
      </c>
      <c r="H6">
        <v>0.8</v>
      </c>
      <c r="I6">
        <v>0.8</v>
      </c>
      <c r="J6" s="112">
        <v>0.25</v>
      </c>
      <c r="K6" s="112">
        <v>0.05</v>
      </c>
    </row>
    <row r="7" spans="1:42" x14ac:dyDescent="0.15">
      <c r="A7" s="121" t="s">
        <v>79</v>
      </c>
      <c r="B7" s="123">
        <v>1</v>
      </c>
      <c r="D7">
        <v>6</v>
      </c>
      <c r="E7" s="190" t="s">
        <v>197</v>
      </c>
      <c r="F7">
        <v>0.98</v>
      </c>
      <c r="G7">
        <v>0.8</v>
      </c>
      <c r="H7">
        <v>0.8</v>
      </c>
      <c r="I7">
        <v>0.8</v>
      </c>
      <c r="J7" s="112">
        <v>0.25</v>
      </c>
      <c r="K7" s="112">
        <v>0.05</v>
      </c>
    </row>
    <row r="8" spans="1:42" x14ac:dyDescent="0.15">
      <c r="A8" s="121" t="s">
        <v>80</v>
      </c>
      <c r="B8" s="123">
        <v>1</v>
      </c>
      <c r="D8">
        <v>7</v>
      </c>
      <c r="E8" s="190" t="s">
        <v>198</v>
      </c>
      <c r="F8">
        <v>0.98</v>
      </c>
      <c r="G8">
        <v>0.8</v>
      </c>
      <c r="H8">
        <v>0.8</v>
      </c>
      <c r="I8">
        <v>0.8</v>
      </c>
      <c r="J8" s="112">
        <v>0.25</v>
      </c>
      <c r="K8" s="112">
        <v>0.05</v>
      </c>
    </row>
    <row r="9" spans="1:42" x14ac:dyDescent="0.15">
      <c r="A9" s="121" t="s">
        <v>81</v>
      </c>
      <c r="B9" s="123">
        <v>0.1</v>
      </c>
      <c r="C9" s="60" t="s">
        <v>150</v>
      </c>
      <c r="D9">
        <v>8</v>
      </c>
      <c r="E9" s="190" t="s">
        <v>199</v>
      </c>
      <c r="F9">
        <v>0.98</v>
      </c>
      <c r="G9">
        <v>0.8</v>
      </c>
      <c r="H9">
        <v>0.8</v>
      </c>
      <c r="I9">
        <v>0.8</v>
      </c>
      <c r="J9" s="112">
        <v>0.25</v>
      </c>
      <c r="K9" s="112">
        <v>0.05</v>
      </c>
    </row>
    <row r="10" spans="1:42" ht="14" thickBot="1" x14ac:dyDescent="0.2">
      <c r="A10" s="121" t="s">
        <v>149</v>
      </c>
      <c r="B10" s="124">
        <f>1/3</f>
        <v>0.33333333333333331</v>
      </c>
      <c r="C10" s="60" t="s">
        <v>150</v>
      </c>
      <c r="D10">
        <v>9</v>
      </c>
      <c r="E10" s="190" t="s">
        <v>200</v>
      </c>
      <c r="F10">
        <v>0.98</v>
      </c>
      <c r="G10">
        <v>0.8</v>
      </c>
      <c r="H10">
        <v>0.8</v>
      </c>
      <c r="I10">
        <v>0.8</v>
      </c>
      <c r="J10" s="112">
        <v>0.25</v>
      </c>
      <c r="K10" s="112">
        <v>0.05</v>
      </c>
    </row>
    <row r="11" spans="1:42" x14ac:dyDescent="0.15">
      <c r="D11">
        <v>10</v>
      </c>
      <c r="E11" s="190" t="s">
        <v>201</v>
      </c>
      <c r="F11">
        <v>0.98</v>
      </c>
      <c r="G11">
        <v>0.8</v>
      </c>
      <c r="H11">
        <v>0.8</v>
      </c>
      <c r="I11">
        <v>0.8</v>
      </c>
      <c r="J11" s="112">
        <v>0.25</v>
      </c>
      <c r="K11" s="112">
        <v>0.05</v>
      </c>
    </row>
    <row r="12" spans="1:42" x14ac:dyDescent="0.15">
      <c r="D12">
        <v>11</v>
      </c>
      <c r="E12" s="190" t="s">
        <v>202</v>
      </c>
      <c r="F12">
        <v>0.98</v>
      </c>
      <c r="G12">
        <v>0.8</v>
      </c>
      <c r="H12">
        <v>0.8</v>
      </c>
      <c r="I12">
        <v>0.8</v>
      </c>
      <c r="J12" s="112">
        <v>0.25</v>
      </c>
      <c r="K12" s="112">
        <v>0.05</v>
      </c>
    </row>
    <row r="13" spans="1:42" x14ac:dyDescent="0.15">
      <c r="D13">
        <v>12</v>
      </c>
      <c r="E13" s="190" t="s">
        <v>203</v>
      </c>
      <c r="F13">
        <v>0.98</v>
      </c>
      <c r="G13">
        <v>0.8</v>
      </c>
      <c r="H13">
        <v>0.8</v>
      </c>
      <c r="I13">
        <v>0.8</v>
      </c>
      <c r="J13" s="112">
        <v>0.25</v>
      </c>
      <c r="K13" s="112">
        <v>0.05</v>
      </c>
    </row>
    <row r="14" spans="1:42" x14ac:dyDescent="0.15">
      <c r="D14">
        <v>13</v>
      </c>
      <c r="E14" s="190" t="s">
        <v>204</v>
      </c>
      <c r="F14">
        <v>0.98</v>
      </c>
      <c r="G14">
        <v>0.8</v>
      </c>
      <c r="H14">
        <v>0.8</v>
      </c>
      <c r="I14">
        <v>0.8</v>
      </c>
      <c r="J14" s="112">
        <v>0.25</v>
      </c>
      <c r="K14" s="112">
        <v>0.05</v>
      </c>
    </row>
    <row r="15" spans="1:42" x14ac:dyDescent="0.15">
      <c r="D15">
        <v>14</v>
      </c>
      <c r="E15" s="190" t="s">
        <v>205</v>
      </c>
      <c r="F15">
        <v>0.98</v>
      </c>
      <c r="G15">
        <v>0.8</v>
      </c>
      <c r="H15">
        <v>0.8</v>
      </c>
      <c r="I15">
        <v>0.8</v>
      </c>
      <c r="J15" s="112">
        <v>0.25</v>
      </c>
      <c r="K15" s="112">
        <v>0.05</v>
      </c>
    </row>
    <row r="16" spans="1:42" x14ac:dyDescent="0.15">
      <c r="D16">
        <v>15</v>
      </c>
      <c r="E16" s="190" t="s">
        <v>206</v>
      </c>
      <c r="F16">
        <v>0.98</v>
      </c>
      <c r="G16">
        <v>0.8</v>
      </c>
      <c r="H16">
        <v>0.8</v>
      </c>
      <c r="I16">
        <v>0.8</v>
      </c>
      <c r="J16" s="112">
        <v>0.25</v>
      </c>
      <c r="K16" s="112">
        <v>0.05</v>
      </c>
    </row>
    <row r="17" spans="4:33" ht="15" customHeight="1" x14ac:dyDescent="0.15">
      <c r="D17">
        <v>16</v>
      </c>
      <c r="E17" s="190" t="s">
        <v>207</v>
      </c>
      <c r="F17">
        <v>0.98</v>
      </c>
      <c r="G17">
        <v>0.8</v>
      </c>
      <c r="H17">
        <v>0.8</v>
      </c>
      <c r="I17">
        <v>0.8</v>
      </c>
      <c r="J17" s="112">
        <v>0.25</v>
      </c>
      <c r="K17" s="112">
        <v>0.05</v>
      </c>
    </row>
    <row r="18" spans="4:33" ht="15" customHeight="1" x14ac:dyDescent="0.15">
      <c r="D18">
        <v>17</v>
      </c>
      <c r="E18" s="190" t="s">
        <v>208</v>
      </c>
      <c r="F18">
        <v>0.98</v>
      </c>
      <c r="G18">
        <v>0.8</v>
      </c>
      <c r="H18">
        <v>0.8</v>
      </c>
      <c r="I18">
        <v>0.8</v>
      </c>
      <c r="J18" s="112">
        <v>0.25</v>
      </c>
      <c r="K18" s="112">
        <v>0.05</v>
      </c>
    </row>
    <row r="19" spans="4:33" ht="15" customHeight="1" x14ac:dyDescent="0.15">
      <c r="D19">
        <v>18</v>
      </c>
      <c r="E19" s="190" t="s">
        <v>209</v>
      </c>
      <c r="F19">
        <v>0.98</v>
      </c>
      <c r="G19">
        <v>0.8</v>
      </c>
      <c r="H19">
        <v>0.8</v>
      </c>
      <c r="I19">
        <v>0.8</v>
      </c>
      <c r="J19" s="112">
        <v>0.25</v>
      </c>
      <c r="K19" s="112">
        <v>0.05</v>
      </c>
    </row>
    <row r="20" spans="4:33" ht="15" customHeight="1" x14ac:dyDescent="0.15">
      <c r="D20">
        <v>19</v>
      </c>
      <c r="E20" s="190" t="s">
        <v>210</v>
      </c>
      <c r="F20">
        <v>0.98</v>
      </c>
      <c r="G20">
        <v>0.8</v>
      </c>
      <c r="H20">
        <v>0.8</v>
      </c>
      <c r="I20">
        <v>0.8</v>
      </c>
      <c r="J20" s="112">
        <v>0.25</v>
      </c>
      <c r="K20" s="112">
        <v>0.05</v>
      </c>
    </row>
    <row r="21" spans="4:33" ht="15" customHeight="1" x14ac:dyDescent="0.15">
      <c r="D21">
        <v>20</v>
      </c>
      <c r="E21" s="190" t="s">
        <v>211</v>
      </c>
      <c r="F21">
        <v>0.98</v>
      </c>
      <c r="G21">
        <v>0.8</v>
      </c>
      <c r="H21">
        <v>0.8</v>
      </c>
      <c r="I21">
        <v>0.8</v>
      </c>
      <c r="J21" s="112">
        <v>0.25</v>
      </c>
      <c r="K21" s="112">
        <v>0.05</v>
      </c>
    </row>
    <row r="22" spans="4:33" ht="15" customHeight="1" x14ac:dyDescent="0.15">
      <c r="D22">
        <v>21</v>
      </c>
      <c r="E22" s="190" t="s">
        <v>212</v>
      </c>
      <c r="F22">
        <v>0.98</v>
      </c>
      <c r="G22">
        <v>0.8</v>
      </c>
      <c r="H22">
        <v>0.8</v>
      </c>
      <c r="I22">
        <v>0.8</v>
      </c>
      <c r="J22" s="112">
        <v>0.25</v>
      </c>
      <c r="K22" s="112">
        <v>0.05</v>
      </c>
    </row>
    <row r="23" spans="4:33" ht="15" customHeight="1" x14ac:dyDescent="0.15">
      <c r="D23">
        <v>22</v>
      </c>
      <c r="E23" s="190" t="s">
        <v>213</v>
      </c>
      <c r="F23">
        <v>0.98</v>
      </c>
      <c r="G23">
        <v>0.8</v>
      </c>
      <c r="H23">
        <v>0.8</v>
      </c>
      <c r="I23">
        <v>0.8</v>
      </c>
      <c r="J23" s="112">
        <v>0.25</v>
      </c>
      <c r="K23" s="112">
        <v>0.05</v>
      </c>
    </row>
    <row r="24" spans="4:33" ht="15" customHeight="1" x14ac:dyDescent="0.15">
      <c r="D24">
        <v>23</v>
      </c>
      <c r="E24" s="190" t="s">
        <v>214</v>
      </c>
      <c r="F24">
        <v>0.98</v>
      </c>
      <c r="G24">
        <v>0.8</v>
      </c>
      <c r="H24">
        <v>0.8</v>
      </c>
      <c r="I24">
        <v>0.8</v>
      </c>
      <c r="J24" s="112">
        <v>0.25</v>
      </c>
      <c r="K24" s="112">
        <v>0.05</v>
      </c>
    </row>
    <row r="25" spans="4:33" ht="15" customHeight="1" x14ac:dyDescent="0.15">
      <c r="D25">
        <v>24</v>
      </c>
      <c r="E25" s="190" t="s">
        <v>215</v>
      </c>
      <c r="F25">
        <v>0.98</v>
      </c>
      <c r="G25">
        <v>0.8</v>
      </c>
      <c r="H25">
        <v>0.8</v>
      </c>
      <c r="I25">
        <v>0.8</v>
      </c>
      <c r="J25" s="112">
        <v>0.25</v>
      </c>
      <c r="K25" s="112">
        <v>0.05</v>
      </c>
    </row>
    <row r="26" spans="4:33" ht="15" customHeight="1" x14ac:dyDescent="0.15">
      <c r="D26">
        <v>25</v>
      </c>
      <c r="E26" s="190" t="s">
        <v>216</v>
      </c>
      <c r="F26">
        <v>0.98</v>
      </c>
      <c r="G26">
        <v>0.8</v>
      </c>
      <c r="H26">
        <v>0.8</v>
      </c>
      <c r="I26">
        <v>0.8</v>
      </c>
      <c r="J26" s="112">
        <v>0.25</v>
      </c>
      <c r="K26" s="112">
        <v>0.05</v>
      </c>
    </row>
    <row r="27" spans="4:33" ht="15" customHeight="1" x14ac:dyDescent="0.15">
      <c r="D27">
        <v>26</v>
      </c>
      <c r="E27" s="190" t="s">
        <v>217</v>
      </c>
      <c r="F27">
        <v>0.98</v>
      </c>
      <c r="G27">
        <v>0.8</v>
      </c>
      <c r="H27">
        <v>0.8</v>
      </c>
      <c r="I27">
        <v>0.8</v>
      </c>
      <c r="J27" s="112">
        <v>0.25</v>
      </c>
      <c r="K27" s="112">
        <v>0.05</v>
      </c>
    </row>
    <row r="28" spans="4:33" ht="15" customHeight="1" x14ac:dyDescent="0.15">
      <c r="D28">
        <v>27</v>
      </c>
      <c r="E28" s="190" t="s">
        <v>218</v>
      </c>
      <c r="F28">
        <v>0.98</v>
      </c>
      <c r="G28">
        <v>0.8</v>
      </c>
      <c r="H28">
        <v>0.8</v>
      </c>
      <c r="I28">
        <v>0.8</v>
      </c>
      <c r="J28" s="112">
        <v>0.25</v>
      </c>
      <c r="K28" s="112">
        <v>0.05</v>
      </c>
    </row>
    <row r="29" spans="4:33" ht="15" customHeight="1" x14ac:dyDescent="0.15">
      <c r="D29">
        <v>28</v>
      </c>
      <c r="E29" s="190" t="s">
        <v>219</v>
      </c>
      <c r="F29">
        <v>0.98</v>
      </c>
      <c r="G29">
        <v>0.8</v>
      </c>
      <c r="H29">
        <v>0.8</v>
      </c>
      <c r="I29">
        <v>0.8</v>
      </c>
      <c r="J29" s="112">
        <v>0.25</v>
      </c>
      <c r="K29" s="112">
        <v>0.05</v>
      </c>
      <c r="Y29"/>
      <c r="AC29"/>
      <c r="AG29"/>
    </row>
    <row r="30" spans="4:33" ht="15" customHeight="1" x14ac:dyDescent="0.15">
      <c r="D30">
        <v>29</v>
      </c>
      <c r="E30" s="190" t="s">
        <v>220</v>
      </c>
      <c r="F30">
        <v>0.98</v>
      </c>
      <c r="G30">
        <v>0.8</v>
      </c>
      <c r="H30">
        <v>0.8</v>
      </c>
      <c r="I30">
        <v>0.8</v>
      </c>
      <c r="J30" s="112">
        <v>0.25</v>
      </c>
      <c r="K30" s="112">
        <v>0.05</v>
      </c>
      <c r="Y30"/>
      <c r="AC30"/>
      <c r="AG30"/>
    </row>
    <row r="31" spans="4:33" ht="15" customHeight="1" x14ac:dyDescent="0.15">
      <c r="D31">
        <v>30</v>
      </c>
      <c r="E31" s="190" t="s">
        <v>221</v>
      </c>
      <c r="F31">
        <v>0.98</v>
      </c>
      <c r="G31">
        <v>0.8</v>
      </c>
      <c r="H31">
        <v>0.8</v>
      </c>
      <c r="I31">
        <v>0.8</v>
      </c>
      <c r="J31" s="112">
        <v>0.25</v>
      </c>
      <c r="K31" s="112">
        <v>0.05</v>
      </c>
      <c r="Y31"/>
      <c r="AC31"/>
      <c r="AG31"/>
    </row>
    <row r="32" spans="4:33" ht="15" customHeight="1" x14ac:dyDescent="0.15">
      <c r="D32">
        <v>31</v>
      </c>
      <c r="E32" s="190" t="s">
        <v>222</v>
      </c>
      <c r="F32">
        <v>0.98</v>
      </c>
      <c r="G32">
        <v>0.8</v>
      </c>
      <c r="H32">
        <v>0.8</v>
      </c>
      <c r="I32">
        <v>0.8</v>
      </c>
      <c r="J32" s="112">
        <v>0.25</v>
      </c>
      <c r="K32" s="112">
        <v>0.05</v>
      </c>
      <c r="Y32"/>
      <c r="AC32"/>
      <c r="AG32"/>
    </row>
    <row r="33" spans="4:33" ht="15" customHeight="1" x14ac:dyDescent="0.15">
      <c r="D33">
        <v>32</v>
      </c>
      <c r="E33" s="190" t="s">
        <v>223</v>
      </c>
      <c r="F33">
        <v>0.98</v>
      </c>
      <c r="G33">
        <v>0.8</v>
      </c>
      <c r="H33">
        <v>0.8</v>
      </c>
      <c r="I33">
        <v>0.8</v>
      </c>
      <c r="J33" s="112">
        <v>0.25</v>
      </c>
      <c r="K33" s="112">
        <v>0.05</v>
      </c>
      <c r="Y33"/>
      <c r="AC33"/>
      <c r="AG33"/>
    </row>
    <row r="34" spans="4:33" ht="15" customHeight="1" x14ac:dyDescent="0.15">
      <c r="D34">
        <v>33</v>
      </c>
      <c r="E34" s="190" t="s">
        <v>224</v>
      </c>
      <c r="F34">
        <v>0.98</v>
      </c>
      <c r="G34">
        <v>0.8</v>
      </c>
      <c r="H34">
        <v>0.8</v>
      </c>
      <c r="I34">
        <v>0.8</v>
      </c>
      <c r="J34" s="112">
        <v>0.25</v>
      </c>
      <c r="K34" s="112">
        <v>0.05</v>
      </c>
      <c r="Y34"/>
      <c r="AC34"/>
      <c r="AG34"/>
    </row>
    <row r="35" spans="4:33" ht="15" customHeight="1" x14ac:dyDescent="0.15">
      <c r="D35">
        <v>34</v>
      </c>
      <c r="E35" s="190" t="s">
        <v>225</v>
      </c>
      <c r="F35">
        <v>0.98</v>
      </c>
      <c r="G35">
        <v>0.8</v>
      </c>
      <c r="H35">
        <v>0.8</v>
      </c>
      <c r="I35">
        <v>0.8</v>
      </c>
      <c r="J35" s="112">
        <v>0.25</v>
      </c>
      <c r="K35" s="112">
        <v>0.05</v>
      </c>
      <c r="Y35"/>
      <c r="AC35"/>
      <c r="AG35"/>
    </row>
    <row r="36" spans="4:33" ht="15" customHeight="1" x14ac:dyDescent="0.15">
      <c r="D36">
        <v>35</v>
      </c>
      <c r="E36" s="190" t="s">
        <v>226</v>
      </c>
      <c r="F36">
        <v>0.98</v>
      </c>
      <c r="G36">
        <v>0.8</v>
      </c>
      <c r="H36">
        <v>0.8</v>
      </c>
      <c r="I36">
        <v>0.8</v>
      </c>
      <c r="J36" s="112">
        <v>0.25</v>
      </c>
      <c r="K36" s="112">
        <v>0.05</v>
      </c>
      <c r="Y36"/>
      <c r="AC36"/>
      <c r="AG36"/>
    </row>
    <row r="37" spans="4:33" ht="15" customHeight="1" x14ac:dyDescent="0.15">
      <c r="D37">
        <v>36</v>
      </c>
      <c r="E37" s="190" t="s">
        <v>227</v>
      </c>
      <c r="F37">
        <v>0.98</v>
      </c>
      <c r="G37">
        <v>0.8</v>
      </c>
      <c r="H37">
        <v>0.8</v>
      </c>
      <c r="I37">
        <v>0.8</v>
      </c>
      <c r="J37" s="112">
        <v>0.25</v>
      </c>
      <c r="K37" s="112">
        <v>0.05</v>
      </c>
      <c r="Y37"/>
      <c r="AC37"/>
      <c r="AG37"/>
    </row>
    <row r="38" spans="4:33" ht="15" customHeight="1" x14ac:dyDescent="0.15">
      <c r="D38">
        <v>37</v>
      </c>
      <c r="E38" s="190" t="s">
        <v>228</v>
      </c>
      <c r="F38">
        <v>0.98</v>
      </c>
      <c r="G38">
        <v>0.8</v>
      </c>
      <c r="H38">
        <v>0.8</v>
      </c>
      <c r="I38">
        <v>0.8</v>
      </c>
      <c r="J38" s="112">
        <v>0.25</v>
      </c>
      <c r="K38" s="112">
        <v>0.05</v>
      </c>
      <c r="Y38"/>
      <c r="AC38"/>
      <c r="AG38"/>
    </row>
    <row r="39" spans="4:33" ht="15" customHeight="1" x14ac:dyDescent="0.15">
      <c r="D39">
        <v>38</v>
      </c>
      <c r="E39" s="190" t="s">
        <v>229</v>
      </c>
      <c r="F39">
        <v>0.98</v>
      </c>
      <c r="G39">
        <v>0.8</v>
      </c>
      <c r="H39">
        <v>0.8</v>
      </c>
      <c r="I39">
        <v>0.8</v>
      </c>
      <c r="J39" s="112">
        <v>0.25</v>
      </c>
      <c r="K39" s="112">
        <v>0.05</v>
      </c>
    </row>
    <row r="40" spans="4:33" ht="15" customHeight="1" x14ac:dyDescent="0.15">
      <c r="D40">
        <v>39</v>
      </c>
      <c r="E40" s="190" t="s">
        <v>230</v>
      </c>
      <c r="F40">
        <v>0.98</v>
      </c>
      <c r="G40">
        <v>0.8</v>
      </c>
      <c r="H40">
        <v>0.8</v>
      </c>
      <c r="I40">
        <v>0.8</v>
      </c>
      <c r="J40" s="112">
        <v>0.25</v>
      </c>
      <c r="K40" s="112">
        <v>0.05</v>
      </c>
      <c r="Y40"/>
      <c r="AC40"/>
      <c r="AG40"/>
    </row>
    <row r="41" spans="4:33" ht="15" customHeight="1" x14ac:dyDescent="0.15">
      <c r="D41">
        <v>40</v>
      </c>
      <c r="E41" s="190" t="s">
        <v>231</v>
      </c>
      <c r="F41">
        <v>0.98</v>
      </c>
      <c r="G41">
        <v>0.8</v>
      </c>
      <c r="H41">
        <v>0.8</v>
      </c>
      <c r="I41">
        <v>0.8</v>
      </c>
      <c r="J41" s="112">
        <v>0.25</v>
      </c>
      <c r="K41" s="112">
        <v>0.05</v>
      </c>
      <c r="Y41"/>
      <c r="AC41"/>
      <c r="AG41"/>
    </row>
    <row r="42" spans="4:33" ht="15" customHeight="1" x14ac:dyDescent="0.15">
      <c r="D42">
        <v>41</v>
      </c>
      <c r="E42" s="190" t="s">
        <v>232</v>
      </c>
      <c r="F42">
        <v>0.98</v>
      </c>
      <c r="G42">
        <v>0.8</v>
      </c>
      <c r="H42">
        <v>0.8</v>
      </c>
      <c r="I42">
        <v>0.8</v>
      </c>
      <c r="J42" s="112">
        <v>0.25</v>
      </c>
      <c r="K42" s="112">
        <v>0.05</v>
      </c>
      <c r="Y42"/>
      <c r="AC42"/>
      <c r="AG42"/>
    </row>
    <row r="43" spans="4:33" ht="15" customHeight="1" x14ac:dyDescent="0.15">
      <c r="D43">
        <v>42</v>
      </c>
      <c r="E43" s="190" t="s">
        <v>233</v>
      </c>
      <c r="F43">
        <v>0.98</v>
      </c>
      <c r="G43">
        <v>0.8</v>
      </c>
      <c r="H43">
        <v>0.8</v>
      </c>
      <c r="I43">
        <v>0.8</v>
      </c>
      <c r="J43" s="112">
        <v>0.25</v>
      </c>
      <c r="K43" s="112">
        <v>0.05</v>
      </c>
      <c r="Y43"/>
      <c r="AC43"/>
      <c r="AG43"/>
    </row>
    <row r="44" spans="4:33" ht="15" customHeight="1" x14ac:dyDescent="0.15">
      <c r="D44">
        <v>43</v>
      </c>
      <c r="E44" s="190" t="s">
        <v>234</v>
      </c>
      <c r="F44">
        <v>0.98</v>
      </c>
      <c r="G44">
        <v>0.8</v>
      </c>
      <c r="H44">
        <v>0.8</v>
      </c>
      <c r="I44">
        <v>0</v>
      </c>
      <c r="J44" s="112">
        <v>0</v>
      </c>
      <c r="K44" s="112">
        <v>0</v>
      </c>
      <c r="Y44"/>
      <c r="AC44"/>
      <c r="AG44"/>
    </row>
    <row r="45" spans="4:33" ht="15" customHeight="1" x14ac:dyDescent="0.15">
      <c r="D45">
        <v>44</v>
      </c>
      <c r="E45" s="190" t="s">
        <v>235</v>
      </c>
      <c r="F45">
        <v>0.98</v>
      </c>
      <c r="G45">
        <v>0.8</v>
      </c>
      <c r="H45">
        <v>0</v>
      </c>
      <c r="I45">
        <v>0</v>
      </c>
      <c r="J45" s="112">
        <v>0</v>
      </c>
      <c r="K45" s="112">
        <v>0</v>
      </c>
      <c r="Y45"/>
      <c r="AC45"/>
      <c r="AG45"/>
    </row>
    <row r="46" spans="4:33" ht="15" customHeight="1" x14ac:dyDescent="0.15">
      <c r="D46">
        <v>45</v>
      </c>
      <c r="E46" s="190" t="s">
        <v>236</v>
      </c>
      <c r="F46">
        <v>0.98</v>
      </c>
      <c r="G46">
        <v>0.8</v>
      </c>
      <c r="H46">
        <v>0</v>
      </c>
      <c r="I46">
        <v>0</v>
      </c>
      <c r="J46" s="112">
        <v>0</v>
      </c>
      <c r="K46" s="112">
        <v>0</v>
      </c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T47"/>
  <sheetViews>
    <sheetView workbookViewId="0">
      <selection activeCell="A3" sqref="A3"/>
    </sheetView>
  </sheetViews>
  <sheetFormatPr baseColWidth="10" defaultRowHeight="13" x14ac:dyDescent="0.15"/>
  <cols>
    <col min="1" max="1" width="27.5" style="110" bestFit="1" customWidth="1"/>
    <col min="2" max="43" width="3.83203125" style="110" customWidth="1"/>
    <col min="44" max="46" width="2.33203125" style="110" customWidth="1"/>
    <col min="47" max="16384" width="10.83203125" style="110"/>
  </cols>
  <sheetData>
    <row r="1" spans="1:46" x14ac:dyDescent="0.15">
      <c r="A1" s="62" t="s">
        <v>118</v>
      </c>
      <c r="B1" s="192" t="s">
        <v>192</v>
      </c>
      <c r="C1" s="192" t="s">
        <v>193</v>
      </c>
      <c r="D1" s="192" t="s">
        <v>194</v>
      </c>
      <c r="E1" s="192" t="s">
        <v>195</v>
      </c>
      <c r="F1" s="192" t="s">
        <v>196</v>
      </c>
      <c r="G1" s="192" t="s">
        <v>197</v>
      </c>
      <c r="H1" s="192" t="s">
        <v>198</v>
      </c>
      <c r="I1" s="192" t="s">
        <v>199</v>
      </c>
      <c r="J1" s="192" t="s">
        <v>200</v>
      </c>
      <c r="K1" s="192" t="s">
        <v>201</v>
      </c>
      <c r="L1" s="192" t="s">
        <v>202</v>
      </c>
      <c r="M1" s="192" t="s">
        <v>203</v>
      </c>
      <c r="N1" s="192" t="s">
        <v>204</v>
      </c>
      <c r="O1" s="192" t="s">
        <v>205</v>
      </c>
      <c r="P1" s="192" t="s">
        <v>206</v>
      </c>
      <c r="Q1" s="192" t="s">
        <v>207</v>
      </c>
      <c r="R1" s="192" t="s">
        <v>208</v>
      </c>
      <c r="S1" s="192" t="s">
        <v>209</v>
      </c>
      <c r="T1" s="192" t="s">
        <v>210</v>
      </c>
      <c r="U1" s="192" t="s">
        <v>211</v>
      </c>
      <c r="V1" s="192" t="s">
        <v>212</v>
      </c>
      <c r="W1" s="192" t="s">
        <v>213</v>
      </c>
      <c r="X1" s="192" t="s">
        <v>214</v>
      </c>
      <c r="Y1" s="192" t="s">
        <v>215</v>
      </c>
      <c r="Z1" s="192" t="s">
        <v>216</v>
      </c>
      <c r="AA1" s="192" t="s">
        <v>217</v>
      </c>
      <c r="AB1" s="192" t="s">
        <v>218</v>
      </c>
      <c r="AC1" s="192" t="s">
        <v>219</v>
      </c>
      <c r="AD1" s="192" t="s">
        <v>220</v>
      </c>
      <c r="AE1" s="192" t="s">
        <v>221</v>
      </c>
      <c r="AF1" s="192" t="s">
        <v>222</v>
      </c>
      <c r="AG1" s="192" t="s">
        <v>223</v>
      </c>
      <c r="AH1" s="192" t="s">
        <v>224</v>
      </c>
      <c r="AI1" s="192" t="s">
        <v>225</v>
      </c>
      <c r="AJ1" s="192" t="s">
        <v>226</v>
      </c>
      <c r="AK1" s="192" t="s">
        <v>227</v>
      </c>
      <c r="AL1" s="192" t="s">
        <v>228</v>
      </c>
      <c r="AM1" s="192" t="s">
        <v>229</v>
      </c>
      <c r="AN1" s="192" t="s">
        <v>230</v>
      </c>
      <c r="AO1" s="192" t="s">
        <v>231</v>
      </c>
      <c r="AP1" s="192" t="s">
        <v>232</v>
      </c>
      <c r="AQ1" s="192" t="s">
        <v>233</v>
      </c>
      <c r="AR1" s="192" t="s">
        <v>234</v>
      </c>
      <c r="AS1" s="192" t="s">
        <v>235</v>
      </c>
      <c r="AT1" s="192" t="s">
        <v>236</v>
      </c>
    </row>
    <row r="2" spans="1:46" customFormat="1" x14ac:dyDescent="0.15">
      <c r="A2" s="191" t="s">
        <v>192</v>
      </c>
      <c r="B2" s="110">
        <v>0</v>
      </c>
      <c r="C2" s="110">
        <v>0</v>
      </c>
      <c r="D2" s="110">
        <v>0</v>
      </c>
      <c r="E2" s="110">
        <v>0</v>
      </c>
      <c r="F2" s="110">
        <v>0.8</v>
      </c>
      <c r="G2" s="110">
        <v>0.8</v>
      </c>
      <c r="H2" s="110">
        <v>0</v>
      </c>
      <c r="I2" s="110">
        <v>0</v>
      </c>
      <c r="J2" s="110">
        <v>0</v>
      </c>
      <c r="K2" s="110">
        <v>0</v>
      </c>
      <c r="L2" s="110">
        <v>0</v>
      </c>
      <c r="M2" s="110">
        <v>0</v>
      </c>
      <c r="N2" s="110">
        <v>0</v>
      </c>
      <c r="O2" s="110">
        <v>0</v>
      </c>
      <c r="P2" s="110">
        <v>0</v>
      </c>
      <c r="Q2" s="110">
        <v>0</v>
      </c>
      <c r="R2" s="110">
        <v>0</v>
      </c>
      <c r="S2" s="110">
        <v>0</v>
      </c>
      <c r="T2" s="110">
        <v>0</v>
      </c>
      <c r="U2" s="110">
        <v>0</v>
      </c>
      <c r="V2" s="110">
        <v>0</v>
      </c>
      <c r="W2" s="110">
        <v>0</v>
      </c>
      <c r="X2" s="110">
        <v>0</v>
      </c>
      <c r="Y2" s="110">
        <v>0</v>
      </c>
      <c r="Z2" s="110">
        <v>0</v>
      </c>
      <c r="AA2" s="110">
        <v>0</v>
      </c>
      <c r="AB2" s="110">
        <v>0</v>
      </c>
      <c r="AC2" s="110">
        <v>0</v>
      </c>
      <c r="AD2" s="110">
        <v>0</v>
      </c>
      <c r="AE2" s="110">
        <v>0</v>
      </c>
      <c r="AF2" s="110">
        <v>0</v>
      </c>
      <c r="AG2" s="110">
        <v>0</v>
      </c>
      <c r="AH2" s="110">
        <v>0</v>
      </c>
      <c r="AI2" s="110">
        <v>0</v>
      </c>
      <c r="AJ2" s="110">
        <v>0</v>
      </c>
      <c r="AK2" s="110">
        <v>0</v>
      </c>
      <c r="AL2" s="110">
        <v>0</v>
      </c>
      <c r="AM2" s="110">
        <v>0</v>
      </c>
      <c r="AN2" s="110">
        <v>0</v>
      </c>
      <c r="AO2" s="110">
        <v>0</v>
      </c>
      <c r="AP2" s="110">
        <v>0</v>
      </c>
      <c r="AQ2" s="110">
        <v>0</v>
      </c>
      <c r="AR2" s="110">
        <v>0</v>
      </c>
      <c r="AS2" s="110">
        <v>0</v>
      </c>
      <c r="AT2" s="110">
        <v>0</v>
      </c>
    </row>
    <row r="3" spans="1:46" customFormat="1" x14ac:dyDescent="0.15">
      <c r="A3" s="191" t="s">
        <v>193</v>
      </c>
      <c r="B3" s="110">
        <v>0</v>
      </c>
      <c r="C3" s="110">
        <v>0.8</v>
      </c>
      <c r="D3" s="110">
        <v>0</v>
      </c>
      <c r="E3" s="110">
        <v>0</v>
      </c>
      <c r="F3" s="110">
        <v>0.8</v>
      </c>
      <c r="G3" s="110">
        <v>0.8</v>
      </c>
      <c r="H3" s="110">
        <v>0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10">
        <v>0</v>
      </c>
      <c r="P3" s="110">
        <v>0</v>
      </c>
      <c r="Q3" s="110">
        <v>0</v>
      </c>
      <c r="R3" s="110">
        <v>0</v>
      </c>
      <c r="S3" s="110">
        <v>0</v>
      </c>
      <c r="T3" s="110">
        <v>0</v>
      </c>
      <c r="U3" s="110">
        <v>0</v>
      </c>
      <c r="V3" s="110">
        <v>0</v>
      </c>
      <c r="W3" s="110">
        <v>0</v>
      </c>
      <c r="X3" s="110">
        <v>0</v>
      </c>
      <c r="Y3" s="110">
        <v>0</v>
      </c>
      <c r="Z3" s="110">
        <v>0</v>
      </c>
      <c r="AA3" s="110">
        <v>0</v>
      </c>
      <c r="AB3" s="110">
        <v>0</v>
      </c>
      <c r="AC3" s="110">
        <v>0</v>
      </c>
      <c r="AD3" s="110">
        <v>0</v>
      </c>
      <c r="AE3" s="110">
        <v>0</v>
      </c>
      <c r="AF3" s="110">
        <v>0</v>
      </c>
      <c r="AG3" s="110">
        <v>0</v>
      </c>
      <c r="AH3" s="110">
        <v>0</v>
      </c>
      <c r="AI3" s="110">
        <v>0</v>
      </c>
      <c r="AJ3" s="110">
        <v>0</v>
      </c>
      <c r="AK3" s="110">
        <v>0</v>
      </c>
      <c r="AL3" s="110">
        <v>0</v>
      </c>
      <c r="AM3" s="110">
        <v>0</v>
      </c>
      <c r="AN3" s="110">
        <v>0</v>
      </c>
      <c r="AO3" s="110">
        <v>0</v>
      </c>
      <c r="AP3" s="110">
        <v>0</v>
      </c>
      <c r="AQ3" s="110">
        <v>0</v>
      </c>
      <c r="AR3" s="110">
        <v>0</v>
      </c>
      <c r="AS3" s="110">
        <v>0</v>
      </c>
      <c r="AT3" s="110">
        <v>0</v>
      </c>
    </row>
    <row r="4" spans="1:46" customFormat="1" x14ac:dyDescent="0.15">
      <c r="A4" s="191" t="s">
        <v>194</v>
      </c>
      <c r="B4" s="110">
        <v>0</v>
      </c>
      <c r="C4" s="110">
        <v>0.8</v>
      </c>
      <c r="D4" s="110">
        <v>0</v>
      </c>
      <c r="E4" s="110">
        <v>0</v>
      </c>
      <c r="F4" s="110">
        <v>0</v>
      </c>
      <c r="G4" s="110">
        <v>0.8</v>
      </c>
      <c r="H4" s="110">
        <v>0</v>
      </c>
      <c r="I4" s="110">
        <v>0</v>
      </c>
      <c r="J4" s="110">
        <v>0</v>
      </c>
      <c r="K4" s="110">
        <v>0</v>
      </c>
      <c r="L4" s="110">
        <v>0</v>
      </c>
      <c r="M4" s="110">
        <v>0</v>
      </c>
      <c r="N4" s="110">
        <v>0</v>
      </c>
      <c r="O4" s="110">
        <v>0</v>
      </c>
      <c r="P4" s="110">
        <v>0</v>
      </c>
      <c r="Q4" s="110">
        <v>0</v>
      </c>
      <c r="R4" s="110">
        <v>0</v>
      </c>
      <c r="S4" s="110">
        <v>0</v>
      </c>
      <c r="T4" s="110">
        <v>0</v>
      </c>
      <c r="U4" s="110">
        <v>0</v>
      </c>
      <c r="V4" s="110">
        <v>0.8</v>
      </c>
      <c r="W4" s="110">
        <v>0</v>
      </c>
      <c r="X4" s="110">
        <v>0</v>
      </c>
      <c r="Y4" s="110">
        <v>0</v>
      </c>
      <c r="Z4" s="110">
        <v>0</v>
      </c>
      <c r="AA4" s="110">
        <v>0</v>
      </c>
      <c r="AB4" s="110">
        <v>0</v>
      </c>
      <c r="AC4" s="110">
        <v>0</v>
      </c>
      <c r="AD4" s="110">
        <v>0</v>
      </c>
      <c r="AE4" s="110">
        <v>0</v>
      </c>
      <c r="AF4" s="110">
        <v>0</v>
      </c>
      <c r="AG4" s="110">
        <v>0</v>
      </c>
      <c r="AH4" s="110">
        <v>0</v>
      </c>
      <c r="AI4" s="110">
        <v>0</v>
      </c>
      <c r="AJ4" s="110">
        <v>0</v>
      </c>
      <c r="AK4" s="110">
        <v>0</v>
      </c>
      <c r="AL4" s="110">
        <v>0</v>
      </c>
      <c r="AM4" s="110">
        <v>0</v>
      </c>
      <c r="AN4" s="110">
        <v>0</v>
      </c>
      <c r="AO4" s="110">
        <v>0</v>
      </c>
      <c r="AP4" s="110">
        <v>0</v>
      </c>
      <c r="AQ4" s="110">
        <v>0</v>
      </c>
      <c r="AR4" s="110">
        <v>0</v>
      </c>
      <c r="AS4" s="110">
        <v>0</v>
      </c>
      <c r="AT4" s="110">
        <v>0</v>
      </c>
    </row>
    <row r="5" spans="1:46" customFormat="1" x14ac:dyDescent="0.15">
      <c r="A5" s="191" t="s">
        <v>195</v>
      </c>
      <c r="B5" s="110">
        <v>0</v>
      </c>
      <c r="C5" s="110">
        <v>0</v>
      </c>
      <c r="D5" s="110">
        <v>0</v>
      </c>
      <c r="E5" s="110">
        <v>0</v>
      </c>
      <c r="F5" s="110">
        <v>0</v>
      </c>
      <c r="G5" s="110">
        <v>0.8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</row>
    <row r="6" spans="1:46" customFormat="1" x14ac:dyDescent="0.15">
      <c r="A6" s="191" t="s">
        <v>196</v>
      </c>
      <c r="B6" s="110">
        <v>0</v>
      </c>
      <c r="C6" s="110">
        <v>0</v>
      </c>
      <c r="D6" s="110">
        <v>0</v>
      </c>
      <c r="E6" s="110">
        <v>0</v>
      </c>
      <c r="F6" s="110">
        <v>0</v>
      </c>
      <c r="G6" s="110">
        <v>0.8</v>
      </c>
      <c r="H6" s="110">
        <v>0</v>
      </c>
      <c r="I6" s="110">
        <v>0</v>
      </c>
      <c r="J6" s="110">
        <v>0</v>
      </c>
      <c r="K6" s="110">
        <v>0</v>
      </c>
      <c r="L6" s="110">
        <v>0</v>
      </c>
      <c r="M6" s="110">
        <v>0</v>
      </c>
      <c r="N6" s="110">
        <v>0</v>
      </c>
      <c r="O6" s="110">
        <v>0</v>
      </c>
      <c r="P6" s="110">
        <v>0</v>
      </c>
      <c r="Q6" s="110">
        <v>0</v>
      </c>
      <c r="R6" s="110">
        <v>0</v>
      </c>
      <c r="S6" s="110">
        <v>0</v>
      </c>
      <c r="T6" s="110">
        <v>0</v>
      </c>
      <c r="U6" s="110">
        <v>0</v>
      </c>
      <c r="V6" s="110">
        <v>0</v>
      </c>
      <c r="W6" s="110">
        <v>0</v>
      </c>
      <c r="X6" s="110">
        <v>0</v>
      </c>
      <c r="Y6" s="110">
        <v>0</v>
      </c>
      <c r="Z6" s="110">
        <v>0</v>
      </c>
      <c r="AA6" s="110">
        <v>0</v>
      </c>
      <c r="AB6" s="110">
        <v>0</v>
      </c>
      <c r="AC6" s="110">
        <v>0</v>
      </c>
      <c r="AD6" s="110">
        <v>0</v>
      </c>
      <c r="AE6" s="110">
        <v>0</v>
      </c>
      <c r="AF6" s="110">
        <v>0</v>
      </c>
      <c r="AG6" s="110">
        <v>0</v>
      </c>
      <c r="AH6" s="110">
        <v>0</v>
      </c>
      <c r="AI6" s="110">
        <v>0</v>
      </c>
      <c r="AJ6" s="110">
        <v>0</v>
      </c>
      <c r="AK6" s="110">
        <v>0</v>
      </c>
      <c r="AL6" s="110">
        <v>0</v>
      </c>
      <c r="AM6" s="110">
        <v>0</v>
      </c>
      <c r="AN6" s="110">
        <v>0</v>
      </c>
      <c r="AO6" s="110">
        <v>0</v>
      </c>
      <c r="AP6" s="110">
        <v>0</v>
      </c>
      <c r="AQ6" s="110">
        <v>0</v>
      </c>
      <c r="AR6" s="110">
        <v>0</v>
      </c>
      <c r="AS6" s="110">
        <v>0</v>
      </c>
      <c r="AT6" s="110">
        <v>0</v>
      </c>
    </row>
    <row r="7" spans="1:46" customFormat="1" x14ac:dyDescent="0.15">
      <c r="A7" s="191" t="s">
        <v>197</v>
      </c>
      <c r="B7" s="110">
        <v>0</v>
      </c>
      <c r="C7" s="110">
        <v>0</v>
      </c>
      <c r="D7" s="110">
        <v>0</v>
      </c>
      <c r="E7" s="110">
        <v>0</v>
      </c>
      <c r="F7" s="110">
        <v>0</v>
      </c>
      <c r="G7" s="110">
        <v>0.8</v>
      </c>
      <c r="H7" s="110">
        <v>0</v>
      </c>
      <c r="I7" s="110">
        <v>0</v>
      </c>
      <c r="J7" s="110">
        <v>0</v>
      </c>
      <c r="K7" s="110">
        <v>0</v>
      </c>
      <c r="L7" s="110">
        <v>0</v>
      </c>
      <c r="M7" s="110">
        <v>0</v>
      </c>
      <c r="N7" s="110">
        <v>0</v>
      </c>
      <c r="O7" s="110">
        <v>0</v>
      </c>
      <c r="P7" s="110">
        <v>0</v>
      </c>
      <c r="Q7" s="110">
        <v>0</v>
      </c>
      <c r="R7" s="110">
        <v>0</v>
      </c>
      <c r="S7" s="110">
        <v>0</v>
      </c>
      <c r="T7" s="110">
        <v>0</v>
      </c>
      <c r="U7" s="110">
        <v>0</v>
      </c>
      <c r="V7" s="110">
        <v>0.8</v>
      </c>
      <c r="W7" s="110">
        <v>0</v>
      </c>
      <c r="X7" s="110">
        <v>0</v>
      </c>
      <c r="Y7" s="110">
        <v>0</v>
      </c>
      <c r="Z7" s="110">
        <v>0</v>
      </c>
      <c r="AA7" s="110">
        <v>0</v>
      </c>
      <c r="AB7" s="110">
        <v>0</v>
      </c>
      <c r="AC7" s="110">
        <v>0</v>
      </c>
      <c r="AD7" s="110">
        <v>0</v>
      </c>
      <c r="AE7" s="110">
        <v>0</v>
      </c>
      <c r="AF7" s="110">
        <v>0</v>
      </c>
      <c r="AG7" s="110">
        <v>0</v>
      </c>
      <c r="AH7" s="110">
        <v>0</v>
      </c>
      <c r="AI7" s="110">
        <v>0</v>
      </c>
      <c r="AJ7" s="110">
        <v>0</v>
      </c>
      <c r="AK7" s="110">
        <v>0</v>
      </c>
      <c r="AL7" s="110">
        <v>0</v>
      </c>
      <c r="AM7" s="110">
        <v>0</v>
      </c>
      <c r="AN7" s="110">
        <v>0</v>
      </c>
      <c r="AO7" s="110">
        <v>0</v>
      </c>
      <c r="AP7" s="110">
        <v>0</v>
      </c>
      <c r="AQ7" s="110">
        <v>0</v>
      </c>
      <c r="AR7" s="110">
        <v>0</v>
      </c>
      <c r="AS7" s="110">
        <v>0</v>
      </c>
      <c r="AT7" s="110">
        <v>0</v>
      </c>
    </row>
    <row r="8" spans="1:46" customFormat="1" x14ac:dyDescent="0.15">
      <c r="A8" s="191" t="s">
        <v>198</v>
      </c>
      <c r="B8" s="110">
        <v>0</v>
      </c>
      <c r="C8" s="110">
        <v>0</v>
      </c>
      <c r="D8" s="110">
        <v>0</v>
      </c>
      <c r="E8" s="110">
        <v>0</v>
      </c>
      <c r="F8" s="110">
        <v>0.8</v>
      </c>
      <c r="G8" s="110">
        <v>0.8</v>
      </c>
      <c r="H8" s="110">
        <v>0</v>
      </c>
      <c r="I8" s="110">
        <v>0</v>
      </c>
      <c r="J8" s="110">
        <v>0.8</v>
      </c>
      <c r="K8" s="110">
        <v>0</v>
      </c>
      <c r="L8" s="110">
        <v>0</v>
      </c>
      <c r="M8" s="110">
        <v>0</v>
      </c>
      <c r="N8" s="110">
        <v>0</v>
      </c>
      <c r="O8" s="110">
        <v>0</v>
      </c>
      <c r="P8" s="110">
        <v>0</v>
      </c>
      <c r="Q8" s="110">
        <v>0</v>
      </c>
      <c r="R8" s="110">
        <v>0</v>
      </c>
      <c r="S8" s="110">
        <v>0</v>
      </c>
      <c r="T8" s="110">
        <v>0</v>
      </c>
      <c r="U8" s="110">
        <v>0</v>
      </c>
      <c r="V8" s="110">
        <v>0</v>
      </c>
      <c r="W8" s="110">
        <v>0</v>
      </c>
      <c r="X8" s="110">
        <v>0</v>
      </c>
      <c r="Y8" s="110">
        <v>0</v>
      </c>
      <c r="Z8" s="110">
        <v>0</v>
      </c>
      <c r="AA8" s="110">
        <v>0</v>
      </c>
      <c r="AB8" s="110">
        <v>0</v>
      </c>
      <c r="AC8" s="110">
        <v>0</v>
      </c>
      <c r="AD8" s="110">
        <v>0</v>
      </c>
      <c r="AE8" s="110">
        <v>0</v>
      </c>
      <c r="AF8" s="110">
        <v>0</v>
      </c>
      <c r="AG8" s="110">
        <v>0</v>
      </c>
      <c r="AH8" s="110">
        <v>0</v>
      </c>
      <c r="AI8" s="110">
        <v>0</v>
      </c>
      <c r="AJ8" s="110">
        <v>0</v>
      </c>
      <c r="AK8" s="110">
        <v>0</v>
      </c>
      <c r="AL8" s="110">
        <v>0</v>
      </c>
      <c r="AM8" s="110">
        <v>0</v>
      </c>
      <c r="AN8" s="110">
        <v>0</v>
      </c>
      <c r="AO8" s="110">
        <v>0</v>
      </c>
      <c r="AP8" s="110">
        <v>0</v>
      </c>
      <c r="AQ8" s="110">
        <v>0</v>
      </c>
      <c r="AR8" s="110">
        <v>0</v>
      </c>
      <c r="AS8" s="110">
        <v>0</v>
      </c>
      <c r="AT8" s="110">
        <v>0</v>
      </c>
    </row>
    <row r="9" spans="1:46" customFormat="1" x14ac:dyDescent="0.15">
      <c r="A9" s="191" t="s">
        <v>199</v>
      </c>
      <c r="B9" s="110">
        <v>0</v>
      </c>
      <c r="C9" s="110">
        <v>0</v>
      </c>
      <c r="D9" s="110">
        <v>0</v>
      </c>
      <c r="E9" s="110">
        <v>0</v>
      </c>
      <c r="F9" s="110">
        <v>0.8</v>
      </c>
      <c r="G9" s="110">
        <v>0.8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0.8</v>
      </c>
      <c r="N9" s="110">
        <v>0</v>
      </c>
      <c r="O9" s="110">
        <v>0</v>
      </c>
      <c r="P9" s="110">
        <v>0</v>
      </c>
      <c r="Q9" s="110">
        <v>0</v>
      </c>
      <c r="R9" s="110">
        <v>0</v>
      </c>
      <c r="S9" s="110">
        <v>0</v>
      </c>
      <c r="T9" s="110">
        <v>0</v>
      </c>
      <c r="U9" s="110">
        <v>0</v>
      </c>
      <c r="V9" s="110">
        <v>0</v>
      </c>
      <c r="W9" s="110">
        <v>0</v>
      </c>
      <c r="X9" s="110">
        <v>0</v>
      </c>
      <c r="Y9" s="110">
        <v>0</v>
      </c>
      <c r="Z9" s="110">
        <v>0</v>
      </c>
      <c r="AA9" s="110">
        <v>0</v>
      </c>
      <c r="AB9" s="110">
        <v>0</v>
      </c>
      <c r="AC9" s="110">
        <v>0</v>
      </c>
      <c r="AD9" s="110">
        <v>0</v>
      </c>
      <c r="AE9" s="110">
        <v>0</v>
      </c>
      <c r="AF9" s="110">
        <v>0</v>
      </c>
      <c r="AG9" s="110">
        <v>0</v>
      </c>
      <c r="AH9" s="110">
        <v>0</v>
      </c>
      <c r="AI9" s="110">
        <v>0</v>
      </c>
      <c r="AJ9" s="110">
        <v>0</v>
      </c>
      <c r="AK9" s="110">
        <v>0</v>
      </c>
      <c r="AL9" s="110">
        <v>0</v>
      </c>
      <c r="AM9" s="110">
        <v>0</v>
      </c>
      <c r="AN9" s="110">
        <v>0</v>
      </c>
      <c r="AO9" s="110">
        <v>0</v>
      </c>
      <c r="AP9" s="110">
        <v>0</v>
      </c>
      <c r="AQ9" s="110">
        <v>0</v>
      </c>
      <c r="AR9" s="110">
        <v>0</v>
      </c>
      <c r="AS9" s="110">
        <v>0</v>
      </c>
      <c r="AT9" s="110">
        <v>0</v>
      </c>
    </row>
    <row r="10" spans="1:46" customFormat="1" x14ac:dyDescent="0.15">
      <c r="A10" s="191" t="s">
        <v>200</v>
      </c>
      <c r="B10" s="110">
        <v>0</v>
      </c>
      <c r="C10" s="110">
        <v>0</v>
      </c>
      <c r="D10" s="110">
        <v>0</v>
      </c>
      <c r="E10" s="110">
        <v>0</v>
      </c>
      <c r="F10" s="110">
        <v>0</v>
      </c>
      <c r="G10" s="110">
        <v>0.8</v>
      </c>
      <c r="H10" s="110">
        <v>0</v>
      </c>
      <c r="I10" s="110">
        <v>0</v>
      </c>
      <c r="J10" s="110">
        <v>0</v>
      </c>
      <c r="K10" s="110">
        <v>0</v>
      </c>
      <c r="L10" s="110">
        <v>0.8</v>
      </c>
      <c r="M10" s="110">
        <v>0</v>
      </c>
      <c r="N10" s="110">
        <v>0</v>
      </c>
      <c r="O10" s="110">
        <v>0</v>
      </c>
      <c r="P10" s="110">
        <v>0</v>
      </c>
      <c r="Q10" s="110">
        <v>0</v>
      </c>
      <c r="R10" s="110">
        <v>0</v>
      </c>
      <c r="S10" s="110">
        <v>0</v>
      </c>
      <c r="T10" s="110">
        <v>0</v>
      </c>
      <c r="U10" s="110">
        <v>0</v>
      </c>
      <c r="V10" s="110">
        <v>0</v>
      </c>
      <c r="W10" s="110">
        <v>0</v>
      </c>
      <c r="X10" s="110">
        <v>0</v>
      </c>
      <c r="Y10" s="110">
        <v>0</v>
      </c>
      <c r="Z10" s="110">
        <v>0</v>
      </c>
      <c r="AA10" s="110">
        <v>0</v>
      </c>
      <c r="AB10" s="110">
        <v>0</v>
      </c>
      <c r="AC10" s="110">
        <v>0</v>
      </c>
      <c r="AD10" s="110">
        <v>0</v>
      </c>
      <c r="AE10" s="110">
        <v>0</v>
      </c>
      <c r="AF10" s="110">
        <v>0</v>
      </c>
      <c r="AG10" s="110">
        <v>0</v>
      </c>
      <c r="AH10" s="110">
        <v>0</v>
      </c>
      <c r="AI10" s="110">
        <v>0</v>
      </c>
      <c r="AJ10" s="110">
        <v>0</v>
      </c>
      <c r="AK10" s="110">
        <v>0</v>
      </c>
      <c r="AL10" s="110">
        <v>0</v>
      </c>
      <c r="AM10" s="110">
        <v>0</v>
      </c>
      <c r="AN10" s="110">
        <v>0</v>
      </c>
      <c r="AO10" s="110">
        <v>0</v>
      </c>
      <c r="AP10" s="110">
        <v>0</v>
      </c>
      <c r="AQ10" s="110">
        <v>0</v>
      </c>
      <c r="AR10" s="110">
        <v>0</v>
      </c>
      <c r="AS10" s="110">
        <v>0</v>
      </c>
      <c r="AT10" s="110">
        <v>0</v>
      </c>
    </row>
    <row r="11" spans="1:46" customFormat="1" x14ac:dyDescent="0.15">
      <c r="A11" s="191" t="s">
        <v>201</v>
      </c>
      <c r="B11" s="110">
        <v>0</v>
      </c>
      <c r="C11" s="110">
        <v>0</v>
      </c>
      <c r="D11" s="110">
        <v>0</v>
      </c>
      <c r="E11" s="110">
        <v>0</v>
      </c>
      <c r="F11" s="110">
        <v>0</v>
      </c>
      <c r="G11" s="110">
        <v>0.8</v>
      </c>
      <c r="H11" s="110">
        <v>0</v>
      </c>
      <c r="I11" s="110">
        <v>0</v>
      </c>
      <c r="J11" s="110">
        <v>0</v>
      </c>
      <c r="K11" s="110">
        <v>0</v>
      </c>
      <c r="L11" s="110">
        <v>0.8</v>
      </c>
      <c r="M11" s="110">
        <v>0</v>
      </c>
      <c r="N11" s="110">
        <v>0</v>
      </c>
      <c r="O11" s="110">
        <v>0</v>
      </c>
      <c r="P11" s="110">
        <v>0</v>
      </c>
      <c r="Q11" s="110">
        <v>0</v>
      </c>
      <c r="R11" s="110">
        <v>0</v>
      </c>
      <c r="S11" s="110">
        <v>0</v>
      </c>
      <c r="T11" s="110">
        <v>0</v>
      </c>
      <c r="U11" s="110">
        <v>0</v>
      </c>
      <c r="V11" s="110">
        <v>0</v>
      </c>
      <c r="W11" s="110">
        <v>0</v>
      </c>
      <c r="X11" s="110">
        <v>0</v>
      </c>
      <c r="Y11" s="110">
        <v>0</v>
      </c>
      <c r="Z11" s="110">
        <v>0</v>
      </c>
      <c r="AA11" s="110">
        <v>0</v>
      </c>
      <c r="AB11" s="110">
        <v>0</v>
      </c>
      <c r="AC11" s="110">
        <v>0</v>
      </c>
      <c r="AD11" s="110">
        <v>0</v>
      </c>
      <c r="AE11" s="110">
        <v>0</v>
      </c>
      <c r="AF11" s="110">
        <v>0</v>
      </c>
      <c r="AG11" s="110">
        <v>0</v>
      </c>
      <c r="AH11" s="110">
        <v>0</v>
      </c>
      <c r="AI11" s="110">
        <v>0</v>
      </c>
      <c r="AJ11" s="110">
        <v>0</v>
      </c>
      <c r="AK11" s="110">
        <v>0</v>
      </c>
      <c r="AL11" s="110">
        <v>0</v>
      </c>
      <c r="AM11" s="110">
        <v>0</v>
      </c>
      <c r="AN11" s="110">
        <v>0</v>
      </c>
      <c r="AO11" s="110">
        <v>0</v>
      </c>
      <c r="AP11" s="110">
        <v>0</v>
      </c>
      <c r="AQ11" s="110">
        <v>0</v>
      </c>
      <c r="AR11" s="110">
        <v>0</v>
      </c>
      <c r="AS11" s="110">
        <v>0</v>
      </c>
      <c r="AT11" s="110">
        <v>0</v>
      </c>
    </row>
    <row r="12" spans="1:46" customFormat="1" x14ac:dyDescent="0.15">
      <c r="A12" s="191" t="s">
        <v>202</v>
      </c>
      <c r="B12" s="110">
        <v>0</v>
      </c>
      <c r="C12" s="110">
        <v>0</v>
      </c>
      <c r="D12" s="110">
        <v>0</v>
      </c>
      <c r="E12" s="110">
        <v>0.8</v>
      </c>
      <c r="F12" s="110">
        <v>0.8</v>
      </c>
      <c r="G12" s="110">
        <v>0.8</v>
      </c>
      <c r="H12" s="110">
        <v>0</v>
      </c>
      <c r="I12" s="110">
        <v>0</v>
      </c>
      <c r="J12" s="110">
        <v>0.8</v>
      </c>
      <c r="K12" s="110">
        <v>0</v>
      </c>
      <c r="L12" s="110">
        <v>0.8</v>
      </c>
      <c r="M12" s="110">
        <v>0.8</v>
      </c>
      <c r="N12" s="110">
        <v>0</v>
      </c>
      <c r="O12" s="110">
        <v>0</v>
      </c>
      <c r="P12" s="110">
        <v>0</v>
      </c>
      <c r="Q12" s="110">
        <v>0</v>
      </c>
      <c r="R12" s="110">
        <v>0</v>
      </c>
      <c r="S12" s="110">
        <v>0</v>
      </c>
      <c r="T12" s="110">
        <v>0.8</v>
      </c>
      <c r="U12" s="110">
        <v>0</v>
      </c>
      <c r="V12" s="110">
        <v>0</v>
      </c>
      <c r="W12" s="110">
        <v>0</v>
      </c>
      <c r="X12" s="110">
        <v>0</v>
      </c>
      <c r="Y12" s="110">
        <v>0</v>
      </c>
      <c r="Z12" s="110">
        <v>0</v>
      </c>
      <c r="AA12" s="110">
        <v>0</v>
      </c>
      <c r="AB12" s="110">
        <v>0</v>
      </c>
      <c r="AC12" s="110">
        <v>0</v>
      </c>
      <c r="AD12" s="110">
        <v>0</v>
      </c>
      <c r="AE12" s="110">
        <v>0</v>
      </c>
      <c r="AF12" s="110">
        <v>0</v>
      </c>
      <c r="AG12" s="110">
        <v>0</v>
      </c>
      <c r="AH12" s="110">
        <v>0</v>
      </c>
      <c r="AI12" s="110">
        <v>0</v>
      </c>
      <c r="AJ12" s="110">
        <v>0</v>
      </c>
      <c r="AK12" s="110">
        <v>0</v>
      </c>
      <c r="AL12" s="110">
        <v>0</v>
      </c>
      <c r="AM12" s="110">
        <v>0</v>
      </c>
      <c r="AN12" s="110">
        <v>0</v>
      </c>
      <c r="AO12" s="110">
        <v>0</v>
      </c>
      <c r="AP12" s="110">
        <v>0</v>
      </c>
      <c r="AQ12" s="110">
        <v>0</v>
      </c>
      <c r="AR12" s="110">
        <v>0</v>
      </c>
      <c r="AS12" s="110">
        <v>0</v>
      </c>
      <c r="AT12" s="110">
        <v>0</v>
      </c>
    </row>
    <row r="13" spans="1:46" customFormat="1" x14ac:dyDescent="0.15">
      <c r="A13" s="191" t="s">
        <v>203</v>
      </c>
      <c r="B13" s="110">
        <v>0</v>
      </c>
      <c r="C13" s="110">
        <v>0</v>
      </c>
      <c r="D13" s="110">
        <v>0</v>
      </c>
      <c r="E13" s="110">
        <v>0</v>
      </c>
      <c r="F13" s="110">
        <v>0</v>
      </c>
      <c r="G13" s="110">
        <v>0.8</v>
      </c>
      <c r="H13" s="110">
        <v>0</v>
      </c>
      <c r="I13" s="110">
        <v>0</v>
      </c>
      <c r="J13" s="110">
        <v>0</v>
      </c>
      <c r="K13" s="110">
        <v>0.8</v>
      </c>
      <c r="L13" s="110">
        <v>0.8</v>
      </c>
      <c r="M13" s="110">
        <v>0.8</v>
      </c>
      <c r="N13" s="110">
        <v>0</v>
      </c>
      <c r="O13" s="110">
        <v>0</v>
      </c>
      <c r="P13" s="110">
        <v>0</v>
      </c>
      <c r="Q13" s="110">
        <v>0</v>
      </c>
      <c r="R13" s="110">
        <v>0</v>
      </c>
      <c r="S13" s="110">
        <v>0</v>
      </c>
      <c r="T13" s="110">
        <v>0</v>
      </c>
      <c r="U13" s="110">
        <v>0</v>
      </c>
      <c r="V13" s="110">
        <v>0</v>
      </c>
      <c r="W13" s="110">
        <v>0</v>
      </c>
      <c r="X13" s="110">
        <v>0</v>
      </c>
      <c r="Y13" s="110">
        <v>0</v>
      </c>
      <c r="Z13" s="110">
        <v>0</v>
      </c>
      <c r="AA13" s="110">
        <v>0</v>
      </c>
      <c r="AB13" s="110">
        <v>0</v>
      </c>
      <c r="AC13" s="110">
        <v>0</v>
      </c>
      <c r="AD13" s="110">
        <v>0</v>
      </c>
      <c r="AE13" s="110">
        <v>0</v>
      </c>
      <c r="AF13" s="110">
        <v>0</v>
      </c>
      <c r="AG13" s="110">
        <v>0</v>
      </c>
      <c r="AH13" s="110">
        <v>0</v>
      </c>
      <c r="AI13" s="110">
        <v>0</v>
      </c>
      <c r="AJ13" s="110">
        <v>0</v>
      </c>
      <c r="AK13" s="110">
        <v>0</v>
      </c>
      <c r="AL13" s="110">
        <v>0</v>
      </c>
      <c r="AM13" s="110">
        <v>0</v>
      </c>
      <c r="AN13" s="110">
        <v>0</v>
      </c>
      <c r="AO13" s="110">
        <v>0</v>
      </c>
      <c r="AP13" s="110">
        <v>0</v>
      </c>
      <c r="AQ13" s="110">
        <v>0</v>
      </c>
      <c r="AR13" s="110">
        <v>0</v>
      </c>
      <c r="AS13" s="110">
        <v>0</v>
      </c>
      <c r="AT13" s="110">
        <v>0</v>
      </c>
    </row>
    <row r="14" spans="1:46" customFormat="1" x14ac:dyDescent="0.15">
      <c r="A14" s="191" t="s">
        <v>204</v>
      </c>
      <c r="B14" s="110">
        <v>0</v>
      </c>
      <c r="C14" s="110">
        <v>0</v>
      </c>
      <c r="D14" s="110">
        <v>0</v>
      </c>
      <c r="E14" s="110">
        <v>0</v>
      </c>
      <c r="F14" s="110">
        <v>0.8</v>
      </c>
      <c r="G14" s="110">
        <v>0.8</v>
      </c>
      <c r="H14" s="110">
        <v>0.8</v>
      </c>
      <c r="I14" s="110">
        <v>0</v>
      </c>
      <c r="J14" s="110">
        <v>0</v>
      </c>
      <c r="K14" s="110">
        <v>0.8</v>
      </c>
      <c r="L14" s="110">
        <v>0.8</v>
      </c>
      <c r="M14" s="110">
        <v>0</v>
      </c>
      <c r="N14" s="110">
        <v>0</v>
      </c>
      <c r="O14" s="110">
        <v>0</v>
      </c>
      <c r="P14" s="110">
        <v>0</v>
      </c>
      <c r="Q14" s="110">
        <v>0</v>
      </c>
      <c r="R14" s="110">
        <v>0</v>
      </c>
      <c r="S14" s="110">
        <v>0</v>
      </c>
      <c r="T14" s="110">
        <v>0</v>
      </c>
      <c r="U14" s="110">
        <v>0.8</v>
      </c>
      <c r="V14" s="110">
        <v>0.8</v>
      </c>
      <c r="W14" s="110">
        <v>0</v>
      </c>
      <c r="X14" s="110">
        <v>0</v>
      </c>
      <c r="Y14" s="110">
        <v>0</v>
      </c>
      <c r="Z14" s="110">
        <v>0</v>
      </c>
      <c r="AA14" s="110">
        <v>0</v>
      </c>
      <c r="AB14" s="110">
        <v>0</v>
      </c>
      <c r="AC14" s="110">
        <v>0</v>
      </c>
      <c r="AD14" s="110">
        <v>0</v>
      </c>
      <c r="AE14" s="110">
        <v>0</v>
      </c>
      <c r="AF14" s="110">
        <v>0</v>
      </c>
      <c r="AG14" s="110">
        <v>0</v>
      </c>
      <c r="AH14" s="110">
        <v>0</v>
      </c>
      <c r="AI14" s="110">
        <v>0</v>
      </c>
      <c r="AJ14" s="110">
        <v>0</v>
      </c>
      <c r="AK14" s="110">
        <v>0</v>
      </c>
      <c r="AL14" s="110">
        <v>0</v>
      </c>
      <c r="AM14" s="110">
        <v>0.8</v>
      </c>
      <c r="AN14" s="110">
        <v>0</v>
      </c>
      <c r="AO14" s="110">
        <v>0</v>
      </c>
      <c r="AP14" s="110">
        <v>0</v>
      </c>
      <c r="AQ14" s="110">
        <v>0</v>
      </c>
      <c r="AR14" s="110">
        <v>0</v>
      </c>
      <c r="AS14" s="110">
        <v>0</v>
      </c>
      <c r="AT14" s="110">
        <v>0</v>
      </c>
    </row>
    <row r="15" spans="1:46" customFormat="1" x14ac:dyDescent="0.15">
      <c r="A15" s="191" t="s">
        <v>205</v>
      </c>
      <c r="B15" s="110">
        <v>0.8</v>
      </c>
      <c r="C15" s="110">
        <v>0.8</v>
      </c>
      <c r="D15" s="110">
        <v>0</v>
      </c>
      <c r="E15" s="110">
        <v>0.8</v>
      </c>
      <c r="F15" s="110">
        <v>0.8</v>
      </c>
      <c r="G15" s="110">
        <v>0.8</v>
      </c>
      <c r="H15" s="110">
        <v>0.8</v>
      </c>
      <c r="I15" s="110">
        <v>0.8</v>
      </c>
      <c r="J15" s="110">
        <v>0.8</v>
      </c>
      <c r="K15" s="110">
        <v>0.8</v>
      </c>
      <c r="L15" s="110">
        <v>0.8</v>
      </c>
      <c r="M15" s="110">
        <v>0.8</v>
      </c>
      <c r="N15" s="110">
        <v>0.8</v>
      </c>
      <c r="O15" s="110">
        <v>0.8</v>
      </c>
      <c r="P15" s="110">
        <v>0.8</v>
      </c>
      <c r="Q15" s="110">
        <v>0</v>
      </c>
      <c r="R15" s="110">
        <v>0</v>
      </c>
      <c r="S15" s="110">
        <v>0.8</v>
      </c>
      <c r="T15" s="110">
        <v>0.8</v>
      </c>
      <c r="U15" s="110">
        <v>0</v>
      </c>
      <c r="V15" s="110">
        <v>0.8</v>
      </c>
      <c r="W15" s="110">
        <v>0</v>
      </c>
      <c r="X15" s="110">
        <v>0.8</v>
      </c>
      <c r="Y15" s="110">
        <v>0</v>
      </c>
      <c r="Z15" s="110">
        <v>0</v>
      </c>
      <c r="AA15" s="110">
        <v>0</v>
      </c>
      <c r="AB15" s="110">
        <v>0</v>
      </c>
      <c r="AC15" s="110">
        <v>0.8</v>
      </c>
      <c r="AD15" s="110">
        <v>0</v>
      </c>
      <c r="AE15" s="110">
        <v>0.8</v>
      </c>
      <c r="AF15" s="110">
        <v>0.8</v>
      </c>
      <c r="AG15" s="110">
        <v>0.8</v>
      </c>
      <c r="AH15" s="110">
        <v>0</v>
      </c>
      <c r="AI15" s="110">
        <v>0</v>
      </c>
      <c r="AJ15" s="110">
        <v>0</v>
      </c>
      <c r="AK15" s="110">
        <v>0.8</v>
      </c>
      <c r="AL15" s="110">
        <v>0</v>
      </c>
      <c r="AM15" s="110">
        <v>0.8</v>
      </c>
      <c r="AN15" s="110">
        <v>0</v>
      </c>
      <c r="AO15" s="110">
        <v>0</v>
      </c>
      <c r="AP15" s="110">
        <v>0</v>
      </c>
      <c r="AQ15" s="110">
        <v>0</v>
      </c>
      <c r="AR15" s="110">
        <v>0</v>
      </c>
      <c r="AS15" s="110">
        <v>0</v>
      </c>
      <c r="AT15" s="110">
        <v>0</v>
      </c>
    </row>
    <row r="16" spans="1:46" customFormat="1" x14ac:dyDescent="0.15">
      <c r="A16" s="191" t="s">
        <v>206</v>
      </c>
      <c r="B16" s="110">
        <v>0.8</v>
      </c>
      <c r="C16" s="110">
        <v>0.8</v>
      </c>
      <c r="D16" s="110">
        <v>0</v>
      </c>
      <c r="E16" s="110">
        <v>0.8</v>
      </c>
      <c r="F16" s="110">
        <v>0</v>
      </c>
      <c r="G16" s="110">
        <v>0.8</v>
      </c>
      <c r="H16" s="110">
        <v>0.8</v>
      </c>
      <c r="I16" s="110">
        <v>0</v>
      </c>
      <c r="J16" s="110">
        <v>0.8</v>
      </c>
      <c r="K16" s="110">
        <v>0.8</v>
      </c>
      <c r="L16" s="110">
        <v>0.8</v>
      </c>
      <c r="M16" s="110">
        <v>0.8</v>
      </c>
      <c r="N16" s="110">
        <v>0.8</v>
      </c>
      <c r="O16" s="110">
        <v>0</v>
      </c>
      <c r="P16" s="110">
        <v>0</v>
      </c>
      <c r="Q16" s="110">
        <v>0</v>
      </c>
      <c r="R16" s="110">
        <v>0</v>
      </c>
      <c r="S16" s="110">
        <v>0</v>
      </c>
      <c r="T16" s="110">
        <v>0</v>
      </c>
      <c r="U16" s="110">
        <v>0</v>
      </c>
      <c r="V16" s="110">
        <v>0.8</v>
      </c>
      <c r="W16" s="110">
        <v>0</v>
      </c>
      <c r="X16" s="110">
        <v>0</v>
      </c>
      <c r="Y16" s="110">
        <v>0</v>
      </c>
      <c r="Z16" s="110">
        <v>0</v>
      </c>
      <c r="AA16" s="110">
        <v>0</v>
      </c>
      <c r="AB16" s="110">
        <v>0</v>
      </c>
      <c r="AC16" s="110">
        <v>0</v>
      </c>
      <c r="AD16" s="110">
        <v>0</v>
      </c>
      <c r="AE16" s="110">
        <v>0</v>
      </c>
      <c r="AF16" s="110">
        <v>0</v>
      </c>
      <c r="AG16" s="110">
        <v>0</v>
      </c>
      <c r="AH16" s="110">
        <v>0</v>
      </c>
      <c r="AI16" s="110">
        <v>0</v>
      </c>
      <c r="AJ16" s="110">
        <v>0</v>
      </c>
      <c r="AK16" s="110">
        <v>0</v>
      </c>
      <c r="AL16" s="110">
        <v>0</v>
      </c>
      <c r="AM16" s="110">
        <v>0.8</v>
      </c>
      <c r="AN16" s="110">
        <v>0</v>
      </c>
      <c r="AO16" s="110">
        <v>0</v>
      </c>
      <c r="AP16" s="110">
        <v>0</v>
      </c>
      <c r="AQ16" s="110">
        <v>0</v>
      </c>
      <c r="AR16" s="110">
        <v>0</v>
      </c>
      <c r="AS16" s="110">
        <v>0</v>
      </c>
      <c r="AT16" s="110">
        <v>0</v>
      </c>
    </row>
    <row r="17" spans="1:46" customFormat="1" x14ac:dyDescent="0.15">
      <c r="A17" s="191" t="s">
        <v>207</v>
      </c>
      <c r="B17" s="110">
        <v>0</v>
      </c>
      <c r="C17" s="110">
        <v>0.8</v>
      </c>
      <c r="D17" s="110">
        <v>0</v>
      </c>
      <c r="E17" s="110">
        <v>0.8</v>
      </c>
      <c r="F17" s="110">
        <v>0</v>
      </c>
      <c r="G17" s="110">
        <v>0.8</v>
      </c>
      <c r="H17" s="110">
        <v>0</v>
      </c>
      <c r="I17" s="110">
        <v>0</v>
      </c>
      <c r="J17" s="110">
        <v>0</v>
      </c>
      <c r="K17" s="110">
        <v>0.8</v>
      </c>
      <c r="L17" s="110">
        <v>0.8</v>
      </c>
      <c r="M17" s="110">
        <v>0</v>
      </c>
      <c r="N17" s="110">
        <v>0.8</v>
      </c>
      <c r="O17" s="110">
        <v>0</v>
      </c>
      <c r="P17" s="110">
        <v>0</v>
      </c>
      <c r="Q17" s="110">
        <v>0</v>
      </c>
      <c r="R17" s="110">
        <v>0</v>
      </c>
      <c r="S17" s="110">
        <v>0.8</v>
      </c>
      <c r="T17" s="110">
        <v>0</v>
      </c>
      <c r="U17" s="110">
        <v>0.8</v>
      </c>
      <c r="V17" s="110">
        <v>0</v>
      </c>
      <c r="W17" s="110">
        <v>0</v>
      </c>
      <c r="X17" s="110">
        <v>0</v>
      </c>
      <c r="Y17" s="110">
        <v>0.8</v>
      </c>
      <c r="Z17" s="110">
        <v>0</v>
      </c>
      <c r="AA17" s="110">
        <v>0</v>
      </c>
      <c r="AB17" s="110">
        <v>0.8</v>
      </c>
      <c r="AC17" s="110">
        <v>0</v>
      </c>
      <c r="AD17" s="110">
        <v>0</v>
      </c>
      <c r="AE17" s="110">
        <v>0</v>
      </c>
      <c r="AF17" s="110">
        <v>0.8</v>
      </c>
      <c r="AG17" s="110">
        <v>0</v>
      </c>
      <c r="AH17" s="110">
        <v>0</v>
      </c>
      <c r="AI17" s="110">
        <v>0</v>
      </c>
      <c r="AJ17" s="110">
        <v>0</v>
      </c>
      <c r="AK17" s="110">
        <v>0</v>
      </c>
      <c r="AL17" s="110">
        <v>0</v>
      </c>
      <c r="AM17" s="110">
        <v>0</v>
      </c>
      <c r="AN17" s="110">
        <v>0</v>
      </c>
      <c r="AO17" s="110">
        <v>0</v>
      </c>
      <c r="AP17" s="110">
        <v>0</v>
      </c>
      <c r="AQ17" s="110">
        <v>0</v>
      </c>
      <c r="AR17" s="110">
        <v>0</v>
      </c>
      <c r="AS17" s="110">
        <v>0</v>
      </c>
      <c r="AT17" s="110">
        <v>0</v>
      </c>
    </row>
    <row r="18" spans="1:46" customFormat="1" x14ac:dyDescent="0.15">
      <c r="A18" s="191" t="s">
        <v>208</v>
      </c>
      <c r="B18" s="110">
        <v>0.8</v>
      </c>
      <c r="C18" s="110">
        <v>0.8</v>
      </c>
      <c r="D18" s="110">
        <v>0</v>
      </c>
      <c r="E18" s="110">
        <v>0.8</v>
      </c>
      <c r="F18" s="110">
        <v>0.8</v>
      </c>
      <c r="G18" s="110">
        <v>0.8</v>
      </c>
      <c r="H18" s="110">
        <v>0.8</v>
      </c>
      <c r="I18" s="110">
        <v>0.8</v>
      </c>
      <c r="J18" s="110">
        <v>0</v>
      </c>
      <c r="K18" s="110">
        <v>0.8</v>
      </c>
      <c r="L18" s="110">
        <v>0.8</v>
      </c>
      <c r="M18" s="110">
        <v>0.8</v>
      </c>
      <c r="N18" s="110">
        <v>0.8</v>
      </c>
      <c r="O18" s="110">
        <v>0</v>
      </c>
      <c r="P18" s="110">
        <v>0.8</v>
      </c>
      <c r="Q18" s="110">
        <v>0</v>
      </c>
      <c r="R18" s="110">
        <v>0</v>
      </c>
      <c r="S18" s="110">
        <v>0.8</v>
      </c>
      <c r="T18" s="110">
        <v>0.8</v>
      </c>
      <c r="U18" s="110">
        <v>0</v>
      </c>
      <c r="V18" s="110">
        <v>0.8</v>
      </c>
      <c r="W18" s="110">
        <v>0</v>
      </c>
      <c r="X18" s="110">
        <v>0</v>
      </c>
      <c r="Y18" s="110">
        <v>0</v>
      </c>
      <c r="Z18" s="110">
        <v>0</v>
      </c>
      <c r="AA18" s="110">
        <v>0</v>
      </c>
      <c r="AB18" s="110">
        <v>0</v>
      </c>
      <c r="AC18" s="110">
        <v>0.8</v>
      </c>
      <c r="AD18" s="110">
        <v>0</v>
      </c>
      <c r="AE18" s="110">
        <v>0.8</v>
      </c>
      <c r="AF18" s="110">
        <v>0</v>
      </c>
      <c r="AG18" s="110">
        <v>0.8</v>
      </c>
      <c r="AH18" s="110">
        <v>0</v>
      </c>
      <c r="AI18" s="110">
        <v>0.8</v>
      </c>
      <c r="AJ18" s="110">
        <v>0</v>
      </c>
      <c r="AK18" s="110">
        <v>0.8</v>
      </c>
      <c r="AL18" s="110">
        <v>0</v>
      </c>
      <c r="AM18" s="110">
        <v>0.8</v>
      </c>
      <c r="AN18" s="110">
        <v>0</v>
      </c>
      <c r="AO18" s="110">
        <v>0</v>
      </c>
      <c r="AP18" s="110">
        <v>0</v>
      </c>
      <c r="AQ18" s="110">
        <v>0</v>
      </c>
      <c r="AR18" s="110">
        <v>0</v>
      </c>
      <c r="AS18" s="110">
        <v>0</v>
      </c>
      <c r="AT18" s="110">
        <v>0</v>
      </c>
    </row>
    <row r="19" spans="1:46" customFormat="1" x14ac:dyDescent="0.15">
      <c r="A19" s="191" t="s">
        <v>209</v>
      </c>
      <c r="B19" s="110">
        <v>0</v>
      </c>
      <c r="C19" s="110">
        <v>0</v>
      </c>
      <c r="D19" s="110">
        <v>0</v>
      </c>
      <c r="E19" s="110">
        <v>0</v>
      </c>
      <c r="F19" s="110">
        <v>0</v>
      </c>
      <c r="G19" s="110">
        <v>0.8</v>
      </c>
      <c r="H19" s="110">
        <v>0</v>
      </c>
      <c r="I19" s="110">
        <v>0</v>
      </c>
      <c r="J19" s="110">
        <v>0</v>
      </c>
      <c r="K19" s="110">
        <v>0</v>
      </c>
      <c r="L19" s="110">
        <v>0</v>
      </c>
      <c r="M19" s="110">
        <v>0</v>
      </c>
      <c r="N19" s="110">
        <v>0</v>
      </c>
      <c r="O19" s="110">
        <v>0</v>
      </c>
      <c r="P19" s="110">
        <v>0</v>
      </c>
      <c r="Q19" s="110">
        <v>0</v>
      </c>
      <c r="R19" s="110">
        <v>0</v>
      </c>
      <c r="S19" s="110">
        <v>0</v>
      </c>
      <c r="T19" s="110">
        <v>0</v>
      </c>
      <c r="U19" s="110">
        <v>0</v>
      </c>
      <c r="V19" s="110">
        <v>0</v>
      </c>
      <c r="W19" s="110">
        <v>0</v>
      </c>
      <c r="X19" s="110">
        <v>0</v>
      </c>
      <c r="Y19" s="110">
        <v>0</v>
      </c>
      <c r="Z19" s="110">
        <v>0</v>
      </c>
      <c r="AA19" s="110">
        <v>0</v>
      </c>
      <c r="AB19" s="110">
        <v>0</v>
      </c>
      <c r="AC19" s="110">
        <v>0</v>
      </c>
      <c r="AD19" s="110">
        <v>0</v>
      </c>
      <c r="AE19" s="110">
        <v>0</v>
      </c>
      <c r="AF19" s="110">
        <v>0</v>
      </c>
      <c r="AG19" s="110">
        <v>0</v>
      </c>
      <c r="AH19" s="110">
        <v>0</v>
      </c>
      <c r="AI19" s="110">
        <v>0</v>
      </c>
      <c r="AJ19" s="110">
        <v>0</v>
      </c>
      <c r="AK19" s="110">
        <v>0</v>
      </c>
      <c r="AL19" s="110">
        <v>0</v>
      </c>
      <c r="AM19" s="110">
        <v>0</v>
      </c>
      <c r="AN19" s="110">
        <v>0</v>
      </c>
      <c r="AO19" s="110">
        <v>0</v>
      </c>
      <c r="AP19" s="110">
        <v>0</v>
      </c>
      <c r="AQ19" s="110">
        <v>0</v>
      </c>
      <c r="AR19" s="110">
        <v>0</v>
      </c>
      <c r="AS19" s="110">
        <v>0</v>
      </c>
      <c r="AT19" s="110">
        <v>0</v>
      </c>
    </row>
    <row r="20" spans="1:46" customFormat="1" x14ac:dyDescent="0.15">
      <c r="A20" s="191" t="s">
        <v>210</v>
      </c>
      <c r="B20" s="110">
        <v>0</v>
      </c>
      <c r="C20" s="110">
        <v>0</v>
      </c>
      <c r="D20" s="110">
        <v>0</v>
      </c>
      <c r="E20" s="110">
        <v>0</v>
      </c>
      <c r="F20" s="110">
        <v>0</v>
      </c>
      <c r="G20" s="110">
        <v>0.8</v>
      </c>
      <c r="H20" s="110">
        <v>0</v>
      </c>
      <c r="I20" s="110">
        <v>0.8</v>
      </c>
      <c r="J20" s="110">
        <v>0</v>
      </c>
      <c r="K20" s="110">
        <v>0</v>
      </c>
      <c r="L20" s="110">
        <v>0</v>
      </c>
      <c r="M20" s="110">
        <v>0</v>
      </c>
      <c r="N20" s="110">
        <v>0</v>
      </c>
      <c r="O20" s="110">
        <v>0</v>
      </c>
      <c r="P20" s="110">
        <v>0</v>
      </c>
      <c r="Q20" s="110">
        <v>0</v>
      </c>
      <c r="R20" s="110">
        <v>0</v>
      </c>
      <c r="S20" s="110">
        <v>0</v>
      </c>
      <c r="T20" s="110">
        <v>0.8</v>
      </c>
      <c r="U20" s="110">
        <v>0</v>
      </c>
      <c r="V20" s="110">
        <v>0</v>
      </c>
      <c r="W20" s="110">
        <v>0</v>
      </c>
      <c r="X20" s="110">
        <v>0</v>
      </c>
      <c r="Y20" s="110">
        <v>0</v>
      </c>
      <c r="Z20" s="110">
        <v>0</v>
      </c>
      <c r="AA20" s="110">
        <v>0</v>
      </c>
      <c r="AB20" s="110">
        <v>0</v>
      </c>
      <c r="AC20" s="110">
        <v>0</v>
      </c>
      <c r="AD20" s="110">
        <v>0</v>
      </c>
      <c r="AE20" s="110">
        <v>0</v>
      </c>
      <c r="AF20" s="110">
        <v>0</v>
      </c>
      <c r="AG20" s="110">
        <v>0</v>
      </c>
      <c r="AH20" s="110">
        <v>0</v>
      </c>
      <c r="AI20" s="110">
        <v>0</v>
      </c>
      <c r="AJ20" s="110">
        <v>0</v>
      </c>
      <c r="AK20" s="110">
        <v>0</v>
      </c>
      <c r="AL20" s="110">
        <v>0</v>
      </c>
      <c r="AM20" s="110">
        <v>0</v>
      </c>
      <c r="AN20" s="110">
        <v>0</v>
      </c>
      <c r="AO20" s="110">
        <v>0</v>
      </c>
      <c r="AP20" s="110">
        <v>0</v>
      </c>
      <c r="AQ20" s="110">
        <v>0</v>
      </c>
      <c r="AR20" s="110">
        <v>0</v>
      </c>
      <c r="AS20" s="110">
        <v>0</v>
      </c>
      <c r="AT20" s="110">
        <v>0</v>
      </c>
    </row>
    <row r="21" spans="1:46" customFormat="1" x14ac:dyDescent="0.15">
      <c r="A21" s="191" t="s">
        <v>211</v>
      </c>
      <c r="B21" s="110">
        <v>0</v>
      </c>
      <c r="C21" s="110">
        <v>0</v>
      </c>
      <c r="D21" s="110">
        <v>0</v>
      </c>
      <c r="E21" s="110">
        <v>0</v>
      </c>
      <c r="F21" s="110">
        <v>0</v>
      </c>
      <c r="G21" s="110">
        <v>0.8</v>
      </c>
      <c r="H21" s="110">
        <v>0</v>
      </c>
      <c r="I21" s="110">
        <v>0</v>
      </c>
      <c r="J21" s="110">
        <v>0</v>
      </c>
      <c r="K21" s="110">
        <v>0</v>
      </c>
      <c r="L21" s="110">
        <v>0</v>
      </c>
      <c r="M21" s="110">
        <v>0</v>
      </c>
      <c r="N21" s="110">
        <v>0</v>
      </c>
      <c r="O21" s="110">
        <v>0</v>
      </c>
      <c r="P21" s="110">
        <v>0</v>
      </c>
      <c r="Q21" s="110">
        <v>0</v>
      </c>
      <c r="R21" s="110">
        <v>0</v>
      </c>
      <c r="S21" s="110">
        <v>0</v>
      </c>
      <c r="T21" s="110">
        <v>0.8</v>
      </c>
      <c r="U21" s="110">
        <v>0</v>
      </c>
      <c r="V21" s="110">
        <v>0.8</v>
      </c>
      <c r="W21" s="110">
        <v>0</v>
      </c>
      <c r="X21" s="110">
        <v>0</v>
      </c>
      <c r="Y21" s="110">
        <v>0</v>
      </c>
      <c r="Z21" s="110">
        <v>0</v>
      </c>
      <c r="AA21" s="110">
        <v>0</v>
      </c>
      <c r="AB21" s="110">
        <v>0</v>
      </c>
      <c r="AC21" s="110">
        <v>0</v>
      </c>
      <c r="AD21" s="110">
        <v>0</v>
      </c>
      <c r="AE21" s="110">
        <v>0</v>
      </c>
      <c r="AF21" s="110">
        <v>0</v>
      </c>
      <c r="AG21" s="110">
        <v>0</v>
      </c>
      <c r="AH21" s="110">
        <v>0</v>
      </c>
      <c r="AI21" s="110">
        <v>0</v>
      </c>
      <c r="AJ21" s="110">
        <v>0</v>
      </c>
      <c r="AK21" s="110">
        <v>0</v>
      </c>
      <c r="AL21" s="110">
        <v>0</v>
      </c>
      <c r="AM21" s="110">
        <v>0</v>
      </c>
      <c r="AN21" s="110">
        <v>0</v>
      </c>
      <c r="AO21" s="110">
        <v>0</v>
      </c>
      <c r="AP21" s="110">
        <v>0</v>
      </c>
      <c r="AQ21" s="110">
        <v>0</v>
      </c>
      <c r="AR21" s="110">
        <v>0</v>
      </c>
      <c r="AS21" s="110">
        <v>0</v>
      </c>
      <c r="AT21" s="110">
        <v>0</v>
      </c>
    </row>
    <row r="22" spans="1:46" customFormat="1" x14ac:dyDescent="0.15">
      <c r="A22" s="191" t="s">
        <v>212</v>
      </c>
      <c r="B22" s="110">
        <v>0</v>
      </c>
      <c r="C22" s="110">
        <v>0</v>
      </c>
      <c r="D22" s="110">
        <v>0</v>
      </c>
      <c r="E22" s="110">
        <v>0</v>
      </c>
      <c r="F22" s="110">
        <v>0.8</v>
      </c>
      <c r="G22" s="110">
        <v>0.8</v>
      </c>
      <c r="H22" s="110">
        <v>0</v>
      </c>
      <c r="I22" s="110">
        <v>0.8</v>
      </c>
      <c r="J22" s="110">
        <v>0.8</v>
      </c>
      <c r="K22" s="110">
        <v>0</v>
      </c>
      <c r="L22" s="110">
        <v>0.8</v>
      </c>
      <c r="M22" s="110">
        <v>0.8</v>
      </c>
      <c r="N22" s="110">
        <v>0</v>
      </c>
      <c r="O22" s="110">
        <v>0</v>
      </c>
      <c r="P22" s="110">
        <v>0</v>
      </c>
      <c r="Q22" s="110">
        <v>0</v>
      </c>
      <c r="R22" s="110">
        <v>0</v>
      </c>
      <c r="S22" s="110">
        <v>0</v>
      </c>
      <c r="T22" s="110">
        <v>0.8</v>
      </c>
      <c r="U22" s="110">
        <v>0</v>
      </c>
      <c r="V22" s="110">
        <v>0.8</v>
      </c>
      <c r="W22" s="110">
        <v>0</v>
      </c>
      <c r="X22" s="110">
        <v>0</v>
      </c>
      <c r="Y22" s="110">
        <v>0</v>
      </c>
      <c r="Z22" s="110">
        <v>0</v>
      </c>
      <c r="AA22" s="110">
        <v>0</v>
      </c>
      <c r="AB22" s="110">
        <v>0</v>
      </c>
      <c r="AC22" s="110">
        <v>0</v>
      </c>
      <c r="AD22" s="110">
        <v>0</v>
      </c>
      <c r="AE22" s="110">
        <v>0</v>
      </c>
      <c r="AF22" s="110">
        <v>0</v>
      </c>
      <c r="AG22" s="110">
        <v>0.8</v>
      </c>
      <c r="AH22" s="110">
        <v>0</v>
      </c>
      <c r="AI22" s="110">
        <v>0</v>
      </c>
      <c r="AJ22" s="110">
        <v>0</v>
      </c>
      <c r="AK22" s="110">
        <v>0</v>
      </c>
      <c r="AL22" s="110">
        <v>0</v>
      </c>
      <c r="AM22" s="110">
        <v>0</v>
      </c>
      <c r="AN22" s="110">
        <v>0</v>
      </c>
      <c r="AO22" s="110">
        <v>0</v>
      </c>
      <c r="AP22" s="110">
        <v>0</v>
      </c>
      <c r="AQ22" s="110">
        <v>0</v>
      </c>
      <c r="AR22" s="110">
        <v>0</v>
      </c>
      <c r="AS22" s="110">
        <v>0</v>
      </c>
      <c r="AT22" s="110">
        <v>0</v>
      </c>
    </row>
    <row r="23" spans="1:46" customFormat="1" x14ac:dyDescent="0.15">
      <c r="A23" s="191" t="s">
        <v>213</v>
      </c>
      <c r="B23" s="110">
        <v>0</v>
      </c>
      <c r="C23" s="110">
        <v>0</v>
      </c>
      <c r="D23" s="110">
        <v>0</v>
      </c>
      <c r="E23" s="110">
        <v>0</v>
      </c>
      <c r="F23" s="110">
        <v>0</v>
      </c>
      <c r="G23" s="110">
        <v>0.8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10">
        <v>0</v>
      </c>
      <c r="P23" s="110">
        <v>0</v>
      </c>
      <c r="Q23" s="110">
        <v>0</v>
      </c>
      <c r="R23" s="110">
        <v>0</v>
      </c>
      <c r="S23" s="110">
        <v>0</v>
      </c>
      <c r="T23" s="110">
        <v>0</v>
      </c>
      <c r="U23" s="110">
        <v>0</v>
      </c>
      <c r="V23" s="110">
        <v>0</v>
      </c>
      <c r="W23" s="110">
        <v>0</v>
      </c>
      <c r="X23" s="110">
        <v>0</v>
      </c>
      <c r="Y23" s="110">
        <v>0</v>
      </c>
      <c r="Z23" s="110">
        <v>0</v>
      </c>
      <c r="AA23" s="110">
        <v>0</v>
      </c>
      <c r="AB23" s="110">
        <v>0</v>
      </c>
      <c r="AC23" s="110">
        <v>0</v>
      </c>
      <c r="AD23" s="110">
        <v>0</v>
      </c>
      <c r="AE23" s="110">
        <v>0</v>
      </c>
      <c r="AF23" s="110">
        <v>0</v>
      </c>
      <c r="AG23" s="110">
        <v>0</v>
      </c>
      <c r="AH23" s="110">
        <v>0</v>
      </c>
      <c r="AI23" s="110">
        <v>0</v>
      </c>
      <c r="AJ23" s="110">
        <v>0</v>
      </c>
      <c r="AK23" s="110">
        <v>0</v>
      </c>
      <c r="AL23" s="110">
        <v>0</v>
      </c>
      <c r="AM23" s="110">
        <v>0</v>
      </c>
      <c r="AN23" s="110">
        <v>0</v>
      </c>
      <c r="AO23" s="110">
        <v>0</v>
      </c>
      <c r="AP23" s="110">
        <v>0</v>
      </c>
      <c r="AQ23" s="110">
        <v>0</v>
      </c>
      <c r="AR23" s="110">
        <v>0</v>
      </c>
      <c r="AS23" s="110">
        <v>0</v>
      </c>
      <c r="AT23" s="110">
        <v>0</v>
      </c>
    </row>
    <row r="24" spans="1:46" customFormat="1" x14ac:dyDescent="0.15">
      <c r="A24" s="191" t="s">
        <v>214</v>
      </c>
      <c r="B24" s="110">
        <v>0</v>
      </c>
      <c r="C24" s="110">
        <v>0</v>
      </c>
      <c r="D24" s="110">
        <v>0</v>
      </c>
      <c r="E24" s="110">
        <v>0</v>
      </c>
      <c r="F24" s="110">
        <v>0</v>
      </c>
      <c r="G24" s="110">
        <v>0.8</v>
      </c>
      <c r="H24" s="110">
        <v>0</v>
      </c>
      <c r="I24" s="110">
        <v>0.8</v>
      </c>
      <c r="J24" s="110">
        <v>0.8</v>
      </c>
      <c r="K24" s="110">
        <v>0</v>
      </c>
      <c r="L24" s="110">
        <v>0.8</v>
      </c>
      <c r="M24" s="110">
        <v>0.8</v>
      </c>
      <c r="N24" s="110">
        <v>0</v>
      </c>
      <c r="O24" s="110">
        <v>0</v>
      </c>
      <c r="P24" s="110">
        <v>0</v>
      </c>
      <c r="Q24" s="110">
        <v>0</v>
      </c>
      <c r="R24" s="110">
        <v>0</v>
      </c>
      <c r="S24" s="110">
        <v>0</v>
      </c>
      <c r="T24" s="110">
        <v>0.8</v>
      </c>
      <c r="U24" s="110">
        <v>0</v>
      </c>
      <c r="V24" s="110">
        <v>0.8</v>
      </c>
      <c r="W24" s="110">
        <v>0</v>
      </c>
      <c r="X24" s="110">
        <v>0</v>
      </c>
      <c r="Y24" s="110">
        <v>0</v>
      </c>
      <c r="Z24" s="110">
        <v>0</v>
      </c>
      <c r="AA24" s="110">
        <v>0</v>
      </c>
      <c r="AB24" s="110">
        <v>0</v>
      </c>
      <c r="AC24" s="110">
        <v>0</v>
      </c>
      <c r="AD24" s="110">
        <v>0</v>
      </c>
      <c r="AE24" s="110">
        <v>0</v>
      </c>
      <c r="AF24" s="110">
        <v>0</v>
      </c>
      <c r="AG24" s="110">
        <v>0</v>
      </c>
      <c r="AH24" s="110">
        <v>0</v>
      </c>
      <c r="AI24" s="110">
        <v>0</v>
      </c>
      <c r="AJ24" s="110">
        <v>0</v>
      </c>
      <c r="AK24" s="110">
        <v>0</v>
      </c>
      <c r="AL24" s="110">
        <v>0</v>
      </c>
      <c r="AM24" s="110">
        <v>0</v>
      </c>
      <c r="AN24" s="110">
        <v>0</v>
      </c>
      <c r="AO24" s="110">
        <v>0</v>
      </c>
      <c r="AP24" s="110">
        <v>0</v>
      </c>
      <c r="AQ24" s="110">
        <v>0</v>
      </c>
      <c r="AR24" s="110">
        <v>0</v>
      </c>
      <c r="AS24" s="110">
        <v>0</v>
      </c>
      <c r="AT24" s="110">
        <v>0</v>
      </c>
    </row>
    <row r="25" spans="1:46" customFormat="1" x14ac:dyDescent="0.15">
      <c r="A25" s="191" t="s">
        <v>215</v>
      </c>
      <c r="B25" s="110">
        <v>0</v>
      </c>
      <c r="C25" s="110">
        <v>0</v>
      </c>
      <c r="D25" s="110">
        <v>0</v>
      </c>
      <c r="E25" s="110">
        <v>0.8</v>
      </c>
      <c r="F25" s="110">
        <v>0</v>
      </c>
      <c r="G25" s="110">
        <v>0.8</v>
      </c>
      <c r="H25" s="110">
        <v>0</v>
      </c>
      <c r="I25" s="110">
        <v>0.8</v>
      </c>
      <c r="J25" s="110">
        <v>0</v>
      </c>
      <c r="K25" s="110">
        <v>0</v>
      </c>
      <c r="L25" s="110">
        <v>0</v>
      </c>
      <c r="M25" s="110">
        <v>0</v>
      </c>
      <c r="N25" s="110">
        <v>0</v>
      </c>
      <c r="O25" s="110">
        <v>0</v>
      </c>
      <c r="P25" s="110">
        <v>0</v>
      </c>
      <c r="Q25" s="110">
        <v>0</v>
      </c>
      <c r="R25" s="110">
        <v>0</v>
      </c>
      <c r="S25" s="110">
        <v>0</v>
      </c>
      <c r="T25" s="110">
        <v>0</v>
      </c>
      <c r="U25" s="110">
        <v>0</v>
      </c>
      <c r="V25" s="110">
        <v>0</v>
      </c>
      <c r="W25" s="110">
        <v>0</v>
      </c>
      <c r="X25" s="110">
        <v>0</v>
      </c>
      <c r="Y25" s="110">
        <v>0</v>
      </c>
      <c r="Z25" s="110">
        <v>0</v>
      </c>
      <c r="AA25" s="110">
        <v>0</v>
      </c>
      <c r="AB25" s="110">
        <v>0</v>
      </c>
      <c r="AC25" s="110">
        <v>0</v>
      </c>
      <c r="AD25" s="110">
        <v>0</v>
      </c>
      <c r="AE25" s="110">
        <v>0</v>
      </c>
      <c r="AF25" s="110">
        <v>0</v>
      </c>
      <c r="AG25" s="110">
        <v>0</v>
      </c>
      <c r="AH25" s="110">
        <v>0</v>
      </c>
      <c r="AI25" s="110">
        <v>0</v>
      </c>
      <c r="AJ25" s="110">
        <v>0</v>
      </c>
      <c r="AK25" s="110">
        <v>0</v>
      </c>
      <c r="AL25" s="110">
        <v>0</v>
      </c>
      <c r="AM25" s="110">
        <v>0</v>
      </c>
      <c r="AN25" s="110">
        <v>0</v>
      </c>
      <c r="AO25" s="110">
        <v>0</v>
      </c>
      <c r="AP25" s="110">
        <v>0</v>
      </c>
      <c r="AQ25" s="110">
        <v>0</v>
      </c>
      <c r="AR25" s="110">
        <v>0</v>
      </c>
      <c r="AS25" s="110">
        <v>0</v>
      </c>
      <c r="AT25" s="110">
        <v>0</v>
      </c>
    </row>
    <row r="26" spans="1:46" customFormat="1" x14ac:dyDescent="0.15">
      <c r="A26" s="191" t="s">
        <v>216</v>
      </c>
      <c r="B26" s="110">
        <v>0</v>
      </c>
      <c r="C26" s="110">
        <v>0</v>
      </c>
      <c r="D26" s="110">
        <v>0</v>
      </c>
      <c r="E26" s="110">
        <v>0</v>
      </c>
      <c r="F26" s="110">
        <v>0</v>
      </c>
      <c r="G26" s="110">
        <v>0.8</v>
      </c>
      <c r="H26" s="110">
        <v>0</v>
      </c>
      <c r="I26" s="110">
        <v>0.8</v>
      </c>
      <c r="J26" s="110">
        <v>0</v>
      </c>
      <c r="K26" s="110">
        <v>0</v>
      </c>
      <c r="L26" s="110">
        <v>0</v>
      </c>
      <c r="M26" s="110">
        <v>0</v>
      </c>
      <c r="N26" s="110">
        <v>0</v>
      </c>
      <c r="O26" s="110">
        <v>0</v>
      </c>
      <c r="P26" s="110">
        <v>0</v>
      </c>
      <c r="Q26" s="110">
        <v>0</v>
      </c>
      <c r="R26" s="110">
        <v>0</v>
      </c>
      <c r="S26" s="110">
        <v>0.8</v>
      </c>
      <c r="T26" s="110">
        <v>0</v>
      </c>
      <c r="U26" s="110">
        <v>0.8</v>
      </c>
      <c r="V26" s="110">
        <v>0</v>
      </c>
      <c r="W26" s="110">
        <v>0</v>
      </c>
      <c r="X26" s="110">
        <v>0</v>
      </c>
      <c r="Y26" s="110">
        <v>0</v>
      </c>
      <c r="Z26" s="110">
        <v>0</v>
      </c>
      <c r="AA26" s="110">
        <v>0</v>
      </c>
      <c r="AB26" s="110">
        <v>0</v>
      </c>
      <c r="AC26" s="110">
        <v>0</v>
      </c>
      <c r="AD26" s="110">
        <v>0</v>
      </c>
      <c r="AE26" s="110">
        <v>0</v>
      </c>
      <c r="AF26" s="110">
        <v>0</v>
      </c>
      <c r="AG26" s="110">
        <v>0</v>
      </c>
      <c r="AH26" s="110">
        <v>0</v>
      </c>
      <c r="AI26" s="110">
        <v>0</v>
      </c>
      <c r="AJ26" s="110">
        <v>0</v>
      </c>
      <c r="AK26" s="110">
        <v>0</v>
      </c>
      <c r="AL26" s="110">
        <v>0</v>
      </c>
      <c r="AM26" s="110">
        <v>0</v>
      </c>
      <c r="AN26" s="110">
        <v>0</v>
      </c>
      <c r="AO26" s="110">
        <v>0</v>
      </c>
      <c r="AP26" s="110">
        <v>0</v>
      </c>
      <c r="AQ26" s="110">
        <v>0</v>
      </c>
      <c r="AR26" s="110">
        <v>0</v>
      </c>
      <c r="AS26" s="110">
        <v>0</v>
      </c>
      <c r="AT26" s="110">
        <v>0</v>
      </c>
    </row>
    <row r="27" spans="1:46" customFormat="1" x14ac:dyDescent="0.15">
      <c r="A27" s="191" t="s">
        <v>217</v>
      </c>
      <c r="B27" s="110">
        <v>0</v>
      </c>
      <c r="C27" s="110">
        <v>0.8</v>
      </c>
      <c r="D27" s="110">
        <v>0</v>
      </c>
      <c r="E27" s="110">
        <v>0.8</v>
      </c>
      <c r="F27" s="110">
        <v>0</v>
      </c>
      <c r="G27" s="110">
        <v>0.8</v>
      </c>
      <c r="H27" s="110">
        <v>0</v>
      </c>
      <c r="I27" s="110">
        <v>0</v>
      </c>
      <c r="J27" s="110">
        <v>0</v>
      </c>
      <c r="K27" s="110">
        <v>0.8</v>
      </c>
      <c r="L27" s="110">
        <v>0.8</v>
      </c>
      <c r="M27" s="110">
        <v>0</v>
      </c>
      <c r="N27" s="110">
        <v>0</v>
      </c>
      <c r="O27" s="110">
        <v>0</v>
      </c>
      <c r="P27" s="110">
        <v>0</v>
      </c>
      <c r="Q27" s="110">
        <v>0</v>
      </c>
      <c r="R27" s="110">
        <v>0</v>
      </c>
      <c r="S27" s="110">
        <v>0.8</v>
      </c>
      <c r="T27" s="110">
        <v>0</v>
      </c>
      <c r="U27" s="110">
        <v>0.8</v>
      </c>
      <c r="V27" s="110">
        <v>0.8</v>
      </c>
      <c r="W27" s="110">
        <v>0</v>
      </c>
      <c r="X27" s="110">
        <v>0</v>
      </c>
      <c r="Y27" s="110">
        <v>0</v>
      </c>
      <c r="Z27" s="110">
        <v>0</v>
      </c>
      <c r="AA27" s="110">
        <v>0</v>
      </c>
      <c r="AB27" s="110">
        <v>0</v>
      </c>
      <c r="AC27" s="110">
        <v>0</v>
      </c>
      <c r="AD27" s="110">
        <v>0</v>
      </c>
      <c r="AE27" s="110">
        <v>0</v>
      </c>
      <c r="AF27" s="110">
        <v>0</v>
      </c>
      <c r="AG27" s="110">
        <v>0</v>
      </c>
      <c r="AH27" s="110">
        <v>0</v>
      </c>
      <c r="AI27" s="110">
        <v>0</v>
      </c>
      <c r="AJ27" s="110">
        <v>0</v>
      </c>
      <c r="AK27" s="110">
        <v>0</v>
      </c>
      <c r="AL27" s="110">
        <v>0</v>
      </c>
      <c r="AM27" s="110">
        <v>0</v>
      </c>
      <c r="AN27" s="110">
        <v>0</v>
      </c>
      <c r="AO27" s="110">
        <v>0</v>
      </c>
      <c r="AP27" s="110">
        <v>0</v>
      </c>
      <c r="AQ27" s="110">
        <v>0</v>
      </c>
      <c r="AR27" s="110">
        <v>0</v>
      </c>
      <c r="AS27" s="110">
        <v>0</v>
      </c>
      <c r="AT27" s="110">
        <v>0</v>
      </c>
    </row>
    <row r="28" spans="1:46" customFormat="1" x14ac:dyDescent="0.15">
      <c r="A28" s="191" t="s">
        <v>218</v>
      </c>
      <c r="B28" s="110">
        <v>0</v>
      </c>
      <c r="C28" s="110">
        <v>0</v>
      </c>
      <c r="D28" s="110">
        <v>0</v>
      </c>
      <c r="E28" s="110">
        <v>0</v>
      </c>
      <c r="F28" s="110">
        <v>0</v>
      </c>
      <c r="G28" s="110">
        <v>0.8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110">
        <v>0</v>
      </c>
      <c r="O28" s="110">
        <v>0</v>
      </c>
      <c r="P28" s="110">
        <v>0</v>
      </c>
      <c r="Q28" s="110">
        <v>0</v>
      </c>
      <c r="R28" s="110">
        <v>0</v>
      </c>
      <c r="S28" s="110">
        <v>0.8</v>
      </c>
      <c r="T28" s="110">
        <v>0.8</v>
      </c>
      <c r="U28" s="110">
        <v>0</v>
      </c>
      <c r="V28" s="110">
        <v>0.8</v>
      </c>
      <c r="W28" s="110">
        <v>0</v>
      </c>
      <c r="X28" s="110">
        <v>0.8</v>
      </c>
      <c r="Y28" s="110">
        <v>0.8</v>
      </c>
      <c r="Z28" s="110">
        <v>0</v>
      </c>
      <c r="AA28" s="110">
        <v>0</v>
      </c>
      <c r="AB28" s="110">
        <v>0</v>
      </c>
      <c r="AC28" s="110">
        <v>0</v>
      </c>
      <c r="AD28" s="110">
        <v>0</v>
      </c>
      <c r="AE28" s="110">
        <v>0</v>
      </c>
      <c r="AF28" s="110">
        <v>0</v>
      </c>
      <c r="AG28" s="110">
        <v>0</v>
      </c>
      <c r="AH28" s="110">
        <v>0</v>
      </c>
      <c r="AI28" s="110">
        <v>0</v>
      </c>
      <c r="AJ28" s="110">
        <v>0</v>
      </c>
      <c r="AK28" s="110">
        <v>0</v>
      </c>
      <c r="AL28" s="110">
        <v>0</v>
      </c>
      <c r="AM28" s="110">
        <v>0</v>
      </c>
      <c r="AN28" s="110">
        <v>0</v>
      </c>
      <c r="AO28" s="110">
        <v>0</v>
      </c>
      <c r="AP28" s="110">
        <v>0</v>
      </c>
      <c r="AQ28" s="110">
        <v>0</v>
      </c>
      <c r="AR28" s="110">
        <v>0</v>
      </c>
      <c r="AS28" s="110">
        <v>0</v>
      </c>
      <c r="AT28" s="110">
        <v>0</v>
      </c>
    </row>
    <row r="29" spans="1:46" customFormat="1" x14ac:dyDescent="0.15">
      <c r="A29" s="191" t="s">
        <v>219</v>
      </c>
      <c r="B29" s="110">
        <v>0</v>
      </c>
      <c r="C29" s="110">
        <v>0.8</v>
      </c>
      <c r="D29" s="110">
        <v>0</v>
      </c>
      <c r="E29" s="110">
        <v>0.8</v>
      </c>
      <c r="F29" s="110">
        <v>0.8</v>
      </c>
      <c r="G29" s="110">
        <v>0.8</v>
      </c>
      <c r="H29" s="110">
        <v>0</v>
      </c>
      <c r="I29" s="110">
        <v>0.8</v>
      </c>
      <c r="J29" s="110">
        <v>0.8</v>
      </c>
      <c r="K29" s="110">
        <v>0</v>
      </c>
      <c r="L29" s="110">
        <v>0.8</v>
      </c>
      <c r="M29" s="110">
        <v>0.8</v>
      </c>
      <c r="N29" s="110">
        <v>0</v>
      </c>
      <c r="O29" s="110">
        <v>0</v>
      </c>
      <c r="P29" s="110">
        <v>0</v>
      </c>
      <c r="Q29" s="110">
        <v>0</v>
      </c>
      <c r="R29" s="110">
        <v>0</v>
      </c>
      <c r="S29" s="110">
        <v>0.8</v>
      </c>
      <c r="T29" s="110">
        <v>0.8</v>
      </c>
      <c r="U29" s="110">
        <v>0</v>
      </c>
      <c r="V29" s="110">
        <v>0.8</v>
      </c>
      <c r="W29" s="110">
        <v>0</v>
      </c>
      <c r="X29" s="110">
        <v>0.8</v>
      </c>
      <c r="Y29" s="110">
        <v>0.8</v>
      </c>
      <c r="Z29" s="110">
        <v>0</v>
      </c>
      <c r="AA29" s="110">
        <v>0</v>
      </c>
      <c r="AB29" s="110">
        <v>0</v>
      </c>
      <c r="AC29" s="110">
        <v>0</v>
      </c>
      <c r="AD29" s="110">
        <v>0</v>
      </c>
      <c r="AE29" s="110">
        <v>0</v>
      </c>
      <c r="AF29" s="110">
        <v>0</v>
      </c>
      <c r="AG29" s="110">
        <v>0</v>
      </c>
      <c r="AH29" s="110">
        <v>0</v>
      </c>
      <c r="AI29" s="110">
        <v>0</v>
      </c>
      <c r="AJ29" s="110">
        <v>0</v>
      </c>
      <c r="AK29" s="110">
        <v>0</v>
      </c>
      <c r="AL29" s="110">
        <v>0</v>
      </c>
      <c r="AM29" s="110">
        <v>0</v>
      </c>
      <c r="AN29" s="110">
        <v>0</v>
      </c>
      <c r="AO29" s="110">
        <v>0</v>
      </c>
      <c r="AP29" s="110">
        <v>0</v>
      </c>
      <c r="AQ29" s="110">
        <v>0</v>
      </c>
      <c r="AR29" s="110">
        <v>0</v>
      </c>
      <c r="AS29" s="110">
        <v>0</v>
      </c>
      <c r="AT29" s="110">
        <v>0</v>
      </c>
    </row>
    <row r="30" spans="1:46" customFormat="1" x14ac:dyDescent="0.15">
      <c r="A30" s="191" t="s">
        <v>220</v>
      </c>
      <c r="B30" s="110">
        <v>0</v>
      </c>
      <c r="C30" s="110">
        <v>0.8</v>
      </c>
      <c r="D30" s="110">
        <v>0</v>
      </c>
      <c r="E30" s="110">
        <v>0.8</v>
      </c>
      <c r="F30" s="110">
        <v>0</v>
      </c>
      <c r="G30" s="110">
        <v>0.8</v>
      </c>
      <c r="H30" s="110">
        <v>0</v>
      </c>
      <c r="I30" s="110">
        <v>0.8</v>
      </c>
      <c r="J30" s="110">
        <v>0</v>
      </c>
      <c r="K30" s="110">
        <v>0.8</v>
      </c>
      <c r="L30" s="110">
        <v>0</v>
      </c>
      <c r="M30" s="110">
        <v>0</v>
      </c>
      <c r="N30" s="110">
        <v>0</v>
      </c>
      <c r="O30" s="110">
        <v>0</v>
      </c>
      <c r="P30" s="110">
        <v>0</v>
      </c>
      <c r="Q30" s="110">
        <v>0</v>
      </c>
      <c r="R30" s="110">
        <v>0</v>
      </c>
      <c r="S30" s="110">
        <v>0.8</v>
      </c>
      <c r="T30" s="110">
        <v>0.8</v>
      </c>
      <c r="U30" s="110">
        <v>0.8</v>
      </c>
      <c r="V30" s="110">
        <v>0.8</v>
      </c>
      <c r="W30" s="110">
        <v>0</v>
      </c>
      <c r="X30" s="110">
        <v>0.8</v>
      </c>
      <c r="Y30" s="110">
        <v>0.8</v>
      </c>
      <c r="Z30" s="110">
        <v>0</v>
      </c>
      <c r="AA30" s="110">
        <v>0</v>
      </c>
      <c r="AB30" s="110">
        <v>0</v>
      </c>
      <c r="AC30" s="110">
        <v>0.8</v>
      </c>
      <c r="AD30" s="110">
        <v>0.8</v>
      </c>
      <c r="AE30" s="110">
        <v>0.8</v>
      </c>
      <c r="AF30" s="110">
        <v>0.8</v>
      </c>
      <c r="AG30" s="110">
        <v>0</v>
      </c>
      <c r="AH30" s="110">
        <v>0</v>
      </c>
      <c r="AI30" s="110">
        <v>0</v>
      </c>
      <c r="AJ30" s="110">
        <v>0</v>
      </c>
      <c r="AK30" s="110">
        <v>0</v>
      </c>
      <c r="AL30" s="110">
        <v>0</v>
      </c>
      <c r="AM30" s="110">
        <v>0</v>
      </c>
      <c r="AN30" s="110">
        <v>0</v>
      </c>
      <c r="AO30" s="110">
        <v>0</v>
      </c>
      <c r="AP30" s="110">
        <v>0</v>
      </c>
      <c r="AQ30" s="110">
        <v>0</v>
      </c>
      <c r="AR30" s="110">
        <v>0</v>
      </c>
      <c r="AS30" s="110">
        <v>0</v>
      </c>
      <c r="AT30" s="110">
        <v>0</v>
      </c>
    </row>
    <row r="31" spans="1:46" customFormat="1" x14ac:dyDescent="0.15">
      <c r="A31" s="191" t="s">
        <v>221</v>
      </c>
      <c r="B31" s="110">
        <v>0</v>
      </c>
      <c r="C31" s="110">
        <v>0</v>
      </c>
      <c r="D31" s="110">
        <v>0</v>
      </c>
      <c r="E31" s="110">
        <v>0</v>
      </c>
      <c r="F31" s="110">
        <v>0</v>
      </c>
      <c r="G31" s="110">
        <v>0</v>
      </c>
      <c r="H31" s="110">
        <v>0</v>
      </c>
      <c r="I31" s="110">
        <v>0</v>
      </c>
      <c r="J31" s="110">
        <v>0</v>
      </c>
      <c r="K31" s="110">
        <v>0</v>
      </c>
      <c r="L31" s="110">
        <v>0</v>
      </c>
      <c r="M31" s="110">
        <v>0</v>
      </c>
      <c r="N31" s="110">
        <v>0</v>
      </c>
      <c r="O31" s="110">
        <v>0</v>
      </c>
      <c r="P31" s="110">
        <v>0</v>
      </c>
      <c r="Q31" s="110">
        <v>0</v>
      </c>
      <c r="R31" s="110">
        <v>0</v>
      </c>
      <c r="S31" s="110">
        <v>0.8</v>
      </c>
      <c r="T31" s="110">
        <v>0.8</v>
      </c>
      <c r="U31" s="110">
        <v>0.8</v>
      </c>
      <c r="V31" s="110">
        <v>0.8</v>
      </c>
      <c r="W31" s="110">
        <v>0</v>
      </c>
      <c r="X31" s="110">
        <v>0.8</v>
      </c>
      <c r="Y31" s="110">
        <v>0.8</v>
      </c>
      <c r="Z31" s="110">
        <v>0</v>
      </c>
      <c r="AA31" s="110">
        <v>0</v>
      </c>
      <c r="AB31" s="110">
        <v>0</v>
      </c>
      <c r="AC31" s="110">
        <v>0</v>
      </c>
      <c r="AD31" s="110">
        <v>0</v>
      </c>
      <c r="AE31" s="110">
        <v>0</v>
      </c>
      <c r="AF31" s="110">
        <v>0</v>
      </c>
      <c r="AG31" s="110">
        <v>0</v>
      </c>
      <c r="AH31" s="110">
        <v>0</v>
      </c>
      <c r="AI31" s="110">
        <v>0</v>
      </c>
      <c r="AJ31" s="110">
        <v>0</v>
      </c>
      <c r="AK31" s="110">
        <v>0</v>
      </c>
      <c r="AL31" s="110">
        <v>0</v>
      </c>
      <c r="AM31" s="110">
        <v>0</v>
      </c>
      <c r="AN31" s="110">
        <v>0</v>
      </c>
      <c r="AO31" s="110">
        <v>0</v>
      </c>
      <c r="AP31" s="110">
        <v>0</v>
      </c>
      <c r="AQ31" s="110">
        <v>0</v>
      </c>
      <c r="AR31" s="110">
        <v>0</v>
      </c>
      <c r="AS31" s="110">
        <v>0</v>
      </c>
      <c r="AT31" s="110">
        <v>0</v>
      </c>
    </row>
    <row r="32" spans="1:46" customFormat="1" x14ac:dyDescent="0.15">
      <c r="A32" s="191" t="s">
        <v>222</v>
      </c>
      <c r="B32" s="110">
        <v>0</v>
      </c>
      <c r="C32" s="110">
        <v>0.8</v>
      </c>
      <c r="D32" s="110">
        <v>0</v>
      </c>
      <c r="E32" s="110">
        <v>0.8</v>
      </c>
      <c r="F32" s="110">
        <v>0.8</v>
      </c>
      <c r="G32" s="110">
        <v>0.8</v>
      </c>
      <c r="H32" s="110">
        <v>0.8</v>
      </c>
      <c r="I32" s="110">
        <v>0.8</v>
      </c>
      <c r="J32" s="110">
        <v>0.8</v>
      </c>
      <c r="K32" s="110">
        <v>0.8</v>
      </c>
      <c r="L32" s="110">
        <v>0.8</v>
      </c>
      <c r="M32" s="110">
        <v>0.8</v>
      </c>
      <c r="N32" s="110">
        <v>0</v>
      </c>
      <c r="O32" s="110">
        <v>0</v>
      </c>
      <c r="P32" s="110">
        <v>0</v>
      </c>
      <c r="Q32" s="110">
        <v>0</v>
      </c>
      <c r="R32" s="110">
        <v>0</v>
      </c>
      <c r="S32" s="110">
        <v>0.8</v>
      </c>
      <c r="T32" s="110">
        <v>0.8</v>
      </c>
      <c r="U32" s="110">
        <v>0.8</v>
      </c>
      <c r="V32" s="110">
        <v>0.8</v>
      </c>
      <c r="W32" s="110">
        <v>0</v>
      </c>
      <c r="X32" s="110">
        <v>0.8</v>
      </c>
      <c r="Y32" s="110">
        <v>0.8</v>
      </c>
      <c r="Z32" s="110">
        <v>0</v>
      </c>
      <c r="AA32" s="110">
        <v>0</v>
      </c>
      <c r="AB32" s="110">
        <v>0.8</v>
      </c>
      <c r="AC32" s="110">
        <v>0.8</v>
      </c>
      <c r="AD32" s="110">
        <v>0.8</v>
      </c>
      <c r="AE32" s="110">
        <v>0</v>
      </c>
      <c r="AF32" s="110">
        <v>0.8</v>
      </c>
      <c r="AG32" s="110">
        <v>0</v>
      </c>
      <c r="AH32" s="110">
        <v>0</v>
      </c>
      <c r="AI32" s="110">
        <v>0</v>
      </c>
      <c r="AJ32" s="110">
        <v>0</v>
      </c>
      <c r="AK32" s="110">
        <v>0</v>
      </c>
      <c r="AL32" s="110">
        <v>0</v>
      </c>
      <c r="AM32" s="110">
        <v>0.8</v>
      </c>
      <c r="AN32" s="110">
        <v>0</v>
      </c>
      <c r="AO32" s="110">
        <v>0</v>
      </c>
      <c r="AP32" s="110">
        <v>0</v>
      </c>
      <c r="AQ32" s="110">
        <v>0</v>
      </c>
      <c r="AR32" s="110">
        <v>0</v>
      </c>
      <c r="AS32" s="110">
        <v>0</v>
      </c>
      <c r="AT32" s="110">
        <v>0</v>
      </c>
    </row>
    <row r="33" spans="1:46" x14ac:dyDescent="0.15">
      <c r="A33" s="191" t="s">
        <v>223</v>
      </c>
      <c r="B33" s="110">
        <v>0</v>
      </c>
      <c r="C33" s="110">
        <v>0</v>
      </c>
      <c r="D33" s="110">
        <v>0</v>
      </c>
      <c r="E33" s="110">
        <v>0</v>
      </c>
      <c r="F33" s="110">
        <v>0.8</v>
      </c>
      <c r="G33" s="110">
        <v>0.8</v>
      </c>
      <c r="H33" s="110">
        <v>0.8</v>
      </c>
      <c r="I33" s="110">
        <v>0</v>
      </c>
      <c r="J33" s="110">
        <v>0</v>
      </c>
      <c r="K33" s="110">
        <v>0</v>
      </c>
      <c r="L33" s="110">
        <v>0</v>
      </c>
      <c r="M33" s="110">
        <v>0</v>
      </c>
      <c r="N33" s="110">
        <v>0</v>
      </c>
      <c r="O33" s="110">
        <v>0</v>
      </c>
      <c r="P33" s="110">
        <v>0</v>
      </c>
      <c r="Q33" s="110">
        <v>0</v>
      </c>
      <c r="R33" s="110">
        <v>0</v>
      </c>
      <c r="S33" s="110">
        <v>0</v>
      </c>
      <c r="T33" s="110">
        <v>0</v>
      </c>
      <c r="U33" s="110">
        <v>0</v>
      </c>
      <c r="V33" s="110">
        <v>0.8</v>
      </c>
      <c r="W33" s="110">
        <v>0</v>
      </c>
      <c r="X33" s="110">
        <v>0</v>
      </c>
      <c r="Y33" s="110">
        <v>0</v>
      </c>
      <c r="Z33" s="110">
        <v>0</v>
      </c>
      <c r="AA33" s="110">
        <v>0</v>
      </c>
      <c r="AB33" s="110">
        <v>0</v>
      </c>
      <c r="AC33" s="110">
        <v>0</v>
      </c>
      <c r="AD33" s="110">
        <v>0</v>
      </c>
      <c r="AE33" s="110">
        <v>0</v>
      </c>
      <c r="AF33" s="110">
        <v>0</v>
      </c>
      <c r="AG33" s="110">
        <v>0</v>
      </c>
      <c r="AH33" s="110">
        <v>0</v>
      </c>
      <c r="AI33" s="110">
        <v>0</v>
      </c>
      <c r="AJ33" s="110">
        <v>0</v>
      </c>
      <c r="AK33" s="110">
        <v>0</v>
      </c>
      <c r="AL33" s="110">
        <v>0</v>
      </c>
      <c r="AM33" s="110">
        <v>0</v>
      </c>
      <c r="AN33" s="110">
        <v>0</v>
      </c>
      <c r="AO33" s="110">
        <v>0</v>
      </c>
      <c r="AP33" s="110">
        <v>0</v>
      </c>
      <c r="AQ33" s="110">
        <v>0</v>
      </c>
      <c r="AR33" s="110">
        <v>0</v>
      </c>
      <c r="AS33" s="110">
        <v>0</v>
      </c>
      <c r="AT33" s="110">
        <v>0</v>
      </c>
    </row>
    <row r="34" spans="1:46" x14ac:dyDescent="0.15">
      <c r="A34" s="191" t="s">
        <v>224</v>
      </c>
      <c r="B34" s="110">
        <v>0.8</v>
      </c>
      <c r="C34" s="110">
        <v>0.8</v>
      </c>
      <c r="D34" s="110">
        <v>0</v>
      </c>
      <c r="E34" s="110">
        <v>0</v>
      </c>
      <c r="F34" s="110">
        <v>0.8</v>
      </c>
      <c r="G34" s="110">
        <v>0.8</v>
      </c>
      <c r="H34" s="110">
        <v>0.8</v>
      </c>
      <c r="I34" s="110">
        <v>0</v>
      </c>
      <c r="J34" s="110">
        <v>0</v>
      </c>
      <c r="K34" s="110">
        <v>0</v>
      </c>
      <c r="L34" s="110">
        <v>0</v>
      </c>
      <c r="M34" s="110">
        <v>0</v>
      </c>
      <c r="N34" s="110">
        <v>0</v>
      </c>
      <c r="O34" s="110">
        <v>0</v>
      </c>
      <c r="P34" s="110">
        <v>0</v>
      </c>
      <c r="Q34" s="110">
        <v>0</v>
      </c>
      <c r="R34" s="110">
        <v>0</v>
      </c>
      <c r="S34" s="110">
        <v>0</v>
      </c>
      <c r="T34" s="110">
        <v>0</v>
      </c>
      <c r="U34" s="110">
        <v>0</v>
      </c>
      <c r="V34" s="110">
        <v>0.8</v>
      </c>
      <c r="W34" s="110">
        <v>0</v>
      </c>
      <c r="X34" s="110">
        <v>0</v>
      </c>
      <c r="Y34" s="110">
        <v>0</v>
      </c>
      <c r="Z34" s="110">
        <v>0</v>
      </c>
      <c r="AA34" s="110">
        <v>0</v>
      </c>
      <c r="AB34" s="110">
        <v>0</v>
      </c>
      <c r="AC34" s="110">
        <v>0</v>
      </c>
      <c r="AD34" s="110">
        <v>0</v>
      </c>
      <c r="AE34" s="110">
        <v>0</v>
      </c>
      <c r="AF34" s="110">
        <v>0</v>
      </c>
      <c r="AG34" s="110">
        <v>0.8</v>
      </c>
      <c r="AH34" s="110">
        <v>0</v>
      </c>
      <c r="AI34" s="110">
        <v>0</v>
      </c>
      <c r="AJ34" s="110">
        <v>0</v>
      </c>
      <c r="AK34" s="110">
        <v>0</v>
      </c>
      <c r="AL34" s="110">
        <v>0</v>
      </c>
      <c r="AM34" s="110">
        <v>0</v>
      </c>
      <c r="AN34" s="110">
        <v>0</v>
      </c>
      <c r="AO34" s="110">
        <v>0</v>
      </c>
      <c r="AP34" s="110">
        <v>0</v>
      </c>
      <c r="AQ34" s="110">
        <v>0</v>
      </c>
      <c r="AR34" s="110">
        <v>0</v>
      </c>
      <c r="AS34" s="110">
        <v>0</v>
      </c>
      <c r="AT34" s="110">
        <v>0</v>
      </c>
    </row>
    <row r="35" spans="1:46" x14ac:dyDescent="0.15">
      <c r="A35" s="191" t="s">
        <v>225</v>
      </c>
      <c r="B35" s="110">
        <v>0</v>
      </c>
      <c r="C35" s="110">
        <v>0</v>
      </c>
      <c r="D35" s="110">
        <v>0</v>
      </c>
      <c r="E35" s="110">
        <v>0</v>
      </c>
      <c r="F35" s="110">
        <v>0.8</v>
      </c>
      <c r="G35" s="110">
        <v>0</v>
      </c>
      <c r="H35" s="110">
        <v>0.8</v>
      </c>
      <c r="I35" s="110">
        <v>0.8</v>
      </c>
      <c r="J35" s="110">
        <v>0.8</v>
      </c>
      <c r="K35" s="110">
        <v>0</v>
      </c>
      <c r="L35" s="110">
        <v>0</v>
      </c>
      <c r="M35" s="110">
        <v>0</v>
      </c>
      <c r="N35" s="110">
        <v>0</v>
      </c>
      <c r="O35" s="110">
        <v>0</v>
      </c>
      <c r="P35" s="110">
        <v>0</v>
      </c>
      <c r="Q35" s="110">
        <v>0</v>
      </c>
      <c r="R35" s="110">
        <v>0</v>
      </c>
      <c r="S35" s="110">
        <v>0</v>
      </c>
      <c r="T35" s="110">
        <v>0</v>
      </c>
      <c r="U35" s="110">
        <v>0</v>
      </c>
      <c r="V35" s="110">
        <v>0</v>
      </c>
      <c r="W35" s="110">
        <v>0</v>
      </c>
      <c r="X35" s="110">
        <v>0</v>
      </c>
      <c r="Y35" s="110">
        <v>0</v>
      </c>
      <c r="Z35" s="110">
        <v>0</v>
      </c>
      <c r="AA35" s="110">
        <v>0</v>
      </c>
      <c r="AB35" s="110">
        <v>0</v>
      </c>
      <c r="AC35" s="110">
        <v>0</v>
      </c>
      <c r="AD35" s="110">
        <v>0</v>
      </c>
      <c r="AE35" s="110">
        <v>0</v>
      </c>
      <c r="AF35" s="110">
        <v>0</v>
      </c>
      <c r="AG35" s="110">
        <v>0</v>
      </c>
      <c r="AH35" s="110">
        <v>0</v>
      </c>
      <c r="AI35" s="110">
        <v>0</v>
      </c>
      <c r="AJ35" s="110">
        <v>0</v>
      </c>
      <c r="AK35" s="110">
        <v>0</v>
      </c>
      <c r="AL35" s="110">
        <v>0</v>
      </c>
      <c r="AM35" s="110">
        <v>0</v>
      </c>
      <c r="AN35" s="110">
        <v>0</v>
      </c>
      <c r="AO35" s="110">
        <v>0</v>
      </c>
      <c r="AP35" s="110">
        <v>0</v>
      </c>
      <c r="AQ35" s="110">
        <v>0</v>
      </c>
      <c r="AR35" s="110">
        <v>0</v>
      </c>
      <c r="AS35" s="110">
        <v>0</v>
      </c>
      <c r="AT35" s="110">
        <v>0</v>
      </c>
    </row>
    <row r="36" spans="1:46" x14ac:dyDescent="0.15">
      <c r="A36" s="191" t="s">
        <v>226</v>
      </c>
      <c r="B36" s="110">
        <v>0.8</v>
      </c>
      <c r="C36" s="110">
        <v>0</v>
      </c>
      <c r="D36" s="110">
        <v>0</v>
      </c>
      <c r="E36" s="110">
        <v>0</v>
      </c>
      <c r="F36" s="110">
        <v>0</v>
      </c>
      <c r="G36" s="110">
        <v>0</v>
      </c>
      <c r="H36" s="110">
        <v>0.8</v>
      </c>
      <c r="I36" s="110">
        <v>0</v>
      </c>
      <c r="J36" s="110">
        <v>0</v>
      </c>
      <c r="K36" s="110">
        <v>0</v>
      </c>
      <c r="L36" s="110">
        <v>0</v>
      </c>
      <c r="M36" s="110">
        <v>0</v>
      </c>
      <c r="N36" s="110">
        <v>0</v>
      </c>
      <c r="O36" s="110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110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0">
        <v>0.8</v>
      </c>
      <c r="AJ36" s="110">
        <v>0</v>
      </c>
      <c r="AK36" s="110">
        <v>0</v>
      </c>
      <c r="AL36" s="110">
        <v>0</v>
      </c>
      <c r="AM36" s="110">
        <v>0</v>
      </c>
      <c r="AN36" s="110">
        <v>0</v>
      </c>
      <c r="AO36" s="110">
        <v>0</v>
      </c>
      <c r="AP36" s="110">
        <v>0</v>
      </c>
      <c r="AQ36" s="110">
        <v>0</v>
      </c>
      <c r="AR36" s="110">
        <v>0</v>
      </c>
      <c r="AS36" s="110">
        <v>0</v>
      </c>
      <c r="AT36" s="110">
        <v>0</v>
      </c>
    </row>
    <row r="37" spans="1:46" x14ac:dyDescent="0.15">
      <c r="A37" s="191" t="s">
        <v>227</v>
      </c>
      <c r="B37" s="110">
        <v>0.8</v>
      </c>
      <c r="C37" s="110">
        <v>0</v>
      </c>
      <c r="D37" s="110">
        <v>0</v>
      </c>
      <c r="E37" s="110">
        <v>0</v>
      </c>
      <c r="F37" s="110">
        <v>0</v>
      </c>
      <c r="G37" s="110">
        <v>0.8</v>
      </c>
      <c r="H37" s="110">
        <v>0.8</v>
      </c>
      <c r="I37" s="110">
        <v>0</v>
      </c>
      <c r="J37" s="110">
        <v>0.8</v>
      </c>
      <c r="K37" s="110">
        <v>0</v>
      </c>
      <c r="L37" s="110">
        <v>0</v>
      </c>
      <c r="M37" s="110">
        <v>0</v>
      </c>
      <c r="N37" s="110">
        <v>0</v>
      </c>
      <c r="O37" s="110">
        <v>0</v>
      </c>
      <c r="P37" s="110">
        <v>0</v>
      </c>
      <c r="Q37" s="110">
        <v>0</v>
      </c>
      <c r="R37" s="110">
        <v>0</v>
      </c>
      <c r="S37" s="110">
        <v>0</v>
      </c>
      <c r="T37" s="110">
        <v>0</v>
      </c>
      <c r="U37" s="110">
        <v>0</v>
      </c>
      <c r="V37" s="110">
        <v>0.8</v>
      </c>
      <c r="W37" s="110">
        <v>0</v>
      </c>
      <c r="X37" s="110">
        <v>0</v>
      </c>
      <c r="Y37" s="110">
        <v>0</v>
      </c>
      <c r="Z37" s="110">
        <v>0</v>
      </c>
      <c r="AA37" s="110">
        <v>0</v>
      </c>
      <c r="AB37" s="110">
        <v>0</v>
      </c>
      <c r="AC37" s="110">
        <v>0</v>
      </c>
      <c r="AD37" s="110">
        <v>0</v>
      </c>
      <c r="AE37" s="110">
        <v>0</v>
      </c>
      <c r="AF37" s="110">
        <v>0</v>
      </c>
      <c r="AG37" s="110">
        <v>0.8</v>
      </c>
      <c r="AH37" s="110">
        <v>0</v>
      </c>
      <c r="AI37" s="110">
        <v>0.8</v>
      </c>
      <c r="AJ37" s="110">
        <v>0</v>
      </c>
      <c r="AK37" s="110">
        <v>0</v>
      </c>
      <c r="AL37" s="110">
        <v>0</v>
      </c>
      <c r="AM37" s="110">
        <v>0</v>
      </c>
      <c r="AN37" s="110">
        <v>0</v>
      </c>
      <c r="AO37" s="110">
        <v>0</v>
      </c>
      <c r="AP37" s="110">
        <v>0</v>
      </c>
      <c r="AQ37" s="110">
        <v>0</v>
      </c>
      <c r="AR37" s="110">
        <v>0</v>
      </c>
      <c r="AS37" s="110">
        <v>0</v>
      </c>
      <c r="AT37" s="110">
        <v>0</v>
      </c>
    </row>
    <row r="38" spans="1:46" x14ac:dyDescent="0.15">
      <c r="A38" s="191" t="s">
        <v>228</v>
      </c>
      <c r="B38" s="110">
        <v>0.8</v>
      </c>
      <c r="C38" s="110">
        <v>0.8</v>
      </c>
      <c r="D38" s="110">
        <v>0</v>
      </c>
      <c r="E38" s="110">
        <v>0</v>
      </c>
      <c r="F38" s="110">
        <v>0.8</v>
      </c>
      <c r="G38" s="110">
        <v>0</v>
      </c>
      <c r="H38" s="110">
        <v>0.8</v>
      </c>
      <c r="I38" s="110">
        <v>0.8</v>
      </c>
      <c r="J38" s="110">
        <v>0.8</v>
      </c>
      <c r="K38" s="110">
        <v>0</v>
      </c>
      <c r="L38" s="110">
        <v>0</v>
      </c>
      <c r="M38" s="110">
        <v>0</v>
      </c>
      <c r="N38" s="110">
        <v>0</v>
      </c>
      <c r="O38" s="110">
        <v>0</v>
      </c>
      <c r="P38" s="110">
        <v>0</v>
      </c>
      <c r="Q38" s="110">
        <v>0</v>
      </c>
      <c r="R38" s="110">
        <v>0</v>
      </c>
      <c r="S38" s="110">
        <v>0</v>
      </c>
      <c r="T38" s="110">
        <v>0</v>
      </c>
      <c r="U38" s="110">
        <v>0</v>
      </c>
      <c r="V38" s="110">
        <v>0.8</v>
      </c>
      <c r="W38" s="110">
        <v>0</v>
      </c>
      <c r="X38" s="110">
        <v>0</v>
      </c>
      <c r="Y38" s="110">
        <v>0</v>
      </c>
      <c r="Z38" s="110">
        <v>0</v>
      </c>
      <c r="AA38" s="110">
        <v>0</v>
      </c>
      <c r="AB38" s="110">
        <v>0</v>
      </c>
      <c r="AC38" s="110">
        <v>0</v>
      </c>
      <c r="AD38" s="110">
        <v>0</v>
      </c>
      <c r="AE38" s="110">
        <v>0</v>
      </c>
      <c r="AF38" s="110">
        <v>0</v>
      </c>
      <c r="AG38" s="110">
        <v>0.8</v>
      </c>
      <c r="AH38" s="110">
        <v>0</v>
      </c>
      <c r="AI38" s="110">
        <v>0.8</v>
      </c>
      <c r="AJ38" s="110">
        <v>0</v>
      </c>
      <c r="AK38" s="110">
        <v>0.8</v>
      </c>
      <c r="AL38" s="110">
        <v>0.8</v>
      </c>
      <c r="AM38" s="110">
        <v>0.8</v>
      </c>
      <c r="AN38" s="110">
        <v>0</v>
      </c>
      <c r="AO38" s="110">
        <v>0</v>
      </c>
      <c r="AP38" s="110">
        <v>0</v>
      </c>
      <c r="AQ38" s="110">
        <v>0</v>
      </c>
      <c r="AR38" s="110">
        <v>0</v>
      </c>
      <c r="AS38" s="110">
        <v>0</v>
      </c>
      <c r="AT38" s="110">
        <v>0</v>
      </c>
    </row>
    <row r="39" spans="1:46" x14ac:dyDescent="0.15">
      <c r="A39" s="191" t="s">
        <v>229</v>
      </c>
      <c r="B39" s="110">
        <v>0.8</v>
      </c>
      <c r="C39" s="110">
        <v>0.8</v>
      </c>
      <c r="D39" s="110">
        <v>0</v>
      </c>
      <c r="E39" s="110">
        <v>0.8</v>
      </c>
      <c r="F39" s="110">
        <v>0.8</v>
      </c>
      <c r="G39" s="110">
        <v>0.8</v>
      </c>
      <c r="H39" s="110">
        <v>0.8</v>
      </c>
      <c r="I39" s="110">
        <v>0.8</v>
      </c>
      <c r="J39" s="110">
        <v>0.8</v>
      </c>
      <c r="K39" s="110">
        <v>0.8</v>
      </c>
      <c r="L39" s="110">
        <v>0.8</v>
      </c>
      <c r="M39" s="110">
        <v>0.8</v>
      </c>
      <c r="N39" s="110">
        <v>0</v>
      </c>
      <c r="O39" s="110">
        <v>0.8</v>
      </c>
      <c r="P39" s="110">
        <v>0</v>
      </c>
      <c r="Q39" s="110">
        <v>0</v>
      </c>
      <c r="R39" s="110">
        <v>0</v>
      </c>
      <c r="S39" s="110">
        <v>0.8</v>
      </c>
      <c r="T39" s="110">
        <v>0.8</v>
      </c>
      <c r="U39" s="110">
        <v>0</v>
      </c>
      <c r="V39" s="110">
        <v>0.8</v>
      </c>
      <c r="W39" s="110">
        <v>0</v>
      </c>
      <c r="X39" s="110">
        <v>0.8</v>
      </c>
      <c r="Y39" s="110">
        <v>0</v>
      </c>
      <c r="Z39" s="110">
        <v>0</v>
      </c>
      <c r="AA39" s="110">
        <v>0</v>
      </c>
      <c r="AB39" s="110">
        <v>0</v>
      </c>
      <c r="AC39" s="110">
        <v>0.8</v>
      </c>
      <c r="AD39" s="110">
        <v>0.8</v>
      </c>
      <c r="AE39" s="110">
        <v>0</v>
      </c>
      <c r="AF39" s="110">
        <v>0</v>
      </c>
      <c r="AG39" s="110">
        <v>0.8</v>
      </c>
      <c r="AH39" s="110">
        <v>0.8</v>
      </c>
      <c r="AI39" s="110">
        <v>0.8</v>
      </c>
      <c r="AJ39" s="110">
        <v>0</v>
      </c>
      <c r="AK39" s="110">
        <v>0</v>
      </c>
      <c r="AL39" s="110">
        <v>0.8</v>
      </c>
      <c r="AM39" s="110">
        <v>0.8</v>
      </c>
      <c r="AN39" s="110">
        <v>0</v>
      </c>
      <c r="AO39" s="110">
        <v>0</v>
      </c>
      <c r="AP39" s="110">
        <v>0</v>
      </c>
      <c r="AQ39" s="110">
        <v>0</v>
      </c>
      <c r="AR39" s="110">
        <v>0</v>
      </c>
      <c r="AS39" s="110">
        <v>0</v>
      </c>
      <c r="AT39" s="110">
        <v>0</v>
      </c>
    </row>
    <row r="40" spans="1:46" x14ac:dyDescent="0.15">
      <c r="A40" s="191" t="s">
        <v>230</v>
      </c>
      <c r="B40" s="110">
        <v>0</v>
      </c>
      <c r="C40" s="110">
        <v>0</v>
      </c>
      <c r="D40" s="110">
        <v>0</v>
      </c>
      <c r="E40" s="110">
        <v>0.8</v>
      </c>
      <c r="F40" s="110">
        <v>0.8</v>
      </c>
      <c r="G40" s="110">
        <v>0.8</v>
      </c>
      <c r="H40" s="110">
        <v>0.8</v>
      </c>
      <c r="I40" s="110">
        <v>0.8</v>
      </c>
      <c r="J40" s="110">
        <v>0.8</v>
      </c>
      <c r="K40" s="110">
        <v>0.8</v>
      </c>
      <c r="L40" s="110">
        <v>0.8</v>
      </c>
      <c r="M40" s="110">
        <v>0.8</v>
      </c>
      <c r="N40" s="110">
        <v>0.8</v>
      </c>
      <c r="O40" s="110">
        <v>0.8</v>
      </c>
      <c r="P40" s="110">
        <v>0</v>
      </c>
      <c r="Q40" s="110">
        <v>0</v>
      </c>
      <c r="R40" s="110">
        <v>0.8</v>
      </c>
      <c r="S40" s="110">
        <v>0.8</v>
      </c>
      <c r="T40" s="110">
        <v>0.8</v>
      </c>
      <c r="U40" s="110">
        <v>0.8</v>
      </c>
      <c r="V40" s="110">
        <v>0.8</v>
      </c>
      <c r="W40" s="110">
        <v>0.8</v>
      </c>
      <c r="X40" s="110">
        <v>0.8</v>
      </c>
      <c r="Y40" s="110">
        <v>0.8</v>
      </c>
      <c r="Z40" s="110">
        <v>0.8</v>
      </c>
      <c r="AA40" s="110">
        <v>0.8</v>
      </c>
      <c r="AB40" s="110">
        <v>0.8</v>
      </c>
      <c r="AC40" s="110">
        <v>0.8</v>
      </c>
      <c r="AD40" s="110">
        <v>0.8</v>
      </c>
      <c r="AE40" s="110">
        <v>0.8</v>
      </c>
      <c r="AF40" s="110">
        <v>0.8</v>
      </c>
      <c r="AG40" s="110">
        <v>0.8</v>
      </c>
      <c r="AH40" s="110">
        <v>0.8</v>
      </c>
      <c r="AI40" s="110">
        <v>0.8</v>
      </c>
      <c r="AJ40" s="110">
        <v>0</v>
      </c>
      <c r="AK40" s="110">
        <v>0.8</v>
      </c>
      <c r="AL40" s="110">
        <v>0.8</v>
      </c>
      <c r="AM40" s="110">
        <v>0.8</v>
      </c>
      <c r="AN40" s="110">
        <v>0.8</v>
      </c>
      <c r="AO40" s="110">
        <v>0</v>
      </c>
      <c r="AP40" s="110">
        <v>0</v>
      </c>
      <c r="AQ40" s="110">
        <v>0</v>
      </c>
      <c r="AR40" s="110">
        <v>0</v>
      </c>
      <c r="AS40" s="110">
        <v>0</v>
      </c>
      <c r="AT40" s="110">
        <v>0</v>
      </c>
    </row>
    <row r="41" spans="1:46" x14ac:dyDescent="0.15">
      <c r="A41" s="191" t="s">
        <v>231</v>
      </c>
      <c r="B41" s="110">
        <v>0</v>
      </c>
      <c r="C41" s="110">
        <v>0.8</v>
      </c>
      <c r="D41" s="110">
        <v>0</v>
      </c>
      <c r="E41" s="110">
        <v>0.8</v>
      </c>
      <c r="F41" s="110">
        <v>0.8</v>
      </c>
      <c r="G41" s="110">
        <v>0.8</v>
      </c>
      <c r="H41" s="110">
        <v>0.8</v>
      </c>
      <c r="I41" s="110">
        <v>0.8</v>
      </c>
      <c r="J41" s="110">
        <v>0.8</v>
      </c>
      <c r="K41" s="110">
        <v>0.8</v>
      </c>
      <c r="L41" s="110">
        <v>0.8</v>
      </c>
      <c r="M41" s="110">
        <v>0.8</v>
      </c>
      <c r="N41" s="110">
        <v>0</v>
      </c>
      <c r="O41" s="110">
        <v>0.8</v>
      </c>
      <c r="P41" s="110">
        <v>0.8</v>
      </c>
      <c r="Q41" s="110">
        <v>0.8</v>
      </c>
      <c r="R41" s="110">
        <v>0</v>
      </c>
      <c r="S41" s="110">
        <v>0</v>
      </c>
      <c r="T41" s="110">
        <v>0</v>
      </c>
      <c r="U41" s="110">
        <v>0</v>
      </c>
      <c r="V41" s="110">
        <v>0.8</v>
      </c>
      <c r="W41" s="110">
        <v>0.8</v>
      </c>
      <c r="X41" s="110">
        <v>0.8</v>
      </c>
      <c r="Y41" s="110">
        <v>0.8</v>
      </c>
      <c r="Z41" s="110">
        <v>0.8</v>
      </c>
      <c r="AA41" s="110">
        <v>0.8</v>
      </c>
      <c r="AB41" s="110">
        <v>0.8</v>
      </c>
      <c r="AC41" s="110">
        <v>0.8</v>
      </c>
      <c r="AD41" s="110">
        <v>0.8</v>
      </c>
      <c r="AE41" s="110">
        <v>0</v>
      </c>
      <c r="AF41" s="110">
        <v>0.8</v>
      </c>
      <c r="AG41" s="110">
        <v>0.8</v>
      </c>
      <c r="AH41" s="110">
        <v>0.8</v>
      </c>
      <c r="AI41" s="110">
        <v>0</v>
      </c>
      <c r="AJ41" s="110">
        <v>0.8</v>
      </c>
      <c r="AK41" s="110">
        <v>0</v>
      </c>
      <c r="AL41" s="110">
        <v>0.8</v>
      </c>
      <c r="AM41" s="110">
        <v>0.8</v>
      </c>
      <c r="AN41" s="110">
        <v>0.8</v>
      </c>
      <c r="AO41" s="110">
        <v>0.8</v>
      </c>
      <c r="AP41" s="110">
        <v>0</v>
      </c>
      <c r="AQ41" s="110">
        <v>0</v>
      </c>
      <c r="AR41" s="110">
        <v>0</v>
      </c>
      <c r="AS41" s="110">
        <v>0</v>
      </c>
      <c r="AT41" s="110">
        <v>0</v>
      </c>
    </row>
    <row r="42" spans="1:46" x14ac:dyDescent="0.15">
      <c r="A42" s="191" t="s">
        <v>232</v>
      </c>
      <c r="B42" s="110">
        <v>0.8</v>
      </c>
      <c r="C42" s="110">
        <v>0</v>
      </c>
      <c r="D42" s="110">
        <v>0.8</v>
      </c>
      <c r="E42" s="110">
        <v>0.8</v>
      </c>
      <c r="F42" s="110">
        <v>0.8</v>
      </c>
      <c r="G42" s="110">
        <v>0.8</v>
      </c>
      <c r="H42" s="110">
        <v>0.8</v>
      </c>
      <c r="I42" s="110">
        <v>0.8</v>
      </c>
      <c r="J42" s="110">
        <v>0.8</v>
      </c>
      <c r="K42" s="110">
        <v>0.8</v>
      </c>
      <c r="L42" s="110">
        <v>0</v>
      </c>
      <c r="M42" s="110">
        <v>0.8</v>
      </c>
      <c r="N42" s="110">
        <v>0</v>
      </c>
      <c r="O42" s="110">
        <v>0.8</v>
      </c>
      <c r="P42" s="110">
        <v>0</v>
      </c>
      <c r="Q42" s="110">
        <v>0</v>
      </c>
      <c r="R42" s="110">
        <v>0.8</v>
      </c>
      <c r="S42" s="110">
        <v>0</v>
      </c>
      <c r="T42" s="110">
        <v>0</v>
      </c>
      <c r="U42" s="110">
        <v>0</v>
      </c>
      <c r="V42" s="110">
        <v>0.8</v>
      </c>
      <c r="W42" s="110">
        <v>0</v>
      </c>
      <c r="X42" s="110">
        <v>0.8</v>
      </c>
      <c r="Y42" s="110">
        <v>0</v>
      </c>
      <c r="Z42" s="110">
        <v>0.8</v>
      </c>
      <c r="AA42" s="110">
        <v>0.8</v>
      </c>
      <c r="AB42" s="110">
        <v>0</v>
      </c>
      <c r="AC42" s="110">
        <v>0.8</v>
      </c>
      <c r="AD42" s="110">
        <v>0.8</v>
      </c>
      <c r="AE42" s="110">
        <v>0</v>
      </c>
      <c r="AF42" s="110">
        <v>0.8</v>
      </c>
      <c r="AG42" s="110">
        <v>0.8</v>
      </c>
      <c r="AH42" s="110">
        <v>0.8</v>
      </c>
      <c r="AI42" s="110">
        <v>0.8</v>
      </c>
      <c r="AJ42" s="110">
        <v>0.8</v>
      </c>
      <c r="AK42" s="110">
        <v>0.8</v>
      </c>
      <c r="AL42" s="110">
        <v>0.8</v>
      </c>
      <c r="AM42" s="110">
        <v>0.8</v>
      </c>
      <c r="AN42" s="110">
        <v>0.8</v>
      </c>
      <c r="AO42" s="110">
        <v>0</v>
      </c>
      <c r="AP42" s="110">
        <v>0.8</v>
      </c>
      <c r="AQ42" s="110">
        <v>0</v>
      </c>
      <c r="AR42" s="110">
        <v>0</v>
      </c>
      <c r="AS42" s="110">
        <v>0</v>
      </c>
      <c r="AT42" s="110">
        <v>0</v>
      </c>
    </row>
    <row r="43" spans="1:46" x14ac:dyDescent="0.15">
      <c r="A43" s="191" t="s">
        <v>233</v>
      </c>
      <c r="B43" s="110">
        <v>0</v>
      </c>
      <c r="C43" s="110">
        <v>0</v>
      </c>
      <c r="D43" s="110">
        <v>0</v>
      </c>
      <c r="E43" s="110">
        <v>0</v>
      </c>
      <c r="F43" s="110">
        <v>0</v>
      </c>
      <c r="G43" s="110">
        <v>0</v>
      </c>
      <c r="H43" s="110">
        <v>0</v>
      </c>
      <c r="I43" s="110">
        <v>0</v>
      </c>
      <c r="J43" s="110">
        <v>0.8</v>
      </c>
      <c r="K43" s="110">
        <v>0.8</v>
      </c>
      <c r="L43" s="110">
        <v>0.8</v>
      </c>
      <c r="M43" s="110">
        <v>0.8</v>
      </c>
      <c r="N43" s="110">
        <v>0.8</v>
      </c>
      <c r="O43" s="110">
        <v>0.8</v>
      </c>
      <c r="P43" s="110">
        <v>0.8</v>
      </c>
      <c r="Q43" s="110">
        <v>0.8</v>
      </c>
      <c r="R43" s="110">
        <v>0.8</v>
      </c>
      <c r="S43" s="110">
        <v>0</v>
      </c>
      <c r="T43" s="110">
        <v>0</v>
      </c>
      <c r="U43" s="110">
        <v>0</v>
      </c>
      <c r="V43" s="110">
        <v>0.8</v>
      </c>
      <c r="W43" s="110">
        <v>0.8</v>
      </c>
      <c r="X43" s="110">
        <v>0</v>
      </c>
      <c r="Y43" s="110">
        <v>0</v>
      </c>
      <c r="Z43" s="110">
        <v>0.8</v>
      </c>
      <c r="AA43" s="110">
        <v>0.8</v>
      </c>
      <c r="AB43" s="110">
        <v>0</v>
      </c>
      <c r="AC43" s="110">
        <v>0.8</v>
      </c>
      <c r="AD43" s="110">
        <v>0</v>
      </c>
      <c r="AE43" s="110">
        <v>0</v>
      </c>
      <c r="AF43" s="110">
        <v>0.8</v>
      </c>
      <c r="AG43" s="110">
        <v>0.8</v>
      </c>
      <c r="AH43" s="110">
        <v>0.8</v>
      </c>
      <c r="AI43" s="110">
        <v>0.8</v>
      </c>
      <c r="AJ43" s="110">
        <v>0.8</v>
      </c>
      <c r="AK43" s="110">
        <v>0</v>
      </c>
      <c r="AL43" s="110">
        <v>0.8</v>
      </c>
      <c r="AM43" s="110">
        <v>0</v>
      </c>
      <c r="AN43" s="110">
        <v>0.8</v>
      </c>
      <c r="AO43" s="110">
        <v>0.8</v>
      </c>
      <c r="AP43" s="110">
        <v>0.8</v>
      </c>
      <c r="AQ43" s="110">
        <v>0</v>
      </c>
      <c r="AR43" s="110">
        <v>0</v>
      </c>
      <c r="AS43" s="110">
        <v>0</v>
      </c>
      <c r="AT43" s="110">
        <v>0</v>
      </c>
    </row>
    <row r="44" spans="1:46" x14ac:dyDescent="0.15">
      <c r="A44" s="191" t="s">
        <v>234</v>
      </c>
      <c r="B44" s="110">
        <v>0</v>
      </c>
      <c r="C44" s="110">
        <v>0</v>
      </c>
      <c r="D44" s="110">
        <v>0.8</v>
      </c>
      <c r="E44" s="110">
        <v>0</v>
      </c>
      <c r="F44" s="110">
        <v>0</v>
      </c>
      <c r="G44" s="110">
        <v>0.8</v>
      </c>
      <c r="H44" s="110">
        <v>0</v>
      </c>
      <c r="I44" s="110">
        <v>0</v>
      </c>
      <c r="J44" s="110">
        <v>0</v>
      </c>
      <c r="K44" s="110">
        <v>0</v>
      </c>
      <c r="L44" s="110">
        <v>0</v>
      </c>
      <c r="M44" s="110">
        <v>0</v>
      </c>
      <c r="N44" s="110">
        <v>0</v>
      </c>
      <c r="O44" s="110">
        <v>0.8</v>
      </c>
      <c r="P44" s="110">
        <v>0.8</v>
      </c>
      <c r="Q44" s="110">
        <v>0.8</v>
      </c>
      <c r="R44" s="110">
        <v>0.8</v>
      </c>
      <c r="S44" s="110">
        <v>0</v>
      </c>
      <c r="T44" s="110">
        <v>0</v>
      </c>
      <c r="U44" s="110">
        <v>0</v>
      </c>
      <c r="V44" s="110">
        <v>0.8</v>
      </c>
      <c r="W44" s="110">
        <v>0</v>
      </c>
      <c r="X44" s="110">
        <v>0</v>
      </c>
      <c r="Y44" s="110">
        <v>0</v>
      </c>
      <c r="Z44" s="110">
        <v>0.8</v>
      </c>
      <c r="AA44" s="110">
        <v>0.8</v>
      </c>
      <c r="AB44" s="110">
        <v>0</v>
      </c>
      <c r="AC44" s="110">
        <v>0.8</v>
      </c>
      <c r="AD44" s="110">
        <v>0</v>
      </c>
      <c r="AE44" s="110">
        <v>0</v>
      </c>
      <c r="AF44" s="110">
        <v>0.8</v>
      </c>
      <c r="AG44" s="110">
        <v>0</v>
      </c>
      <c r="AH44" s="110">
        <v>0</v>
      </c>
      <c r="AI44" s="110">
        <v>0</v>
      </c>
      <c r="AJ44" s="110">
        <v>0</v>
      </c>
      <c r="AK44" s="110">
        <v>0</v>
      </c>
      <c r="AL44" s="110">
        <v>0</v>
      </c>
      <c r="AM44" s="110">
        <v>0</v>
      </c>
      <c r="AN44" s="110">
        <v>0</v>
      </c>
      <c r="AO44" s="110">
        <v>0.8</v>
      </c>
      <c r="AP44" s="110">
        <v>0.8</v>
      </c>
      <c r="AQ44" s="110">
        <v>0.8</v>
      </c>
      <c r="AR44" s="110">
        <v>0</v>
      </c>
      <c r="AS44" s="110">
        <v>0</v>
      </c>
      <c r="AT44" s="110">
        <v>0</v>
      </c>
    </row>
    <row r="45" spans="1:46" x14ac:dyDescent="0.15">
      <c r="A45" s="191" t="s">
        <v>235</v>
      </c>
      <c r="B45" s="110">
        <v>0</v>
      </c>
      <c r="C45" s="110">
        <v>0</v>
      </c>
      <c r="D45" s="110">
        <v>0</v>
      </c>
      <c r="E45" s="110">
        <v>0</v>
      </c>
      <c r="F45" s="110">
        <v>0.8</v>
      </c>
      <c r="G45" s="110">
        <v>0.8</v>
      </c>
      <c r="H45" s="110">
        <v>0</v>
      </c>
      <c r="I45" s="110">
        <v>0</v>
      </c>
      <c r="J45" s="110">
        <v>0</v>
      </c>
      <c r="K45" s="110">
        <v>0.8</v>
      </c>
      <c r="L45" s="110">
        <v>0</v>
      </c>
      <c r="M45" s="110">
        <v>0.8</v>
      </c>
      <c r="N45" s="110">
        <v>0</v>
      </c>
      <c r="O45" s="110">
        <v>0.8</v>
      </c>
      <c r="P45" s="110">
        <v>0.8</v>
      </c>
      <c r="Q45" s="110">
        <v>0</v>
      </c>
      <c r="R45" s="110">
        <v>0.8</v>
      </c>
      <c r="S45" s="110">
        <v>0</v>
      </c>
      <c r="T45" s="110">
        <v>0.8</v>
      </c>
      <c r="U45" s="110">
        <v>0</v>
      </c>
      <c r="V45" s="110">
        <v>0</v>
      </c>
      <c r="W45" s="110">
        <v>0.8</v>
      </c>
      <c r="X45" s="110">
        <v>0</v>
      </c>
      <c r="Y45" s="110">
        <v>0</v>
      </c>
      <c r="Z45" s="110">
        <v>0.8</v>
      </c>
      <c r="AA45" s="110">
        <v>0.8</v>
      </c>
      <c r="AB45" s="110">
        <v>0</v>
      </c>
      <c r="AC45" s="110">
        <v>0.8</v>
      </c>
      <c r="AD45" s="110">
        <v>0.8</v>
      </c>
      <c r="AE45" s="110">
        <v>0</v>
      </c>
      <c r="AF45" s="110">
        <v>0.8</v>
      </c>
      <c r="AG45" s="110">
        <v>0</v>
      </c>
      <c r="AH45" s="110">
        <v>0</v>
      </c>
      <c r="AI45" s="110">
        <v>0</v>
      </c>
      <c r="AJ45" s="110">
        <v>0</v>
      </c>
      <c r="AK45" s="110">
        <v>0</v>
      </c>
      <c r="AL45" s="110">
        <v>0</v>
      </c>
      <c r="AM45" s="110">
        <v>0</v>
      </c>
      <c r="AN45" s="110">
        <v>0.8</v>
      </c>
      <c r="AO45" s="110">
        <v>0.8</v>
      </c>
      <c r="AP45" s="110">
        <v>0.8</v>
      </c>
      <c r="AQ45" s="110">
        <v>0.8</v>
      </c>
      <c r="AR45" s="110">
        <v>0</v>
      </c>
      <c r="AS45" s="110">
        <v>0</v>
      </c>
      <c r="AT45" s="110">
        <v>0</v>
      </c>
    </row>
    <row r="46" spans="1:46" x14ac:dyDescent="0.15">
      <c r="A46" s="191" t="s">
        <v>236</v>
      </c>
      <c r="B46" s="110">
        <v>0</v>
      </c>
      <c r="C46" s="110">
        <v>0</v>
      </c>
      <c r="D46" s="110">
        <v>0</v>
      </c>
      <c r="E46" s="110">
        <v>0</v>
      </c>
      <c r="F46" s="110">
        <v>0</v>
      </c>
      <c r="G46" s="110">
        <v>0</v>
      </c>
      <c r="H46" s="110">
        <v>0</v>
      </c>
      <c r="I46" s="110">
        <v>0</v>
      </c>
      <c r="J46" s="110">
        <v>0</v>
      </c>
      <c r="K46" s="110">
        <v>0</v>
      </c>
      <c r="L46" s="110">
        <v>0</v>
      </c>
      <c r="M46" s="110">
        <v>0</v>
      </c>
      <c r="N46" s="110">
        <v>0</v>
      </c>
      <c r="O46" s="110">
        <v>0</v>
      </c>
      <c r="P46" s="110">
        <v>0</v>
      </c>
      <c r="Q46" s="110">
        <v>0</v>
      </c>
      <c r="R46" s="110">
        <v>0</v>
      </c>
      <c r="S46" s="110">
        <v>0</v>
      </c>
      <c r="T46" s="110">
        <v>0</v>
      </c>
      <c r="U46" s="110">
        <v>0</v>
      </c>
      <c r="V46" s="110">
        <v>0</v>
      </c>
      <c r="W46" s="110">
        <v>0</v>
      </c>
      <c r="X46" s="110">
        <v>0</v>
      </c>
      <c r="Y46" s="110">
        <v>0</v>
      </c>
      <c r="Z46" s="110">
        <v>0</v>
      </c>
      <c r="AA46" s="110">
        <v>0</v>
      </c>
      <c r="AB46" s="110">
        <v>0</v>
      </c>
      <c r="AC46" s="110">
        <v>0</v>
      </c>
      <c r="AD46" s="110">
        <v>0</v>
      </c>
      <c r="AE46" s="110">
        <v>0</v>
      </c>
      <c r="AF46" s="110">
        <v>0</v>
      </c>
      <c r="AG46" s="110">
        <v>0</v>
      </c>
      <c r="AH46" s="110">
        <v>0</v>
      </c>
      <c r="AI46" s="110">
        <v>0</v>
      </c>
      <c r="AJ46" s="110">
        <v>0</v>
      </c>
      <c r="AK46" s="110">
        <v>0</v>
      </c>
      <c r="AL46" s="110">
        <v>0</v>
      </c>
      <c r="AM46" s="110">
        <v>0</v>
      </c>
      <c r="AN46" s="110">
        <v>0</v>
      </c>
      <c r="AO46" s="110">
        <v>0</v>
      </c>
      <c r="AP46" s="110">
        <v>0</v>
      </c>
      <c r="AQ46" s="110">
        <v>0</v>
      </c>
      <c r="AR46" s="110">
        <v>0</v>
      </c>
      <c r="AS46" s="110">
        <v>0</v>
      </c>
      <c r="AT46" s="110">
        <v>0</v>
      </c>
    </row>
    <row r="47" spans="1:46" x14ac:dyDescent="0.15">
      <c r="A47" s="191" t="s">
        <v>239</v>
      </c>
      <c r="B47" s="110">
        <v>0</v>
      </c>
      <c r="C47" s="110">
        <v>0</v>
      </c>
      <c r="D47" s="110">
        <v>0</v>
      </c>
      <c r="E47" s="110">
        <v>0.8</v>
      </c>
      <c r="F47" s="110">
        <v>0</v>
      </c>
      <c r="G47" s="110">
        <v>0</v>
      </c>
      <c r="H47" s="110">
        <v>0</v>
      </c>
      <c r="I47" s="110">
        <v>0</v>
      </c>
      <c r="J47" s="110">
        <v>0</v>
      </c>
      <c r="K47" s="110">
        <v>0</v>
      </c>
      <c r="L47" s="110">
        <v>0</v>
      </c>
      <c r="M47" s="110">
        <v>0</v>
      </c>
      <c r="N47" s="110">
        <v>0</v>
      </c>
      <c r="O47" s="110">
        <v>0.8</v>
      </c>
      <c r="P47" s="110">
        <v>0</v>
      </c>
      <c r="Q47" s="110">
        <v>0</v>
      </c>
      <c r="R47" s="110">
        <v>0</v>
      </c>
      <c r="S47" s="110">
        <v>0</v>
      </c>
      <c r="T47" s="110">
        <v>0</v>
      </c>
      <c r="U47" s="110">
        <v>0</v>
      </c>
      <c r="V47" s="110">
        <v>0</v>
      </c>
      <c r="W47" s="110">
        <v>0</v>
      </c>
      <c r="X47" s="110">
        <v>0</v>
      </c>
      <c r="Y47" s="110">
        <v>0</v>
      </c>
      <c r="Z47" s="110">
        <v>0</v>
      </c>
      <c r="AA47" s="110">
        <v>0</v>
      </c>
      <c r="AB47" s="110">
        <v>0</v>
      </c>
      <c r="AC47" s="110">
        <v>0</v>
      </c>
      <c r="AD47" s="110">
        <v>0</v>
      </c>
      <c r="AE47" s="110">
        <v>0</v>
      </c>
      <c r="AF47" s="110">
        <v>0.8</v>
      </c>
      <c r="AG47" s="110">
        <v>0</v>
      </c>
      <c r="AH47" s="110">
        <v>0</v>
      </c>
      <c r="AI47" s="110">
        <v>0</v>
      </c>
      <c r="AJ47" s="110">
        <v>0</v>
      </c>
      <c r="AK47" s="110">
        <v>0</v>
      </c>
      <c r="AL47" s="110">
        <v>0</v>
      </c>
      <c r="AM47" s="110">
        <v>0</v>
      </c>
      <c r="AN47" s="110">
        <v>0</v>
      </c>
      <c r="AO47" s="110">
        <v>0</v>
      </c>
      <c r="AP47" s="110">
        <v>0</v>
      </c>
      <c r="AQ47" s="110">
        <v>0</v>
      </c>
      <c r="AR47" s="110">
        <v>0</v>
      </c>
      <c r="AS47" s="110">
        <v>0</v>
      </c>
      <c r="AT47" s="11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T47"/>
  <sheetViews>
    <sheetView workbookViewId="0">
      <selection activeCell="A3" sqref="A3"/>
    </sheetView>
  </sheetViews>
  <sheetFormatPr baseColWidth="10" defaultRowHeight="13" x14ac:dyDescent="0.15"/>
  <cols>
    <col min="1" max="1" width="27.5" style="110" bestFit="1" customWidth="1"/>
    <col min="2" max="46" width="2.33203125" style="110" customWidth="1"/>
    <col min="47" max="16384" width="10.83203125" style="110"/>
  </cols>
  <sheetData>
    <row r="1" spans="1:46" x14ac:dyDescent="0.15">
      <c r="A1" s="62" t="s">
        <v>139</v>
      </c>
      <c r="B1" s="194" t="s">
        <v>192</v>
      </c>
      <c r="C1" s="194" t="s">
        <v>193</v>
      </c>
      <c r="D1" s="194" t="s">
        <v>194</v>
      </c>
      <c r="E1" s="194" t="s">
        <v>195</v>
      </c>
      <c r="F1" s="194" t="s">
        <v>196</v>
      </c>
      <c r="G1" s="194" t="s">
        <v>197</v>
      </c>
      <c r="H1" s="194" t="s">
        <v>198</v>
      </c>
      <c r="I1" s="194" t="s">
        <v>199</v>
      </c>
      <c r="J1" s="194" t="s">
        <v>200</v>
      </c>
      <c r="K1" s="194" t="s">
        <v>201</v>
      </c>
      <c r="L1" s="194" t="s">
        <v>202</v>
      </c>
      <c r="M1" s="194" t="s">
        <v>203</v>
      </c>
      <c r="N1" s="194" t="s">
        <v>204</v>
      </c>
      <c r="O1" s="194" t="s">
        <v>205</v>
      </c>
      <c r="P1" s="194" t="s">
        <v>206</v>
      </c>
      <c r="Q1" s="194" t="s">
        <v>207</v>
      </c>
      <c r="R1" s="194" t="s">
        <v>208</v>
      </c>
      <c r="S1" s="194" t="s">
        <v>209</v>
      </c>
      <c r="T1" s="194" t="s">
        <v>210</v>
      </c>
      <c r="U1" s="194" t="s">
        <v>211</v>
      </c>
      <c r="V1" s="194" t="s">
        <v>212</v>
      </c>
      <c r="W1" s="194" t="s">
        <v>213</v>
      </c>
      <c r="X1" s="194" t="s">
        <v>214</v>
      </c>
      <c r="Y1" s="194" t="s">
        <v>215</v>
      </c>
      <c r="Z1" s="194" t="s">
        <v>216</v>
      </c>
      <c r="AA1" s="194" t="s">
        <v>217</v>
      </c>
      <c r="AB1" s="194" t="s">
        <v>218</v>
      </c>
      <c r="AC1" s="194" t="s">
        <v>219</v>
      </c>
      <c r="AD1" s="194" t="s">
        <v>220</v>
      </c>
      <c r="AE1" s="194" t="s">
        <v>221</v>
      </c>
      <c r="AF1" s="194" t="s">
        <v>222</v>
      </c>
      <c r="AG1" s="194" t="s">
        <v>223</v>
      </c>
      <c r="AH1" s="194" t="s">
        <v>224</v>
      </c>
      <c r="AI1" s="194" t="s">
        <v>225</v>
      </c>
      <c r="AJ1" s="194" t="s">
        <v>226</v>
      </c>
      <c r="AK1" s="194" t="s">
        <v>227</v>
      </c>
      <c r="AL1" s="194" t="s">
        <v>228</v>
      </c>
      <c r="AM1" s="194" t="s">
        <v>229</v>
      </c>
      <c r="AN1" s="194" t="s">
        <v>230</v>
      </c>
      <c r="AO1" s="194" t="s">
        <v>231</v>
      </c>
      <c r="AP1" s="194" t="s">
        <v>232</v>
      </c>
      <c r="AQ1" s="194" t="s">
        <v>233</v>
      </c>
      <c r="AR1" s="194" t="s">
        <v>234</v>
      </c>
      <c r="AS1" s="194" t="s">
        <v>235</v>
      </c>
      <c r="AT1" s="194" t="s">
        <v>236</v>
      </c>
    </row>
    <row r="2" spans="1:46" customFormat="1" x14ac:dyDescent="0.15">
      <c r="A2" s="193" t="s">
        <v>192</v>
      </c>
      <c r="B2" s="110">
        <v>0</v>
      </c>
      <c r="C2" s="110">
        <v>0</v>
      </c>
      <c r="D2" s="110">
        <v>0</v>
      </c>
      <c r="E2" s="110">
        <v>0</v>
      </c>
      <c r="F2" s="110">
        <v>1</v>
      </c>
      <c r="G2" s="110">
        <v>1</v>
      </c>
      <c r="H2" s="110">
        <v>0</v>
      </c>
      <c r="I2" s="110">
        <v>0</v>
      </c>
      <c r="J2" s="110">
        <v>0</v>
      </c>
      <c r="K2" s="110">
        <v>0</v>
      </c>
      <c r="L2" s="110">
        <v>0</v>
      </c>
      <c r="M2" s="110">
        <v>0</v>
      </c>
      <c r="N2" s="110">
        <v>0</v>
      </c>
      <c r="O2" s="110">
        <v>0</v>
      </c>
      <c r="P2" s="110">
        <v>0</v>
      </c>
      <c r="Q2" s="110">
        <v>0</v>
      </c>
      <c r="R2" s="110">
        <v>0</v>
      </c>
      <c r="S2" s="110">
        <v>0</v>
      </c>
      <c r="T2" s="110">
        <v>0</v>
      </c>
      <c r="U2" s="110">
        <v>0</v>
      </c>
      <c r="V2" s="110">
        <v>0</v>
      </c>
      <c r="W2" s="110">
        <v>0</v>
      </c>
      <c r="X2" s="110">
        <v>0</v>
      </c>
      <c r="Y2" s="110">
        <v>0</v>
      </c>
      <c r="Z2" s="110">
        <v>0</v>
      </c>
      <c r="AA2" s="110">
        <v>0</v>
      </c>
      <c r="AB2" s="110">
        <v>0</v>
      </c>
      <c r="AC2" s="110">
        <v>0</v>
      </c>
      <c r="AD2" s="110">
        <v>0</v>
      </c>
      <c r="AE2" s="110">
        <v>0</v>
      </c>
      <c r="AF2" s="110">
        <v>0</v>
      </c>
      <c r="AG2" s="110">
        <v>0</v>
      </c>
      <c r="AH2" s="110">
        <v>0</v>
      </c>
      <c r="AI2" s="110">
        <v>0</v>
      </c>
      <c r="AJ2" s="110">
        <v>0</v>
      </c>
      <c r="AK2" s="110">
        <v>0</v>
      </c>
      <c r="AL2" s="110">
        <v>0</v>
      </c>
      <c r="AM2" s="110">
        <v>0</v>
      </c>
      <c r="AN2" s="110">
        <v>0</v>
      </c>
      <c r="AO2" s="110">
        <v>0</v>
      </c>
      <c r="AP2" s="110">
        <v>0</v>
      </c>
      <c r="AQ2" s="110">
        <v>0</v>
      </c>
      <c r="AR2" s="110">
        <v>0</v>
      </c>
      <c r="AS2" s="110">
        <v>0</v>
      </c>
      <c r="AT2" s="110">
        <v>0</v>
      </c>
    </row>
    <row r="3" spans="1:46" customFormat="1" x14ac:dyDescent="0.15">
      <c r="A3" s="193" t="s">
        <v>193</v>
      </c>
      <c r="B3" s="110">
        <v>0</v>
      </c>
      <c r="C3" s="110">
        <v>1</v>
      </c>
      <c r="D3" s="110">
        <v>0</v>
      </c>
      <c r="E3" s="110">
        <v>0</v>
      </c>
      <c r="F3" s="110">
        <v>1</v>
      </c>
      <c r="G3" s="110">
        <v>1</v>
      </c>
      <c r="H3" s="110">
        <v>0</v>
      </c>
      <c r="I3" s="110">
        <v>0</v>
      </c>
      <c r="J3" s="110">
        <v>0</v>
      </c>
      <c r="K3" s="110">
        <v>0</v>
      </c>
      <c r="L3" s="110">
        <v>0</v>
      </c>
      <c r="M3" s="110">
        <v>0</v>
      </c>
      <c r="N3" s="110">
        <v>0</v>
      </c>
      <c r="O3" s="110">
        <v>0</v>
      </c>
      <c r="P3" s="110">
        <v>0</v>
      </c>
      <c r="Q3" s="110">
        <v>0</v>
      </c>
      <c r="R3" s="110">
        <v>0</v>
      </c>
      <c r="S3" s="110">
        <v>0</v>
      </c>
      <c r="T3" s="110">
        <v>0</v>
      </c>
      <c r="U3" s="110">
        <v>0</v>
      </c>
      <c r="V3" s="110">
        <v>0</v>
      </c>
      <c r="W3" s="110">
        <v>0</v>
      </c>
      <c r="X3" s="110">
        <v>0</v>
      </c>
      <c r="Y3" s="110">
        <v>0</v>
      </c>
      <c r="Z3" s="110">
        <v>0</v>
      </c>
      <c r="AA3" s="110">
        <v>0</v>
      </c>
      <c r="AB3" s="110">
        <v>0</v>
      </c>
      <c r="AC3" s="110">
        <v>0</v>
      </c>
      <c r="AD3" s="110">
        <v>0</v>
      </c>
      <c r="AE3" s="110">
        <v>0</v>
      </c>
      <c r="AF3" s="110">
        <v>0</v>
      </c>
      <c r="AG3" s="110">
        <v>0</v>
      </c>
      <c r="AH3" s="110">
        <v>0</v>
      </c>
      <c r="AI3" s="110">
        <v>0</v>
      </c>
      <c r="AJ3" s="110">
        <v>0</v>
      </c>
      <c r="AK3" s="110">
        <v>0</v>
      </c>
      <c r="AL3" s="110">
        <v>0</v>
      </c>
      <c r="AM3" s="110">
        <v>0</v>
      </c>
      <c r="AN3" s="110">
        <v>0</v>
      </c>
      <c r="AO3" s="110">
        <v>0</v>
      </c>
      <c r="AP3" s="110">
        <v>0</v>
      </c>
      <c r="AQ3" s="110">
        <v>0</v>
      </c>
      <c r="AR3" s="110">
        <v>0</v>
      </c>
      <c r="AS3" s="110">
        <v>0</v>
      </c>
      <c r="AT3" s="110">
        <v>0</v>
      </c>
    </row>
    <row r="4" spans="1:46" customFormat="1" x14ac:dyDescent="0.15">
      <c r="A4" s="193" t="s">
        <v>194</v>
      </c>
      <c r="B4" s="110">
        <v>0</v>
      </c>
      <c r="C4" s="110">
        <v>1</v>
      </c>
      <c r="D4" s="110">
        <v>0</v>
      </c>
      <c r="E4" s="110">
        <v>0</v>
      </c>
      <c r="F4" s="110">
        <v>0</v>
      </c>
      <c r="G4" s="110">
        <v>1</v>
      </c>
      <c r="H4" s="110">
        <v>0</v>
      </c>
      <c r="I4" s="110">
        <v>0</v>
      </c>
      <c r="J4" s="110">
        <v>0</v>
      </c>
      <c r="K4" s="110">
        <v>0</v>
      </c>
      <c r="L4" s="110">
        <v>0</v>
      </c>
      <c r="M4" s="110">
        <v>0</v>
      </c>
      <c r="N4" s="110">
        <v>0</v>
      </c>
      <c r="O4" s="110">
        <v>0</v>
      </c>
      <c r="P4" s="110">
        <v>0</v>
      </c>
      <c r="Q4" s="110">
        <v>0</v>
      </c>
      <c r="R4" s="110">
        <v>0</v>
      </c>
      <c r="S4" s="110">
        <v>0</v>
      </c>
      <c r="T4" s="110">
        <v>0</v>
      </c>
      <c r="U4" s="110">
        <v>0</v>
      </c>
      <c r="V4" s="110">
        <v>1</v>
      </c>
      <c r="W4" s="110">
        <v>0</v>
      </c>
      <c r="X4" s="110">
        <v>0</v>
      </c>
      <c r="Y4" s="110">
        <v>0</v>
      </c>
      <c r="Z4" s="110">
        <v>0</v>
      </c>
      <c r="AA4" s="110">
        <v>0</v>
      </c>
      <c r="AB4" s="110">
        <v>0</v>
      </c>
      <c r="AC4" s="110">
        <v>0</v>
      </c>
      <c r="AD4" s="110">
        <v>0</v>
      </c>
      <c r="AE4" s="110">
        <v>0</v>
      </c>
      <c r="AF4" s="110">
        <v>0</v>
      </c>
      <c r="AG4" s="110">
        <v>0</v>
      </c>
      <c r="AH4" s="110">
        <v>0</v>
      </c>
      <c r="AI4" s="110">
        <v>0</v>
      </c>
      <c r="AJ4" s="110">
        <v>0</v>
      </c>
      <c r="AK4" s="110">
        <v>0</v>
      </c>
      <c r="AL4" s="110">
        <v>0</v>
      </c>
      <c r="AM4" s="110">
        <v>0</v>
      </c>
      <c r="AN4" s="110">
        <v>0</v>
      </c>
      <c r="AO4" s="110">
        <v>0</v>
      </c>
      <c r="AP4" s="110">
        <v>0</v>
      </c>
      <c r="AQ4" s="110">
        <v>0</v>
      </c>
      <c r="AR4" s="110">
        <v>0</v>
      </c>
      <c r="AS4" s="110">
        <v>0</v>
      </c>
      <c r="AT4" s="110">
        <v>0</v>
      </c>
    </row>
    <row r="5" spans="1:46" customFormat="1" x14ac:dyDescent="0.15">
      <c r="A5" s="193" t="s">
        <v>195</v>
      </c>
      <c r="B5" s="110">
        <v>0</v>
      </c>
      <c r="C5" s="110">
        <v>0</v>
      </c>
      <c r="D5" s="110">
        <v>0</v>
      </c>
      <c r="E5" s="110">
        <v>0</v>
      </c>
      <c r="F5" s="110">
        <v>0</v>
      </c>
      <c r="G5" s="110">
        <v>1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</row>
    <row r="6" spans="1:46" customFormat="1" x14ac:dyDescent="0.15">
      <c r="A6" s="193" t="s">
        <v>196</v>
      </c>
      <c r="B6" s="110">
        <v>0</v>
      </c>
      <c r="C6" s="110">
        <v>0</v>
      </c>
      <c r="D6" s="110">
        <v>0</v>
      </c>
      <c r="E6" s="110">
        <v>0</v>
      </c>
      <c r="F6" s="110">
        <v>0</v>
      </c>
      <c r="G6" s="110">
        <v>1</v>
      </c>
      <c r="H6" s="110">
        <v>0</v>
      </c>
      <c r="I6" s="110">
        <v>0</v>
      </c>
      <c r="J6" s="110">
        <v>0</v>
      </c>
      <c r="K6" s="110">
        <v>0</v>
      </c>
      <c r="L6" s="110">
        <v>0</v>
      </c>
      <c r="M6" s="110">
        <v>0</v>
      </c>
      <c r="N6" s="110">
        <v>0</v>
      </c>
      <c r="O6" s="110">
        <v>0</v>
      </c>
      <c r="P6" s="110">
        <v>0</v>
      </c>
      <c r="Q6" s="110">
        <v>0</v>
      </c>
      <c r="R6" s="110">
        <v>0</v>
      </c>
      <c r="S6" s="110">
        <v>0</v>
      </c>
      <c r="T6" s="110">
        <v>0</v>
      </c>
      <c r="U6" s="110">
        <v>0</v>
      </c>
      <c r="V6" s="110">
        <v>0</v>
      </c>
      <c r="W6" s="110">
        <v>0</v>
      </c>
      <c r="X6" s="110">
        <v>0</v>
      </c>
      <c r="Y6" s="110">
        <v>0</v>
      </c>
      <c r="Z6" s="110">
        <v>0</v>
      </c>
      <c r="AA6" s="110">
        <v>0</v>
      </c>
      <c r="AB6" s="110">
        <v>0</v>
      </c>
      <c r="AC6" s="110">
        <v>0</v>
      </c>
      <c r="AD6" s="110">
        <v>0</v>
      </c>
      <c r="AE6" s="110">
        <v>0</v>
      </c>
      <c r="AF6" s="110">
        <v>0</v>
      </c>
      <c r="AG6" s="110">
        <v>0</v>
      </c>
      <c r="AH6" s="110">
        <v>0</v>
      </c>
      <c r="AI6" s="110">
        <v>0</v>
      </c>
      <c r="AJ6" s="110">
        <v>0</v>
      </c>
      <c r="AK6" s="110">
        <v>0</v>
      </c>
      <c r="AL6" s="110">
        <v>0</v>
      </c>
      <c r="AM6" s="110">
        <v>0</v>
      </c>
      <c r="AN6" s="110">
        <v>0</v>
      </c>
      <c r="AO6" s="110">
        <v>0</v>
      </c>
      <c r="AP6" s="110">
        <v>0</v>
      </c>
      <c r="AQ6" s="110">
        <v>0</v>
      </c>
      <c r="AR6" s="110">
        <v>0</v>
      </c>
      <c r="AS6" s="110">
        <v>0</v>
      </c>
      <c r="AT6" s="110">
        <v>0</v>
      </c>
    </row>
    <row r="7" spans="1:46" customFormat="1" x14ac:dyDescent="0.15">
      <c r="A7" s="193" t="s">
        <v>197</v>
      </c>
      <c r="B7" s="110">
        <v>0</v>
      </c>
      <c r="C7" s="110">
        <v>0</v>
      </c>
      <c r="D7" s="110">
        <v>0</v>
      </c>
      <c r="E7" s="110">
        <v>0</v>
      </c>
      <c r="F7" s="110">
        <v>0</v>
      </c>
      <c r="G7" s="110">
        <v>1</v>
      </c>
      <c r="H7" s="110">
        <v>0</v>
      </c>
      <c r="I7" s="110">
        <v>0</v>
      </c>
      <c r="J7" s="110">
        <v>0</v>
      </c>
      <c r="K7" s="110">
        <v>0</v>
      </c>
      <c r="L7" s="110">
        <v>0</v>
      </c>
      <c r="M7" s="110">
        <v>0</v>
      </c>
      <c r="N7" s="110">
        <v>0</v>
      </c>
      <c r="O7" s="110">
        <v>0</v>
      </c>
      <c r="P7" s="110">
        <v>0</v>
      </c>
      <c r="Q7" s="110">
        <v>0</v>
      </c>
      <c r="R7" s="110">
        <v>0</v>
      </c>
      <c r="S7" s="110">
        <v>0</v>
      </c>
      <c r="T7" s="110">
        <v>0</v>
      </c>
      <c r="U7" s="110">
        <v>0</v>
      </c>
      <c r="V7" s="110">
        <v>1</v>
      </c>
      <c r="W7" s="110">
        <v>0</v>
      </c>
      <c r="X7" s="110">
        <v>0</v>
      </c>
      <c r="Y7" s="110">
        <v>0</v>
      </c>
      <c r="Z7" s="110">
        <v>0</v>
      </c>
      <c r="AA7" s="110">
        <v>0</v>
      </c>
      <c r="AB7" s="110">
        <v>0</v>
      </c>
      <c r="AC7" s="110">
        <v>0</v>
      </c>
      <c r="AD7" s="110">
        <v>0</v>
      </c>
      <c r="AE7" s="110">
        <v>0</v>
      </c>
      <c r="AF7" s="110">
        <v>0</v>
      </c>
      <c r="AG7" s="110">
        <v>0</v>
      </c>
      <c r="AH7" s="110">
        <v>0</v>
      </c>
      <c r="AI7" s="110">
        <v>0</v>
      </c>
      <c r="AJ7" s="110">
        <v>0</v>
      </c>
      <c r="AK7" s="110">
        <v>0</v>
      </c>
      <c r="AL7" s="110">
        <v>0</v>
      </c>
      <c r="AM7" s="110">
        <v>0</v>
      </c>
      <c r="AN7" s="110">
        <v>0</v>
      </c>
      <c r="AO7" s="110">
        <v>0</v>
      </c>
      <c r="AP7" s="110">
        <v>0</v>
      </c>
      <c r="AQ7" s="110">
        <v>0</v>
      </c>
      <c r="AR7" s="110">
        <v>0</v>
      </c>
      <c r="AS7" s="110">
        <v>0</v>
      </c>
      <c r="AT7" s="110">
        <v>0</v>
      </c>
    </row>
    <row r="8" spans="1:46" customFormat="1" x14ac:dyDescent="0.15">
      <c r="A8" s="193" t="s">
        <v>198</v>
      </c>
      <c r="B8" s="110">
        <v>0</v>
      </c>
      <c r="C8" s="110">
        <v>0</v>
      </c>
      <c r="D8" s="110">
        <v>0</v>
      </c>
      <c r="E8" s="110">
        <v>0</v>
      </c>
      <c r="F8" s="110">
        <v>1</v>
      </c>
      <c r="G8" s="110">
        <v>1</v>
      </c>
      <c r="H8" s="110">
        <v>0</v>
      </c>
      <c r="I8" s="110">
        <v>0</v>
      </c>
      <c r="J8" s="110">
        <v>1</v>
      </c>
      <c r="K8" s="110">
        <v>0</v>
      </c>
      <c r="L8" s="110">
        <v>0</v>
      </c>
      <c r="M8" s="110">
        <v>0</v>
      </c>
      <c r="N8" s="110">
        <v>0</v>
      </c>
      <c r="O8" s="110">
        <v>0</v>
      </c>
      <c r="P8" s="110">
        <v>0</v>
      </c>
      <c r="Q8" s="110">
        <v>0</v>
      </c>
      <c r="R8" s="110">
        <v>0</v>
      </c>
      <c r="S8" s="110">
        <v>0</v>
      </c>
      <c r="T8" s="110">
        <v>0</v>
      </c>
      <c r="U8" s="110">
        <v>0</v>
      </c>
      <c r="V8" s="110">
        <v>0</v>
      </c>
      <c r="W8" s="110">
        <v>0</v>
      </c>
      <c r="X8" s="110">
        <v>0</v>
      </c>
      <c r="Y8" s="110">
        <v>0</v>
      </c>
      <c r="Z8" s="110">
        <v>0</v>
      </c>
      <c r="AA8" s="110">
        <v>0</v>
      </c>
      <c r="AB8" s="110">
        <v>0</v>
      </c>
      <c r="AC8" s="110">
        <v>0</v>
      </c>
      <c r="AD8" s="110">
        <v>0</v>
      </c>
      <c r="AE8" s="110">
        <v>0</v>
      </c>
      <c r="AF8" s="110">
        <v>0</v>
      </c>
      <c r="AG8" s="110">
        <v>0</v>
      </c>
      <c r="AH8" s="110">
        <v>0</v>
      </c>
      <c r="AI8" s="110">
        <v>0</v>
      </c>
      <c r="AJ8" s="110">
        <v>0</v>
      </c>
      <c r="AK8" s="110">
        <v>0</v>
      </c>
      <c r="AL8" s="110">
        <v>0</v>
      </c>
      <c r="AM8" s="110">
        <v>0</v>
      </c>
      <c r="AN8" s="110">
        <v>0</v>
      </c>
      <c r="AO8" s="110">
        <v>0</v>
      </c>
      <c r="AP8" s="110">
        <v>0</v>
      </c>
      <c r="AQ8" s="110">
        <v>0</v>
      </c>
      <c r="AR8" s="110">
        <v>0</v>
      </c>
      <c r="AS8" s="110">
        <v>0</v>
      </c>
      <c r="AT8" s="110">
        <v>0</v>
      </c>
    </row>
    <row r="9" spans="1:46" customFormat="1" x14ac:dyDescent="0.15">
      <c r="A9" s="193" t="s">
        <v>199</v>
      </c>
      <c r="B9" s="110">
        <v>0</v>
      </c>
      <c r="C9" s="110">
        <v>0</v>
      </c>
      <c r="D9" s="110">
        <v>0</v>
      </c>
      <c r="E9" s="110">
        <v>0</v>
      </c>
      <c r="F9" s="110">
        <v>1</v>
      </c>
      <c r="G9" s="110">
        <v>1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1</v>
      </c>
      <c r="N9" s="110">
        <v>0</v>
      </c>
      <c r="O9" s="110">
        <v>0</v>
      </c>
      <c r="P9" s="110">
        <v>0</v>
      </c>
      <c r="Q9" s="110">
        <v>0</v>
      </c>
      <c r="R9" s="110">
        <v>0</v>
      </c>
      <c r="S9" s="110">
        <v>0</v>
      </c>
      <c r="T9" s="110">
        <v>0</v>
      </c>
      <c r="U9" s="110">
        <v>0</v>
      </c>
      <c r="V9" s="110">
        <v>0</v>
      </c>
      <c r="W9" s="110">
        <v>0</v>
      </c>
      <c r="X9" s="110">
        <v>0</v>
      </c>
      <c r="Y9" s="110">
        <v>0</v>
      </c>
      <c r="Z9" s="110">
        <v>0</v>
      </c>
      <c r="AA9" s="110">
        <v>0</v>
      </c>
      <c r="AB9" s="110">
        <v>0</v>
      </c>
      <c r="AC9" s="110">
        <v>0</v>
      </c>
      <c r="AD9" s="110">
        <v>0</v>
      </c>
      <c r="AE9" s="110">
        <v>0</v>
      </c>
      <c r="AF9" s="110">
        <v>0</v>
      </c>
      <c r="AG9" s="110">
        <v>0</v>
      </c>
      <c r="AH9" s="110">
        <v>0</v>
      </c>
      <c r="AI9" s="110">
        <v>0</v>
      </c>
      <c r="AJ9" s="110">
        <v>0</v>
      </c>
      <c r="AK9" s="110">
        <v>0</v>
      </c>
      <c r="AL9" s="110">
        <v>0</v>
      </c>
      <c r="AM9" s="110">
        <v>0</v>
      </c>
      <c r="AN9" s="110">
        <v>0</v>
      </c>
      <c r="AO9" s="110">
        <v>0</v>
      </c>
      <c r="AP9" s="110">
        <v>0</v>
      </c>
      <c r="AQ9" s="110">
        <v>0</v>
      </c>
      <c r="AR9" s="110">
        <v>0</v>
      </c>
      <c r="AS9" s="110">
        <v>0</v>
      </c>
      <c r="AT9" s="110">
        <v>0</v>
      </c>
    </row>
    <row r="10" spans="1:46" customFormat="1" x14ac:dyDescent="0.15">
      <c r="A10" s="193" t="s">
        <v>200</v>
      </c>
      <c r="B10" s="110">
        <v>0</v>
      </c>
      <c r="C10" s="110">
        <v>0</v>
      </c>
      <c r="D10" s="110">
        <v>0</v>
      </c>
      <c r="E10" s="110">
        <v>0</v>
      </c>
      <c r="F10" s="110">
        <v>0</v>
      </c>
      <c r="G10" s="110">
        <v>1</v>
      </c>
      <c r="H10" s="110">
        <v>0</v>
      </c>
      <c r="I10" s="110">
        <v>0</v>
      </c>
      <c r="J10" s="110">
        <v>0</v>
      </c>
      <c r="K10" s="110">
        <v>0</v>
      </c>
      <c r="L10" s="110">
        <v>1</v>
      </c>
      <c r="M10" s="110">
        <v>0</v>
      </c>
      <c r="N10" s="110">
        <v>0</v>
      </c>
      <c r="O10" s="110">
        <v>0</v>
      </c>
      <c r="P10" s="110">
        <v>0</v>
      </c>
      <c r="Q10" s="110">
        <v>0</v>
      </c>
      <c r="R10" s="110">
        <v>0</v>
      </c>
      <c r="S10" s="110">
        <v>0</v>
      </c>
      <c r="T10" s="110">
        <v>0</v>
      </c>
      <c r="U10" s="110">
        <v>0</v>
      </c>
      <c r="V10" s="110">
        <v>0</v>
      </c>
      <c r="W10" s="110">
        <v>0</v>
      </c>
      <c r="X10" s="110">
        <v>0</v>
      </c>
      <c r="Y10" s="110">
        <v>0</v>
      </c>
      <c r="Z10" s="110">
        <v>0</v>
      </c>
      <c r="AA10" s="110">
        <v>0</v>
      </c>
      <c r="AB10" s="110">
        <v>0</v>
      </c>
      <c r="AC10" s="110">
        <v>0</v>
      </c>
      <c r="AD10" s="110">
        <v>0</v>
      </c>
      <c r="AE10" s="110">
        <v>0</v>
      </c>
      <c r="AF10" s="110">
        <v>0</v>
      </c>
      <c r="AG10" s="110">
        <v>0</v>
      </c>
      <c r="AH10" s="110">
        <v>0</v>
      </c>
      <c r="AI10" s="110">
        <v>0</v>
      </c>
      <c r="AJ10" s="110">
        <v>0</v>
      </c>
      <c r="AK10" s="110">
        <v>0</v>
      </c>
      <c r="AL10" s="110">
        <v>0</v>
      </c>
      <c r="AM10" s="110">
        <v>0</v>
      </c>
      <c r="AN10" s="110">
        <v>0</v>
      </c>
      <c r="AO10" s="110">
        <v>0</v>
      </c>
      <c r="AP10" s="110">
        <v>0</v>
      </c>
      <c r="AQ10" s="110">
        <v>0</v>
      </c>
      <c r="AR10" s="110">
        <v>0</v>
      </c>
      <c r="AS10" s="110">
        <v>0</v>
      </c>
      <c r="AT10" s="110">
        <v>0</v>
      </c>
    </row>
    <row r="11" spans="1:46" customFormat="1" x14ac:dyDescent="0.15">
      <c r="A11" s="193" t="s">
        <v>201</v>
      </c>
      <c r="B11" s="110">
        <v>0</v>
      </c>
      <c r="C11" s="110">
        <v>0</v>
      </c>
      <c r="D11" s="110">
        <v>0</v>
      </c>
      <c r="E11" s="110">
        <v>0</v>
      </c>
      <c r="F11" s="110">
        <v>0</v>
      </c>
      <c r="G11" s="110">
        <v>1</v>
      </c>
      <c r="H11" s="110">
        <v>0</v>
      </c>
      <c r="I11" s="110">
        <v>0</v>
      </c>
      <c r="J11" s="110">
        <v>0</v>
      </c>
      <c r="K11" s="110">
        <v>0</v>
      </c>
      <c r="L11" s="110">
        <v>1</v>
      </c>
      <c r="M11" s="110">
        <v>0</v>
      </c>
      <c r="N11" s="110">
        <v>0</v>
      </c>
      <c r="O11" s="110">
        <v>0</v>
      </c>
      <c r="P11" s="110">
        <v>0</v>
      </c>
      <c r="Q11" s="110">
        <v>0</v>
      </c>
      <c r="R11" s="110">
        <v>0</v>
      </c>
      <c r="S11" s="110">
        <v>0</v>
      </c>
      <c r="T11" s="110">
        <v>0</v>
      </c>
      <c r="U11" s="110">
        <v>0</v>
      </c>
      <c r="V11" s="110">
        <v>0</v>
      </c>
      <c r="W11" s="110">
        <v>0</v>
      </c>
      <c r="X11" s="110">
        <v>0</v>
      </c>
      <c r="Y11" s="110">
        <v>0</v>
      </c>
      <c r="Z11" s="110">
        <v>0</v>
      </c>
      <c r="AA11" s="110">
        <v>0</v>
      </c>
      <c r="AB11" s="110">
        <v>0</v>
      </c>
      <c r="AC11" s="110">
        <v>0</v>
      </c>
      <c r="AD11" s="110">
        <v>0</v>
      </c>
      <c r="AE11" s="110">
        <v>0</v>
      </c>
      <c r="AF11" s="110">
        <v>0</v>
      </c>
      <c r="AG11" s="110">
        <v>0</v>
      </c>
      <c r="AH11" s="110">
        <v>0</v>
      </c>
      <c r="AI11" s="110">
        <v>0</v>
      </c>
      <c r="AJ11" s="110">
        <v>0</v>
      </c>
      <c r="AK11" s="110">
        <v>0</v>
      </c>
      <c r="AL11" s="110">
        <v>0</v>
      </c>
      <c r="AM11" s="110">
        <v>0</v>
      </c>
      <c r="AN11" s="110">
        <v>0</v>
      </c>
      <c r="AO11" s="110">
        <v>0</v>
      </c>
      <c r="AP11" s="110">
        <v>0</v>
      </c>
      <c r="AQ11" s="110">
        <v>0</v>
      </c>
      <c r="AR11" s="110">
        <v>0</v>
      </c>
      <c r="AS11" s="110">
        <v>0</v>
      </c>
      <c r="AT11" s="110">
        <v>0</v>
      </c>
    </row>
    <row r="12" spans="1:46" customFormat="1" x14ac:dyDescent="0.15">
      <c r="A12" s="193" t="s">
        <v>202</v>
      </c>
      <c r="B12" s="110">
        <v>0</v>
      </c>
      <c r="C12" s="110">
        <v>0</v>
      </c>
      <c r="D12" s="110">
        <v>0</v>
      </c>
      <c r="E12" s="110">
        <v>1</v>
      </c>
      <c r="F12" s="110">
        <v>1</v>
      </c>
      <c r="G12" s="110">
        <v>1</v>
      </c>
      <c r="H12" s="110">
        <v>0</v>
      </c>
      <c r="I12" s="110">
        <v>0</v>
      </c>
      <c r="J12" s="110">
        <v>1</v>
      </c>
      <c r="K12" s="110">
        <v>0</v>
      </c>
      <c r="L12" s="110">
        <v>1</v>
      </c>
      <c r="M12" s="110">
        <v>1</v>
      </c>
      <c r="N12" s="110">
        <v>0</v>
      </c>
      <c r="O12" s="110">
        <v>0</v>
      </c>
      <c r="P12" s="110">
        <v>0</v>
      </c>
      <c r="Q12" s="110">
        <v>0</v>
      </c>
      <c r="R12" s="110">
        <v>0</v>
      </c>
      <c r="S12" s="110">
        <v>0</v>
      </c>
      <c r="T12" s="110">
        <v>1</v>
      </c>
      <c r="U12" s="110">
        <v>0</v>
      </c>
      <c r="V12" s="110">
        <v>0</v>
      </c>
      <c r="W12" s="110">
        <v>0</v>
      </c>
      <c r="X12" s="110">
        <v>0</v>
      </c>
      <c r="Y12" s="110">
        <v>0</v>
      </c>
      <c r="Z12" s="110">
        <v>0</v>
      </c>
      <c r="AA12" s="110">
        <v>0</v>
      </c>
      <c r="AB12" s="110">
        <v>0</v>
      </c>
      <c r="AC12" s="110">
        <v>0</v>
      </c>
      <c r="AD12" s="110">
        <v>0</v>
      </c>
      <c r="AE12" s="110">
        <v>0</v>
      </c>
      <c r="AF12" s="110">
        <v>0</v>
      </c>
      <c r="AG12" s="110">
        <v>0</v>
      </c>
      <c r="AH12" s="110">
        <v>0</v>
      </c>
      <c r="AI12" s="110">
        <v>0</v>
      </c>
      <c r="AJ12" s="110">
        <v>0</v>
      </c>
      <c r="AK12" s="110">
        <v>0</v>
      </c>
      <c r="AL12" s="110">
        <v>0</v>
      </c>
      <c r="AM12" s="110">
        <v>0</v>
      </c>
      <c r="AN12" s="110">
        <v>0</v>
      </c>
      <c r="AO12" s="110">
        <v>0</v>
      </c>
      <c r="AP12" s="110">
        <v>0</v>
      </c>
      <c r="AQ12" s="110">
        <v>0</v>
      </c>
      <c r="AR12" s="110">
        <v>0</v>
      </c>
      <c r="AS12" s="110">
        <v>0</v>
      </c>
      <c r="AT12" s="110">
        <v>0</v>
      </c>
    </row>
    <row r="13" spans="1:46" customFormat="1" x14ac:dyDescent="0.15">
      <c r="A13" s="193" t="s">
        <v>203</v>
      </c>
      <c r="B13" s="110">
        <v>0</v>
      </c>
      <c r="C13" s="110">
        <v>0</v>
      </c>
      <c r="D13" s="110">
        <v>0</v>
      </c>
      <c r="E13" s="110">
        <v>0</v>
      </c>
      <c r="F13" s="110">
        <v>0</v>
      </c>
      <c r="G13" s="110">
        <v>1</v>
      </c>
      <c r="H13" s="110">
        <v>0</v>
      </c>
      <c r="I13" s="110">
        <v>0</v>
      </c>
      <c r="J13" s="110">
        <v>0</v>
      </c>
      <c r="K13" s="110">
        <v>1</v>
      </c>
      <c r="L13" s="110">
        <v>1</v>
      </c>
      <c r="M13" s="110">
        <v>1</v>
      </c>
      <c r="N13" s="110">
        <v>0</v>
      </c>
      <c r="O13" s="110">
        <v>0</v>
      </c>
      <c r="P13" s="110">
        <v>0</v>
      </c>
      <c r="Q13" s="110">
        <v>0</v>
      </c>
      <c r="R13" s="110">
        <v>0</v>
      </c>
      <c r="S13" s="110">
        <v>0</v>
      </c>
      <c r="T13" s="110">
        <v>0</v>
      </c>
      <c r="U13" s="110">
        <v>0</v>
      </c>
      <c r="V13" s="110">
        <v>0</v>
      </c>
      <c r="W13" s="110">
        <v>0</v>
      </c>
      <c r="X13" s="110">
        <v>0</v>
      </c>
      <c r="Y13" s="110">
        <v>0</v>
      </c>
      <c r="Z13" s="110">
        <v>0</v>
      </c>
      <c r="AA13" s="110">
        <v>0</v>
      </c>
      <c r="AB13" s="110">
        <v>0</v>
      </c>
      <c r="AC13" s="110">
        <v>0</v>
      </c>
      <c r="AD13" s="110">
        <v>0</v>
      </c>
      <c r="AE13" s="110">
        <v>0</v>
      </c>
      <c r="AF13" s="110">
        <v>0</v>
      </c>
      <c r="AG13" s="110">
        <v>0</v>
      </c>
      <c r="AH13" s="110">
        <v>0</v>
      </c>
      <c r="AI13" s="110">
        <v>0</v>
      </c>
      <c r="AJ13" s="110">
        <v>0</v>
      </c>
      <c r="AK13" s="110">
        <v>0</v>
      </c>
      <c r="AL13" s="110">
        <v>0</v>
      </c>
      <c r="AM13" s="110">
        <v>0</v>
      </c>
      <c r="AN13" s="110">
        <v>0</v>
      </c>
      <c r="AO13" s="110">
        <v>0</v>
      </c>
      <c r="AP13" s="110">
        <v>0</v>
      </c>
      <c r="AQ13" s="110">
        <v>0</v>
      </c>
      <c r="AR13" s="110">
        <v>0</v>
      </c>
      <c r="AS13" s="110">
        <v>0</v>
      </c>
      <c r="AT13" s="110">
        <v>0</v>
      </c>
    </row>
    <row r="14" spans="1:46" customFormat="1" x14ac:dyDescent="0.15">
      <c r="A14" s="193" t="s">
        <v>204</v>
      </c>
      <c r="B14" s="110">
        <v>0</v>
      </c>
      <c r="C14" s="110">
        <v>0</v>
      </c>
      <c r="D14" s="110">
        <v>0</v>
      </c>
      <c r="E14" s="110">
        <v>0</v>
      </c>
      <c r="F14" s="110">
        <v>1</v>
      </c>
      <c r="G14" s="110">
        <v>1</v>
      </c>
      <c r="H14" s="110">
        <v>1</v>
      </c>
      <c r="I14" s="110">
        <v>0</v>
      </c>
      <c r="J14" s="110">
        <v>0</v>
      </c>
      <c r="K14" s="110">
        <v>1</v>
      </c>
      <c r="L14" s="110">
        <v>1</v>
      </c>
      <c r="M14" s="110">
        <v>0</v>
      </c>
      <c r="N14" s="110">
        <v>0</v>
      </c>
      <c r="O14" s="110">
        <v>0</v>
      </c>
      <c r="P14" s="110">
        <v>0</v>
      </c>
      <c r="Q14" s="110">
        <v>0</v>
      </c>
      <c r="R14" s="110">
        <v>0</v>
      </c>
      <c r="S14" s="110">
        <v>0</v>
      </c>
      <c r="T14" s="110">
        <v>0</v>
      </c>
      <c r="U14" s="110">
        <v>1</v>
      </c>
      <c r="V14" s="110">
        <v>1</v>
      </c>
      <c r="W14" s="110">
        <v>0</v>
      </c>
      <c r="X14" s="110">
        <v>0</v>
      </c>
      <c r="Y14" s="110">
        <v>0</v>
      </c>
      <c r="Z14" s="110">
        <v>0</v>
      </c>
      <c r="AA14" s="110">
        <v>0</v>
      </c>
      <c r="AB14" s="110">
        <v>0</v>
      </c>
      <c r="AC14" s="110">
        <v>0</v>
      </c>
      <c r="AD14" s="110">
        <v>0</v>
      </c>
      <c r="AE14" s="110">
        <v>0</v>
      </c>
      <c r="AF14" s="110">
        <v>0</v>
      </c>
      <c r="AG14" s="110">
        <v>0</v>
      </c>
      <c r="AH14" s="110">
        <v>0</v>
      </c>
      <c r="AI14" s="110">
        <v>0</v>
      </c>
      <c r="AJ14" s="110">
        <v>0</v>
      </c>
      <c r="AK14" s="110">
        <v>0</v>
      </c>
      <c r="AL14" s="110">
        <v>0</v>
      </c>
      <c r="AM14" s="110">
        <v>1</v>
      </c>
      <c r="AN14" s="110">
        <v>0</v>
      </c>
      <c r="AO14" s="110">
        <v>0</v>
      </c>
      <c r="AP14" s="110">
        <v>0</v>
      </c>
      <c r="AQ14" s="110">
        <v>0</v>
      </c>
      <c r="AR14" s="110">
        <v>0</v>
      </c>
      <c r="AS14" s="110">
        <v>0</v>
      </c>
      <c r="AT14" s="110">
        <v>0</v>
      </c>
    </row>
    <row r="15" spans="1:46" customFormat="1" x14ac:dyDescent="0.15">
      <c r="A15" s="193" t="s">
        <v>205</v>
      </c>
      <c r="B15" s="110">
        <v>1</v>
      </c>
      <c r="C15" s="110">
        <v>1</v>
      </c>
      <c r="D15" s="110">
        <v>0</v>
      </c>
      <c r="E15" s="110">
        <v>1</v>
      </c>
      <c r="F15" s="110">
        <v>1</v>
      </c>
      <c r="G15" s="110">
        <v>1</v>
      </c>
      <c r="H15" s="110">
        <v>1</v>
      </c>
      <c r="I15" s="110">
        <v>1</v>
      </c>
      <c r="J15" s="110">
        <v>1</v>
      </c>
      <c r="K15" s="110">
        <v>1</v>
      </c>
      <c r="L15" s="110">
        <v>1</v>
      </c>
      <c r="M15" s="110">
        <v>1</v>
      </c>
      <c r="N15" s="110">
        <v>1</v>
      </c>
      <c r="O15" s="110">
        <v>1</v>
      </c>
      <c r="P15" s="110">
        <v>1</v>
      </c>
      <c r="Q15" s="110">
        <v>0</v>
      </c>
      <c r="R15" s="110">
        <v>0</v>
      </c>
      <c r="S15" s="110">
        <v>1</v>
      </c>
      <c r="T15" s="110">
        <v>1</v>
      </c>
      <c r="U15" s="110">
        <v>0</v>
      </c>
      <c r="V15" s="110">
        <v>1</v>
      </c>
      <c r="W15" s="110">
        <v>0</v>
      </c>
      <c r="X15" s="110">
        <v>1</v>
      </c>
      <c r="Y15" s="110">
        <v>0</v>
      </c>
      <c r="Z15" s="110">
        <v>0</v>
      </c>
      <c r="AA15" s="110">
        <v>0</v>
      </c>
      <c r="AB15" s="110">
        <v>0</v>
      </c>
      <c r="AC15" s="110">
        <v>1</v>
      </c>
      <c r="AD15" s="110">
        <v>0</v>
      </c>
      <c r="AE15" s="110">
        <v>1</v>
      </c>
      <c r="AF15" s="110">
        <v>1</v>
      </c>
      <c r="AG15" s="110">
        <v>1</v>
      </c>
      <c r="AH15" s="110">
        <v>0</v>
      </c>
      <c r="AI15" s="110">
        <v>0</v>
      </c>
      <c r="AJ15" s="110">
        <v>0</v>
      </c>
      <c r="AK15" s="110">
        <v>1</v>
      </c>
      <c r="AL15" s="110">
        <v>0</v>
      </c>
      <c r="AM15" s="110">
        <v>1</v>
      </c>
      <c r="AN15" s="110">
        <v>0</v>
      </c>
      <c r="AO15" s="110">
        <v>0</v>
      </c>
      <c r="AP15" s="110">
        <v>0</v>
      </c>
      <c r="AQ15" s="110">
        <v>0</v>
      </c>
      <c r="AR15" s="110">
        <v>0</v>
      </c>
      <c r="AS15" s="110">
        <v>0</v>
      </c>
      <c r="AT15" s="110">
        <v>0</v>
      </c>
    </row>
    <row r="16" spans="1:46" customFormat="1" x14ac:dyDescent="0.15">
      <c r="A16" s="193" t="s">
        <v>206</v>
      </c>
      <c r="B16" s="110">
        <v>1</v>
      </c>
      <c r="C16" s="110">
        <v>1</v>
      </c>
      <c r="D16" s="110">
        <v>0</v>
      </c>
      <c r="E16" s="110">
        <v>1</v>
      </c>
      <c r="F16" s="110">
        <v>0</v>
      </c>
      <c r="G16" s="110">
        <v>1</v>
      </c>
      <c r="H16" s="110">
        <v>1</v>
      </c>
      <c r="I16" s="110">
        <v>0</v>
      </c>
      <c r="J16" s="110">
        <v>1</v>
      </c>
      <c r="K16" s="110">
        <v>1</v>
      </c>
      <c r="L16" s="110">
        <v>1</v>
      </c>
      <c r="M16" s="110">
        <v>1</v>
      </c>
      <c r="N16" s="110">
        <v>1</v>
      </c>
      <c r="O16" s="110">
        <v>0</v>
      </c>
      <c r="P16" s="110">
        <v>0</v>
      </c>
      <c r="Q16" s="110">
        <v>0</v>
      </c>
      <c r="R16" s="110">
        <v>0</v>
      </c>
      <c r="S16" s="110">
        <v>0</v>
      </c>
      <c r="T16" s="110">
        <v>0</v>
      </c>
      <c r="U16" s="110">
        <v>0</v>
      </c>
      <c r="V16" s="110">
        <v>1</v>
      </c>
      <c r="W16" s="110">
        <v>0</v>
      </c>
      <c r="X16" s="110">
        <v>0</v>
      </c>
      <c r="Y16" s="110">
        <v>0</v>
      </c>
      <c r="Z16" s="110">
        <v>0</v>
      </c>
      <c r="AA16" s="110">
        <v>0</v>
      </c>
      <c r="AB16" s="110">
        <v>0</v>
      </c>
      <c r="AC16" s="110">
        <v>0</v>
      </c>
      <c r="AD16" s="110">
        <v>0</v>
      </c>
      <c r="AE16" s="110">
        <v>0</v>
      </c>
      <c r="AF16" s="110">
        <v>0</v>
      </c>
      <c r="AG16" s="110">
        <v>0</v>
      </c>
      <c r="AH16" s="110">
        <v>0</v>
      </c>
      <c r="AI16" s="110">
        <v>0</v>
      </c>
      <c r="AJ16" s="110">
        <v>0</v>
      </c>
      <c r="AK16" s="110">
        <v>0</v>
      </c>
      <c r="AL16" s="110">
        <v>0</v>
      </c>
      <c r="AM16" s="110">
        <v>1</v>
      </c>
      <c r="AN16" s="110">
        <v>0</v>
      </c>
      <c r="AO16" s="110">
        <v>0</v>
      </c>
      <c r="AP16" s="110">
        <v>0</v>
      </c>
      <c r="AQ16" s="110">
        <v>0</v>
      </c>
      <c r="AR16" s="110">
        <v>0</v>
      </c>
      <c r="AS16" s="110">
        <v>0</v>
      </c>
      <c r="AT16" s="110">
        <v>0</v>
      </c>
    </row>
    <row r="17" spans="1:46" customFormat="1" x14ac:dyDescent="0.15">
      <c r="A17" s="193" t="s">
        <v>207</v>
      </c>
      <c r="B17" s="110">
        <v>0</v>
      </c>
      <c r="C17" s="110">
        <v>1</v>
      </c>
      <c r="D17" s="110">
        <v>0</v>
      </c>
      <c r="E17" s="110">
        <v>1</v>
      </c>
      <c r="F17" s="110">
        <v>0</v>
      </c>
      <c r="G17" s="110">
        <v>1</v>
      </c>
      <c r="H17" s="110">
        <v>0</v>
      </c>
      <c r="I17" s="110">
        <v>0</v>
      </c>
      <c r="J17" s="110">
        <v>0</v>
      </c>
      <c r="K17" s="110">
        <v>1</v>
      </c>
      <c r="L17" s="110">
        <v>1</v>
      </c>
      <c r="M17" s="110">
        <v>0</v>
      </c>
      <c r="N17" s="110">
        <v>1</v>
      </c>
      <c r="O17" s="110">
        <v>0</v>
      </c>
      <c r="P17" s="110">
        <v>0</v>
      </c>
      <c r="Q17" s="110">
        <v>0</v>
      </c>
      <c r="R17" s="110">
        <v>0</v>
      </c>
      <c r="S17" s="110">
        <v>1</v>
      </c>
      <c r="T17" s="110">
        <v>0</v>
      </c>
      <c r="U17" s="110">
        <v>1</v>
      </c>
      <c r="V17" s="110">
        <v>0</v>
      </c>
      <c r="W17" s="110">
        <v>0</v>
      </c>
      <c r="X17" s="110">
        <v>0</v>
      </c>
      <c r="Y17" s="110">
        <v>1</v>
      </c>
      <c r="Z17" s="110">
        <v>0</v>
      </c>
      <c r="AA17" s="110">
        <v>0</v>
      </c>
      <c r="AB17" s="110">
        <v>1</v>
      </c>
      <c r="AC17" s="110">
        <v>0</v>
      </c>
      <c r="AD17" s="110">
        <v>0</v>
      </c>
      <c r="AE17" s="110">
        <v>0</v>
      </c>
      <c r="AF17" s="110">
        <v>1</v>
      </c>
      <c r="AG17" s="110">
        <v>0</v>
      </c>
      <c r="AH17" s="110">
        <v>0</v>
      </c>
      <c r="AI17" s="110">
        <v>0</v>
      </c>
      <c r="AJ17" s="110">
        <v>0</v>
      </c>
      <c r="AK17" s="110">
        <v>0</v>
      </c>
      <c r="AL17" s="110">
        <v>0</v>
      </c>
      <c r="AM17" s="110">
        <v>0</v>
      </c>
      <c r="AN17" s="110">
        <v>0</v>
      </c>
      <c r="AO17" s="110">
        <v>0</v>
      </c>
      <c r="AP17" s="110">
        <v>0</v>
      </c>
      <c r="AQ17" s="110">
        <v>0</v>
      </c>
      <c r="AR17" s="110">
        <v>0</v>
      </c>
      <c r="AS17" s="110">
        <v>0</v>
      </c>
      <c r="AT17" s="110">
        <v>0</v>
      </c>
    </row>
    <row r="18" spans="1:46" customFormat="1" x14ac:dyDescent="0.15">
      <c r="A18" s="193" t="s">
        <v>208</v>
      </c>
      <c r="B18" s="110">
        <v>1</v>
      </c>
      <c r="C18" s="110">
        <v>1</v>
      </c>
      <c r="D18" s="110">
        <v>0</v>
      </c>
      <c r="E18" s="110">
        <v>1</v>
      </c>
      <c r="F18" s="110">
        <v>1</v>
      </c>
      <c r="G18" s="110">
        <v>1</v>
      </c>
      <c r="H18" s="110">
        <v>1</v>
      </c>
      <c r="I18" s="110">
        <v>1</v>
      </c>
      <c r="J18" s="110">
        <v>0</v>
      </c>
      <c r="K18" s="110">
        <v>1</v>
      </c>
      <c r="L18" s="110">
        <v>1</v>
      </c>
      <c r="M18" s="110">
        <v>1</v>
      </c>
      <c r="N18" s="110">
        <v>1</v>
      </c>
      <c r="O18" s="110">
        <v>0</v>
      </c>
      <c r="P18" s="110">
        <v>1</v>
      </c>
      <c r="Q18" s="110">
        <v>0</v>
      </c>
      <c r="R18" s="110">
        <v>0</v>
      </c>
      <c r="S18" s="110">
        <v>1</v>
      </c>
      <c r="T18" s="110">
        <v>1</v>
      </c>
      <c r="U18" s="110">
        <v>0</v>
      </c>
      <c r="V18" s="110">
        <v>1</v>
      </c>
      <c r="W18" s="110">
        <v>0</v>
      </c>
      <c r="X18" s="110">
        <v>0</v>
      </c>
      <c r="Y18" s="110">
        <v>0</v>
      </c>
      <c r="Z18" s="110">
        <v>0</v>
      </c>
      <c r="AA18" s="110">
        <v>0</v>
      </c>
      <c r="AB18" s="110">
        <v>0</v>
      </c>
      <c r="AC18" s="110">
        <v>1</v>
      </c>
      <c r="AD18" s="110">
        <v>0</v>
      </c>
      <c r="AE18" s="110">
        <v>1</v>
      </c>
      <c r="AF18" s="110">
        <v>0</v>
      </c>
      <c r="AG18" s="110">
        <v>1</v>
      </c>
      <c r="AH18" s="110">
        <v>0</v>
      </c>
      <c r="AI18" s="110">
        <v>1</v>
      </c>
      <c r="AJ18" s="110">
        <v>0</v>
      </c>
      <c r="AK18" s="110">
        <v>1</v>
      </c>
      <c r="AL18" s="110">
        <v>0</v>
      </c>
      <c r="AM18" s="110">
        <v>1</v>
      </c>
      <c r="AN18" s="110">
        <v>0</v>
      </c>
      <c r="AO18" s="110">
        <v>0</v>
      </c>
      <c r="AP18" s="110">
        <v>0</v>
      </c>
      <c r="AQ18" s="110">
        <v>0</v>
      </c>
      <c r="AR18" s="110">
        <v>0</v>
      </c>
      <c r="AS18" s="110">
        <v>0</v>
      </c>
      <c r="AT18" s="110">
        <v>0</v>
      </c>
    </row>
    <row r="19" spans="1:46" customFormat="1" x14ac:dyDescent="0.15">
      <c r="A19" s="193" t="s">
        <v>209</v>
      </c>
      <c r="B19" s="110">
        <v>0</v>
      </c>
      <c r="C19" s="110">
        <v>0</v>
      </c>
      <c r="D19" s="110">
        <v>0</v>
      </c>
      <c r="E19" s="110">
        <v>0</v>
      </c>
      <c r="F19" s="110">
        <v>0</v>
      </c>
      <c r="G19" s="110">
        <v>1</v>
      </c>
      <c r="H19" s="110">
        <v>0</v>
      </c>
      <c r="I19" s="110">
        <v>0</v>
      </c>
      <c r="J19" s="110">
        <v>0</v>
      </c>
      <c r="K19" s="110">
        <v>0</v>
      </c>
      <c r="L19" s="110">
        <v>0</v>
      </c>
      <c r="M19" s="110">
        <v>0</v>
      </c>
      <c r="N19" s="110">
        <v>0</v>
      </c>
      <c r="O19" s="110">
        <v>0</v>
      </c>
      <c r="P19" s="110">
        <v>0</v>
      </c>
      <c r="Q19" s="110">
        <v>0</v>
      </c>
      <c r="R19" s="110">
        <v>0</v>
      </c>
      <c r="S19" s="110">
        <v>0</v>
      </c>
      <c r="T19" s="110">
        <v>0</v>
      </c>
      <c r="U19" s="110">
        <v>0</v>
      </c>
      <c r="V19" s="110">
        <v>0</v>
      </c>
      <c r="W19" s="110">
        <v>0</v>
      </c>
      <c r="X19" s="110">
        <v>0</v>
      </c>
      <c r="Y19" s="110">
        <v>0</v>
      </c>
      <c r="Z19" s="110">
        <v>0</v>
      </c>
      <c r="AA19" s="110">
        <v>0</v>
      </c>
      <c r="AB19" s="110">
        <v>0</v>
      </c>
      <c r="AC19" s="110">
        <v>0</v>
      </c>
      <c r="AD19" s="110">
        <v>0</v>
      </c>
      <c r="AE19" s="110">
        <v>0</v>
      </c>
      <c r="AF19" s="110">
        <v>0</v>
      </c>
      <c r="AG19" s="110">
        <v>0</v>
      </c>
      <c r="AH19" s="110">
        <v>0</v>
      </c>
      <c r="AI19" s="110">
        <v>0</v>
      </c>
      <c r="AJ19" s="110">
        <v>0</v>
      </c>
      <c r="AK19" s="110">
        <v>0</v>
      </c>
      <c r="AL19" s="110">
        <v>0</v>
      </c>
      <c r="AM19" s="110">
        <v>0</v>
      </c>
      <c r="AN19" s="110">
        <v>0</v>
      </c>
      <c r="AO19" s="110">
        <v>0</v>
      </c>
      <c r="AP19" s="110">
        <v>0</v>
      </c>
      <c r="AQ19" s="110">
        <v>0</v>
      </c>
      <c r="AR19" s="110">
        <v>0</v>
      </c>
      <c r="AS19" s="110">
        <v>0</v>
      </c>
      <c r="AT19" s="110">
        <v>0</v>
      </c>
    </row>
    <row r="20" spans="1:46" customFormat="1" x14ac:dyDescent="0.15">
      <c r="A20" s="193" t="s">
        <v>210</v>
      </c>
      <c r="B20" s="110">
        <v>0</v>
      </c>
      <c r="C20" s="110">
        <v>0</v>
      </c>
      <c r="D20" s="110">
        <v>0</v>
      </c>
      <c r="E20" s="110">
        <v>0</v>
      </c>
      <c r="F20" s="110">
        <v>0</v>
      </c>
      <c r="G20" s="110">
        <v>1</v>
      </c>
      <c r="H20" s="110">
        <v>0</v>
      </c>
      <c r="I20" s="110">
        <v>1</v>
      </c>
      <c r="J20" s="110">
        <v>0</v>
      </c>
      <c r="K20" s="110">
        <v>0</v>
      </c>
      <c r="L20" s="110">
        <v>0</v>
      </c>
      <c r="M20" s="110">
        <v>0</v>
      </c>
      <c r="N20" s="110">
        <v>0</v>
      </c>
      <c r="O20" s="110">
        <v>0</v>
      </c>
      <c r="P20" s="110">
        <v>0</v>
      </c>
      <c r="Q20" s="110">
        <v>0</v>
      </c>
      <c r="R20" s="110">
        <v>0</v>
      </c>
      <c r="S20" s="110">
        <v>0</v>
      </c>
      <c r="T20" s="110">
        <v>1</v>
      </c>
      <c r="U20" s="110">
        <v>0</v>
      </c>
      <c r="V20" s="110">
        <v>0</v>
      </c>
      <c r="W20" s="110">
        <v>0</v>
      </c>
      <c r="X20" s="110">
        <v>0</v>
      </c>
      <c r="Y20" s="110">
        <v>0</v>
      </c>
      <c r="Z20" s="110">
        <v>0</v>
      </c>
      <c r="AA20" s="110">
        <v>0</v>
      </c>
      <c r="AB20" s="110">
        <v>0</v>
      </c>
      <c r="AC20" s="110">
        <v>0</v>
      </c>
      <c r="AD20" s="110">
        <v>0</v>
      </c>
      <c r="AE20" s="110">
        <v>0</v>
      </c>
      <c r="AF20" s="110">
        <v>0</v>
      </c>
      <c r="AG20" s="110">
        <v>0</v>
      </c>
      <c r="AH20" s="110">
        <v>0</v>
      </c>
      <c r="AI20" s="110">
        <v>0</v>
      </c>
      <c r="AJ20" s="110">
        <v>0</v>
      </c>
      <c r="AK20" s="110">
        <v>0</v>
      </c>
      <c r="AL20" s="110">
        <v>0</v>
      </c>
      <c r="AM20" s="110">
        <v>0</v>
      </c>
      <c r="AN20" s="110">
        <v>0</v>
      </c>
      <c r="AO20" s="110">
        <v>0</v>
      </c>
      <c r="AP20" s="110">
        <v>0</v>
      </c>
      <c r="AQ20" s="110">
        <v>0</v>
      </c>
      <c r="AR20" s="110">
        <v>0</v>
      </c>
      <c r="AS20" s="110">
        <v>0</v>
      </c>
      <c r="AT20" s="110">
        <v>0</v>
      </c>
    </row>
    <row r="21" spans="1:46" customFormat="1" x14ac:dyDescent="0.15">
      <c r="A21" s="193" t="s">
        <v>211</v>
      </c>
      <c r="B21" s="110">
        <v>0</v>
      </c>
      <c r="C21" s="110">
        <v>0</v>
      </c>
      <c r="D21" s="110">
        <v>0</v>
      </c>
      <c r="E21" s="110">
        <v>0</v>
      </c>
      <c r="F21" s="110">
        <v>0</v>
      </c>
      <c r="G21" s="110">
        <v>1</v>
      </c>
      <c r="H21" s="110">
        <v>0</v>
      </c>
      <c r="I21" s="110">
        <v>0</v>
      </c>
      <c r="J21" s="110">
        <v>0</v>
      </c>
      <c r="K21" s="110">
        <v>0</v>
      </c>
      <c r="L21" s="110">
        <v>0</v>
      </c>
      <c r="M21" s="110">
        <v>0</v>
      </c>
      <c r="N21" s="110">
        <v>0</v>
      </c>
      <c r="O21" s="110">
        <v>0</v>
      </c>
      <c r="P21" s="110">
        <v>0</v>
      </c>
      <c r="Q21" s="110">
        <v>0</v>
      </c>
      <c r="R21" s="110">
        <v>0</v>
      </c>
      <c r="S21" s="110">
        <v>0</v>
      </c>
      <c r="T21" s="110">
        <v>1</v>
      </c>
      <c r="U21" s="110">
        <v>0</v>
      </c>
      <c r="V21" s="110">
        <v>1</v>
      </c>
      <c r="W21" s="110">
        <v>0</v>
      </c>
      <c r="X21" s="110">
        <v>0</v>
      </c>
      <c r="Y21" s="110">
        <v>0</v>
      </c>
      <c r="Z21" s="110">
        <v>0</v>
      </c>
      <c r="AA21" s="110">
        <v>0</v>
      </c>
      <c r="AB21" s="110">
        <v>0</v>
      </c>
      <c r="AC21" s="110">
        <v>0</v>
      </c>
      <c r="AD21" s="110">
        <v>0</v>
      </c>
      <c r="AE21" s="110">
        <v>0</v>
      </c>
      <c r="AF21" s="110">
        <v>0</v>
      </c>
      <c r="AG21" s="110">
        <v>0</v>
      </c>
      <c r="AH21" s="110">
        <v>0</v>
      </c>
      <c r="AI21" s="110">
        <v>0</v>
      </c>
      <c r="AJ21" s="110">
        <v>0</v>
      </c>
      <c r="AK21" s="110">
        <v>0</v>
      </c>
      <c r="AL21" s="110">
        <v>0</v>
      </c>
      <c r="AM21" s="110">
        <v>0</v>
      </c>
      <c r="AN21" s="110">
        <v>0</v>
      </c>
      <c r="AO21" s="110">
        <v>0</v>
      </c>
      <c r="AP21" s="110">
        <v>0</v>
      </c>
      <c r="AQ21" s="110">
        <v>0</v>
      </c>
      <c r="AR21" s="110">
        <v>0</v>
      </c>
      <c r="AS21" s="110">
        <v>0</v>
      </c>
      <c r="AT21" s="110">
        <v>0</v>
      </c>
    </row>
    <row r="22" spans="1:46" customFormat="1" x14ac:dyDescent="0.15">
      <c r="A22" s="193" t="s">
        <v>212</v>
      </c>
      <c r="B22" s="110">
        <v>0</v>
      </c>
      <c r="C22" s="110">
        <v>0</v>
      </c>
      <c r="D22" s="110">
        <v>0</v>
      </c>
      <c r="E22" s="110">
        <v>0</v>
      </c>
      <c r="F22" s="110">
        <v>1</v>
      </c>
      <c r="G22" s="110">
        <v>1</v>
      </c>
      <c r="H22" s="110">
        <v>0</v>
      </c>
      <c r="I22" s="110">
        <v>1</v>
      </c>
      <c r="J22" s="110">
        <v>1</v>
      </c>
      <c r="K22" s="110">
        <v>0</v>
      </c>
      <c r="L22" s="110">
        <v>1</v>
      </c>
      <c r="M22" s="110">
        <v>1</v>
      </c>
      <c r="N22" s="110">
        <v>0</v>
      </c>
      <c r="O22" s="110">
        <v>0</v>
      </c>
      <c r="P22" s="110">
        <v>0</v>
      </c>
      <c r="Q22" s="110">
        <v>0</v>
      </c>
      <c r="R22" s="110">
        <v>0</v>
      </c>
      <c r="S22" s="110">
        <v>0</v>
      </c>
      <c r="T22" s="110">
        <v>1</v>
      </c>
      <c r="U22" s="110">
        <v>0</v>
      </c>
      <c r="V22" s="110">
        <v>1</v>
      </c>
      <c r="W22" s="110">
        <v>0</v>
      </c>
      <c r="X22" s="110">
        <v>0</v>
      </c>
      <c r="Y22" s="110">
        <v>0</v>
      </c>
      <c r="Z22" s="110">
        <v>0</v>
      </c>
      <c r="AA22" s="110">
        <v>0</v>
      </c>
      <c r="AB22" s="110">
        <v>0</v>
      </c>
      <c r="AC22" s="110">
        <v>0</v>
      </c>
      <c r="AD22" s="110">
        <v>0</v>
      </c>
      <c r="AE22" s="110">
        <v>0</v>
      </c>
      <c r="AF22" s="110">
        <v>0</v>
      </c>
      <c r="AG22" s="110">
        <v>1</v>
      </c>
      <c r="AH22" s="110">
        <v>0</v>
      </c>
      <c r="AI22" s="110">
        <v>0</v>
      </c>
      <c r="AJ22" s="110">
        <v>0</v>
      </c>
      <c r="AK22" s="110">
        <v>0</v>
      </c>
      <c r="AL22" s="110">
        <v>0</v>
      </c>
      <c r="AM22" s="110">
        <v>0</v>
      </c>
      <c r="AN22" s="110">
        <v>0</v>
      </c>
      <c r="AO22" s="110">
        <v>0</v>
      </c>
      <c r="AP22" s="110">
        <v>0</v>
      </c>
      <c r="AQ22" s="110">
        <v>0</v>
      </c>
      <c r="AR22" s="110">
        <v>0</v>
      </c>
      <c r="AS22" s="110">
        <v>0</v>
      </c>
      <c r="AT22" s="110">
        <v>0</v>
      </c>
    </row>
    <row r="23" spans="1:46" customFormat="1" x14ac:dyDescent="0.15">
      <c r="A23" s="193" t="s">
        <v>213</v>
      </c>
      <c r="B23" s="110">
        <v>0</v>
      </c>
      <c r="C23" s="110">
        <v>0</v>
      </c>
      <c r="D23" s="110">
        <v>0</v>
      </c>
      <c r="E23" s="110">
        <v>0</v>
      </c>
      <c r="F23" s="110">
        <v>0</v>
      </c>
      <c r="G23" s="110">
        <v>1</v>
      </c>
      <c r="H23" s="110">
        <v>0</v>
      </c>
      <c r="I23" s="110">
        <v>0</v>
      </c>
      <c r="J23" s="110">
        <v>0</v>
      </c>
      <c r="K23" s="110">
        <v>0</v>
      </c>
      <c r="L23" s="110">
        <v>0</v>
      </c>
      <c r="M23" s="110">
        <v>0</v>
      </c>
      <c r="N23" s="110">
        <v>0</v>
      </c>
      <c r="O23" s="110">
        <v>0</v>
      </c>
      <c r="P23" s="110">
        <v>0</v>
      </c>
      <c r="Q23" s="110">
        <v>0</v>
      </c>
      <c r="R23" s="110">
        <v>0</v>
      </c>
      <c r="S23" s="110">
        <v>0</v>
      </c>
      <c r="T23" s="110">
        <v>0</v>
      </c>
      <c r="U23" s="110">
        <v>0</v>
      </c>
      <c r="V23" s="110">
        <v>0</v>
      </c>
      <c r="W23" s="110">
        <v>0</v>
      </c>
      <c r="X23" s="110">
        <v>0</v>
      </c>
      <c r="Y23" s="110">
        <v>0</v>
      </c>
      <c r="Z23" s="110">
        <v>0</v>
      </c>
      <c r="AA23" s="110">
        <v>0</v>
      </c>
      <c r="AB23" s="110">
        <v>0</v>
      </c>
      <c r="AC23" s="110">
        <v>0</v>
      </c>
      <c r="AD23" s="110">
        <v>0</v>
      </c>
      <c r="AE23" s="110">
        <v>0</v>
      </c>
      <c r="AF23" s="110">
        <v>0</v>
      </c>
      <c r="AG23" s="110">
        <v>0</v>
      </c>
      <c r="AH23" s="110">
        <v>0</v>
      </c>
      <c r="AI23" s="110">
        <v>0</v>
      </c>
      <c r="AJ23" s="110">
        <v>0</v>
      </c>
      <c r="AK23" s="110">
        <v>0</v>
      </c>
      <c r="AL23" s="110">
        <v>0</v>
      </c>
      <c r="AM23" s="110">
        <v>0</v>
      </c>
      <c r="AN23" s="110">
        <v>0</v>
      </c>
      <c r="AO23" s="110">
        <v>0</v>
      </c>
      <c r="AP23" s="110">
        <v>0</v>
      </c>
      <c r="AQ23" s="110">
        <v>0</v>
      </c>
      <c r="AR23" s="110">
        <v>0</v>
      </c>
      <c r="AS23" s="110">
        <v>0</v>
      </c>
      <c r="AT23" s="110">
        <v>0</v>
      </c>
    </row>
    <row r="24" spans="1:46" customFormat="1" x14ac:dyDescent="0.15">
      <c r="A24" s="193" t="s">
        <v>214</v>
      </c>
      <c r="B24" s="110">
        <v>0</v>
      </c>
      <c r="C24" s="110">
        <v>0</v>
      </c>
      <c r="D24" s="110">
        <v>0</v>
      </c>
      <c r="E24" s="110">
        <v>0</v>
      </c>
      <c r="F24" s="110">
        <v>0</v>
      </c>
      <c r="G24" s="110">
        <v>1</v>
      </c>
      <c r="H24" s="110">
        <v>0</v>
      </c>
      <c r="I24" s="110">
        <v>1</v>
      </c>
      <c r="J24" s="110">
        <v>1</v>
      </c>
      <c r="K24" s="110">
        <v>0</v>
      </c>
      <c r="L24" s="110">
        <v>1</v>
      </c>
      <c r="M24" s="110">
        <v>1</v>
      </c>
      <c r="N24" s="110">
        <v>0</v>
      </c>
      <c r="O24" s="110">
        <v>0</v>
      </c>
      <c r="P24" s="110">
        <v>0</v>
      </c>
      <c r="Q24" s="110">
        <v>0</v>
      </c>
      <c r="R24" s="110">
        <v>0</v>
      </c>
      <c r="S24" s="110">
        <v>0</v>
      </c>
      <c r="T24" s="110">
        <v>1</v>
      </c>
      <c r="U24" s="110">
        <v>0</v>
      </c>
      <c r="V24" s="110">
        <v>1</v>
      </c>
      <c r="W24" s="110">
        <v>0</v>
      </c>
      <c r="X24" s="110">
        <v>0</v>
      </c>
      <c r="Y24" s="110">
        <v>0</v>
      </c>
      <c r="Z24" s="110">
        <v>0</v>
      </c>
      <c r="AA24" s="110">
        <v>0</v>
      </c>
      <c r="AB24" s="110">
        <v>0</v>
      </c>
      <c r="AC24" s="110">
        <v>0</v>
      </c>
      <c r="AD24" s="110">
        <v>0</v>
      </c>
      <c r="AE24" s="110">
        <v>0</v>
      </c>
      <c r="AF24" s="110">
        <v>0</v>
      </c>
      <c r="AG24" s="110">
        <v>0</v>
      </c>
      <c r="AH24" s="110">
        <v>0</v>
      </c>
      <c r="AI24" s="110">
        <v>0</v>
      </c>
      <c r="AJ24" s="110">
        <v>0</v>
      </c>
      <c r="AK24" s="110">
        <v>0</v>
      </c>
      <c r="AL24" s="110">
        <v>0</v>
      </c>
      <c r="AM24" s="110">
        <v>0</v>
      </c>
      <c r="AN24" s="110">
        <v>0</v>
      </c>
      <c r="AO24" s="110">
        <v>0</v>
      </c>
      <c r="AP24" s="110">
        <v>0</v>
      </c>
      <c r="AQ24" s="110">
        <v>0</v>
      </c>
      <c r="AR24" s="110">
        <v>0</v>
      </c>
      <c r="AS24" s="110">
        <v>0</v>
      </c>
      <c r="AT24" s="110">
        <v>0</v>
      </c>
    </row>
    <row r="25" spans="1:46" customFormat="1" x14ac:dyDescent="0.15">
      <c r="A25" s="193" t="s">
        <v>215</v>
      </c>
      <c r="B25" s="110">
        <v>0</v>
      </c>
      <c r="C25" s="110">
        <v>0</v>
      </c>
      <c r="D25" s="110">
        <v>0</v>
      </c>
      <c r="E25" s="110">
        <v>1</v>
      </c>
      <c r="F25" s="110">
        <v>0</v>
      </c>
      <c r="G25" s="110">
        <v>1</v>
      </c>
      <c r="H25" s="110">
        <v>0</v>
      </c>
      <c r="I25" s="110">
        <v>1</v>
      </c>
      <c r="J25" s="110">
        <v>0</v>
      </c>
      <c r="K25" s="110">
        <v>0</v>
      </c>
      <c r="L25" s="110">
        <v>0</v>
      </c>
      <c r="M25" s="110">
        <v>0</v>
      </c>
      <c r="N25" s="110">
        <v>0</v>
      </c>
      <c r="O25" s="110">
        <v>0</v>
      </c>
      <c r="P25" s="110">
        <v>0</v>
      </c>
      <c r="Q25" s="110">
        <v>0</v>
      </c>
      <c r="R25" s="110">
        <v>0</v>
      </c>
      <c r="S25" s="110">
        <v>0</v>
      </c>
      <c r="T25" s="110">
        <v>0</v>
      </c>
      <c r="U25" s="110">
        <v>0</v>
      </c>
      <c r="V25" s="110">
        <v>0</v>
      </c>
      <c r="W25" s="110">
        <v>0</v>
      </c>
      <c r="X25" s="110">
        <v>0</v>
      </c>
      <c r="Y25" s="110">
        <v>0</v>
      </c>
      <c r="Z25" s="110">
        <v>0</v>
      </c>
      <c r="AA25" s="110">
        <v>0</v>
      </c>
      <c r="AB25" s="110">
        <v>0</v>
      </c>
      <c r="AC25" s="110">
        <v>0</v>
      </c>
      <c r="AD25" s="110">
        <v>0</v>
      </c>
      <c r="AE25" s="110">
        <v>0</v>
      </c>
      <c r="AF25" s="110">
        <v>0</v>
      </c>
      <c r="AG25" s="110">
        <v>0</v>
      </c>
      <c r="AH25" s="110">
        <v>0</v>
      </c>
      <c r="AI25" s="110">
        <v>0</v>
      </c>
      <c r="AJ25" s="110">
        <v>0</v>
      </c>
      <c r="AK25" s="110">
        <v>0</v>
      </c>
      <c r="AL25" s="110">
        <v>0</v>
      </c>
      <c r="AM25" s="110">
        <v>0</v>
      </c>
      <c r="AN25" s="110">
        <v>0</v>
      </c>
      <c r="AO25" s="110">
        <v>0</v>
      </c>
      <c r="AP25" s="110">
        <v>0</v>
      </c>
      <c r="AQ25" s="110">
        <v>0</v>
      </c>
      <c r="AR25" s="110">
        <v>0</v>
      </c>
      <c r="AS25" s="110">
        <v>0</v>
      </c>
      <c r="AT25" s="110">
        <v>0</v>
      </c>
    </row>
    <row r="26" spans="1:46" customFormat="1" x14ac:dyDescent="0.15">
      <c r="A26" s="193" t="s">
        <v>216</v>
      </c>
      <c r="B26" s="110">
        <v>0</v>
      </c>
      <c r="C26" s="110">
        <v>0</v>
      </c>
      <c r="D26" s="110">
        <v>0</v>
      </c>
      <c r="E26" s="110">
        <v>0</v>
      </c>
      <c r="F26" s="110">
        <v>0</v>
      </c>
      <c r="G26" s="110">
        <v>1</v>
      </c>
      <c r="H26" s="110">
        <v>0</v>
      </c>
      <c r="I26" s="110">
        <v>1</v>
      </c>
      <c r="J26" s="110">
        <v>0</v>
      </c>
      <c r="K26" s="110">
        <v>0</v>
      </c>
      <c r="L26" s="110">
        <v>0</v>
      </c>
      <c r="M26" s="110">
        <v>0</v>
      </c>
      <c r="N26" s="110">
        <v>0</v>
      </c>
      <c r="O26" s="110">
        <v>0</v>
      </c>
      <c r="P26" s="110">
        <v>0</v>
      </c>
      <c r="Q26" s="110">
        <v>0</v>
      </c>
      <c r="R26" s="110">
        <v>0</v>
      </c>
      <c r="S26" s="110">
        <v>1</v>
      </c>
      <c r="T26" s="110">
        <v>0</v>
      </c>
      <c r="U26" s="110">
        <v>1</v>
      </c>
      <c r="V26" s="110">
        <v>0</v>
      </c>
      <c r="W26" s="110">
        <v>0</v>
      </c>
      <c r="X26" s="110">
        <v>0</v>
      </c>
      <c r="Y26" s="110">
        <v>0</v>
      </c>
      <c r="Z26" s="110">
        <v>0</v>
      </c>
      <c r="AA26" s="110">
        <v>0</v>
      </c>
      <c r="AB26" s="110">
        <v>0</v>
      </c>
      <c r="AC26" s="110">
        <v>0</v>
      </c>
      <c r="AD26" s="110">
        <v>0</v>
      </c>
      <c r="AE26" s="110">
        <v>0</v>
      </c>
      <c r="AF26" s="110">
        <v>0</v>
      </c>
      <c r="AG26" s="110">
        <v>0</v>
      </c>
      <c r="AH26" s="110">
        <v>0</v>
      </c>
      <c r="AI26" s="110">
        <v>0</v>
      </c>
      <c r="AJ26" s="110">
        <v>0</v>
      </c>
      <c r="AK26" s="110">
        <v>0</v>
      </c>
      <c r="AL26" s="110">
        <v>0</v>
      </c>
      <c r="AM26" s="110">
        <v>0</v>
      </c>
      <c r="AN26" s="110">
        <v>0</v>
      </c>
      <c r="AO26" s="110">
        <v>0</v>
      </c>
      <c r="AP26" s="110">
        <v>0</v>
      </c>
      <c r="AQ26" s="110">
        <v>0</v>
      </c>
      <c r="AR26" s="110">
        <v>0</v>
      </c>
      <c r="AS26" s="110">
        <v>0</v>
      </c>
      <c r="AT26" s="110">
        <v>0</v>
      </c>
    </row>
    <row r="27" spans="1:46" customFormat="1" x14ac:dyDescent="0.15">
      <c r="A27" s="193" t="s">
        <v>217</v>
      </c>
      <c r="B27" s="110">
        <v>0</v>
      </c>
      <c r="C27" s="110">
        <v>1</v>
      </c>
      <c r="D27" s="110">
        <v>0</v>
      </c>
      <c r="E27" s="110">
        <v>1</v>
      </c>
      <c r="F27" s="110">
        <v>0</v>
      </c>
      <c r="G27" s="110">
        <v>1</v>
      </c>
      <c r="H27" s="110">
        <v>0</v>
      </c>
      <c r="I27" s="110">
        <v>0</v>
      </c>
      <c r="J27" s="110">
        <v>0</v>
      </c>
      <c r="K27" s="110">
        <v>1</v>
      </c>
      <c r="L27" s="110">
        <v>1</v>
      </c>
      <c r="M27" s="110">
        <v>0</v>
      </c>
      <c r="N27" s="110">
        <v>0</v>
      </c>
      <c r="O27" s="110">
        <v>0</v>
      </c>
      <c r="P27" s="110">
        <v>0</v>
      </c>
      <c r="Q27" s="110">
        <v>0</v>
      </c>
      <c r="R27" s="110">
        <v>0</v>
      </c>
      <c r="S27" s="110">
        <v>1</v>
      </c>
      <c r="T27" s="110">
        <v>0</v>
      </c>
      <c r="U27" s="110">
        <v>1</v>
      </c>
      <c r="V27" s="110">
        <v>1</v>
      </c>
      <c r="W27" s="110">
        <v>0</v>
      </c>
      <c r="X27" s="110">
        <v>0</v>
      </c>
      <c r="Y27" s="110">
        <v>0</v>
      </c>
      <c r="Z27" s="110">
        <v>0</v>
      </c>
      <c r="AA27" s="110">
        <v>0</v>
      </c>
      <c r="AB27" s="110">
        <v>0</v>
      </c>
      <c r="AC27" s="110">
        <v>0</v>
      </c>
      <c r="AD27" s="110">
        <v>0</v>
      </c>
      <c r="AE27" s="110">
        <v>0</v>
      </c>
      <c r="AF27" s="110">
        <v>0</v>
      </c>
      <c r="AG27" s="110">
        <v>0</v>
      </c>
      <c r="AH27" s="110">
        <v>0</v>
      </c>
      <c r="AI27" s="110">
        <v>0</v>
      </c>
      <c r="AJ27" s="110">
        <v>0</v>
      </c>
      <c r="AK27" s="110">
        <v>0</v>
      </c>
      <c r="AL27" s="110">
        <v>0</v>
      </c>
      <c r="AM27" s="110">
        <v>0</v>
      </c>
      <c r="AN27" s="110">
        <v>0</v>
      </c>
      <c r="AO27" s="110">
        <v>0</v>
      </c>
      <c r="AP27" s="110">
        <v>0</v>
      </c>
      <c r="AQ27" s="110">
        <v>0</v>
      </c>
      <c r="AR27" s="110">
        <v>0</v>
      </c>
      <c r="AS27" s="110">
        <v>0</v>
      </c>
      <c r="AT27" s="110">
        <v>0</v>
      </c>
    </row>
    <row r="28" spans="1:46" customFormat="1" x14ac:dyDescent="0.15">
      <c r="A28" s="193" t="s">
        <v>218</v>
      </c>
      <c r="B28" s="110">
        <v>0</v>
      </c>
      <c r="C28" s="110">
        <v>0</v>
      </c>
      <c r="D28" s="110">
        <v>0</v>
      </c>
      <c r="E28" s="110">
        <v>0</v>
      </c>
      <c r="F28" s="110">
        <v>0</v>
      </c>
      <c r="G28" s="110">
        <v>1</v>
      </c>
      <c r="H28" s="110">
        <v>0</v>
      </c>
      <c r="I28" s="110">
        <v>0</v>
      </c>
      <c r="J28" s="110">
        <v>0</v>
      </c>
      <c r="K28" s="110">
        <v>0</v>
      </c>
      <c r="L28" s="110">
        <v>0</v>
      </c>
      <c r="M28" s="110">
        <v>0</v>
      </c>
      <c r="N28" s="110">
        <v>0</v>
      </c>
      <c r="O28" s="110">
        <v>0</v>
      </c>
      <c r="P28" s="110">
        <v>0</v>
      </c>
      <c r="Q28" s="110">
        <v>0</v>
      </c>
      <c r="R28" s="110">
        <v>0</v>
      </c>
      <c r="S28" s="110">
        <v>1</v>
      </c>
      <c r="T28" s="110">
        <v>1</v>
      </c>
      <c r="U28" s="110">
        <v>0</v>
      </c>
      <c r="V28" s="110">
        <v>1</v>
      </c>
      <c r="W28" s="110">
        <v>0</v>
      </c>
      <c r="X28" s="110">
        <v>1</v>
      </c>
      <c r="Y28" s="110">
        <v>1</v>
      </c>
      <c r="Z28" s="110">
        <v>0</v>
      </c>
      <c r="AA28" s="110">
        <v>0</v>
      </c>
      <c r="AB28" s="110">
        <v>0</v>
      </c>
      <c r="AC28" s="110">
        <v>0</v>
      </c>
      <c r="AD28" s="110">
        <v>0</v>
      </c>
      <c r="AE28" s="110">
        <v>0</v>
      </c>
      <c r="AF28" s="110">
        <v>0</v>
      </c>
      <c r="AG28" s="110">
        <v>0</v>
      </c>
      <c r="AH28" s="110">
        <v>0</v>
      </c>
      <c r="AI28" s="110">
        <v>0</v>
      </c>
      <c r="AJ28" s="110">
        <v>0</v>
      </c>
      <c r="AK28" s="110">
        <v>0</v>
      </c>
      <c r="AL28" s="110">
        <v>0</v>
      </c>
      <c r="AM28" s="110">
        <v>0</v>
      </c>
      <c r="AN28" s="110">
        <v>0</v>
      </c>
      <c r="AO28" s="110">
        <v>0</v>
      </c>
      <c r="AP28" s="110">
        <v>0</v>
      </c>
      <c r="AQ28" s="110">
        <v>0</v>
      </c>
      <c r="AR28" s="110">
        <v>0</v>
      </c>
      <c r="AS28" s="110">
        <v>0</v>
      </c>
      <c r="AT28" s="110">
        <v>0</v>
      </c>
    </row>
    <row r="29" spans="1:46" customFormat="1" x14ac:dyDescent="0.15">
      <c r="A29" s="193" t="s">
        <v>219</v>
      </c>
      <c r="B29" s="110">
        <v>0</v>
      </c>
      <c r="C29" s="110">
        <v>1</v>
      </c>
      <c r="D29" s="110">
        <v>0</v>
      </c>
      <c r="E29" s="110">
        <v>1</v>
      </c>
      <c r="F29" s="110">
        <v>1</v>
      </c>
      <c r="G29" s="110">
        <v>1</v>
      </c>
      <c r="H29" s="110">
        <v>0</v>
      </c>
      <c r="I29" s="110">
        <v>1</v>
      </c>
      <c r="J29" s="110">
        <v>1</v>
      </c>
      <c r="K29" s="110">
        <v>0</v>
      </c>
      <c r="L29" s="110">
        <v>1</v>
      </c>
      <c r="M29" s="110">
        <v>1</v>
      </c>
      <c r="N29" s="110">
        <v>0</v>
      </c>
      <c r="O29" s="110">
        <v>0</v>
      </c>
      <c r="P29" s="110">
        <v>0</v>
      </c>
      <c r="Q29" s="110">
        <v>0</v>
      </c>
      <c r="R29" s="110">
        <v>0</v>
      </c>
      <c r="S29" s="110">
        <v>1</v>
      </c>
      <c r="T29" s="110">
        <v>1</v>
      </c>
      <c r="U29" s="110">
        <v>0</v>
      </c>
      <c r="V29" s="110">
        <v>1</v>
      </c>
      <c r="W29" s="110">
        <v>0</v>
      </c>
      <c r="X29" s="110">
        <v>1</v>
      </c>
      <c r="Y29" s="110">
        <v>1</v>
      </c>
      <c r="Z29" s="110">
        <v>0</v>
      </c>
      <c r="AA29" s="110">
        <v>0</v>
      </c>
      <c r="AB29" s="110">
        <v>0</v>
      </c>
      <c r="AC29" s="110">
        <v>0</v>
      </c>
      <c r="AD29" s="110">
        <v>0</v>
      </c>
      <c r="AE29" s="110">
        <v>0</v>
      </c>
      <c r="AF29" s="110">
        <v>0</v>
      </c>
      <c r="AG29" s="110">
        <v>0</v>
      </c>
      <c r="AH29" s="110">
        <v>0</v>
      </c>
      <c r="AI29" s="110">
        <v>0</v>
      </c>
      <c r="AJ29" s="110">
        <v>0</v>
      </c>
      <c r="AK29" s="110">
        <v>0</v>
      </c>
      <c r="AL29" s="110">
        <v>0</v>
      </c>
      <c r="AM29" s="110">
        <v>0</v>
      </c>
      <c r="AN29" s="110">
        <v>0</v>
      </c>
      <c r="AO29" s="110">
        <v>0</v>
      </c>
      <c r="AP29" s="110">
        <v>0</v>
      </c>
      <c r="AQ29" s="110">
        <v>0</v>
      </c>
      <c r="AR29" s="110">
        <v>0</v>
      </c>
      <c r="AS29" s="110">
        <v>0</v>
      </c>
      <c r="AT29" s="110">
        <v>0</v>
      </c>
    </row>
    <row r="30" spans="1:46" customFormat="1" x14ac:dyDescent="0.15">
      <c r="A30" s="193" t="s">
        <v>220</v>
      </c>
      <c r="B30" s="110">
        <v>0</v>
      </c>
      <c r="C30" s="110">
        <v>1</v>
      </c>
      <c r="D30" s="110">
        <v>0</v>
      </c>
      <c r="E30" s="110">
        <v>1</v>
      </c>
      <c r="F30" s="110">
        <v>0</v>
      </c>
      <c r="G30" s="110">
        <v>1</v>
      </c>
      <c r="H30" s="110">
        <v>0</v>
      </c>
      <c r="I30" s="110">
        <v>1</v>
      </c>
      <c r="J30" s="110">
        <v>0</v>
      </c>
      <c r="K30" s="110">
        <v>1</v>
      </c>
      <c r="L30" s="110">
        <v>0</v>
      </c>
      <c r="M30" s="110">
        <v>0</v>
      </c>
      <c r="N30" s="110">
        <v>0</v>
      </c>
      <c r="O30" s="110">
        <v>0</v>
      </c>
      <c r="P30" s="110">
        <v>0</v>
      </c>
      <c r="Q30" s="110">
        <v>0</v>
      </c>
      <c r="R30" s="110">
        <v>0</v>
      </c>
      <c r="S30" s="110">
        <v>1</v>
      </c>
      <c r="T30" s="110">
        <v>1</v>
      </c>
      <c r="U30" s="110">
        <v>1</v>
      </c>
      <c r="V30" s="110">
        <v>1</v>
      </c>
      <c r="W30" s="110">
        <v>0</v>
      </c>
      <c r="X30" s="110">
        <v>1</v>
      </c>
      <c r="Y30" s="110">
        <v>1</v>
      </c>
      <c r="Z30" s="110">
        <v>0</v>
      </c>
      <c r="AA30" s="110">
        <v>0</v>
      </c>
      <c r="AB30" s="110">
        <v>0</v>
      </c>
      <c r="AC30" s="110">
        <v>1</v>
      </c>
      <c r="AD30" s="110">
        <v>1</v>
      </c>
      <c r="AE30" s="110">
        <v>1</v>
      </c>
      <c r="AF30" s="110">
        <v>1</v>
      </c>
      <c r="AG30" s="110">
        <v>0</v>
      </c>
      <c r="AH30" s="110">
        <v>0</v>
      </c>
      <c r="AI30" s="110">
        <v>0</v>
      </c>
      <c r="AJ30" s="110">
        <v>0</v>
      </c>
      <c r="AK30" s="110">
        <v>0</v>
      </c>
      <c r="AL30" s="110">
        <v>0</v>
      </c>
      <c r="AM30" s="110">
        <v>0</v>
      </c>
      <c r="AN30" s="110">
        <v>0</v>
      </c>
      <c r="AO30" s="110">
        <v>0</v>
      </c>
      <c r="AP30" s="110">
        <v>0</v>
      </c>
      <c r="AQ30" s="110">
        <v>0</v>
      </c>
      <c r="AR30" s="110">
        <v>0</v>
      </c>
      <c r="AS30" s="110">
        <v>0</v>
      </c>
      <c r="AT30" s="110">
        <v>0</v>
      </c>
    </row>
    <row r="31" spans="1:46" customFormat="1" x14ac:dyDescent="0.15">
      <c r="A31" s="193" t="s">
        <v>221</v>
      </c>
      <c r="B31" s="110">
        <v>0</v>
      </c>
      <c r="C31" s="110">
        <v>0</v>
      </c>
      <c r="D31" s="110">
        <v>0</v>
      </c>
      <c r="E31" s="110">
        <v>0</v>
      </c>
      <c r="F31" s="110">
        <v>0</v>
      </c>
      <c r="G31" s="110">
        <v>0</v>
      </c>
      <c r="H31" s="110">
        <v>0</v>
      </c>
      <c r="I31" s="110">
        <v>0</v>
      </c>
      <c r="J31" s="110">
        <v>0</v>
      </c>
      <c r="K31" s="110">
        <v>0</v>
      </c>
      <c r="L31" s="110">
        <v>0</v>
      </c>
      <c r="M31" s="110">
        <v>0</v>
      </c>
      <c r="N31" s="110">
        <v>0</v>
      </c>
      <c r="O31" s="110">
        <v>0</v>
      </c>
      <c r="P31" s="110">
        <v>0</v>
      </c>
      <c r="Q31" s="110">
        <v>0</v>
      </c>
      <c r="R31" s="110">
        <v>0</v>
      </c>
      <c r="S31" s="110">
        <v>1</v>
      </c>
      <c r="T31" s="110">
        <v>1</v>
      </c>
      <c r="U31" s="110">
        <v>1</v>
      </c>
      <c r="V31" s="110">
        <v>1</v>
      </c>
      <c r="W31" s="110">
        <v>0</v>
      </c>
      <c r="X31" s="110">
        <v>1</v>
      </c>
      <c r="Y31" s="110">
        <v>1</v>
      </c>
      <c r="Z31" s="110">
        <v>0</v>
      </c>
      <c r="AA31" s="110">
        <v>0</v>
      </c>
      <c r="AB31" s="110">
        <v>0</v>
      </c>
      <c r="AC31" s="110">
        <v>0</v>
      </c>
      <c r="AD31" s="110">
        <v>0</v>
      </c>
      <c r="AE31" s="110">
        <v>0</v>
      </c>
      <c r="AF31" s="110">
        <v>0</v>
      </c>
      <c r="AG31" s="110">
        <v>0</v>
      </c>
      <c r="AH31" s="110">
        <v>0</v>
      </c>
      <c r="AI31" s="110">
        <v>0</v>
      </c>
      <c r="AJ31" s="110">
        <v>0</v>
      </c>
      <c r="AK31" s="110">
        <v>0</v>
      </c>
      <c r="AL31" s="110">
        <v>0</v>
      </c>
      <c r="AM31" s="110">
        <v>0</v>
      </c>
      <c r="AN31" s="110">
        <v>0</v>
      </c>
      <c r="AO31" s="110">
        <v>0</v>
      </c>
      <c r="AP31" s="110">
        <v>0</v>
      </c>
      <c r="AQ31" s="110">
        <v>0</v>
      </c>
      <c r="AR31" s="110">
        <v>0</v>
      </c>
      <c r="AS31" s="110">
        <v>0</v>
      </c>
      <c r="AT31" s="110">
        <v>0</v>
      </c>
    </row>
    <row r="32" spans="1:46" x14ac:dyDescent="0.15">
      <c r="A32" s="193" t="s">
        <v>222</v>
      </c>
      <c r="B32" s="110">
        <v>0</v>
      </c>
      <c r="C32" s="110">
        <v>1</v>
      </c>
      <c r="D32" s="110">
        <v>0</v>
      </c>
      <c r="E32" s="110">
        <v>1</v>
      </c>
      <c r="F32" s="110">
        <v>1</v>
      </c>
      <c r="G32" s="110">
        <v>1</v>
      </c>
      <c r="H32" s="110">
        <v>1</v>
      </c>
      <c r="I32" s="110">
        <v>1</v>
      </c>
      <c r="J32" s="110">
        <v>1</v>
      </c>
      <c r="K32" s="110">
        <v>1</v>
      </c>
      <c r="L32" s="110">
        <v>1</v>
      </c>
      <c r="M32" s="110">
        <v>1</v>
      </c>
      <c r="N32" s="110">
        <v>0</v>
      </c>
      <c r="O32" s="110">
        <v>0</v>
      </c>
      <c r="P32" s="110">
        <v>0</v>
      </c>
      <c r="Q32" s="110">
        <v>0</v>
      </c>
      <c r="R32" s="110">
        <v>0</v>
      </c>
      <c r="S32" s="110">
        <v>1</v>
      </c>
      <c r="T32" s="110">
        <v>1</v>
      </c>
      <c r="U32" s="110">
        <v>1</v>
      </c>
      <c r="V32" s="110">
        <v>1</v>
      </c>
      <c r="W32" s="110">
        <v>0</v>
      </c>
      <c r="X32" s="110">
        <v>1</v>
      </c>
      <c r="Y32" s="110">
        <v>1</v>
      </c>
      <c r="Z32" s="110">
        <v>0</v>
      </c>
      <c r="AA32" s="110">
        <v>0</v>
      </c>
      <c r="AB32" s="110">
        <v>1</v>
      </c>
      <c r="AC32" s="110">
        <v>1</v>
      </c>
      <c r="AD32" s="110">
        <v>1</v>
      </c>
      <c r="AE32" s="110">
        <v>0</v>
      </c>
      <c r="AF32" s="110">
        <v>1</v>
      </c>
      <c r="AG32" s="110">
        <v>0</v>
      </c>
      <c r="AH32" s="110">
        <v>0</v>
      </c>
      <c r="AI32" s="110">
        <v>0</v>
      </c>
      <c r="AJ32" s="110">
        <v>0</v>
      </c>
      <c r="AK32" s="110">
        <v>0</v>
      </c>
      <c r="AL32" s="110">
        <v>0</v>
      </c>
      <c r="AM32" s="110">
        <v>1</v>
      </c>
      <c r="AN32" s="110">
        <v>0</v>
      </c>
      <c r="AO32" s="110">
        <v>0</v>
      </c>
      <c r="AP32" s="110">
        <v>0</v>
      </c>
      <c r="AQ32" s="110">
        <v>0</v>
      </c>
      <c r="AR32" s="110">
        <v>0</v>
      </c>
      <c r="AS32" s="110">
        <v>0</v>
      </c>
      <c r="AT32" s="110">
        <v>0</v>
      </c>
    </row>
    <row r="33" spans="1:46" x14ac:dyDescent="0.15">
      <c r="A33" s="193" t="s">
        <v>223</v>
      </c>
      <c r="B33" s="110">
        <v>0</v>
      </c>
      <c r="C33" s="110">
        <v>0</v>
      </c>
      <c r="D33" s="110">
        <v>0</v>
      </c>
      <c r="E33" s="110">
        <v>0</v>
      </c>
      <c r="F33" s="110">
        <v>1</v>
      </c>
      <c r="G33" s="110">
        <v>1</v>
      </c>
      <c r="H33" s="110">
        <v>1</v>
      </c>
      <c r="I33" s="110">
        <v>0</v>
      </c>
      <c r="J33" s="110">
        <v>0</v>
      </c>
      <c r="K33" s="110">
        <v>0</v>
      </c>
      <c r="L33" s="110">
        <v>0</v>
      </c>
      <c r="M33" s="110">
        <v>0</v>
      </c>
      <c r="N33" s="110">
        <v>0</v>
      </c>
      <c r="O33" s="110">
        <v>0</v>
      </c>
      <c r="P33" s="110">
        <v>0</v>
      </c>
      <c r="Q33" s="110">
        <v>0</v>
      </c>
      <c r="R33" s="110">
        <v>0</v>
      </c>
      <c r="S33" s="110">
        <v>0</v>
      </c>
      <c r="T33" s="110">
        <v>0</v>
      </c>
      <c r="U33" s="110">
        <v>0</v>
      </c>
      <c r="V33" s="110">
        <v>1</v>
      </c>
      <c r="W33" s="110">
        <v>0</v>
      </c>
      <c r="X33" s="110">
        <v>0</v>
      </c>
      <c r="Y33" s="110">
        <v>0</v>
      </c>
      <c r="Z33" s="110">
        <v>0</v>
      </c>
      <c r="AA33" s="110">
        <v>0</v>
      </c>
      <c r="AB33" s="110">
        <v>0</v>
      </c>
      <c r="AC33" s="110">
        <v>0</v>
      </c>
      <c r="AD33" s="110">
        <v>0</v>
      </c>
      <c r="AE33" s="110">
        <v>0</v>
      </c>
      <c r="AF33" s="110">
        <v>0</v>
      </c>
      <c r="AG33" s="110">
        <v>0</v>
      </c>
      <c r="AH33" s="110">
        <v>0</v>
      </c>
      <c r="AI33" s="110">
        <v>0</v>
      </c>
      <c r="AJ33" s="110">
        <v>0</v>
      </c>
      <c r="AK33" s="110">
        <v>0</v>
      </c>
      <c r="AL33" s="110">
        <v>0</v>
      </c>
      <c r="AM33" s="110">
        <v>0</v>
      </c>
      <c r="AN33" s="110">
        <v>0</v>
      </c>
      <c r="AO33" s="110">
        <v>0</v>
      </c>
      <c r="AP33" s="110">
        <v>0</v>
      </c>
      <c r="AQ33" s="110">
        <v>0</v>
      </c>
      <c r="AR33" s="110">
        <v>0</v>
      </c>
      <c r="AS33" s="110">
        <v>0</v>
      </c>
      <c r="AT33" s="110">
        <v>0</v>
      </c>
    </row>
    <row r="34" spans="1:46" x14ac:dyDescent="0.15">
      <c r="A34" s="193" t="s">
        <v>224</v>
      </c>
      <c r="B34" s="110">
        <v>1</v>
      </c>
      <c r="C34" s="110">
        <v>1</v>
      </c>
      <c r="D34" s="110">
        <v>0</v>
      </c>
      <c r="E34" s="110">
        <v>0</v>
      </c>
      <c r="F34" s="110">
        <v>1</v>
      </c>
      <c r="G34" s="110">
        <v>1</v>
      </c>
      <c r="H34" s="110">
        <v>1</v>
      </c>
      <c r="I34" s="110">
        <v>0</v>
      </c>
      <c r="J34" s="110">
        <v>0</v>
      </c>
      <c r="K34" s="110">
        <v>0</v>
      </c>
      <c r="L34" s="110">
        <v>0</v>
      </c>
      <c r="M34" s="110">
        <v>0</v>
      </c>
      <c r="N34" s="110">
        <v>0</v>
      </c>
      <c r="O34" s="110">
        <v>0</v>
      </c>
      <c r="P34" s="110">
        <v>0</v>
      </c>
      <c r="Q34" s="110">
        <v>0</v>
      </c>
      <c r="R34" s="110">
        <v>0</v>
      </c>
      <c r="S34" s="110">
        <v>0</v>
      </c>
      <c r="T34" s="110">
        <v>0</v>
      </c>
      <c r="U34" s="110">
        <v>0</v>
      </c>
      <c r="V34" s="110">
        <v>1</v>
      </c>
      <c r="W34" s="110">
        <v>0</v>
      </c>
      <c r="X34" s="110">
        <v>0</v>
      </c>
      <c r="Y34" s="110">
        <v>0</v>
      </c>
      <c r="Z34" s="110">
        <v>0</v>
      </c>
      <c r="AA34" s="110">
        <v>0</v>
      </c>
      <c r="AB34" s="110">
        <v>0</v>
      </c>
      <c r="AC34" s="110">
        <v>0</v>
      </c>
      <c r="AD34" s="110">
        <v>0</v>
      </c>
      <c r="AE34" s="110">
        <v>0</v>
      </c>
      <c r="AF34" s="110">
        <v>0</v>
      </c>
      <c r="AG34" s="110">
        <v>1</v>
      </c>
      <c r="AH34" s="110">
        <v>0</v>
      </c>
      <c r="AI34" s="110">
        <v>0</v>
      </c>
      <c r="AJ34" s="110">
        <v>0</v>
      </c>
      <c r="AK34" s="110">
        <v>0</v>
      </c>
      <c r="AL34" s="110">
        <v>0</v>
      </c>
      <c r="AM34" s="110">
        <v>0</v>
      </c>
      <c r="AN34" s="110">
        <v>0</v>
      </c>
      <c r="AO34" s="110">
        <v>0</v>
      </c>
      <c r="AP34" s="110">
        <v>0</v>
      </c>
      <c r="AQ34" s="110">
        <v>0</v>
      </c>
      <c r="AR34" s="110">
        <v>0</v>
      </c>
      <c r="AS34" s="110">
        <v>0</v>
      </c>
      <c r="AT34" s="110">
        <v>0</v>
      </c>
    </row>
    <row r="35" spans="1:46" x14ac:dyDescent="0.15">
      <c r="A35" s="193" t="s">
        <v>225</v>
      </c>
      <c r="B35" s="110">
        <v>0</v>
      </c>
      <c r="C35" s="110">
        <v>0</v>
      </c>
      <c r="D35" s="110">
        <v>0</v>
      </c>
      <c r="E35" s="110">
        <v>0</v>
      </c>
      <c r="F35" s="110">
        <v>1</v>
      </c>
      <c r="G35" s="110">
        <v>0</v>
      </c>
      <c r="H35" s="110">
        <v>1</v>
      </c>
      <c r="I35" s="110">
        <v>1</v>
      </c>
      <c r="J35" s="110">
        <v>1</v>
      </c>
      <c r="K35" s="110">
        <v>0</v>
      </c>
      <c r="L35" s="110">
        <v>0</v>
      </c>
      <c r="M35" s="110">
        <v>0</v>
      </c>
      <c r="N35" s="110">
        <v>0</v>
      </c>
      <c r="O35" s="110">
        <v>0</v>
      </c>
      <c r="P35" s="110">
        <v>0</v>
      </c>
      <c r="Q35" s="110">
        <v>0</v>
      </c>
      <c r="R35" s="110">
        <v>0</v>
      </c>
      <c r="S35" s="110">
        <v>0</v>
      </c>
      <c r="T35" s="110">
        <v>0</v>
      </c>
      <c r="U35" s="110">
        <v>0</v>
      </c>
      <c r="V35" s="110">
        <v>0</v>
      </c>
      <c r="W35" s="110">
        <v>0</v>
      </c>
      <c r="X35" s="110">
        <v>0</v>
      </c>
      <c r="Y35" s="110">
        <v>0</v>
      </c>
      <c r="Z35" s="110">
        <v>0</v>
      </c>
      <c r="AA35" s="110">
        <v>0</v>
      </c>
      <c r="AB35" s="110">
        <v>0</v>
      </c>
      <c r="AC35" s="110">
        <v>0</v>
      </c>
      <c r="AD35" s="110">
        <v>0</v>
      </c>
      <c r="AE35" s="110">
        <v>0</v>
      </c>
      <c r="AF35" s="110">
        <v>0</v>
      </c>
      <c r="AG35" s="110">
        <v>0</v>
      </c>
      <c r="AH35" s="110">
        <v>0</v>
      </c>
      <c r="AI35" s="110">
        <v>0</v>
      </c>
      <c r="AJ35" s="110">
        <v>0</v>
      </c>
      <c r="AK35" s="110">
        <v>0</v>
      </c>
      <c r="AL35" s="110">
        <v>0</v>
      </c>
      <c r="AM35" s="110">
        <v>0</v>
      </c>
      <c r="AN35" s="110">
        <v>0</v>
      </c>
      <c r="AO35" s="110">
        <v>0</v>
      </c>
      <c r="AP35" s="110">
        <v>0</v>
      </c>
      <c r="AQ35" s="110">
        <v>0</v>
      </c>
      <c r="AR35" s="110">
        <v>0</v>
      </c>
      <c r="AS35" s="110">
        <v>0</v>
      </c>
      <c r="AT35" s="110">
        <v>0</v>
      </c>
    </row>
    <row r="36" spans="1:46" x14ac:dyDescent="0.15">
      <c r="A36" s="193" t="s">
        <v>226</v>
      </c>
      <c r="B36" s="110">
        <v>1</v>
      </c>
      <c r="C36" s="110">
        <v>0</v>
      </c>
      <c r="D36" s="110">
        <v>0</v>
      </c>
      <c r="E36" s="110">
        <v>0</v>
      </c>
      <c r="F36" s="110">
        <v>0</v>
      </c>
      <c r="G36" s="110">
        <v>0</v>
      </c>
      <c r="H36" s="110">
        <v>1</v>
      </c>
      <c r="I36" s="110">
        <v>0</v>
      </c>
      <c r="J36" s="110">
        <v>0</v>
      </c>
      <c r="K36" s="110">
        <v>0</v>
      </c>
      <c r="L36" s="110">
        <v>0</v>
      </c>
      <c r="M36" s="110">
        <v>0</v>
      </c>
      <c r="N36" s="110">
        <v>0</v>
      </c>
      <c r="O36" s="110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110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0">
        <v>1</v>
      </c>
      <c r="AJ36" s="110">
        <v>0</v>
      </c>
      <c r="AK36" s="110">
        <v>0</v>
      </c>
      <c r="AL36" s="110">
        <v>0</v>
      </c>
      <c r="AM36" s="110">
        <v>0</v>
      </c>
      <c r="AN36" s="110">
        <v>0</v>
      </c>
      <c r="AO36" s="110">
        <v>0</v>
      </c>
      <c r="AP36" s="110">
        <v>0</v>
      </c>
      <c r="AQ36" s="110">
        <v>0</v>
      </c>
      <c r="AR36" s="110">
        <v>0</v>
      </c>
      <c r="AS36" s="110">
        <v>0</v>
      </c>
      <c r="AT36" s="110">
        <v>0</v>
      </c>
    </row>
    <row r="37" spans="1:46" x14ac:dyDescent="0.15">
      <c r="A37" s="193" t="s">
        <v>227</v>
      </c>
      <c r="B37" s="110">
        <v>1</v>
      </c>
      <c r="C37" s="110">
        <v>0</v>
      </c>
      <c r="D37" s="110">
        <v>0</v>
      </c>
      <c r="E37" s="110">
        <v>0</v>
      </c>
      <c r="F37" s="110">
        <v>0</v>
      </c>
      <c r="G37" s="110">
        <v>1</v>
      </c>
      <c r="H37" s="110">
        <v>1</v>
      </c>
      <c r="I37" s="110">
        <v>0</v>
      </c>
      <c r="J37" s="110">
        <v>1</v>
      </c>
      <c r="K37" s="110">
        <v>0</v>
      </c>
      <c r="L37" s="110">
        <v>0</v>
      </c>
      <c r="M37" s="110">
        <v>0</v>
      </c>
      <c r="N37" s="110">
        <v>0</v>
      </c>
      <c r="O37" s="110">
        <v>0</v>
      </c>
      <c r="P37" s="110">
        <v>0</v>
      </c>
      <c r="Q37" s="110">
        <v>0</v>
      </c>
      <c r="R37" s="110">
        <v>0</v>
      </c>
      <c r="S37" s="110">
        <v>0</v>
      </c>
      <c r="T37" s="110">
        <v>0</v>
      </c>
      <c r="U37" s="110">
        <v>0</v>
      </c>
      <c r="V37" s="110">
        <v>1</v>
      </c>
      <c r="W37" s="110">
        <v>0</v>
      </c>
      <c r="X37" s="110">
        <v>0</v>
      </c>
      <c r="Y37" s="110">
        <v>0</v>
      </c>
      <c r="Z37" s="110">
        <v>0</v>
      </c>
      <c r="AA37" s="110">
        <v>0</v>
      </c>
      <c r="AB37" s="110">
        <v>0</v>
      </c>
      <c r="AC37" s="110">
        <v>0</v>
      </c>
      <c r="AD37" s="110">
        <v>0</v>
      </c>
      <c r="AE37" s="110">
        <v>0</v>
      </c>
      <c r="AF37" s="110">
        <v>0</v>
      </c>
      <c r="AG37" s="110">
        <v>1</v>
      </c>
      <c r="AH37" s="110">
        <v>0</v>
      </c>
      <c r="AI37" s="110">
        <v>1</v>
      </c>
      <c r="AJ37" s="110">
        <v>0</v>
      </c>
      <c r="AK37" s="110">
        <v>0</v>
      </c>
      <c r="AL37" s="110">
        <v>0</v>
      </c>
      <c r="AM37" s="110">
        <v>0</v>
      </c>
      <c r="AN37" s="110">
        <v>0</v>
      </c>
      <c r="AO37" s="110">
        <v>0</v>
      </c>
      <c r="AP37" s="110">
        <v>0</v>
      </c>
      <c r="AQ37" s="110">
        <v>0</v>
      </c>
      <c r="AR37" s="110">
        <v>0</v>
      </c>
      <c r="AS37" s="110">
        <v>0</v>
      </c>
      <c r="AT37" s="110">
        <v>0</v>
      </c>
    </row>
    <row r="38" spans="1:46" x14ac:dyDescent="0.15">
      <c r="A38" s="193" t="s">
        <v>228</v>
      </c>
      <c r="B38" s="110">
        <v>1</v>
      </c>
      <c r="C38" s="110">
        <v>1</v>
      </c>
      <c r="D38" s="110">
        <v>0</v>
      </c>
      <c r="E38" s="110">
        <v>0</v>
      </c>
      <c r="F38" s="110">
        <v>1</v>
      </c>
      <c r="G38" s="110">
        <v>0</v>
      </c>
      <c r="H38" s="110">
        <v>1</v>
      </c>
      <c r="I38" s="110">
        <v>1</v>
      </c>
      <c r="J38" s="110">
        <v>1</v>
      </c>
      <c r="K38" s="110">
        <v>0</v>
      </c>
      <c r="L38" s="110">
        <v>0</v>
      </c>
      <c r="M38" s="110">
        <v>0</v>
      </c>
      <c r="N38" s="110">
        <v>0</v>
      </c>
      <c r="O38" s="110">
        <v>0</v>
      </c>
      <c r="P38" s="110">
        <v>0</v>
      </c>
      <c r="Q38" s="110">
        <v>0</v>
      </c>
      <c r="R38" s="110">
        <v>0</v>
      </c>
      <c r="S38" s="110">
        <v>0</v>
      </c>
      <c r="T38" s="110">
        <v>0</v>
      </c>
      <c r="U38" s="110">
        <v>0</v>
      </c>
      <c r="V38" s="110">
        <v>1</v>
      </c>
      <c r="W38" s="110">
        <v>0</v>
      </c>
      <c r="X38" s="110">
        <v>0</v>
      </c>
      <c r="Y38" s="110">
        <v>0</v>
      </c>
      <c r="Z38" s="110">
        <v>0</v>
      </c>
      <c r="AA38" s="110">
        <v>0</v>
      </c>
      <c r="AB38" s="110">
        <v>0</v>
      </c>
      <c r="AC38" s="110">
        <v>0</v>
      </c>
      <c r="AD38" s="110">
        <v>0</v>
      </c>
      <c r="AE38" s="110">
        <v>0</v>
      </c>
      <c r="AF38" s="110">
        <v>0</v>
      </c>
      <c r="AG38" s="110">
        <v>1</v>
      </c>
      <c r="AH38" s="110">
        <v>0</v>
      </c>
      <c r="AI38" s="110">
        <v>1</v>
      </c>
      <c r="AJ38" s="110">
        <v>0</v>
      </c>
      <c r="AK38" s="110">
        <v>1</v>
      </c>
      <c r="AL38" s="110">
        <v>1</v>
      </c>
      <c r="AM38" s="110">
        <v>1</v>
      </c>
      <c r="AN38" s="110">
        <v>0</v>
      </c>
      <c r="AO38" s="110">
        <v>0</v>
      </c>
      <c r="AP38" s="110">
        <v>0</v>
      </c>
      <c r="AQ38" s="110">
        <v>0</v>
      </c>
      <c r="AR38" s="110">
        <v>0</v>
      </c>
      <c r="AS38" s="110">
        <v>0</v>
      </c>
      <c r="AT38" s="110">
        <v>0</v>
      </c>
    </row>
    <row r="39" spans="1:46" x14ac:dyDescent="0.15">
      <c r="A39" s="193" t="s">
        <v>229</v>
      </c>
      <c r="B39" s="110">
        <v>1</v>
      </c>
      <c r="C39" s="110">
        <v>1</v>
      </c>
      <c r="D39" s="110">
        <v>0</v>
      </c>
      <c r="E39" s="110">
        <v>1</v>
      </c>
      <c r="F39" s="110">
        <v>1</v>
      </c>
      <c r="G39" s="110">
        <v>1</v>
      </c>
      <c r="H39" s="110">
        <v>1</v>
      </c>
      <c r="I39" s="110">
        <v>1</v>
      </c>
      <c r="J39" s="110">
        <v>1</v>
      </c>
      <c r="K39" s="110">
        <v>1</v>
      </c>
      <c r="L39" s="110">
        <v>1</v>
      </c>
      <c r="M39" s="110">
        <v>1</v>
      </c>
      <c r="N39" s="110">
        <v>0</v>
      </c>
      <c r="O39" s="110">
        <v>1</v>
      </c>
      <c r="P39" s="110">
        <v>0</v>
      </c>
      <c r="Q39" s="110">
        <v>0</v>
      </c>
      <c r="R39" s="110">
        <v>0</v>
      </c>
      <c r="S39" s="110">
        <v>1</v>
      </c>
      <c r="T39" s="110">
        <v>1</v>
      </c>
      <c r="U39" s="110">
        <v>0</v>
      </c>
      <c r="V39" s="110">
        <v>1</v>
      </c>
      <c r="W39" s="110">
        <v>0</v>
      </c>
      <c r="X39" s="110">
        <v>1</v>
      </c>
      <c r="Y39" s="110">
        <v>0</v>
      </c>
      <c r="Z39" s="110">
        <v>0</v>
      </c>
      <c r="AA39" s="110">
        <v>0</v>
      </c>
      <c r="AB39" s="110">
        <v>0</v>
      </c>
      <c r="AC39" s="110">
        <v>1</v>
      </c>
      <c r="AD39" s="110">
        <v>1</v>
      </c>
      <c r="AE39" s="110">
        <v>0</v>
      </c>
      <c r="AF39" s="110">
        <v>0</v>
      </c>
      <c r="AG39" s="110">
        <v>1</v>
      </c>
      <c r="AH39" s="110">
        <v>1</v>
      </c>
      <c r="AI39" s="110">
        <v>1</v>
      </c>
      <c r="AJ39" s="110">
        <v>0</v>
      </c>
      <c r="AK39" s="110">
        <v>0</v>
      </c>
      <c r="AL39" s="110">
        <v>1</v>
      </c>
      <c r="AM39" s="110">
        <v>1</v>
      </c>
      <c r="AN39" s="110">
        <v>0</v>
      </c>
      <c r="AO39" s="110">
        <v>0</v>
      </c>
      <c r="AP39" s="110">
        <v>0</v>
      </c>
      <c r="AQ39" s="110">
        <v>0</v>
      </c>
      <c r="AR39" s="110">
        <v>0</v>
      </c>
      <c r="AS39" s="110">
        <v>0</v>
      </c>
      <c r="AT39" s="110">
        <v>0</v>
      </c>
    </row>
    <row r="40" spans="1:46" x14ac:dyDescent="0.15">
      <c r="A40" s="193" t="s">
        <v>230</v>
      </c>
      <c r="B40" s="110">
        <v>0</v>
      </c>
      <c r="C40" s="110">
        <v>0</v>
      </c>
      <c r="D40" s="110">
        <v>0</v>
      </c>
      <c r="E40" s="110">
        <v>1</v>
      </c>
      <c r="F40" s="110">
        <v>1</v>
      </c>
      <c r="G40" s="110">
        <v>1</v>
      </c>
      <c r="H40" s="110">
        <v>1</v>
      </c>
      <c r="I40" s="110">
        <v>1</v>
      </c>
      <c r="J40" s="110">
        <v>1</v>
      </c>
      <c r="K40" s="110">
        <v>1</v>
      </c>
      <c r="L40" s="110">
        <v>1</v>
      </c>
      <c r="M40" s="110">
        <v>1</v>
      </c>
      <c r="N40" s="110">
        <v>1</v>
      </c>
      <c r="O40" s="110">
        <v>1</v>
      </c>
      <c r="P40" s="110">
        <v>0</v>
      </c>
      <c r="Q40" s="110">
        <v>0</v>
      </c>
      <c r="R40" s="110">
        <v>1</v>
      </c>
      <c r="S40" s="110">
        <v>1</v>
      </c>
      <c r="T40" s="110">
        <v>1</v>
      </c>
      <c r="U40" s="110">
        <v>1</v>
      </c>
      <c r="V40" s="110">
        <v>1</v>
      </c>
      <c r="W40" s="110">
        <v>1</v>
      </c>
      <c r="X40" s="110">
        <v>1</v>
      </c>
      <c r="Y40" s="110">
        <v>1</v>
      </c>
      <c r="Z40" s="110">
        <v>1</v>
      </c>
      <c r="AA40" s="110">
        <v>1</v>
      </c>
      <c r="AB40" s="110">
        <v>1</v>
      </c>
      <c r="AC40" s="110">
        <v>1</v>
      </c>
      <c r="AD40" s="110">
        <v>1</v>
      </c>
      <c r="AE40" s="110">
        <v>1</v>
      </c>
      <c r="AF40" s="110">
        <v>1</v>
      </c>
      <c r="AG40" s="110">
        <v>1</v>
      </c>
      <c r="AH40" s="110">
        <v>1</v>
      </c>
      <c r="AI40" s="110">
        <v>1</v>
      </c>
      <c r="AJ40" s="110">
        <v>0</v>
      </c>
      <c r="AK40" s="110">
        <v>1</v>
      </c>
      <c r="AL40" s="110">
        <v>1</v>
      </c>
      <c r="AM40" s="110">
        <v>1</v>
      </c>
      <c r="AN40" s="110">
        <v>1</v>
      </c>
      <c r="AO40" s="110">
        <v>0</v>
      </c>
      <c r="AP40" s="110">
        <v>0</v>
      </c>
      <c r="AQ40" s="110">
        <v>0</v>
      </c>
      <c r="AR40" s="110">
        <v>0</v>
      </c>
      <c r="AS40" s="110">
        <v>0</v>
      </c>
      <c r="AT40" s="110">
        <v>0</v>
      </c>
    </row>
    <row r="41" spans="1:46" x14ac:dyDescent="0.15">
      <c r="A41" s="193" t="s">
        <v>231</v>
      </c>
      <c r="B41" s="110">
        <v>0</v>
      </c>
      <c r="C41" s="110">
        <v>1</v>
      </c>
      <c r="D41" s="110">
        <v>0</v>
      </c>
      <c r="E41" s="110">
        <v>1</v>
      </c>
      <c r="F41" s="110">
        <v>1</v>
      </c>
      <c r="G41" s="110">
        <v>1</v>
      </c>
      <c r="H41" s="110">
        <v>1</v>
      </c>
      <c r="I41" s="110">
        <v>1</v>
      </c>
      <c r="J41" s="110">
        <v>1</v>
      </c>
      <c r="K41" s="110">
        <v>1</v>
      </c>
      <c r="L41" s="110">
        <v>1</v>
      </c>
      <c r="M41" s="110">
        <v>1</v>
      </c>
      <c r="N41" s="110">
        <v>0</v>
      </c>
      <c r="O41" s="110">
        <v>1</v>
      </c>
      <c r="P41" s="110">
        <v>1</v>
      </c>
      <c r="Q41" s="110">
        <v>1</v>
      </c>
      <c r="R41" s="110">
        <v>0</v>
      </c>
      <c r="S41" s="110">
        <v>0</v>
      </c>
      <c r="T41" s="110">
        <v>0</v>
      </c>
      <c r="U41" s="110">
        <v>0</v>
      </c>
      <c r="V41" s="110">
        <v>1</v>
      </c>
      <c r="W41" s="110">
        <v>1</v>
      </c>
      <c r="X41" s="110">
        <v>1</v>
      </c>
      <c r="Y41" s="110">
        <v>1</v>
      </c>
      <c r="Z41" s="110">
        <v>1</v>
      </c>
      <c r="AA41" s="110">
        <v>1</v>
      </c>
      <c r="AB41" s="110">
        <v>1</v>
      </c>
      <c r="AC41" s="110">
        <v>1</v>
      </c>
      <c r="AD41" s="110">
        <v>1</v>
      </c>
      <c r="AE41" s="110">
        <v>0</v>
      </c>
      <c r="AF41" s="110">
        <v>1</v>
      </c>
      <c r="AG41" s="110">
        <v>1</v>
      </c>
      <c r="AH41" s="110">
        <v>1</v>
      </c>
      <c r="AI41" s="110">
        <v>0</v>
      </c>
      <c r="AJ41" s="110">
        <v>1</v>
      </c>
      <c r="AK41" s="110">
        <v>0</v>
      </c>
      <c r="AL41" s="110">
        <v>1</v>
      </c>
      <c r="AM41" s="110">
        <v>1</v>
      </c>
      <c r="AN41" s="110">
        <v>1</v>
      </c>
      <c r="AO41" s="110">
        <v>1</v>
      </c>
      <c r="AP41" s="110">
        <v>0</v>
      </c>
      <c r="AQ41" s="110">
        <v>0</v>
      </c>
      <c r="AR41" s="110">
        <v>0</v>
      </c>
      <c r="AS41" s="110">
        <v>0</v>
      </c>
      <c r="AT41" s="110">
        <v>0</v>
      </c>
    </row>
    <row r="42" spans="1:46" x14ac:dyDescent="0.15">
      <c r="A42" s="193" t="s">
        <v>232</v>
      </c>
      <c r="B42" s="110">
        <v>1</v>
      </c>
      <c r="C42" s="110">
        <v>0</v>
      </c>
      <c r="D42" s="110">
        <v>1</v>
      </c>
      <c r="E42" s="110">
        <v>1</v>
      </c>
      <c r="F42" s="110">
        <v>1</v>
      </c>
      <c r="G42" s="110">
        <v>1</v>
      </c>
      <c r="H42" s="110">
        <v>1</v>
      </c>
      <c r="I42" s="110">
        <v>1</v>
      </c>
      <c r="J42" s="110">
        <v>1</v>
      </c>
      <c r="K42" s="110">
        <v>1</v>
      </c>
      <c r="L42" s="110">
        <v>0</v>
      </c>
      <c r="M42" s="110">
        <v>1</v>
      </c>
      <c r="N42" s="110">
        <v>0</v>
      </c>
      <c r="O42" s="110">
        <v>1</v>
      </c>
      <c r="P42" s="110">
        <v>0</v>
      </c>
      <c r="Q42" s="110">
        <v>0</v>
      </c>
      <c r="R42" s="110">
        <v>1</v>
      </c>
      <c r="S42" s="110">
        <v>0</v>
      </c>
      <c r="T42" s="110">
        <v>0</v>
      </c>
      <c r="U42" s="110">
        <v>0</v>
      </c>
      <c r="V42" s="110">
        <v>1</v>
      </c>
      <c r="W42" s="110">
        <v>0</v>
      </c>
      <c r="X42" s="110">
        <v>1</v>
      </c>
      <c r="Y42" s="110">
        <v>0</v>
      </c>
      <c r="Z42" s="110">
        <v>1</v>
      </c>
      <c r="AA42" s="110">
        <v>1</v>
      </c>
      <c r="AB42" s="110">
        <v>0</v>
      </c>
      <c r="AC42" s="110">
        <v>1</v>
      </c>
      <c r="AD42" s="110">
        <v>1</v>
      </c>
      <c r="AE42" s="110">
        <v>0</v>
      </c>
      <c r="AF42" s="110">
        <v>1</v>
      </c>
      <c r="AG42" s="110">
        <v>1</v>
      </c>
      <c r="AH42" s="110">
        <v>1</v>
      </c>
      <c r="AI42" s="110">
        <v>1</v>
      </c>
      <c r="AJ42" s="110">
        <v>1</v>
      </c>
      <c r="AK42" s="110">
        <v>1</v>
      </c>
      <c r="AL42" s="110">
        <v>1</v>
      </c>
      <c r="AM42" s="110">
        <v>1</v>
      </c>
      <c r="AN42" s="110">
        <v>1</v>
      </c>
      <c r="AO42" s="110">
        <v>0</v>
      </c>
      <c r="AP42" s="110">
        <v>1</v>
      </c>
      <c r="AQ42" s="110">
        <v>0</v>
      </c>
      <c r="AR42" s="110">
        <v>0</v>
      </c>
      <c r="AS42" s="110">
        <v>0</v>
      </c>
      <c r="AT42" s="110">
        <v>0</v>
      </c>
    </row>
    <row r="43" spans="1:46" x14ac:dyDescent="0.15">
      <c r="A43" s="193" t="s">
        <v>233</v>
      </c>
      <c r="B43" s="110">
        <v>0</v>
      </c>
      <c r="C43" s="110">
        <v>0</v>
      </c>
      <c r="D43" s="110">
        <v>0</v>
      </c>
      <c r="E43" s="110">
        <v>0</v>
      </c>
      <c r="F43" s="110">
        <v>0</v>
      </c>
      <c r="G43" s="110">
        <v>0</v>
      </c>
      <c r="H43" s="110">
        <v>0</v>
      </c>
      <c r="I43" s="110">
        <v>0</v>
      </c>
      <c r="J43" s="110">
        <v>1</v>
      </c>
      <c r="K43" s="110">
        <v>1</v>
      </c>
      <c r="L43" s="110">
        <v>1</v>
      </c>
      <c r="M43" s="110">
        <v>1</v>
      </c>
      <c r="N43" s="110">
        <v>1</v>
      </c>
      <c r="O43" s="110">
        <v>1</v>
      </c>
      <c r="P43" s="110">
        <v>1</v>
      </c>
      <c r="Q43" s="110">
        <v>1</v>
      </c>
      <c r="R43" s="110">
        <v>1</v>
      </c>
      <c r="S43" s="110">
        <v>0</v>
      </c>
      <c r="T43" s="110">
        <v>0</v>
      </c>
      <c r="U43" s="110">
        <v>0</v>
      </c>
      <c r="V43" s="110">
        <v>1</v>
      </c>
      <c r="W43" s="110">
        <v>1</v>
      </c>
      <c r="X43" s="110">
        <v>0</v>
      </c>
      <c r="Y43" s="110">
        <v>0</v>
      </c>
      <c r="Z43" s="110">
        <v>1</v>
      </c>
      <c r="AA43" s="110">
        <v>1</v>
      </c>
      <c r="AB43" s="110">
        <v>0</v>
      </c>
      <c r="AC43" s="110">
        <v>1</v>
      </c>
      <c r="AD43" s="110">
        <v>0</v>
      </c>
      <c r="AE43" s="110">
        <v>0</v>
      </c>
      <c r="AF43" s="110">
        <v>1</v>
      </c>
      <c r="AG43" s="110">
        <v>1</v>
      </c>
      <c r="AH43" s="110">
        <v>1</v>
      </c>
      <c r="AI43" s="110">
        <v>1</v>
      </c>
      <c r="AJ43" s="110">
        <v>1</v>
      </c>
      <c r="AK43" s="110">
        <v>0</v>
      </c>
      <c r="AL43" s="110">
        <v>1</v>
      </c>
      <c r="AM43" s="110">
        <v>0</v>
      </c>
      <c r="AN43" s="110">
        <v>1</v>
      </c>
      <c r="AO43" s="110">
        <v>1</v>
      </c>
      <c r="AP43" s="110">
        <v>1</v>
      </c>
      <c r="AQ43" s="110">
        <v>0</v>
      </c>
      <c r="AR43" s="110">
        <v>0</v>
      </c>
      <c r="AS43" s="110">
        <v>0</v>
      </c>
      <c r="AT43" s="110">
        <v>0</v>
      </c>
    </row>
    <row r="44" spans="1:46" x14ac:dyDescent="0.15">
      <c r="A44" s="193" t="s">
        <v>234</v>
      </c>
      <c r="B44" s="110">
        <v>0</v>
      </c>
      <c r="C44" s="110">
        <v>0</v>
      </c>
      <c r="D44" s="110">
        <v>1</v>
      </c>
      <c r="E44" s="110">
        <v>0</v>
      </c>
      <c r="F44" s="110">
        <v>0</v>
      </c>
      <c r="G44" s="110">
        <v>1</v>
      </c>
      <c r="H44" s="110">
        <v>0</v>
      </c>
      <c r="I44" s="110">
        <v>0</v>
      </c>
      <c r="J44" s="110">
        <v>0</v>
      </c>
      <c r="K44" s="110">
        <v>0</v>
      </c>
      <c r="L44" s="110">
        <v>0</v>
      </c>
      <c r="M44" s="110">
        <v>0</v>
      </c>
      <c r="N44" s="110">
        <v>0</v>
      </c>
      <c r="O44" s="110">
        <v>1</v>
      </c>
      <c r="P44" s="110">
        <v>1</v>
      </c>
      <c r="Q44" s="110">
        <v>1</v>
      </c>
      <c r="R44" s="110">
        <v>1</v>
      </c>
      <c r="S44" s="110">
        <v>0</v>
      </c>
      <c r="T44" s="110">
        <v>0</v>
      </c>
      <c r="U44" s="110">
        <v>0</v>
      </c>
      <c r="V44" s="110">
        <v>1</v>
      </c>
      <c r="W44" s="110">
        <v>0</v>
      </c>
      <c r="X44" s="110">
        <v>0</v>
      </c>
      <c r="Y44" s="110">
        <v>0</v>
      </c>
      <c r="Z44" s="110">
        <v>1</v>
      </c>
      <c r="AA44" s="110">
        <v>1</v>
      </c>
      <c r="AB44" s="110">
        <v>0</v>
      </c>
      <c r="AC44" s="110">
        <v>1</v>
      </c>
      <c r="AD44" s="110">
        <v>0</v>
      </c>
      <c r="AE44" s="110">
        <v>0</v>
      </c>
      <c r="AF44" s="110">
        <v>1</v>
      </c>
      <c r="AG44" s="110">
        <v>0</v>
      </c>
      <c r="AH44" s="110">
        <v>0</v>
      </c>
      <c r="AI44" s="110">
        <v>0</v>
      </c>
      <c r="AJ44" s="110">
        <v>0</v>
      </c>
      <c r="AK44" s="110">
        <v>0</v>
      </c>
      <c r="AL44" s="110">
        <v>0</v>
      </c>
      <c r="AM44" s="110">
        <v>0</v>
      </c>
      <c r="AN44" s="110">
        <v>0</v>
      </c>
      <c r="AO44" s="110">
        <v>1</v>
      </c>
      <c r="AP44" s="110">
        <v>1</v>
      </c>
      <c r="AQ44" s="110">
        <v>1</v>
      </c>
      <c r="AR44" s="110">
        <v>0</v>
      </c>
      <c r="AS44" s="110">
        <v>0</v>
      </c>
      <c r="AT44" s="110">
        <v>0</v>
      </c>
    </row>
    <row r="45" spans="1:46" x14ac:dyDescent="0.15">
      <c r="A45" s="193" t="s">
        <v>235</v>
      </c>
      <c r="B45" s="110">
        <v>0</v>
      </c>
      <c r="C45" s="110">
        <v>0</v>
      </c>
      <c r="D45" s="110">
        <v>0</v>
      </c>
      <c r="E45" s="110">
        <v>0</v>
      </c>
      <c r="F45" s="110">
        <v>1</v>
      </c>
      <c r="G45" s="110">
        <v>1</v>
      </c>
      <c r="H45" s="110">
        <v>0</v>
      </c>
      <c r="I45" s="110">
        <v>0</v>
      </c>
      <c r="J45" s="110">
        <v>0</v>
      </c>
      <c r="K45" s="110">
        <v>1</v>
      </c>
      <c r="L45" s="110">
        <v>0</v>
      </c>
      <c r="M45" s="110">
        <v>1</v>
      </c>
      <c r="N45" s="110">
        <v>0</v>
      </c>
      <c r="O45" s="110">
        <v>1</v>
      </c>
      <c r="P45" s="110">
        <v>1</v>
      </c>
      <c r="Q45" s="110">
        <v>0</v>
      </c>
      <c r="R45" s="110">
        <v>1</v>
      </c>
      <c r="S45" s="110">
        <v>0</v>
      </c>
      <c r="T45" s="110">
        <v>1</v>
      </c>
      <c r="U45" s="110">
        <v>0</v>
      </c>
      <c r="V45" s="110">
        <v>0</v>
      </c>
      <c r="W45" s="110">
        <v>1</v>
      </c>
      <c r="X45" s="110">
        <v>0</v>
      </c>
      <c r="Y45" s="110">
        <v>0</v>
      </c>
      <c r="Z45" s="110">
        <v>1</v>
      </c>
      <c r="AA45" s="110">
        <v>1</v>
      </c>
      <c r="AB45" s="110">
        <v>0</v>
      </c>
      <c r="AC45" s="110">
        <v>1</v>
      </c>
      <c r="AD45" s="110">
        <v>1</v>
      </c>
      <c r="AE45" s="110">
        <v>0</v>
      </c>
      <c r="AF45" s="110">
        <v>1</v>
      </c>
      <c r="AG45" s="110">
        <v>0</v>
      </c>
      <c r="AH45" s="110">
        <v>0</v>
      </c>
      <c r="AI45" s="110">
        <v>0</v>
      </c>
      <c r="AJ45" s="110">
        <v>0</v>
      </c>
      <c r="AK45" s="110">
        <v>0</v>
      </c>
      <c r="AL45" s="110">
        <v>0</v>
      </c>
      <c r="AM45" s="110">
        <v>0</v>
      </c>
      <c r="AN45" s="110">
        <v>1</v>
      </c>
      <c r="AO45" s="110">
        <v>1</v>
      </c>
      <c r="AP45" s="110">
        <v>1</v>
      </c>
      <c r="AQ45" s="110">
        <v>1</v>
      </c>
      <c r="AR45" s="110">
        <v>0</v>
      </c>
      <c r="AS45" s="110">
        <v>0</v>
      </c>
      <c r="AT45" s="110">
        <v>0</v>
      </c>
    </row>
    <row r="46" spans="1:46" x14ac:dyDescent="0.15">
      <c r="A46" s="193" t="s">
        <v>236</v>
      </c>
      <c r="B46" s="110">
        <v>0</v>
      </c>
      <c r="C46" s="110">
        <v>0</v>
      </c>
      <c r="D46" s="110">
        <v>0</v>
      </c>
      <c r="E46" s="110">
        <v>0</v>
      </c>
      <c r="F46" s="110">
        <v>0</v>
      </c>
      <c r="G46" s="110">
        <v>0</v>
      </c>
      <c r="H46" s="110">
        <v>0</v>
      </c>
      <c r="I46" s="110">
        <v>0</v>
      </c>
      <c r="J46" s="110">
        <v>0</v>
      </c>
      <c r="K46" s="110">
        <v>0</v>
      </c>
      <c r="L46" s="110">
        <v>0</v>
      </c>
      <c r="M46" s="110">
        <v>0</v>
      </c>
      <c r="N46" s="110">
        <v>0</v>
      </c>
      <c r="O46" s="110">
        <v>0</v>
      </c>
      <c r="P46" s="110">
        <v>0</v>
      </c>
      <c r="Q46" s="110">
        <v>0</v>
      </c>
      <c r="R46" s="110">
        <v>0</v>
      </c>
      <c r="S46" s="110">
        <v>0</v>
      </c>
      <c r="T46" s="110">
        <v>0</v>
      </c>
      <c r="U46" s="110">
        <v>0</v>
      </c>
      <c r="V46" s="110">
        <v>0</v>
      </c>
      <c r="W46" s="110">
        <v>0</v>
      </c>
      <c r="X46" s="110">
        <v>0</v>
      </c>
      <c r="Y46" s="110">
        <v>0</v>
      </c>
      <c r="Z46" s="110">
        <v>0</v>
      </c>
      <c r="AA46" s="110">
        <v>0</v>
      </c>
      <c r="AB46" s="110">
        <v>0</v>
      </c>
      <c r="AC46" s="110">
        <v>0</v>
      </c>
      <c r="AD46" s="110">
        <v>0</v>
      </c>
      <c r="AE46" s="110">
        <v>0</v>
      </c>
      <c r="AF46" s="110">
        <v>0</v>
      </c>
      <c r="AG46" s="110">
        <v>0</v>
      </c>
      <c r="AH46" s="110">
        <v>0</v>
      </c>
      <c r="AI46" s="110">
        <v>0</v>
      </c>
      <c r="AJ46" s="110">
        <v>0</v>
      </c>
      <c r="AK46" s="110">
        <v>0</v>
      </c>
      <c r="AL46" s="110">
        <v>0</v>
      </c>
      <c r="AM46" s="110">
        <v>0</v>
      </c>
      <c r="AN46" s="110">
        <v>0</v>
      </c>
      <c r="AO46" s="110">
        <v>0</v>
      </c>
      <c r="AP46" s="110">
        <v>0</v>
      </c>
      <c r="AQ46" s="110">
        <v>0</v>
      </c>
      <c r="AR46" s="110">
        <v>0</v>
      </c>
      <c r="AS46" s="110">
        <v>0</v>
      </c>
      <c r="AT46" s="110">
        <v>0</v>
      </c>
    </row>
    <row r="47" spans="1:46" x14ac:dyDescent="0.15">
      <c r="A47" s="193" t="s">
        <v>239</v>
      </c>
      <c r="B47" s="110">
        <v>0</v>
      </c>
      <c r="C47" s="110">
        <v>0</v>
      </c>
      <c r="D47" s="110">
        <v>0</v>
      </c>
      <c r="E47" s="110">
        <v>1</v>
      </c>
      <c r="F47" s="110">
        <v>0</v>
      </c>
      <c r="G47" s="110">
        <v>0</v>
      </c>
      <c r="H47" s="110">
        <v>0</v>
      </c>
      <c r="I47" s="110">
        <v>0</v>
      </c>
      <c r="J47" s="110">
        <v>0</v>
      </c>
      <c r="K47" s="110">
        <v>0</v>
      </c>
      <c r="L47" s="110">
        <v>0</v>
      </c>
      <c r="M47" s="110">
        <v>0</v>
      </c>
      <c r="N47" s="110">
        <v>0</v>
      </c>
      <c r="O47" s="110">
        <v>1</v>
      </c>
      <c r="P47" s="110">
        <v>0</v>
      </c>
      <c r="Q47" s="110">
        <v>0</v>
      </c>
      <c r="R47" s="110">
        <v>0</v>
      </c>
      <c r="S47" s="110">
        <v>0</v>
      </c>
      <c r="T47" s="110">
        <v>0</v>
      </c>
      <c r="U47" s="110">
        <v>0</v>
      </c>
      <c r="V47" s="110">
        <v>0</v>
      </c>
      <c r="W47" s="110">
        <v>0</v>
      </c>
      <c r="X47" s="110">
        <v>0</v>
      </c>
      <c r="Y47" s="110">
        <v>0</v>
      </c>
      <c r="Z47" s="110">
        <v>0</v>
      </c>
      <c r="AA47" s="110">
        <v>0</v>
      </c>
      <c r="AB47" s="110">
        <v>0</v>
      </c>
      <c r="AC47" s="110">
        <v>0</v>
      </c>
      <c r="AD47" s="110">
        <v>0</v>
      </c>
      <c r="AE47" s="110">
        <v>0</v>
      </c>
      <c r="AF47" s="110">
        <v>1</v>
      </c>
      <c r="AG47" s="110">
        <v>0</v>
      </c>
      <c r="AH47" s="110">
        <v>0</v>
      </c>
      <c r="AI47" s="110">
        <v>0</v>
      </c>
      <c r="AJ47" s="110">
        <v>0</v>
      </c>
      <c r="AK47" s="110">
        <v>0</v>
      </c>
      <c r="AL47" s="110">
        <v>0</v>
      </c>
      <c r="AM47" s="110">
        <v>0</v>
      </c>
      <c r="AN47" s="110">
        <v>0</v>
      </c>
      <c r="AO47" s="110">
        <v>0</v>
      </c>
      <c r="AP47" s="110">
        <v>0</v>
      </c>
      <c r="AQ47" s="110">
        <v>0</v>
      </c>
      <c r="AR47" s="110">
        <v>0</v>
      </c>
      <c r="AS47" s="110">
        <v>0</v>
      </c>
      <c r="AT47" s="110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7.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96" t="s">
        <v>237</v>
      </c>
      <c r="D1" s="196" t="s">
        <v>238</v>
      </c>
    </row>
    <row r="2" spans="1:4" x14ac:dyDescent="0.15">
      <c r="A2">
        <v>1</v>
      </c>
      <c r="B2" s="195" t="s">
        <v>192</v>
      </c>
      <c r="C2">
        <v>0</v>
      </c>
      <c r="D2">
        <v>0</v>
      </c>
    </row>
    <row r="3" spans="1:4" x14ac:dyDescent="0.15">
      <c r="A3">
        <v>2</v>
      </c>
      <c r="B3" s="195" t="s">
        <v>193</v>
      </c>
      <c r="C3">
        <v>0</v>
      </c>
      <c r="D3">
        <v>0</v>
      </c>
    </row>
    <row r="4" spans="1:4" x14ac:dyDescent="0.15">
      <c r="A4">
        <v>3</v>
      </c>
      <c r="B4" s="195" t="s">
        <v>194</v>
      </c>
      <c r="C4">
        <v>0</v>
      </c>
      <c r="D4">
        <v>0</v>
      </c>
    </row>
    <row r="5" spans="1:4" x14ac:dyDescent="0.15">
      <c r="A5">
        <v>4</v>
      </c>
      <c r="B5" s="195" t="s">
        <v>195</v>
      </c>
      <c r="C5">
        <v>0</v>
      </c>
      <c r="D5">
        <v>0</v>
      </c>
    </row>
    <row r="6" spans="1:4" x14ac:dyDescent="0.15">
      <c r="A6">
        <v>5</v>
      </c>
      <c r="B6" s="195" t="s">
        <v>196</v>
      </c>
      <c r="C6">
        <v>0</v>
      </c>
      <c r="D6">
        <v>0</v>
      </c>
    </row>
    <row r="7" spans="1:4" x14ac:dyDescent="0.15">
      <c r="A7">
        <v>6</v>
      </c>
      <c r="B7" s="195" t="s">
        <v>197</v>
      </c>
      <c r="C7">
        <v>0</v>
      </c>
      <c r="D7">
        <v>0</v>
      </c>
    </row>
    <row r="8" spans="1:4" x14ac:dyDescent="0.15">
      <c r="A8">
        <v>7</v>
      </c>
      <c r="B8" s="195" t="s">
        <v>198</v>
      </c>
      <c r="C8">
        <v>0</v>
      </c>
      <c r="D8">
        <v>0.8</v>
      </c>
    </row>
    <row r="9" spans="1:4" x14ac:dyDescent="0.15">
      <c r="A9">
        <v>8</v>
      </c>
      <c r="B9" s="195" t="s">
        <v>199</v>
      </c>
      <c r="C9">
        <v>0.8</v>
      </c>
      <c r="D9">
        <v>0.8</v>
      </c>
    </row>
    <row r="10" spans="1:4" x14ac:dyDescent="0.15">
      <c r="A10">
        <v>9</v>
      </c>
      <c r="B10" s="195" t="s">
        <v>200</v>
      </c>
      <c r="C10">
        <v>0</v>
      </c>
      <c r="D10">
        <v>0.8</v>
      </c>
    </row>
    <row r="11" spans="1:4" x14ac:dyDescent="0.15">
      <c r="A11">
        <v>10</v>
      </c>
      <c r="B11" s="195" t="s">
        <v>201</v>
      </c>
      <c r="C11">
        <v>0.8</v>
      </c>
      <c r="D11">
        <v>0.8</v>
      </c>
    </row>
    <row r="12" spans="1:4" x14ac:dyDescent="0.15">
      <c r="A12">
        <v>11</v>
      </c>
      <c r="B12" s="195" t="s">
        <v>202</v>
      </c>
      <c r="C12">
        <v>0.8</v>
      </c>
      <c r="D12">
        <v>0.8</v>
      </c>
    </row>
    <row r="13" spans="1:4" x14ac:dyDescent="0.15">
      <c r="A13">
        <v>12</v>
      </c>
      <c r="B13" s="195" t="s">
        <v>203</v>
      </c>
      <c r="C13">
        <v>0.8</v>
      </c>
      <c r="D13">
        <v>0.8</v>
      </c>
    </row>
    <row r="14" spans="1:4" x14ac:dyDescent="0.15">
      <c r="A14">
        <v>13</v>
      </c>
      <c r="B14" s="195" t="s">
        <v>204</v>
      </c>
      <c r="C14">
        <v>0</v>
      </c>
      <c r="D14">
        <v>0</v>
      </c>
    </row>
    <row r="15" spans="1:4" x14ac:dyDescent="0.15">
      <c r="A15">
        <v>14</v>
      </c>
      <c r="B15" s="195" t="s">
        <v>205</v>
      </c>
      <c r="C15">
        <v>0.8</v>
      </c>
      <c r="D15">
        <v>0.8</v>
      </c>
    </row>
    <row r="16" spans="1:4" x14ac:dyDescent="0.15">
      <c r="A16">
        <v>15</v>
      </c>
      <c r="B16" s="195" t="s">
        <v>206</v>
      </c>
      <c r="C16">
        <v>0.8</v>
      </c>
      <c r="D16">
        <v>0.8</v>
      </c>
    </row>
    <row r="17" spans="1:4" x14ac:dyDescent="0.15">
      <c r="A17">
        <v>16</v>
      </c>
      <c r="B17" s="195" t="s">
        <v>207</v>
      </c>
      <c r="C17">
        <v>0.8</v>
      </c>
      <c r="D17">
        <v>0</v>
      </c>
    </row>
    <row r="18" spans="1:4" x14ac:dyDescent="0.15">
      <c r="A18">
        <v>17</v>
      </c>
      <c r="B18" s="195" t="s">
        <v>208</v>
      </c>
      <c r="C18">
        <v>0.8</v>
      </c>
      <c r="D18">
        <v>0.8</v>
      </c>
    </row>
    <row r="19" spans="1:4" x14ac:dyDescent="0.15">
      <c r="A19">
        <v>18</v>
      </c>
      <c r="B19" s="195" t="s">
        <v>209</v>
      </c>
      <c r="C19">
        <v>0.8</v>
      </c>
      <c r="D19">
        <v>0.8</v>
      </c>
    </row>
    <row r="20" spans="1:4" x14ac:dyDescent="0.15">
      <c r="A20">
        <v>19</v>
      </c>
      <c r="B20" s="195" t="s">
        <v>210</v>
      </c>
      <c r="C20">
        <v>0.8</v>
      </c>
      <c r="D20">
        <v>0.8</v>
      </c>
    </row>
    <row r="21" spans="1:4" x14ac:dyDescent="0.15">
      <c r="A21">
        <v>20</v>
      </c>
      <c r="B21" s="195" t="s">
        <v>211</v>
      </c>
      <c r="C21">
        <v>0.8</v>
      </c>
      <c r="D21">
        <v>0.8</v>
      </c>
    </row>
    <row r="22" spans="1:4" x14ac:dyDescent="0.15">
      <c r="A22">
        <v>21</v>
      </c>
      <c r="B22" s="195" t="s">
        <v>212</v>
      </c>
      <c r="C22">
        <v>0.8</v>
      </c>
      <c r="D22">
        <v>0.8</v>
      </c>
    </row>
    <row r="23" spans="1:4" x14ac:dyDescent="0.15">
      <c r="A23">
        <v>22</v>
      </c>
      <c r="B23" s="195" t="s">
        <v>213</v>
      </c>
      <c r="C23">
        <v>0</v>
      </c>
      <c r="D23">
        <v>0.8</v>
      </c>
    </row>
    <row r="24" spans="1:4" x14ac:dyDescent="0.15">
      <c r="A24">
        <v>23</v>
      </c>
      <c r="B24" s="195" t="s">
        <v>214</v>
      </c>
      <c r="C24">
        <v>0.8</v>
      </c>
      <c r="D24">
        <v>0.8</v>
      </c>
    </row>
    <row r="25" spans="1:4" x14ac:dyDescent="0.15">
      <c r="A25">
        <v>24</v>
      </c>
      <c r="B25" s="195" t="s">
        <v>215</v>
      </c>
      <c r="C25">
        <v>0.8</v>
      </c>
      <c r="D25">
        <v>0.8</v>
      </c>
    </row>
    <row r="26" spans="1:4" x14ac:dyDescent="0.15">
      <c r="A26">
        <v>25</v>
      </c>
      <c r="B26" s="195" t="s">
        <v>216</v>
      </c>
      <c r="C26">
        <v>0.8</v>
      </c>
      <c r="D26">
        <v>0.8</v>
      </c>
    </row>
    <row r="27" spans="1:4" x14ac:dyDescent="0.15">
      <c r="A27">
        <v>26</v>
      </c>
      <c r="B27" s="195" t="s">
        <v>217</v>
      </c>
      <c r="C27">
        <v>0.8</v>
      </c>
      <c r="D27">
        <v>0</v>
      </c>
    </row>
    <row r="28" spans="1:4" x14ac:dyDescent="0.15">
      <c r="A28">
        <v>27</v>
      </c>
      <c r="B28" s="195" t="s">
        <v>218</v>
      </c>
      <c r="C28">
        <v>0.8</v>
      </c>
      <c r="D28">
        <v>0.8</v>
      </c>
    </row>
    <row r="29" spans="1:4" x14ac:dyDescent="0.15">
      <c r="A29">
        <v>28</v>
      </c>
      <c r="B29" s="195" t="s">
        <v>219</v>
      </c>
      <c r="C29">
        <v>0.8</v>
      </c>
      <c r="D29">
        <v>0.8</v>
      </c>
    </row>
    <row r="30" spans="1:4" x14ac:dyDescent="0.15">
      <c r="A30">
        <v>29</v>
      </c>
      <c r="B30" s="195" t="s">
        <v>220</v>
      </c>
      <c r="C30">
        <v>0</v>
      </c>
      <c r="D30">
        <v>0.8</v>
      </c>
    </row>
    <row r="31" spans="1:4" x14ac:dyDescent="0.15">
      <c r="A31">
        <v>30</v>
      </c>
      <c r="B31" s="195" t="s">
        <v>221</v>
      </c>
      <c r="C31">
        <v>0.8</v>
      </c>
      <c r="D31">
        <v>0.8</v>
      </c>
    </row>
    <row r="32" spans="1:4" x14ac:dyDescent="0.15">
      <c r="A32">
        <v>31</v>
      </c>
      <c r="B32" s="195" t="s">
        <v>222</v>
      </c>
      <c r="C32">
        <v>0.8</v>
      </c>
      <c r="D32">
        <v>0.8</v>
      </c>
    </row>
    <row r="33" spans="1:4" x14ac:dyDescent="0.15">
      <c r="A33">
        <v>32</v>
      </c>
      <c r="B33" s="195" t="s">
        <v>223</v>
      </c>
      <c r="C33">
        <v>0</v>
      </c>
      <c r="D33">
        <v>0</v>
      </c>
    </row>
    <row r="34" spans="1:4" x14ac:dyDescent="0.15">
      <c r="A34">
        <v>33</v>
      </c>
      <c r="B34" s="195" t="s">
        <v>224</v>
      </c>
      <c r="C34">
        <v>0</v>
      </c>
      <c r="D34">
        <v>0</v>
      </c>
    </row>
    <row r="35" spans="1:4" x14ac:dyDescent="0.15">
      <c r="A35">
        <v>34</v>
      </c>
      <c r="B35" s="195" t="s">
        <v>225</v>
      </c>
      <c r="C35">
        <v>0</v>
      </c>
      <c r="D35">
        <v>0</v>
      </c>
    </row>
    <row r="36" spans="1:4" x14ac:dyDescent="0.15">
      <c r="A36">
        <v>35</v>
      </c>
      <c r="B36" s="195" t="s">
        <v>226</v>
      </c>
      <c r="C36">
        <v>0</v>
      </c>
      <c r="D36">
        <v>0</v>
      </c>
    </row>
    <row r="37" spans="1:4" x14ac:dyDescent="0.15">
      <c r="A37">
        <v>36</v>
      </c>
      <c r="B37" s="195" t="s">
        <v>227</v>
      </c>
      <c r="C37">
        <v>0</v>
      </c>
      <c r="D37">
        <v>0</v>
      </c>
    </row>
    <row r="38" spans="1:4" x14ac:dyDescent="0.15">
      <c r="A38">
        <v>37</v>
      </c>
      <c r="B38" s="195" t="s">
        <v>228</v>
      </c>
      <c r="C38">
        <v>0</v>
      </c>
      <c r="D38">
        <v>0</v>
      </c>
    </row>
    <row r="39" spans="1:4" x14ac:dyDescent="0.15">
      <c r="A39">
        <v>38</v>
      </c>
      <c r="B39" s="195" t="s">
        <v>229</v>
      </c>
      <c r="C39">
        <v>0</v>
      </c>
      <c r="D39">
        <v>0.8</v>
      </c>
    </row>
    <row r="40" spans="1:4" x14ac:dyDescent="0.15">
      <c r="A40">
        <v>39</v>
      </c>
      <c r="B40" s="195" t="s">
        <v>230</v>
      </c>
      <c r="C40">
        <v>0.8</v>
      </c>
      <c r="D40">
        <v>0.8</v>
      </c>
    </row>
    <row r="41" spans="1:4" x14ac:dyDescent="0.15">
      <c r="A41">
        <v>40</v>
      </c>
      <c r="B41" s="195" t="s">
        <v>231</v>
      </c>
      <c r="C41">
        <v>0.8</v>
      </c>
      <c r="D41">
        <v>0.8</v>
      </c>
    </row>
    <row r="42" spans="1:4" x14ac:dyDescent="0.15">
      <c r="A42">
        <v>41</v>
      </c>
      <c r="B42" s="195" t="s">
        <v>232</v>
      </c>
      <c r="C42">
        <v>0</v>
      </c>
      <c r="D42">
        <v>0</v>
      </c>
    </row>
    <row r="43" spans="1:4" x14ac:dyDescent="0.15">
      <c r="A43">
        <v>42</v>
      </c>
      <c r="B43" s="195" t="s">
        <v>233</v>
      </c>
      <c r="C43">
        <v>0</v>
      </c>
      <c r="D43">
        <v>0</v>
      </c>
    </row>
    <row r="44" spans="1:4" x14ac:dyDescent="0.15">
      <c r="A44">
        <v>43</v>
      </c>
      <c r="B44" s="195" t="s">
        <v>234</v>
      </c>
      <c r="C44">
        <v>0</v>
      </c>
      <c r="D44">
        <v>0</v>
      </c>
    </row>
    <row r="45" spans="1:4" x14ac:dyDescent="0.15">
      <c r="A45">
        <v>44</v>
      </c>
      <c r="B45" s="195" t="s">
        <v>235</v>
      </c>
      <c r="C45">
        <v>0</v>
      </c>
      <c r="D45">
        <v>0</v>
      </c>
    </row>
    <row r="46" spans="1:4" x14ac:dyDescent="0.15">
      <c r="A46">
        <v>45</v>
      </c>
      <c r="B46" s="195" t="s">
        <v>236</v>
      </c>
      <c r="C46">
        <v>0</v>
      </c>
      <c r="D46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46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7.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98" t="s">
        <v>237</v>
      </c>
      <c r="D1" s="198" t="s">
        <v>238</v>
      </c>
    </row>
    <row r="2" spans="1:4" x14ac:dyDescent="0.15">
      <c r="A2">
        <v>1</v>
      </c>
      <c r="B2" s="197" t="s">
        <v>192</v>
      </c>
      <c r="C2">
        <v>0</v>
      </c>
      <c r="D2">
        <v>0</v>
      </c>
    </row>
    <row r="3" spans="1:4" x14ac:dyDescent="0.15">
      <c r="A3">
        <v>2</v>
      </c>
      <c r="B3" s="197" t="s">
        <v>193</v>
      </c>
      <c r="C3">
        <v>0</v>
      </c>
      <c r="D3">
        <v>0</v>
      </c>
    </row>
    <row r="4" spans="1:4" x14ac:dyDescent="0.15">
      <c r="A4">
        <v>3</v>
      </c>
      <c r="B4" s="197" t="s">
        <v>194</v>
      </c>
      <c r="C4">
        <v>0</v>
      </c>
      <c r="D4">
        <v>0</v>
      </c>
    </row>
    <row r="5" spans="1:4" x14ac:dyDescent="0.15">
      <c r="A5">
        <v>4</v>
      </c>
      <c r="B5" s="197" t="s">
        <v>195</v>
      </c>
      <c r="C5">
        <v>0</v>
      </c>
      <c r="D5">
        <v>0</v>
      </c>
    </row>
    <row r="6" spans="1:4" x14ac:dyDescent="0.15">
      <c r="A6">
        <v>5</v>
      </c>
      <c r="B6" s="197" t="s">
        <v>196</v>
      </c>
      <c r="C6">
        <v>0</v>
      </c>
      <c r="D6">
        <v>0</v>
      </c>
    </row>
    <row r="7" spans="1:4" x14ac:dyDescent="0.15">
      <c r="A7">
        <v>6</v>
      </c>
      <c r="B7" s="197" t="s">
        <v>197</v>
      </c>
      <c r="C7">
        <v>0</v>
      </c>
      <c r="D7">
        <v>0</v>
      </c>
    </row>
    <row r="8" spans="1:4" x14ac:dyDescent="0.15">
      <c r="A8">
        <v>7</v>
      </c>
      <c r="B8" s="197" t="s">
        <v>198</v>
      </c>
      <c r="C8">
        <v>0</v>
      </c>
      <c r="D8">
        <v>0.8</v>
      </c>
    </row>
    <row r="9" spans="1:4" x14ac:dyDescent="0.15">
      <c r="A9">
        <v>8</v>
      </c>
      <c r="B9" s="197" t="s">
        <v>199</v>
      </c>
      <c r="C9">
        <v>0.8</v>
      </c>
      <c r="D9">
        <v>0.8</v>
      </c>
    </row>
    <row r="10" spans="1:4" x14ac:dyDescent="0.15">
      <c r="A10">
        <v>9</v>
      </c>
      <c r="B10" s="197" t="s">
        <v>200</v>
      </c>
      <c r="C10">
        <v>0</v>
      </c>
      <c r="D10">
        <v>0.8</v>
      </c>
    </row>
    <row r="11" spans="1:4" x14ac:dyDescent="0.15">
      <c r="A11">
        <v>10</v>
      </c>
      <c r="B11" s="197" t="s">
        <v>201</v>
      </c>
      <c r="C11">
        <v>0.8</v>
      </c>
      <c r="D11">
        <v>0.8</v>
      </c>
    </row>
    <row r="12" spans="1:4" x14ac:dyDescent="0.15">
      <c r="A12">
        <v>11</v>
      </c>
      <c r="B12" s="197" t="s">
        <v>202</v>
      </c>
      <c r="C12">
        <v>0.8</v>
      </c>
      <c r="D12">
        <v>0.8</v>
      </c>
    </row>
    <row r="13" spans="1:4" x14ac:dyDescent="0.15">
      <c r="A13">
        <v>12</v>
      </c>
      <c r="B13" s="197" t="s">
        <v>203</v>
      </c>
      <c r="C13">
        <v>0.8</v>
      </c>
      <c r="D13">
        <v>0.8</v>
      </c>
    </row>
    <row r="14" spans="1:4" x14ac:dyDescent="0.15">
      <c r="A14">
        <v>13</v>
      </c>
      <c r="B14" s="197" t="s">
        <v>204</v>
      </c>
      <c r="C14">
        <v>0</v>
      </c>
      <c r="D14">
        <v>0</v>
      </c>
    </row>
    <row r="15" spans="1:4" x14ac:dyDescent="0.15">
      <c r="A15">
        <v>14</v>
      </c>
      <c r="B15" s="197" t="s">
        <v>205</v>
      </c>
      <c r="C15">
        <v>0.8</v>
      </c>
      <c r="D15">
        <v>0.8</v>
      </c>
    </row>
    <row r="16" spans="1:4" x14ac:dyDescent="0.15">
      <c r="A16">
        <v>15</v>
      </c>
      <c r="B16" s="197" t="s">
        <v>206</v>
      </c>
      <c r="C16">
        <v>0.8</v>
      </c>
      <c r="D16">
        <v>0.8</v>
      </c>
    </row>
    <row r="17" spans="1:4" x14ac:dyDescent="0.15">
      <c r="A17">
        <v>16</v>
      </c>
      <c r="B17" s="197" t="s">
        <v>207</v>
      </c>
      <c r="C17">
        <v>0.8</v>
      </c>
      <c r="D17">
        <v>0</v>
      </c>
    </row>
    <row r="18" spans="1:4" x14ac:dyDescent="0.15">
      <c r="A18">
        <v>17</v>
      </c>
      <c r="B18" s="197" t="s">
        <v>208</v>
      </c>
      <c r="C18">
        <v>0.8</v>
      </c>
      <c r="D18">
        <v>0.8</v>
      </c>
    </row>
    <row r="19" spans="1:4" x14ac:dyDescent="0.15">
      <c r="A19">
        <v>18</v>
      </c>
      <c r="B19" s="197" t="s">
        <v>209</v>
      </c>
      <c r="C19">
        <v>0.8</v>
      </c>
      <c r="D19">
        <v>0.8</v>
      </c>
    </row>
    <row r="20" spans="1:4" x14ac:dyDescent="0.15">
      <c r="A20">
        <v>19</v>
      </c>
      <c r="B20" s="197" t="s">
        <v>210</v>
      </c>
      <c r="C20">
        <v>0.8</v>
      </c>
      <c r="D20">
        <v>0.8</v>
      </c>
    </row>
    <row r="21" spans="1:4" x14ac:dyDescent="0.15">
      <c r="A21">
        <v>20</v>
      </c>
      <c r="B21" s="197" t="s">
        <v>211</v>
      </c>
      <c r="C21">
        <v>0.8</v>
      </c>
      <c r="D21">
        <v>0.8</v>
      </c>
    </row>
    <row r="22" spans="1:4" x14ac:dyDescent="0.15">
      <c r="A22">
        <v>21</v>
      </c>
      <c r="B22" s="197" t="s">
        <v>212</v>
      </c>
      <c r="C22">
        <v>0.8</v>
      </c>
      <c r="D22">
        <v>0.8</v>
      </c>
    </row>
    <row r="23" spans="1:4" x14ac:dyDescent="0.15">
      <c r="A23">
        <v>22</v>
      </c>
      <c r="B23" s="197" t="s">
        <v>213</v>
      </c>
      <c r="C23">
        <v>0</v>
      </c>
      <c r="D23">
        <v>0.8</v>
      </c>
    </row>
    <row r="24" spans="1:4" x14ac:dyDescent="0.15">
      <c r="A24">
        <v>23</v>
      </c>
      <c r="B24" s="197" t="s">
        <v>214</v>
      </c>
      <c r="C24">
        <v>0.8</v>
      </c>
      <c r="D24">
        <v>0.8</v>
      </c>
    </row>
    <row r="25" spans="1:4" x14ac:dyDescent="0.15">
      <c r="A25">
        <v>24</v>
      </c>
      <c r="B25" s="197" t="s">
        <v>215</v>
      </c>
      <c r="C25">
        <v>0.8</v>
      </c>
      <c r="D25">
        <v>0.8</v>
      </c>
    </row>
    <row r="26" spans="1:4" x14ac:dyDescent="0.15">
      <c r="A26">
        <v>25</v>
      </c>
      <c r="B26" s="197" t="s">
        <v>216</v>
      </c>
      <c r="C26">
        <v>0.8</v>
      </c>
      <c r="D26">
        <v>0.8</v>
      </c>
    </row>
    <row r="27" spans="1:4" x14ac:dyDescent="0.15">
      <c r="A27">
        <v>26</v>
      </c>
      <c r="B27" s="197" t="s">
        <v>217</v>
      </c>
      <c r="C27">
        <v>0.8</v>
      </c>
      <c r="D27">
        <v>0</v>
      </c>
    </row>
    <row r="28" spans="1:4" x14ac:dyDescent="0.15">
      <c r="A28">
        <v>27</v>
      </c>
      <c r="B28" s="197" t="s">
        <v>218</v>
      </c>
      <c r="C28">
        <v>0.8</v>
      </c>
      <c r="D28">
        <v>0.8</v>
      </c>
    </row>
    <row r="29" spans="1:4" x14ac:dyDescent="0.15">
      <c r="A29">
        <v>28</v>
      </c>
      <c r="B29" s="197" t="s">
        <v>219</v>
      </c>
      <c r="C29">
        <v>0.8</v>
      </c>
      <c r="D29">
        <v>0.8</v>
      </c>
    </row>
    <row r="30" spans="1:4" x14ac:dyDescent="0.15">
      <c r="A30">
        <v>29</v>
      </c>
      <c r="B30" s="197" t="s">
        <v>220</v>
      </c>
      <c r="C30">
        <v>0</v>
      </c>
      <c r="D30">
        <v>0.8</v>
      </c>
    </row>
    <row r="31" spans="1:4" x14ac:dyDescent="0.15">
      <c r="A31">
        <v>30</v>
      </c>
      <c r="B31" s="197" t="s">
        <v>221</v>
      </c>
      <c r="C31">
        <v>0.8</v>
      </c>
      <c r="D31">
        <v>0.8</v>
      </c>
    </row>
    <row r="32" spans="1:4" x14ac:dyDescent="0.15">
      <c r="A32">
        <v>31</v>
      </c>
      <c r="B32" s="197" t="s">
        <v>222</v>
      </c>
      <c r="C32">
        <v>0.8</v>
      </c>
      <c r="D32">
        <v>0.8</v>
      </c>
    </row>
    <row r="33" spans="1:4" x14ac:dyDescent="0.15">
      <c r="A33">
        <v>32</v>
      </c>
      <c r="B33" s="197" t="s">
        <v>223</v>
      </c>
      <c r="C33">
        <v>0</v>
      </c>
      <c r="D33">
        <v>0</v>
      </c>
    </row>
    <row r="34" spans="1:4" x14ac:dyDescent="0.15">
      <c r="A34">
        <v>33</v>
      </c>
      <c r="B34" s="197" t="s">
        <v>224</v>
      </c>
      <c r="C34">
        <v>0</v>
      </c>
      <c r="D34">
        <v>0</v>
      </c>
    </row>
    <row r="35" spans="1:4" x14ac:dyDescent="0.15">
      <c r="A35">
        <v>34</v>
      </c>
      <c r="B35" s="197" t="s">
        <v>225</v>
      </c>
      <c r="C35">
        <v>0</v>
      </c>
      <c r="D35">
        <v>0</v>
      </c>
    </row>
    <row r="36" spans="1:4" x14ac:dyDescent="0.15">
      <c r="A36">
        <v>35</v>
      </c>
      <c r="B36" s="197" t="s">
        <v>226</v>
      </c>
      <c r="C36">
        <v>0</v>
      </c>
      <c r="D36">
        <v>0</v>
      </c>
    </row>
    <row r="37" spans="1:4" x14ac:dyDescent="0.15">
      <c r="A37">
        <v>36</v>
      </c>
      <c r="B37" s="197" t="s">
        <v>227</v>
      </c>
      <c r="C37">
        <v>0</v>
      </c>
      <c r="D37">
        <v>0</v>
      </c>
    </row>
    <row r="38" spans="1:4" x14ac:dyDescent="0.15">
      <c r="A38">
        <v>37</v>
      </c>
      <c r="B38" s="197" t="s">
        <v>228</v>
      </c>
      <c r="C38">
        <v>0</v>
      </c>
      <c r="D38">
        <v>0</v>
      </c>
    </row>
    <row r="39" spans="1:4" x14ac:dyDescent="0.15">
      <c r="A39">
        <v>38</v>
      </c>
      <c r="B39" s="197" t="s">
        <v>229</v>
      </c>
      <c r="C39">
        <v>0</v>
      </c>
      <c r="D39">
        <v>0.8</v>
      </c>
    </row>
    <row r="40" spans="1:4" x14ac:dyDescent="0.15">
      <c r="A40">
        <v>39</v>
      </c>
      <c r="B40" s="197" t="s">
        <v>230</v>
      </c>
      <c r="C40">
        <v>0.8</v>
      </c>
      <c r="D40">
        <v>0.8</v>
      </c>
    </row>
    <row r="41" spans="1:4" x14ac:dyDescent="0.15">
      <c r="A41">
        <v>40</v>
      </c>
      <c r="B41" s="197" t="s">
        <v>231</v>
      </c>
      <c r="C41">
        <v>0.8</v>
      </c>
      <c r="D41">
        <v>0.8</v>
      </c>
    </row>
    <row r="42" spans="1:4" x14ac:dyDescent="0.15">
      <c r="A42">
        <v>41</v>
      </c>
      <c r="B42" s="197" t="s">
        <v>232</v>
      </c>
      <c r="C42">
        <v>0</v>
      </c>
      <c r="D42">
        <v>0</v>
      </c>
    </row>
    <row r="43" spans="1:4" x14ac:dyDescent="0.15">
      <c r="A43">
        <v>42</v>
      </c>
      <c r="B43" s="197" t="s">
        <v>233</v>
      </c>
      <c r="C43">
        <v>0</v>
      </c>
      <c r="D43">
        <v>0</v>
      </c>
    </row>
    <row r="44" spans="1:4" x14ac:dyDescent="0.15">
      <c r="A44">
        <v>43</v>
      </c>
      <c r="B44" s="197" t="s">
        <v>234</v>
      </c>
      <c r="C44">
        <v>0</v>
      </c>
      <c r="D44">
        <v>0</v>
      </c>
    </row>
    <row r="45" spans="1:4" x14ac:dyDescent="0.15">
      <c r="A45">
        <v>44</v>
      </c>
      <c r="B45" s="197" t="s">
        <v>235</v>
      </c>
      <c r="C45">
        <v>0</v>
      </c>
      <c r="D45">
        <v>0</v>
      </c>
    </row>
    <row r="46" spans="1:4" x14ac:dyDescent="0.15">
      <c r="A46">
        <v>45</v>
      </c>
      <c r="B46" s="197" t="s">
        <v>236</v>
      </c>
      <c r="C46">
        <v>0</v>
      </c>
      <c r="D4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5" sqref="L5"/>
    </sheetView>
  </sheetViews>
  <sheetFormatPr baseColWidth="10" defaultColWidth="8.83203125" defaultRowHeight="15" customHeight="1" x14ac:dyDescent="0.15"/>
  <cols>
    <col min="1" max="1" width="8.83203125" style="83"/>
    <col min="2" max="2" width="41.83203125" style="83" bestFit="1" customWidth="1"/>
    <col min="3" max="3" width="9.33203125" style="83" bestFit="1" customWidth="1"/>
    <col min="4" max="4" width="13" style="83" bestFit="1" customWidth="1"/>
    <col min="5" max="6" width="9.33203125" style="83" bestFit="1" customWidth="1"/>
    <col min="7" max="7" width="9.33203125" style="99" bestFit="1" customWidth="1"/>
    <col min="8" max="8" width="9.33203125" style="83" bestFit="1" customWidth="1"/>
    <col min="9" max="9" width="11" style="83" customWidth="1"/>
    <col min="10" max="10" width="8.83203125" style="83"/>
    <col min="15" max="16384" width="8.83203125" style="8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50">
        <v>1</v>
      </c>
      <c r="B2" s="150" t="s">
        <v>192</v>
      </c>
      <c r="C2" s="8">
        <v>3.9341480731964111</v>
      </c>
      <c r="D2" s="9">
        <v>3.0901137739419937E-2</v>
      </c>
      <c r="E2" s="9">
        <v>1.9999999552965164E-2</v>
      </c>
      <c r="F2" s="9">
        <v>4.8534393310546875</v>
      </c>
      <c r="G2" s="9">
        <v>0.3753477931022644</v>
      </c>
      <c r="H2" s="9">
        <v>4.1207890026271343E-3</v>
      </c>
      <c r="I2">
        <v>0</v>
      </c>
      <c r="J2"/>
    </row>
    <row r="3" spans="1:10" ht="15" customHeight="1" x14ac:dyDescent="0.15">
      <c r="A3" s="151">
        <v>2</v>
      </c>
      <c r="B3" s="151" t="s">
        <v>193</v>
      </c>
      <c r="C3" s="8">
        <v>4.6330084800720215</v>
      </c>
      <c r="D3" s="9">
        <v>6.1803314834833145E-2</v>
      </c>
      <c r="E3" s="9">
        <v>7.0000000298023224E-2</v>
      </c>
      <c r="F3" s="9">
        <v>14.553226470947266</v>
      </c>
      <c r="G3" s="9">
        <v>0.19041003286838531</v>
      </c>
      <c r="H3" s="9">
        <v>4.8099299892783165E-3</v>
      </c>
      <c r="I3">
        <v>0</v>
      </c>
      <c r="J3"/>
    </row>
    <row r="4" spans="1:10" ht="15" customHeight="1" x14ac:dyDescent="0.15">
      <c r="A4" s="152">
        <v>3</v>
      </c>
      <c r="B4" s="152" t="s">
        <v>194</v>
      </c>
      <c r="C4" s="8">
        <v>2.1816327571868896</v>
      </c>
      <c r="D4" s="9">
        <v>2.1075470373034477E-2</v>
      </c>
      <c r="E4" s="9">
        <v>0.15000000596046448</v>
      </c>
      <c r="F4" s="9">
        <v>3.5</v>
      </c>
      <c r="G4" s="9">
        <v>0.94999998807907104</v>
      </c>
      <c r="H4" s="9">
        <v>4.285714402794838E-2</v>
      </c>
      <c r="I4">
        <v>0</v>
      </c>
      <c r="J4"/>
    </row>
    <row r="5" spans="1:10" ht="15" customHeight="1" x14ac:dyDescent="0.15">
      <c r="A5" s="153">
        <v>4</v>
      </c>
      <c r="B5" s="153" t="s">
        <v>195</v>
      </c>
      <c r="C5" s="8">
        <v>3.7011153697967529</v>
      </c>
      <c r="D5" s="9">
        <v>4.999999888241291E-3</v>
      </c>
      <c r="E5" s="9">
        <v>1.4999999664723873E-2</v>
      </c>
      <c r="F5" s="9">
        <v>86.4056396484375</v>
      </c>
      <c r="G5" s="9">
        <v>2.4359023198485374E-2</v>
      </c>
      <c r="H5" s="9">
        <v>1.7359977937303483E-4</v>
      </c>
      <c r="I5">
        <v>0</v>
      </c>
      <c r="J5"/>
    </row>
    <row r="6" spans="1:10" ht="15" customHeight="1" x14ac:dyDescent="0.15">
      <c r="A6" s="154">
        <v>5</v>
      </c>
      <c r="B6" s="154" t="s">
        <v>196</v>
      </c>
      <c r="C6" s="8">
        <v>4.3679075241088867</v>
      </c>
      <c r="D6" s="9">
        <v>5.4530478082597256E-3</v>
      </c>
      <c r="E6" s="9">
        <v>0.20000000298023224</v>
      </c>
      <c r="F6" s="9">
        <v>4.4647412300109863</v>
      </c>
      <c r="G6" s="9">
        <v>4.2716141790151596E-2</v>
      </c>
      <c r="H6" s="9">
        <v>4.4795431196689606E-2</v>
      </c>
      <c r="I6">
        <v>0</v>
      </c>
      <c r="J6"/>
    </row>
    <row r="7" spans="1:10" ht="15" customHeight="1" x14ac:dyDescent="0.15">
      <c r="A7" s="155">
        <v>6</v>
      </c>
      <c r="B7" s="155" t="s">
        <v>197</v>
      </c>
      <c r="C7" s="8">
        <v>4.3323221206665039</v>
      </c>
      <c r="D7" s="9">
        <v>2.0280834287405014E-3</v>
      </c>
      <c r="E7" s="9">
        <v>0.28319278359413147</v>
      </c>
      <c r="F7" s="9">
        <v>4.5031709671020508</v>
      </c>
      <c r="G7" s="9">
        <v>0.95000004768371582</v>
      </c>
      <c r="H7" s="9">
        <v>6.2887415289878845E-2</v>
      </c>
      <c r="I7">
        <v>0</v>
      </c>
      <c r="J7"/>
    </row>
    <row r="8" spans="1:10" ht="15" customHeight="1" x14ac:dyDescent="0.15">
      <c r="A8" s="156">
        <v>7</v>
      </c>
      <c r="B8" s="156" t="s">
        <v>198</v>
      </c>
      <c r="C8" s="8">
        <v>4.4149918556213379</v>
      </c>
      <c r="D8" s="9">
        <v>3.0426271259784698E-3</v>
      </c>
      <c r="E8" s="9">
        <v>0.40000000596046448</v>
      </c>
      <c r="F8" s="9">
        <v>7.9889822006225586</v>
      </c>
      <c r="G8" s="9">
        <v>0.94999998807907104</v>
      </c>
      <c r="H8" s="9">
        <v>5.006895586848259E-2</v>
      </c>
      <c r="I8">
        <v>7.0199999026954174E-4</v>
      </c>
      <c r="J8"/>
    </row>
    <row r="9" spans="1:10" ht="15" customHeight="1" x14ac:dyDescent="0.15">
      <c r="A9" s="157">
        <v>8</v>
      </c>
      <c r="B9" s="157" t="s">
        <v>199</v>
      </c>
      <c r="C9" s="8">
        <v>4.1666812896728516</v>
      </c>
      <c r="D9" s="9">
        <v>7.2112865746021271E-2</v>
      </c>
      <c r="E9" s="9">
        <v>0.40000000596046448</v>
      </c>
      <c r="F9" s="9">
        <v>7.9889822006225586</v>
      </c>
      <c r="G9" s="9">
        <v>0.95000004768371582</v>
      </c>
      <c r="H9" s="9">
        <v>5.006895586848259E-2</v>
      </c>
      <c r="I9">
        <v>1.984499953687191E-2</v>
      </c>
      <c r="J9"/>
    </row>
    <row r="10" spans="1:10" ht="15" customHeight="1" x14ac:dyDescent="0.15">
      <c r="A10" s="158">
        <v>9</v>
      </c>
      <c r="B10" s="158" t="s">
        <v>200</v>
      </c>
      <c r="C10" s="8">
        <v>4.3528766632080078</v>
      </c>
      <c r="D10" s="9">
        <v>6.6812736913561821E-3</v>
      </c>
      <c r="E10" s="9">
        <v>0.99000000953674316</v>
      </c>
      <c r="F10" s="9">
        <v>4.8527927398681641</v>
      </c>
      <c r="G10" s="9">
        <v>0.94999986886978149</v>
      </c>
      <c r="H10" s="9">
        <v>0.20400623977184296</v>
      </c>
      <c r="I10">
        <v>1.3399999588727951E-3</v>
      </c>
      <c r="J10"/>
    </row>
    <row r="11" spans="1:10" ht="15" customHeight="1" x14ac:dyDescent="0.15">
      <c r="A11" s="159">
        <v>10</v>
      </c>
      <c r="B11" s="159" t="s">
        <v>201</v>
      </c>
      <c r="C11" s="8">
        <v>4.2397565841674805</v>
      </c>
      <c r="D11" s="9">
        <v>2.0419662818312645E-2</v>
      </c>
      <c r="E11" s="9">
        <v>0.82999998331069946</v>
      </c>
      <c r="F11" s="9">
        <v>6.5991220474243164</v>
      </c>
      <c r="G11" s="9">
        <v>0.94999992847442627</v>
      </c>
      <c r="H11" s="9">
        <v>0.12577430903911591</v>
      </c>
      <c r="I11">
        <v>4.5360000804066658E-3</v>
      </c>
      <c r="J11"/>
    </row>
    <row r="12" spans="1:10" ht="15" customHeight="1" x14ac:dyDescent="0.15">
      <c r="A12" s="160">
        <v>11</v>
      </c>
      <c r="B12" s="160" t="s">
        <v>202</v>
      </c>
      <c r="C12" s="8">
        <v>4.2485055923461914</v>
      </c>
      <c r="D12" s="9">
        <v>5.9148143976926804E-2</v>
      </c>
      <c r="E12" s="9">
        <v>0.69999998807907104</v>
      </c>
      <c r="F12" s="9">
        <v>6.2589521408081055</v>
      </c>
      <c r="G12" s="9">
        <v>0.95000231266021729</v>
      </c>
      <c r="H12" s="9">
        <v>0.11183980852365494</v>
      </c>
      <c r="I12">
        <v>1.7715999856591225E-2</v>
      </c>
      <c r="J12"/>
    </row>
    <row r="13" spans="1:10" ht="15" customHeight="1" x14ac:dyDescent="0.15">
      <c r="A13" s="161">
        <v>12</v>
      </c>
      <c r="B13" s="161" t="s">
        <v>203</v>
      </c>
      <c r="C13" s="8">
        <v>4.1865687370300293</v>
      </c>
      <c r="D13" s="9">
        <v>0.10223667323589325</v>
      </c>
      <c r="E13" s="9">
        <v>0.70999997854232788</v>
      </c>
      <c r="F13" s="9">
        <v>9.4623966217041016</v>
      </c>
      <c r="G13" s="9">
        <v>0.94999992847442627</v>
      </c>
      <c r="H13" s="9">
        <v>7.5033843517303467E-2</v>
      </c>
      <c r="I13">
        <v>5.2891999483108521E-2</v>
      </c>
      <c r="J13"/>
    </row>
    <row r="14" spans="1:10" ht="15" customHeight="1" x14ac:dyDescent="0.15">
      <c r="A14" s="162">
        <v>13</v>
      </c>
      <c r="B14" s="162" t="s">
        <v>204</v>
      </c>
      <c r="C14" s="8">
        <v>3.5849330425262451</v>
      </c>
      <c r="D14" s="9">
        <v>0.17984618246555328</v>
      </c>
      <c r="E14" s="9">
        <v>1.3899999856948853</v>
      </c>
      <c r="F14" s="9">
        <v>14.074999809265137</v>
      </c>
      <c r="G14" s="9">
        <v>0.41326704621315002</v>
      </c>
      <c r="H14" s="9">
        <v>9.8756663501262665E-2</v>
      </c>
      <c r="I14">
        <v>0</v>
      </c>
      <c r="J14"/>
    </row>
    <row r="15" spans="1:10" ht="15" customHeight="1" x14ac:dyDescent="0.15">
      <c r="A15" s="163">
        <v>14</v>
      </c>
      <c r="B15" s="163" t="s">
        <v>205</v>
      </c>
      <c r="C15" s="8">
        <v>3.2981147766113281</v>
      </c>
      <c r="D15" s="9">
        <v>1.0963104963302612</v>
      </c>
      <c r="E15" s="9">
        <v>2.5835504531860352</v>
      </c>
      <c r="F15" s="9">
        <v>13.646124839782715</v>
      </c>
      <c r="G15" s="9">
        <v>0.95000004768371582</v>
      </c>
      <c r="H15" s="9">
        <v>0.18932484090328217</v>
      </c>
      <c r="I15">
        <v>3.8192000240087509E-2</v>
      </c>
      <c r="J15"/>
    </row>
    <row r="16" spans="1:10" ht="15" customHeight="1" x14ac:dyDescent="0.15">
      <c r="A16" s="164">
        <v>15</v>
      </c>
      <c r="B16" s="164" t="s">
        <v>206</v>
      </c>
      <c r="C16" s="8">
        <v>2.8847658634185791</v>
      </c>
      <c r="D16" s="9">
        <v>0.56296324729919434</v>
      </c>
      <c r="E16" s="9">
        <v>1.0700000524520874</v>
      </c>
      <c r="F16" s="9">
        <v>10.063629150390625</v>
      </c>
      <c r="G16" s="9">
        <v>0.95000040531158447</v>
      </c>
      <c r="H16" s="9">
        <v>0.1063234806060791</v>
      </c>
      <c r="I16">
        <v>4.5900000259280205E-3</v>
      </c>
      <c r="J16"/>
    </row>
    <row r="17" spans="1:10" ht="15" customHeight="1" x14ac:dyDescent="0.15">
      <c r="A17" s="165">
        <v>16</v>
      </c>
      <c r="B17" s="165" t="s">
        <v>207</v>
      </c>
      <c r="C17" s="8">
        <v>2.5173468589782715</v>
      </c>
      <c r="D17" s="9">
        <v>0.6034466028213501</v>
      </c>
      <c r="E17" s="9">
        <v>0.86000001430511475</v>
      </c>
      <c r="F17" s="9">
        <v>13.507355690002441</v>
      </c>
      <c r="G17" s="9">
        <v>0.9500008225440979</v>
      </c>
      <c r="H17" s="9">
        <v>6.3669010996818542E-2</v>
      </c>
      <c r="I17">
        <v>0.11661600321531296</v>
      </c>
      <c r="J17"/>
    </row>
    <row r="18" spans="1:10" ht="15" customHeight="1" x14ac:dyDescent="0.15">
      <c r="A18" s="166">
        <v>17</v>
      </c>
      <c r="B18" s="166" t="s">
        <v>208</v>
      </c>
      <c r="C18" s="8">
        <v>2.4521584510803223</v>
      </c>
      <c r="D18" s="9">
        <v>1.0494281053543091</v>
      </c>
      <c r="E18" s="9">
        <v>1.2300000190734863</v>
      </c>
      <c r="F18" s="9">
        <v>11.825473785400391</v>
      </c>
      <c r="G18" s="9">
        <v>0.9500001072883606</v>
      </c>
      <c r="H18" s="9">
        <v>0.10401275008916855</v>
      </c>
      <c r="I18">
        <v>0.19460500776767731</v>
      </c>
      <c r="J18"/>
    </row>
    <row r="19" spans="1:10" ht="15" customHeight="1" x14ac:dyDescent="0.15">
      <c r="A19" s="167">
        <v>18</v>
      </c>
      <c r="B19" s="167" t="s">
        <v>209</v>
      </c>
      <c r="C19" s="8">
        <v>4.1627840995788574</v>
      </c>
      <c r="D19" s="9">
        <v>7.6337931677699089E-3</v>
      </c>
      <c r="E19" s="9">
        <v>0.99254006147384644</v>
      </c>
      <c r="F19" s="9">
        <v>6.6169333457946777</v>
      </c>
      <c r="G19" s="9">
        <v>7.9708956182003021E-3</v>
      </c>
      <c r="H19" s="9">
        <v>0.15000000596046448</v>
      </c>
      <c r="I19">
        <v>5.4000000091036782E-5</v>
      </c>
      <c r="J19"/>
    </row>
    <row r="20" spans="1:10" ht="15" customHeight="1" x14ac:dyDescent="0.15">
      <c r="A20" s="168">
        <v>19</v>
      </c>
      <c r="B20" s="168" t="s">
        <v>210</v>
      </c>
      <c r="C20" s="8">
        <v>3.9683241844177246</v>
      </c>
      <c r="D20" s="9">
        <v>7.2010301053524017E-2</v>
      </c>
      <c r="E20" s="9">
        <v>1.1799999475479126</v>
      </c>
      <c r="F20" s="9">
        <v>8.3724775314331055</v>
      </c>
      <c r="G20" s="9">
        <v>0.95000004768371582</v>
      </c>
      <c r="H20" s="9">
        <v>0.14093796908855438</v>
      </c>
      <c r="I20">
        <v>5.232500284910202E-2</v>
      </c>
      <c r="J20"/>
    </row>
    <row r="21" spans="1:10" ht="15" customHeight="1" x14ac:dyDescent="0.15">
      <c r="A21" s="169">
        <v>20</v>
      </c>
      <c r="B21" s="169" t="s">
        <v>211</v>
      </c>
      <c r="C21" s="8">
        <v>4.0399680137634277</v>
      </c>
      <c r="D21" s="9">
        <v>1.3091550208628178E-2</v>
      </c>
      <c r="E21" s="9">
        <v>0.75999999046325684</v>
      </c>
      <c r="F21" s="9">
        <v>8.3724775314331055</v>
      </c>
      <c r="G21" s="9">
        <v>0.95000004768371582</v>
      </c>
      <c r="H21" s="9">
        <v>9.0773604810237885E-2</v>
      </c>
      <c r="I21">
        <v>4.9529997631907463E-3</v>
      </c>
      <c r="J21"/>
    </row>
    <row r="22" spans="1:10" ht="15" customHeight="1" x14ac:dyDescent="0.15">
      <c r="A22" s="170">
        <v>21</v>
      </c>
      <c r="B22" s="170" t="s">
        <v>212</v>
      </c>
      <c r="C22" s="8">
        <v>3.9410641193389893</v>
      </c>
      <c r="D22" s="9">
        <v>4.6199999749660492E-2</v>
      </c>
      <c r="E22" s="9">
        <v>0.54942154884338379</v>
      </c>
      <c r="F22" s="9">
        <v>7.0868277549743652</v>
      </c>
      <c r="G22" s="9">
        <v>0.93106931447982788</v>
      </c>
      <c r="H22" s="9">
        <v>7.7527150511741638E-2</v>
      </c>
      <c r="I22">
        <v>5.2300002425909042E-3</v>
      </c>
      <c r="J22"/>
    </row>
    <row r="23" spans="1:10" ht="15" customHeight="1" x14ac:dyDescent="0.15">
      <c r="A23" s="171">
        <v>22</v>
      </c>
      <c r="B23" s="171" t="s">
        <v>213</v>
      </c>
      <c r="C23" s="8">
        <v>3.0656237602233887</v>
      </c>
      <c r="D23" s="9">
        <v>1.3217349769547582E-3</v>
      </c>
      <c r="E23" s="9">
        <v>1.0700000524520874</v>
      </c>
      <c r="F23" s="9">
        <v>7.7119998931884766</v>
      </c>
      <c r="G23" s="9">
        <v>2.8201872482895851E-2</v>
      </c>
      <c r="H23" s="9">
        <v>0.13874481618404388</v>
      </c>
      <c r="I23">
        <v>7.0000000960135367E-6</v>
      </c>
      <c r="J23"/>
    </row>
    <row r="24" spans="1:10" ht="15" customHeight="1" x14ac:dyDescent="0.15">
      <c r="A24" s="172">
        <v>23</v>
      </c>
      <c r="B24" s="172" t="s">
        <v>214</v>
      </c>
      <c r="C24" s="8">
        <v>3.7944536209106445</v>
      </c>
      <c r="D24" s="9">
        <v>0.47744306921958923</v>
      </c>
      <c r="E24" s="9">
        <v>0.72349750995635986</v>
      </c>
      <c r="F24" s="9">
        <v>9.8655414581298828</v>
      </c>
      <c r="G24" s="9">
        <v>0.29706475138664246</v>
      </c>
      <c r="H24" s="9">
        <v>7.3335811495780945E-2</v>
      </c>
      <c r="I24">
        <v>2.5128999724984169E-2</v>
      </c>
      <c r="J24"/>
    </row>
    <row r="25" spans="1:10" ht="15" customHeight="1" x14ac:dyDescent="0.15">
      <c r="A25" s="173">
        <v>24</v>
      </c>
      <c r="B25" s="173" t="s">
        <v>215</v>
      </c>
      <c r="C25" s="8">
        <v>3.7663264274597168</v>
      </c>
      <c r="D25" s="9">
        <v>4.2501490563154221E-2</v>
      </c>
      <c r="E25" s="9">
        <v>0.93000000715255737</v>
      </c>
      <c r="F25" s="9">
        <v>8.3184595108032227</v>
      </c>
      <c r="G25" s="9">
        <v>0.95000314712524414</v>
      </c>
      <c r="H25" s="9">
        <v>0.11179954558610916</v>
      </c>
      <c r="I25">
        <v>1.0218000039458275E-2</v>
      </c>
      <c r="J25"/>
    </row>
    <row r="26" spans="1:10" ht="15" customHeight="1" x14ac:dyDescent="0.15">
      <c r="A26" s="174">
        <v>25</v>
      </c>
      <c r="B26" s="174" t="s">
        <v>216</v>
      </c>
      <c r="C26" s="8">
        <v>3.3461074829101562</v>
      </c>
      <c r="D26" s="9">
        <v>3.1962037086486816E-2</v>
      </c>
      <c r="E26" s="9">
        <v>0.81000000238418579</v>
      </c>
      <c r="F26" s="9">
        <v>10.366666793823242</v>
      </c>
      <c r="G26" s="9">
        <v>0.94999998807907104</v>
      </c>
      <c r="H26" s="9">
        <v>7.813505083322525E-2</v>
      </c>
      <c r="I26">
        <v>3.3650000113993883E-3</v>
      </c>
      <c r="J26"/>
    </row>
    <row r="27" spans="1:10" ht="15" customHeight="1" x14ac:dyDescent="0.15">
      <c r="A27" s="175">
        <v>26</v>
      </c>
      <c r="B27" s="175" t="s">
        <v>217</v>
      </c>
      <c r="C27" s="8">
        <v>2.319633960723877</v>
      </c>
      <c r="D27" s="9">
        <v>0.1503833681344986</v>
      </c>
      <c r="E27" s="9">
        <v>0.55000001192092896</v>
      </c>
      <c r="F27" s="9">
        <v>13.714668273925781</v>
      </c>
      <c r="G27" s="9">
        <v>0.95000267028808594</v>
      </c>
      <c r="H27" s="9">
        <v>4.0103048086166382E-2</v>
      </c>
      <c r="I27">
        <v>6.3160001300275326E-3</v>
      </c>
      <c r="J27"/>
    </row>
    <row r="28" spans="1:10" ht="15" customHeight="1" x14ac:dyDescent="0.15">
      <c r="A28" s="176">
        <v>27</v>
      </c>
      <c r="B28" s="176" t="s">
        <v>218</v>
      </c>
      <c r="C28" s="8">
        <v>3.8115873336791992</v>
      </c>
      <c r="D28" s="9">
        <v>6.7782655358314514E-2</v>
      </c>
      <c r="E28" s="9">
        <v>1.0700000524520874</v>
      </c>
      <c r="F28" s="9">
        <v>9.0072145462036133</v>
      </c>
      <c r="G28" s="9">
        <v>0.94999986886978149</v>
      </c>
      <c r="H28" s="9">
        <v>0.11879366636276245</v>
      </c>
      <c r="I28">
        <v>4.7780000604689121E-3</v>
      </c>
      <c r="J28"/>
    </row>
    <row r="29" spans="1:10" ht="15" customHeight="1" x14ac:dyDescent="0.15">
      <c r="A29" s="177">
        <v>28</v>
      </c>
      <c r="B29" s="177" t="s">
        <v>219</v>
      </c>
      <c r="C29" s="8">
        <v>3.371107816696167</v>
      </c>
      <c r="D29" s="9">
        <v>0.17500798404216766</v>
      </c>
      <c r="E29" s="9">
        <v>0.76999998092651367</v>
      </c>
      <c r="F29" s="9">
        <v>10.862597465515137</v>
      </c>
      <c r="G29" s="9">
        <v>0.95000046491622925</v>
      </c>
      <c r="H29" s="9">
        <v>7.0885434746742249E-2</v>
      </c>
      <c r="I29">
        <v>4.0242999792098999E-2</v>
      </c>
      <c r="J29"/>
    </row>
    <row r="30" spans="1:10" ht="15" customHeight="1" x14ac:dyDescent="0.15">
      <c r="A30" s="178">
        <v>29</v>
      </c>
      <c r="B30" s="178" t="s">
        <v>220</v>
      </c>
      <c r="C30" s="8">
        <v>3.4173195362091064</v>
      </c>
      <c r="D30" s="9">
        <v>0.1086554229259491</v>
      </c>
      <c r="E30" s="9">
        <v>1.3600000143051147</v>
      </c>
      <c r="F30" s="9">
        <v>12.133999824523926</v>
      </c>
      <c r="G30" s="9">
        <v>0.95000040531158447</v>
      </c>
      <c r="H30" s="9">
        <v>0.11208175867795944</v>
      </c>
      <c r="I30">
        <v>9.1380001977086067E-3</v>
      </c>
      <c r="J30"/>
    </row>
    <row r="31" spans="1:10" ht="15" customHeight="1" x14ac:dyDescent="0.15">
      <c r="A31" s="179">
        <v>30</v>
      </c>
      <c r="B31" s="179" t="s">
        <v>221</v>
      </c>
      <c r="C31" s="8">
        <v>3.9406876564025879</v>
      </c>
      <c r="D31" s="9">
        <v>5.1715340465307236E-2</v>
      </c>
      <c r="E31" s="9">
        <v>1.559999942779541</v>
      </c>
      <c r="F31" s="9">
        <v>11.699999809265137</v>
      </c>
      <c r="G31" s="9">
        <v>0.94999992847442627</v>
      </c>
      <c r="H31" s="9">
        <v>0.13333332538604736</v>
      </c>
      <c r="I31">
        <v>9.6589997410774231E-3</v>
      </c>
      <c r="J31"/>
    </row>
    <row r="32" spans="1:10" ht="15" customHeight="1" x14ac:dyDescent="0.15">
      <c r="A32" s="207">
        <v>31</v>
      </c>
      <c r="B32" s="207" t="s">
        <v>222</v>
      </c>
      <c r="C32" s="8">
        <v>3.0474288463592529</v>
      </c>
      <c r="D32" s="9">
        <v>0.36669334769248962</v>
      </c>
      <c r="E32" s="9">
        <v>1.059999942779541</v>
      </c>
      <c r="F32" s="9">
        <v>10.449999809265137</v>
      </c>
      <c r="G32" s="9">
        <v>0.95000004768371582</v>
      </c>
      <c r="H32" s="9">
        <v>0.10143540054559708</v>
      </c>
      <c r="I32">
        <v>9.3727000057697296E-2</v>
      </c>
      <c r="J32"/>
    </row>
    <row r="33" spans="1:10" ht="15" customHeight="1" x14ac:dyDescent="0.15">
      <c r="A33" s="208">
        <v>32</v>
      </c>
      <c r="B33" s="208" t="s">
        <v>223</v>
      </c>
      <c r="C33" s="8">
        <v>4.3072957992553711</v>
      </c>
      <c r="D33" s="9">
        <v>3.0136520508676767E-3</v>
      </c>
      <c r="E33" s="9">
        <v>0.73370462656021118</v>
      </c>
      <c r="F33" s="9">
        <v>6.0045065879821777</v>
      </c>
      <c r="G33" s="9">
        <v>0.73051291704177856</v>
      </c>
      <c r="H33" s="9">
        <v>0.12219232320785522</v>
      </c>
      <c r="I33">
        <v>0</v>
      </c>
      <c r="J33"/>
    </row>
    <row r="34" spans="1:10" ht="15" customHeight="1" x14ac:dyDescent="0.15">
      <c r="A34" s="209">
        <v>33</v>
      </c>
      <c r="B34" s="209" t="s">
        <v>224</v>
      </c>
      <c r="C34" s="8">
        <v>3.53938889503479</v>
      </c>
      <c r="D34" s="9">
        <v>8.9413262903690338E-2</v>
      </c>
      <c r="E34" s="9">
        <v>0.51999998092651367</v>
      </c>
      <c r="F34" s="9">
        <v>4.1679415702819824</v>
      </c>
      <c r="G34" s="9">
        <v>0.9500001072883606</v>
      </c>
      <c r="H34" s="9">
        <v>0.12476181983947754</v>
      </c>
      <c r="I34">
        <v>0</v>
      </c>
      <c r="J34"/>
    </row>
    <row r="35" spans="1:10" ht="15" customHeight="1" x14ac:dyDescent="0.15">
      <c r="A35" s="210">
        <v>34</v>
      </c>
      <c r="B35" s="210" t="s">
        <v>225</v>
      </c>
      <c r="C35" s="8">
        <v>4.0287108421325684</v>
      </c>
      <c r="D35" s="9">
        <v>6.0940597206354141E-2</v>
      </c>
      <c r="E35" s="9">
        <v>0.5899999737739563</v>
      </c>
      <c r="F35" s="9">
        <v>5.2287631034851074</v>
      </c>
      <c r="G35" s="9">
        <v>0.94999992847442627</v>
      </c>
      <c r="H35" s="9">
        <v>0.11283738911151886</v>
      </c>
      <c r="I35">
        <v>0</v>
      </c>
      <c r="J35"/>
    </row>
    <row r="36" spans="1:10" ht="15" customHeight="1" x14ac:dyDescent="0.15">
      <c r="A36" s="211">
        <v>35</v>
      </c>
      <c r="B36" s="211" t="s">
        <v>226</v>
      </c>
      <c r="C36" s="8">
        <v>3.2517006397247314</v>
      </c>
      <c r="D36" s="9">
        <v>9.0195275843143463E-2</v>
      </c>
      <c r="E36" s="9">
        <v>0.30000001192092896</v>
      </c>
      <c r="F36" s="9">
        <v>4.6999998092651367</v>
      </c>
      <c r="G36" s="9">
        <v>0.94999998807907104</v>
      </c>
      <c r="H36" s="9">
        <v>6.3829794526100159E-2</v>
      </c>
      <c r="I36">
        <v>0</v>
      </c>
      <c r="J36"/>
    </row>
    <row r="37" spans="1:10" ht="15" customHeight="1" x14ac:dyDescent="0.15">
      <c r="A37" s="212">
        <v>36</v>
      </c>
      <c r="B37" s="212" t="s">
        <v>227</v>
      </c>
      <c r="C37" s="8">
        <v>4.047368049621582</v>
      </c>
      <c r="D37" s="9">
        <v>4.0432300418615341E-2</v>
      </c>
      <c r="E37" s="9">
        <v>0.80000001192092896</v>
      </c>
      <c r="F37" s="9">
        <v>5</v>
      </c>
      <c r="G37" s="9">
        <v>0.94999992847442627</v>
      </c>
      <c r="H37" s="9">
        <v>0.15999999642372131</v>
      </c>
      <c r="I37">
        <v>0</v>
      </c>
      <c r="J37"/>
    </row>
    <row r="38" spans="1:10" ht="15" customHeight="1" x14ac:dyDescent="0.15">
      <c r="A38" s="213">
        <v>37</v>
      </c>
      <c r="B38" s="213" t="s">
        <v>228</v>
      </c>
      <c r="C38" s="8">
        <v>3.204434871673584</v>
      </c>
      <c r="D38" s="9">
        <v>3.5666139125823975</v>
      </c>
      <c r="E38" s="9">
        <v>2.7200000286102295</v>
      </c>
      <c r="F38" s="9">
        <v>9.4987878799438477</v>
      </c>
      <c r="G38" s="9">
        <v>4.4202215969562531E-2</v>
      </c>
      <c r="H38" s="9">
        <v>0.28635233640670776</v>
      </c>
      <c r="I38">
        <v>0</v>
      </c>
      <c r="J38"/>
    </row>
    <row r="39" spans="1:10" ht="15" customHeight="1" x14ac:dyDescent="0.15">
      <c r="A39" s="214">
        <v>38</v>
      </c>
      <c r="B39" s="214" t="s">
        <v>229</v>
      </c>
      <c r="C39" s="8">
        <v>3.9186689853668213</v>
      </c>
      <c r="D39" s="9">
        <v>0.65490013360977173</v>
      </c>
      <c r="E39" s="9">
        <v>2.5</v>
      </c>
      <c r="F39" s="9">
        <v>10</v>
      </c>
      <c r="G39" s="9">
        <v>0.95000028610229492</v>
      </c>
      <c r="H39" s="9">
        <v>0.25</v>
      </c>
      <c r="I39">
        <v>4.7030001878738403E-3</v>
      </c>
      <c r="J39"/>
    </row>
    <row r="40" spans="1:10" ht="15" customHeight="1" x14ac:dyDescent="0.15">
      <c r="A40" s="215">
        <v>39</v>
      </c>
      <c r="B40" s="215" t="s">
        <v>230</v>
      </c>
      <c r="C40" s="8">
        <v>2.9667024612426758</v>
      </c>
      <c r="D40" s="9">
        <v>3.8475906848907471</v>
      </c>
      <c r="E40" s="9">
        <v>5.5</v>
      </c>
      <c r="F40" s="9">
        <v>20</v>
      </c>
      <c r="G40" s="9">
        <v>0.95000004768371582</v>
      </c>
      <c r="H40" s="9">
        <v>0.27500000596046448</v>
      </c>
      <c r="I40">
        <v>1.6980000073090196E-3</v>
      </c>
      <c r="J40"/>
    </row>
    <row r="41" spans="1:10" ht="15" customHeight="1" x14ac:dyDescent="0.15">
      <c r="A41" s="216">
        <v>40</v>
      </c>
      <c r="B41" s="216" t="s">
        <v>231</v>
      </c>
      <c r="C41" s="8">
        <v>2.1734693050384521</v>
      </c>
      <c r="D41" s="9">
        <v>12.739672660827637</v>
      </c>
      <c r="E41" s="9">
        <v>5</v>
      </c>
      <c r="F41" s="9">
        <v>25</v>
      </c>
      <c r="G41" s="9">
        <v>0.9500001072883606</v>
      </c>
      <c r="H41" s="9">
        <v>0.20000000298023224</v>
      </c>
      <c r="I41">
        <v>1.55999994603917E-4</v>
      </c>
      <c r="J41"/>
    </row>
    <row r="42" spans="1:10" ht="15" customHeight="1" x14ac:dyDescent="0.15">
      <c r="A42" s="217">
        <v>41</v>
      </c>
      <c r="B42" s="217" t="s">
        <v>232</v>
      </c>
      <c r="C42" s="8">
        <v>2.816326379776001</v>
      </c>
      <c r="D42" s="9">
        <v>2.2373783588409424</v>
      </c>
      <c r="E42" s="9">
        <v>10</v>
      </c>
      <c r="F42" s="9">
        <v>50</v>
      </c>
      <c r="G42" s="9">
        <v>0.9500001072883606</v>
      </c>
      <c r="H42" s="9">
        <v>0.20000000298023224</v>
      </c>
      <c r="I42">
        <v>0</v>
      </c>
      <c r="J42"/>
    </row>
    <row r="43" spans="1:10" ht="15" customHeight="1" x14ac:dyDescent="0.15">
      <c r="A43" s="218">
        <v>42</v>
      </c>
      <c r="B43" s="218" t="s">
        <v>233</v>
      </c>
      <c r="C43" s="8">
        <v>2</v>
      </c>
      <c r="D43" s="9">
        <v>4.7148003578186035</v>
      </c>
      <c r="E43" s="9">
        <v>40</v>
      </c>
      <c r="F43" s="9">
        <v>200</v>
      </c>
      <c r="G43" s="9">
        <v>0.94999992847442627</v>
      </c>
      <c r="H43" s="9">
        <v>0.20000000298023224</v>
      </c>
      <c r="I43">
        <v>0</v>
      </c>
      <c r="J43"/>
    </row>
    <row r="44" spans="1:10" ht="15" customHeight="1" x14ac:dyDescent="0.15">
      <c r="A44" s="219">
        <v>43</v>
      </c>
      <c r="B44" s="219" t="s">
        <v>234</v>
      </c>
      <c r="C44" s="8">
        <v>1</v>
      </c>
      <c r="D44" s="9">
        <v>24</v>
      </c>
      <c r="E44" s="9">
        <v>197</v>
      </c>
      <c r="F44" s="10"/>
      <c r="G44" s="9">
        <v>0.18630117177963257</v>
      </c>
      <c r="H44" s="10"/>
      <c r="I44">
        <v>0</v>
      </c>
      <c r="J44"/>
    </row>
    <row r="45" spans="1:10" ht="15" customHeight="1" x14ac:dyDescent="0.15">
      <c r="A45" s="220">
        <v>44</v>
      </c>
      <c r="B45" s="220" t="s">
        <v>235</v>
      </c>
      <c r="C45" s="8">
        <v>1</v>
      </c>
      <c r="D45" s="9">
        <v>153.31246948242188</v>
      </c>
      <c r="E45" s="10"/>
      <c r="F45" s="10"/>
      <c r="G45" s="7">
        <v>9.2401899397373199E-2</v>
      </c>
      <c r="H45" s="10"/>
      <c r="I45">
        <v>0</v>
      </c>
      <c r="J45"/>
    </row>
    <row r="46" spans="1:10" ht="15" customHeight="1" x14ac:dyDescent="0.15">
      <c r="A46" s="221">
        <v>45</v>
      </c>
      <c r="B46" s="221" t="s">
        <v>236</v>
      </c>
      <c r="C46" s="8">
        <v>1</v>
      </c>
      <c r="D46" s="9">
        <v>5</v>
      </c>
      <c r="E46" s="10"/>
      <c r="F46" s="10"/>
      <c r="G46" s="7">
        <v>0</v>
      </c>
      <c r="H46" s="10"/>
      <c r="I46">
        <v>0</v>
      </c>
      <c r="J46"/>
    </row>
    <row r="47" spans="1:10" ht="15" customHeight="1" x14ac:dyDescent="0.15">
      <c r="A47" s="222">
        <v>46</v>
      </c>
      <c r="B47" s="222" t="s">
        <v>237</v>
      </c>
      <c r="C47" s="8">
        <v>3.9610104560852051</v>
      </c>
      <c r="D47" s="10"/>
      <c r="E47" s="10"/>
      <c r="F47" s="10"/>
      <c r="G47" s="10"/>
      <c r="H47" s="10"/>
      <c r="I47">
        <v>0.25433999300003052</v>
      </c>
      <c r="J47"/>
    </row>
    <row r="48" spans="1:10" ht="15" customHeight="1" x14ac:dyDescent="0.15">
      <c r="A48" s="223">
        <v>47</v>
      </c>
      <c r="B48" s="223" t="s">
        <v>238</v>
      </c>
      <c r="C48" s="8">
        <v>4.2136969566345215</v>
      </c>
      <c r="D48" s="10"/>
      <c r="E48" s="10"/>
      <c r="F48" s="10"/>
      <c r="G48" s="10"/>
      <c r="H48" s="10"/>
      <c r="I48">
        <v>0.46839293837547302</v>
      </c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3" bestFit="1" customWidth="1"/>
    <col min="2" max="4" width="9.5" style="83" bestFit="1" customWidth="1"/>
    <col min="5" max="7" width="9" style="83" bestFit="1" customWidth="1"/>
    <col min="8" max="16" width="12.6640625" style="83" bestFit="1" customWidth="1"/>
    <col min="17" max="17" width="12.33203125" style="83" bestFit="1" customWidth="1"/>
    <col min="18" max="18" width="8.83203125" style="83"/>
    <col min="19" max="21" width="9.33203125" style="83" bestFit="1" customWidth="1"/>
    <col min="22" max="23" width="8.83203125" style="83"/>
    <col min="24" max="24" width="9.33203125" style="83" bestFit="1" customWidth="1"/>
    <col min="25" max="27" width="8.83203125" style="83"/>
    <col min="28" max="58" width="9" style="83" bestFit="1" customWidth="1"/>
    <col min="59" max="59" width="12.33203125" style="83" bestFit="1" customWidth="1"/>
    <col min="60" max="60" width="9" style="83" bestFit="1" customWidth="1"/>
    <col min="61" max="61" width="11.33203125" style="83" bestFit="1" customWidth="1"/>
    <col min="62" max="77" width="9" style="83" bestFit="1" customWidth="1"/>
    <col min="78" max="78" width="12.33203125" style="83" bestFit="1" customWidth="1"/>
    <col min="79" max="79" width="9" style="83" bestFit="1" customWidth="1"/>
    <col min="80" max="80" width="12.33203125" style="83" bestFit="1" customWidth="1"/>
    <col min="81" max="107" width="9" style="83" bestFit="1" customWidth="1"/>
    <col min="108" max="108" width="11.33203125" style="83" bestFit="1" customWidth="1"/>
    <col min="109" max="124" width="9" style="83" bestFit="1" customWidth="1"/>
    <col min="125" max="125" width="10.33203125" style="83" bestFit="1" customWidth="1"/>
    <col min="126" max="129" width="9.33203125" style="83" bestFit="1" customWidth="1"/>
    <col min="130" max="130" width="9" style="83" bestFit="1" customWidth="1"/>
    <col min="131" max="134" width="9.33203125" style="83" bestFit="1" customWidth="1"/>
    <col min="135" max="165" width="9" style="83" bestFit="1" customWidth="1"/>
    <col min="166" max="166" width="12.33203125" style="83" bestFit="1" customWidth="1"/>
    <col min="167" max="170" width="9" style="83" bestFit="1" customWidth="1"/>
    <col min="171" max="176" width="8.83203125" style="83"/>
    <col min="177" max="177" width="13.83203125" style="83" bestFit="1" customWidth="1"/>
    <col min="178" max="16384" width="8.83203125" style="8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243</v>
      </c>
      <c r="E1" t="s">
        <v>244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213</v>
      </c>
      <c r="AB1" t="s">
        <v>214</v>
      </c>
      <c r="AC1" t="s">
        <v>215</v>
      </c>
      <c r="AD1" t="s">
        <v>216</v>
      </c>
      <c r="AE1" t="s">
        <v>217</v>
      </c>
      <c r="AF1" t="s">
        <v>218</v>
      </c>
      <c r="AG1" t="s">
        <v>219</v>
      </c>
      <c r="AH1" t="s">
        <v>220</v>
      </c>
      <c r="AI1" t="s">
        <v>221</v>
      </c>
      <c r="AJ1" t="s">
        <v>222</v>
      </c>
      <c r="AK1" t="s">
        <v>223</v>
      </c>
      <c r="AL1" t="s">
        <v>224</v>
      </c>
      <c r="AM1" t="s">
        <v>225</v>
      </c>
      <c r="AN1" t="s">
        <v>226</v>
      </c>
      <c r="AO1" t="s">
        <v>227</v>
      </c>
      <c r="AP1" t="s">
        <v>228</v>
      </c>
      <c r="AQ1" t="s">
        <v>229</v>
      </c>
      <c r="AR1" t="s">
        <v>230</v>
      </c>
      <c r="AS1" t="s">
        <v>231</v>
      </c>
      <c r="AT1" t="s">
        <v>232</v>
      </c>
      <c r="AU1" t="s">
        <v>233</v>
      </c>
      <c r="AV1" t="s">
        <v>234</v>
      </c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1.9999999552965164E-2</v>
      </c>
      <c r="C2">
        <v>1.2493044137954712E-2</v>
      </c>
      <c r="D2"/>
      <c r="E2"/>
      <c r="F2"/>
      <c r="G2"/>
      <c r="H2"/>
      <c r="I2"/>
      <c r="J2" s="247">
        <v>4.7282371670007706E-3</v>
      </c>
      <c r="K2" s="246">
        <v>2.7787182480096817E-3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7.0000000298023224E-2</v>
      </c>
      <c r="C3">
        <v>5.6671299040317535E-2</v>
      </c>
      <c r="D3"/>
      <c r="E3"/>
      <c r="F3"/>
      <c r="G3" s="251">
        <v>5.8218725025653839E-3</v>
      </c>
      <c r="H3"/>
      <c r="I3"/>
      <c r="J3" s="108">
        <v>4.7281575389206409E-3</v>
      </c>
      <c r="K3" s="227">
        <v>2.7786714490503073E-3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0.15000000596046448</v>
      </c>
      <c r="C4">
        <v>7.5000021606683731E-3</v>
      </c>
      <c r="D4"/>
      <c r="E4"/>
      <c r="F4"/>
      <c r="G4" s="242">
        <v>1.707250252366066E-2</v>
      </c>
      <c r="H4"/>
      <c r="I4"/>
      <c r="J4"/>
      <c r="K4" s="19">
        <v>2.6872344315052032E-3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 s="256">
        <v>0.12274026125669479</v>
      </c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1.4999999664723873E-2</v>
      </c>
      <c r="C5">
        <v>1.4634613879024982E-2</v>
      </c>
      <c r="D5"/>
      <c r="E5"/>
      <c r="F5"/>
      <c r="G5"/>
      <c r="H5"/>
      <c r="I5"/>
      <c r="J5"/>
      <c r="K5" s="245">
        <v>3.6538534914143384E-4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0.20000000298023224</v>
      </c>
      <c r="C6">
        <v>0.19145677983760834</v>
      </c>
      <c r="D6"/>
      <c r="E6"/>
      <c r="F6"/>
      <c r="G6"/>
      <c r="H6"/>
      <c r="I6"/>
      <c r="J6"/>
      <c r="K6" s="20">
        <v>8.5432287305593491E-3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0.28319278359413147</v>
      </c>
      <c r="C7">
        <v>1.4159625396132469E-2</v>
      </c>
      <c r="D7"/>
      <c r="E7"/>
      <c r="F7"/>
      <c r="G7"/>
      <c r="H7"/>
      <c r="I7"/>
      <c r="J7"/>
      <c r="K7" s="248">
        <v>9.1432660818099976E-2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 s="252">
        <v>0.17760048806667328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0.40000000596046448</v>
      </c>
      <c r="C8">
        <v>2.0000005140900612E-2</v>
      </c>
      <c r="D8"/>
      <c r="E8" s="233">
        <v>0.23072166740894318</v>
      </c>
      <c r="F8"/>
      <c r="G8"/>
      <c r="H8"/>
      <c r="I8"/>
      <c r="J8" s="140">
        <v>5.202200636267662E-2</v>
      </c>
      <c r="K8" s="249">
        <v>8.7664805352687836E-2</v>
      </c>
      <c r="L8"/>
      <c r="M8"/>
      <c r="N8" s="245">
        <v>9.5915375277400017E-3</v>
      </c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0.40000000596046448</v>
      </c>
      <c r="C9">
        <v>1.9999980926513672E-2</v>
      </c>
      <c r="D9" s="224">
        <v>0.12094929069280624</v>
      </c>
      <c r="E9" s="234">
        <v>0.1542443186044693</v>
      </c>
      <c r="F9"/>
      <c r="G9"/>
      <c r="H9"/>
      <c r="I9"/>
      <c r="J9" s="14">
        <v>1.0805869242176414E-3</v>
      </c>
      <c r="K9" s="23">
        <v>2.6980994734913111E-3</v>
      </c>
      <c r="L9"/>
      <c r="M9"/>
      <c r="N9"/>
      <c r="O9"/>
      <c r="P9"/>
      <c r="Q9" s="149">
        <v>0.10102773457765579</v>
      </c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0.99000000953674316</v>
      </c>
      <c r="C10">
        <v>4.9500130116939545E-2</v>
      </c>
      <c r="D10"/>
      <c r="E10" s="235">
        <v>0.2005605548620224</v>
      </c>
      <c r="F10"/>
      <c r="G10"/>
      <c r="H10"/>
      <c r="I10"/>
      <c r="J10"/>
      <c r="K10" s="64">
        <v>2.1054869517683983E-2</v>
      </c>
      <c r="L10"/>
      <c r="M10"/>
      <c r="N10"/>
      <c r="O10"/>
      <c r="P10" s="148">
        <v>0.71888452768325806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0.82999998331069946</v>
      </c>
      <c r="C11">
        <v>4.1500058025121689E-2</v>
      </c>
      <c r="D11" s="225">
        <v>0.15862162411212921</v>
      </c>
      <c r="E11" s="27">
        <v>6.3517205417156219E-2</v>
      </c>
      <c r="F11"/>
      <c r="G11"/>
      <c r="H11"/>
      <c r="I11"/>
      <c r="J11"/>
      <c r="K11" s="23">
        <v>5.4576080292463303E-3</v>
      </c>
      <c r="L11"/>
      <c r="M11"/>
      <c r="N11"/>
      <c r="O11"/>
      <c r="P11" s="274">
        <v>0.56090342998504639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0.69999998807907104</v>
      </c>
      <c r="C12">
        <v>3.4998379647731781E-2</v>
      </c>
      <c r="D12" s="226">
        <v>7.5708210468292236E-2</v>
      </c>
      <c r="E12" s="236">
        <v>0.22381091117858887</v>
      </c>
      <c r="F12"/>
      <c r="G12"/>
      <c r="H12"/>
      <c r="I12" s="268">
        <v>0.12638716399669647</v>
      </c>
      <c r="J12" s="255">
        <v>3.9399735629558563E-2</v>
      </c>
      <c r="K12" s="16">
        <v>1.0795111767947674E-2</v>
      </c>
      <c r="L12"/>
      <c r="M12"/>
      <c r="N12" s="11">
        <v>1.0964360990328714E-4</v>
      </c>
      <c r="O12"/>
      <c r="P12" s="267">
        <v>0.11243624240159988</v>
      </c>
      <c r="Q12" s="264">
        <v>7.2260946035385132E-2</v>
      </c>
      <c r="R12"/>
      <c r="S12"/>
      <c r="T12"/>
      <c r="U12"/>
      <c r="V12"/>
      <c r="W12"/>
      <c r="X12" s="23">
        <v>4.093625582754612E-3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0.70999997854232788</v>
      </c>
      <c r="C13">
        <v>3.5500049591064453E-2</v>
      </c>
      <c r="D13" s="227">
        <v>2.7534151449799538E-2</v>
      </c>
      <c r="E13" s="237">
        <v>0.48981443047523499</v>
      </c>
      <c r="F13"/>
      <c r="G13"/>
      <c r="H13"/>
      <c r="I13"/>
      <c r="J13"/>
      <c r="K13" s="11">
        <v>5.3608750022249296E-5</v>
      </c>
      <c r="L13"/>
      <c r="M13"/>
      <c r="N13"/>
      <c r="O13" s="21">
        <v>1.4104418456554413E-2</v>
      </c>
      <c r="P13" s="241">
        <v>0.10118737071752548</v>
      </c>
      <c r="Q13" s="66">
        <v>4.1805949062108994E-2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1.3899999856948853</v>
      </c>
      <c r="C14">
        <v>0.8155587911605835</v>
      </c>
      <c r="D14"/>
      <c r="E14"/>
      <c r="F14"/>
      <c r="G14"/>
      <c r="H14"/>
      <c r="I14"/>
      <c r="J14" s="14">
        <v>4.0620239451527596E-3</v>
      </c>
      <c r="K14" s="11">
        <v>5.5870501091703773E-4</v>
      </c>
      <c r="L14" s="14">
        <v>2.2976710461080074E-3</v>
      </c>
      <c r="M14"/>
      <c r="N14"/>
      <c r="O14" s="65">
        <v>5.7998646050691605E-2</v>
      </c>
      <c r="P14" s="245">
        <v>3.2869558781385422E-2</v>
      </c>
      <c r="Q14"/>
      <c r="R14"/>
      <c r="S14"/>
      <c r="T14"/>
      <c r="U14"/>
      <c r="V14"/>
      <c r="W14"/>
      <c r="X14"/>
      <c r="Y14" s="13">
        <v>5.0788175314664841E-2</v>
      </c>
      <c r="Z14" s="258">
        <v>6.1357263475656509E-2</v>
      </c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 s="288">
        <v>0.36450910568237305</v>
      </c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2.5835504531860352</v>
      </c>
      <c r="C15">
        <v>0.12917740643024445</v>
      </c>
      <c r="D15" s="23">
        <v>1.5534833073616028E-2</v>
      </c>
      <c r="E15" s="22">
        <v>1.9302012398838997E-2</v>
      </c>
      <c r="F15" s="14">
        <v>4.4591478072106838E-3</v>
      </c>
      <c r="G15" s="12">
        <v>1.1569111607968807E-2</v>
      </c>
      <c r="H15"/>
      <c r="I15" s="18">
        <v>2.9364371672272682E-2</v>
      </c>
      <c r="J15" s="11">
        <v>2.2145425900816917E-3</v>
      </c>
      <c r="K15" s="11">
        <v>5.4075708612799644E-4</v>
      </c>
      <c r="L15" s="11">
        <v>2.1858280524611473E-3</v>
      </c>
      <c r="M15" s="265">
        <v>8.3957701921463013E-2</v>
      </c>
      <c r="N15" s="14">
        <v>5.3683086298406124E-3</v>
      </c>
      <c r="O15" s="16">
        <v>4.1450724005699158E-2</v>
      </c>
      <c r="P15" s="24">
        <v>6.9423839449882507E-2</v>
      </c>
      <c r="Q15" s="297">
        <v>0.45259469747543335</v>
      </c>
      <c r="R15" s="290">
        <v>0.19241318106651306</v>
      </c>
      <c r="S15" s="147">
        <v>0.64870989322662354</v>
      </c>
      <c r="T15" s="251">
        <v>0.21446141600608826</v>
      </c>
      <c r="U15"/>
      <c r="V15"/>
      <c r="W15" s="14">
        <v>2.9580029658973217E-3</v>
      </c>
      <c r="X15" s="23">
        <v>1.4631928876042366E-2</v>
      </c>
      <c r="Y15"/>
      <c r="Z15" s="17">
        <v>3.7424392998218536E-2</v>
      </c>
      <c r="AA15"/>
      <c r="AB15" s="68">
        <v>0.23715804517269135</v>
      </c>
      <c r="AC15"/>
      <c r="AD15"/>
      <c r="AE15"/>
      <c r="AF15"/>
      <c r="AG15" s="12">
        <v>8.0816242843866348E-3</v>
      </c>
      <c r="AH15"/>
      <c r="AI15" s="28">
        <v>9.1982655227184296E-2</v>
      </c>
      <c r="AJ15" s="15">
        <v>2.4115089327096939E-2</v>
      </c>
      <c r="AK15" s="11">
        <v>1.020059222355485E-3</v>
      </c>
      <c r="AL15"/>
      <c r="AM15"/>
      <c r="AN15"/>
      <c r="AO15" s="12">
        <v>1.0244538076221943E-2</v>
      </c>
      <c r="AP15"/>
      <c r="AQ15" s="296">
        <v>0.23320646584033966</v>
      </c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1.0700000524520874</v>
      </c>
      <c r="C16">
        <v>5.3499568253755569E-2</v>
      </c>
      <c r="D16" s="11">
        <v>2.2914461442269385E-4</v>
      </c>
      <c r="E16" s="22">
        <v>7.9241413623094559E-3</v>
      </c>
      <c r="F16" s="22">
        <v>8.6837112903594971E-3</v>
      </c>
      <c r="G16" s="64">
        <v>2.2529603913426399E-2</v>
      </c>
      <c r="H16"/>
      <c r="I16" s="265">
        <v>3.5845514386892319E-2</v>
      </c>
      <c r="J16"/>
      <c r="K16" s="11">
        <v>5.1111861830577254E-4</v>
      </c>
      <c r="L16" s="14">
        <v>2.1732808090746403E-3</v>
      </c>
      <c r="M16"/>
      <c r="N16" s="17">
        <v>1.4440050348639488E-2</v>
      </c>
      <c r="O16" s="245">
        <v>2.4249764159321785E-2</v>
      </c>
      <c r="P16" s="13">
        <v>4.003361240029335E-2</v>
      </c>
      <c r="Q16" s="64">
        <v>2.31215450912714E-2</v>
      </c>
      <c r="R16" s="291">
        <v>0.3747040331363678</v>
      </c>
      <c r="S16"/>
      <c r="T16"/>
      <c r="U16"/>
      <c r="V16"/>
      <c r="W16"/>
      <c r="X16"/>
      <c r="Y16"/>
      <c r="Z16" s="22">
        <v>7.9103587195277214E-3</v>
      </c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 s="295">
        <v>0.45414456725120544</v>
      </c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0.86000001430511475</v>
      </c>
      <c r="C17">
        <v>4.2999293655157089E-2</v>
      </c>
      <c r="D17" s="228">
        <v>0.19324991106987</v>
      </c>
      <c r="E17"/>
      <c r="F17"/>
      <c r="G17" s="245">
        <v>2.1018162369728088E-2</v>
      </c>
      <c r="H17"/>
      <c r="I17" s="108">
        <v>5.7429306209087372E-2</v>
      </c>
      <c r="J17"/>
      <c r="K17" s="11">
        <v>1.5137434274947736E-6</v>
      </c>
      <c r="L17"/>
      <c r="M17"/>
      <c r="N17"/>
      <c r="O17" s="23">
        <v>4.8015094362199306E-3</v>
      </c>
      <c r="P17" s="74">
        <v>6.6736370325088501E-2</v>
      </c>
      <c r="Q17"/>
      <c r="R17" s="292">
        <v>0.34956628084182739</v>
      </c>
      <c r="S17"/>
      <c r="T17"/>
      <c r="U17"/>
      <c r="V17"/>
      <c r="W17" s="23">
        <v>5.3739463910460472E-3</v>
      </c>
      <c r="X17"/>
      <c r="Y17" s="19">
        <v>1.5136484056711197E-2</v>
      </c>
      <c r="Z17"/>
      <c r="AA17"/>
      <c r="AB17"/>
      <c r="AC17" s="21">
        <v>1.6274427995085716E-2</v>
      </c>
      <c r="AD17"/>
      <c r="AE17"/>
      <c r="AF17" s="69">
        <v>4.3601762503385544E-2</v>
      </c>
      <c r="AG17"/>
      <c r="AH17"/>
      <c r="AI17"/>
      <c r="AJ17" s="69">
        <v>4.3811041861772537E-2</v>
      </c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1.2300000190734863</v>
      </c>
      <c r="C18">
        <v>6.1499867588281631E-2</v>
      </c>
      <c r="D18" s="25">
        <v>3.9195634424686432E-2</v>
      </c>
      <c r="E18" s="141">
        <v>0.14624346792697906</v>
      </c>
      <c r="F18" s="12">
        <v>4.6583567745983601E-3</v>
      </c>
      <c r="G18" s="15">
        <v>1.2085952796041965E-2</v>
      </c>
      <c r="H18"/>
      <c r="I18" s="18">
        <v>1.4535168185830116E-2</v>
      </c>
      <c r="J18" s="11">
        <v>5.9403188060969114E-4</v>
      </c>
      <c r="K18" s="11">
        <v>1.2969542876817286E-4</v>
      </c>
      <c r="L18" s="14">
        <v>1.9636745564639568E-3</v>
      </c>
      <c r="M18" s="258">
        <v>5.5599913001060486E-2</v>
      </c>
      <c r="N18"/>
      <c r="O18" s="12">
        <v>4.9184039235115051E-3</v>
      </c>
      <c r="P18" s="23">
        <v>6.6892271861433983E-3</v>
      </c>
      <c r="Q18" s="77">
        <v>0.17364898324012756</v>
      </c>
      <c r="R18" s="293">
        <v>0.20100909471511841</v>
      </c>
      <c r="S18"/>
      <c r="T18" s="20">
        <v>5.3986102342605591E-2</v>
      </c>
      <c r="U18"/>
      <c r="V18"/>
      <c r="W18" s="14">
        <v>3.0901494901627302E-3</v>
      </c>
      <c r="X18" s="63">
        <v>6.7891135811805725E-2</v>
      </c>
      <c r="Y18"/>
      <c r="Z18" s="14">
        <v>1.2480862205848098E-3</v>
      </c>
      <c r="AA18"/>
      <c r="AB18"/>
      <c r="AC18"/>
      <c r="AD18"/>
      <c r="AE18"/>
      <c r="AF18"/>
      <c r="AG18" s="22">
        <v>8.4426645189523697E-3</v>
      </c>
      <c r="AH18"/>
      <c r="AI18" s="74">
        <v>9.6091911196708679E-2</v>
      </c>
      <c r="AJ18"/>
      <c r="AK18" s="11">
        <v>1.0656296508386731E-3</v>
      </c>
      <c r="AL18"/>
      <c r="AM18" s="19">
        <v>2.1085819229483604E-2</v>
      </c>
      <c r="AN18"/>
      <c r="AO18" s="22">
        <v>1.0702204890549183E-2</v>
      </c>
      <c r="AP18"/>
      <c r="AQ18" s="294">
        <v>0.24362479150295258</v>
      </c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0.99254006147384644</v>
      </c>
      <c r="C19">
        <v>0.98462861776351929</v>
      </c>
      <c r="D19" s="11">
        <v>1.3099647185299546E-4</v>
      </c>
      <c r="E19" s="22">
        <v>6.9428132846951485E-3</v>
      </c>
      <c r="F19"/>
      <c r="G19"/>
      <c r="H19"/>
      <c r="I19"/>
      <c r="J19"/>
      <c r="K19" s="11">
        <v>8.3762337453663349E-4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1.1799999475479126</v>
      </c>
      <c r="C20">
        <v>5.8999940752983093E-2</v>
      </c>
      <c r="D20" s="229">
        <v>0.3396458625793457</v>
      </c>
      <c r="E20" s="238">
        <v>0.38698631525039673</v>
      </c>
      <c r="F20"/>
      <c r="G20"/>
      <c r="H20"/>
      <c r="I20"/>
      <c r="J20"/>
      <c r="K20" s="11">
        <v>2.0296280854381621E-4</v>
      </c>
      <c r="L20"/>
      <c r="M20" s="280">
        <v>0.36474350094795227</v>
      </c>
      <c r="N20"/>
      <c r="O20"/>
      <c r="P20"/>
      <c r="Q20"/>
      <c r="R20"/>
      <c r="S20"/>
      <c r="T20"/>
      <c r="U20"/>
      <c r="V20"/>
      <c r="W20"/>
      <c r="X20" s="26">
        <v>2.9421357437968254E-2</v>
      </c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0.75999999046325684</v>
      </c>
      <c r="C21">
        <v>3.7999961525201797E-2</v>
      </c>
      <c r="D21" s="230">
        <v>0.25978589057922363</v>
      </c>
      <c r="E21" s="107">
        <v>0.11854974180459976</v>
      </c>
      <c r="F21"/>
      <c r="G21"/>
      <c r="H21"/>
      <c r="I21"/>
      <c r="J21"/>
      <c r="K21" s="21">
        <v>1.4792305417358875E-2</v>
      </c>
      <c r="L21"/>
      <c r="M21"/>
      <c r="N21"/>
      <c r="O21"/>
      <c r="P21"/>
      <c r="Q21"/>
      <c r="R21"/>
      <c r="S21"/>
      <c r="T21"/>
      <c r="U21"/>
      <c r="V21"/>
      <c r="W21"/>
      <c r="X21" s="146">
        <v>4.6237919479608536E-2</v>
      </c>
      <c r="Y21"/>
      <c r="Z21" s="263">
        <v>0.2826341986656189</v>
      </c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0.54942154884338379</v>
      </c>
      <c r="C22">
        <v>3.7872005254030228E-2</v>
      </c>
      <c r="D22" s="24">
        <v>1.4805195853114128E-2</v>
      </c>
      <c r="E22" s="239">
        <v>9.8398275673389435E-2</v>
      </c>
      <c r="F22"/>
      <c r="G22"/>
      <c r="H22"/>
      <c r="I22"/>
      <c r="J22" s="23">
        <v>3.3733427990227938E-3</v>
      </c>
      <c r="K22" s="15">
        <v>5.5954577401280403E-3</v>
      </c>
      <c r="L22"/>
      <c r="M22" s="266">
        <v>0.12592059373855591</v>
      </c>
      <c r="N22" s="12">
        <v>2.0354033913463354E-3</v>
      </c>
      <c r="O22"/>
      <c r="P22" s="262">
        <v>7.9971097409725189E-2</v>
      </c>
      <c r="Q22" s="227">
        <v>2.1025687456130981E-2</v>
      </c>
      <c r="R22"/>
      <c r="S22"/>
      <c r="T22"/>
      <c r="U22"/>
      <c r="V22"/>
      <c r="W22"/>
      <c r="X22" s="261">
        <v>7.3372840881347656E-2</v>
      </c>
      <c r="Y22"/>
      <c r="Z22" s="140">
        <v>7.0875369012355804E-2</v>
      </c>
      <c r="AA22"/>
      <c r="AB22"/>
      <c r="AC22"/>
      <c r="AD22"/>
      <c r="AE22"/>
      <c r="AF22"/>
      <c r="AG22"/>
      <c r="AH22"/>
      <c r="AI22"/>
      <c r="AJ22"/>
      <c r="AK22" s="145">
        <v>1.617627777159214E-2</v>
      </c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1.0700000524520874</v>
      </c>
      <c r="C23">
        <v>1.0398240089416504</v>
      </c>
      <c r="D23"/>
      <c r="E23" s="23">
        <v>5.2960691973567009E-3</v>
      </c>
      <c r="F23"/>
      <c r="G23"/>
      <c r="H23"/>
      <c r="I23"/>
      <c r="J23"/>
      <c r="K23" s="245">
        <v>2.4879934266209602E-2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0.72349750995635986</v>
      </c>
      <c r="C24">
        <v>0.50857192277908325</v>
      </c>
      <c r="D24" s="11">
        <v>5.9274083469063044E-4</v>
      </c>
      <c r="E24" s="240">
        <v>5.203971266746521E-2</v>
      </c>
      <c r="F24"/>
      <c r="G24"/>
      <c r="H24"/>
      <c r="I24"/>
      <c r="J24"/>
      <c r="K24" s="14">
        <v>9.1261568013578653E-4</v>
      </c>
      <c r="L24"/>
      <c r="M24" s="226">
        <v>7.7813595533370972E-2</v>
      </c>
      <c r="N24" s="18">
        <v>8.7747620418667793E-3</v>
      </c>
      <c r="O24"/>
      <c r="P24" s="26">
        <v>1.8572255969047546E-2</v>
      </c>
      <c r="Q24" s="28">
        <v>2.5025088340044022E-2</v>
      </c>
      <c r="R24"/>
      <c r="S24"/>
      <c r="T24"/>
      <c r="U24"/>
      <c r="V24"/>
      <c r="W24"/>
      <c r="X24" s="11">
        <v>1.2678494385909289E-4</v>
      </c>
      <c r="Y24"/>
      <c r="Z24" s="20">
        <v>3.1068041920661926E-2</v>
      </c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0.93000000715255737</v>
      </c>
      <c r="C25">
        <v>4.6497073024511337E-2</v>
      </c>
      <c r="D25" s="231">
        <v>0.10801973938941956</v>
      </c>
      <c r="E25" s="241">
        <v>0.13239535689353943</v>
      </c>
      <c r="F25"/>
      <c r="G25"/>
      <c r="H25"/>
      <c r="I25" s="273">
        <v>0.231808140873909</v>
      </c>
      <c r="J25"/>
      <c r="K25" s="11">
        <v>6.447750492952764E-4</v>
      </c>
      <c r="L25"/>
      <c r="M25" s="278">
        <v>0.41063487529754639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0.81000000238418579</v>
      </c>
      <c r="C26">
        <v>4.0500011295080185E-2</v>
      </c>
      <c r="D26" s="16">
        <v>1.2639994733035564E-2</v>
      </c>
      <c r="E26" s="242">
        <v>9.2641152441501617E-2</v>
      </c>
      <c r="F26"/>
      <c r="G26"/>
      <c r="H26"/>
      <c r="I26"/>
      <c r="J26"/>
      <c r="K26" s="12">
        <v>3.0580209568142891E-3</v>
      </c>
      <c r="L26"/>
      <c r="M26" s="269">
        <v>0.27392172813415527</v>
      </c>
      <c r="N26"/>
      <c r="O26"/>
      <c r="P26"/>
      <c r="Q26"/>
      <c r="R26"/>
      <c r="S26"/>
      <c r="T26"/>
      <c r="U26"/>
      <c r="V26"/>
      <c r="W26" s="257">
        <v>0.10146066546440125</v>
      </c>
      <c r="X26"/>
      <c r="Y26" s="270">
        <v>0.28577840328216553</v>
      </c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0.55000001192092896</v>
      </c>
      <c r="C27">
        <v>2.7498532086610794E-2</v>
      </c>
      <c r="D27" s="27">
        <v>4.1999325156211853E-2</v>
      </c>
      <c r="E27"/>
      <c r="F27"/>
      <c r="G27" s="281">
        <v>0.20337316393852234</v>
      </c>
      <c r="H27"/>
      <c r="I27" s="277">
        <v>0.1155112236738205</v>
      </c>
      <c r="J27"/>
      <c r="K27" s="11">
        <v>1.8222694052383304E-4</v>
      </c>
      <c r="L27"/>
      <c r="M27"/>
      <c r="N27"/>
      <c r="O27" s="245">
        <v>1.3262947089970112E-2</v>
      </c>
      <c r="P27" s="260">
        <v>5.6507106870412827E-2</v>
      </c>
      <c r="Q27"/>
      <c r="R27"/>
      <c r="S27"/>
      <c r="T27"/>
      <c r="U27"/>
      <c r="V27"/>
      <c r="W27" s="227">
        <v>2.1564150229096413E-2</v>
      </c>
      <c r="X27"/>
      <c r="Y27" s="271">
        <v>6.0738496482372284E-2</v>
      </c>
      <c r="Z27" s="19">
        <v>9.3628047034144402E-3</v>
      </c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1.0700000524520874</v>
      </c>
      <c r="C28">
        <v>5.3500141948461533E-2</v>
      </c>
      <c r="D28" s="25">
        <v>3.3415626734495163E-2</v>
      </c>
      <c r="E28" s="28">
        <v>3.7074383348226547E-2</v>
      </c>
      <c r="F28"/>
      <c r="G28"/>
      <c r="H28"/>
      <c r="I28"/>
      <c r="J28"/>
      <c r="K28" s="14">
        <v>2.8569877613335848E-3</v>
      </c>
      <c r="L28"/>
      <c r="M28"/>
      <c r="N28"/>
      <c r="O28"/>
      <c r="P28"/>
      <c r="Q28"/>
      <c r="R28"/>
      <c r="S28"/>
      <c r="T28"/>
      <c r="U28"/>
      <c r="V28"/>
      <c r="W28" s="258">
        <v>4.7842469066381454E-2</v>
      </c>
      <c r="X28" s="242">
        <v>0.12145337462425232</v>
      </c>
      <c r="Y28"/>
      <c r="Z28" s="64">
        <v>2.2221662104129791E-2</v>
      </c>
      <c r="AA28"/>
      <c r="AB28" s="286">
        <v>0.60674959421157837</v>
      </c>
      <c r="AC28" s="272">
        <v>0.14488585293292999</v>
      </c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0.76999998092651367</v>
      </c>
      <c r="C29">
        <v>3.8499642163515091E-2</v>
      </c>
      <c r="D29" s="69">
        <v>3.956962376832962E-2</v>
      </c>
      <c r="E29" s="243">
        <v>0.19037990272045135</v>
      </c>
      <c r="F29"/>
      <c r="G29" s="28">
        <v>2.724158950150013E-2</v>
      </c>
      <c r="H29"/>
      <c r="I29" s="28">
        <v>2.7900924906134605E-2</v>
      </c>
      <c r="J29" s="14">
        <v>1.2244675308465958E-3</v>
      </c>
      <c r="K29" s="11">
        <v>5.5849214550107718E-4</v>
      </c>
      <c r="L29"/>
      <c r="M29" s="255">
        <v>4.3115235865116119E-2</v>
      </c>
      <c r="N29" s="14">
        <v>2.0010611042380333E-3</v>
      </c>
      <c r="O29"/>
      <c r="P29" s="24">
        <v>2.111140638589859E-2</v>
      </c>
      <c r="Q29" s="276">
        <v>7.3822014033794403E-2</v>
      </c>
      <c r="R29"/>
      <c r="S29"/>
      <c r="T29"/>
      <c r="U29"/>
      <c r="V29"/>
      <c r="W29" s="245">
        <v>1.8529953435063362E-2</v>
      </c>
      <c r="X29" s="28">
        <v>2.6979010552167892E-2</v>
      </c>
      <c r="Y29"/>
      <c r="Z29" s="26">
        <v>1.9271548837423325E-2</v>
      </c>
      <c r="AA29"/>
      <c r="AB29" s="244">
        <v>0.18367913365364075</v>
      </c>
      <c r="AC29" s="240">
        <v>5.6115999817848206E-2</v>
      </c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1.3600000143051147</v>
      </c>
      <c r="C30">
        <v>6.7999452352523804E-2</v>
      </c>
      <c r="D30"/>
      <c r="E30" s="67">
        <v>8.4100730717182159E-2</v>
      </c>
      <c r="F30"/>
      <c r="G30" s="25">
        <v>4.2221460491418839E-2</v>
      </c>
      <c r="H30"/>
      <c r="I30" s="265">
        <v>4.4143781065940857E-2</v>
      </c>
      <c r="J30"/>
      <c r="K30" s="11">
        <v>1.3283017324283719E-3</v>
      </c>
      <c r="L30"/>
      <c r="M30" s="275">
        <v>0.11450374871492386</v>
      </c>
      <c r="N30"/>
      <c r="O30" s="64">
        <v>2.9395109042525291E-2</v>
      </c>
      <c r="P30"/>
      <c r="Q30"/>
      <c r="R30"/>
      <c r="S30"/>
      <c r="T30"/>
      <c r="U30"/>
      <c r="V30"/>
      <c r="W30" s="12">
        <v>5.1602260209619999E-3</v>
      </c>
      <c r="X30" s="76">
        <v>8.8022768497467041E-2</v>
      </c>
      <c r="Y30" s="67">
        <v>8.4064461290836334E-2</v>
      </c>
      <c r="Z30" s="19">
        <v>2.4711538106203079E-2</v>
      </c>
      <c r="AA30"/>
      <c r="AB30" s="283">
        <v>0.2958463728427887</v>
      </c>
      <c r="AC30" s="108">
        <v>9.0384334325790405E-2</v>
      </c>
      <c r="AD30"/>
      <c r="AE30"/>
      <c r="AF30"/>
      <c r="AG30" s="14">
        <v>1.7726498190313578E-3</v>
      </c>
      <c r="AH30" s="140">
        <v>0.17550179362297058</v>
      </c>
      <c r="AI30" s="65">
        <v>5.5685140192508698E-2</v>
      </c>
      <c r="AJ30" s="242">
        <v>0.15515816211700439</v>
      </c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1.559999942779541</v>
      </c>
      <c r="C31">
        <v>7.8000105917453766E-2</v>
      </c>
      <c r="D31" s="232">
        <v>0.18363989889621735</v>
      </c>
      <c r="E31" s="14">
        <v>3.1325328163802624E-3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 s="65">
        <v>6.2706530094146729E-2</v>
      </c>
      <c r="X31" s="251">
        <v>0.12992504239082336</v>
      </c>
      <c r="Y31" s="255">
        <v>8.8310934603214264E-2</v>
      </c>
      <c r="Z31" s="21">
        <v>2.9125656932592392E-2</v>
      </c>
      <c r="AA31"/>
      <c r="AB31" s="285">
        <v>0.79525911808013916</v>
      </c>
      <c r="AC31" s="259">
        <v>0.18990010023117065</v>
      </c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1.059999942779541</v>
      </c>
      <c r="C32">
        <v>5.2999947220087051E-2</v>
      </c>
      <c r="D32" s="14">
        <v>1.1453712359070778E-3</v>
      </c>
      <c r="E32" s="244">
        <v>0.25445511937141418</v>
      </c>
      <c r="F32"/>
      <c r="G32" s="245">
        <v>2.5021402165293694E-2</v>
      </c>
      <c r="H32"/>
      <c r="I32" s="18">
        <v>1.2844626791775227E-2</v>
      </c>
      <c r="J32" s="14">
        <v>2.7426441665738821E-3</v>
      </c>
      <c r="K32" s="14">
        <v>1.2878895504400134E-3</v>
      </c>
      <c r="L32" s="11">
        <v>6.0606485931202769E-4</v>
      </c>
      <c r="M32" s="21">
        <v>2.0577168092131615E-2</v>
      </c>
      <c r="N32" s="11">
        <v>8.8428327580913901E-4</v>
      </c>
      <c r="O32" s="19">
        <v>1.8449252471327782E-2</v>
      </c>
      <c r="P32" s="18">
        <v>1.3098313473165035E-2</v>
      </c>
      <c r="Q32" s="287">
        <v>0.13430650532245636</v>
      </c>
      <c r="R32"/>
      <c r="S32"/>
      <c r="T32"/>
      <c r="U32"/>
      <c r="V32"/>
      <c r="W32" s="14">
        <v>1.4463833067566156E-3</v>
      </c>
      <c r="X32" s="25">
        <v>3.2685223966836929E-2</v>
      </c>
      <c r="Y32" s="18">
        <v>1.2454629875719547E-2</v>
      </c>
      <c r="Z32" s="15">
        <v>9.9119069054722786E-3</v>
      </c>
      <c r="AA32"/>
      <c r="AB32" s="259">
        <v>0.12891568243503571</v>
      </c>
      <c r="AC32" s="26">
        <v>2.6781909167766571E-2</v>
      </c>
      <c r="AD32"/>
      <c r="AE32"/>
      <c r="AF32" s="16">
        <v>1.714746281504631E-2</v>
      </c>
      <c r="AG32" s="23">
        <v>5.252564325928688E-3</v>
      </c>
      <c r="AH32" s="265">
        <v>3.6113325506448746E-2</v>
      </c>
      <c r="AI32"/>
      <c r="AJ32" s="254">
        <v>7.2097368538379669E-2</v>
      </c>
      <c r="AK32"/>
      <c r="AL32"/>
      <c r="AM32"/>
      <c r="AN32"/>
      <c r="AO32"/>
      <c r="AP32"/>
      <c r="AQ32" s="78">
        <v>0.17877492308616638</v>
      </c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0.73370462656021118</v>
      </c>
      <c r="C33">
        <v>0.19772392511367798</v>
      </c>
      <c r="D33"/>
      <c r="E33"/>
      <c r="F33"/>
      <c r="G33"/>
      <c r="H33"/>
      <c r="I33"/>
      <c r="J33" s="71">
        <v>5.1714144647121429E-2</v>
      </c>
      <c r="K33" s="244">
        <v>0.17519666254520416</v>
      </c>
      <c r="L33" s="253">
        <v>0.20041625201702118</v>
      </c>
      <c r="M33"/>
      <c r="N33"/>
      <c r="O33"/>
      <c r="P33"/>
      <c r="Q33"/>
      <c r="R33"/>
      <c r="S33"/>
      <c r="T33"/>
      <c r="U33"/>
      <c r="V33"/>
      <c r="W33"/>
      <c r="X33"/>
      <c r="Y33"/>
      <c r="Z33" s="250">
        <v>0.10865361988544464</v>
      </c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0.51999998092651367</v>
      </c>
      <c r="C34">
        <v>2.5999942794442177E-2</v>
      </c>
      <c r="D34"/>
      <c r="E34"/>
      <c r="F34" s="71">
        <v>3.699137270450592E-2</v>
      </c>
      <c r="G34" s="282">
        <v>0.34205150604248047</v>
      </c>
      <c r="H34"/>
      <c r="I34"/>
      <c r="J34" s="25">
        <v>1.6286272555589676E-2</v>
      </c>
      <c r="K34" s="11">
        <v>3.4735066583380103E-4</v>
      </c>
      <c r="L34" s="76">
        <v>3.4145582467317581E-2</v>
      </c>
      <c r="M34"/>
      <c r="N34"/>
      <c r="O34"/>
      <c r="P34"/>
      <c r="Q34"/>
      <c r="R34"/>
      <c r="S34"/>
      <c r="T34"/>
      <c r="U34"/>
      <c r="V34"/>
      <c r="W34"/>
      <c r="X34"/>
      <c r="Y34"/>
      <c r="Z34" s="108">
        <v>3.5156577825546265E-2</v>
      </c>
      <c r="AA34"/>
      <c r="AB34"/>
      <c r="AC34"/>
      <c r="AD34"/>
      <c r="AE34"/>
      <c r="AF34"/>
      <c r="AG34"/>
      <c r="AH34"/>
      <c r="AI34"/>
      <c r="AJ34"/>
      <c r="AK34" s="63">
        <v>2.9021354392170906E-2</v>
      </c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0.5899999737739563</v>
      </c>
      <c r="C35">
        <v>2.9500041157007217E-2</v>
      </c>
      <c r="D35"/>
      <c r="E35"/>
      <c r="F35"/>
      <c r="G35"/>
      <c r="H35"/>
      <c r="I35"/>
      <c r="J35" s="12">
        <v>2.5573829188942909E-3</v>
      </c>
      <c r="K35"/>
      <c r="L35" s="22">
        <v>4.4319108128547668E-3</v>
      </c>
      <c r="M35" s="284">
        <v>0.55292534828186035</v>
      </c>
      <c r="N35" s="14">
        <v>5.8530253591015935E-4</v>
      </c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0.30000001192092896</v>
      </c>
      <c r="C36">
        <v>1.5000004321336746E-2</v>
      </c>
      <c r="D36"/>
      <c r="E36"/>
      <c r="F36" s="259">
        <v>3.6670651286840439E-2</v>
      </c>
      <c r="G36"/>
      <c r="H36"/>
      <c r="I36"/>
      <c r="J36"/>
      <c r="K36"/>
      <c r="L36" s="15">
        <v>2.994428388774395E-3</v>
      </c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 s="256">
        <v>0.2453349232673645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0.80000001192092896</v>
      </c>
      <c r="C37">
        <v>4.0000058710575104E-2</v>
      </c>
      <c r="D37"/>
      <c r="E37"/>
      <c r="F37" s="260">
        <v>8.1803888082504272E-2</v>
      </c>
      <c r="G37"/>
      <c r="H37"/>
      <c r="I37"/>
      <c r="J37"/>
      <c r="K37" s="11">
        <v>2.7110899100080132E-4</v>
      </c>
      <c r="L37" s="254">
        <v>5.523313581943512E-2</v>
      </c>
      <c r="M37"/>
      <c r="N37" s="245">
        <v>1.9167428836226463E-2</v>
      </c>
      <c r="O37"/>
      <c r="P37"/>
      <c r="Q37"/>
      <c r="R37"/>
      <c r="S37"/>
      <c r="T37"/>
      <c r="U37"/>
      <c r="V37"/>
      <c r="W37"/>
      <c r="X37"/>
      <c r="Y37"/>
      <c r="Z37" s="23">
        <v>4.859148059040308E-3</v>
      </c>
      <c r="AA37"/>
      <c r="AB37"/>
      <c r="AC37"/>
      <c r="AD37"/>
      <c r="AE37"/>
      <c r="AF37"/>
      <c r="AG37"/>
      <c r="AH37"/>
      <c r="AI37"/>
      <c r="AJ37"/>
      <c r="AK37" s="76">
        <v>5.1378797739744186E-2</v>
      </c>
      <c r="AL37"/>
      <c r="AM37" s="279">
        <v>0.54728645086288452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2.7200000286102295</v>
      </c>
      <c r="C38">
        <v>2.5997700691223145</v>
      </c>
      <c r="D38"/>
      <c r="E38"/>
      <c r="F38" s="11">
        <v>1.8426926108077168E-3</v>
      </c>
      <c r="G38" s="23">
        <v>1.7276227474212646E-2</v>
      </c>
      <c r="H38"/>
      <c r="I38"/>
      <c r="J38" s="11">
        <v>2.6627536863088608E-4</v>
      </c>
      <c r="K38"/>
      <c r="L38" s="11">
        <v>9.5379829872399569E-4</v>
      </c>
      <c r="M38" s="22">
        <v>1.8846562132239342E-2</v>
      </c>
      <c r="N38" s="11">
        <v>8.4187835454940796E-4</v>
      </c>
      <c r="O38"/>
      <c r="P38"/>
      <c r="Q38"/>
      <c r="R38"/>
      <c r="S38"/>
      <c r="T38"/>
      <c r="U38"/>
      <c r="V38"/>
      <c r="W38"/>
      <c r="X38"/>
      <c r="Y38"/>
      <c r="Z38" s="14">
        <v>4.5077796094119549E-3</v>
      </c>
      <c r="AA38"/>
      <c r="AB38"/>
      <c r="AC38"/>
      <c r="AD38"/>
      <c r="AE38"/>
      <c r="AF38"/>
      <c r="AG38"/>
      <c r="AH38"/>
      <c r="AI38"/>
      <c r="AJ38"/>
      <c r="AK38" s="11">
        <v>6.2810903182253242E-4</v>
      </c>
      <c r="AL38"/>
      <c r="AM38" s="14">
        <v>6.2042181380093098E-3</v>
      </c>
      <c r="AN38"/>
      <c r="AO38" s="15">
        <v>2.9128061607480049E-2</v>
      </c>
      <c r="AP38" s="14">
        <v>6.6498164087533951E-3</v>
      </c>
      <c r="AQ38" s="18">
        <v>3.3084608614444733E-2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2.5</v>
      </c>
      <c r="C39">
        <v>0.1249992847442627</v>
      </c>
      <c r="D39"/>
      <c r="E39" s="14">
        <v>7.1812476962804794E-3</v>
      </c>
      <c r="F39" s="12">
        <v>8.7362565100193024E-3</v>
      </c>
      <c r="G39" s="298">
        <v>1.0074871778488159</v>
      </c>
      <c r="H39"/>
      <c r="I39" s="17">
        <v>3.3782582730054855E-2</v>
      </c>
      <c r="J39" s="12">
        <v>1.0069224983453751E-2</v>
      </c>
      <c r="K39" s="11">
        <v>1.6960928915068507E-3</v>
      </c>
      <c r="L39" s="12">
        <v>8.1284772604703903E-3</v>
      </c>
      <c r="M39" s="21">
        <v>5.1451511681079865E-2</v>
      </c>
      <c r="N39" s="12">
        <v>1.1056255549192429E-2</v>
      </c>
      <c r="O39" s="19">
        <v>4.2863957583904266E-2</v>
      </c>
      <c r="P39" s="227">
        <v>9.9855780601501465E-2</v>
      </c>
      <c r="Q39" s="27">
        <v>0.19208207726478577</v>
      </c>
      <c r="R39"/>
      <c r="S39" s="227">
        <v>9.830687940120697E-2</v>
      </c>
      <c r="T39"/>
      <c r="U39"/>
      <c r="V39"/>
      <c r="W39" s="12">
        <v>8.5305524989962578E-3</v>
      </c>
      <c r="X39" s="23">
        <v>1.636015810072422E-2</v>
      </c>
      <c r="Y39"/>
      <c r="Z39" s="16">
        <v>3.7799321115016937E-2</v>
      </c>
      <c r="AA39"/>
      <c r="AB39" s="64">
        <v>5.3415272384881973E-2</v>
      </c>
      <c r="AC39"/>
      <c r="AD39"/>
      <c r="AE39"/>
      <c r="AF39"/>
      <c r="AG39" s="27">
        <v>0.18999047577381134</v>
      </c>
      <c r="AH39" s="289">
        <v>0.12112177163362503</v>
      </c>
      <c r="AI39"/>
      <c r="AJ39"/>
      <c r="AK39" s="14">
        <v>3.8351721595972776E-3</v>
      </c>
      <c r="AL39" s="11">
        <v>6.4017309341579676E-4</v>
      </c>
      <c r="AM39" s="13">
        <v>9.4607628881931305E-2</v>
      </c>
      <c r="AN39"/>
      <c r="AO39"/>
      <c r="AP39" s="71">
        <v>0.17590232193470001</v>
      </c>
      <c r="AQ39" s="227">
        <v>0.10010010749101639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5.5</v>
      </c>
      <c r="C40">
        <v>0.27499973773956299</v>
      </c>
      <c r="D40" s="11">
        <v>2.2143727983348072E-4</v>
      </c>
      <c r="E40" s="11">
        <v>2.1987785294186324E-4</v>
      </c>
      <c r="F40"/>
      <c r="G40"/>
      <c r="H40"/>
      <c r="I40" s="14">
        <v>1.0242452844977379E-2</v>
      </c>
      <c r="J40" s="11">
        <v>7.0314953336492181E-4</v>
      </c>
      <c r="K40" s="11">
        <v>1.7307318921666592E-4</v>
      </c>
      <c r="L40" s="11">
        <v>3.8958463119342923E-4</v>
      </c>
      <c r="M40" s="12">
        <v>1.7470259219408035E-2</v>
      </c>
      <c r="N40" s="11">
        <v>1.6012503692763858E-5</v>
      </c>
      <c r="O40" s="11">
        <v>6.7950243828818202E-4</v>
      </c>
      <c r="P40" s="12">
        <v>1.9877258688211441E-2</v>
      </c>
      <c r="Q40" s="14">
        <v>1.1436719447374344E-2</v>
      </c>
      <c r="R40" s="227">
        <v>0.21930044889450073</v>
      </c>
      <c r="S40" s="109">
        <v>0.99774515628814697</v>
      </c>
      <c r="T40"/>
      <c r="U40"/>
      <c r="V40" s="21">
        <v>0.1130499541759491</v>
      </c>
      <c r="W40" s="11">
        <v>4.6500419266521931E-3</v>
      </c>
      <c r="X40" s="64">
        <v>0.11818327009677887</v>
      </c>
      <c r="Y40" s="14">
        <v>1.4243811368942261E-2</v>
      </c>
      <c r="Z40" s="12">
        <v>2.1301453933119774E-2</v>
      </c>
      <c r="AA40" s="11">
        <v>4.41541284089908E-4</v>
      </c>
      <c r="AB40" s="140">
        <v>0.71370923519134521</v>
      </c>
      <c r="AC40" s="22">
        <v>4.5943934470415115E-2</v>
      </c>
      <c r="AD40" s="12">
        <v>2.6655007153749466E-2</v>
      </c>
      <c r="AE40" s="11">
        <v>4.8209744272753596E-4</v>
      </c>
      <c r="AF40" s="64">
        <v>0.12288481742143631</v>
      </c>
      <c r="AG40" s="17">
        <v>7.2285756468772888E-2</v>
      </c>
      <c r="AH40" s="64">
        <v>0.11918845027685165</v>
      </c>
      <c r="AI40" s="21">
        <v>0.10326874256134033</v>
      </c>
      <c r="AJ40" s="15">
        <v>5.8460969477891922E-2</v>
      </c>
      <c r="AK40" s="11">
        <v>7.6283834641799331E-4</v>
      </c>
      <c r="AL40" s="14">
        <v>1.3910984620451927E-2</v>
      </c>
      <c r="AM40" s="14">
        <v>9.201832115650177E-3</v>
      </c>
      <c r="AN40"/>
      <c r="AO40" s="14">
        <v>8.7570603936910629E-3</v>
      </c>
      <c r="AP40" s="24">
        <v>0.15410506725311279</v>
      </c>
      <c r="AQ40" s="299">
        <v>1.2250380516052246</v>
      </c>
      <c r="AR40" s="109">
        <v>1</v>
      </c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5</v>
      </c>
      <c r="C41">
        <v>0.24999946355819702</v>
      </c>
      <c r="D41" s="11">
        <v>6.2795961639494635E-6</v>
      </c>
      <c r="E41" s="11">
        <v>5.9656163102772553E-6</v>
      </c>
      <c r="F41"/>
      <c r="G41" s="11">
        <v>3.6786962300539017E-3</v>
      </c>
      <c r="H41"/>
      <c r="I41" s="14">
        <v>1.1210143566131592E-2</v>
      </c>
      <c r="J41" s="11">
        <v>2.811750746332109E-4</v>
      </c>
      <c r="K41" s="11">
        <v>6.9622896262444556E-5</v>
      </c>
      <c r="L41" s="11">
        <v>2.5440199351578485E-6</v>
      </c>
      <c r="M41" s="14">
        <v>5.2763056010007858E-3</v>
      </c>
      <c r="N41" s="11">
        <v>4.7851332055870444E-5</v>
      </c>
      <c r="O41" s="11">
        <v>3.0994700500741601E-4</v>
      </c>
      <c r="P41" s="11">
        <v>1.1600503057707101E-4</v>
      </c>
      <c r="Q41" s="11">
        <v>4.0411940426565707E-4</v>
      </c>
      <c r="R41"/>
      <c r="S41" s="24">
        <v>0.14020796120166779</v>
      </c>
      <c r="T41" s="12">
        <v>1.8900154158473015E-2</v>
      </c>
      <c r="U41" s="17">
        <v>6.3980981707572937E-2</v>
      </c>
      <c r="V41"/>
      <c r="W41"/>
      <c r="X41"/>
      <c r="Y41"/>
      <c r="Z41" s="14">
        <v>7.6234256848692894E-3</v>
      </c>
      <c r="AA41" s="11">
        <v>3.6671999259851873E-4</v>
      </c>
      <c r="AB41" s="21">
        <v>9.9519766867160797E-2</v>
      </c>
      <c r="AC41" s="14">
        <v>9.2505495995283127E-3</v>
      </c>
      <c r="AD41" s="14">
        <v>8.0502508208155632E-3</v>
      </c>
      <c r="AE41" s="11">
        <v>2.2001985926181078E-3</v>
      </c>
      <c r="AF41" s="14">
        <v>8.2516446709632874E-3</v>
      </c>
      <c r="AG41" s="21">
        <v>9.4507358968257904E-2</v>
      </c>
      <c r="AH41" s="22">
        <v>3.9728563278913498E-2</v>
      </c>
      <c r="AI41"/>
      <c r="AJ41" s="13">
        <v>0.18529610335826874</v>
      </c>
      <c r="AK41" s="11">
        <v>5.0282345910090953E-5</v>
      </c>
      <c r="AL41" s="14">
        <v>1.1549732647836208E-2</v>
      </c>
      <c r="AM41"/>
      <c r="AN41" s="12">
        <v>2.2183602675795555E-2</v>
      </c>
      <c r="AO41"/>
      <c r="AP41" s="68">
        <v>0.46382692456245422</v>
      </c>
      <c r="AQ41" s="23">
        <v>3.2933000475168228E-2</v>
      </c>
      <c r="AR41" s="303">
        <v>3.0201644897460938</v>
      </c>
      <c r="AS41" s="142">
        <v>0.5</v>
      </c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10</v>
      </c>
      <c r="C42">
        <v>0.49999892711639404</v>
      </c>
      <c r="D42"/>
      <c r="E42"/>
      <c r="F42" s="23">
        <v>5.054793506860733E-2</v>
      </c>
      <c r="G42"/>
      <c r="H42" s="11">
        <v>3.2969010062515736E-3</v>
      </c>
      <c r="I42" s="11">
        <v>5.5043166503310204E-3</v>
      </c>
      <c r="J42" s="11">
        <v>2.1005852613598108E-4</v>
      </c>
      <c r="K42" s="11">
        <v>4.4501866796053946E-5</v>
      </c>
      <c r="L42" s="11">
        <v>5.8304943377152085E-4</v>
      </c>
      <c r="M42" s="14">
        <v>1.5060305595397949E-2</v>
      </c>
      <c r="N42" s="11">
        <v>5.9855636209249496E-4</v>
      </c>
      <c r="O42" s="11">
        <v>1.7467737197875977E-3</v>
      </c>
      <c r="P42"/>
      <c r="Q42" s="11">
        <v>1.3024886138737202E-3</v>
      </c>
      <c r="R42"/>
      <c r="S42" s="246">
        <v>1.3992815017700195</v>
      </c>
      <c r="T42"/>
      <c r="U42"/>
      <c r="V42" s="17">
        <v>0.14116257429122925</v>
      </c>
      <c r="W42"/>
      <c r="X42"/>
      <c r="Y42"/>
      <c r="Z42" s="11">
        <v>2.5611554738134146E-3</v>
      </c>
      <c r="AA42"/>
      <c r="AB42" s="15">
        <v>9.2754274606704712E-2</v>
      </c>
      <c r="AC42"/>
      <c r="AD42" s="14">
        <v>2.4682147428393364E-2</v>
      </c>
      <c r="AE42" s="15">
        <v>9.8657764494419098E-2</v>
      </c>
      <c r="AF42"/>
      <c r="AG42" s="12">
        <v>4.7950167208909988E-2</v>
      </c>
      <c r="AH42" s="14">
        <v>1.675010472536087E-2</v>
      </c>
      <c r="AI42"/>
      <c r="AJ42" s="22">
        <v>7.3980562388896942E-2</v>
      </c>
      <c r="AK42" s="11">
        <v>8.4032362792640924E-4</v>
      </c>
      <c r="AL42" s="23">
        <v>6.731346994638443E-2</v>
      </c>
      <c r="AM42" s="12">
        <v>3.5604611039161682E-2</v>
      </c>
      <c r="AN42" s="12">
        <v>3.1578458845615387E-2</v>
      </c>
      <c r="AO42" s="14">
        <v>1.8824253231287003E-2</v>
      </c>
      <c r="AP42" s="300">
        <v>2.7803595066070557</v>
      </c>
      <c r="AQ42" s="16">
        <v>0.14943087100982666</v>
      </c>
      <c r="AR42" s="301">
        <v>3.4393742084503174</v>
      </c>
      <c r="AS42"/>
      <c r="AT42" s="142">
        <v>1</v>
      </c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40</v>
      </c>
      <c r="C43">
        <v>2.0000028610229492</v>
      </c>
      <c r="D43"/>
      <c r="E43"/>
      <c r="F43"/>
      <c r="G43"/>
      <c r="H43"/>
      <c r="I43"/>
      <c r="J43"/>
      <c r="K43"/>
      <c r="L43"/>
      <c r="M43"/>
      <c r="N43" s="11">
        <v>7.4277093517594039E-5</v>
      </c>
      <c r="O43" s="11">
        <v>1.1004633270204067E-3</v>
      </c>
      <c r="P43" s="11">
        <v>2.5859829038381577E-3</v>
      </c>
      <c r="Q43" s="11">
        <v>5.3567596478387713E-4</v>
      </c>
      <c r="R43" s="12">
        <v>0.17896375060081482</v>
      </c>
      <c r="S43" s="18">
        <v>0.48015227913856506</v>
      </c>
      <c r="T43" s="64">
        <v>0.87118297815322876</v>
      </c>
      <c r="U43" s="19">
        <v>0.69152176380157471</v>
      </c>
      <c r="V43" s="64">
        <v>0.88702911138534546</v>
      </c>
      <c r="W43"/>
      <c r="X43"/>
      <c r="Y43"/>
      <c r="Z43" s="11">
        <v>9.7230382380075753E-5</v>
      </c>
      <c r="AA43" s="11">
        <v>4.3239240767434239E-4</v>
      </c>
      <c r="AB43"/>
      <c r="AC43"/>
      <c r="AD43" s="11">
        <v>5.0197518430650234E-3</v>
      </c>
      <c r="AE43" s="14">
        <v>4.7035977244377136E-2</v>
      </c>
      <c r="AF43"/>
      <c r="AG43" s="11">
        <v>1.082572340965271E-2</v>
      </c>
      <c r="AH43"/>
      <c r="AI43"/>
      <c r="AJ43" s="14">
        <v>6.2981322407722473E-2</v>
      </c>
      <c r="AK43" s="11">
        <v>4.9126643716590479E-5</v>
      </c>
      <c r="AL43" s="11">
        <v>4.4499668292701244E-3</v>
      </c>
      <c r="AM43" s="11">
        <v>1.1263960041105747E-2</v>
      </c>
      <c r="AN43" s="11">
        <v>1.4985355548560619E-2</v>
      </c>
      <c r="AO43"/>
      <c r="AP43" s="302">
        <v>4.4576525688171387</v>
      </c>
      <c r="AQ43"/>
      <c r="AR43" s="65">
        <v>1.6321330070495605</v>
      </c>
      <c r="AS43" s="149">
        <v>10.132724761962891</v>
      </c>
      <c r="AT43" s="304">
        <v>18.507200241088867</v>
      </c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197</v>
      </c>
      <c r="C44">
        <v>160.29867553710938</v>
      </c>
      <c r="D44"/>
      <c r="E44"/>
      <c r="F44"/>
      <c r="G44"/>
      <c r="H44" s="11">
        <v>2.7661554049700499E-3</v>
      </c>
      <c r="I44"/>
      <c r="J44"/>
      <c r="K44" s="11">
        <v>1.1037682270398363E-6</v>
      </c>
      <c r="L44"/>
      <c r="M44"/>
      <c r="N44"/>
      <c r="O44"/>
      <c r="P44"/>
      <c r="Q44"/>
      <c r="R44"/>
      <c r="S44" s="11">
        <v>0.12745228409767151</v>
      </c>
      <c r="T44" s="11">
        <v>3.5645142197608948E-2</v>
      </c>
      <c r="U44" s="11">
        <v>0.16981182992458344</v>
      </c>
      <c r="V44" s="11">
        <v>6.5928041934967041E-2</v>
      </c>
      <c r="W44"/>
      <c r="X44"/>
      <c r="Y44"/>
      <c r="Z44" s="11">
        <v>3.9566173654748127E-5</v>
      </c>
      <c r="AA44"/>
      <c r="AB44"/>
      <c r="AC44"/>
      <c r="AD44" s="11">
        <v>9.8613032605499029E-4</v>
      </c>
      <c r="AE44" s="11">
        <v>4.1830021888017654E-2</v>
      </c>
      <c r="AF44"/>
      <c r="AG44" s="11">
        <v>4.2855283245444298E-3</v>
      </c>
      <c r="AH44"/>
      <c r="AI44"/>
      <c r="AJ44" s="11">
        <v>2.7347614988684654E-2</v>
      </c>
      <c r="AK44"/>
      <c r="AL44"/>
      <c r="AM44"/>
      <c r="AN44"/>
      <c r="AO44"/>
      <c r="AP44"/>
      <c r="AQ44"/>
      <c r="AR44"/>
      <c r="AS44" s="14">
        <v>0.39811477065086365</v>
      </c>
      <c r="AT44" s="14">
        <v>0.46612048149108887</v>
      </c>
      <c r="AU44" s="268">
        <v>35.361003875732422</v>
      </c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/>
      <c r="C45">
        <v>9.2401899397373199E-2</v>
      </c>
      <c r="D45"/>
      <c r="E45"/>
      <c r="F45"/>
      <c r="G45"/>
      <c r="H45"/>
      <c r="I45"/>
      <c r="J45" s="9">
        <v>1.1445119162090123E-4</v>
      </c>
      <c r="K45" s="9">
        <v>7.4721296550706029E-4</v>
      </c>
      <c r="L45"/>
      <c r="M45"/>
      <c r="N45"/>
      <c r="O45" s="9">
        <v>4.0429596992908046E-5</v>
      </c>
      <c r="P45"/>
      <c r="Q45" s="9">
        <v>4.6626562252640724E-3</v>
      </c>
      <c r="R45"/>
      <c r="S45" s="9">
        <v>0.10480658710002899</v>
      </c>
      <c r="T45" s="9">
        <v>0.16996359825134277</v>
      </c>
      <c r="U45"/>
      <c r="V45" s="9">
        <v>5.894742488861084</v>
      </c>
      <c r="W45"/>
      <c r="X45" s="9">
        <v>2.5423693004995584E-3</v>
      </c>
      <c r="Y45"/>
      <c r="Z45"/>
      <c r="AA45" s="9">
        <v>1.7838134663179517E-3</v>
      </c>
      <c r="AB45"/>
      <c r="AC45"/>
      <c r="AD45" s="9">
        <v>2.3667128756642342E-2</v>
      </c>
      <c r="AE45" s="9">
        <v>0.58615273237228394</v>
      </c>
      <c r="AF45"/>
      <c r="AG45" s="9">
        <v>1.3482562266290188E-2</v>
      </c>
      <c r="AH45" s="9">
        <v>0.2045968621969223</v>
      </c>
      <c r="AI45"/>
      <c r="AJ45" s="9">
        <v>2.3755546659231186E-2</v>
      </c>
      <c r="AK45"/>
      <c r="AL45"/>
      <c r="AM45"/>
      <c r="AN45"/>
      <c r="AO45"/>
      <c r="AP45"/>
      <c r="AQ45"/>
      <c r="AR45" s="9">
        <v>19.237953186035156</v>
      </c>
      <c r="AS45" s="9">
        <v>254.79345703125</v>
      </c>
      <c r="AT45" s="9">
        <v>11.186891555786133</v>
      </c>
      <c r="AU45" s="9">
        <v>94.296005249023438</v>
      </c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/>
      <c r="C46">
        <v>0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9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7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7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9" t="s">
        <v>192</v>
      </c>
      <c r="E5">
        <v>4</v>
      </c>
      <c r="F5">
        <v>3.13</v>
      </c>
      <c r="G5">
        <v>4</v>
      </c>
      <c r="H5" s="200" t="s">
        <v>192</v>
      </c>
      <c r="J5" s="56"/>
      <c r="K5" s="57"/>
    </row>
    <row r="6" spans="1:12" ht="14" thickBot="1" x14ac:dyDescent="0.2">
      <c r="A6" s="40" t="s">
        <v>121</v>
      </c>
      <c r="D6" s="199" t="s">
        <v>193</v>
      </c>
      <c r="E6">
        <v>5</v>
      </c>
      <c r="F6">
        <v>3.13</v>
      </c>
      <c r="G6">
        <v>5</v>
      </c>
      <c r="H6" s="200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9" t="s">
        <v>194</v>
      </c>
      <c r="E7">
        <v>6</v>
      </c>
      <c r="F7">
        <v>3.12</v>
      </c>
      <c r="G7">
        <v>6</v>
      </c>
      <c r="H7" s="200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9" t="s">
        <v>195</v>
      </c>
      <c r="E8">
        <v>7</v>
      </c>
      <c r="F8">
        <v>3.13</v>
      </c>
      <c r="G8">
        <v>7</v>
      </c>
      <c r="H8" s="200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9" t="s">
        <v>196</v>
      </c>
      <c r="E9">
        <v>8</v>
      </c>
      <c r="F9">
        <v>3.22</v>
      </c>
      <c r="G9">
        <v>8</v>
      </c>
      <c r="H9" s="200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9" t="s">
        <v>197</v>
      </c>
      <c r="E10">
        <v>9</v>
      </c>
      <c r="F10">
        <v>3.22</v>
      </c>
      <c r="G10">
        <v>9</v>
      </c>
      <c r="H10" s="200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9" t="s">
        <v>198</v>
      </c>
      <c r="E11">
        <v>10</v>
      </c>
      <c r="F11">
        <v>3.22</v>
      </c>
      <c r="G11">
        <v>10</v>
      </c>
      <c r="H11" s="200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9" t="s">
        <v>199</v>
      </c>
      <c r="E12">
        <v>11</v>
      </c>
      <c r="F12">
        <v>3.22</v>
      </c>
      <c r="G12">
        <v>11</v>
      </c>
      <c r="H12" s="200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9" t="s">
        <v>200</v>
      </c>
      <c r="E13">
        <v>12</v>
      </c>
      <c r="F13">
        <v>3.12</v>
      </c>
      <c r="G13">
        <v>12</v>
      </c>
      <c r="H13" s="200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9" t="s">
        <v>201</v>
      </c>
      <c r="E14">
        <v>13</v>
      </c>
      <c r="F14">
        <v>3.12</v>
      </c>
      <c r="G14">
        <v>13</v>
      </c>
      <c r="H14" s="200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9" t="s">
        <v>202</v>
      </c>
      <c r="E15">
        <v>14</v>
      </c>
      <c r="F15">
        <v>3.1</v>
      </c>
      <c r="G15">
        <v>14</v>
      </c>
      <c r="H15" s="200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9" t="s">
        <v>203</v>
      </c>
      <c r="E16">
        <v>15</v>
      </c>
      <c r="F16">
        <v>3.12</v>
      </c>
      <c r="G16">
        <v>15</v>
      </c>
      <c r="H16" s="200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9" t="s">
        <v>204</v>
      </c>
      <c r="E17">
        <v>16</v>
      </c>
      <c r="F17">
        <v>3.1</v>
      </c>
      <c r="G17">
        <v>16</v>
      </c>
      <c r="H17" s="200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9" t="s">
        <v>205</v>
      </c>
      <c r="E18">
        <v>17</v>
      </c>
      <c r="F18">
        <v>3.1</v>
      </c>
      <c r="G18">
        <v>17</v>
      </c>
      <c r="H18" s="200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9" t="s">
        <v>206</v>
      </c>
      <c r="E19">
        <v>18</v>
      </c>
      <c r="F19">
        <v>3.12</v>
      </c>
      <c r="G19">
        <v>18</v>
      </c>
      <c r="H19" s="200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9" t="s">
        <v>207</v>
      </c>
      <c r="E20">
        <v>19</v>
      </c>
      <c r="F20">
        <v>3.12</v>
      </c>
      <c r="G20">
        <v>19</v>
      </c>
      <c r="H20" s="200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9" t="s">
        <v>208</v>
      </c>
      <c r="E21">
        <v>20</v>
      </c>
      <c r="F21">
        <v>3.12</v>
      </c>
      <c r="G21">
        <v>20</v>
      </c>
      <c r="H21" s="200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9" t="s">
        <v>209</v>
      </c>
      <c r="E22">
        <v>21</v>
      </c>
      <c r="F22">
        <v>3.22</v>
      </c>
      <c r="G22">
        <v>21</v>
      </c>
      <c r="H22" s="200" t="s">
        <v>209</v>
      </c>
    </row>
    <row r="23" spans="1:12" x14ac:dyDescent="0.15">
      <c r="A23" s="35" t="s">
        <v>129</v>
      </c>
      <c r="B23" s="43">
        <v>4</v>
      </c>
      <c r="C23" s="37"/>
      <c r="D23" s="199" t="s">
        <v>210</v>
      </c>
      <c r="E23">
        <v>22</v>
      </c>
      <c r="F23">
        <v>3.22</v>
      </c>
      <c r="G23">
        <v>22</v>
      </c>
      <c r="H23" s="200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9" t="s">
        <v>211</v>
      </c>
      <c r="E24">
        <v>23</v>
      </c>
      <c r="F24">
        <v>3.22</v>
      </c>
      <c r="G24">
        <v>23</v>
      </c>
      <c r="H24" s="200" t="s">
        <v>211</v>
      </c>
    </row>
    <row r="25" spans="1:12" x14ac:dyDescent="0.15">
      <c r="A25" s="35" t="s">
        <v>70</v>
      </c>
      <c r="B25" s="43">
        <v>4.2</v>
      </c>
      <c r="C25" s="37"/>
      <c r="D25" s="199" t="s">
        <v>212</v>
      </c>
      <c r="E25">
        <v>24</v>
      </c>
      <c r="F25">
        <v>3.2</v>
      </c>
      <c r="G25">
        <v>24</v>
      </c>
      <c r="H25" s="200" t="s">
        <v>212</v>
      </c>
    </row>
    <row r="26" spans="1:12" x14ac:dyDescent="0.15">
      <c r="A26" s="35" t="s">
        <v>123</v>
      </c>
      <c r="B26" s="43">
        <v>4.3</v>
      </c>
      <c r="C26" s="37"/>
      <c r="D26" s="199" t="s">
        <v>213</v>
      </c>
      <c r="E26">
        <v>25</v>
      </c>
      <c r="F26">
        <v>3.2</v>
      </c>
      <c r="G26">
        <v>25</v>
      </c>
      <c r="H26" s="200" t="s">
        <v>213</v>
      </c>
    </row>
    <row r="27" spans="1:12" x14ac:dyDescent="0.15">
      <c r="A27" s="35" t="s">
        <v>125</v>
      </c>
      <c r="B27" s="43">
        <v>6.1</v>
      </c>
      <c r="D27" s="199" t="s">
        <v>214</v>
      </c>
      <c r="E27">
        <v>26</v>
      </c>
      <c r="F27">
        <v>3.2</v>
      </c>
      <c r="G27">
        <v>26</v>
      </c>
      <c r="H27" s="200" t="s">
        <v>214</v>
      </c>
    </row>
    <row r="28" spans="1:12" x14ac:dyDescent="0.15">
      <c r="A28" s="35" t="s">
        <v>124</v>
      </c>
      <c r="B28" s="43">
        <v>6.2</v>
      </c>
      <c r="D28" s="199" t="s">
        <v>215</v>
      </c>
      <c r="E28">
        <v>27</v>
      </c>
      <c r="F28">
        <v>3.22</v>
      </c>
      <c r="G28">
        <v>27</v>
      </c>
      <c r="H28" s="200" t="s">
        <v>215</v>
      </c>
    </row>
    <row r="29" spans="1:12" x14ac:dyDescent="0.15">
      <c r="A29" s="35" t="s">
        <v>44</v>
      </c>
      <c r="B29" s="43">
        <v>5</v>
      </c>
      <c r="D29" s="199" t="s">
        <v>216</v>
      </c>
      <c r="E29">
        <v>28</v>
      </c>
      <c r="F29">
        <v>3.22</v>
      </c>
      <c r="G29">
        <v>28</v>
      </c>
      <c r="H29" s="200" t="s">
        <v>216</v>
      </c>
    </row>
    <row r="30" spans="1:12" x14ac:dyDescent="0.15">
      <c r="A30" s="35" t="s">
        <v>73</v>
      </c>
      <c r="B30" s="43">
        <v>7</v>
      </c>
      <c r="D30" s="199" t="s">
        <v>217</v>
      </c>
      <c r="E30">
        <v>29</v>
      </c>
      <c r="F30">
        <v>3.12</v>
      </c>
      <c r="G30">
        <v>29</v>
      </c>
      <c r="H30" s="200" t="s">
        <v>217</v>
      </c>
    </row>
    <row r="31" spans="1:12" x14ac:dyDescent="0.15">
      <c r="A31" s="35" t="s">
        <v>169</v>
      </c>
      <c r="B31" s="43">
        <v>3.14</v>
      </c>
      <c r="D31" s="199" t="s">
        <v>218</v>
      </c>
      <c r="E31">
        <v>30</v>
      </c>
      <c r="F31">
        <v>3.22</v>
      </c>
      <c r="G31">
        <v>30</v>
      </c>
      <c r="H31" s="200" t="s">
        <v>218</v>
      </c>
    </row>
    <row r="32" spans="1:12" ht="12" customHeight="1" thickBot="1" x14ac:dyDescent="0.2">
      <c r="A32" s="41" t="s">
        <v>170</v>
      </c>
      <c r="B32" s="44">
        <v>9</v>
      </c>
      <c r="D32" s="199" t="s">
        <v>219</v>
      </c>
      <c r="E32">
        <v>31</v>
      </c>
      <c r="F32">
        <v>3.2</v>
      </c>
      <c r="G32">
        <v>31</v>
      </c>
      <c r="H32" s="200" t="s">
        <v>219</v>
      </c>
    </row>
    <row r="33" spans="4:8" customFormat="1" ht="12" customHeight="1" x14ac:dyDescent="0.15">
      <c r="D33" s="199" t="s">
        <v>220</v>
      </c>
      <c r="E33">
        <v>32</v>
      </c>
      <c r="F33">
        <v>3.2</v>
      </c>
      <c r="G33">
        <v>32</v>
      </c>
      <c r="H33" s="200" t="s">
        <v>220</v>
      </c>
    </row>
    <row r="34" spans="4:8" customFormat="1" ht="12" customHeight="1" x14ac:dyDescent="0.15">
      <c r="D34" s="199" t="s">
        <v>221</v>
      </c>
      <c r="E34">
        <v>33</v>
      </c>
      <c r="F34">
        <v>3.22</v>
      </c>
      <c r="G34">
        <v>33</v>
      </c>
      <c r="H34" s="200" t="s">
        <v>221</v>
      </c>
    </row>
    <row r="35" spans="4:8" customFormat="1" x14ac:dyDescent="0.15">
      <c r="D35" s="199" t="s">
        <v>222</v>
      </c>
      <c r="E35">
        <v>34</v>
      </c>
      <c r="F35">
        <v>3.2</v>
      </c>
      <c r="G35">
        <v>34</v>
      </c>
      <c r="H35" s="200" t="s">
        <v>222</v>
      </c>
    </row>
    <row r="36" spans="4:8" customFormat="1" x14ac:dyDescent="0.15">
      <c r="D36" s="199" t="s">
        <v>223</v>
      </c>
      <c r="E36">
        <v>35</v>
      </c>
      <c r="F36">
        <v>3.2</v>
      </c>
      <c r="G36">
        <v>35</v>
      </c>
      <c r="H36" s="200" t="s">
        <v>223</v>
      </c>
    </row>
    <row r="37" spans="4:8" customFormat="1" ht="12" customHeight="1" x14ac:dyDescent="0.15">
      <c r="D37" s="199" t="s">
        <v>224</v>
      </c>
      <c r="E37">
        <v>36</v>
      </c>
      <c r="F37">
        <v>3.2</v>
      </c>
      <c r="G37">
        <v>36</v>
      </c>
      <c r="H37" s="200" t="s">
        <v>224</v>
      </c>
    </row>
    <row r="38" spans="4:8" customFormat="1" x14ac:dyDescent="0.15">
      <c r="D38" s="199" t="s">
        <v>225</v>
      </c>
      <c r="E38">
        <v>37</v>
      </c>
      <c r="F38">
        <v>3.2</v>
      </c>
      <c r="G38">
        <v>37</v>
      </c>
      <c r="H38" s="200" t="s">
        <v>225</v>
      </c>
    </row>
    <row r="39" spans="4:8" customFormat="1" x14ac:dyDescent="0.15">
      <c r="D39" s="199" t="s">
        <v>226</v>
      </c>
      <c r="E39">
        <v>38</v>
      </c>
      <c r="F39">
        <v>3.1</v>
      </c>
      <c r="G39">
        <v>38</v>
      </c>
      <c r="H39" s="200" t="s">
        <v>226</v>
      </c>
    </row>
    <row r="40" spans="4:8" customFormat="1" x14ac:dyDescent="0.15">
      <c r="D40" s="199" t="s">
        <v>227</v>
      </c>
      <c r="E40">
        <v>39</v>
      </c>
      <c r="F40">
        <v>3.1</v>
      </c>
      <c r="G40">
        <v>39</v>
      </c>
      <c r="H40" s="200" t="s">
        <v>227</v>
      </c>
    </row>
    <row r="41" spans="4:8" customFormat="1" x14ac:dyDescent="0.15">
      <c r="D41" s="199" t="s">
        <v>228</v>
      </c>
      <c r="E41">
        <v>40</v>
      </c>
      <c r="F41">
        <v>3.12</v>
      </c>
      <c r="G41">
        <v>40</v>
      </c>
      <c r="H41" s="200" t="s">
        <v>228</v>
      </c>
    </row>
    <row r="42" spans="4:8" customFormat="1" x14ac:dyDescent="0.15">
      <c r="D42" s="199" t="s">
        <v>229</v>
      </c>
      <c r="E42">
        <v>41</v>
      </c>
      <c r="F42">
        <v>3.12</v>
      </c>
      <c r="G42">
        <v>41</v>
      </c>
      <c r="H42" s="200" t="s">
        <v>229</v>
      </c>
    </row>
    <row r="43" spans="4:8" customFormat="1" x14ac:dyDescent="0.15">
      <c r="D43" s="199" t="s">
        <v>230</v>
      </c>
      <c r="E43">
        <v>42</v>
      </c>
      <c r="F43">
        <v>3</v>
      </c>
      <c r="G43">
        <v>42</v>
      </c>
      <c r="H43" s="200" t="s">
        <v>230</v>
      </c>
    </row>
    <row r="44" spans="4:8" customFormat="1" x14ac:dyDescent="0.15">
      <c r="D44" s="199" t="s">
        <v>231</v>
      </c>
      <c r="E44">
        <v>43</v>
      </c>
      <c r="F44">
        <v>3.21</v>
      </c>
      <c r="G44">
        <v>43</v>
      </c>
      <c r="H44" s="200" t="s">
        <v>231</v>
      </c>
    </row>
    <row r="45" spans="4:8" customFormat="1" x14ac:dyDescent="0.15">
      <c r="D45" s="199" t="s">
        <v>232</v>
      </c>
      <c r="E45">
        <v>44</v>
      </c>
      <c r="F45">
        <v>3.11</v>
      </c>
      <c r="G45">
        <v>44</v>
      </c>
      <c r="H45" s="200" t="s">
        <v>232</v>
      </c>
    </row>
    <row r="46" spans="4:8" customFormat="1" x14ac:dyDescent="0.15">
      <c r="D46" s="199" t="s">
        <v>233</v>
      </c>
      <c r="E46">
        <v>45</v>
      </c>
      <c r="F46">
        <v>3.11</v>
      </c>
      <c r="G46">
        <v>45</v>
      </c>
      <c r="H46" s="200" t="s">
        <v>233</v>
      </c>
    </row>
    <row r="47" spans="4:8" customFormat="1" x14ac:dyDescent="0.15">
      <c r="D47" s="199" t="s">
        <v>234</v>
      </c>
      <c r="E47">
        <v>46</v>
      </c>
      <c r="F47">
        <v>2</v>
      </c>
      <c r="G47">
        <v>46</v>
      </c>
      <c r="H47" s="200" t="s">
        <v>234</v>
      </c>
    </row>
    <row r="48" spans="4:8" customFormat="1" x14ac:dyDescent="0.15">
      <c r="D48" s="199" t="s">
        <v>235</v>
      </c>
      <c r="E48">
        <v>47</v>
      </c>
      <c r="F48">
        <v>4.0999999999999996</v>
      </c>
      <c r="G48">
        <v>47</v>
      </c>
      <c r="H48" s="200" t="s">
        <v>235</v>
      </c>
    </row>
    <row r="49" spans="4:8" customFormat="1" x14ac:dyDescent="0.15">
      <c r="D49" s="199" t="s">
        <v>236</v>
      </c>
      <c r="E49">
        <v>48</v>
      </c>
      <c r="F49">
        <v>4.3</v>
      </c>
      <c r="G49">
        <v>48</v>
      </c>
      <c r="H49" s="200" t="s">
        <v>236</v>
      </c>
    </row>
    <row r="50" spans="4:8" customFormat="1" ht="12" customHeight="1" x14ac:dyDescent="0.15">
      <c r="D50" s="199" t="s">
        <v>237</v>
      </c>
      <c r="E50">
        <v>49</v>
      </c>
      <c r="F50">
        <v>5</v>
      </c>
      <c r="G50">
        <v>49</v>
      </c>
      <c r="H50" s="200" t="s">
        <v>237</v>
      </c>
    </row>
    <row r="51" spans="4:8" customFormat="1" x14ac:dyDescent="0.15">
      <c r="D51" s="199" t="s">
        <v>238</v>
      </c>
      <c r="E51">
        <v>50</v>
      </c>
      <c r="F51">
        <v>5</v>
      </c>
      <c r="G51">
        <v>50</v>
      </c>
      <c r="H51" s="200" t="s">
        <v>238</v>
      </c>
    </row>
    <row r="52" spans="4:8" customFormat="1" ht="12" customHeight="1" x14ac:dyDescent="0.15">
      <c r="D52" s="199" t="s">
        <v>138</v>
      </c>
      <c r="E52">
        <v>51</v>
      </c>
      <c r="F52">
        <v>6.1</v>
      </c>
      <c r="G52">
        <v>51</v>
      </c>
      <c r="H52" s="200" t="s">
        <v>138</v>
      </c>
    </row>
    <row r="53" spans="4:8" customFormat="1" x14ac:dyDescent="0.15">
      <c r="D53" s="199" t="s">
        <v>45</v>
      </c>
      <c r="E53">
        <v>52</v>
      </c>
      <c r="F53">
        <v>6.2</v>
      </c>
      <c r="G53">
        <v>52</v>
      </c>
      <c r="H53" s="200" t="s">
        <v>45</v>
      </c>
    </row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4" bestFit="1" customWidth="1"/>
    <col min="2" max="2" width="3.83203125" style="83" customWidth="1"/>
    <col min="3" max="3" width="16.5" style="83" customWidth="1"/>
    <col min="4" max="4" width="39.6640625" style="83" customWidth="1"/>
    <col min="5" max="5" width="8.1640625" style="83" customWidth="1"/>
    <col min="6" max="6" width="27.5" style="83" bestFit="1" customWidth="1"/>
    <col min="7" max="9" width="2.33203125" style="83" customWidth="1"/>
    <col min="10" max="10" width="2.33203125" style="83" bestFit="1" customWidth="1"/>
    <col min="11" max="15" width="2.33203125" style="83" customWidth="1"/>
    <col min="16" max="16" width="2.33203125" style="72" customWidth="1"/>
    <col min="17" max="17" width="2.33203125" style="83" customWidth="1"/>
    <col min="18" max="18" width="2.33203125" style="73" customWidth="1"/>
    <col min="19" max="16384" width="11.5" style="83"/>
  </cols>
  <sheetData>
    <row r="1" spans="1:23" ht="15" customHeight="1" thickBot="1" x14ac:dyDescent="0.2">
      <c r="F1" s="1"/>
      <c r="G1" s="70" t="s">
        <v>46</v>
      </c>
      <c r="H1" s="70" t="s">
        <v>47</v>
      </c>
      <c r="I1" s="70" t="s">
        <v>120</v>
      </c>
      <c r="J1" s="70" t="s">
        <v>132</v>
      </c>
      <c r="K1" s="85" t="s">
        <v>48</v>
      </c>
      <c r="L1" s="73"/>
      <c r="M1" s="85" t="s">
        <v>119</v>
      </c>
      <c r="N1" s="73"/>
      <c r="O1" s="85" t="s">
        <v>49</v>
      </c>
      <c r="P1" s="75"/>
      <c r="Q1" s="85" t="s">
        <v>50</v>
      </c>
      <c r="R1" s="70" t="s">
        <v>154</v>
      </c>
    </row>
    <row r="2" spans="1:23" ht="15" customHeight="1" x14ac:dyDescent="0.15">
      <c r="A2" s="85" t="s">
        <v>51</v>
      </c>
      <c r="B2" s="86">
        <v>0.5</v>
      </c>
      <c r="C2" s="84" t="s">
        <v>52</v>
      </c>
      <c r="D2" s="87"/>
      <c r="F2" s="1"/>
      <c r="G2" s="88"/>
      <c r="H2" s="88"/>
      <c r="I2" s="88" t="s">
        <v>133</v>
      </c>
      <c r="J2" s="88" t="s">
        <v>133</v>
      </c>
      <c r="K2" s="88" t="s">
        <v>52</v>
      </c>
      <c r="L2" s="88" t="s">
        <v>53</v>
      </c>
      <c r="M2" s="88" t="s">
        <v>52</v>
      </c>
      <c r="N2" s="88" t="s">
        <v>53</v>
      </c>
      <c r="O2" s="88" t="s">
        <v>52</v>
      </c>
      <c r="P2" s="89" t="s">
        <v>53</v>
      </c>
      <c r="Q2" s="88"/>
      <c r="R2" s="90" t="s">
        <v>155</v>
      </c>
    </row>
    <row r="3" spans="1:23" ht="15" customHeight="1" thickBot="1" x14ac:dyDescent="0.2">
      <c r="A3" s="85" t="s">
        <v>54</v>
      </c>
      <c r="B3" s="91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9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9">
        <v>0</v>
      </c>
      <c r="R4" s="111">
        <v>0</v>
      </c>
    </row>
    <row r="5" spans="1:23" ht="15" customHeight="1" x14ac:dyDescent="0.15">
      <c r="A5" s="85" t="s">
        <v>55</v>
      </c>
      <c r="B5" s="92">
        <v>0.5</v>
      </c>
      <c r="C5" s="84" t="s">
        <v>52</v>
      </c>
      <c r="D5" s="8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9">
        <v>0</v>
      </c>
      <c r="R5" s="111">
        <v>0</v>
      </c>
    </row>
    <row r="6" spans="1:23" ht="15" customHeight="1" thickBot="1" x14ac:dyDescent="0.2">
      <c r="A6" s="85"/>
      <c r="B6" s="93">
        <v>0.5</v>
      </c>
      <c r="C6" s="84" t="s">
        <v>53</v>
      </c>
      <c r="D6" s="87"/>
      <c r="F6" s="201" t="s">
        <v>192</v>
      </c>
      <c r="G6" s="83">
        <v>0</v>
      </c>
      <c r="H6" s="83">
        <v>0</v>
      </c>
      <c r="I6" s="83">
        <v>0</v>
      </c>
      <c r="J6" s="83">
        <v>0</v>
      </c>
      <c r="K6" s="83">
        <v>1</v>
      </c>
      <c r="L6" s="83">
        <v>0</v>
      </c>
      <c r="M6" s="83">
        <v>1</v>
      </c>
      <c r="N6" s="83">
        <v>0</v>
      </c>
      <c r="O6" s="83">
        <v>1</v>
      </c>
      <c r="P6" s="72">
        <v>0</v>
      </c>
      <c r="Q6" s="83">
        <v>0</v>
      </c>
      <c r="R6" s="73">
        <v>1</v>
      </c>
      <c r="S6"/>
      <c r="T6"/>
    </row>
    <row r="7" spans="1:23" ht="15" customHeight="1" thickBot="1" x14ac:dyDescent="0.2">
      <c r="F7" s="201" t="s">
        <v>193</v>
      </c>
      <c r="G7" s="83">
        <v>0</v>
      </c>
      <c r="H7" s="83">
        <v>0</v>
      </c>
      <c r="I7" s="83">
        <v>0</v>
      </c>
      <c r="J7" s="83">
        <v>0</v>
      </c>
      <c r="K7" s="83">
        <v>1</v>
      </c>
      <c r="L7" s="83">
        <v>0</v>
      </c>
      <c r="M7" s="83">
        <v>1</v>
      </c>
      <c r="N7" s="83">
        <v>0</v>
      </c>
      <c r="O7" s="83">
        <v>1</v>
      </c>
      <c r="P7" s="72">
        <v>0</v>
      </c>
      <c r="Q7" s="83">
        <v>0</v>
      </c>
      <c r="R7" s="73">
        <v>1</v>
      </c>
      <c r="S7"/>
      <c r="T7"/>
    </row>
    <row r="8" spans="1:23" ht="15" customHeight="1" x14ac:dyDescent="0.15">
      <c r="A8" s="85" t="s">
        <v>56</v>
      </c>
      <c r="B8" s="92">
        <v>1</v>
      </c>
      <c r="C8" s="202" t="s">
        <v>234</v>
      </c>
      <c r="D8" s="87" t="s">
        <v>160</v>
      </c>
      <c r="F8" s="201" t="s">
        <v>194</v>
      </c>
      <c r="G8" s="83">
        <v>0</v>
      </c>
      <c r="H8" s="83">
        <v>0</v>
      </c>
      <c r="I8" s="83">
        <v>0</v>
      </c>
      <c r="J8" s="83">
        <v>0</v>
      </c>
      <c r="K8" s="83">
        <v>1</v>
      </c>
      <c r="L8" s="83">
        <v>0</v>
      </c>
      <c r="M8" s="83">
        <v>1</v>
      </c>
      <c r="N8" s="83">
        <v>0</v>
      </c>
      <c r="O8" s="83">
        <v>1</v>
      </c>
      <c r="P8" s="72">
        <v>0</v>
      </c>
      <c r="Q8" s="83">
        <v>0</v>
      </c>
      <c r="R8" s="73">
        <v>1</v>
      </c>
      <c r="S8"/>
      <c r="T8"/>
      <c r="W8"/>
    </row>
    <row r="9" spans="1:23" ht="15" customHeight="1" x14ac:dyDescent="0.15">
      <c r="A9" s="125" t="s">
        <v>168</v>
      </c>
      <c r="B9" s="94"/>
      <c r="C9" s="82"/>
      <c r="D9" s="87" t="s">
        <v>160</v>
      </c>
      <c r="F9" s="201" t="s">
        <v>195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1</v>
      </c>
      <c r="N9" s="83">
        <v>0</v>
      </c>
      <c r="O9" s="83">
        <v>1</v>
      </c>
      <c r="P9" s="72">
        <v>0</v>
      </c>
      <c r="Q9" s="83">
        <v>0</v>
      </c>
      <c r="R9" s="73">
        <v>1</v>
      </c>
      <c r="S9"/>
      <c r="T9"/>
      <c r="W9"/>
    </row>
    <row r="10" spans="1:23" ht="15" customHeight="1" x14ac:dyDescent="0.15">
      <c r="B10" s="94"/>
      <c r="C10" s="82"/>
      <c r="D10" s="87" t="s">
        <v>160</v>
      </c>
      <c r="F10" s="201" t="s">
        <v>196</v>
      </c>
      <c r="G10" s="83">
        <v>0</v>
      </c>
      <c r="H10" s="83">
        <v>0</v>
      </c>
      <c r="I10" s="83">
        <v>0</v>
      </c>
      <c r="J10" s="83">
        <v>0</v>
      </c>
      <c r="K10" s="83">
        <v>1</v>
      </c>
      <c r="L10" s="83">
        <v>0</v>
      </c>
      <c r="M10" s="83">
        <v>1</v>
      </c>
      <c r="N10" s="83">
        <v>0</v>
      </c>
      <c r="O10" s="83">
        <v>1</v>
      </c>
      <c r="P10" s="72">
        <v>0</v>
      </c>
      <c r="Q10" s="83">
        <v>0</v>
      </c>
      <c r="R10" s="73">
        <v>1</v>
      </c>
      <c r="S10"/>
      <c r="T10"/>
      <c r="W10"/>
    </row>
    <row r="11" spans="1:23" ht="15" customHeight="1" x14ac:dyDescent="0.15">
      <c r="A11" s="85"/>
      <c r="B11" s="94"/>
      <c r="C11" s="97"/>
      <c r="D11" s="87" t="s">
        <v>160</v>
      </c>
      <c r="F11" s="201" t="s">
        <v>197</v>
      </c>
      <c r="G11" s="83">
        <v>0</v>
      </c>
      <c r="H11" s="83">
        <v>0</v>
      </c>
      <c r="I11" s="83">
        <v>0</v>
      </c>
      <c r="J11" s="83">
        <v>0</v>
      </c>
      <c r="K11" s="83">
        <v>1</v>
      </c>
      <c r="L11" s="83">
        <v>0</v>
      </c>
      <c r="M11" s="83">
        <v>1</v>
      </c>
      <c r="N11" s="83">
        <v>0</v>
      </c>
      <c r="O11" s="83">
        <v>1</v>
      </c>
      <c r="P11" s="72">
        <v>0</v>
      </c>
      <c r="Q11" s="83">
        <v>0</v>
      </c>
      <c r="R11" s="73">
        <v>1</v>
      </c>
      <c r="S11"/>
      <c r="T11"/>
      <c r="W11"/>
    </row>
    <row r="12" spans="1:23" ht="15" customHeight="1" x14ac:dyDescent="0.15">
      <c r="B12" s="94"/>
      <c r="C12" s="98"/>
      <c r="D12" s="87" t="s">
        <v>160</v>
      </c>
      <c r="F12" s="201" t="s">
        <v>198</v>
      </c>
      <c r="G12" s="83">
        <v>0</v>
      </c>
      <c r="H12" s="83">
        <v>0</v>
      </c>
      <c r="I12" s="83">
        <v>0</v>
      </c>
      <c r="J12" s="83">
        <v>0</v>
      </c>
      <c r="K12" s="83">
        <v>1</v>
      </c>
      <c r="L12" s="83">
        <v>0</v>
      </c>
      <c r="M12" s="83">
        <v>1</v>
      </c>
      <c r="N12" s="83">
        <v>0</v>
      </c>
      <c r="O12" s="83">
        <v>1</v>
      </c>
      <c r="P12" s="72">
        <v>0</v>
      </c>
      <c r="Q12" s="83">
        <v>0</v>
      </c>
      <c r="R12" s="73">
        <v>1</v>
      </c>
      <c r="S12"/>
      <c r="T12"/>
      <c r="W12"/>
    </row>
    <row r="13" spans="1:23" ht="15" customHeight="1" x14ac:dyDescent="0.15">
      <c r="B13" s="94"/>
      <c r="C13" s="98"/>
      <c r="D13" s="87" t="s">
        <v>160</v>
      </c>
      <c r="F13" s="201" t="s">
        <v>199</v>
      </c>
      <c r="G13" s="83">
        <v>0</v>
      </c>
      <c r="H13" s="83">
        <v>0</v>
      </c>
      <c r="I13" s="83">
        <v>0</v>
      </c>
      <c r="J13" s="83">
        <v>0</v>
      </c>
      <c r="K13" s="83">
        <v>1</v>
      </c>
      <c r="L13" s="83">
        <v>0</v>
      </c>
      <c r="M13" s="83">
        <v>1</v>
      </c>
      <c r="N13" s="83">
        <v>0</v>
      </c>
      <c r="O13" s="83">
        <v>1</v>
      </c>
      <c r="P13" s="72">
        <v>0</v>
      </c>
      <c r="Q13" s="83">
        <v>0</v>
      </c>
      <c r="R13" s="73">
        <v>1</v>
      </c>
      <c r="S13"/>
      <c r="T13"/>
      <c r="W13"/>
    </row>
    <row r="14" spans="1:23" ht="15" customHeight="1" x14ac:dyDescent="0.15">
      <c r="B14" s="94"/>
      <c r="C14" s="82"/>
      <c r="D14" s="87" t="s">
        <v>160</v>
      </c>
      <c r="F14" s="201" t="s">
        <v>200</v>
      </c>
      <c r="G14" s="83">
        <v>0</v>
      </c>
      <c r="H14" s="83">
        <v>0</v>
      </c>
      <c r="I14" s="83">
        <v>0</v>
      </c>
      <c r="J14" s="83">
        <v>0</v>
      </c>
      <c r="K14" s="83">
        <v>1</v>
      </c>
      <c r="L14" s="83">
        <v>0</v>
      </c>
      <c r="M14" s="83">
        <v>1</v>
      </c>
      <c r="N14" s="83">
        <v>0</v>
      </c>
      <c r="O14" s="83">
        <v>1</v>
      </c>
      <c r="P14" s="72">
        <v>0</v>
      </c>
      <c r="Q14" s="83">
        <v>0</v>
      </c>
      <c r="R14" s="73">
        <v>1</v>
      </c>
      <c r="S14"/>
      <c r="T14"/>
      <c r="W14"/>
    </row>
    <row r="15" spans="1:23" ht="15" customHeight="1" x14ac:dyDescent="0.15">
      <c r="B15" s="94"/>
      <c r="C15" s="82"/>
      <c r="D15" s="87" t="s">
        <v>160</v>
      </c>
      <c r="F15" s="201" t="s">
        <v>201</v>
      </c>
      <c r="G15" s="83">
        <v>0</v>
      </c>
      <c r="H15" s="83">
        <v>0</v>
      </c>
      <c r="I15" s="83">
        <v>0</v>
      </c>
      <c r="J15" s="83">
        <v>0</v>
      </c>
      <c r="K15" s="83">
        <v>1</v>
      </c>
      <c r="L15" s="83">
        <v>0</v>
      </c>
      <c r="M15" s="83">
        <v>1</v>
      </c>
      <c r="N15" s="83">
        <v>0</v>
      </c>
      <c r="O15" s="83">
        <v>1</v>
      </c>
      <c r="P15" s="72">
        <v>0</v>
      </c>
      <c r="Q15" s="83">
        <v>0</v>
      </c>
      <c r="R15" s="73">
        <v>1</v>
      </c>
      <c r="S15"/>
      <c r="T15"/>
      <c r="W15"/>
    </row>
    <row r="16" spans="1:23" ht="15" customHeight="1" x14ac:dyDescent="0.15">
      <c r="B16" s="94"/>
      <c r="C16" s="82"/>
      <c r="D16" s="87" t="s">
        <v>160</v>
      </c>
      <c r="F16" s="201" t="s">
        <v>202</v>
      </c>
      <c r="G16" s="83">
        <v>0</v>
      </c>
      <c r="H16" s="83">
        <v>0</v>
      </c>
      <c r="I16" s="83">
        <v>0</v>
      </c>
      <c r="J16" s="83">
        <v>0</v>
      </c>
      <c r="K16" s="83">
        <v>1</v>
      </c>
      <c r="L16" s="83">
        <v>0</v>
      </c>
      <c r="M16" s="83">
        <v>1</v>
      </c>
      <c r="N16" s="83">
        <v>0</v>
      </c>
      <c r="O16" s="83">
        <v>1</v>
      </c>
      <c r="P16" s="72">
        <v>0</v>
      </c>
      <c r="Q16" s="83">
        <v>0</v>
      </c>
      <c r="R16" s="73">
        <v>1</v>
      </c>
      <c r="S16"/>
      <c r="T16"/>
    </row>
    <row r="17" spans="1:20" ht="15" customHeight="1" thickBot="1" x14ac:dyDescent="0.2">
      <c r="B17" s="93"/>
      <c r="C17" s="82"/>
      <c r="D17" s="87" t="s">
        <v>160</v>
      </c>
      <c r="F17" s="201" t="s">
        <v>203</v>
      </c>
      <c r="G17" s="83">
        <v>0</v>
      </c>
      <c r="H17" s="83">
        <v>0</v>
      </c>
      <c r="I17" s="83">
        <v>0</v>
      </c>
      <c r="J17" s="83">
        <v>0</v>
      </c>
      <c r="K17" s="83">
        <v>1</v>
      </c>
      <c r="L17" s="83">
        <v>0</v>
      </c>
      <c r="M17" s="83">
        <v>1</v>
      </c>
      <c r="N17" s="83">
        <v>0</v>
      </c>
      <c r="O17" s="83">
        <v>1</v>
      </c>
      <c r="P17" s="72">
        <v>0</v>
      </c>
      <c r="Q17" s="83">
        <v>0</v>
      </c>
      <c r="R17" s="73">
        <v>1</v>
      </c>
      <c r="S17"/>
      <c r="T17"/>
    </row>
    <row r="18" spans="1:20" ht="15" customHeight="1" thickBot="1" x14ac:dyDescent="0.2">
      <c r="B18" s="95"/>
      <c r="F18" s="201" t="s">
        <v>204</v>
      </c>
      <c r="G18" s="83">
        <v>0</v>
      </c>
      <c r="H18" s="83">
        <v>0</v>
      </c>
      <c r="I18" s="83">
        <v>0</v>
      </c>
      <c r="J18" s="83">
        <v>0</v>
      </c>
      <c r="K18" s="83">
        <v>1</v>
      </c>
      <c r="L18" s="83">
        <v>0</v>
      </c>
      <c r="M18" s="83">
        <v>1</v>
      </c>
      <c r="N18" s="83">
        <v>0</v>
      </c>
      <c r="O18" s="83">
        <v>1</v>
      </c>
      <c r="P18" s="72">
        <v>0</v>
      </c>
      <c r="Q18" s="83">
        <v>0</v>
      </c>
      <c r="R18" s="73">
        <v>1</v>
      </c>
      <c r="S18"/>
      <c r="T18"/>
    </row>
    <row r="19" spans="1:20" ht="15" customHeight="1" x14ac:dyDescent="0.15">
      <c r="A19" s="85" t="s">
        <v>57</v>
      </c>
      <c r="B19" s="92">
        <v>1</v>
      </c>
      <c r="C19" s="203" t="s">
        <v>234</v>
      </c>
      <c r="D19" s="87" t="s">
        <v>160</v>
      </c>
      <c r="F19" s="201" t="s">
        <v>205</v>
      </c>
      <c r="G19" s="83">
        <v>0</v>
      </c>
      <c r="H19" s="83">
        <v>0</v>
      </c>
      <c r="I19" s="83">
        <v>0</v>
      </c>
      <c r="J19" s="83">
        <v>0</v>
      </c>
      <c r="K19" s="83">
        <v>1</v>
      </c>
      <c r="L19" s="83">
        <v>0</v>
      </c>
      <c r="M19" s="83">
        <v>1</v>
      </c>
      <c r="N19" s="83">
        <v>0</v>
      </c>
      <c r="O19" s="83">
        <v>1</v>
      </c>
      <c r="P19" s="72">
        <v>0</v>
      </c>
      <c r="Q19" s="83">
        <v>0</v>
      </c>
      <c r="R19" s="73">
        <v>1</v>
      </c>
      <c r="S19"/>
      <c r="T19"/>
    </row>
    <row r="20" spans="1:20" ht="15" customHeight="1" x14ac:dyDescent="0.15">
      <c r="A20" s="125" t="s">
        <v>168</v>
      </c>
      <c r="B20" s="94"/>
      <c r="C20" s="82"/>
      <c r="D20" s="87" t="s">
        <v>160</v>
      </c>
      <c r="F20" s="201" t="s">
        <v>206</v>
      </c>
      <c r="G20" s="83">
        <v>0</v>
      </c>
      <c r="H20" s="83">
        <v>0</v>
      </c>
      <c r="I20" s="83">
        <v>0</v>
      </c>
      <c r="J20" s="83">
        <v>0</v>
      </c>
      <c r="K20" s="83">
        <v>1</v>
      </c>
      <c r="L20" s="83">
        <v>0</v>
      </c>
      <c r="M20" s="83">
        <v>1</v>
      </c>
      <c r="N20" s="83">
        <v>0</v>
      </c>
      <c r="O20" s="83">
        <v>1</v>
      </c>
      <c r="P20" s="72">
        <v>0</v>
      </c>
      <c r="Q20" s="83">
        <v>0</v>
      </c>
      <c r="R20" s="73">
        <v>1</v>
      </c>
      <c r="S20"/>
      <c r="T20"/>
    </row>
    <row r="21" spans="1:20" ht="15" customHeight="1" x14ac:dyDescent="0.15">
      <c r="B21" s="94"/>
      <c r="C21" s="82"/>
      <c r="D21" s="87" t="s">
        <v>160</v>
      </c>
      <c r="F21" s="201" t="s">
        <v>207</v>
      </c>
      <c r="G21" s="83">
        <v>0</v>
      </c>
      <c r="H21" s="83">
        <v>0</v>
      </c>
      <c r="I21" s="83">
        <v>0</v>
      </c>
      <c r="J21" s="83">
        <v>0</v>
      </c>
      <c r="K21" s="83">
        <v>1</v>
      </c>
      <c r="L21" s="83">
        <v>0</v>
      </c>
      <c r="M21" s="83">
        <v>1</v>
      </c>
      <c r="N21" s="83">
        <v>0</v>
      </c>
      <c r="O21" s="83">
        <v>1</v>
      </c>
      <c r="P21" s="72">
        <v>0</v>
      </c>
      <c r="Q21" s="83">
        <v>0</v>
      </c>
      <c r="R21" s="73">
        <v>1</v>
      </c>
      <c r="S21"/>
      <c r="T21"/>
    </row>
    <row r="22" spans="1:20" ht="15" customHeight="1" x14ac:dyDescent="0.15">
      <c r="A22" s="83"/>
      <c r="B22" s="94"/>
      <c r="C22" s="97"/>
      <c r="D22" s="87" t="s">
        <v>160</v>
      </c>
      <c r="F22" s="201" t="s">
        <v>208</v>
      </c>
      <c r="G22" s="83">
        <v>0</v>
      </c>
      <c r="H22" s="83">
        <v>0</v>
      </c>
      <c r="I22" s="83">
        <v>0</v>
      </c>
      <c r="J22" s="83">
        <v>0</v>
      </c>
      <c r="K22" s="83">
        <v>1</v>
      </c>
      <c r="L22" s="83">
        <v>0</v>
      </c>
      <c r="M22" s="83">
        <v>1</v>
      </c>
      <c r="N22" s="83">
        <v>0</v>
      </c>
      <c r="O22" s="83">
        <v>1</v>
      </c>
      <c r="P22" s="72">
        <v>0</v>
      </c>
      <c r="Q22" s="83">
        <v>0</v>
      </c>
      <c r="R22" s="73">
        <v>1</v>
      </c>
      <c r="S22"/>
      <c r="T22"/>
    </row>
    <row r="23" spans="1:20" ht="15" customHeight="1" x14ac:dyDescent="0.15">
      <c r="A23" s="83"/>
      <c r="B23" s="94"/>
      <c r="C23" s="98"/>
      <c r="D23" s="87" t="s">
        <v>160</v>
      </c>
      <c r="F23" s="201" t="s">
        <v>209</v>
      </c>
      <c r="G23" s="83">
        <v>0</v>
      </c>
      <c r="H23" s="83">
        <v>0</v>
      </c>
      <c r="I23" s="83">
        <v>0</v>
      </c>
      <c r="J23" s="83">
        <v>0</v>
      </c>
      <c r="K23" s="83">
        <v>1</v>
      </c>
      <c r="L23" s="83">
        <v>0</v>
      </c>
      <c r="M23" s="83">
        <v>1</v>
      </c>
      <c r="N23" s="83">
        <v>0</v>
      </c>
      <c r="O23" s="83">
        <v>1</v>
      </c>
      <c r="P23" s="72">
        <v>0</v>
      </c>
      <c r="Q23" s="83">
        <v>0</v>
      </c>
      <c r="R23" s="73">
        <v>1</v>
      </c>
      <c r="S23"/>
      <c r="T23"/>
    </row>
    <row r="24" spans="1:20" ht="15" customHeight="1" x14ac:dyDescent="0.15">
      <c r="A24" s="83"/>
      <c r="B24" s="94"/>
      <c r="C24" s="98"/>
      <c r="D24" s="87" t="s">
        <v>160</v>
      </c>
      <c r="F24" s="201" t="s">
        <v>210</v>
      </c>
      <c r="G24" s="83">
        <v>0</v>
      </c>
      <c r="H24" s="83">
        <v>0</v>
      </c>
      <c r="I24" s="83">
        <v>0</v>
      </c>
      <c r="J24" s="83">
        <v>0</v>
      </c>
      <c r="K24" s="83">
        <v>1</v>
      </c>
      <c r="L24" s="83">
        <v>0</v>
      </c>
      <c r="M24" s="83">
        <v>1</v>
      </c>
      <c r="N24" s="83">
        <v>0</v>
      </c>
      <c r="O24" s="83">
        <v>1</v>
      </c>
      <c r="P24" s="72">
        <v>0</v>
      </c>
      <c r="Q24" s="83">
        <v>0</v>
      </c>
      <c r="R24" s="73">
        <v>1</v>
      </c>
      <c r="S24"/>
      <c r="T24"/>
    </row>
    <row r="25" spans="1:20" ht="15" customHeight="1" x14ac:dyDescent="0.15">
      <c r="A25" s="83"/>
      <c r="B25" s="94"/>
      <c r="C25" s="82"/>
      <c r="D25" s="87" t="s">
        <v>160</v>
      </c>
      <c r="F25" s="201" t="s">
        <v>211</v>
      </c>
      <c r="G25" s="83">
        <v>0</v>
      </c>
      <c r="H25" s="83">
        <v>0</v>
      </c>
      <c r="I25" s="83">
        <v>0</v>
      </c>
      <c r="J25" s="83">
        <v>0</v>
      </c>
      <c r="K25" s="83">
        <v>1</v>
      </c>
      <c r="L25" s="83">
        <v>0</v>
      </c>
      <c r="M25" s="83">
        <v>1</v>
      </c>
      <c r="N25" s="83">
        <v>0</v>
      </c>
      <c r="O25" s="83">
        <v>1</v>
      </c>
      <c r="P25" s="72">
        <v>0</v>
      </c>
      <c r="Q25" s="83">
        <v>0</v>
      </c>
      <c r="R25" s="73">
        <v>1</v>
      </c>
      <c r="S25"/>
      <c r="T25"/>
    </row>
    <row r="26" spans="1:20" ht="15" customHeight="1" x14ac:dyDescent="0.15">
      <c r="B26" s="94"/>
      <c r="C26" s="82"/>
      <c r="D26" s="87" t="s">
        <v>160</v>
      </c>
      <c r="F26" s="201" t="s">
        <v>212</v>
      </c>
      <c r="G26" s="83">
        <v>0</v>
      </c>
      <c r="H26" s="83">
        <v>0</v>
      </c>
      <c r="I26" s="83">
        <v>0</v>
      </c>
      <c r="J26" s="83">
        <v>0</v>
      </c>
      <c r="K26" s="83">
        <v>1</v>
      </c>
      <c r="L26" s="83">
        <v>0</v>
      </c>
      <c r="M26" s="83">
        <v>1</v>
      </c>
      <c r="N26" s="83">
        <v>0</v>
      </c>
      <c r="O26" s="83">
        <v>1</v>
      </c>
      <c r="P26" s="72">
        <v>0</v>
      </c>
      <c r="Q26" s="83">
        <v>0</v>
      </c>
      <c r="R26" s="73">
        <v>1</v>
      </c>
      <c r="S26"/>
      <c r="T26"/>
    </row>
    <row r="27" spans="1:20" ht="15" customHeight="1" x14ac:dyDescent="0.15">
      <c r="B27" s="94"/>
      <c r="C27" s="82"/>
      <c r="D27" s="87" t="s">
        <v>160</v>
      </c>
      <c r="F27" s="201" t="s">
        <v>213</v>
      </c>
      <c r="G27" s="83">
        <v>0</v>
      </c>
      <c r="H27" s="83">
        <v>0</v>
      </c>
      <c r="I27" s="83">
        <v>0</v>
      </c>
      <c r="J27" s="83">
        <v>0</v>
      </c>
      <c r="K27" s="83">
        <v>1</v>
      </c>
      <c r="L27" s="83">
        <v>0</v>
      </c>
      <c r="M27" s="83">
        <v>1</v>
      </c>
      <c r="N27" s="83">
        <v>0</v>
      </c>
      <c r="O27" s="83">
        <v>1</v>
      </c>
      <c r="P27" s="72">
        <v>0</v>
      </c>
      <c r="Q27" s="83">
        <v>0</v>
      </c>
      <c r="R27" s="73">
        <v>1</v>
      </c>
      <c r="S27"/>
      <c r="T27"/>
    </row>
    <row r="28" spans="1:20" ht="15" customHeight="1" thickBot="1" x14ac:dyDescent="0.2">
      <c r="B28" s="93"/>
      <c r="C28" s="82"/>
      <c r="D28" s="87" t="s">
        <v>160</v>
      </c>
      <c r="F28" s="201" t="s">
        <v>214</v>
      </c>
      <c r="G28" s="83">
        <v>0</v>
      </c>
      <c r="H28" s="83">
        <v>0</v>
      </c>
      <c r="I28" s="83">
        <v>0</v>
      </c>
      <c r="J28" s="83">
        <v>0</v>
      </c>
      <c r="K28" s="83">
        <v>1</v>
      </c>
      <c r="L28" s="83">
        <v>0</v>
      </c>
      <c r="M28" s="83">
        <v>1</v>
      </c>
      <c r="N28" s="83">
        <v>0</v>
      </c>
      <c r="O28" s="83">
        <v>1</v>
      </c>
      <c r="P28" s="72">
        <v>0</v>
      </c>
      <c r="Q28" s="83">
        <v>0</v>
      </c>
      <c r="R28" s="73">
        <v>1</v>
      </c>
      <c r="S28"/>
      <c r="T28"/>
    </row>
    <row r="29" spans="1:20" ht="15" customHeight="1" x14ac:dyDescent="0.15">
      <c r="F29" s="201" t="s">
        <v>215</v>
      </c>
      <c r="G29" s="83">
        <v>0</v>
      </c>
      <c r="H29" s="83">
        <v>0</v>
      </c>
      <c r="I29" s="83">
        <v>0</v>
      </c>
      <c r="J29" s="83">
        <v>0</v>
      </c>
      <c r="K29" s="83">
        <v>1</v>
      </c>
      <c r="L29" s="83">
        <v>0</v>
      </c>
      <c r="M29" s="83">
        <v>1</v>
      </c>
      <c r="N29" s="83">
        <v>0</v>
      </c>
      <c r="O29" s="83">
        <v>1</v>
      </c>
      <c r="P29" s="72">
        <v>0</v>
      </c>
      <c r="Q29" s="83">
        <v>0</v>
      </c>
      <c r="R29" s="73">
        <v>1</v>
      </c>
      <c r="S29"/>
      <c r="T29"/>
    </row>
    <row r="30" spans="1:20" ht="15" customHeight="1" x14ac:dyDescent="0.15">
      <c r="F30" s="201" t="s">
        <v>216</v>
      </c>
      <c r="G30" s="83">
        <v>0</v>
      </c>
      <c r="H30" s="83">
        <v>0</v>
      </c>
      <c r="I30" s="83">
        <v>0</v>
      </c>
      <c r="J30" s="83">
        <v>0</v>
      </c>
      <c r="K30" s="83">
        <v>1</v>
      </c>
      <c r="L30" s="83">
        <v>0</v>
      </c>
      <c r="M30" s="83">
        <v>1</v>
      </c>
      <c r="N30" s="83">
        <v>0</v>
      </c>
      <c r="O30" s="83">
        <v>1</v>
      </c>
      <c r="P30" s="72">
        <v>0</v>
      </c>
      <c r="Q30" s="83">
        <v>0</v>
      </c>
      <c r="R30" s="73">
        <v>1</v>
      </c>
      <c r="S30"/>
      <c r="T30"/>
    </row>
    <row r="31" spans="1:20" ht="15" customHeight="1" x14ac:dyDescent="0.15">
      <c r="A31" s="126"/>
      <c r="B31" s="137" t="s">
        <v>17</v>
      </c>
      <c r="C31" s="137" t="s">
        <v>1</v>
      </c>
      <c r="D31" s="137" t="s">
        <v>161</v>
      </c>
      <c r="E31" s="138" t="s">
        <v>163</v>
      </c>
      <c r="F31" s="201" t="s">
        <v>217</v>
      </c>
      <c r="G31" s="83">
        <v>0</v>
      </c>
      <c r="H31" s="83">
        <v>0</v>
      </c>
      <c r="I31" s="83">
        <v>0</v>
      </c>
      <c r="J31" s="83">
        <v>0</v>
      </c>
      <c r="K31" s="83">
        <v>1</v>
      </c>
      <c r="L31" s="83">
        <v>0</v>
      </c>
      <c r="M31" s="83">
        <v>1</v>
      </c>
      <c r="N31" s="83">
        <v>0</v>
      </c>
      <c r="O31" s="83">
        <v>1</v>
      </c>
      <c r="P31" s="72">
        <v>0</v>
      </c>
      <c r="Q31" s="83">
        <v>0</v>
      </c>
      <c r="R31" s="73">
        <v>1</v>
      </c>
      <c r="S31"/>
      <c r="T31"/>
    </row>
    <row r="32" spans="1:20" ht="15" customHeight="1" x14ac:dyDescent="0.15">
      <c r="A32" s="204" t="s">
        <v>234</v>
      </c>
      <c r="B32" s="95">
        <v>24</v>
      </c>
      <c r="C32" s="95">
        <v>197</v>
      </c>
      <c r="D32" s="95">
        <v>4728</v>
      </c>
      <c r="E32" s="128">
        <v>1</v>
      </c>
      <c r="F32" s="201" t="s">
        <v>218</v>
      </c>
      <c r="G32" s="83">
        <v>0</v>
      </c>
      <c r="H32" s="83">
        <v>0</v>
      </c>
      <c r="I32" s="83">
        <v>0</v>
      </c>
      <c r="J32" s="83">
        <v>0</v>
      </c>
      <c r="K32" s="83">
        <v>1</v>
      </c>
      <c r="L32" s="83">
        <v>0</v>
      </c>
      <c r="M32" s="83">
        <v>1</v>
      </c>
      <c r="N32" s="83">
        <v>0</v>
      </c>
      <c r="O32" s="83">
        <v>1</v>
      </c>
      <c r="P32" s="72">
        <v>0</v>
      </c>
      <c r="Q32" s="83">
        <v>0</v>
      </c>
      <c r="R32" s="73">
        <v>1</v>
      </c>
      <c r="S32"/>
      <c r="T32"/>
    </row>
    <row r="33" spans="1:20" ht="15" customHeight="1" x14ac:dyDescent="0.15">
      <c r="A33" s="127"/>
      <c r="B33" s="95"/>
      <c r="C33" s="95"/>
      <c r="D33" s="95"/>
      <c r="E33" s="128"/>
      <c r="F33" s="201" t="s">
        <v>219</v>
      </c>
      <c r="G33" s="83">
        <v>0</v>
      </c>
      <c r="H33" s="83">
        <v>0</v>
      </c>
      <c r="I33" s="83">
        <v>0</v>
      </c>
      <c r="J33" s="83">
        <v>0</v>
      </c>
      <c r="K33" s="83">
        <v>1</v>
      </c>
      <c r="L33" s="83">
        <v>0</v>
      </c>
      <c r="M33" s="83">
        <v>1</v>
      </c>
      <c r="N33" s="83">
        <v>0</v>
      </c>
      <c r="O33" s="83">
        <v>1</v>
      </c>
      <c r="P33" s="72">
        <v>0</v>
      </c>
      <c r="Q33" s="83">
        <v>0</v>
      </c>
      <c r="R33" s="73">
        <v>1</v>
      </c>
      <c r="S33"/>
      <c r="T33"/>
    </row>
    <row r="34" spans="1:20" ht="15" customHeight="1" x14ac:dyDescent="0.15">
      <c r="A34" s="129"/>
      <c r="B34" s="95"/>
      <c r="C34" s="95"/>
      <c r="D34" s="95"/>
      <c r="E34" s="128"/>
      <c r="F34" s="201" t="s">
        <v>220</v>
      </c>
      <c r="G34" s="83">
        <v>0</v>
      </c>
      <c r="H34" s="83">
        <v>0</v>
      </c>
      <c r="I34" s="83">
        <v>0</v>
      </c>
      <c r="J34" s="83">
        <v>0</v>
      </c>
      <c r="K34" s="83">
        <v>1</v>
      </c>
      <c r="L34" s="83">
        <v>0</v>
      </c>
      <c r="M34" s="83">
        <v>1</v>
      </c>
      <c r="N34" s="83">
        <v>0</v>
      </c>
      <c r="O34" s="83">
        <v>1</v>
      </c>
      <c r="P34" s="72">
        <v>0</v>
      </c>
      <c r="Q34" s="83">
        <v>0</v>
      </c>
      <c r="R34" s="73">
        <v>1</v>
      </c>
      <c r="S34"/>
      <c r="T34"/>
    </row>
    <row r="35" spans="1:20" ht="15" customHeight="1" x14ac:dyDescent="0.15">
      <c r="A35" s="130"/>
      <c r="B35" s="95"/>
      <c r="C35" s="95"/>
      <c r="D35" s="95"/>
      <c r="E35" s="128"/>
      <c r="F35" s="201" t="s">
        <v>221</v>
      </c>
      <c r="G35" s="83">
        <v>0</v>
      </c>
      <c r="H35" s="83">
        <v>0</v>
      </c>
      <c r="I35" s="83">
        <v>0</v>
      </c>
      <c r="J35" s="83">
        <v>0</v>
      </c>
      <c r="K35" s="83">
        <v>1</v>
      </c>
      <c r="L35" s="83">
        <v>0</v>
      </c>
      <c r="M35" s="83">
        <v>1</v>
      </c>
      <c r="N35" s="83">
        <v>0</v>
      </c>
      <c r="O35" s="83">
        <v>1</v>
      </c>
      <c r="P35" s="72">
        <v>0</v>
      </c>
      <c r="Q35" s="83">
        <v>0</v>
      </c>
      <c r="R35" s="73">
        <v>1</v>
      </c>
      <c r="S35"/>
      <c r="T35"/>
    </row>
    <row r="36" spans="1:20" ht="15" customHeight="1" x14ac:dyDescent="0.15">
      <c r="A36" s="131"/>
      <c r="B36" s="95"/>
      <c r="C36" s="95"/>
      <c r="D36" s="95"/>
      <c r="E36" s="128"/>
      <c r="F36" s="201" t="s">
        <v>222</v>
      </c>
      <c r="G36" s="83">
        <v>0</v>
      </c>
      <c r="H36" s="83">
        <v>0</v>
      </c>
      <c r="I36" s="83">
        <v>0</v>
      </c>
      <c r="J36" s="83">
        <v>0</v>
      </c>
      <c r="K36" s="83">
        <v>1</v>
      </c>
      <c r="L36" s="83">
        <v>0</v>
      </c>
      <c r="M36" s="83">
        <v>1</v>
      </c>
      <c r="N36" s="83">
        <v>0</v>
      </c>
      <c r="O36" s="83">
        <v>1</v>
      </c>
      <c r="P36" s="72">
        <v>0</v>
      </c>
      <c r="Q36" s="83">
        <v>0</v>
      </c>
      <c r="R36" s="73">
        <v>1</v>
      </c>
      <c r="S36"/>
      <c r="T36"/>
    </row>
    <row r="37" spans="1:20" ht="15" customHeight="1" x14ac:dyDescent="0.15">
      <c r="A37" s="131"/>
      <c r="B37" s="95"/>
      <c r="C37" s="95"/>
      <c r="D37" s="95"/>
      <c r="E37" s="128"/>
      <c r="F37" s="201" t="s">
        <v>223</v>
      </c>
      <c r="G37" s="83">
        <v>0</v>
      </c>
      <c r="H37" s="83">
        <v>0</v>
      </c>
      <c r="I37" s="83">
        <v>0</v>
      </c>
      <c r="J37" s="83">
        <v>0</v>
      </c>
      <c r="K37" s="83">
        <v>1</v>
      </c>
      <c r="L37" s="83">
        <v>0</v>
      </c>
      <c r="M37" s="83">
        <v>1</v>
      </c>
      <c r="N37" s="83">
        <v>0</v>
      </c>
      <c r="O37" s="83">
        <v>1</v>
      </c>
      <c r="P37" s="72">
        <v>0</v>
      </c>
      <c r="Q37" s="83">
        <v>0</v>
      </c>
      <c r="R37" s="73">
        <v>1</v>
      </c>
      <c r="S37"/>
      <c r="T37"/>
    </row>
    <row r="38" spans="1:20" ht="15" customHeight="1" x14ac:dyDescent="0.15">
      <c r="A38" s="132"/>
      <c r="B38" s="95"/>
      <c r="C38" s="95"/>
      <c r="D38" s="95"/>
      <c r="E38" s="128"/>
      <c r="F38" s="201" t="s">
        <v>224</v>
      </c>
      <c r="G38" s="83">
        <v>0</v>
      </c>
      <c r="H38" s="83">
        <v>0</v>
      </c>
      <c r="I38" s="83">
        <v>0</v>
      </c>
      <c r="J38" s="83">
        <v>0</v>
      </c>
      <c r="K38" s="83">
        <v>1</v>
      </c>
      <c r="L38" s="83">
        <v>0</v>
      </c>
      <c r="M38" s="83">
        <v>1</v>
      </c>
      <c r="N38" s="83">
        <v>0</v>
      </c>
      <c r="O38" s="83">
        <v>1</v>
      </c>
      <c r="P38" s="72">
        <v>0</v>
      </c>
      <c r="Q38" s="83">
        <v>0</v>
      </c>
      <c r="R38" s="73">
        <v>1</v>
      </c>
      <c r="S38"/>
      <c r="T38"/>
    </row>
    <row r="39" spans="1:20" ht="15" customHeight="1" x14ac:dyDescent="0.15">
      <c r="A39" s="132"/>
      <c r="B39" s="95"/>
      <c r="C39" s="95"/>
      <c r="D39" s="95"/>
      <c r="E39" s="128"/>
      <c r="F39" s="201" t="s">
        <v>225</v>
      </c>
      <c r="G39" s="83">
        <v>0</v>
      </c>
      <c r="H39" s="83">
        <v>0</v>
      </c>
      <c r="I39" s="83">
        <v>0</v>
      </c>
      <c r="J39" s="83">
        <v>0</v>
      </c>
      <c r="K39" s="83">
        <v>1</v>
      </c>
      <c r="L39" s="83">
        <v>0</v>
      </c>
      <c r="M39" s="83">
        <v>1</v>
      </c>
      <c r="N39" s="83">
        <v>0</v>
      </c>
      <c r="O39" s="83">
        <v>1</v>
      </c>
      <c r="P39" s="72">
        <v>0</v>
      </c>
      <c r="Q39" s="83">
        <v>0</v>
      </c>
      <c r="R39" s="73">
        <v>1</v>
      </c>
      <c r="S39"/>
      <c r="T39"/>
    </row>
    <row r="40" spans="1:20" ht="15" customHeight="1" x14ac:dyDescent="0.15">
      <c r="A40" s="132"/>
      <c r="B40" s="95"/>
      <c r="C40" s="95"/>
      <c r="D40" s="95"/>
      <c r="E40" s="128"/>
      <c r="F40" s="201" t="s">
        <v>226</v>
      </c>
      <c r="G40" s="83">
        <v>0</v>
      </c>
      <c r="H40" s="83">
        <v>0</v>
      </c>
      <c r="I40" s="83">
        <v>0</v>
      </c>
      <c r="J40" s="83">
        <v>0</v>
      </c>
      <c r="K40" s="83">
        <v>1</v>
      </c>
      <c r="L40" s="83">
        <v>0</v>
      </c>
      <c r="M40" s="83">
        <v>1</v>
      </c>
      <c r="N40" s="83">
        <v>0</v>
      </c>
      <c r="O40" s="83">
        <v>1</v>
      </c>
      <c r="P40" s="72">
        <v>0</v>
      </c>
      <c r="Q40" s="83">
        <v>0</v>
      </c>
      <c r="R40" s="73">
        <v>1</v>
      </c>
      <c r="S40"/>
      <c r="T40"/>
    </row>
    <row r="41" spans="1:20" ht="15" customHeight="1" thickBot="1" x14ac:dyDescent="0.2">
      <c r="A41" s="132"/>
      <c r="B41" s="95"/>
      <c r="C41" s="95"/>
      <c r="D41" s="96"/>
      <c r="E41" s="133"/>
      <c r="F41" s="201" t="s">
        <v>227</v>
      </c>
      <c r="G41" s="83">
        <v>0</v>
      </c>
      <c r="H41" s="83">
        <v>0</v>
      </c>
      <c r="I41" s="83">
        <v>0</v>
      </c>
      <c r="J41" s="83">
        <v>0</v>
      </c>
      <c r="K41" s="83">
        <v>1</v>
      </c>
      <c r="L41" s="83">
        <v>0</v>
      </c>
      <c r="M41" s="83">
        <v>1</v>
      </c>
      <c r="N41" s="83">
        <v>0</v>
      </c>
      <c r="O41" s="83">
        <v>1</v>
      </c>
      <c r="P41" s="72">
        <v>0</v>
      </c>
      <c r="Q41" s="83">
        <v>0</v>
      </c>
      <c r="R41" s="73">
        <v>1</v>
      </c>
      <c r="S41"/>
      <c r="T41"/>
    </row>
    <row r="42" spans="1:20" ht="15" customHeight="1" x14ac:dyDescent="0.15">
      <c r="A42" s="134"/>
      <c r="B42" s="135"/>
      <c r="C42" s="135" t="s">
        <v>162</v>
      </c>
      <c r="D42" s="135">
        <f>SUM(D32:D41)</f>
        <v>4728</v>
      </c>
      <c r="E42" s="136">
        <f>SUM(E32:E41)</f>
        <v>1</v>
      </c>
      <c r="F42" s="201" t="s">
        <v>228</v>
      </c>
      <c r="G42" s="83">
        <v>0</v>
      </c>
      <c r="H42" s="83">
        <v>0</v>
      </c>
      <c r="I42" s="83">
        <v>0</v>
      </c>
      <c r="J42" s="83">
        <v>0</v>
      </c>
      <c r="K42" s="83">
        <v>1</v>
      </c>
      <c r="L42" s="83">
        <v>0</v>
      </c>
      <c r="M42" s="83">
        <v>1</v>
      </c>
      <c r="N42" s="83">
        <v>0</v>
      </c>
      <c r="O42" s="83">
        <v>1</v>
      </c>
      <c r="P42" s="72">
        <v>0</v>
      </c>
      <c r="Q42" s="83">
        <v>0</v>
      </c>
      <c r="R42" s="73">
        <v>1</v>
      </c>
      <c r="S42"/>
      <c r="T42"/>
    </row>
    <row r="43" spans="1:20" ht="15" customHeight="1" x14ac:dyDescent="0.15">
      <c r="A43" s="83"/>
      <c r="F43" s="201" t="s">
        <v>229</v>
      </c>
      <c r="G43" s="83">
        <v>0</v>
      </c>
      <c r="H43" s="83">
        <v>0</v>
      </c>
      <c r="I43" s="83">
        <v>0</v>
      </c>
      <c r="J43" s="83">
        <v>0</v>
      </c>
      <c r="K43" s="83">
        <v>1</v>
      </c>
      <c r="L43" s="83">
        <v>0</v>
      </c>
      <c r="M43" s="83">
        <v>1</v>
      </c>
      <c r="N43" s="83">
        <v>0</v>
      </c>
      <c r="O43" s="83">
        <v>1</v>
      </c>
      <c r="P43" s="72">
        <v>0</v>
      </c>
      <c r="Q43" s="83">
        <v>0</v>
      </c>
      <c r="R43" s="73">
        <v>1</v>
      </c>
      <c r="S43"/>
      <c r="T43"/>
    </row>
    <row r="44" spans="1:20" ht="15" customHeight="1" x14ac:dyDescent="0.15">
      <c r="A44" s="83"/>
      <c r="F44" s="201" t="s">
        <v>230</v>
      </c>
      <c r="G44" s="83">
        <v>0</v>
      </c>
      <c r="H44" s="83">
        <v>0</v>
      </c>
      <c r="I44" s="83">
        <v>0</v>
      </c>
      <c r="J44" s="83">
        <v>0</v>
      </c>
      <c r="K44" s="83">
        <v>1</v>
      </c>
      <c r="L44" s="83">
        <v>0</v>
      </c>
      <c r="M44" s="83">
        <v>1</v>
      </c>
      <c r="N44" s="83">
        <v>0</v>
      </c>
      <c r="O44" s="83">
        <v>1</v>
      </c>
      <c r="P44" s="72">
        <v>0</v>
      </c>
      <c r="Q44" s="83">
        <v>0</v>
      </c>
      <c r="R44" s="73">
        <v>1</v>
      </c>
    </row>
    <row r="45" spans="1:20" ht="15" customHeight="1" x14ac:dyDescent="0.15">
      <c r="A45" s="83"/>
      <c r="F45" s="201" t="s">
        <v>231</v>
      </c>
      <c r="G45" s="83">
        <v>0</v>
      </c>
      <c r="H45" s="83">
        <v>0</v>
      </c>
      <c r="I45" s="83">
        <v>0</v>
      </c>
      <c r="J45" s="83">
        <v>0</v>
      </c>
      <c r="K45" s="83">
        <v>1</v>
      </c>
      <c r="L45" s="83">
        <v>0</v>
      </c>
      <c r="M45" s="83">
        <v>1</v>
      </c>
      <c r="N45" s="83">
        <v>0</v>
      </c>
      <c r="O45" s="83">
        <v>1</v>
      </c>
      <c r="P45" s="72">
        <v>0</v>
      </c>
      <c r="Q45" s="83">
        <v>0</v>
      </c>
      <c r="R45" s="73">
        <v>1</v>
      </c>
    </row>
    <row r="46" spans="1:20" ht="15" customHeight="1" x14ac:dyDescent="0.15">
      <c r="A46" s="83"/>
      <c r="F46" s="201" t="s">
        <v>232</v>
      </c>
      <c r="G46" s="83">
        <v>0</v>
      </c>
      <c r="H46" s="83">
        <v>0</v>
      </c>
      <c r="I46" s="83">
        <v>0</v>
      </c>
      <c r="J46" s="83">
        <v>0</v>
      </c>
      <c r="K46" s="83">
        <v>1</v>
      </c>
      <c r="L46" s="83">
        <v>0</v>
      </c>
      <c r="M46" s="83">
        <v>1</v>
      </c>
      <c r="N46" s="83">
        <v>0</v>
      </c>
      <c r="O46" s="83">
        <v>1</v>
      </c>
      <c r="P46" s="72">
        <v>0</v>
      </c>
      <c r="Q46" s="83">
        <v>0</v>
      </c>
      <c r="R46" s="73">
        <v>1</v>
      </c>
    </row>
    <row r="47" spans="1:20" ht="15" customHeight="1" x14ac:dyDescent="0.15">
      <c r="A47" s="83"/>
      <c r="F47" s="201" t="s">
        <v>233</v>
      </c>
      <c r="G47" s="83">
        <v>0</v>
      </c>
      <c r="H47" s="83">
        <v>0</v>
      </c>
      <c r="I47" s="83">
        <v>0</v>
      </c>
      <c r="J47" s="83">
        <v>0</v>
      </c>
      <c r="K47" s="83">
        <v>1</v>
      </c>
      <c r="L47" s="83">
        <v>0</v>
      </c>
      <c r="M47" s="83">
        <v>1</v>
      </c>
      <c r="N47" s="83">
        <v>0</v>
      </c>
      <c r="O47" s="83">
        <v>1</v>
      </c>
      <c r="P47" s="72">
        <v>0</v>
      </c>
      <c r="Q47" s="83">
        <v>0</v>
      </c>
      <c r="R47" s="73">
        <v>1</v>
      </c>
    </row>
    <row r="48" spans="1:20" ht="15" customHeight="1" x14ac:dyDescent="0.15">
      <c r="A48" s="83"/>
      <c r="F48" s="201" t="s">
        <v>234</v>
      </c>
      <c r="G48" s="83">
        <v>0</v>
      </c>
      <c r="H48" s="83">
        <v>0</v>
      </c>
      <c r="I48" s="83">
        <v>0</v>
      </c>
      <c r="J48" s="83">
        <v>0</v>
      </c>
      <c r="K48" s="83">
        <v>0</v>
      </c>
      <c r="L48" s="83">
        <v>0</v>
      </c>
      <c r="M48" s="83">
        <v>1</v>
      </c>
      <c r="N48" s="83">
        <v>0</v>
      </c>
      <c r="O48" s="83">
        <v>0</v>
      </c>
      <c r="P48" s="72">
        <v>0</v>
      </c>
      <c r="Q48" s="83">
        <v>0</v>
      </c>
      <c r="R48" s="73">
        <v>1</v>
      </c>
    </row>
    <row r="49" spans="6:18" s="83" customFormat="1" ht="15" customHeight="1" x14ac:dyDescent="0.15">
      <c r="F49" s="201" t="s">
        <v>235</v>
      </c>
      <c r="G49" s="83">
        <v>0</v>
      </c>
      <c r="H49" s="83">
        <v>0</v>
      </c>
      <c r="I49" s="83">
        <v>0</v>
      </c>
      <c r="J49" s="83">
        <v>0</v>
      </c>
      <c r="K49" s="83">
        <v>0</v>
      </c>
      <c r="L49" s="83">
        <v>1</v>
      </c>
      <c r="M49" s="83">
        <v>0</v>
      </c>
      <c r="N49" s="83">
        <v>1</v>
      </c>
      <c r="O49" s="83">
        <v>0</v>
      </c>
      <c r="P49" s="72">
        <v>1</v>
      </c>
      <c r="Q49" s="83">
        <v>0</v>
      </c>
      <c r="R49" s="73">
        <v>1</v>
      </c>
    </row>
    <row r="50" spans="6:18" s="83" customFormat="1" ht="15" customHeight="1" x14ac:dyDescent="0.15">
      <c r="F50" s="201" t="s">
        <v>236</v>
      </c>
      <c r="G50" s="83">
        <v>0</v>
      </c>
      <c r="H50" s="83">
        <v>0</v>
      </c>
      <c r="I50" s="83">
        <v>0</v>
      </c>
      <c r="J50" s="83">
        <v>0</v>
      </c>
      <c r="K50" s="83">
        <v>0</v>
      </c>
      <c r="L50" s="83">
        <v>1</v>
      </c>
      <c r="M50" s="83">
        <v>0</v>
      </c>
      <c r="N50" s="83">
        <v>1</v>
      </c>
      <c r="O50" s="83">
        <v>0</v>
      </c>
      <c r="P50" s="72">
        <v>1</v>
      </c>
      <c r="Q50" s="83">
        <v>0</v>
      </c>
      <c r="R50" s="73">
        <v>1</v>
      </c>
    </row>
    <row r="51" spans="6:18" s="83" customFormat="1" ht="15" customHeight="1" x14ac:dyDescent="0.15">
      <c r="F51" s="201" t="s">
        <v>237</v>
      </c>
      <c r="G51" s="83">
        <v>0</v>
      </c>
      <c r="H51" s="83">
        <v>0</v>
      </c>
      <c r="I51" s="83">
        <v>0</v>
      </c>
      <c r="J51" s="83">
        <v>0</v>
      </c>
      <c r="K51" s="83">
        <v>0</v>
      </c>
      <c r="L51" s="83">
        <v>1</v>
      </c>
      <c r="M51" s="83">
        <v>0</v>
      </c>
      <c r="N51" s="83">
        <v>0</v>
      </c>
      <c r="O51" s="83">
        <v>0</v>
      </c>
      <c r="P51" s="72">
        <v>0</v>
      </c>
      <c r="Q51" s="83">
        <v>0</v>
      </c>
      <c r="R51" s="73">
        <v>1</v>
      </c>
    </row>
    <row r="52" spans="6:18" s="83" customFormat="1" ht="15" customHeight="1" x14ac:dyDescent="0.15">
      <c r="F52" s="201" t="s">
        <v>238</v>
      </c>
      <c r="G52" s="83">
        <v>0</v>
      </c>
      <c r="H52" s="83">
        <v>0</v>
      </c>
      <c r="I52" s="83">
        <v>0</v>
      </c>
      <c r="J52" s="83">
        <v>0</v>
      </c>
      <c r="K52" s="83">
        <v>0</v>
      </c>
      <c r="L52" s="83">
        <v>1</v>
      </c>
      <c r="M52" s="83">
        <v>0</v>
      </c>
      <c r="N52" s="83">
        <v>0</v>
      </c>
      <c r="O52" s="83">
        <v>0</v>
      </c>
      <c r="P52" s="72">
        <v>0</v>
      </c>
      <c r="Q52" s="83">
        <v>0</v>
      </c>
      <c r="R52" s="73">
        <v>1</v>
      </c>
    </row>
    <row r="53" spans="6:18" s="8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C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7.5" bestFit="1" customWidth="1"/>
    <col min="2" max="2" width="2.33203125" style="111" customWidth="1"/>
    <col min="3" max="5" width="7.83203125" style="111" customWidth="1"/>
    <col min="6" max="8" width="8.83203125" style="6"/>
    <col min="9" max="9" width="13.33203125" style="6" customWidth="1"/>
    <col min="10" max="10" width="25.1640625" style="6" customWidth="1"/>
    <col min="11" max="11" width="6.83203125" style="6" customWidth="1"/>
    <col min="12" max="12" width="8.5" style="6" customWidth="1"/>
    <col min="13" max="13" width="22" style="6" customWidth="1"/>
    <col min="14" max="14" width="24" style="6" customWidth="1"/>
    <col min="15" max="15" width="22.5" style="6" customWidth="1"/>
    <col min="16" max="16" width="24.5" style="6" customWidth="1"/>
    <col min="17" max="18" width="10.5" style="6" customWidth="1"/>
    <col min="19" max="19" width="20.5" style="6" customWidth="1"/>
    <col min="20" max="20" width="6.1640625" style="6" customWidth="1"/>
    <col min="21" max="21" width="20.6640625" style="6" customWidth="1"/>
    <col min="22" max="22" width="23.83203125" style="6" customWidth="1"/>
    <col min="23" max="23" width="19.33203125" style="6" customWidth="1"/>
    <col min="24" max="24" width="11.1640625" style="6" customWidth="1"/>
    <col min="25" max="25" width="10.5" style="6" customWidth="1"/>
    <col min="26" max="26" width="8.83203125" style="6" customWidth="1"/>
    <col min="27" max="27" width="9.6640625" style="6" customWidth="1"/>
    <col min="28" max="28" width="20" style="6" customWidth="1"/>
    <col min="29" max="29" width="22.33203125" style="6" customWidth="1"/>
    <col min="30" max="30" width="25.5" style="6" customWidth="1"/>
    <col min="31" max="31" width="24.33203125" style="6" customWidth="1"/>
    <col min="32" max="32" width="7" style="6" customWidth="1"/>
    <col min="33" max="33" width="18.5" style="6" customWidth="1"/>
    <col min="34" max="34" width="24.5" style="6" customWidth="1"/>
    <col min="35" max="35" width="21.1640625" style="6" customWidth="1"/>
    <col min="36" max="36" width="27.5" style="6" customWidth="1"/>
    <col min="37" max="37" width="22.5" style="6" customWidth="1"/>
    <col min="38" max="38" width="14" style="6" customWidth="1"/>
    <col min="39" max="39" width="25.5" customWidth="1"/>
    <col min="40" max="40" width="23.1640625" customWidth="1"/>
    <col min="41" max="41" width="24.5" customWidth="1"/>
    <col min="42" max="44" width="25.5" customWidth="1"/>
    <col min="45" max="45" width="12.6640625" customWidth="1"/>
    <col min="46" max="46" width="12" customWidth="1"/>
    <col min="47" max="47" width="11.6640625" customWidth="1"/>
    <col min="48" max="48" width="8.1640625" customWidth="1"/>
    <col min="49" max="50" width="21.5" customWidth="1"/>
    <col min="51" max="51" width="16.5" customWidth="1"/>
    <col min="52" max="52" width="7.6640625" customWidth="1"/>
    <col min="53" max="53" width="21.6640625" customWidth="1"/>
    <col min="54" max="54" width="12.5" customWidth="1"/>
    <col min="55" max="55" width="12.6640625" customWidth="1"/>
    <col min="81" max="81" width="22.1640625" bestFit="1" customWidth="1"/>
  </cols>
  <sheetData>
    <row r="1" spans="1:55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6" t="s">
        <v>192</v>
      </c>
      <c r="J1" s="206" t="s">
        <v>193</v>
      </c>
      <c r="K1" s="206" t="s">
        <v>194</v>
      </c>
      <c r="L1" s="206" t="s">
        <v>195</v>
      </c>
      <c r="M1" s="206" t="s">
        <v>196</v>
      </c>
      <c r="N1" s="206" t="s">
        <v>197</v>
      </c>
      <c r="O1" s="206" t="s">
        <v>198</v>
      </c>
      <c r="P1" s="206" t="s">
        <v>199</v>
      </c>
      <c r="Q1" s="206" t="s">
        <v>200</v>
      </c>
      <c r="R1" s="206" t="s">
        <v>201</v>
      </c>
      <c r="S1" s="206" t="s">
        <v>202</v>
      </c>
      <c r="T1" s="206" t="s">
        <v>203</v>
      </c>
      <c r="U1" s="206" t="s">
        <v>204</v>
      </c>
      <c r="V1" s="206" t="s">
        <v>205</v>
      </c>
      <c r="W1" s="206" t="s">
        <v>206</v>
      </c>
      <c r="X1" s="206" t="s">
        <v>207</v>
      </c>
      <c r="Y1" s="206" t="s">
        <v>208</v>
      </c>
      <c r="Z1" s="206" t="s">
        <v>209</v>
      </c>
      <c r="AA1" s="206" t="s">
        <v>210</v>
      </c>
      <c r="AB1" s="206" t="s">
        <v>211</v>
      </c>
      <c r="AC1" s="206" t="s">
        <v>212</v>
      </c>
      <c r="AD1" s="206" t="s">
        <v>213</v>
      </c>
      <c r="AE1" s="206" t="s">
        <v>214</v>
      </c>
      <c r="AF1" s="206" t="s">
        <v>215</v>
      </c>
      <c r="AG1" s="206" t="s">
        <v>216</v>
      </c>
      <c r="AH1" s="206" t="s">
        <v>217</v>
      </c>
      <c r="AI1" s="206" t="s">
        <v>218</v>
      </c>
      <c r="AJ1" s="206" t="s">
        <v>219</v>
      </c>
      <c r="AK1" s="206" t="s">
        <v>220</v>
      </c>
      <c r="AL1" s="206" t="s">
        <v>221</v>
      </c>
      <c r="AM1" s="206" t="s">
        <v>222</v>
      </c>
      <c r="AN1" s="206" t="s">
        <v>223</v>
      </c>
      <c r="AO1" s="206" t="s">
        <v>224</v>
      </c>
      <c r="AP1" s="206" t="s">
        <v>225</v>
      </c>
      <c r="AQ1" s="206" t="s">
        <v>226</v>
      </c>
      <c r="AR1" s="206" t="s">
        <v>227</v>
      </c>
      <c r="AS1" s="206" t="s">
        <v>228</v>
      </c>
      <c r="AT1" s="206" t="s">
        <v>229</v>
      </c>
      <c r="AU1" s="206" t="s">
        <v>230</v>
      </c>
      <c r="AV1" s="206" t="s">
        <v>231</v>
      </c>
      <c r="AW1" s="206" t="s">
        <v>232</v>
      </c>
      <c r="AX1" s="206" t="s">
        <v>233</v>
      </c>
      <c r="AY1" s="206" t="s">
        <v>234</v>
      </c>
      <c r="AZ1" s="206" t="s">
        <v>235</v>
      </c>
      <c r="BA1" s="206" t="s">
        <v>236</v>
      </c>
      <c r="BB1" s="206" t="s">
        <v>237</v>
      </c>
      <c r="BC1" s="206" t="s">
        <v>238</v>
      </c>
    </row>
    <row r="2" spans="1:55" x14ac:dyDescent="0.15">
      <c r="A2" t="s">
        <v>38</v>
      </c>
      <c r="B2" s="11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5" x14ac:dyDescent="0.15">
      <c r="A3" t="s">
        <v>40</v>
      </c>
      <c r="B3" s="11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5" x14ac:dyDescent="0.15">
      <c r="A4" t="s">
        <v>41</v>
      </c>
      <c r="B4" s="11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5" x14ac:dyDescent="0.15">
      <c r="A5" s="205" t="s">
        <v>192</v>
      </c>
      <c r="B5" s="11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5" x14ac:dyDescent="0.15">
      <c r="A6" s="205" t="s">
        <v>193</v>
      </c>
      <c r="B6" s="11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5" x14ac:dyDescent="0.15">
      <c r="A7" s="205" t="s">
        <v>194</v>
      </c>
      <c r="B7" s="11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5" x14ac:dyDescent="0.15">
      <c r="A8" s="205" t="s">
        <v>195</v>
      </c>
      <c r="B8" s="11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5" x14ac:dyDescent="0.15">
      <c r="A9" s="205" t="s">
        <v>196</v>
      </c>
      <c r="B9" s="11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5" x14ac:dyDescent="0.15">
      <c r="A10" s="205" t="s">
        <v>197</v>
      </c>
      <c r="B10" s="11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5" x14ac:dyDescent="0.15">
      <c r="A11" s="205" t="s">
        <v>198</v>
      </c>
      <c r="B11" s="11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5" x14ac:dyDescent="0.15">
      <c r="A12" s="205" t="s">
        <v>199</v>
      </c>
      <c r="B12" s="11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5" x14ac:dyDescent="0.15">
      <c r="A13" s="205" t="s">
        <v>200</v>
      </c>
      <c r="B13" s="11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5" x14ac:dyDescent="0.15">
      <c r="A14" s="205" t="s">
        <v>201</v>
      </c>
      <c r="B14" s="11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5" x14ac:dyDescent="0.15">
      <c r="A15" s="205" t="s">
        <v>202</v>
      </c>
      <c r="B15" s="11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5" x14ac:dyDescent="0.15">
      <c r="A16" s="205" t="s">
        <v>203</v>
      </c>
      <c r="B16" s="11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5" t="s">
        <v>204</v>
      </c>
      <c r="B17" s="11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5" t="s">
        <v>205</v>
      </c>
      <c r="B18" s="11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5" t="s">
        <v>206</v>
      </c>
      <c r="B19" s="11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5" t="s">
        <v>207</v>
      </c>
      <c r="B20" s="11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5" t="s">
        <v>208</v>
      </c>
      <c r="B21" s="11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5" t="s">
        <v>209</v>
      </c>
      <c r="B22" s="11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5" t="s">
        <v>210</v>
      </c>
      <c r="B23" s="11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5" t="s">
        <v>211</v>
      </c>
      <c r="B24" s="11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5" t="s">
        <v>212</v>
      </c>
      <c r="B25" s="11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5" t="s">
        <v>213</v>
      </c>
      <c r="B26" s="11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5" t="s">
        <v>214</v>
      </c>
      <c r="B27" s="111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5" t="s">
        <v>215</v>
      </c>
      <c r="B28" s="111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5" t="s">
        <v>216</v>
      </c>
      <c r="B29" s="111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5" t="s">
        <v>217</v>
      </c>
      <c r="B30" s="111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5" t="s">
        <v>218</v>
      </c>
      <c r="B31" s="111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5" t="s">
        <v>219</v>
      </c>
      <c r="B32" s="111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5" t="s">
        <v>220</v>
      </c>
      <c r="B33" s="111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5" t="s">
        <v>221</v>
      </c>
      <c r="B34" s="111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5" t="s">
        <v>222</v>
      </c>
      <c r="B35" s="111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5" t="s">
        <v>223</v>
      </c>
      <c r="B36" s="111">
        <v>0</v>
      </c>
      <c r="C36"/>
      <c r="D36"/>
    </row>
    <row r="37" spans="1:38" ht="15" customHeight="1" x14ac:dyDescent="0.15">
      <c r="A37" s="205" t="s">
        <v>224</v>
      </c>
      <c r="B37" s="111">
        <v>0</v>
      </c>
      <c r="C37"/>
      <c r="D37"/>
    </row>
    <row r="38" spans="1:38" ht="15" customHeight="1" x14ac:dyDescent="0.15">
      <c r="A38" s="205" t="s">
        <v>225</v>
      </c>
      <c r="B38" s="111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5" t="s">
        <v>226</v>
      </c>
      <c r="B39" s="111">
        <v>0</v>
      </c>
      <c r="C39"/>
      <c r="D39"/>
    </row>
    <row r="40" spans="1:38" ht="15" customHeight="1" x14ac:dyDescent="0.15">
      <c r="A40" s="205" t="s">
        <v>227</v>
      </c>
      <c r="B40" s="111">
        <v>0</v>
      </c>
      <c r="C40"/>
      <c r="D40"/>
    </row>
    <row r="41" spans="1:38" ht="15" customHeight="1" x14ac:dyDescent="0.15">
      <c r="A41" s="205" t="s">
        <v>228</v>
      </c>
      <c r="B41" s="111">
        <v>0</v>
      </c>
      <c r="C41"/>
      <c r="D41"/>
    </row>
    <row r="42" spans="1:38" ht="15" customHeight="1" x14ac:dyDescent="0.15">
      <c r="A42" s="205" t="s">
        <v>229</v>
      </c>
      <c r="B42" s="111">
        <v>0</v>
      </c>
    </row>
    <row r="43" spans="1:38" ht="15" customHeight="1" x14ac:dyDescent="0.15">
      <c r="A43" s="205" t="s">
        <v>230</v>
      </c>
      <c r="B43" s="111">
        <v>0</v>
      </c>
    </row>
    <row r="44" spans="1:38" ht="15" customHeight="1" x14ac:dyDescent="0.15">
      <c r="A44" s="205" t="s">
        <v>231</v>
      </c>
      <c r="B44" s="111">
        <v>0</v>
      </c>
    </row>
    <row r="45" spans="1:38" ht="15" customHeight="1" x14ac:dyDescent="0.15">
      <c r="A45" s="205" t="s">
        <v>232</v>
      </c>
      <c r="B45" s="111">
        <v>0</v>
      </c>
    </row>
    <row r="46" spans="1:38" ht="15" customHeight="1" x14ac:dyDescent="0.15">
      <c r="A46" s="205" t="s">
        <v>233</v>
      </c>
      <c r="B46" s="111">
        <v>0</v>
      </c>
    </row>
    <row r="47" spans="1:38" ht="15" customHeight="1" x14ac:dyDescent="0.15">
      <c r="A47" s="205" t="s">
        <v>234</v>
      </c>
      <c r="B47" s="111">
        <v>0</v>
      </c>
    </row>
    <row r="48" spans="1:38" ht="15" customHeight="1" x14ac:dyDescent="0.15">
      <c r="A48" s="205" t="s">
        <v>235</v>
      </c>
      <c r="B48" s="111">
        <v>0</v>
      </c>
    </row>
    <row r="49" spans="1:38" ht="15" customHeight="1" x14ac:dyDescent="0.15">
      <c r="A49" s="205" t="s">
        <v>236</v>
      </c>
      <c r="B49" s="111">
        <v>0</v>
      </c>
    </row>
    <row r="50" spans="1:38" ht="15" customHeight="1" x14ac:dyDescent="0.15">
      <c r="A50" s="205" t="s">
        <v>237</v>
      </c>
      <c r="B50" s="111">
        <v>0</v>
      </c>
    </row>
    <row r="51" spans="1:38" ht="15" customHeight="1" x14ac:dyDescent="0.15">
      <c r="A51" s="205" t="s">
        <v>238</v>
      </c>
      <c r="B51" s="111">
        <v>0</v>
      </c>
    </row>
    <row r="52" spans="1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2022-10-24T04:20:26Z</dcterms:modified>
</cp:coreProperties>
</file>