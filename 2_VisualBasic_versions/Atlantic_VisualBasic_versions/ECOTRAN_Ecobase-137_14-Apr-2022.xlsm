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8CFCBA88-5A50-5947-AC88-44B9ACD0B2C0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Main!$C$2:$N$48</definedName>
    <definedName name="matDetritus">Detritus!$C$2:$E$48</definedName>
    <definedName name="matDiet">Diets!$B$2:$AR$47</definedName>
    <definedName name="matDiscards">Discards!$C$2:$D$46</definedName>
    <definedName name="matFishery">Fishing!$C$2:$D$46</definedName>
    <definedName name="matFishing">Fishing!#REF!</definedName>
    <definedName name="matMort">Mortalities!$A$1:$AX$46</definedName>
    <definedName name="matOut">MainOutputs!$A$2:$I$48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<sst xmlns="http://schemas.openxmlformats.org/spreadsheetml/2006/main" count="1260" uniqueCount="244">
  <si>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</si>
  <si>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</si>
  <si>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</si>
  <si>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</si>
  <si>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</si>
  <si>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</si>
  <si>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</si>
  <si>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</si>
  <si>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</si>
  <si>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</si>
  <si>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</si>
  <si>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</si>
  <si>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</si>
  <si>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</si>
  <si>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</si>
  <si>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</si>
  <si>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</si>
  <si>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</si>
  <si>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</si>
  <si>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</si>
  <si>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</si>
  <si>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</si>
  <si>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</si>
  <si>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</si>
  <si>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</si>
  <si>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</si>
  <si>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</si>
  <si>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</si>
  <si>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</si>
  <si>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</si>
  <si>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</si>
  <si>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</si>
  <si>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</si>
  <si>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</si>
  <si>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</si>
  <si>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</si>
  <si>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</si>
  <si>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</si>
  <si>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</si>
  <si>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</si>
  <si>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</si>
  <si>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</si>
  <si>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</si>
  <si>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</si>
  <si>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</si>
  <si>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</si>
  <si>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</si>
  <si>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</si>
  <si>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</si>
  <si>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</si>
  <si>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</si>
  <si>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</si>
  <si>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</si>
  <si>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</si>
  <si>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</si>
  <si>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</si>
  <si>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</si>
  <si>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</si>
  <si>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</si>
  <si>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</si>
  <si>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</si>
  <si>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</si>
  <si>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</si>
  <si>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</si>
  <si>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</si>
  <si>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</si>
  <si>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</si>
  <si>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</si>
  <si>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</si>
  <si>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</si>
  <si>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</si>
  <si>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</si>
  <si>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</si>
  <si>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</si>
  <si>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</si>
  <si>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</si>
  <si>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</si>
  <si>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</si>
  <si>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</si>
  <si>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</si>
  <si>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</si>
  <si>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</si>
  <si>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</si>
  <si>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</si>
  <si>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</si>
  <si>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</si>
  <si>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</si>
  <si>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</si>
  <si>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</si>
  <si>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</si>
  <si>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</si>
  <si>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</si>
  <si>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</si>
  <si>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</si>
  <si>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</si>
  <si>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</si>
  <si>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</si>
  <si>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</si>
  <si>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</si>
  <si>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</si>
  <si>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</si>
  <si>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</si>
  <si>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</si>
  <si>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</si>
  <si>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</si>
  <si>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</si>
  <si>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</si>
  <si>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</si>
  <si>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</si>
  <si>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</si>
  <si>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</si>
  <si>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</si>
  <si>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</si>
  <si>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</si>
  <si>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</si>
  <si>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</si>
  <si>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</si>
  <si>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</si>
  <si>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</si>
  <si>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</si>
  <si>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</si>
  <si>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</si>
  <si>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</si>
  <si>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</si>
  <si>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</si>
  <si>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</si>
  <si>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</si>
  <si>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</si>
  <si>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</si>
  <si>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</si>
  <si>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</si>
  <si>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</si>
  <si>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</si>
  <si>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</si>
  <si>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</si>
  <si>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</si>
  <si>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</si>
  <si>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</si>
  <si>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</si>
  <si>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</si>
  <si>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</si>
  <si>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</si>
  <si>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</si>
  <si>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</si>
  <si>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</si>
  <si>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</si>
  <si>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</si>
  <si>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</si>
  <si>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</si>
  <si>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</si>
  <si>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</si>
  <si>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</si>
  <si>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</si>
  <si>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</si>
  <si>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</si>
  <si>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</si>
  <si>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</si>
  <si>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</si>
  <si>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</si>
  <si>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</si>
  <si>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</si>
  <si>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</si>
  <si>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</si>
  <si>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</si>
  <si>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</si>
  <si>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</si>
  <si>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</si>
  <si>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</si>
  <si>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</si>
  <si>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</si>
  <si>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</si>
  <si>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</si>
  <si>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</si>
  <si>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</si>
  <si>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</si>
  <si>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</si>
  <si>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</si>
  <si>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</si>
  <si>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</si>
  <si>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</si>
  <si>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</si>
  <si>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</si>
  <si>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</si>
  <si>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</si>
  <si>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</si>
  <si>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Sierra Leone</t>
  </si>
  <si>
    <t>BOX(-16.2272958506799 3.9965055861276,-11.4250418750915 9.094973358341)</t>
  </si>
  <si>
    <t>continental shelf</t>
  </si>
  <si>
    <t>WetWeight</t>
  </si>
  <si>
    <t>This model was constructed with biomass estimated from the Guinea 90 trawl survey and catches from the SAUP catch database; 6/6/02 12:57:10 PM; 06-Jun-02 17:35:22; 06-Jun-02 17:36:31</t>
  </si>
  <si>
    <t>Heymans J.J.,Vakily J.M.(2004). Structure and dynamics of the marine ecosystem off Sierra Leone for three time periods: 1964, 1978, 1990 West African marine ecosystems: models and fisheries impacts. pp 160-169. In Palomares M.L.D.,Pauly D.</t>
  </si>
  <si>
    <t>Baleen whales</t>
  </si>
  <si>
    <t>Toothed whales and dolphins</t>
  </si>
  <si>
    <t>Turtles</t>
  </si>
  <si>
    <t>Seabirds</t>
  </si>
  <si>
    <t>L Deep Sharks and Rays</t>
  </si>
  <si>
    <t>L Coastal Sharks and Rays</t>
  </si>
  <si>
    <t>M Deep Sharks and Rays</t>
  </si>
  <si>
    <t>M Coastal Sharks and Rays</t>
  </si>
  <si>
    <t>Large Tuna</t>
  </si>
  <si>
    <t>Small Tuna</t>
  </si>
  <si>
    <t>Large pelagic predators</t>
  </si>
  <si>
    <t>Jacks</t>
  </si>
  <si>
    <t>Small pelagic predators</t>
  </si>
  <si>
    <t>Small pelagic invert feeders</t>
  </si>
  <si>
    <t>Scads and mackerels</t>
  </si>
  <si>
    <t>Bongo shad</t>
  </si>
  <si>
    <t>Sardinellas</t>
  </si>
  <si>
    <t>Groupers</t>
  </si>
  <si>
    <t>Croackers</t>
  </si>
  <si>
    <t>Gaint African Threadfin</t>
  </si>
  <si>
    <t>Large demersal predators</t>
  </si>
  <si>
    <t>Large demersal invert feeders</t>
  </si>
  <si>
    <t>Medium demersal predators</t>
  </si>
  <si>
    <t>Catfish</t>
  </si>
  <si>
    <t>Sickle-and spadefish</t>
  </si>
  <si>
    <t>Mullets and other herbivores</t>
  </si>
  <si>
    <t>Lesser African Threadfin</t>
  </si>
  <si>
    <t>Medium demersal invert feeders</t>
  </si>
  <si>
    <t>Small demersal predators</t>
  </si>
  <si>
    <t>Royal Threadfin</t>
  </si>
  <si>
    <t>Small demersal invert feeders</t>
  </si>
  <si>
    <t>Large Bathydem predators</t>
  </si>
  <si>
    <t>SM Bathydem invert feeders</t>
  </si>
  <si>
    <t>Large Bathypelagic predators</t>
  </si>
  <si>
    <t>M Bathypelagic invert feeders</t>
  </si>
  <si>
    <t>Small Bathypelagic predators</t>
  </si>
  <si>
    <t>Mesopelagics</t>
  </si>
  <si>
    <t>Cephalopods</t>
  </si>
  <si>
    <t>Crustaceans</t>
  </si>
  <si>
    <t>Benthos</t>
  </si>
  <si>
    <t>Carnivorous zooplankton</t>
  </si>
  <si>
    <t>Herbivorous zooplankton</t>
  </si>
  <si>
    <t>Primary producers</t>
  </si>
  <si>
    <t>Detritus</t>
  </si>
  <si>
    <t>detritus_TerminalBenthic</t>
  </si>
  <si>
    <t>Artisanal fleet</t>
  </si>
  <si>
    <t>Industrial fleet</t>
  </si>
  <si>
    <t>Import</t>
  </si>
  <si>
    <t>export</t>
  </si>
  <si>
    <t>sum</t>
  </si>
  <si>
    <t>TOTAL</t>
  </si>
  <si>
    <t>F Artisanal fleet</t>
  </si>
  <si>
    <t>F Industrial fleet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</si>
</sst>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7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FF7E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FF67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FF74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FF3A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EE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0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5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7" t="s">
        <v>171</v>
      </c>
      <c r="C53" s="111">
        <v>137</v>
      </c>
      <c r="D53" s="111"/>
    </row>
    <row r="54" spans="2:4" x14ac:dyDescent="0.15">
      <c r="B54" s="177" t="s">
        <v>172</v>
      </c>
      <c r="C54" s="177" t="s">
        <v>185</v>
      </c>
      <c r="D54" s="111"/>
    </row>
    <row r="55" spans="2:4" x14ac:dyDescent="0.15">
      <c r="B55" s="177" t="s">
        <v>173</v>
      </c>
      <c r="C55" s="177" t="s">
        <v>185</v>
      </c>
      <c r="D55" s="111"/>
    </row>
    <row r="56" spans="2:4" x14ac:dyDescent="0.15">
      <c r="B56" s="177" t="s">
        <v>174</v>
      </c>
      <c r="C56" s="111">
        <v>168000</v>
      </c>
      <c r="D56" s="111"/>
    </row>
    <row r="57" spans="2:4" x14ac:dyDescent="0.15">
      <c r="B57" s="177" t="s">
        <v>175</v>
      </c>
      <c r="C57" s="177" t="s">
        <v>186</v>
      </c>
      <c r="D57" s="111"/>
    </row>
    <row r="58" spans="2:4" x14ac:dyDescent="0.15">
      <c r="B58" s="177" t="s">
        <v>176</v>
      </c>
      <c r="C58" s="177" t="s">
        <v>187</v>
      </c>
      <c r="D58" s="111"/>
    </row>
    <row r="59" spans="2:4" x14ac:dyDescent="0.15">
      <c r="B59" s="177" t="s">
        <v>177</v>
      </c>
      <c r="C59" s="177" t="s">
        <v>188</v>
      </c>
      <c r="D59" s="111"/>
    </row>
    <row r="60" spans="2:4" x14ac:dyDescent="0.15">
      <c r="B60" s="177" t="s">
        <v>178</v>
      </c>
      <c r="C60" s="177" t="s">
        <v>189</v>
      </c>
      <c r="D60" s="111"/>
    </row>
    <row r="61" spans="2:4" x14ac:dyDescent="0.15">
      <c r="B61" s="177" t="s">
        <v>179</v>
      </c>
      <c r="C61" s="111">
        <v>44</v>
      </c>
      <c r="D61" s="111"/>
    </row>
    <row r="62" spans="2:4" x14ac:dyDescent="0.15">
      <c r="B62" s="177" t="s">
        <v>180</v>
      </c>
      <c r="C62" s="111">
        <v>2</v>
      </c>
      <c r="D62" s="111"/>
    </row>
    <row r="63" spans="2:4" x14ac:dyDescent="0.15">
      <c r="B63" s="177" t="s">
        <v>181</v>
      </c>
      <c r="C63" s="111">
        <v>1990</v>
      </c>
      <c r="D63" s="111"/>
    </row>
    <row r="64" spans="2:4" x14ac:dyDescent="0.15">
      <c r="B64" s="177" t="s">
        <v>182</v>
      </c>
      <c r="C64" s="111">
        <v>1</v>
      </c>
      <c r="D64" s="111"/>
    </row>
    <row r="65" spans="2:4" x14ac:dyDescent="0.15">
      <c r="B65" s="177" t="s">
        <v>183</v>
      </c>
      <c r="C65" s="177" t="s">
        <v>190</v>
      </c>
      <c r="D65" s="111"/>
    </row>
    <row r="66" spans="2:4" x14ac:dyDescent="0.15">
      <c r="B66" s="177" t="s">
        <v>184</v>
      </c>
      <c r="D66" s="111"/>
    </row>
    <row r="67" spans="2:4" x14ac:dyDescent="0.15">
      <c r="B67" s="111"/>
      <c r="C67" s="111"/>
      <c r="D67" s="111"/>
    </row>
    <row r="68" spans="2:4" x14ac:dyDescent="0.15">
      <c r="B68" s="111"/>
      <c r="C68" s="111"/>
      <c r="D68" s="11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27.5" style="84" bestFit="1" customWidth="1"/>
    <col min="6" max="6" width="2.33203125" style="84" bestFit="1" customWidth="1"/>
    <col min="7" max="7" width="12.83203125" style="84" bestFit="1" customWidth="1"/>
    <col min="8" max="8" width="11.83203125" style="84" customWidth="1"/>
    <col min="9" max="9" width="5.83203125" style="84" customWidth="1"/>
    <col min="10" max="10" width="12.83203125" style="84" customWidth="1"/>
    <col min="11" max="11" width="13.83203125" style="84" customWidth="1"/>
    <col min="12" max="12" width="2.33203125" style="84" customWidth="1"/>
    <col min="13" max="13" width="3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78" t="s">
        <v>191</v>
      </c>
      <c r="F2" s="84">
        <v>0</v>
      </c>
      <c r="G2" s="84">
        <v>3.0901137700000001E-2</v>
      </c>
      <c r="H2" s="84">
        <v>0.02</v>
      </c>
      <c r="I2" s="6">
        <v>4.8499999999999996</v>
      </c>
      <c r="J2" s="6">
        <v>0.30127599999999999</v>
      </c>
      <c r="K2" s="6">
        <v>4.1237114900000002E-3</v>
      </c>
      <c r="L2" s="6">
        <v>0</v>
      </c>
      <c r="M2" s="84">
        <v>0.2</v>
      </c>
      <c r="N2" s="84">
        <v>0</v>
      </c>
    </row>
    <row r="3" spans="1:46" ht="15" customHeight="1" x14ac:dyDescent="0.15">
      <c r="A3" s="1" t="s">
        <v>9</v>
      </c>
      <c r="B3" s="4">
        <v>43</v>
      </c>
      <c r="C3" s="84">
        <v>2</v>
      </c>
      <c r="D3"/>
      <c r="E3" s="178" t="s">
        <v>192</v>
      </c>
      <c r="F3" s="84">
        <v>0</v>
      </c>
      <c r="G3" s="84">
        <v>6.1803314800000002E-2</v>
      </c>
      <c r="H3" s="84">
        <v>7.0000000000000007E-2</v>
      </c>
      <c r="I3" s="84">
        <v>14.55</v>
      </c>
      <c r="J3" s="84">
        <v>0.70146750000000002</v>
      </c>
      <c r="K3" s="84">
        <v>4.81099635E-3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2</v>
      </c>
      <c r="C4" s="84">
        <v>3</v>
      </c>
      <c r="D4"/>
      <c r="E4" s="178" t="s">
        <v>193</v>
      </c>
      <c r="F4" s="84">
        <v>0</v>
      </c>
      <c r="G4" s="84">
        <v>4.39891554E-2</v>
      </c>
      <c r="H4" s="84">
        <v>0.15</v>
      </c>
      <c r="I4" s="84">
        <v>3.5</v>
      </c>
      <c r="J4" s="84">
        <v>0.95</v>
      </c>
      <c r="K4" s="84">
        <v>4.2857144E-2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84">
        <v>4</v>
      </c>
      <c r="D5"/>
      <c r="E5" s="178" t="s">
        <v>194</v>
      </c>
      <c r="F5" s="84">
        <v>0</v>
      </c>
      <c r="G5" s="84">
        <v>5.0000000000000001E-3</v>
      </c>
      <c r="H5" s="84">
        <v>1.4999999999999999E-2</v>
      </c>
      <c r="I5" s="84">
        <v>86.41</v>
      </c>
      <c r="J5" s="84">
        <v>0.13239283900000001</v>
      </c>
      <c r="K5" s="84">
        <v>1.7359100000000001E-4</v>
      </c>
      <c r="L5" s="84">
        <v>0</v>
      </c>
      <c r="M5" s="84">
        <v>0.2</v>
      </c>
      <c r="N5" s="84">
        <v>0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78" t="s">
        <v>195</v>
      </c>
      <c r="F6" s="84">
        <v>0</v>
      </c>
      <c r="G6" s="84">
        <v>2.7142338500000002E-2</v>
      </c>
      <c r="H6" s="84">
        <v>0.2</v>
      </c>
      <c r="I6" s="84">
        <v>4.46</v>
      </c>
      <c r="J6" s="84">
        <v>5.9775617000000003E-2</v>
      </c>
      <c r="K6" s="84">
        <v>4.4843047900000002E-2</v>
      </c>
      <c r="L6" s="84">
        <v>0</v>
      </c>
      <c r="M6" s="84">
        <v>0.2</v>
      </c>
      <c r="N6" s="84">
        <v>0</v>
      </c>
      <c r="P6" s="73"/>
      <c r="Q6" s="73"/>
      <c r="R6" s="73"/>
      <c r="W6" s="36" t="s">
        <v>31</v>
      </c>
      <c r="X6" s="52">
        <f>MAX(MainOutputs!G:G)</f>
        <v>0.95000004768371582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465</v>
      </c>
      <c r="C7" s="84">
        <v>6</v>
      </c>
      <c r="D7"/>
      <c r="E7" s="178" t="s">
        <v>196</v>
      </c>
      <c r="F7" s="84">
        <v>0</v>
      </c>
      <c r="G7" s="84">
        <v>1.43530043E-2</v>
      </c>
      <c r="H7" s="84">
        <v>0.46</v>
      </c>
      <c r="I7" s="84">
        <v>4.5</v>
      </c>
      <c r="J7" s="84">
        <v>2.05972884E-2</v>
      </c>
      <c r="K7" s="84">
        <v>0.102222227</v>
      </c>
      <c r="L7" s="84">
        <v>0</v>
      </c>
      <c r="M7" s="84">
        <v>0.2</v>
      </c>
      <c r="N7" s="84">
        <v>0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94</v>
      </c>
      <c r="C8" s="84">
        <v>7</v>
      </c>
      <c r="D8"/>
      <c r="E8" s="178" t="s">
        <v>197</v>
      </c>
      <c r="F8" s="84">
        <v>0</v>
      </c>
      <c r="G8" s="84">
        <v>1.08011262E-2</v>
      </c>
      <c r="H8" s="84">
        <v>0.44</v>
      </c>
      <c r="I8" s="84">
        <v>7.99</v>
      </c>
      <c r="J8" s="84">
        <v>0.67431680000000005</v>
      </c>
      <c r="K8" s="84">
        <v>5.5068835599999998E-2</v>
      </c>
      <c r="L8" s="84">
        <v>0</v>
      </c>
      <c r="M8" s="84">
        <v>0.2</v>
      </c>
      <c r="N8" s="84">
        <v>0</v>
      </c>
      <c r="P8" s="73"/>
      <c r="Q8" s="73"/>
      <c r="R8" s="73"/>
    </row>
    <row r="9" spans="1:46" ht="15" customHeight="1" x14ac:dyDescent="0.15">
      <c r="B9" s="1"/>
      <c r="C9" s="84">
        <v>8</v>
      </c>
      <c r="D9"/>
      <c r="E9" s="178" t="s">
        <v>198</v>
      </c>
      <c r="F9" s="84">
        <v>0</v>
      </c>
      <c r="G9" s="84">
        <v>5.0655242099999997E-2</v>
      </c>
      <c r="H9" s="84">
        <v>0.59</v>
      </c>
      <c r="I9" s="84">
        <v>7.99</v>
      </c>
      <c r="J9" s="84">
        <v>0.21035476</v>
      </c>
      <c r="K9" s="84">
        <v>7.38423E-2</v>
      </c>
      <c r="L9" s="84">
        <v>0</v>
      </c>
      <c r="M9" s="84">
        <v>0.2</v>
      </c>
      <c r="N9" s="84">
        <v>0</v>
      </c>
      <c r="P9" s="73"/>
      <c r="Q9" s="73"/>
      <c r="R9" s="73"/>
    </row>
    <row r="10" spans="1:46" ht="15" customHeight="1" x14ac:dyDescent="0.15">
      <c r="B10" s="1"/>
      <c r="C10" s="84">
        <v>9</v>
      </c>
      <c r="D10"/>
      <c r="E10" s="178" t="s">
        <v>199</v>
      </c>
      <c r="F10" s="84">
        <v>0</v>
      </c>
      <c r="G10" s="84">
        <v>2.8822049999999998E-2</v>
      </c>
      <c r="H10" s="84">
        <v>0.99</v>
      </c>
      <c r="I10" s="84">
        <v>4.8499999999999996</v>
      </c>
      <c r="J10" s="84">
        <v>0.95</v>
      </c>
      <c r="K10" s="84">
        <v>0.20412372100000001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78" t="s">
        <v>200</v>
      </c>
      <c r="F11" s="84">
        <v>0</v>
      </c>
      <c r="G11" s="84">
        <v>1.9236573900000001E-2</v>
      </c>
      <c r="H11" s="84">
        <v>1.41</v>
      </c>
      <c r="I11" s="84">
        <v>6.6</v>
      </c>
      <c r="J11" s="84">
        <v>0.95</v>
      </c>
      <c r="K11" s="84">
        <v>0.21363636899999999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78" t="s">
        <v>201</v>
      </c>
      <c r="F12" s="84">
        <v>0</v>
      </c>
      <c r="G12" s="84">
        <v>6.0982219999999997E-2</v>
      </c>
      <c r="H12" s="84">
        <v>0.7</v>
      </c>
      <c r="I12" s="84">
        <v>6.26</v>
      </c>
      <c r="J12" s="84">
        <v>0.95</v>
      </c>
      <c r="K12" s="84">
        <v>0.111821078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78" t="s">
        <v>202</v>
      </c>
      <c r="F13" s="84">
        <v>0</v>
      </c>
      <c r="G13" s="84">
        <v>3.2749340000000002E-2</v>
      </c>
      <c r="H13" s="84">
        <v>1.04</v>
      </c>
      <c r="I13" s="84">
        <v>9.4600000000000009</v>
      </c>
      <c r="J13" s="84">
        <v>0.95</v>
      </c>
      <c r="K13" s="84">
        <v>0.109936573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78" t="s">
        <v>203</v>
      </c>
      <c r="F14" s="84">
        <v>0</v>
      </c>
      <c r="G14" s="84">
        <v>0.215225533</v>
      </c>
      <c r="H14" s="84">
        <v>1.39</v>
      </c>
      <c r="I14" s="84">
        <v>14.08</v>
      </c>
      <c r="J14" s="84">
        <v>0.95</v>
      </c>
      <c r="K14" s="84">
        <v>9.8721589999999998E-2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78" t="s">
        <v>204</v>
      </c>
      <c r="F15" s="84">
        <v>0</v>
      </c>
      <c r="G15" s="84">
        <v>1.0210882400000001</v>
      </c>
      <c r="H15" s="84">
        <v>2.5</v>
      </c>
      <c r="I15" s="84">
        <v>13.65</v>
      </c>
      <c r="J15" s="84">
        <v>0.95</v>
      </c>
      <c r="K15" s="84">
        <v>0.18315018699999999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78" t="s">
        <v>205</v>
      </c>
      <c r="F16" s="84">
        <v>0</v>
      </c>
      <c r="G16" s="84">
        <v>0.69137036799999996</v>
      </c>
      <c r="H16" s="84">
        <v>1.22</v>
      </c>
      <c r="I16" s="84">
        <v>10.06</v>
      </c>
      <c r="J16" s="84">
        <v>0.95</v>
      </c>
      <c r="K16" s="84">
        <v>0.12127236299999999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78" t="s">
        <v>206</v>
      </c>
      <c r="F17" s="84">
        <v>0</v>
      </c>
      <c r="G17" s="84">
        <v>0.59791119999999998</v>
      </c>
      <c r="H17" s="84">
        <v>0.87</v>
      </c>
      <c r="I17" s="84">
        <v>13.51</v>
      </c>
      <c r="J17" s="84">
        <v>0.95</v>
      </c>
      <c r="K17" s="84">
        <v>6.4396739999999994E-2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78" t="s">
        <v>207</v>
      </c>
      <c r="F18" s="84">
        <v>0</v>
      </c>
      <c r="G18" s="84">
        <v>0.69977474200000001</v>
      </c>
      <c r="H18" s="84">
        <v>1.73</v>
      </c>
      <c r="I18" s="84">
        <v>11.83</v>
      </c>
      <c r="J18" s="84">
        <v>0.95</v>
      </c>
      <c r="K18" s="84">
        <v>0.146238387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78" t="s">
        <v>208</v>
      </c>
      <c r="F19" s="84">
        <v>0</v>
      </c>
      <c r="G19" s="84">
        <v>7.4462759999999997E-4</v>
      </c>
      <c r="H19" s="84">
        <v>0.99300003100000001</v>
      </c>
      <c r="I19" s="84">
        <v>6.62</v>
      </c>
      <c r="J19" s="84">
        <v>0.95</v>
      </c>
      <c r="K19" s="84">
        <v>0.15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78" t="s">
        <v>209</v>
      </c>
      <c r="F20" s="84">
        <v>0</v>
      </c>
      <c r="G20" s="84">
        <v>1.1176645799999999E-2</v>
      </c>
      <c r="H20" s="84">
        <v>1.48</v>
      </c>
      <c r="I20" s="84">
        <v>8.3699999999999992</v>
      </c>
      <c r="J20" s="84">
        <v>0.95</v>
      </c>
      <c r="K20" s="84">
        <v>0.17682199200000001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78" t="s">
        <v>210</v>
      </c>
      <c r="F21" s="84">
        <v>0</v>
      </c>
      <c r="G21" s="84">
        <v>9.7365060000000007E-3</v>
      </c>
      <c r="H21" s="84">
        <v>0.98</v>
      </c>
      <c r="I21" s="84">
        <v>8.3699999999999992</v>
      </c>
      <c r="J21" s="84">
        <v>0.95</v>
      </c>
      <c r="K21" s="84">
        <v>0.117084831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78" t="s">
        <v>211</v>
      </c>
      <c r="F22" s="84">
        <v>0</v>
      </c>
      <c r="G22" s="84">
        <v>9.7363770000000002E-2</v>
      </c>
      <c r="H22" s="84">
        <v>0.56000000000000005</v>
      </c>
      <c r="I22" s="84">
        <v>7.09</v>
      </c>
      <c r="J22" s="84">
        <v>0.95</v>
      </c>
      <c r="K22" s="84">
        <v>7.8984484100000002E-2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78" t="s">
        <v>212</v>
      </c>
      <c r="F23" s="84">
        <v>0</v>
      </c>
      <c r="G23" s="84">
        <v>2.967632E-3</v>
      </c>
      <c r="H23" s="84">
        <v>0.84</v>
      </c>
      <c r="I23" s="84">
        <v>7.71</v>
      </c>
      <c r="J23" s="84">
        <v>7.8102199999999997E-2</v>
      </c>
      <c r="K23" s="84">
        <v>0.10894941499999999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78" t="s">
        <v>213</v>
      </c>
      <c r="F24" s="84">
        <v>0</v>
      </c>
      <c r="G24" s="84">
        <v>8.5341310000000004E-2</v>
      </c>
      <c r="H24" s="84">
        <v>1.01</v>
      </c>
      <c r="I24" s="84">
        <v>9.8699999999999992</v>
      </c>
      <c r="J24" s="84">
        <v>0.123298988</v>
      </c>
      <c r="K24" s="84">
        <v>0.1023303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78" t="s">
        <v>214</v>
      </c>
      <c r="F25" s="84">
        <v>0</v>
      </c>
      <c r="G25" s="84">
        <v>3.21713239E-2</v>
      </c>
      <c r="H25" s="84">
        <v>0.89</v>
      </c>
      <c r="I25" s="84">
        <v>8.32</v>
      </c>
      <c r="J25" s="84">
        <v>0.95</v>
      </c>
      <c r="K25" s="84">
        <v>0.10697116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78" t="s">
        <v>215</v>
      </c>
      <c r="F26" s="84">
        <v>0</v>
      </c>
      <c r="G26" s="84">
        <v>1.4119158499999999E-2</v>
      </c>
      <c r="H26" s="84">
        <v>1.1399999999999999</v>
      </c>
      <c r="I26" s="84">
        <v>10.37</v>
      </c>
      <c r="J26" s="84">
        <v>0.95</v>
      </c>
      <c r="K26" s="84">
        <v>0.1099325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78" t="s">
        <v>216</v>
      </c>
      <c r="F27" s="84">
        <v>0</v>
      </c>
      <c r="G27" s="84">
        <v>2.597934E-2</v>
      </c>
      <c r="H27" s="84">
        <v>1.04</v>
      </c>
      <c r="I27" s="84">
        <v>13.71</v>
      </c>
      <c r="J27" s="84">
        <v>0.95</v>
      </c>
      <c r="K27" s="84">
        <v>7.58570358E-2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78" t="s">
        <v>217</v>
      </c>
      <c r="F28" s="84">
        <v>0</v>
      </c>
      <c r="G28" s="84">
        <v>1.3180751399999999E-2</v>
      </c>
      <c r="H28" s="84">
        <v>1.84</v>
      </c>
      <c r="I28" s="84">
        <v>9.01</v>
      </c>
      <c r="J28" s="84">
        <v>0.95</v>
      </c>
      <c r="K28" s="84">
        <v>0.204217538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78" t="s">
        <v>218</v>
      </c>
      <c r="F29" s="84">
        <v>0</v>
      </c>
      <c r="G29" s="84">
        <v>4.12274636E-2</v>
      </c>
      <c r="H29" s="84">
        <v>1.54</v>
      </c>
      <c r="I29" s="84">
        <v>10.86</v>
      </c>
      <c r="J29" s="84">
        <v>0.95</v>
      </c>
      <c r="K29" s="84">
        <v>0.14180478499999999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78" t="s">
        <v>219</v>
      </c>
      <c r="F30" s="84">
        <v>0</v>
      </c>
      <c r="G30" s="84">
        <v>7.5720734900000003E-2</v>
      </c>
      <c r="H30" s="84">
        <v>1.31</v>
      </c>
      <c r="I30" s="84">
        <v>12.13</v>
      </c>
      <c r="J30" s="84">
        <v>0.95</v>
      </c>
      <c r="K30" s="84">
        <v>0.107996695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78" t="s">
        <v>220</v>
      </c>
      <c r="F31" s="84">
        <v>0</v>
      </c>
      <c r="G31" s="84">
        <v>9.6687324300000002E-2</v>
      </c>
      <c r="H31" s="84">
        <v>1.69</v>
      </c>
      <c r="I31" s="84">
        <v>11.7</v>
      </c>
      <c r="J31" s="84">
        <v>0.140388981</v>
      </c>
      <c r="K31" s="84">
        <v>0.144444451</v>
      </c>
      <c r="L31" s="84">
        <v>0</v>
      </c>
      <c r="M31" s="84">
        <v>0.2</v>
      </c>
      <c r="N31" s="84">
        <v>0</v>
      </c>
    </row>
    <row r="32" spans="1:22" customFormat="1" ht="15" customHeight="1" x14ac:dyDescent="0.15">
      <c r="C32" s="84">
        <v>31</v>
      </c>
      <c r="E32" s="178" t="s">
        <v>221</v>
      </c>
      <c r="F32" s="84">
        <v>0</v>
      </c>
      <c r="G32" s="84">
        <v>0.12037247399999999</v>
      </c>
      <c r="H32" s="84">
        <v>1.06</v>
      </c>
      <c r="I32" s="84">
        <v>10.45</v>
      </c>
      <c r="J32" s="84">
        <v>0.95</v>
      </c>
      <c r="K32" s="84">
        <v>0.1014354</v>
      </c>
      <c r="L32" s="84">
        <v>0</v>
      </c>
      <c r="M32" s="84">
        <v>0.2</v>
      </c>
      <c r="N32" s="84">
        <v>0</v>
      </c>
    </row>
    <row r="33" spans="3:14" customFormat="1" ht="15" customHeight="1" x14ac:dyDescent="0.15">
      <c r="C33" s="84">
        <v>32</v>
      </c>
      <c r="E33" s="178" t="s">
        <v>222</v>
      </c>
      <c r="F33" s="84">
        <v>0</v>
      </c>
      <c r="G33" s="84">
        <v>1.905401E-2</v>
      </c>
      <c r="H33" s="84">
        <v>0.73</v>
      </c>
      <c r="I33" s="84">
        <v>6</v>
      </c>
      <c r="J33" s="84">
        <v>0.52216189999999996</v>
      </c>
      <c r="K33" s="84">
        <v>0.12166667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78" t="s">
        <v>223</v>
      </c>
      <c r="F34" s="84">
        <v>0</v>
      </c>
      <c r="G34" s="84">
        <v>0.15444201199999999</v>
      </c>
      <c r="H34" s="84">
        <v>0.52</v>
      </c>
      <c r="I34" s="84">
        <v>4.17</v>
      </c>
      <c r="J34" s="84">
        <v>0.95</v>
      </c>
      <c r="K34" s="84">
        <v>0.12470023299999999</v>
      </c>
      <c r="L34" s="84">
        <v>0</v>
      </c>
      <c r="M34" s="84">
        <v>0.2</v>
      </c>
      <c r="N34" s="84">
        <v>0</v>
      </c>
    </row>
    <row r="35" spans="3:14" customFormat="1" ht="15" customHeight="1" x14ac:dyDescent="0.15">
      <c r="C35" s="84">
        <v>34</v>
      </c>
      <c r="E35" s="178" t="s">
        <v>224</v>
      </c>
      <c r="F35" s="84">
        <v>0</v>
      </c>
      <c r="G35" s="84">
        <v>5.1214292600000003E-2</v>
      </c>
      <c r="H35" s="84">
        <v>0.59</v>
      </c>
      <c r="I35" s="84">
        <v>5.23</v>
      </c>
      <c r="J35" s="84">
        <v>0.95</v>
      </c>
      <c r="K35" s="84">
        <v>0.1128107</v>
      </c>
      <c r="L35" s="84">
        <v>0</v>
      </c>
      <c r="M35" s="84">
        <v>0.2</v>
      </c>
      <c r="N35" s="84">
        <v>0</v>
      </c>
    </row>
    <row r="36" spans="3:14" customFormat="1" ht="15" customHeight="1" x14ac:dyDescent="0.15">
      <c r="C36" s="84">
        <v>35</v>
      </c>
      <c r="E36" s="178" t="s">
        <v>225</v>
      </c>
      <c r="F36" s="84">
        <v>0</v>
      </c>
      <c r="G36" s="84">
        <v>8.0227439999999997E-2</v>
      </c>
      <c r="H36" s="84">
        <v>0.3</v>
      </c>
      <c r="I36" s="84">
        <v>4.7</v>
      </c>
      <c r="J36" s="84">
        <v>0.95</v>
      </c>
      <c r="K36" s="84">
        <v>6.3829794499999995E-2</v>
      </c>
      <c r="L36" s="84">
        <v>0</v>
      </c>
      <c r="M36" s="84">
        <v>0.2</v>
      </c>
      <c r="N36" s="84">
        <v>0</v>
      </c>
    </row>
    <row r="37" spans="3:14" customFormat="1" ht="15" customHeight="1" x14ac:dyDescent="0.15">
      <c r="C37" s="84">
        <v>36</v>
      </c>
      <c r="E37" s="178" t="s">
        <v>226</v>
      </c>
      <c r="F37" s="84">
        <v>0</v>
      </c>
      <c r="G37" s="84">
        <v>6.2737315900000007E-2</v>
      </c>
      <c r="H37" s="84">
        <v>0.8</v>
      </c>
      <c r="I37" s="84">
        <v>5</v>
      </c>
      <c r="J37" s="84">
        <v>0.95</v>
      </c>
      <c r="K37" s="84">
        <v>0.16</v>
      </c>
      <c r="L37" s="84">
        <v>0</v>
      </c>
      <c r="M37" s="84">
        <v>0.2</v>
      </c>
      <c r="N37" s="84">
        <v>0</v>
      </c>
    </row>
    <row r="38" spans="3:14" customFormat="1" ht="15" customHeight="1" x14ac:dyDescent="0.15">
      <c r="C38" s="84">
        <v>37</v>
      </c>
      <c r="E38" s="178" t="s">
        <v>227</v>
      </c>
      <c r="F38" s="84">
        <v>0</v>
      </c>
      <c r="G38" s="84">
        <v>3.566614</v>
      </c>
      <c r="H38" s="84">
        <v>3.36</v>
      </c>
      <c r="I38" s="84">
        <v>9.5</v>
      </c>
      <c r="J38" s="84">
        <v>4.3263500000000003E-2</v>
      </c>
      <c r="K38" s="84">
        <v>0.3536842</v>
      </c>
      <c r="L38" s="84">
        <v>0</v>
      </c>
      <c r="M38" s="84">
        <v>0.2</v>
      </c>
      <c r="N38" s="84">
        <v>0</v>
      </c>
    </row>
    <row r="39" spans="3:14" customFormat="1" ht="15" customHeight="1" x14ac:dyDescent="0.15">
      <c r="C39" s="84">
        <v>38</v>
      </c>
      <c r="E39" s="178" t="s">
        <v>228</v>
      </c>
      <c r="F39" s="84">
        <v>0</v>
      </c>
      <c r="G39" s="84">
        <v>0.61067190000000005</v>
      </c>
      <c r="H39" s="84">
        <v>2.5</v>
      </c>
      <c r="I39" s="84">
        <v>10</v>
      </c>
      <c r="J39" s="84">
        <v>0.95</v>
      </c>
      <c r="K39" s="84">
        <v>0.25</v>
      </c>
      <c r="L39" s="84">
        <v>0</v>
      </c>
      <c r="M39" s="84">
        <v>0.2</v>
      </c>
      <c r="N39" s="84">
        <v>0</v>
      </c>
    </row>
    <row r="40" spans="3:14" customFormat="1" ht="15" customHeight="1" x14ac:dyDescent="0.15">
      <c r="C40" s="84">
        <v>39</v>
      </c>
      <c r="E40" s="178" t="s">
        <v>229</v>
      </c>
      <c r="F40" s="84">
        <v>0</v>
      </c>
      <c r="G40" s="84">
        <v>2.9412226700000002</v>
      </c>
      <c r="H40" s="84">
        <v>5.5</v>
      </c>
      <c r="I40" s="84">
        <v>20</v>
      </c>
      <c r="J40" s="84">
        <v>0.95</v>
      </c>
      <c r="K40" s="84">
        <v>0.27500000000000002</v>
      </c>
      <c r="L40" s="84">
        <v>0</v>
      </c>
      <c r="M40" s="84">
        <v>0.2</v>
      </c>
      <c r="N40" s="84">
        <v>0</v>
      </c>
    </row>
    <row r="41" spans="3:14" customFormat="1" ht="15" customHeight="1" x14ac:dyDescent="0.15">
      <c r="C41" s="84">
        <v>40</v>
      </c>
      <c r="E41" s="178" t="s">
        <v>230</v>
      </c>
      <c r="F41" s="84">
        <v>0</v>
      </c>
      <c r="G41" s="84">
        <v>9.7186219999999999</v>
      </c>
      <c r="H41" s="84">
        <v>5</v>
      </c>
      <c r="I41" s="84">
        <v>25</v>
      </c>
      <c r="J41" s="84">
        <v>0.95</v>
      </c>
      <c r="K41" s="84">
        <v>0.2</v>
      </c>
      <c r="L41" s="84">
        <v>0</v>
      </c>
      <c r="M41" s="84">
        <v>0.2</v>
      </c>
      <c r="N41" s="84">
        <v>0</v>
      </c>
    </row>
    <row r="42" spans="3:14" customFormat="1" ht="15" customHeight="1" x14ac:dyDescent="0.15">
      <c r="C42" s="84">
        <v>41</v>
      </c>
      <c r="E42" s="178" t="s">
        <v>231</v>
      </c>
      <c r="F42" s="84">
        <v>0</v>
      </c>
      <c r="G42" s="84">
        <v>1.9259288299999999</v>
      </c>
      <c r="H42" s="84">
        <v>10</v>
      </c>
      <c r="I42" s="84">
        <v>50</v>
      </c>
      <c r="J42" s="84">
        <v>0.95</v>
      </c>
      <c r="K42" s="84">
        <v>0.2</v>
      </c>
      <c r="L42" s="84">
        <v>0</v>
      </c>
      <c r="M42" s="84">
        <v>0.2</v>
      </c>
      <c r="N42" s="84">
        <v>0</v>
      </c>
    </row>
    <row r="43" spans="3:14" customFormat="1" ht="15" customHeight="1" x14ac:dyDescent="0.15">
      <c r="C43" s="84">
        <v>42</v>
      </c>
      <c r="E43" s="178" t="s">
        <v>232</v>
      </c>
      <c r="F43" s="84">
        <v>0</v>
      </c>
      <c r="G43" s="84">
        <v>4.0277810000000001</v>
      </c>
      <c r="H43" s="84">
        <v>40</v>
      </c>
      <c r="I43" s="84">
        <v>200</v>
      </c>
      <c r="J43" s="84">
        <v>0.95</v>
      </c>
      <c r="K43" s="84">
        <v>0.2</v>
      </c>
      <c r="L43" s="84">
        <v>0</v>
      </c>
      <c r="M43" s="84">
        <v>0.2</v>
      </c>
      <c r="N43" s="84">
        <v>0</v>
      </c>
    </row>
    <row r="44" spans="3:14" customFormat="1" ht="15" customHeight="1" x14ac:dyDescent="0.15">
      <c r="C44" s="84">
        <v>43</v>
      </c>
      <c r="E44" s="178" t="s">
        <v>233</v>
      </c>
      <c r="F44" s="84">
        <v>1</v>
      </c>
      <c r="G44" s="84">
        <v>24</v>
      </c>
      <c r="H44" s="84">
        <v>197</v>
      </c>
      <c r="I44" s="84">
        <v>0</v>
      </c>
      <c r="J44" s="84">
        <v>0.15894225200000001</v>
      </c>
      <c r="K44" s="84">
        <v>0</v>
      </c>
      <c r="L44" s="84">
        <v>0</v>
      </c>
      <c r="M44" s="84">
        <v>0</v>
      </c>
      <c r="N44" s="84">
        <v>0</v>
      </c>
    </row>
    <row r="45" spans="3:14" customFormat="1" ht="15" customHeight="1" x14ac:dyDescent="0.15">
      <c r="C45" s="84">
        <v>44</v>
      </c>
      <c r="E45" s="178" t="s">
        <v>234</v>
      </c>
      <c r="F45" s="84">
        <v>2</v>
      </c>
      <c r="G45" s="84">
        <v>153.31246899999999</v>
      </c>
      <c r="H45" s="84">
        <v>0</v>
      </c>
      <c r="I45" s="84">
        <v>0</v>
      </c>
      <c r="J45" s="84">
        <v>0</v>
      </c>
      <c r="K45" s="84">
        <v>0</v>
      </c>
      <c r="L45" s="84">
        <v>0</v>
      </c>
      <c r="M45" s="84">
        <v>0</v>
      </c>
      <c r="N45" s="84">
        <v>0</v>
      </c>
    </row>
    <row r="46" spans="3:14" customFormat="1" ht="15" customHeight="1" x14ac:dyDescent="0.15">
      <c r="C46" s="84">
        <v>45</v>
      </c>
      <c r="E46" s="178" t="s">
        <v>235</v>
      </c>
      <c r="F46" s="84">
        <v>2</v>
      </c>
      <c r="G46" s="84">
        <v>5</v>
      </c>
      <c r="H46" s="84">
        <v>0</v>
      </c>
      <c r="I46" s="84">
        <v>0</v>
      </c>
      <c r="J46" s="84">
        <v>0</v>
      </c>
      <c r="K46" s="84">
        <v>0</v>
      </c>
      <c r="L46" s="84">
        <v>0</v>
      </c>
      <c r="M46" s="84">
        <v>0</v>
      </c>
      <c r="N46" s="84">
        <v>0</v>
      </c>
    </row>
    <row r="47" spans="3:14" customFormat="1" ht="15" customHeight="1" x14ac:dyDescent="0.15">
      <c r="C47" s="84">
        <v>46</v>
      </c>
      <c r="E47" s="178" t="s">
        <v>236</v>
      </c>
      <c r="F47" s="84">
        <v>3</v>
      </c>
      <c r="G47" s="84">
        <v>0</v>
      </c>
      <c r="H47" s="84">
        <v>0</v>
      </c>
      <c r="I47" s="84">
        <v>0</v>
      </c>
      <c r="J47" s="84">
        <v>0</v>
      </c>
      <c r="K47" s="84">
        <v>0</v>
      </c>
      <c r="L47" s="84">
        <v>0</v>
      </c>
      <c r="M47" s="84">
        <v>0</v>
      </c>
      <c r="N47" s="84">
        <v>0</v>
      </c>
    </row>
    <row r="48" spans="3:14" customFormat="1" ht="15" customHeight="1" x14ac:dyDescent="0.15">
      <c r="C48" s="84">
        <v>47</v>
      </c>
      <c r="E48" s="178" t="s">
        <v>237</v>
      </c>
      <c r="F48" s="84">
        <v>3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0</v>
      </c>
      <c r="M48" s="84">
        <v>0</v>
      </c>
      <c r="N48" s="84">
        <v>0</v>
      </c>
    </row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T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7.5" style="143" bestFit="1" customWidth="1"/>
    <col min="2" max="2" width="13.83203125" style="143" bestFit="1" customWidth="1"/>
    <col min="3" max="3" width="15.83203125" style="143" bestFit="1" customWidth="1"/>
    <col min="4" max="4" width="3.83203125" style="143" bestFit="1" customWidth="1"/>
    <col min="5" max="6" width="14.83203125" style="143" bestFit="1" customWidth="1"/>
    <col min="7" max="7" width="15.83203125" style="143" bestFit="1" customWidth="1"/>
    <col min="8" max="10" width="14.83203125" style="143" bestFit="1" customWidth="1"/>
    <col min="11" max="11" width="15.83203125" style="143" bestFit="1" customWidth="1"/>
    <col min="12" max="13" width="14.83203125" style="143" bestFit="1" customWidth="1"/>
    <col min="14" max="14" width="13.83203125" style="143" bestFit="1" customWidth="1"/>
    <col min="15" max="15" width="14.83203125" style="143" bestFit="1" customWidth="1"/>
    <col min="16" max="16" width="6.83203125" style="143" bestFit="1" customWidth="1"/>
    <col min="17" max="17" width="3.83203125" style="143" bestFit="1" customWidth="1"/>
    <col min="18" max="18" width="7.83203125" style="143" bestFit="1" customWidth="1"/>
    <col min="19" max="19" width="13.83203125" style="143" bestFit="1" customWidth="1"/>
    <col min="20" max="20" width="15.83203125" style="143" bestFit="1" customWidth="1"/>
    <col min="21" max="21" width="13.83203125" style="143" bestFit="1" customWidth="1"/>
    <col min="22" max="22" width="14.83203125" style="143" bestFit="1" customWidth="1"/>
    <col min="23" max="23" width="12.83203125" style="143" bestFit="1" customWidth="1"/>
    <col min="24" max="25" width="14.83203125" style="143" bestFit="1" customWidth="1"/>
    <col min="26" max="26" width="12.83203125" style="143" bestFit="1" customWidth="1"/>
    <col min="27" max="27" width="15.83203125" style="143" bestFit="1" customWidth="1"/>
    <col min="28" max="28" width="14.83203125" style="143" bestFit="1" customWidth="1"/>
    <col min="29" max="29" width="15.83203125" style="143" bestFit="1" customWidth="1"/>
    <col min="30" max="30" width="14.83203125" style="143" customWidth="1"/>
    <col min="31" max="31" width="13.83203125" style="143" customWidth="1"/>
    <col min="32" max="34" width="14.83203125" style="143" customWidth="1"/>
    <col min="35" max="35" width="13.83203125" style="143" customWidth="1"/>
    <col min="36" max="36" width="12.83203125" style="143" customWidth="1"/>
    <col min="37" max="37" width="13.83203125" style="143" customWidth="1"/>
    <col min="38" max="39" width="14.83203125" style="143" customWidth="1"/>
    <col min="40" max="42" width="4.83203125" style="143" customWidth="1"/>
    <col min="43" max="43" width="3.83203125" style="143" customWidth="1"/>
    <col min="44" max="46" width="2.33203125" style="143" customWidth="1"/>
    <col min="47" max="16384" width="8.83203125" style="143"/>
  </cols>
  <sheetData>
    <row r="1" spans="1:46" x14ac:dyDescent="0.15">
      <c r="A1" s="142" t="s">
        <v>19</v>
      </c>
      <c r="B1" s="180" t="s">
        <v>191</v>
      </c>
      <c r="C1" s="180" t="s">
        <v>192</v>
      </c>
      <c r="D1" s="180" t="s">
        <v>193</v>
      </c>
      <c r="E1" s="180" t="s">
        <v>194</v>
      </c>
      <c r="F1" s="180" t="s">
        <v>195</v>
      </c>
      <c r="G1" s="180" t="s">
        <v>196</v>
      </c>
      <c r="H1" s="180" t="s">
        <v>197</v>
      </c>
      <c r="I1" s="180" t="s">
        <v>198</v>
      </c>
      <c r="J1" s="180" t="s">
        <v>199</v>
      </c>
      <c r="K1" s="180" t="s">
        <v>200</v>
      </c>
      <c r="L1" s="180" t="s">
        <v>201</v>
      </c>
      <c r="M1" s="180" t="s">
        <v>202</v>
      </c>
      <c r="N1" s="180" t="s">
        <v>203</v>
      </c>
      <c r="O1" s="180" t="s">
        <v>204</v>
      </c>
      <c r="P1" s="180" t="s">
        <v>205</v>
      </c>
      <c r="Q1" s="180" t="s">
        <v>206</v>
      </c>
      <c r="R1" s="180" t="s">
        <v>207</v>
      </c>
      <c r="S1" s="180" t="s">
        <v>208</v>
      </c>
      <c r="T1" s="180" t="s">
        <v>209</v>
      </c>
      <c r="U1" s="180" t="s">
        <v>210</v>
      </c>
      <c r="V1" s="180" t="s">
        <v>211</v>
      </c>
      <c r="W1" s="180" t="s">
        <v>212</v>
      </c>
      <c r="X1" s="180" t="s">
        <v>213</v>
      </c>
      <c r="Y1" s="180" t="s">
        <v>214</v>
      </c>
      <c r="Z1" s="180" t="s">
        <v>215</v>
      </c>
      <c r="AA1" s="180" t="s">
        <v>216</v>
      </c>
      <c r="AB1" s="180" t="s">
        <v>217</v>
      </c>
      <c r="AC1" s="180" t="s">
        <v>218</v>
      </c>
      <c r="AD1" s="180" t="s">
        <v>219</v>
      </c>
      <c r="AE1" s="180" t="s">
        <v>220</v>
      </c>
      <c r="AF1" s="180" t="s">
        <v>221</v>
      </c>
      <c r="AG1" s="180" t="s">
        <v>222</v>
      </c>
      <c r="AH1" s="180" t="s">
        <v>223</v>
      </c>
      <c r="AI1" s="180" t="s">
        <v>224</v>
      </c>
      <c r="AJ1" s="180" t="s">
        <v>225</v>
      </c>
      <c r="AK1" s="180" t="s">
        <v>226</v>
      </c>
      <c r="AL1" s="180" t="s">
        <v>227</v>
      </c>
      <c r="AM1" s="180" t="s">
        <v>228</v>
      </c>
      <c r="AN1" s="180" t="s">
        <v>229</v>
      </c>
      <c r="AO1" s="180" t="s">
        <v>230</v>
      </c>
      <c r="AP1" s="180" t="s">
        <v>231</v>
      </c>
      <c r="AQ1" s="180" t="s">
        <v>232</v>
      </c>
      <c r="AR1" s="180" t="s">
        <v>233</v>
      </c>
      <c r="AS1" s="180" t="s">
        <v>234</v>
      </c>
      <c r="AT1" s="180" t="s">
        <v>235</v>
      </c>
    </row>
    <row r="2" spans="1:46" customFormat="1" x14ac:dyDescent="0.15">
      <c r="A2" s="179" t="s">
        <v>191</v>
      </c>
      <c r="B2" s="143">
        <v>0</v>
      </c>
      <c r="C2" s="143">
        <v>0</v>
      </c>
      <c r="D2" s="143">
        <v>0</v>
      </c>
      <c r="E2" s="143">
        <v>0</v>
      </c>
      <c r="F2" s="143">
        <v>1.0020040012024046E-3</v>
      </c>
      <c r="G2" s="143">
        <v>1.0047915922908243E-3</v>
      </c>
      <c r="H2" s="143">
        <v>0</v>
      </c>
      <c r="I2" s="143">
        <v>0</v>
      </c>
      <c r="J2" s="143">
        <v>0</v>
      </c>
      <c r="K2" s="143">
        <v>0</v>
      </c>
      <c r="L2" s="143">
        <v>0</v>
      </c>
      <c r="M2" s="143">
        <v>0</v>
      </c>
      <c r="N2" s="143">
        <v>0</v>
      </c>
      <c r="O2" s="143">
        <v>0</v>
      </c>
      <c r="P2" s="143">
        <v>0</v>
      </c>
      <c r="Q2" s="143">
        <v>0</v>
      </c>
      <c r="R2" s="143">
        <v>0</v>
      </c>
      <c r="S2" s="143">
        <v>0</v>
      </c>
      <c r="T2" s="143">
        <v>0</v>
      </c>
      <c r="U2" s="143">
        <v>0</v>
      </c>
      <c r="V2" s="143">
        <v>0</v>
      </c>
      <c r="W2" s="143">
        <v>0</v>
      </c>
      <c r="X2" s="143">
        <v>0</v>
      </c>
      <c r="Y2" s="143">
        <v>0</v>
      </c>
      <c r="Z2" s="143">
        <v>0</v>
      </c>
      <c r="AA2" s="143">
        <v>0</v>
      </c>
      <c r="AB2" s="143">
        <v>0</v>
      </c>
      <c r="AC2" s="143">
        <v>0</v>
      </c>
      <c r="AD2" s="143">
        <v>0</v>
      </c>
      <c r="AE2" s="143">
        <v>0</v>
      </c>
      <c r="AF2" s="143">
        <v>0</v>
      </c>
      <c r="AG2" s="143">
        <v>0</v>
      </c>
      <c r="AH2" s="143">
        <v>0</v>
      </c>
      <c r="AI2" s="143">
        <v>0</v>
      </c>
      <c r="AJ2" s="143">
        <v>0</v>
      </c>
      <c r="AK2" s="143">
        <v>0</v>
      </c>
      <c r="AL2" s="143">
        <v>0</v>
      </c>
      <c r="AM2" s="143">
        <v>0</v>
      </c>
      <c r="AN2" s="143">
        <v>0</v>
      </c>
      <c r="AO2" s="143">
        <v>0</v>
      </c>
      <c r="AP2" s="143">
        <v>0</v>
      </c>
      <c r="AQ2" s="143">
        <v>0</v>
      </c>
      <c r="AR2" s="143">
        <v>0</v>
      </c>
      <c r="AS2" s="143">
        <v>0</v>
      </c>
      <c r="AT2" s="143">
        <v>0</v>
      </c>
    </row>
    <row r="3" spans="1:46" customFormat="1" x14ac:dyDescent="0.15">
      <c r="A3" s="179" t="s">
        <v>192</v>
      </c>
      <c r="B3" s="143">
        <v>0</v>
      </c>
      <c r="C3" s="143">
        <v>3.8485953281503746E-4</v>
      </c>
      <c r="D3" s="143">
        <v>0</v>
      </c>
      <c r="E3" s="143">
        <v>0</v>
      </c>
      <c r="F3" s="143">
        <v>1.2024047814428857E-2</v>
      </c>
      <c r="G3" s="143">
        <v>1.9091040043525662E-2</v>
      </c>
      <c r="H3" s="143">
        <v>0</v>
      </c>
      <c r="I3" s="143">
        <v>0</v>
      </c>
      <c r="J3" s="143">
        <v>0</v>
      </c>
      <c r="K3" s="143">
        <v>0</v>
      </c>
      <c r="L3" s="143">
        <v>0</v>
      </c>
      <c r="M3" s="143">
        <v>0</v>
      </c>
      <c r="N3" s="143">
        <v>0</v>
      </c>
      <c r="O3" s="143">
        <v>0</v>
      </c>
      <c r="P3" s="143">
        <v>0</v>
      </c>
      <c r="Q3" s="143">
        <v>0</v>
      </c>
      <c r="R3" s="143">
        <v>0</v>
      </c>
      <c r="S3" s="143">
        <v>0</v>
      </c>
      <c r="T3" s="143">
        <v>0</v>
      </c>
      <c r="U3" s="143">
        <v>0</v>
      </c>
      <c r="V3" s="143">
        <v>0</v>
      </c>
      <c r="W3" s="143">
        <v>0</v>
      </c>
      <c r="X3" s="143">
        <v>0</v>
      </c>
      <c r="Y3" s="143">
        <v>0</v>
      </c>
      <c r="Z3" s="143">
        <v>0</v>
      </c>
      <c r="AA3" s="143">
        <v>0</v>
      </c>
      <c r="AB3" s="143">
        <v>0</v>
      </c>
      <c r="AC3" s="143">
        <v>0</v>
      </c>
      <c r="AD3" s="143">
        <v>0</v>
      </c>
      <c r="AE3" s="143">
        <v>0</v>
      </c>
      <c r="AF3" s="143">
        <v>0</v>
      </c>
      <c r="AG3" s="143">
        <v>0</v>
      </c>
      <c r="AH3" s="143">
        <v>0</v>
      </c>
      <c r="AI3" s="143">
        <v>0</v>
      </c>
      <c r="AJ3" s="143">
        <v>0</v>
      </c>
      <c r="AK3" s="143">
        <v>0</v>
      </c>
      <c r="AL3" s="143">
        <v>0</v>
      </c>
      <c r="AM3" s="143">
        <v>0</v>
      </c>
      <c r="AN3" s="143">
        <v>0</v>
      </c>
      <c r="AO3" s="143">
        <v>0</v>
      </c>
      <c r="AP3" s="143">
        <v>0</v>
      </c>
      <c r="AQ3" s="143">
        <v>0</v>
      </c>
      <c r="AR3" s="143">
        <v>0</v>
      </c>
      <c r="AS3" s="143">
        <v>0</v>
      </c>
      <c r="AT3" s="143">
        <v>0</v>
      </c>
    </row>
    <row r="4" spans="1:46" customFormat="1" x14ac:dyDescent="0.15">
      <c r="A4" s="179" t="s">
        <v>193</v>
      </c>
      <c r="B4" s="143">
        <v>0</v>
      </c>
      <c r="C4" s="143">
        <v>3.8485953281503746E-4</v>
      </c>
      <c r="D4" s="143">
        <v>0</v>
      </c>
      <c r="E4" s="143">
        <v>0</v>
      </c>
      <c r="F4" s="143">
        <v>0</v>
      </c>
      <c r="G4" s="143">
        <v>6.0287495237449458E-3</v>
      </c>
      <c r="H4" s="143">
        <v>0</v>
      </c>
      <c r="I4" s="143">
        <v>0</v>
      </c>
      <c r="J4" s="143">
        <v>0</v>
      </c>
      <c r="K4" s="143">
        <v>0</v>
      </c>
      <c r="L4" s="143">
        <v>0</v>
      </c>
      <c r="M4" s="143">
        <v>0</v>
      </c>
      <c r="N4" s="143">
        <v>0</v>
      </c>
      <c r="O4" s="143">
        <v>0</v>
      </c>
      <c r="P4" s="143">
        <v>0</v>
      </c>
      <c r="Q4" s="143">
        <v>0</v>
      </c>
      <c r="R4" s="143">
        <v>0</v>
      </c>
      <c r="S4" s="143">
        <v>0</v>
      </c>
      <c r="T4" s="143">
        <v>0</v>
      </c>
      <c r="U4" s="143">
        <v>0</v>
      </c>
      <c r="V4" s="143">
        <v>8.0152288359843712E-3</v>
      </c>
      <c r="W4" s="143">
        <v>0</v>
      </c>
      <c r="X4" s="143">
        <v>0</v>
      </c>
      <c r="Y4" s="143">
        <v>0</v>
      </c>
      <c r="Z4" s="143">
        <v>0</v>
      </c>
      <c r="AA4" s="143">
        <v>0</v>
      </c>
      <c r="AB4" s="143">
        <v>0</v>
      </c>
      <c r="AC4" s="143">
        <v>0</v>
      </c>
      <c r="AD4" s="143">
        <v>0</v>
      </c>
      <c r="AE4" s="143">
        <v>0</v>
      </c>
      <c r="AF4" s="143">
        <v>0</v>
      </c>
      <c r="AG4" s="143">
        <v>0</v>
      </c>
      <c r="AH4" s="143">
        <v>0</v>
      </c>
      <c r="AI4" s="143">
        <v>0</v>
      </c>
      <c r="AJ4" s="143">
        <v>0</v>
      </c>
      <c r="AK4" s="143">
        <v>0</v>
      </c>
      <c r="AL4" s="143">
        <v>0</v>
      </c>
      <c r="AM4" s="143">
        <v>0</v>
      </c>
      <c r="AN4" s="143">
        <v>0</v>
      </c>
      <c r="AO4" s="143">
        <v>0</v>
      </c>
      <c r="AP4" s="143">
        <v>0</v>
      </c>
      <c r="AQ4" s="143">
        <v>0</v>
      </c>
      <c r="AR4" s="143">
        <v>0</v>
      </c>
      <c r="AS4" s="143">
        <v>0</v>
      </c>
      <c r="AT4" s="143">
        <v>0</v>
      </c>
    </row>
    <row r="5" spans="1:46" customFormat="1" x14ac:dyDescent="0.15">
      <c r="A5" s="179" t="s">
        <v>194</v>
      </c>
      <c r="B5" s="143">
        <v>0</v>
      </c>
      <c r="C5" s="143">
        <v>0</v>
      </c>
      <c r="D5" s="143">
        <v>0</v>
      </c>
      <c r="E5" s="143">
        <v>0</v>
      </c>
      <c r="F5" s="143">
        <v>0</v>
      </c>
      <c r="G5" s="143">
        <v>1.5373417435049855E-4</v>
      </c>
      <c r="H5" s="143">
        <v>0</v>
      </c>
      <c r="I5" s="143">
        <v>0</v>
      </c>
      <c r="J5" s="143">
        <v>0</v>
      </c>
      <c r="K5" s="143">
        <v>0</v>
      </c>
      <c r="L5" s="143">
        <v>0</v>
      </c>
      <c r="M5" s="143">
        <v>0</v>
      </c>
      <c r="N5" s="143">
        <v>0</v>
      </c>
      <c r="O5" s="143">
        <v>0</v>
      </c>
      <c r="P5" s="143">
        <v>0</v>
      </c>
      <c r="Q5" s="143">
        <v>0</v>
      </c>
      <c r="R5" s="143">
        <v>0</v>
      </c>
      <c r="S5" s="143">
        <v>0</v>
      </c>
      <c r="T5" s="143">
        <v>0</v>
      </c>
      <c r="U5" s="143">
        <v>0</v>
      </c>
      <c r="V5" s="143">
        <v>0</v>
      </c>
      <c r="W5" s="143">
        <v>0</v>
      </c>
      <c r="X5" s="143">
        <v>0</v>
      </c>
      <c r="Y5" s="143">
        <v>0</v>
      </c>
      <c r="Z5" s="143">
        <v>0</v>
      </c>
      <c r="AA5" s="143">
        <v>0</v>
      </c>
      <c r="AB5" s="143">
        <v>0</v>
      </c>
      <c r="AC5" s="143">
        <v>0</v>
      </c>
      <c r="AD5" s="143">
        <v>0</v>
      </c>
      <c r="AE5" s="143">
        <v>0</v>
      </c>
      <c r="AF5" s="143">
        <v>0</v>
      </c>
      <c r="AG5" s="143">
        <v>0</v>
      </c>
      <c r="AH5" s="143">
        <v>0</v>
      </c>
      <c r="AI5" s="143">
        <v>0</v>
      </c>
      <c r="AJ5" s="143">
        <v>0</v>
      </c>
      <c r="AK5" s="143">
        <v>0</v>
      </c>
      <c r="AL5" s="143">
        <v>0</v>
      </c>
      <c r="AM5" s="143">
        <v>0</v>
      </c>
      <c r="AN5" s="143">
        <v>0</v>
      </c>
      <c r="AO5" s="143">
        <v>0</v>
      </c>
      <c r="AP5" s="143">
        <v>0</v>
      </c>
      <c r="AQ5" s="143">
        <v>0</v>
      </c>
      <c r="AR5" s="143">
        <v>0</v>
      </c>
      <c r="AS5" s="143">
        <v>0</v>
      </c>
      <c r="AT5" s="143">
        <v>0</v>
      </c>
    </row>
    <row r="6" spans="1:46" customFormat="1" x14ac:dyDescent="0.15">
      <c r="A6" s="179" t="s">
        <v>195</v>
      </c>
      <c r="B6" s="143">
        <v>0</v>
      </c>
      <c r="C6" s="143">
        <v>0</v>
      </c>
      <c r="D6" s="143">
        <v>0</v>
      </c>
      <c r="E6" s="143">
        <v>0</v>
      </c>
      <c r="F6" s="143">
        <v>0</v>
      </c>
      <c r="G6" s="143">
        <v>5.0239580114541226E-3</v>
      </c>
      <c r="H6" s="143">
        <v>0</v>
      </c>
      <c r="I6" s="143">
        <v>0</v>
      </c>
      <c r="J6" s="143">
        <v>0</v>
      </c>
      <c r="K6" s="143">
        <v>0</v>
      </c>
      <c r="L6" s="143">
        <v>0</v>
      </c>
      <c r="M6" s="143">
        <v>0</v>
      </c>
      <c r="N6" s="143">
        <v>0</v>
      </c>
      <c r="O6" s="143">
        <v>0</v>
      </c>
      <c r="P6" s="143">
        <v>0</v>
      </c>
      <c r="Q6" s="143">
        <v>0</v>
      </c>
      <c r="R6" s="143">
        <v>0</v>
      </c>
      <c r="S6" s="143">
        <v>0</v>
      </c>
      <c r="T6" s="143">
        <v>0</v>
      </c>
      <c r="U6" s="143">
        <v>0</v>
      </c>
      <c r="V6" s="143">
        <v>0</v>
      </c>
      <c r="W6" s="143">
        <v>0</v>
      </c>
      <c r="X6" s="143">
        <v>0</v>
      </c>
      <c r="Y6" s="143">
        <v>0</v>
      </c>
      <c r="Z6" s="143">
        <v>0</v>
      </c>
      <c r="AA6" s="143">
        <v>0</v>
      </c>
      <c r="AB6" s="143">
        <v>0</v>
      </c>
      <c r="AC6" s="143">
        <v>0</v>
      </c>
      <c r="AD6" s="143">
        <v>0</v>
      </c>
      <c r="AE6" s="143">
        <v>0</v>
      </c>
      <c r="AF6" s="143">
        <v>0</v>
      </c>
      <c r="AG6" s="143">
        <v>0</v>
      </c>
      <c r="AH6" s="143">
        <v>0</v>
      </c>
      <c r="AI6" s="143">
        <v>0</v>
      </c>
      <c r="AJ6" s="143">
        <v>0</v>
      </c>
      <c r="AK6" s="143">
        <v>0</v>
      </c>
      <c r="AL6" s="143">
        <v>0</v>
      </c>
      <c r="AM6" s="143">
        <v>0</v>
      </c>
      <c r="AN6" s="143">
        <v>0</v>
      </c>
      <c r="AO6" s="143">
        <v>0</v>
      </c>
      <c r="AP6" s="143">
        <v>0</v>
      </c>
      <c r="AQ6" s="143">
        <v>0</v>
      </c>
      <c r="AR6" s="143">
        <v>0</v>
      </c>
      <c r="AS6" s="143">
        <v>0</v>
      </c>
      <c r="AT6" s="143">
        <v>0</v>
      </c>
    </row>
    <row r="7" spans="1:46" customFormat="1" x14ac:dyDescent="0.15">
      <c r="A7" s="179" t="s">
        <v>196</v>
      </c>
      <c r="B7" s="143">
        <v>0</v>
      </c>
      <c r="C7" s="143">
        <v>0</v>
      </c>
      <c r="D7" s="143">
        <v>0</v>
      </c>
      <c r="E7" s="143">
        <v>0</v>
      </c>
      <c r="F7" s="143">
        <v>0</v>
      </c>
      <c r="G7" s="143">
        <v>1.0047915922908243E-3</v>
      </c>
      <c r="H7" s="143">
        <v>0</v>
      </c>
      <c r="I7" s="143">
        <v>0</v>
      </c>
      <c r="J7" s="143">
        <v>0</v>
      </c>
      <c r="K7" s="143">
        <v>0</v>
      </c>
      <c r="L7" s="143">
        <v>0</v>
      </c>
      <c r="M7" s="143">
        <v>0</v>
      </c>
      <c r="N7" s="143">
        <v>0</v>
      </c>
      <c r="O7" s="143">
        <v>0</v>
      </c>
      <c r="P7" s="143">
        <v>0</v>
      </c>
      <c r="Q7" s="143">
        <v>0</v>
      </c>
      <c r="R7" s="143">
        <v>0</v>
      </c>
      <c r="S7" s="143">
        <v>0</v>
      </c>
      <c r="T7" s="143">
        <v>0</v>
      </c>
      <c r="U7" s="143">
        <v>0</v>
      </c>
      <c r="V7" s="143">
        <v>1.0009018095185461E-4</v>
      </c>
      <c r="W7" s="143">
        <v>0</v>
      </c>
      <c r="X7" s="143">
        <v>0</v>
      </c>
      <c r="Y7" s="143">
        <v>0</v>
      </c>
      <c r="Z7" s="143">
        <v>0</v>
      </c>
      <c r="AA7" s="143">
        <v>0</v>
      </c>
      <c r="AB7" s="143">
        <v>0</v>
      </c>
      <c r="AC7" s="143">
        <v>0</v>
      </c>
      <c r="AD7" s="143">
        <v>0</v>
      </c>
      <c r="AE7" s="143">
        <v>0</v>
      </c>
      <c r="AF7" s="143">
        <v>0</v>
      </c>
      <c r="AG7" s="143">
        <v>0</v>
      </c>
      <c r="AH7" s="143">
        <v>0</v>
      </c>
      <c r="AI7" s="143">
        <v>0</v>
      </c>
      <c r="AJ7" s="143">
        <v>0</v>
      </c>
      <c r="AK7" s="143">
        <v>0</v>
      </c>
      <c r="AL7" s="143">
        <v>0</v>
      </c>
      <c r="AM7" s="143">
        <v>0</v>
      </c>
      <c r="AN7" s="143">
        <v>0</v>
      </c>
      <c r="AO7" s="143">
        <v>0</v>
      </c>
      <c r="AP7" s="143">
        <v>0</v>
      </c>
      <c r="AQ7" s="143">
        <v>0</v>
      </c>
      <c r="AR7" s="143">
        <v>0</v>
      </c>
      <c r="AS7" s="143">
        <v>0</v>
      </c>
      <c r="AT7" s="143">
        <v>0</v>
      </c>
    </row>
    <row r="8" spans="1:46" customFormat="1" x14ac:dyDescent="0.15">
      <c r="A8" s="179" t="s">
        <v>197</v>
      </c>
      <c r="B8" s="143">
        <v>0</v>
      </c>
      <c r="C8" s="143">
        <v>0</v>
      </c>
      <c r="D8" s="143">
        <v>0</v>
      </c>
      <c r="E8" s="143">
        <v>0</v>
      </c>
      <c r="F8" s="143">
        <v>6.0120240072144291E-3</v>
      </c>
      <c r="G8" s="143">
        <v>2.9138956266433907E-2</v>
      </c>
      <c r="H8" s="143">
        <v>0</v>
      </c>
      <c r="I8" s="143">
        <v>0</v>
      </c>
      <c r="J8" s="143">
        <v>1.122142986683529E-3</v>
      </c>
      <c r="K8" s="143">
        <v>0</v>
      </c>
      <c r="L8" s="143">
        <v>0</v>
      </c>
      <c r="M8" s="143">
        <v>0</v>
      </c>
      <c r="N8" s="143">
        <v>0</v>
      </c>
      <c r="O8" s="143">
        <v>0</v>
      </c>
      <c r="P8" s="143">
        <v>0</v>
      </c>
      <c r="Q8" s="143">
        <v>0</v>
      </c>
      <c r="R8" s="143">
        <v>0</v>
      </c>
      <c r="S8" s="143">
        <v>0</v>
      </c>
      <c r="T8" s="143">
        <v>0</v>
      </c>
      <c r="U8" s="143">
        <v>0</v>
      </c>
      <c r="V8" s="143">
        <v>0</v>
      </c>
      <c r="W8" s="143">
        <v>0</v>
      </c>
      <c r="X8" s="143">
        <v>0</v>
      </c>
      <c r="Y8" s="143">
        <v>0</v>
      </c>
      <c r="Z8" s="143">
        <v>0</v>
      </c>
      <c r="AA8" s="143">
        <v>0</v>
      </c>
      <c r="AB8" s="143">
        <v>0</v>
      </c>
      <c r="AC8" s="143">
        <v>0</v>
      </c>
      <c r="AD8" s="143">
        <v>0</v>
      </c>
      <c r="AE8" s="143">
        <v>0</v>
      </c>
      <c r="AF8" s="143">
        <v>0</v>
      </c>
      <c r="AG8" s="143">
        <v>0</v>
      </c>
      <c r="AH8" s="143">
        <v>0</v>
      </c>
      <c r="AI8" s="143">
        <v>0</v>
      </c>
      <c r="AJ8" s="143">
        <v>0</v>
      </c>
      <c r="AK8" s="143">
        <v>0</v>
      </c>
      <c r="AL8" s="143">
        <v>0</v>
      </c>
      <c r="AM8" s="143">
        <v>0</v>
      </c>
      <c r="AN8" s="143">
        <v>0</v>
      </c>
      <c r="AO8" s="143">
        <v>0</v>
      </c>
      <c r="AP8" s="143">
        <v>0</v>
      </c>
      <c r="AQ8" s="143">
        <v>0</v>
      </c>
      <c r="AR8" s="143">
        <v>0</v>
      </c>
      <c r="AS8" s="143">
        <v>0</v>
      </c>
      <c r="AT8" s="143">
        <v>0</v>
      </c>
    </row>
    <row r="9" spans="1:46" customFormat="1" x14ac:dyDescent="0.15">
      <c r="A9" s="179" t="s">
        <v>198</v>
      </c>
      <c r="B9" s="143">
        <v>0</v>
      </c>
      <c r="C9" s="143">
        <v>0</v>
      </c>
      <c r="D9" s="143">
        <v>0</v>
      </c>
      <c r="E9" s="143">
        <v>0</v>
      </c>
      <c r="F9" s="143">
        <v>3.0060120036072145E-3</v>
      </c>
      <c r="G9" s="143">
        <v>2.1100621748107309E-2</v>
      </c>
      <c r="H9" s="143">
        <v>0</v>
      </c>
      <c r="I9" s="143">
        <v>0</v>
      </c>
      <c r="J9" s="143">
        <v>0</v>
      </c>
      <c r="K9" s="143">
        <v>0</v>
      </c>
      <c r="L9" s="143">
        <v>0</v>
      </c>
      <c r="M9" s="143">
        <v>8.0889786722345824E-3</v>
      </c>
      <c r="N9" s="143">
        <v>0</v>
      </c>
      <c r="O9" s="143">
        <v>0</v>
      </c>
      <c r="P9" s="143">
        <v>0</v>
      </c>
      <c r="Q9" s="143">
        <v>0</v>
      </c>
      <c r="R9" s="143">
        <v>0</v>
      </c>
      <c r="S9" s="143">
        <v>0</v>
      </c>
      <c r="T9" s="143">
        <v>0</v>
      </c>
      <c r="U9" s="143">
        <v>0</v>
      </c>
      <c r="V9" s="143">
        <v>0</v>
      </c>
      <c r="W9" s="143">
        <v>0</v>
      </c>
      <c r="X9" s="143">
        <v>0</v>
      </c>
      <c r="Y9" s="143">
        <v>0</v>
      </c>
      <c r="Z9" s="143">
        <v>0</v>
      </c>
      <c r="AA9" s="143">
        <v>0</v>
      </c>
      <c r="AB9" s="143">
        <v>0</v>
      </c>
      <c r="AC9" s="143">
        <v>0</v>
      </c>
      <c r="AD9" s="143">
        <v>0</v>
      </c>
      <c r="AE9" s="143">
        <v>0</v>
      </c>
      <c r="AF9" s="143">
        <v>0</v>
      </c>
      <c r="AG9" s="143">
        <v>0</v>
      </c>
      <c r="AH9" s="143">
        <v>0</v>
      </c>
      <c r="AI9" s="143">
        <v>0</v>
      </c>
      <c r="AJ9" s="143">
        <v>0</v>
      </c>
      <c r="AK9" s="143">
        <v>0</v>
      </c>
      <c r="AL9" s="143">
        <v>0</v>
      </c>
      <c r="AM9" s="143">
        <v>0</v>
      </c>
      <c r="AN9" s="143">
        <v>0</v>
      </c>
      <c r="AO9" s="143">
        <v>0</v>
      </c>
      <c r="AP9" s="143">
        <v>0</v>
      </c>
      <c r="AQ9" s="143">
        <v>0</v>
      </c>
      <c r="AR9" s="143">
        <v>0</v>
      </c>
      <c r="AS9" s="143">
        <v>0</v>
      </c>
      <c r="AT9" s="143">
        <v>0</v>
      </c>
    </row>
    <row r="10" spans="1:46" customFormat="1" x14ac:dyDescent="0.15">
      <c r="A10" s="179" t="s">
        <v>199</v>
      </c>
      <c r="B10" s="143">
        <v>0</v>
      </c>
      <c r="C10" s="143">
        <v>0</v>
      </c>
      <c r="D10" s="143">
        <v>0</v>
      </c>
      <c r="E10" s="143">
        <v>0</v>
      </c>
      <c r="F10" s="143">
        <v>0</v>
      </c>
      <c r="G10" s="143">
        <v>1.607666543665319E-2</v>
      </c>
      <c r="H10" s="143">
        <v>0</v>
      </c>
      <c r="I10" s="143">
        <v>0</v>
      </c>
      <c r="J10" s="143">
        <v>0</v>
      </c>
      <c r="K10" s="143">
        <v>0</v>
      </c>
      <c r="L10" s="143">
        <v>1.2036108491474424E-2</v>
      </c>
      <c r="M10" s="143">
        <v>0</v>
      </c>
      <c r="N10" s="143">
        <v>0</v>
      </c>
      <c r="O10" s="143">
        <v>0</v>
      </c>
      <c r="P10" s="143">
        <v>0</v>
      </c>
      <c r="Q10" s="143">
        <v>0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S10" s="143">
        <v>0</v>
      </c>
      <c r="AT10" s="143">
        <v>0</v>
      </c>
    </row>
    <row r="11" spans="1:46" customFormat="1" x14ac:dyDescent="0.15">
      <c r="A11" s="179" t="s">
        <v>200</v>
      </c>
      <c r="B11" s="143">
        <v>0</v>
      </c>
      <c r="C11" s="143">
        <v>0</v>
      </c>
      <c r="D11" s="143">
        <v>0</v>
      </c>
      <c r="E11" s="143">
        <v>0</v>
      </c>
      <c r="F11" s="143">
        <v>0</v>
      </c>
      <c r="G11" s="143">
        <v>1.1052707225199068E-2</v>
      </c>
      <c r="H11" s="143">
        <v>0</v>
      </c>
      <c r="I11" s="143">
        <v>0</v>
      </c>
      <c r="J11" s="143">
        <v>0</v>
      </c>
      <c r="K11" s="143">
        <v>0</v>
      </c>
      <c r="L11" s="143">
        <v>3.4102310259177551E-2</v>
      </c>
      <c r="M11" s="143">
        <v>0</v>
      </c>
      <c r="N11" s="143">
        <v>0</v>
      </c>
      <c r="O11" s="143">
        <v>0</v>
      </c>
      <c r="P11" s="143">
        <v>0</v>
      </c>
      <c r="Q11" s="143">
        <v>0</v>
      </c>
      <c r="R11" s="143">
        <v>0</v>
      </c>
      <c r="S11" s="143">
        <v>0</v>
      </c>
      <c r="T11" s="143">
        <v>0</v>
      </c>
      <c r="U11" s="143">
        <v>0</v>
      </c>
      <c r="V11" s="143">
        <v>0</v>
      </c>
      <c r="W11" s="143">
        <v>0</v>
      </c>
      <c r="X11" s="143">
        <v>0</v>
      </c>
      <c r="Y11" s="143">
        <v>0</v>
      </c>
      <c r="Z11" s="143">
        <v>0</v>
      </c>
      <c r="AA11" s="143">
        <v>0</v>
      </c>
      <c r="AB11" s="143">
        <v>0</v>
      </c>
      <c r="AC11" s="143">
        <v>0</v>
      </c>
      <c r="AD11" s="143">
        <v>0</v>
      </c>
      <c r="AE11" s="143">
        <v>0</v>
      </c>
      <c r="AF11" s="143">
        <v>0</v>
      </c>
      <c r="AG11" s="143">
        <v>0</v>
      </c>
      <c r="AH11" s="143">
        <v>0</v>
      </c>
      <c r="AI11" s="143">
        <v>0</v>
      </c>
      <c r="AJ11" s="143">
        <v>0</v>
      </c>
      <c r="AK11" s="143">
        <v>0</v>
      </c>
      <c r="AL11" s="143">
        <v>0</v>
      </c>
      <c r="AM11" s="143">
        <v>0</v>
      </c>
      <c r="AN11" s="143">
        <v>0</v>
      </c>
      <c r="AO11" s="143">
        <v>0</v>
      </c>
      <c r="AP11" s="143">
        <v>0</v>
      </c>
      <c r="AQ11" s="143">
        <v>0</v>
      </c>
      <c r="AR11" s="143">
        <v>0</v>
      </c>
      <c r="AS11" s="143">
        <v>0</v>
      </c>
      <c r="AT11" s="143">
        <v>0</v>
      </c>
    </row>
    <row r="12" spans="1:46" customFormat="1" x14ac:dyDescent="0.15">
      <c r="A12" s="179" t="s">
        <v>201</v>
      </c>
      <c r="B12" s="143">
        <v>0</v>
      </c>
      <c r="C12" s="143">
        <v>0</v>
      </c>
      <c r="D12" s="143">
        <v>0</v>
      </c>
      <c r="E12" s="143">
        <v>1.8018016807207191E-2</v>
      </c>
      <c r="F12" s="143">
        <v>9.6192380115430853E-2</v>
      </c>
      <c r="G12" s="143">
        <v>6.9330620158066875E-2</v>
      </c>
      <c r="H12" s="143">
        <v>0</v>
      </c>
      <c r="I12" s="143">
        <v>0</v>
      </c>
      <c r="J12" s="143">
        <v>1.7059876497550443E-4</v>
      </c>
      <c r="K12" s="143">
        <v>0</v>
      </c>
      <c r="L12" s="143">
        <v>1.7051154829588775E-2</v>
      </c>
      <c r="M12" s="143">
        <v>4.0444893061172922E-3</v>
      </c>
      <c r="N12" s="143">
        <v>0</v>
      </c>
      <c r="O12" s="143">
        <v>0</v>
      </c>
      <c r="P12" s="143">
        <v>0</v>
      </c>
      <c r="Q12" s="143">
        <v>0</v>
      </c>
      <c r="R12" s="143">
        <v>0</v>
      </c>
      <c r="S12" s="143">
        <v>0</v>
      </c>
      <c r="T12" s="143">
        <v>4.04640195852438E-4</v>
      </c>
      <c r="U12" s="143">
        <v>0</v>
      </c>
      <c r="V12" s="143">
        <v>0</v>
      </c>
      <c r="W12" s="143">
        <v>0</v>
      </c>
      <c r="X12" s="143">
        <v>0</v>
      </c>
      <c r="Y12" s="143">
        <v>0</v>
      </c>
      <c r="Z12" s="143">
        <v>0</v>
      </c>
      <c r="AA12" s="143">
        <v>0</v>
      </c>
      <c r="AB12" s="143">
        <v>0</v>
      </c>
      <c r="AC12" s="143">
        <v>0</v>
      </c>
      <c r="AD12" s="143">
        <v>0</v>
      </c>
      <c r="AE12" s="143">
        <v>0</v>
      </c>
      <c r="AF12" s="143">
        <v>0</v>
      </c>
      <c r="AG12" s="143">
        <v>0</v>
      </c>
      <c r="AH12" s="143">
        <v>0</v>
      </c>
      <c r="AI12" s="143">
        <v>0</v>
      </c>
      <c r="AJ12" s="143">
        <v>0</v>
      </c>
      <c r="AK12" s="143">
        <v>0</v>
      </c>
      <c r="AL12" s="143">
        <v>0</v>
      </c>
      <c r="AM12" s="143">
        <v>0</v>
      </c>
      <c r="AN12" s="143">
        <v>0</v>
      </c>
      <c r="AO12" s="143">
        <v>0</v>
      </c>
      <c r="AP12" s="143">
        <v>0</v>
      </c>
      <c r="AQ12" s="143">
        <v>0</v>
      </c>
      <c r="AR12" s="143">
        <v>0</v>
      </c>
      <c r="AS12" s="143">
        <v>0</v>
      </c>
      <c r="AT12" s="143">
        <v>0</v>
      </c>
    </row>
    <row r="13" spans="1:46" customFormat="1" x14ac:dyDescent="0.15">
      <c r="A13" s="179" t="s">
        <v>202</v>
      </c>
      <c r="B13" s="143">
        <v>0</v>
      </c>
      <c r="C13" s="143">
        <v>0</v>
      </c>
      <c r="D13" s="143">
        <v>0</v>
      </c>
      <c r="E13" s="143">
        <v>0</v>
      </c>
      <c r="F13" s="143">
        <v>0</v>
      </c>
      <c r="G13" s="143">
        <v>1.0047915922908243E-3</v>
      </c>
      <c r="H13" s="143">
        <v>0</v>
      </c>
      <c r="I13" s="143">
        <v>0</v>
      </c>
      <c r="J13" s="143">
        <v>0</v>
      </c>
      <c r="K13" s="143">
        <v>1.0000000145000002E-2</v>
      </c>
      <c r="L13" s="143">
        <v>3.1093279136308917E-2</v>
      </c>
      <c r="M13" s="143">
        <v>4.0444893061172922E-3</v>
      </c>
      <c r="N13" s="143">
        <v>0</v>
      </c>
      <c r="O13" s="143">
        <v>0</v>
      </c>
      <c r="P13" s="143">
        <v>0</v>
      </c>
      <c r="Q13" s="143">
        <v>0</v>
      </c>
      <c r="R13" s="143">
        <v>0</v>
      </c>
      <c r="S13" s="143">
        <v>0</v>
      </c>
      <c r="T13" s="143">
        <v>0</v>
      </c>
      <c r="U13" s="143">
        <v>0</v>
      </c>
      <c r="V13" s="143">
        <v>0</v>
      </c>
      <c r="W13" s="143">
        <v>0</v>
      </c>
      <c r="X13" s="143">
        <v>0</v>
      </c>
      <c r="Y13" s="143">
        <v>0</v>
      </c>
      <c r="Z13" s="143">
        <v>0</v>
      </c>
      <c r="AA13" s="143">
        <v>0</v>
      </c>
      <c r="AB13" s="143">
        <v>0</v>
      </c>
      <c r="AC13" s="143">
        <v>0</v>
      </c>
      <c r="AD13" s="143">
        <v>0</v>
      </c>
      <c r="AE13" s="143">
        <v>0</v>
      </c>
      <c r="AF13" s="143">
        <v>0</v>
      </c>
      <c r="AG13" s="143">
        <v>0</v>
      </c>
      <c r="AH13" s="143">
        <v>0</v>
      </c>
      <c r="AI13" s="143">
        <v>0</v>
      </c>
      <c r="AJ13" s="143">
        <v>0</v>
      </c>
      <c r="AK13" s="143">
        <v>0</v>
      </c>
      <c r="AL13" s="143">
        <v>0</v>
      </c>
      <c r="AM13" s="143">
        <v>0</v>
      </c>
      <c r="AN13" s="143">
        <v>0</v>
      </c>
      <c r="AO13" s="143">
        <v>0</v>
      </c>
      <c r="AP13" s="143">
        <v>0</v>
      </c>
      <c r="AQ13" s="143">
        <v>0</v>
      </c>
      <c r="AR13" s="143">
        <v>0</v>
      </c>
      <c r="AS13" s="143">
        <v>0</v>
      </c>
      <c r="AT13" s="143">
        <v>0</v>
      </c>
    </row>
    <row r="14" spans="1:46" customFormat="1" x14ac:dyDescent="0.15">
      <c r="A14" s="179" t="s">
        <v>203</v>
      </c>
      <c r="B14" s="143">
        <v>0</v>
      </c>
      <c r="C14" s="143">
        <v>0</v>
      </c>
      <c r="D14" s="143">
        <v>0</v>
      </c>
      <c r="E14" s="143">
        <v>0</v>
      </c>
      <c r="F14" s="143">
        <v>3.0060118136072143E-2</v>
      </c>
      <c r="G14" s="143">
        <v>1.0047916322908244E-2</v>
      </c>
      <c r="H14" s="143">
        <v>1.6999999971099997E-2</v>
      </c>
      <c r="I14" s="143">
        <v>0</v>
      </c>
      <c r="J14" s="143">
        <v>0</v>
      </c>
      <c r="K14" s="143">
        <v>7.2000001044000006E-2</v>
      </c>
      <c r="L14" s="143">
        <v>1.5045135414343026E-2</v>
      </c>
      <c r="M14" s="143">
        <v>0</v>
      </c>
      <c r="N14" s="143">
        <v>0</v>
      </c>
      <c r="O14" s="143">
        <v>0</v>
      </c>
      <c r="P14" s="143">
        <v>0</v>
      </c>
      <c r="Q14" s="143">
        <v>0</v>
      </c>
      <c r="R14" s="143">
        <v>0</v>
      </c>
      <c r="S14" s="143">
        <v>0</v>
      </c>
      <c r="T14" s="143">
        <v>0</v>
      </c>
      <c r="U14" s="143">
        <v>8.3333334566666667E-2</v>
      </c>
      <c r="V14" s="143">
        <v>3.5066629282431559E-2</v>
      </c>
      <c r="W14" s="143">
        <v>0</v>
      </c>
      <c r="X14" s="143">
        <v>0</v>
      </c>
      <c r="Y14" s="143">
        <v>0</v>
      </c>
      <c r="Z14" s="143">
        <v>0</v>
      </c>
      <c r="AA14" s="143">
        <v>0</v>
      </c>
      <c r="AB14" s="143">
        <v>0</v>
      </c>
      <c r="AC14" s="143">
        <v>0</v>
      </c>
      <c r="AD14" s="143">
        <v>0</v>
      </c>
      <c r="AE14" s="143">
        <v>0</v>
      </c>
      <c r="AF14" s="143">
        <v>0</v>
      </c>
      <c r="AG14" s="143">
        <v>0</v>
      </c>
      <c r="AH14" s="143">
        <v>0</v>
      </c>
      <c r="AI14" s="143">
        <v>0</v>
      </c>
      <c r="AJ14" s="143">
        <v>0</v>
      </c>
      <c r="AK14" s="143">
        <v>0</v>
      </c>
      <c r="AL14" s="143">
        <v>0</v>
      </c>
      <c r="AM14" s="143">
        <v>3.8038038141241251E-2</v>
      </c>
      <c r="AN14" s="143">
        <v>0</v>
      </c>
      <c r="AO14" s="143">
        <v>0</v>
      </c>
      <c r="AP14" s="143">
        <v>0</v>
      </c>
      <c r="AQ14" s="143">
        <v>0</v>
      </c>
      <c r="AR14" s="143">
        <v>0</v>
      </c>
      <c r="AS14" s="143">
        <v>0</v>
      </c>
      <c r="AT14" s="143">
        <v>0</v>
      </c>
    </row>
    <row r="15" spans="1:46" customFormat="1" x14ac:dyDescent="0.15">
      <c r="A15" s="179" t="s">
        <v>204</v>
      </c>
      <c r="B15" s="143">
        <v>3.2595778953675492E-2</v>
      </c>
      <c r="C15" s="143">
        <v>1.4003227347728906E-2</v>
      </c>
      <c r="D15" s="143">
        <v>0</v>
      </c>
      <c r="E15" s="143">
        <v>7.807807709789788E-2</v>
      </c>
      <c r="F15" s="143">
        <v>0.10120240612144288</v>
      </c>
      <c r="G15" s="143">
        <v>6.4306660146612765E-2</v>
      </c>
      <c r="H15" s="143">
        <v>9.8584674132406028E-2</v>
      </c>
      <c r="I15" s="143">
        <v>0.18136272353156307</v>
      </c>
      <c r="J15" s="143">
        <v>0.18739787977614933</v>
      </c>
      <c r="K15" s="143">
        <v>0.31368044454836641</v>
      </c>
      <c r="L15" s="143">
        <v>0.2176529486541624</v>
      </c>
      <c r="M15" s="143">
        <v>0.53993932212165852</v>
      </c>
      <c r="N15" s="143">
        <v>8.3333333366666679E-2</v>
      </c>
      <c r="O15" s="143">
        <v>4.753837434159864E-2</v>
      </c>
      <c r="P15" s="143">
        <v>4.1500000000000002E-2</v>
      </c>
      <c r="Q15" s="143">
        <v>0</v>
      </c>
      <c r="R15" s="143">
        <v>0</v>
      </c>
      <c r="S15" s="143">
        <v>7.1928071265934063E-2</v>
      </c>
      <c r="T15" s="143">
        <v>2.7122502821994347E-2</v>
      </c>
      <c r="U15" s="143">
        <v>0</v>
      </c>
      <c r="V15" s="143">
        <v>0.13225128929374183</v>
      </c>
      <c r="W15" s="143">
        <v>0</v>
      </c>
      <c r="X15" s="143">
        <v>5.4216870799698849E-2</v>
      </c>
      <c r="Y15" s="143">
        <v>0</v>
      </c>
      <c r="Z15" s="143">
        <v>0</v>
      </c>
      <c r="AA15" s="143">
        <v>0</v>
      </c>
      <c r="AB15" s="143">
        <v>0</v>
      </c>
      <c r="AC15" s="143">
        <v>5.0652907917549091E-3</v>
      </c>
      <c r="AD15" s="143">
        <v>0</v>
      </c>
      <c r="AE15" s="143">
        <v>0.198396784222445</v>
      </c>
      <c r="AF15" s="143">
        <v>7.0070071562562597E-3</v>
      </c>
      <c r="AG15" s="143">
        <v>6.4315349241078873E-2</v>
      </c>
      <c r="AH15" s="143">
        <v>0</v>
      </c>
      <c r="AI15" s="143">
        <v>0</v>
      </c>
      <c r="AJ15" s="143">
        <v>0</v>
      </c>
      <c r="AK15" s="143">
        <v>5.555555533333334E-2</v>
      </c>
      <c r="AL15" s="143">
        <v>0</v>
      </c>
      <c r="AM15" s="143">
        <v>3.8038038141241251E-2</v>
      </c>
      <c r="AN15" s="143">
        <v>0</v>
      </c>
      <c r="AO15" s="143">
        <v>0</v>
      </c>
      <c r="AP15" s="143">
        <v>0</v>
      </c>
      <c r="AQ15" s="143">
        <v>0</v>
      </c>
      <c r="AR15" s="143">
        <v>0</v>
      </c>
      <c r="AS15" s="143">
        <v>0</v>
      </c>
      <c r="AT15" s="143">
        <v>0</v>
      </c>
    </row>
    <row r="16" spans="1:46" customFormat="1" x14ac:dyDescent="0.15">
      <c r="A16" s="179" t="s">
        <v>205</v>
      </c>
      <c r="B16" s="143">
        <v>3.2595778953675492E-2</v>
      </c>
      <c r="C16" s="143">
        <v>1.4003227347728906E-2</v>
      </c>
      <c r="D16" s="143">
        <v>0</v>
      </c>
      <c r="E16" s="143">
        <v>4.9049046464064029E-2</v>
      </c>
      <c r="F16" s="143">
        <v>0</v>
      </c>
      <c r="G16" s="143">
        <v>3.2153330073306383E-2</v>
      </c>
      <c r="H16" s="143">
        <v>5.0333332214433327E-2</v>
      </c>
      <c r="I16" s="143">
        <v>0</v>
      </c>
      <c r="J16" s="143">
        <v>0.25921505392389499</v>
      </c>
      <c r="K16" s="143">
        <v>9.4248341366600943E-2</v>
      </c>
      <c r="L16" s="143">
        <v>6.5195580495486405E-2</v>
      </c>
      <c r="M16" s="143">
        <v>1.4155713226410497E-2</v>
      </c>
      <c r="N16" s="143">
        <v>8.3333333366666679E-2</v>
      </c>
      <c r="O16" s="143">
        <v>0</v>
      </c>
      <c r="P16" s="143">
        <v>0</v>
      </c>
      <c r="Q16" s="143">
        <v>0</v>
      </c>
      <c r="R16" s="143">
        <v>0</v>
      </c>
      <c r="S16" s="143">
        <v>0</v>
      </c>
      <c r="T16" s="143">
        <v>0</v>
      </c>
      <c r="U16" s="143">
        <v>0</v>
      </c>
      <c r="V16" s="143">
        <v>1.3024748033474578E-2</v>
      </c>
      <c r="W16" s="143">
        <v>0</v>
      </c>
      <c r="X16" s="143">
        <v>0</v>
      </c>
      <c r="Y16" s="143">
        <v>0</v>
      </c>
      <c r="Z16" s="143">
        <v>0</v>
      </c>
      <c r="AA16" s="143">
        <v>0</v>
      </c>
      <c r="AB16" s="143">
        <v>0</v>
      </c>
      <c r="AC16" s="143">
        <v>0</v>
      </c>
      <c r="AD16" s="143">
        <v>0</v>
      </c>
      <c r="AE16" s="143">
        <v>0</v>
      </c>
      <c r="AF16" s="143">
        <v>0</v>
      </c>
      <c r="AG16" s="143">
        <v>0</v>
      </c>
      <c r="AH16" s="143">
        <v>0</v>
      </c>
      <c r="AI16" s="143">
        <v>0</v>
      </c>
      <c r="AJ16" s="143">
        <v>0</v>
      </c>
      <c r="AK16" s="143">
        <v>0</v>
      </c>
      <c r="AL16" s="143">
        <v>0</v>
      </c>
      <c r="AM16" s="143">
        <v>3.8038038141241251E-2</v>
      </c>
      <c r="AN16" s="143">
        <v>0</v>
      </c>
      <c r="AO16" s="143">
        <v>0</v>
      </c>
      <c r="AP16" s="143">
        <v>0</v>
      </c>
      <c r="AQ16" s="143">
        <v>0</v>
      </c>
      <c r="AR16" s="143">
        <v>0</v>
      </c>
      <c r="AS16" s="143">
        <v>0</v>
      </c>
      <c r="AT16" s="143">
        <v>0</v>
      </c>
    </row>
    <row r="17" spans="1:46" customFormat="1" x14ac:dyDescent="0.15">
      <c r="A17" s="179" t="s">
        <v>206</v>
      </c>
      <c r="B17" s="143">
        <v>0</v>
      </c>
      <c r="C17" s="143">
        <v>1.4003227347728906E-2</v>
      </c>
      <c r="D17" s="143">
        <v>0</v>
      </c>
      <c r="E17" s="143">
        <v>8.3083080955455427E-2</v>
      </c>
      <c r="F17" s="143">
        <v>0</v>
      </c>
      <c r="G17" s="143">
        <v>7.863420627927813E-5</v>
      </c>
      <c r="H17" s="143">
        <v>0</v>
      </c>
      <c r="I17" s="143">
        <v>0</v>
      </c>
      <c r="J17" s="143">
        <v>0</v>
      </c>
      <c r="K17" s="143">
        <v>2.0000000290000004E-2</v>
      </c>
      <c r="L17" s="143">
        <v>0.11233701685376131</v>
      </c>
      <c r="M17" s="143">
        <v>0</v>
      </c>
      <c r="N17" s="143">
        <v>8.3333333366666679E-2</v>
      </c>
      <c r="O17" s="143">
        <v>0</v>
      </c>
      <c r="P17" s="143">
        <v>0</v>
      </c>
      <c r="Q17" s="143">
        <v>0</v>
      </c>
      <c r="R17" s="143">
        <v>0</v>
      </c>
      <c r="S17" s="143">
        <v>7.1928071265934063E-2</v>
      </c>
      <c r="T17" s="143">
        <v>0</v>
      </c>
      <c r="U17" s="143">
        <v>8.3333334566666667E-2</v>
      </c>
      <c r="V17" s="143">
        <v>0</v>
      </c>
      <c r="W17" s="143">
        <v>0</v>
      </c>
      <c r="X17" s="143">
        <v>0</v>
      </c>
      <c r="Y17" s="143">
        <v>2.8942112759381335E-2</v>
      </c>
      <c r="Z17" s="143">
        <v>0</v>
      </c>
      <c r="AA17" s="143">
        <v>0</v>
      </c>
      <c r="AB17" s="143">
        <v>4.2957044064735238E-2</v>
      </c>
      <c r="AC17" s="143">
        <v>0</v>
      </c>
      <c r="AD17" s="143">
        <v>0</v>
      </c>
      <c r="AE17" s="143">
        <v>0</v>
      </c>
      <c r="AF17" s="143">
        <v>7.0070071562562597E-3</v>
      </c>
      <c r="AG17" s="143">
        <v>0</v>
      </c>
      <c r="AH17" s="143">
        <v>0</v>
      </c>
      <c r="AI17" s="143">
        <v>0</v>
      </c>
      <c r="AJ17" s="143">
        <v>0</v>
      </c>
      <c r="AK17" s="143">
        <v>0</v>
      </c>
      <c r="AL17" s="143">
        <v>0</v>
      </c>
      <c r="AM17" s="143">
        <v>0</v>
      </c>
      <c r="AN17" s="143">
        <v>0</v>
      </c>
      <c r="AO17" s="143">
        <v>0</v>
      </c>
      <c r="AP17" s="143">
        <v>0</v>
      </c>
      <c r="AQ17" s="143">
        <v>0</v>
      </c>
      <c r="AR17" s="143">
        <v>0</v>
      </c>
      <c r="AS17" s="143">
        <v>0</v>
      </c>
      <c r="AT17" s="143">
        <v>0</v>
      </c>
    </row>
    <row r="18" spans="1:46" customFormat="1" x14ac:dyDescent="0.15">
      <c r="A18" s="179" t="s">
        <v>207</v>
      </c>
      <c r="B18" s="143">
        <v>3.2595778953675492E-2</v>
      </c>
      <c r="C18" s="143">
        <v>1.4003227347728906E-2</v>
      </c>
      <c r="D18" s="143">
        <v>0</v>
      </c>
      <c r="E18" s="143">
        <v>3.7037037725925932E-2</v>
      </c>
      <c r="F18" s="143">
        <v>2.6052102431262523E-2</v>
      </c>
      <c r="G18" s="143">
        <v>1.4067082732071544E-2</v>
      </c>
      <c r="H18" s="143">
        <v>8.4777779855877755E-2</v>
      </c>
      <c r="I18" s="143">
        <v>0.11422846048396806</v>
      </c>
      <c r="J18" s="143">
        <v>0</v>
      </c>
      <c r="K18" s="143">
        <v>3.5702270517682919E-2</v>
      </c>
      <c r="L18" s="143">
        <v>1.9057171544834502E-2</v>
      </c>
      <c r="M18" s="143">
        <v>0.19817998196974709</v>
      </c>
      <c r="N18" s="143">
        <v>8.3333333366666679E-2</v>
      </c>
      <c r="O18" s="143">
        <v>0</v>
      </c>
      <c r="P18" s="143">
        <v>0.01</v>
      </c>
      <c r="Q18" s="143">
        <v>0</v>
      </c>
      <c r="R18" s="143">
        <v>0</v>
      </c>
      <c r="S18" s="143">
        <v>7.1928071265934063E-2</v>
      </c>
      <c r="T18" s="143">
        <v>0.1185353757850124</v>
      </c>
      <c r="U18" s="143">
        <v>0</v>
      </c>
      <c r="V18" s="143">
        <v>4.0076145979921823E-3</v>
      </c>
      <c r="W18" s="143">
        <v>0</v>
      </c>
      <c r="X18" s="143">
        <v>0</v>
      </c>
      <c r="Y18" s="143">
        <v>0</v>
      </c>
      <c r="Z18" s="143">
        <v>0</v>
      </c>
      <c r="AA18" s="143">
        <v>0</v>
      </c>
      <c r="AB18" s="143">
        <v>0</v>
      </c>
      <c r="AC18" s="143">
        <v>5.0652907917549091E-3</v>
      </c>
      <c r="AD18" s="143">
        <v>0</v>
      </c>
      <c r="AE18" s="143">
        <v>0.198396784222445</v>
      </c>
      <c r="AF18" s="143">
        <v>0</v>
      </c>
      <c r="AG18" s="143">
        <v>6.4315349241078873E-2</v>
      </c>
      <c r="AH18" s="143">
        <v>0</v>
      </c>
      <c r="AI18" s="143">
        <v>6.9444440555555528E-2</v>
      </c>
      <c r="AJ18" s="143">
        <v>0</v>
      </c>
      <c r="AK18" s="143">
        <v>5.555555533333334E-2</v>
      </c>
      <c r="AL18" s="143">
        <v>0</v>
      </c>
      <c r="AM18" s="143">
        <v>3.8038038141241251E-2</v>
      </c>
      <c r="AN18" s="143">
        <v>0</v>
      </c>
      <c r="AO18" s="143">
        <v>0</v>
      </c>
      <c r="AP18" s="143">
        <v>0</v>
      </c>
      <c r="AQ18" s="143">
        <v>0</v>
      </c>
      <c r="AR18" s="143">
        <v>0</v>
      </c>
      <c r="AS18" s="143">
        <v>0</v>
      </c>
      <c r="AT18" s="143">
        <v>0</v>
      </c>
    </row>
    <row r="19" spans="1:46" customFormat="1" x14ac:dyDescent="0.15">
      <c r="A19" s="179" t="s">
        <v>208</v>
      </c>
      <c r="B19" s="143">
        <v>0</v>
      </c>
      <c r="C19" s="143">
        <v>0</v>
      </c>
      <c r="D19" s="143">
        <v>0</v>
      </c>
      <c r="E19" s="143">
        <v>0</v>
      </c>
      <c r="F19" s="143">
        <v>0</v>
      </c>
      <c r="G19" s="143">
        <v>1.0047915922908243E-3</v>
      </c>
      <c r="H19" s="143">
        <v>0</v>
      </c>
      <c r="I19" s="143">
        <v>1.002004030561123E-3</v>
      </c>
      <c r="J19" s="143">
        <v>0</v>
      </c>
      <c r="K19" s="143">
        <v>0</v>
      </c>
      <c r="L19" s="143">
        <v>0</v>
      </c>
      <c r="M19" s="143">
        <v>0</v>
      </c>
      <c r="N19" s="143">
        <v>0</v>
      </c>
      <c r="O19" s="143">
        <v>0</v>
      </c>
      <c r="P19" s="143">
        <v>0</v>
      </c>
      <c r="Q19" s="143">
        <v>0</v>
      </c>
      <c r="R19" s="143">
        <v>0</v>
      </c>
      <c r="S19" s="143">
        <v>0</v>
      </c>
      <c r="T19" s="143">
        <v>0</v>
      </c>
      <c r="U19" s="143">
        <v>0</v>
      </c>
      <c r="V19" s="143">
        <v>0</v>
      </c>
      <c r="W19" s="143">
        <v>0</v>
      </c>
      <c r="X19" s="143">
        <v>0</v>
      </c>
      <c r="Y19" s="143">
        <v>0</v>
      </c>
      <c r="Z19" s="143">
        <v>0</v>
      </c>
      <c r="AA19" s="143">
        <v>0</v>
      </c>
      <c r="AB19" s="143">
        <v>0</v>
      </c>
      <c r="AC19" s="143">
        <v>0</v>
      </c>
      <c r="AD19" s="143">
        <v>0</v>
      </c>
      <c r="AE19" s="143">
        <v>0</v>
      </c>
      <c r="AF19" s="143">
        <v>0</v>
      </c>
      <c r="AG19" s="143">
        <v>0</v>
      </c>
      <c r="AH19" s="143">
        <v>0</v>
      </c>
      <c r="AI19" s="143">
        <v>0</v>
      </c>
      <c r="AJ19" s="143">
        <v>0</v>
      </c>
      <c r="AK19" s="143">
        <v>0</v>
      </c>
      <c r="AL19" s="143">
        <v>0</v>
      </c>
      <c r="AM19" s="143">
        <v>0</v>
      </c>
      <c r="AN19" s="143">
        <v>0</v>
      </c>
      <c r="AO19" s="143">
        <v>0</v>
      </c>
      <c r="AP19" s="143">
        <v>0</v>
      </c>
      <c r="AQ19" s="143">
        <v>0</v>
      </c>
      <c r="AR19" s="143">
        <v>0</v>
      </c>
      <c r="AS19" s="143">
        <v>0</v>
      </c>
      <c r="AT19" s="143">
        <v>0</v>
      </c>
    </row>
    <row r="20" spans="1:46" customFormat="1" x14ac:dyDescent="0.15">
      <c r="A20" s="179" t="s">
        <v>209</v>
      </c>
      <c r="B20" s="143">
        <v>0</v>
      </c>
      <c r="C20" s="143">
        <v>0</v>
      </c>
      <c r="D20" s="143">
        <v>0</v>
      </c>
      <c r="E20" s="143">
        <v>0</v>
      </c>
      <c r="F20" s="143">
        <v>0</v>
      </c>
      <c r="G20" s="143">
        <v>1.0047915922908243E-3</v>
      </c>
      <c r="H20" s="143">
        <v>0</v>
      </c>
      <c r="I20" s="143">
        <v>1.002004030561123E-3</v>
      </c>
      <c r="J20" s="143">
        <v>0</v>
      </c>
      <c r="K20" s="143">
        <v>0</v>
      </c>
      <c r="L20" s="143">
        <v>0</v>
      </c>
      <c r="M20" s="143">
        <v>0</v>
      </c>
      <c r="N20" s="143">
        <v>0</v>
      </c>
      <c r="O20" s="143">
        <v>0</v>
      </c>
      <c r="P20" s="143">
        <v>0</v>
      </c>
      <c r="Q20" s="143">
        <v>0</v>
      </c>
      <c r="R20" s="143">
        <v>0</v>
      </c>
      <c r="S20" s="143">
        <v>0</v>
      </c>
      <c r="T20" s="143">
        <v>3.0136112791104845E-3</v>
      </c>
      <c r="U20" s="143">
        <v>0</v>
      </c>
      <c r="V20" s="143">
        <v>0</v>
      </c>
      <c r="W20" s="143">
        <v>0</v>
      </c>
      <c r="X20" s="143">
        <v>0</v>
      </c>
      <c r="Y20" s="143">
        <v>0</v>
      </c>
      <c r="Z20" s="143">
        <v>0</v>
      </c>
      <c r="AA20" s="143">
        <v>0</v>
      </c>
      <c r="AB20" s="143">
        <v>0</v>
      </c>
      <c r="AC20" s="143">
        <v>0</v>
      </c>
      <c r="AD20" s="143">
        <v>0</v>
      </c>
      <c r="AE20" s="143">
        <v>0</v>
      </c>
      <c r="AF20" s="143">
        <v>0</v>
      </c>
      <c r="AG20" s="143">
        <v>0</v>
      </c>
      <c r="AH20" s="143">
        <v>0</v>
      </c>
      <c r="AI20" s="143">
        <v>0</v>
      </c>
      <c r="AJ20" s="143">
        <v>0</v>
      </c>
      <c r="AK20" s="143">
        <v>0</v>
      </c>
      <c r="AL20" s="143">
        <v>0</v>
      </c>
      <c r="AM20" s="143">
        <v>0</v>
      </c>
      <c r="AN20" s="143">
        <v>0</v>
      </c>
      <c r="AO20" s="143">
        <v>0</v>
      </c>
      <c r="AP20" s="143">
        <v>0</v>
      </c>
      <c r="AQ20" s="143">
        <v>0</v>
      </c>
      <c r="AR20" s="143">
        <v>0</v>
      </c>
      <c r="AS20" s="143">
        <v>0</v>
      </c>
      <c r="AT20" s="143">
        <v>0</v>
      </c>
    </row>
    <row r="21" spans="1:46" customFormat="1" x14ac:dyDescent="0.15">
      <c r="A21" s="179" t="s">
        <v>210</v>
      </c>
      <c r="B21" s="143">
        <v>0</v>
      </c>
      <c r="C21" s="143">
        <v>0</v>
      </c>
      <c r="D21" s="143">
        <v>0</v>
      </c>
      <c r="E21" s="143">
        <v>0</v>
      </c>
      <c r="F21" s="143">
        <v>0</v>
      </c>
      <c r="G21" s="143">
        <v>2.1100621748107309E-2</v>
      </c>
      <c r="H21" s="143">
        <v>0</v>
      </c>
      <c r="I21" s="143">
        <v>0</v>
      </c>
      <c r="J21" s="143">
        <v>0</v>
      </c>
      <c r="K21" s="143">
        <v>0</v>
      </c>
      <c r="L21" s="143">
        <v>0</v>
      </c>
      <c r="M21" s="143">
        <v>0</v>
      </c>
      <c r="N21" s="143">
        <v>0</v>
      </c>
      <c r="O21" s="143">
        <v>0</v>
      </c>
      <c r="P21" s="143">
        <v>0</v>
      </c>
      <c r="Q21" s="143">
        <v>0</v>
      </c>
      <c r="R21" s="143">
        <v>0</v>
      </c>
      <c r="S21" s="143">
        <v>0</v>
      </c>
      <c r="T21" s="143">
        <v>1.0045370897034949E-3</v>
      </c>
      <c r="U21" s="143">
        <v>0</v>
      </c>
      <c r="V21" s="143">
        <v>1.1020940474478493E-2</v>
      </c>
      <c r="W21" s="143">
        <v>0</v>
      </c>
      <c r="X21" s="143">
        <v>0</v>
      </c>
      <c r="Y21" s="143">
        <v>0</v>
      </c>
      <c r="Z21" s="143">
        <v>0</v>
      </c>
      <c r="AA21" s="143">
        <v>0</v>
      </c>
      <c r="AB21" s="143">
        <v>0</v>
      </c>
      <c r="AC21" s="143">
        <v>0</v>
      </c>
      <c r="AD21" s="143">
        <v>0</v>
      </c>
      <c r="AE21" s="143">
        <v>0</v>
      </c>
      <c r="AF21" s="143">
        <v>0</v>
      </c>
      <c r="AG21" s="143">
        <v>0</v>
      </c>
      <c r="AH21" s="143">
        <v>0</v>
      </c>
      <c r="AI21" s="143">
        <v>0</v>
      </c>
      <c r="AJ21" s="143">
        <v>0</v>
      </c>
      <c r="AK21" s="143">
        <v>0</v>
      </c>
      <c r="AL21" s="143">
        <v>0</v>
      </c>
      <c r="AM21" s="143">
        <v>0</v>
      </c>
      <c r="AN21" s="143">
        <v>0</v>
      </c>
      <c r="AO21" s="143">
        <v>0</v>
      </c>
      <c r="AP21" s="143">
        <v>0</v>
      </c>
      <c r="AQ21" s="143">
        <v>0</v>
      </c>
      <c r="AR21" s="143">
        <v>0</v>
      </c>
      <c r="AS21" s="143">
        <v>0</v>
      </c>
      <c r="AT21" s="143">
        <v>0</v>
      </c>
    </row>
    <row r="22" spans="1:46" customFormat="1" x14ac:dyDescent="0.15">
      <c r="A22" s="179" t="s">
        <v>211</v>
      </c>
      <c r="B22" s="143">
        <v>0</v>
      </c>
      <c r="C22" s="143">
        <v>0</v>
      </c>
      <c r="D22" s="143">
        <v>0</v>
      </c>
      <c r="E22" s="143">
        <v>0</v>
      </c>
      <c r="F22" s="143">
        <v>6.0120240072144291E-3</v>
      </c>
      <c r="G22" s="143">
        <v>1.0047915922908243E-3</v>
      </c>
      <c r="H22" s="143">
        <v>0</v>
      </c>
      <c r="I22" s="143">
        <v>1.002004030561123E-3</v>
      </c>
      <c r="J22" s="143">
        <v>3.3664289600505875E-3</v>
      </c>
      <c r="K22" s="143">
        <v>0</v>
      </c>
      <c r="L22" s="143">
        <v>1.0030090076228683E-3</v>
      </c>
      <c r="M22" s="143">
        <v>1.011122329029323E-3</v>
      </c>
      <c r="N22" s="143">
        <v>0</v>
      </c>
      <c r="O22" s="143">
        <v>0</v>
      </c>
      <c r="P22" s="143">
        <v>0</v>
      </c>
      <c r="Q22" s="143">
        <v>0</v>
      </c>
      <c r="R22" s="143">
        <v>0</v>
      </c>
      <c r="S22" s="143">
        <v>0</v>
      </c>
      <c r="T22" s="143">
        <v>1.0045370897034949E-3</v>
      </c>
      <c r="U22" s="143">
        <v>0</v>
      </c>
      <c r="V22" s="143">
        <v>1.0019036494980456E-3</v>
      </c>
      <c r="W22" s="143">
        <v>0</v>
      </c>
      <c r="X22" s="143">
        <v>0</v>
      </c>
      <c r="Y22" s="143">
        <v>0</v>
      </c>
      <c r="Z22" s="143">
        <v>0</v>
      </c>
      <c r="AA22" s="143">
        <v>0</v>
      </c>
      <c r="AB22" s="143">
        <v>0</v>
      </c>
      <c r="AC22" s="143">
        <v>0</v>
      </c>
      <c r="AD22" s="143">
        <v>0</v>
      </c>
      <c r="AE22" s="143">
        <v>0</v>
      </c>
      <c r="AF22" s="143">
        <v>0</v>
      </c>
      <c r="AG22" s="143">
        <v>5.1867219387966811E-3</v>
      </c>
      <c r="AH22" s="143">
        <v>0</v>
      </c>
      <c r="AI22" s="143">
        <v>0</v>
      </c>
      <c r="AJ22" s="143">
        <v>0</v>
      </c>
      <c r="AK22" s="143">
        <v>0</v>
      </c>
      <c r="AL22" s="143">
        <v>0</v>
      </c>
      <c r="AM22" s="143">
        <v>0</v>
      </c>
      <c r="AN22" s="143">
        <v>0</v>
      </c>
      <c r="AO22" s="143">
        <v>0</v>
      </c>
      <c r="AP22" s="143">
        <v>0</v>
      </c>
      <c r="AQ22" s="143">
        <v>0</v>
      </c>
      <c r="AR22" s="143">
        <v>0</v>
      </c>
      <c r="AS22" s="143">
        <v>0</v>
      </c>
      <c r="AT22" s="143">
        <v>0</v>
      </c>
    </row>
    <row r="23" spans="1:46" customFormat="1" x14ac:dyDescent="0.15">
      <c r="A23" s="179" t="s">
        <v>212</v>
      </c>
      <c r="B23" s="143">
        <v>0</v>
      </c>
      <c r="C23" s="143">
        <v>0</v>
      </c>
      <c r="D23" s="143">
        <v>0</v>
      </c>
      <c r="E23" s="143">
        <v>0</v>
      </c>
      <c r="F23" s="143">
        <v>0</v>
      </c>
      <c r="G23" s="143">
        <v>3.0143747668724729E-3</v>
      </c>
      <c r="H23" s="143">
        <v>0</v>
      </c>
      <c r="I23" s="143">
        <v>0</v>
      </c>
      <c r="J23" s="143">
        <v>0</v>
      </c>
      <c r="K23" s="143">
        <v>0</v>
      </c>
      <c r="L23" s="143">
        <v>0</v>
      </c>
      <c r="M23" s="143">
        <v>0</v>
      </c>
      <c r="N23" s="143">
        <v>0</v>
      </c>
      <c r="O23" s="143">
        <v>0</v>
      </c>
      <c r="P23" s="143">
        <v>0</v>
      </c>
      <c r="Q23" s="143">
        <v>0</v>
      </c>
      <c r="R23" s="143">
        <v>0</v>
      </c>
      <c r="S23" s="143">
        <v>0</v>
      </c>
      <c r="T23" s="143">
        <v>0</v>
      </c>
      <c r="U23" s="143">
        <v>0</v>
      </c>
      <c r="V23" s="143">
        <v>0</v>
      </c>
      <c r="W23" s="143">
        <v>0</v>
      </c>
      <c r="X23" s="143">
        <v>0</v>
      </c>
      <c r="Y23" s="143">
        <v>0</v>
      </c>
      <c r="Z23" s="143">
        <v>0</v>
      </c>
      <c r="AA23" s="143">
        <v>0</v>
      </c>
      <c r="AB23" s="143">
        <v>0</v>
      </c>
      <c r="AC23" s="143">
        <v>0</v>
      </c>
      <c r="AD23" s="143">
        <v>0</v>
      </c>
      <c r="AE23" s="143">
        <v>0</v>
      </c>
      <c r="AF23" s="143">
        <v>0</v>
      </c>
      <c r="AG23" s="143">
        <v>0</v>
      </c>
      <c r="AH23" s="143">
        <v>0</v>
      </c>
      <c r="AI23" s="143">
        <v>0</v>
      </c>
      <c r="AJ23" s="143">
        <v>0</v>
      </c>
      <c r="AK23" s="143">
        <v>0</v>
      </c>
      <c r="AL23" s="143">
        <v>0</v>
      </c>
      <c r="AM23" s="143">
        <v>0</v>
      </c>
      <c r="AN23" s="143">
        <v>0</v>
      </c>
      <c r="AO23" s="143">
        <v>0</v>
      </c>
      <c r="AP23" s="143">
        <v>0</v>
      </c>
      <c r="AQ23" s="143">
        <v>0</v>
      </c>
      <c r="AR23" s="143">
        <v>0</v>
      </c>
      <c r="AS23" s="143">
        <v>0</v>
      </c>
      <c r="AT23" s="143">
        <v>0</v>
      </c>
    </row>
    <row r="24" spans="1:46" customFormat="1" x14ac:dyDescent="0.15">
      <c r="A24" s="179" t="s">
        <v>213</v>
      </c>
      <c r="B24" s="143">
        <v>0</v>
      </c>
      <c r="C24" s="143">
        <v>0</v>
      </c>
      <c r="D24" s="143">
        <v>0</v>
      </c>
      <c r="E24" s="143">
        <v>0</v>
      </c>
      <c r="F24" s="143">
        <v>0</v>
      </c>
      <c r="G24" s="143">
        <v>4.8229996209959568E-2</v>
      </c>
      <c r="H24" s="143">
        <v>0</v>
      </c>
      <c r="I24" s="143">
        <v>1.002004030561123E-3</v>
      </c>
      <c r="J24" s="143">
        <v>1.1221429866835291E-2</v>
      </c>
      <c r="K24" s="143">
        <v>0</v>
      </c>
      <c r="L24" s="143">
        <v>1.0030090076228683E-3</v>
      </c>
      <c r="M24" s="143">
        <v>1.011122329029323E-3</v>
      </c>
      <c r="N24" s="143">
        <v>0</v>
      </c>
      <c r="O24" s="143">
        <v>0</v>
      </c>
      <c r="P24" s="143">
        <v>0</v>
      </c>
      <c r="Q24" s="143">
        <v>0</v>
      </c>
      <c r="R24" s="143">
        <v>0</v>
      </c>
      <c r="S24" s="143">
        <v>0</v>
      </c>
      <c r="T24" s="143">
        <v>8.0927929170488739E-5</v>
      </c>
      <c r="U24" s="143">
        <v>0</v>
      </c>
      <c r="V24" s="143">
        <v>6.0114225969882589E-3</v>
      </c>
      <c r="W24" s="143">
        <v>0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0</v>
      </c>
      <c r="AQ24" s="143">
        <v>0</v>
      </c>
      <c r="AR24" s="143">
        <v>0</v>
      </c>
      <c r="AS24" s="143">
        <v>0</v>
      </c>
      <c r="AT24" s="143">
        <v>0</v>
      </c>
    </row>
    <row r="25" spans="1:46" customFormat="1" x14ac:dyDescent="0.15">
      <c r="A25" s="179" t="s">
        <v>214</v>
      </c>
      <c r="B25" s="143">
        <v>0</v>
      </c>
      <c r="C25" s="143">
        <v>0</v>
      </c>
      <c r="D25" s="143">
        <v>0</v>
      </c>
      <c r="E25" s="143">
        <v>2.4024024876276286E-2</v>
      </c>
      <c r="F25" s="143">
        <v>0</v>
      </c>
      <c r="G25" s="143">
        <v>3.0143747668724729E-3</v>
      </c>
      <c r="H25" s="143">
        <v>0</v>
      </c>
      <c r="I25" s="143">
        <v>3.4068138439078223E-2</v>
      </c>
      <c r="J25" s="143">
        <v>0</v>
      </c>
      <c r="K25" s="143">
        <v>0</v>
      </c>
      <c r="L25" s="143">
        <v>0</v>
      </c>
      <c r="M25" s="143">
        <v>0</v>
      </c>
      <c r="N25" s="143">
        <v>0</v>
      </c>
      <c r="O25" s="143">
        <v>0</v>
      </c>
      <c r="P25" s="143">
        <v>0</v>
      </c>
      <c r="Q25" s="143">
        <v>0</v>
      </c>
      <c r="R25" s="143">
        <v>0</v>
      </c>
      <c r="S25" s="143">
        <v>0</v>
      </c>
      <c r="T25" s="143">
        <v>0</v>
      </c>
      <c r="U25" s="143">
        <v>0</v>
      </c>
      <c r="V25" s="143">
        <v>0</v>
      </c>
      <c r="W25" s="143">
        <v>0</v>
      </c>
      <c r="X25" s="143">
        <v>0</v>
      </c>
      <c r="Y25" s="143">
        <v>0</v>
      </c>
      <c r="Z25" s="143">
        <v>0</v>
      </c>
      <c r="AA25" s="143">
        <v>0</v>
      </c>
      <c r="AB25" s="143">
        <v>0</v>
      </c>
      <c r="AC25" s="143">
        <v>0</v>
      </c>
      <c r="AD25" s="143">
        <v>0</v>
      </c>
      <c r="AE25" s="143">
        <v>0</v>
      </c>
      <c r="AF25" s="143">
        <v>0</v>
      </c>
      <c r="AG25" s="143">
        <v>0</v>
      </c>
      <c r="AH25" s="143">
        <v>0</v>
      </c>
      <c r="AI25" s="143">
        <v>0</v>
      </c>
      <c r="AJ25" s="143">
        <v>0</v>
      </c>
      <c r="AK25" s="143">
        <v>0</v>
      </c>
      <c r="AL25" s="143">
        <v>0</v>
      </c>
      <c r="AM25" s="143">
        <v>0</v>
      </c>
      <c r="AN25" s="143">
        <v>0</v>
      </c>
      <c r="AO25" s="143">
        <v>0</v>
      </c>
      <c r="AP25" s="143">
        <v>0</v>
      </c>
      <c r="AQ25" s="143">
        <v>0</v>
      </c>
      <c r="AR25" s="143">
        <v>0</v>
      </c>
      <c r="AS25" s="143">
        <v>0</v>
      </c>
      <c r="AT25" s="143">
        <v>0</v>
      </c>
    </row>
    <row r="26" spans="1:46" customFormat="1" x14ac:dyDescent="0.15">
      <c r="A26" s="179" t="s">
        <v>215</v>
      </c>
      <c r="B26" s="143">
        <v>0</v>
      </c>
      <c r="C26" s="143">
        <v>0</v>
      </c>
      <c r="D26" s="143">
        <v>0</v>
      </c>
      <c r="E26" s="143">
        <v>0</v>
      </c>
      <c r="F26" s="143">
        <v>0</v>
      </c>
      <c r="G26" s="143">
        <v>1.0047916322908244E-2</v>
      </c>
      <c r="H26" s="143">
        <v>0</v>
      </c>
      <c r="I26" s="143">
        <v>1.7034069219539111E-2</v>
      </c>
      <c r="J26" s="143">
        <v>0</v>
      </c>
      <c r="K26" s="143">
        <v>0</v>
      </c>
      <c r="L26" s="143">
        <v>0</v>
      </c>
      <c r="M26" s="143">
        <v>0</v>
      </c>
      <c r="N26" s="143">
        <v>0</v>
      </c>
      <c r="O26" s="143">
        <v>0</v>
      </c>
      <c r="P26" s="143">
        <v>0</v>
      </c>
      <c r="Q26" s="143">
        <v>0</v>
      </c>
      <c r="R26" s="143">
        <v>0</v>
      </c>
      <c r="S26" s="143">
        <v>7.1928071265934063E-2</v>
      </c>
      <c r="T26" s="143">
        <v>0</v>
      </c>
      <c r="U26" s="143">
        <v>8.3333334566666667E-2</v>
      </c>
      <c r="V26" s="143">
        <v>0</v>
      </c>
      <c r="W26" s="143">
        <v>0</v>
      </c>
      <c r="X26" s="143">
        <v>0</v>
      </c>
      <c r="Y26" s="143">
        <v>0</v>
      </c>
      <c r="Z26" s="143">
        <v>0</v>
      </c>
      <c r="AA26" s="143">
        <v>0</v>
      </c>
      <c r="AB26" s="143">
        <v>0</v>
      </c>
      <c r="AC26" s="143">
        <v>0</v>
      </c>
      <c r="AD26" s="143">
        <v>0</v>
      </c>
      <c r="AE26" s="143">
        <v>0</v>
      </c>
      <c r="AF26" s="143">
        <v>0</v>
      </c>
      <c r="AG26" s="143">
        <v>0</v>
      </c>
      <c r="AH26" s="143">
        <v>0</v>
      </c>
      <c r="AI26" s="143">
        <v>0</v>
      </c>
      <c r="AJ26" s="143">
        <v>0</v>
      </c>
      <c r="AK26" s="143">
        <v>0</v>
      </c>
      <c r="AL26" s="143">
        <v>0</v>
      </c>
      <c r="AM26" s="143">
        <v>0</v>
      </c>
      <c r="AN26" s="143">
        <v>0</v>
      </c>
      <c r="AO26" s="143">
        <v>0</v>
      </c>
      <c r="AP26" s="143">
        <v>0</v>
      </c>
      <c r="AQ26" s="143">
        <v>0</v>
      </c>
      <c r="AR26" s="143">
        <v>0</v>
      </c>
      <c r="AS26" s="143">
        <v>0</v>
      </c>
      <c r="AT26" s="143">
        <v>0</v>
      </c>
    </row>
    <row r="27" spans="1:46" customFormat="1" x14ac:dyDescent="0.15">
      <c r="A27" s="179" t="s">
        <v>216</v>
      </c>
      <c r="B27" s="143">
        <v>0</v>
      </c>
      <c r="C27" s="143">
        <v>5.0011523456174696E-3</v>
      </c>
      <c r="D27" s="143">
        <v>0</v>
      </c>
      <c r="E27" s="143">
        <v>1.1011011126626627E-2</v>
      </c>
      <c r="F27" s="143">
        <v>0</v>
      </c>
      <c r="G27" s="143">
        <v>3.0143747668724729E-3</v>
      </c>
      <c r="H27" s="143">
        <v>0</v>
      </c>
      <c r="I27" s="143">
        <v>0</v>
      </c>
      <c r="J27" s="143">
        <v>0</v>
      </c>
      <c r="K27" s="143">
        <v>1.3702270798682924E-2</v>
      </c>
      <c r="L27" s="143">
        <v>1.0030090076228683E-2</v>
      </c>
      <c r="M27" s="143">
        <v>0</v>
      </c>
      <c r="N27" s="143">
        <v>0</v>
      </c>
      <c r="O27" s="143">
        <v>0</v>
      </c>
      <c r="P27" s="143">
        <v>0</v>
      </c>
      <c r="Q27" s="143">
        <v>0</v>
      </c>
      <c r="R27" s="143">
        <v>0</v>
      </c>
      <c r="S27" s="143">
        <v>1.2987013228571435E-2</v>
      </c>
      <c r="T27" s="143">
        <v>0</v>
      </c>
      <c r="U27" s="143">
        <v>8.3333334566666667E-2</v>
      </c>
      <c r="V27" s="143">
        <v>4.0076145979921823E-3</v>
      </c>
      <c r="W27" s="143">
        <v>0</v>
      </c>
      <c r="X27" s="143">
        <v>0</v>
      </c>
      <c r="Y27" s="143">
        <v>0</v>
      </c>
      <c r="Z27" s="143">
        <v>0</v>
      </c>
      <c r="AA27" s="143">
        <v>0</v>
      </c>
      <c r="AB27" s="143">
        <v>0</v>
      </c>
      <c r="AC27" s="143">
        <v>0</v>
      </c>
      <c r="AD27" s="143">
        <v>0</v>
      </c>
      <c r="AE27" s="143">
        <v>0</v>
      </c>
      <c r="AF27" s="143">
        <v>0</v>
      </c>
      <c r="AG27" s="143">
        <v>0</v>
      </c>
      <c r="AH27" s="143">
        <v>0</v>
      </c>
      <c r="AI27" s="143">
        <v>0</v>
      </c>
      <c r="AJ27" s="143">
        <v>0</v>
      </c>
      <c r="AK27" s="143">
        <v>0</v>
      </c>
      <c r="AL27" s="143">
        <v>0</v>
      </c>
      <c r="AM27" s="143">
        <v>0</v>
      </c>
      <c r="AN27" s="143">
        <v>0</v>
      </c>
      <c r="AO27" s="143">
        <v>0</v>
      </c>
      <c r="AP27" s="143">
        <v>0</v>
      </c>
      <c r="AQ27" s="143">
        <v>0</v>
      </c>
      <c r="AR27" s="143">
        <v>0</v>
      </c>
      <c r="AS27" s="143">
        <v>0</v>
      </c>
      <c r="AT27" s="143">
        <v>0</v>
      </c>
    </row>
    <row r="28" spans="1:46" customFormat="1" x14ac:dyDescent="0.15">
      <c r="A28" s="179" t="s">
        <v>217</v>
      </c>
      <c r="B28" s="143">
        <v>0</v>
      </c>
      <c r="C28" s="143">
        <v>0</v>
      </c>
      <c r="D28" s="143">
        <v>0</v>
      </c>
      <c r="E28" s="143">
        <v>0</v>
      </c>
      <c r="F28" s="143">
        <v>0</v>
      </c>
      <c r="G28" s="143">
        <v>2.1100621748107309E-2</v>
      </c>
      <c r="H28" s="143">
        <v>0</v>
      </c>
      <c r="I28" s="143">
        <v>0</v>
      </c>
      <c r="J28" s="143">
        <v>0</v>
      </c>
      <c r="K28" s="143">
        <v>0</v>
      </c>
      <c r="L28" s="143">
        <v>0</v>
      </c>
      <c r="M28" s="143">
        <v>0</v>
      </c>
      <c r="N28" s="143">
        <v>0</v>
      </c>
      <c r="O28" s="143">
        <v>0</v>
      </c>
      <c r="P28" s="143">
        <v>0</v>
      </c>
      <c r="Q28" s="143">
        <v>0</v>
      </c>
      <c r="R28" s="143">
        <v>0</v>
      </c>
      <c r="S28" s="143">
        <v>7.1928071265934063E-2</v>
      </c>
      <c r="T28" s="143">
        <v>1.4063519855848921E-2</v>
      </c>
      <c r="U28" s="143">
        <v>0</v>
      </c>
      <c r="V28" s="143">
        <v>4.0076145979921823E-3</v>
      </c>
      <c r="W28" s="143">
        <v>0</v>
      </c>
      <c r="X28" s="143">
        <v>8.0321291184739067E-3</v>
      </c>
      <c r="Y28" s="143">
        <v>2.8942112759381335E-2</v>
      </c>
      <c r="Z28" s="143">
        <v>0</v>
      </c>
      <c r="AA28" s="143">
        <v>0</v>
      </c>
      <c r="AB28" s="143">
        <v>0</v>
      </c>
      <c r="AC28" s="143">
        <v>0</v>
      </c>
      <c r="AD28" s="143">
        <v>0</v>
      </c>
      <c r="AE28" s="143">
        <v>0</v>
      </c>
      <c r="AF28" s="143">
        <v>0</v>
      </c>
      <c r="AG28" s="143">
        <v>0</v>
      </c>
      <c r="AH28" s="143">
        <v>0</v>
      </c>
      <c r="AI28" s="143">
        <v>0</v>
      </c>
      <c r="AJ28" s="143">
        <v>0</v>
      </c>
      <c r="AK28" s="143">
        <v>0</v>
      </c>
      <c r="AL28" s="143">
        <v>0</v>
      </c>
      <c r="AM28" s="143">
        <v>0</v>
      </c>
      <c r="AN28" s="143">
        <v>0</v>
      </c>
      <c r="AO28" s="143">
        <v>0</v>
      </c>
      <c r="AP28" s="143">
        <v>0</v>
      </c>
      <c r="AQ28" s="143">
        <v>0</v>
      </c>
      <c r="AR28" s="143">
        <v>0</v>
      </c>
      <c r="AS28" s="143">
        <v>0</v>
      </c>
      <c r="AT28" s="143">
        <v>0</v>
      </c>
    </row>
    <row r="29" spans="1:46" customFormat="1" x14ac:dyDescent="0.15">
      <c r="A29" s="179" t="s">
        <v>218</v>
      </c>
      <c r="B29" s="143">
        <v>0</v>
      </c>
      <c r="C29" s="143">
        <v>5.0011523456174696E-3</v>
      </c>
      <c r="D29" s="143">
        <v>0</v>
      </c>
      <c r="E29" s="143">
        <v>5.0050050575575575E-3</v>
      </c>
      <c r="F29" s="143">
        <v>9.018036010821644E-3</v>
      </c>
      <c r="G29" s="143">
        <v>3.9186872589342149E-2</v>
      </c>
      <c r="H29" s="143">
        <v>0</v>
      </c>
      <c r="I29" s="143">
        <v>1.5030060458416844E-2</v>
      </c>
      <c r="J29" s="143">
        <v>7.8550009067847038E-2</v>
      </c>
      <c r="K29" s="143">
        <v>0</v>
      </c>
      <c r="L29" s="143">
        <v>1.0030090076228683E-2</v>
      </c>
      <c r="M29" s="143">
        <v>1.4155713226410497E-2</v>
      </c>
      <c r="N29" s="143">
        <v>0</v>
      </c>
      <c r="O29" s="143">
        <v>0</v>
      </c>
      <c r="P29" s="143">
        <v>0</v>
      </c>
      <c r="Q29" s="143">
        <v>0</v>
      </c>
      <c r="R29" s="143">
        <v>0</v>
      </c>
      <c r="S29" s="143">
        <v>1.1988011410989003E-2</v>
      </c>
      <c r="T29" s="143">
        <v>8.0362969176279563E-3</v>
      </c>
      <c r="U29" s="143">
        <v>0</v>
      </c>
      <c r="V29" s="143">
        <v>1.001903669498045E-2</v>
      </c>
      <c r="W29" s="143">
        <v>0</v>
      </c>
      <c r="X29" s="143">
        <v>1.0040160148092362E-2</v>
      </c>
      <c r="Y29" s="143">
        <v>9.9800386756487419E-3</v>
      </c>
      <c r="Z29" s="143">
        <v>0</v>
      </c>
      <c r="AA29" s="143">
        <v>0</v>
      </c>
      <c r="AB29" s="143">
        <v>0</v>
      </c>
      <c r="AC29" s="143">
        <v>0</v>
      </c>
      <c r="AD29" s="143">
        <v>0</v>
      </c>
      <c r="AE29" s="143">
        <v>0</v>
      </c>
      <c r="AF29" s="143">
        <v>0</v>
      </c>
      <c r="AG29" s="143">
        <v>0</v>
      </c>
      <c r="AH29" s="143">
        <v>0</v>
      </c>
      <c r="AI29" s="143">
        <v>0</v>
      </c>
      <c r="AJ29" s="143">
        <v>0</v>
      </c>
      <c r="AK29" s="143">
        <v>0</v>
      </c>
      <c r="AL29" s="143">
        <v>0</v>
      </c>
      <c r="AM29" s="143">
        <v>0</v>
      </c>
      <c r="AN29" s="143">
        <v>0</v>
      </c>
      <c r="AO29" s="143">
        <v>0</v>
      </c>
      <c r="AP29" s="143">
        <v>0</v>
      </c>
      <c r="AQ29" s="143">
        <v>0</v>
      </c>
      <c r="AR29" s="143">
        <v>0</v>
      </c>
      <c r="AS29" s="143">
        <v>0</v>
      </c>
      <c r="AT29" s="143">
        <v>0</v>
      </c>
    </row>
    <row r="30" spans="1:46" customFormat="1" x14ac:dyDescent="0.15">
      <c r="A30" s="179" t="s">
        <v>219</v>
      </c>
      <c r="B30" s="143">
        <v>0</v>
      </c>
      <c r="C30" s="143">
        <v>1.0002304691234939E-2</v>
      </c>
      <c r="D30" s="143">
        <v>0</v>
      </c>
      <c r="E30" s="143">
        <v>1.0010010115115116E-3</v>
      </c>
      <c r="F30" s="143">
        <v>0</v>
      </c>
      <c r="G30" s="143">
        <v>1.607666543665319E-2</v>
      </c>
      <c r="H30" s="143">
        <v>0</v>
      </c>
      <c r="I30" s="143">
        <v>2.4048098133466995E-2</v>
      </c>
      <c r="J30" s="143">
        <v>0</v>
      </c>
      <c r="K30" s="143">
        <v>2.2000000318999999E-2</v>
      </c>
      <c r="L30" s="143">
        <v>0</v>
      </c>
      <c r="M30" s="143">
        <v>0</v>
      </c>
      <c r="N30" s="143">
        <v>0</v>
      </c>
      <c r="O30" s="143">
        <v>0</v>
      </c>
      <c r="P30" s="143">
        <v>0</v>
      </c>
      <c r="Q30" s="143">
        <v>0</v>
      </c>
      <c r="R30" s="143">
        <v>0</v>
      </c>
      <c r="S30" s="143">
        <v>1.0989010193406581E-2</v>
      </c>
      <c r="T30" s="143">
        <v>1.6072593435255918E-2</v>
      </c>
      <c r="U30" s="143">
        <v>8.3333334566666667E-2</v>
      </c>
      <c r="V30" s="143">
        <v>8.0152288359843712E-3</v>
      </c>
      <c r="W30" s="143">
        <v>0</v>
      </c>
      <c r="X30" s="143">
        <v>1.7068274551757051E-2</v>
      </c>
      <c r="Y30" s="143">
        <v>2.8942112759381335E-2</v>
      </c>
      <c r="Z30" s="143">
        <v>0</v>
      </c>
      <c r="AA30" s="143">
        <v>0</v>
      </c>
      <c r="AB30" s="143">
        <v>0</v>
      </c>
      <c r="AC30" s="143">
        <v>1.1164317558153723E-4</v>
      </c>
      <c r="AD30" s="143">
        <v>1.1011010900900902E-2</v>
      </c>
      <c r="AE30" s="143">
        <v>1.0020039859719441E-2</v>
      </c>
      <c r="AF30" s="143">
        <v>4.0040040892892915E-3</v>
      </c>
      <c r="AG30" s="143">
        <v>0</v>
      </c>
      <c r="AH30" s="143">
        <v>0</v>
      </c>
      <c r="AI30" s="143">
        <v>0</v>
      </c>
      <c r="AJ30" s="143">
        <v>0</v>
      </c>
      <c r="AK30" s="143">
        <v>0</v>
      </c>
      <c r="AL30" s="143">
        <v>0</v>
      </c>
      <c r="AM30" s="143">
        <v>0</v>
      </c>
      <c r="AN30" s="143">
        <v>0</v>
      </c>
      <c r="AO30" s="143">
        <v>0</v>
      </c>
      <c r="AP30" s="143">
        <v>0</v>
      </c>
      <c r="AQ30" s="143">
        <v>0</v>
      </c>
      <c r="AR30" s="143">
        <v>0</v>
      </c>
      <c r="AS30" s="143">
        <v>0</v>
      </c>
      <c r="AT30" s="143">
        <v>0</v>
      </c>
    </row>
    <row r="31" spans="1:46" customFormat="1" x14ac:dyDescent="0.15">
      <c r="A31" s="179" t="s">
        <v>220</v>
      </c>
      <c r="B31" s="143">
        <v>0</v>
      </c>
      <c r="C31" s="143">
        <v>0</v>
      </c>
      <c r="D31" s="143">
        <v>0</v>
      </c>
      <c r="E31" s="143">
        <v>0</v>
      </c>
      <c r="F31" s="143">
        <v>0</v>
      </c>
      <c r="G31" s="143">
        <v>0</v>
      </c>
      <c r="H31" s="143">
        <v>0</v>
      </c>
      <c r="I31" s="143">
        <v>0</v>
      </c>
      <c r="J31" s="143">
        <v>0</v>
      </c>
      <c r="K31" s="143">
        <v>0</v>
      </c>
      <c r="L31" s="143">
        <v>0</v>
      </c>
      <c r="M31" s="143">
        <v>0</v>
      </c>
      <c r="N31" s="143">
        <v>0</v>
      </c>
      <c r="O31" s="143">
        <v>0</v>
      </c>
      <c r="P31" s="143">
        <v>0</v>
      </c>
      <c r="Q31" s="143">
        <v>0</v>
      </c>
      <c r="R31" s="143">
        <v>0</v>
      </c>
      <c r="S31" s="143">
        <v>7.1928071265934063E-2</v>
      </c>
      <c r="T31" s="143">
        <v>1.1049908486738438E-2</v>
      </c>
      <c r="U31" s="143">
        <v>4.1666667283333333E-2</v>
      </c>
      <c r="V31" s="143">
        <v>4.0076145979921823E-3</v>
      </c>
      <c r="W31" s="143">
        <v>0</v>
      </c>
      <c r="X31" s="143">
        <v>8.0321291184739067E-3</v>
      </c>
      <c r="Y31" s="143">
        <v>2.8942112759381335E-2</v>
      </c>
      <c r="Z31" s="143">
        <v>0</v>
      </c>
      <c r="AA31" s="143">
        <v>0</v>
      </c>
      <c r="AB31" s="143">
        <v>0</v>
      </c>
      <c r="AC31" s="143">
        <v>0</v>
      </c>
      <c r="AD31" s="143">
        <v>0</v>
      </c>
      <c r="AE31" s="143">
        <v>0</v>
      </c>
      <c r="AF31" s="143">
        <v>0</v>
      </c>
      <c r="AG31" s="143">
        <v>0</v>
      </c>
      <c r="AH31" s="143">
        <v>0</v>
      </c>
      <c r="AI31" s="143">
        <v>0</v>
      </c>
      <c r="AJ31" s="143">
        <v>0</v>
      </c>
      <c r="AK31" s="143">
        <v>0</v>
      </c>
      <c r="AL31" s="143">
        <v>0</v>
      </c>
      <c r="AM31" s="143">
        <v>0</v>
      </c>
      <c r="AN31" s="143">
        <v>0</v>
      </c>
      <c r="AO31" s="143">
        <v>0</v>
      </c>
      <c r="AP31" s="143">
        <v>0</v>
      </c>
      <c r="AQ31" s="143">
        <v>0</v>
      </c>
      <c r="AR31" s="143">
        <v>0</v>
      </c>
      <c r="AS31" s="143">
        <v>0</v>
      </c>
      <c r="AT31" s="143">
        <v>0</v>
      </c>
    </row>
    <row r="32" spans="1:46" customFormat="1" x14ac:dyDescent="0.15">
      <c r="A32" s="179" t="s">
        <v>221</v>
      </c>
      <c r="B32" s="143">
        <v>0</v>
      </c>
      <c r="C32" s="143">
        <v>1.1002535780358428E-2</v>
      </c>
      <c r="D32" s="143">
        <v>0</v>
      </c>
      <c r="E32" s="143">
        <v>1.1011011126626627E-2</v>
      </c>
      <c r="F32" s="143">
        <v>4.1082166149298598E-2</v>
      </c>
      <c r="G32" s="143">
        <v>8.641208019701091E-2</v>
      </c>
      <c r="H32" s="143">
        <v>9.1428569844571421E-3</v>
      </c>
      <c r="I32" s="143">
        <v>1.5030060458416844E-2</v>
      </c>
      <c r="J32" s="143">
        <v>3.2542142613822392E-2</v>
      </c>
      <c r="K32" s="143">
        <v>0.11650000168925001</v>
      </c>
      <c r="L32" s="143">
        <v>1.3039116799097287E-2</v>
      </c>
      <c r="M32" s="143">
        <v>1.4155713226410497E-2</v>
      </c>
      <c r="N32" s="143">
        <v>0</v>
      </c>
      <c r="O32" s="143">
        <v>0</v>
      </c>
      <c r="P32" s="143">
        <v>0</v>
      </c>
      <c r="Q32" s="143">
        <v>0</v>
      </c>
      <c r="R32" s="143">
        <v>0</v>
      </c>
      <c r="S32" s="143">
        <v>1.1988011410989003E-2</v>
      </c>
      <c r="T32" s="143">
        <v>2.0090741794069899E-2</v>
      </c>
      <c r="U32" s="143">
        <v>4.1666667283333333E-2</v>
      </c>
      <c r="V32" s="143">
        <v>1.1020940474478493E-2</v>
      </c>
      <c r="W32" s="143">
        <v>0</v>
      </c>
      <c r="X32" s="143">
        <v>1.4056225507329328E-2</v>
      </c>
      <c r="Y32" s="143">
        <v>2.8942112759381335E-2</v>
      </c>
      <c r="Z32" s="143">
        <v>0</v>
      </c>
      <c r="AA32" s="143">
        <v>0</v>
      </c>
      <c r="AB32" s="143">
        <v>9.9900097592407651E-3</v>
      </c>
      <c r="AC32" s="143">
        <v>1.0130581343509816E-3</v>
      </c>
      <c r="AD32" s="143">
        <v>1.0010009909909912E-3</v>
      </c>
      <c r="AE32" s="143">
        <v>0</v>
      </c>
      <c r="AF32" s="143">
        <v>1.0010010223223229E-3</v>
      </c>
      <c r="AG32" s="143">
        <v>0</v>
      </c>
      <c r="AH32" s="143">
        <v>0</v>
      </c>
      <c r="AI32" s="143">
        <v>0</v>
      </c>
      <c r="AJ32" s="143">
        <v>0</v>
      </c>
      <c r="AK32" s="143">
        <v>0</v>
      </c>
      <c r="AL32" s="143">
        <v>0</v>
      </c>
      <c r="AM32" s="143">
        <v>1.0010010116116119E-3</v>
      </c>
      <c r="AN32" s="143">
        <v>0</v>
      </c>
      <c r="AO32" s="143">
        <v>0</v>
      </c>
      <c r="AP32" s="143">
        <v>0</v>
      </c>
      <c r="AQ32" s="143">
        <v>0</v>
      </c>
      <c r="AR32" s="143">
        <v>0</v>
      </c>
      <c r="AS32" s="143">
        <v>0</v>
      </c>
      <c r="AT32" s="143">
        <v>0</v>
      </c>
    </row>
    <row r="33" spans="1:46" customFormat="1" x14ac:dyDescent="0.15">
      <c r="A33" s="179" t="s">
        <v>222</v>
      </c>
      <c r="B33" s="143">
        <v>0</v>
      </c>
      <c r="C33" s="143">
        <v>0</v>
      </c>
      <c r="D33" s="143">
        <v>0</v>
      </c>
      <c r="E33" s="143">
        <v>0</v>
      </c>
      <c r="F33" s="143">
        <v>6.0120240072144291E-3</v>
      </c>
      <c r="G33" s="143">
        <v>5.7273123530576994E-2</v>
      </c>
      <c r="H33" s="143">
        <v>2.4847682557758936E-2</v>
      </c>
      <c r="I33" s="143">
        <v>0</v>
      </c>
      <c r="J33" s="143">
        <v>0</v>
      </c>
      <c r="K33" s="143">
        <v>0</v>
      </c>
      <c r="L33" s="143">
        <v>0</v>
      </c>
      <c r="M33" s="143">
        <v>0</v>
      </c>
      <c r="N33" s="143">
        <v>0</v>
      </c>
      <c r="O33" s="143">
        <v>0</v>
      </c>
      <c r="P33" s="143">
        <v>0</v>
      </c>
      <c r="Q33" s="143">
        <v>0</v>
      </c>
      <c r="R33" s="143">
        <v>0</v>
      </c>
      <c r="S33" s="143">
        <v>0</v>
      </c>
      <c r="T33" s="143">
        <v>0</v>
      </c>
      <c r="U33" s="143">
        <v>0</v>
      </c>
      <c r="V33" s="143">
        <v>1.0019036494980456E-3</v>
      </c>
      <c r="W33" s="143">
        <v>0</v>
      </c>
      <c r="X33" s="143">
        <v>0</v>
      </c>
      <c r="Y33" s="143">
        <v>0</v>
      </c>
      <c r="Z33" s="143">
        <v>0</v>
      </c>
      <c r="AA33" s="143">
        <v>0</v>
      </c>
      <c r="AB33" s="143">
        <v>0</v>
      </c>
      <c r="AC33" s="143">
        <v>0</v>
      </c>
      <c r="AD33" s="143">
        <v>0</v>
      </c>
      <c r="AE33" s="143">
        <v>0</v>
      </c>
      <c r="AF33" s="143">
        <v>0</v>
      </c>
      <c r="AG33" s="143">
        <v>0</v>
      </c>
      <c r="AH33" s="143">
        <v>0</v>
      </c>
      <c r="AI33" s="143">
        <v>0</v>
      </c>
      <c r="AJ33" s="143">
        <v>0</v>
      </c>
      <c r="AK33" s="143">
        <v>0</v>
      </c>
      <c r="AL33" s="143">
        <v>0</v>
      </c>
      <c r="AM33" s="143">
        <v>0</v>
      </c>
      <c r="AN33" s="143">
        <v>0</v>
      </c>
      <c r="AO33" s="143">
        <v>0</v>
      </c>
      <c r="AP33" s="143">
        <v>0</v>
      </c>
      <c r="AQ33" s="143">
        <v>0</v>
      </c>
      <c r="AR33" s="143">
        <v>0</v>
      </c>
      <c r="AS33" s="143">
        <v>0</v>
      </c>
      <c r="AT33" s="143">
        <v>0</v>
      </c>
    </row>
    <row r="34" spans="1:46" customFormat="1" x14ac:dyDescent="0.15">
      <c r="A34" s="179" t="s">
        <v>223</v>
      </c>
      <c r="B34" s="143">
        <v>2.2053540892081339E-2</v>
      </c>
      <c r="C34" s="143">
        <v>3.5008069619322256E-2</v>
      </c>
      <c r="D34" s="143">
        <v>0</v>
      </c>
      <c r="E34" s="143">
        <v>0</v>
      </c>
      <c r="F34" s="143">
        <v>6.0120236172144285E-2</v>
      </c>
      <c r="G34" s="143">
        <v>3.0143747668724729E-3</v>
      </c>
      <c r="H34" s="143">
        <v>0.12560191778647672</v>
      </c>
      <c r="I34" s="143">
        <v>0</v>
      </c>
      <c r="J34" s="143">
        <v>0</v>
      </c>
      <c r="K34" s="143">
        <v>0</v>
      </c>
      <c r="L34" s="143">
        <v>0</v>
      </c>
      <c r="M34" s="143">
        <v>0</v>
      </c>
      <c r="N34" s="143">
        <v>0</v>
      </c>
      <c r="O34" s="143">
        <v>0</v>
      </c>
      <c r="P34" s="143">
        <v>0</v>
      </c>
      <c r="Q34" s="143">
        <v>0</v>
      </c>
      <c r="R34" s="143">
        <v>0</v>
      </c>
      <c r="S34" s="143">
        <v>0</v>
      </c>
      <c r="T34" s="143">
        <v>0</v>
      </c>
      <c r="U34" s="143">
        <v>0</v>
      </c>
      <c r="V34" s="143">
        <v>9.0171328154824096E-3</v>
      </c>
      <c r="W34" s="143">
        <v>0</v>
      </c>
      <c r="X34" s="143">
        <v>0</v>
      </c>
      <c r="Y34" s="143">
        <v>0</v>
      </c>
      <c r="Z34" s="143">
        <v>0</v>
      </c>
      <c r="AA34" s="143">
        <v>0</v>
      </c>
      <c r="AB34" s="143">
        <v>0</v>
      </c>
      <c r="AC34" s="143">
        <v>0</v>
      </c>
      <c r="AD34" s="143">
        <v>0</v>
      </c>
      <c r="AE34" s="143">
        <v>0</v>
      </c>
      <c r="AF34" s="143">
        <v>0</v>
      </c>
      <c r="AG34" s="143">
        <v>0.148340253249585</v>
      </c>
      <c r="AH34" s="143">
        <v>0</v>
      </c>
      <c r="AI34" s="143">
        <v>0</v>
      </c>
      <c r="AJ34" s="143">
        <v>0</v>
      </c>
      <c r="AK34" s="143">
        <v>0</v>
      </c>
      <c r="AL34" s="143">
        <v>0</v>
      </c>
      <c r="AM34" s="143">
        <v>0</v>
      </c>
      <c r="AN34" s="143">
        <v>0</v>
      </c>
      <c r="AO34" s="143">
        <v>0</v>
      </c>
      <c r="AP34" s="143">
        <v>0</v>
      </c>
      <c r="AQ34" s="143">
        <v>0</v>
      </c>
      <c r="AR34" s="143">
        <v>0</v>
      </c>
      <c r="AS34" s="143">
        <v>0</v>
      </c>
      <c r="AT34" s="143">
        <v>0</v>
      </c>
    </row>
    <row r="35" spans="1:46" customFormat="1" x14ac:dyDescent="0.15">
      <c r="A35" s="179" t="s">
        <v>224</v>
      </c>
      <c r="B35" s="143">
        <v>0</v>
      </c>
      <c r="C35" s="143">
        <v>0</v>
      </c>
      <c r="D35" s="143">
        <v>0</v>
      </c>
      <c r="E35" s="143">
        <v>0</v>
      </c>
      <c r="F35" s="143">
        <v>6.0120240072144291E-3</v>
      </c>
      <c r="G35" s="143">
        <v>0</v>
      </c>
      <c r="H35" s="143">
        <v>1.111111138111111E-2</v>
      </c>
      <c r="I35" s="143">
        <v>6.6132262017033996E-2</v>
      </c>
      <c r="J35" s="143">
        <v>1.122142986683529E-3</v>
      </c>
      <c r="K35" s="143">
        <v>0</v>
      </c>
      <c r="L35" s="143">
        <v>0</v>
      </c>
      <c r="M35" s="143">
        <v>0</v>
      </c>
      <c r="N35" s="143">
        <v>0</v>
      </c>
      <c r="O35" s="143">
        <v>0</v>
      </c>
      <c r="P35" s="143">
        <v>0</v>
      </c>
      <c r="Q35" s="143">
        <v>0</v>
      </c>
      <c r="R35" s="143">
        <v>0</v>
      </c>
      <c r="S35" s="143">
        <v>0</v>
      </c>
      <c r="T35" s="143">
        <v>0</v>
      </c>
      <c r="U35" s="143">
        <v>0</v>
      </c>
      <c r="V35" s="143">
        <v>0</v>
      </c>
      <c r="W35" s="143">
        <v>0</v>
      </c>
      <c r="X35" s="143">
        <v>0</v>
      </c>
      <c r="Y35" s="143">
        <v>0</v>
      </c>
      <c r="Z35" s="143">
        <v>0</v>
      </c>
      <c r="AA35" s="143">
        <v>0</v>
      </c>
      <c r="AB35" s="143">
        <v>0</v>
      </c>
      <c r="AC35" s="143">
        <v>0</v>
      </c>
      <c r="AD35" s="143">
        <v>0</v>
      </c>
      <c r="AE35" s="143">
        <v>0</v>
      </c>
      <c r="AF35" s="143">
        <v>0</v>
      </c>
      <c r="AG35" s="143">
        <v>0</v>
      </c>
      <c r="AH35" s="143">
        <v>0</v>
      </c>
      <c r="AI35" s="143">
        <v>0</v>
      </c>
      <c r="AJ35" s="143">
        <v>0</v>
      </c>
      <c r="AK35" s="143">
        <v>0</v>
      </c>
      <c r="AL35" s="143">
        <v>0</v>
      </c>
      <c r="AM35" s="143">
        <v>0</v>
      </c>
      <c r="AN35" s="143">
        <v>0</v>
      </c>
      <c r="AO35" s="143">
        <v>0</v>
      </c>
      <c r="AP35" s="143">
        <v>0</v>
      </c>
      <c r="AQ35" s="143">
        <v>0</v>
      </c>
      <c r="AR35" s="143">
        <v>0</v>
      </c>
      <c r="AS35" s="143">
        <v>0</v>
      </c>
      <c r="AT35" s="143">
        <v>0</v>
      </c>
    </row>
    <row r="36" spans="1:46" customFormat="1" x14ac:dyDescent="0.15">
      <c r="A36" s="179" t="s">
        <v>225</v>
      </c>
      <c r="B36" s="143">
        <v>2.2053540892081339E-2</v>
      </c>
      <c r="C36" s="143">
        <v>0</v>
      </c>
      <c r="D36" s="143">
        <v>0</v>
      </c>
      <c r="E36" s="143">
        <v>0</v>
      </c>
      <c r="F36" s="143">
        <v>0</v>
      </c>
      <c r="G36" s="143">
        <v>0</v>
      </c>
      <c r="H36" s="143">
        <v>1.111111138111111E-2</v>
      </c>
      <c r="I36" s="143">
        <v>0</v>
      </c>
      <c r="J36" s="143">
        <v>0</v>
      </c>
      <c r="K36" s="143">
        <v>0</v>
      </c>
      <c r="L36" s="143">
        <v>0</v>
      </c>
      <c r="M36" s="143">
        <v>0</v>
      </c>
      <c r="N36" s="143">
        <v>0</v>
      </c>
      <c r="O36" s="143">
        <v>0</v>
      </c>
      <c r="P36" s="143">
        <v>0</v>
      </c>
      <c r="Q36" s="143">
        <v>0</v>
      </c>
      <c r="R36" s="143">
        <v>0</v>
      </c>
      <c r="S36" s="143">
        <v>0</v>
      </c>
      <c r="T36" s="143">
        <v>0</v>
      </c>
      <c r="U36" s="143">
        <v>0</v>
      </c>
      <c r="V36" s="143">
        <v>0</v>
      </c>
      <c r="W36" s="143">
        <v>0</v>
      </c>
      <c r="X36" s="143">
        <v>0</v>
      </c>
      <c r="Y36" s="143">
        <v>0</v>
      </c>
      <c r="Z36" s="143">
        <v>0</v>
      </c>
      <c r="AA36" s="143">
        <v>0</v>
      </c>
      <c r="AB36" s="143">
        <v>0</v>
      </c>
      <c r="AC36" s="143">
        <v>0</v>
      </c>
      <c r="AD36" s="143">
        <v>0</v>
      </c>
      <c r="AE36" s="143">
        <v>0</v>
      </c>
      <c r="AF36" s="143">
        <v>0</v>
      </c>
      <c r="AG36" s="143">
        <v>0</v>
      </c>
      <c r="AH36" s="143">
        <v>0</v>
      </c>
      <c r="AI36" s="143">
        <v>6.9444440555555528E-2</v>
      </c>
      <c r="AJ36" s="143">
        <v>0</v>
      </c>
      <c r="AK36" s="143">
        <v>0</v>
      </c>
      <c r="AL36" s="143">
        <v>0</v>
      </c>
      <c r="AM36" s="143">
        <v>0</v>
      </c>
      <c r="AN36" s="143">
        <v>0</v>
      </c>
      <c r="AO36" s="143">
        <v>0</v>
      </c>
      <c r="AP36" s="143">
        <v>0</v>
      </c>
      <c r="AQ36" s="143">
        <v>0</v>
      </c>
      <c r="AR36" s="143">
        <v>0</v>
      </c>
      <c r="AS36" s="143">
        <v>0</v>
      </c>
      <c r="AT36" s="143">
        <v>0</v>
      </c>
    </row>
    <row r="37" spans="1:46" customFormat="1" x14ac:dyDescent="0.15">
      <c r="A37" s="179" t="s">
        <v>226</v>
      </c>
      <c r="B37" s="143">
        <v>2.2053540892081339E-2</v>
      </c>
      <c r="C37" s="143">
        <v>0</v>
      </c>
      <c r="D37" s="143">
        <v>0</v>
      </c>
      <c r="E37" s="143">
        <v>0</v>
      </c>
      <c r="F37" s="143">
        <v>0</v>
      </c>
      <c r="G37" s="143">
        <v>1.0047915922908243E-3</v>
      </c>
      <c r="H37" s="143">
        <v>9.187300984381587E-2</v>
      </c>
      <c r="I37" s="143">
        <v>0</v>
      </c>
      <c r="J37" s="143">
        <v>2.4687144607037654E-2</v>
      </c>
      <c r="K37" s="143">
        <v>0</v>
      </c>
      <c r="L37" s="143">
        <v>0</v>
      </c>
      <c r="M37" s="143">
        <v>0</v>
      </c>
      <c r="N37" s="143">
        <v>0</v>
      </c>
      <c r="O37" s="143">
        <v>0</v>
      </c>
      <c r="P37" s="143">
        <v>0</v>
      </c>
      <c r="Q37" s="143">
        <v>0</v>
      </c>
      <c r="R37" s="143">
        <v>0</v>
      </c>
      <c r="S37" s="143">
        <v>0</v>
      </c>
      <c r="T37" s="143">
        <v>0</v>
      </c>
      <c r="U37" s="143">
        <v>0</v>
      </c>
      <c r="V37" s="143">
        <v>1.0019036494980456E-3</v>
      </c>
      <c r="W37" s="143">
        <v>0</v>
      </c>
      <c r="X37" s="143">
        <v>0</v>
      </c>
      <c r="Y37" s="143">
        <v>0</v>
      </c>
      <c r="Z37" s="143">
        <v>0</v>
      </c>
      <c r="AA37" s="143">
        <v>0</v>
      </c>
      <c r="AB37" s="143">
        <v>0</v>
      </c>
      <c r="AC37" s="143">
        <v>0</v>
      </c>
      <c r="AD37" s="143">
        <v>0</v>
      </c>
      <c r="AE37" s="143">
        <v>0</v>
      </c>
      <c r="AF37" s="143">
        <v>0</v>
      </c>
      <c r="AG37" s="143">
        <v>0.11929460459232365</v>
      </c>
      <c r="AH37" s="143">
        <v>0</v>
      </c>
      <c r="AI37" s="143">
        <v>6.9444440555555528E-2</v>
      </c>
      <c r="AJ37" s="143">
        <v>0</v>
      </c>
      <c r="AK37" s="143">
        <v>0</v>
      </c>
      <c r="AL37" s="143">
        <v>0</v>
      </c>
      <c r="AM37" s="143">
        <v>0</v>
      </c>
      <c r="AN37" s="143">
        <v>0</v>
      </c>
      <c r="AO37" s="143">
        <v>0</v>
      </c>
      <c r="AP37" s="143">
        <v>0</v>
      </c>
      <c r="AQ37" s="143">
        <v>0</v>
      </c>
      <c r="AR37" s="143">
        <v>0</v>
      </c>
      <c r="AS37" s="143">
        <v>0</v>
      </c>
      <c r="AT37" s="143">
        <v>0</v>
      </c>
    </row>
    <row r="38" spans="1:46" customFormat="1" x14ac:dyDescent="0.15">
      <c r="A38" s="179" t="s">
        <v>227</v>
      </c>
      <c r="B38" s="143">
        <v>4.382126269333747E-2</v>
      </c>
      <c r="C38" s="143">
        <v>7.0016139238644512E-2</v>
      </c>
      <c r="D38" s="143">
        <v>0</v>
      </c>
      <c r="E38" s="143">
        <v>0</v>
      </c>
      <c r="F38" s="143">
        <v>3.9078153746893787E-2</v>
      </c>
      <c r="G38" s="143">
        <v>0</v>
      </c>
      <c r="H38" s="143">
        <v>0.13994985776208524</v>
      </c>
      <c r="I38" s="143">
        <v>0.13226452903406813</v>
      </c>
      <c r="J38" s="143">
        <v>9.5382152868099979E-2</v>
      </c>
      <c r="K38" s="143">
        <v>0</v>
      </c>
      <c r="L38" s="143">
        <v>0</v>
      </c>
      <c r="M38" s="143">
        <v>0</v>
      </c>
      <c r="N38" s="143">
        <v>0</v>
      </c>
      <c r="O38" s="143">
        <v>0</v>
      </c>
      <c r="P38" s="143">
        <v>0</v>
      </c>
      <c r="Q38" s="143">
        <v>0</v>
      </c>
      <c r="R38" s="143">
        <v>0</v>
      </c>
      <c r="S38" s="143">
        <v>0</v>
      </c>
      <c r="T38" s="143">
        <v>0</v>
      </c>
      <c r="U38" s="143">
        <v>0</v>
      </c>
      <c r="V38" s="143">
        <v>5.2098992133898313E-2</v>
      </c>
      <c r="W38" s="143">
        <v>0</v>
      </c>
      <c r="X38" s="143">
        <v>0</v>
      </c>
      <c r="Y38" s="143">
        <v>0</v>
      </c>
      <c r="Z38" s="143">
        <v>0</v>
      </c>
      <c r="AA38" s="143">
        <v>0</v>
      </c>
      <c r="AB38" s="143">
        <v>0</v>
      </c>
      <c r="AC38" s="143">
        <v>0</v>
      </c>
      <c r="AD38" s="143">
        <v>0</v>
      </c>
      <c r="AE38" s="143">
        <v>0</v>
      </c>
      <c r="AF38" s="143">
        <v>0</v>
      </c>
      <c r="AG38" s="143">
        <v>0.12863069848215775</v>
      </c>
      <c r="AH38" s="143">
        <v>0</v>
      </c>
      <c r="AI38" s="143">
        <v>6.9444440555555528E-2</v>
      </c>
      <c r="AJ38" s="143">
        <v>0</v>
      </c>
      <c r="AK38" s="143">
        <v>0.51388889383333336</v>
      </c>
      <c r="AL38" s="143">
        <v>7.3069022803387725E-4</v>
      </c>
      <c r="AM38" s="143">
        <v>1.8018016809008996E-2</v>
      </c>
      <c r="AN38" s="143">
        <v>0</v>
      </c>
      <c r="AO38" s="143">
        <v>0</v>
      </c>
      <c r="AP38" s="143">
        <v>0</v>
      </c>
      <c r="AQ38" s="143">
        <v>0</v>
      </c>
      <c r="AR38" s="143">
        <v>0</v>
      </c>
      <c r="AS38" s="143">
        <v>0</v>
      </c>
      <c r="AT38" s="143">
        <v>0</v>
      </c>
    </row>
    <row r="39" spans="1:46" x14ac:dyDescent="0.15">
      <c r="A39" s="179" t="s">
        <v>228</v>
      </c>
      <c r="B39" s="143">
        <v>3.81484019754363E-2</v>
      </c>
      <c r="C39" s="143">
        <v>0.75517403278823758</v>
      </c>
      <c r="D39" s="143">
        <v>0</v>
      </c>
      <c r="E39" s="143">
        <v>5.3053050610110078E-2</v>
      </c>
      <c r="F39" s="143">
        <v>0.27254510032705409</v>
      </c>
      <c r="G39" s="143">
        <v>0.12057498827489892</v>
      </c>
      <c r="H39" s="143">
        <v>0.21899999962769998</v>
      </c>
      <c r="I39" s="143">
        <v>6.6132262017033996E-2</v>
      </c>
      <c r="J39" s="143">
        <v>0.23003929727012365</v>
      </c>
      <c r="K39" s="143">
        <v>0.19366666980816669</v>
      </c>
      <c r="L39" s="143">
        <v>0.18655969341785364</v>
      </c>
      <c r="M39" s="143">
        <v>0.13751264842798747</v>
      </c>
      <c r="N39" s="143">
        <v>0</v>
      </c>
      <c r="O39" s="143">
        <v>4.3126955372780502E-3</v>
      </c>
      <c r="P39" s="143">
        <v>0</v>
      </c>
      <c r="Q39" s="143">
        <v>0</v>
      </c>
      <c r="R39" s="143">
        <v>0</v>
      </c>
      <c r="S39" s="143">
        <v>0.12387611918021971</v>
      </c>
      <c r="T39" s="143">
        <v>1.8081666714662919E-2</v>
      </c>
      <c r="U39" s="143">
        <v>0</v>
      </c>
      <c r="V39" s="143">
        <v>7.9150398380345377E-2</v>
      </c>
      <c r="W39" s="143">
        <v>0</v>
      </c>
      <c r="X39" s="143">
        <v>7.0281127536646641E-3</v>
      </c>
      <c r="Y39" s="143">
        <v>0</v>
      </c>
      <c r="Z39" s="143">
        <v>0</v>
      </c>
      <c r="AA39" s="143">
        <v>0</v>
      </c>
      <c r="AB39" s="143">
        <v>0</v>
      </c>
      <c r="AC39" s="143">
        <v>6.5848776132813772E-2</v>
      </c>
      <c r="AD39" s="143">
        <v>6.9069064578378428E-2</v>
      </c>
      <c r="AE39" s="143">
        <v>0</v>
      </c>
      <c r="AF39" s="143">
        <v>0</v>
      </c>
      <c r="AG39" s="143">
        <v>0.14419087629854765</v>
      </c>
      <c r="AH39" s="143">
        <v>1.1249906482799312E-3</v>
      </c>
      <c r="AI39" s="143">
        <v>0.19444444955555562</v>
      </c>
      <c r="AJ39" s="143">
        <v>0</v>
      </c>
      <c r="AK39" s="143">
        <v>0</v>
      </c>
      <c r="AL39" s="143">
        <v>3.4444936228809628E-3</v>
      </c>
      <c r="AM39" s="143">
        <v>1.0010010116116118E-2</v>
      </c>
      <c r="AN39" s="143">
        <v>0</v>
      </c>
      <c r="AO39" s="143">
        <v>0</v>
      </c>
      <c r="AP39" s="143">
        <v>0</v>
      </c>
      <c r="AQ39" s="143">
        <v>0</v>
      </c>
      <c r="AR39" s="143">
        <v>0</v>
      </c>
      <c r="AS39" s="143">
        <v>0</v>
      </c>
      <c r="AT39" s="143">
        <v>0</v>
      </c>
    </row>
    <row r="40" spans="1:46" x14ac:dyDescent="0.15">
      <c r="A40" s="179" t="s">
        <v>229</v>
      </c>
      <c r="B40" s="143">
        <v>0</v>
      </c>
      <c r="C40" s="143">
        <v>0</v>
      </c>
      <c r="D40" s="143">
        <v>0</v>
      </c>
      <c r="E40" s="143">
        <v>9.6096101105105164E-2</v>
      </c>
      <c r="F40" s="143">
        <v>0.11222444513466934</v>
      </c>
      <c r="G40" s="143">
        <v>7.2344996164939349E-2</v>
      </c>
      <c r="H40" s="143">
        <v>6.1666667395166658E-2</v>
      </c>
      <c r="I40" s="143">
        <v>0.13226452903406813</v>
      </c>
      <c r="J40" s="143">
        <v>2.2442859733670579E-3</v>
      </c>
      <c r="K40" s="143">
        <v>1.8000000261000002E-2</v>
      </c>
      <c r="L40" s="143">
        <v>0.2176529486541624</v>
      </c>
      <c r="M40" s="143">
        <v>4.7522748074378236E-2</v>
      </c>
      <c r="N40" s="143">
        <v>0.3333333332666667</v>
      </c>
      <c r="O40" s="143">
        <v>0.2566196660032668</v>
      </c>
      <c r="P40" s="143">
        <v>0</v>
      </c>
      <c r="Q40" s="143">
        <v>0</v>
      </c>
      <c r="R40" s="143">
        <v>3.5049999999999998E-2</v>
      </c>
      <c r="S40" s="143">
        <v>0.39660340698022001</v>
      </c>
      <c r="T40" s="143">
        <v>0.75742099223643489</v>
      </c>
      <c r="U40" s="143">
        <v>0.49999999260000016</v>
      </c>
      <c r="V40" s="143">
        <v>0.26750829452597769</v>
      </c>
      <c r="W40" s="143">
        <v>0.16666666949999992</v>
      </c>
      <c r="X40" s="143">
        <v>0.57329315745607412</v>
      </c>
      <c r="Y40" s="143">
        <v>0.50698608352295227</v>
      </c>
      <c r="Z40" s="143">
        <v>0.30952380930000006</v>
      </c>
      <c r="AA40" s="143">
        <v>8.5650508030038301E-4</v>
      </c>
      <c r="AB40" s="143">
        <v>0.7742257813411586</v>
      </c>
      <c r="AC40" s="143">
        <v>0.14588037306654139</v>
      </c>
      <c r="AD40" s="143">
        <v>0.3953953964414415</v>
      </c>
      <c r="AE40" s="143">
        <v>0.59318639169539045</v>
      </c>
      <c r="AF40" s="143">
        <v>5.9059058717017013E-2</v>
      </c>
      <c r="AG40" s="143">
        <v>0.16804979801701236</v>
      </c>
      <c r="AH40" s="143">
        <v>0.14362274205706338</v>
      </c>
      <c r="AI40" s="143">
        <v>0.11111111288888892</v>
      </c>
      <c r="AJ40" s="143">
        <v>0</v>
      </c>
      <c r="AK40" s="143">
        <v>0.16666666999999996</v>
      </c>
      <c r="AL40" s="143">
        <v>1.7359891259333213E-2</v>
      </c>
      <c r="AM40" s="143">
        <v>0.70570570818618639</v>
      </c>
      <c r="AN40" s="143">
        <v>0.05</v>
      </c>
      <c r="AO40" s="143">
        <v>0</v>
      </c>
      <c r="AP40" s="143">
        <v>0</v>
      </c>
      <c r="AQ40" s="143">
        <v>0</v>
      </c>
      <c r="AR40" s="143">
        <v>0</v>
      </c>
      <c r="AS40" s="143">
        <v>0</v>
      </c>
      <c r="AT40" s="143">
        <v>0</v>
      </c>
    </row>
    <row r="41" spans="1:46" x14ac:dyDescent="0.15">
      <c r="A41" s="179" t="s">
        <v>230</v>
      </c>
      <c r="B41" s="143">
        <v>0</v>
      </c>
      <c r="C41" s="143">
        <v>5.201198473442168E-2</v>
      </c>
      <c r="D41" s="143">
        <v>0</v>
      </c>
      <c r="E41" s="143">
        <v>0.3473473529944946</v>
      </c>
      <c r="F41" s="143">
        <v>0.14829660017795593</v>
      </c>
      <c r="G41" s="143">
        <v>9.6459990219919134E-2</v>
      </c>
      <c r="H41" s="143">
        <v>1.3333329977333337E-3</v>
      </c>
      <c r="I41" s="143">
        <v>0.13226452903406813</v>
      </c>
      <c r="J41" s="143">
        <v>1.9076430973619992E-2</v>
      </c>
      <c r="K41" s="143">
        <v>2.7333332596333321E-2</v>
      </c>
      <c r="L41" s="143">
        <v>3.0090270228686051E-3</v>
      </c>
      <c r="M41" s="143">
        <v>5.0556117951466089E-3</v>
      </c>
      <c r="N41" s="143">
        <v>0</v>
      </c>
      <c r="O41" s="143">
        <v>0.11938622786242514</v>
      </c>
      <c r="P41" s="143">
        <v>4.2500000000000003E-2</v>
      </c>
      <c r="Q41" s="143">
        <v>0.1</v>
      </c>
      <c r="R41" s="143">
        <v>0</v>
      </c>
      <c r="S41" s="143">
        <v>0</v>
      </c>
      <c r="T41" s="143">
        <v>0</v>
      </c>
      <c r="U41" s="143">
        <v>0</v>
      </c>
      <c r="V41" s="143">
        <v>0.31559967354188384</v>
      </c>
      <c r="W41" s="143">
        <v>0.45833333612499988</v>
      </c>
      <c r="X41" s="143">
        <v>0.26506024990963872</v>
      </c>
      <c r="Y41" s="143">
        <v>0.33832331400449228</v>
      </c>
      <c r="Z41" s="143">
        <v>0.30952380930000006</v>
      </c>
      <c r="AA41" s="143">
        <v>1.3604153587104467E-2</v>
      </c>
      <c r="AB41" s="143">
        <v>0.17282716483486532</v>
      </c>
      <c r="AC41" s="143">
        <v>0.63316130896936318</v>
      </c>
      <c r="AD41" s="143">
        <v>0.43543544008108109</v>
      </c>
      <c r="AE41" s="143">
        <v>0</v>
      </c>
      <c r="AF41" s="143">
        <v>0.62162161386216208</v>
      </c>
      <c r="AG41" s="143">
        <v>3.6307055071576742E-2</v>
      </c>
      <c r="AH41" s="143">
        <v>0.39482683190592543</v>
      </c>
      <c r="AI41" s="143">
        <v>0</v>
      </c>
      <c r="AJ41" s="143">
        <v>0.66666667066666652</v>
      </c>
      <c r="AK41" s="143">
        <v>0</v>
      </c>
      <c r="AL41" s="143">
        <v>0.17318078260876324</v>
      </c>
      <c r="AM41" s="143">
        <v>6.306306073153152E-2</v>
      </c>
      <c r="AN41" s="143">
        <v>0.5</v>
      </c>
      <c r="AO41" s="143">
        <v>0.02</v>
      </c>
      <c r="AP41" s="143">
        <v>0</v>
      </c>
      <c r="AQ41" s="143">
        <v>0</v>
      </c>
      <c r="AR41" s="143">
        <v>0</v>
      </c>
      <c r="AS41" s="143">
        <v>0</v>
      </c>
      <c r="AT41" s="143">
        <v>0</v>
      </c>
    </row>
    <row r="42" spans="1:46" x14ac:dyDescent="0.15">
      <c r="A42" s="179" t="s">
        <v>231</v>
      </c>
      <c r="B42" s="143">
        <v>0.75408237579395576</v>
      </c>
      <c r="C42" s="143">
        <v>0</v>
      </c>
      <c r="D42" s="143">
        <v>0.1</v>
      </c>
      <c r="E42" s="143">
        <v>3.0030029245345334E-2</v>
      </c>
      <c r="F42" s="143">
        <v>1.903807562284569E-2</v>
      </c>
      <c r="G42" s="143">
        <v>1.0047916322908244E-2</v>
      </c>
      <c r="H42" s="143">
        <v>5.3666666108766657E-2</v>
      </c>
      <c r="I42" s="143">
        <v>6.6132262017033996E-2</v>
      </c>
      <c r="J42" s="143">
        <v>4.2641429493974155E-2</v>
      </c>
      <c r="K42" s="143">
        <v>2.7000000391500002E-2</v>
      </c>
      <c r="L42" s="143">
        <v>0</v>
      </c>
      <c r="M42" s="143">
        <v>3.0333670970879643E-3</v>
      </c>
      <c r="N42" s="143">
        <v>0</v>
      </c>
      <c r="O42" s="143">
        <v>0.20930727126519341</v>
      </c>
      <c r="P42" s="143">
        <v>0</v>
      </c>
      <c r="Q42" s="143">
        <v>0</v>
      </c>
      <c r="R42" s="143">
        <v>2.545E-2</v>
      </c>
      <c r="S42" s="143">
        <v>0</v>
      </c>
      <c r="T42" s="143">
        <v>0</v>
      </c>
      <c r="U42" s="143">
        <v>0</v>
      </c>
      <c r="V42" s="143">
        <v>1.9036169610462859E-2</v>
      </c>
      <c r="W42" s="143">
        <v>0</v>
      </c>
      <c r="X42" s="143">
        <v>4.3172690636797191E-2</v>
      </c>
      <c r="Y42" s="143">
        <v>0</v>
      </c>
      <c r="Z42" s="143">
        <v>0.16666666570000005</v>
      </c>
      <c r="AA42" s="143">
        <v>0.10706311953754824</v>
      </c>
      <c r="AB42" s="143">
        <v>0</v>
      </c>
      <c r="AC42" s="143">
        <v>5.6731258403655012E-2</v>
      </c>
      <c r="AD42" s="143">
        <v>3.3033031702702713E-2</v>
      </c>
      <c r="AE42" s="143">
        <v>0</v>
      </c>
      <c r="AF42" s="143">
        <v>4.3043044459859896E-2</v>
      </c>
      <c r="AG42" s="143">
        <v>0.10788381672697096</v>
      </c>
      <c r="AH42" s="143">
        <v>0.4041269749743745</v>
      </c>
      <c r="AI42" s="143">
        <v>0.25000000200000005</v>
      </c>
      <c r="AJ42" s="143">
        <v>0.16666666466666677</v>
      </c>
      <c r="AK42" s="143">
        <v>0.20833332550000014</v>
      </c>
      <c r="AL42" s="143">
        <v>0.18235131427032478</v>
      </c>
      <c r="AM42" s="143">
        <v>5.0050050580580596E-2</v>
      </c>
      <c r="AN42" s="143">
        <v>0.1</v>
      </c>
      <c r="AO42" s="143">
        <v>0</v>
      </c>
      <c r="AP42" s="143">
        <v>0.02</v>
      </c>
      <c r="AQ42" s="143">
        <v>0</v>
      </c>
      <c r="AR42" s="143">
        <v>0</v>
      </c>
      <c r="AS42" s="143">
        <v>0</v>
      </c>
      <c r="AT42" s="143">
        <v>0</v>
      </c>
    </row>
    <row r="43" spans="1:46" x14ac:dyDescent="0.15">
      <c r="A43" s="179" t="s">
        <v>232</v>
      </c>
      <c r="B43" s="143">
        <v>0</v>
      </c>
      <c r="C43" s="143">
        <v>0</v>
      </c>
      <c r="D43" s="143">
        <v>0</v>
      </c>
      <c r="E43" s="143">
        <v>0</v>
      </c>
      <c r="F43" s="143">
        <v>0</v>
      </c>
      <c r="G43" s="143">
        <v>0</v>
      </c>
      <c r="H43" s="143">
        <v>0</v>
      </c>
      <c r="I43" s="143">
        <v>0</v>
      </c>
      <c r="J43" s="143">
        <v>1.1221429866835291E-2</v>
      </c>
      <c r="K43" s="143">
        <v>3.5833333219583326E-2</v>
      </c>
      <c r="L43" s="143">
        <v>3.4102310259177551E-2</v>
      </c>
      <c r="M43" s="143">
        <v>3.0333670970879643E-3</v>
      </c>
      <c r="N43" s="143">
        <v>0.3333333332666667</v>
      </c>
      <c r="O43" s="143">
        <v>0.15129652836022583</v>
      </c>
      <c r="P43" s="143">
        <v>0.72499999999999998</v>
      </c>
      <c r="Q43" s="143">
        <v>0.4</v>
      </c>
      <c r="R43" s="143">
        <v>0.33700000000000002</v>
      </c>
      <c r="S43" s="143">
        <v>0</v>
      </c>
      <c r="T43" s="143">
        <v>0</v>
      </c>
      <c r="U43" s="143">
        <v>0</v>
      </c>
      <c r="V43" s="143">
        <v>1.0019036494980456E-3</v>
      </c>
      <c r="W43" s="143">
        <v>0.19999999700000004</v>
      </c>
      <c r="X43" s="143">
        <v>0</v>
      </c>
      <c r="Y43" s="143">
        <v>0</v>
      </c>
      <c r="Z43" s="143">
        <v>7.1428571900000001E-2</v>
      </c>
      <c r="AA43" s="143">
        <v>0.10753789752662835</v>
      </c>
      <c r="AB43" s="143">
        <v>0</v>
      </c>
      <c r="AC43" s="143">
        <v>2.6339512673125537E-2</v>
      </c>
      <c r="AD43" s="143">
        <v>0</v>
      </c>
      <c r="AE43" s="143">
        <v>0</v>
      </c>
      <c r="AF43" s="143">
        <v>7.7077077518818843E-2</v>
      </c>
      <c r="AG43" s="143">
        <v>1.3485477140871368E-2</v>
      </c>
      <c r="AH43" s="143">
        <v>5.6298460414356669E-2</v>
      </c>
      <c r="AI43" s="143">
        <v>0.1666666733333334</v>
      </c>
      <c r="AJ43" s="143">
        <v>0.16666666466666677</v>
      </c>
      <c r="AK43" s="143">
        <v>0</v>
      </c>
      <c r="AL43" s="143">
        <v>0.62293282801066396</v>
      </c>
      <c r="AM43" s="143">
        <v>0</v>
      </c>
      <c r="AN43" s="143">
        <v>0.1</v>
      </c>
      <c r="AO43" s="143">
        <v>0.15</v>
      </c>
      <c r="AP43" s="143">
        <v>0.78</v>
      </c>
      <c r="AQ43" s="143">
        <v>0</v>
      </c>
      <c r="AR43" s="143">
        <v>0</v>
      </c>
      <c r="AS43" s="143">
        <v>0</v>
      </c>
      <c r="AT43" s="143">
        <v>0</v>
      </c>
    </row>
    <row r="44" spans="1:46" x14ac:dyDescent="0.15">
      <c r="A44" s="179" t="s">
        <v>233</v>
      </c>
      <c r="B44" s="143">
        <v>0</v>
      </c>
      <c r="C44" s="143">
        <v>0</v>
      </c>
      <c r="D44" s="143">
        <v>0.9</v>
      </c>
      <c r="E44" s="143">
        <v>0</v>
      </c>
      <c r="F44" s="143">
        <v>0</v>
      </c>
      <c r="G44" s="143">
        <v>3.0143747668724729E-3</v>
      </c>
      <c r="H44" s="143">
        <v>0</v>
      </c>
      <c r="I44" s="143">
        <v>0</v>
      </c>
      <c r="J44" s="143">
        <v>0</v>
      </c>
      <c r="K44" s="143">
        <v>0</v>
      </c>
      <c r="L44" s="143">
        <v>0</v>
      </c>
      <c r="M44" s="143">
        <v>0</v>
      </c>
      <c r="N44" s="143">
        <v>0</v>
      </c>
      <c r="O44" s="143">
        <v>0.20447618118982844</v>
      </c>
      <c r="P44" s="143">
        <v>0.151</v>
      </c>
      <c r="Q44" s="143">
        <v>0.5</v>
      </c>
      <c r="R44" s="143">
        <v>0.1275</v>
      </c>
      <c r="S44" s="143">
        <v>0</v>
      </c>
      <c r="T44" s="143">
        <v>0</v>
      </c>
      <c r="U44" s="143">
        <v>0</v>
      </c>
      <c r="V44" s="143">
        <v>3.0057112984941295E-3</v>
      </c>
      <c r="W44" s="143">
        <v>0</v>
      </c>
      <c r="X44" s="143">
        <v>0</v>
      </c>
      <c r="Y44" s="143">
        <v>0</v>
      </c>
      <c r="Z44" s="143">
        <v>7.1428571900000001E-2</v>
      </c>
      <c r="AA44" s="143">
        <v>0.48678188880401646</v>
      </c>
      <c r="AB44" s="143">
        <v>0</v>
      </c>
      <c r="AC44" s="143">
        <v>5.3692080760602022E-2</v>
      </c>
      <c r="AD44" s="143">
        <v>0</v>
      </c>
      <c r="AE44" s="143">
        <v>0</v>
      </c>
      <c r="AF44" s="143">
        <v>0.17217217783943958</v>
      </c>
      <c r="AG44" s="143">
        <v>0</v>
      </c>
      <c r="AH44" s="143">
        <v>0</v>
      </c>
      <c r="AI44" s="143">
        <v>0</v>
      </c>
      <c r="AJ44" s="143">
        <v>0</v>
      </c>
      <c r="AK44" s="143">
        <v>0</v>
      </c>
      <c r="AL44" s="143">
        <v>0</v>
      </c>
      <c r="AM44" s="143">
        <v>0</v>
      </c>
      <c r="AN44" s="143">
        <v>0</v>
      </c>
      <c r="AO44" s="143">
        <v>0.03</v>
      </c>
      <c r="AP44" s="143">
        <v>0.1</v>
      </c>
      <c r="AQ44" s="143">
        <v>0.9</v>
      </c>
      <c r="AR44" s="143">
        <v>0</v>
      </c>
      <c r="AS44" s="143">
        <v>0</v>
      </c>
      <c r="AT44" s="143">
        <v>0</v>
      </c>
    </row>
    <row r="45" spans="1:46" x14ac:dyDescent="0.15">
      <c r="A45" s="179" t="s">
        <v>234</v>
      </c>
      <c r="B45" s="143">
        <v>0</v>
      </c>
      <c r="C45" s="143">
        <v>0</v>
      </c>
      <c r="D45" s="143">
        <v>0</v>
      </c>
      <c r="E45" s="143">
        <v>0</v>
      </c>
      <c r="F45" s="143">
        <v>5.0100200060120238E-3</v>
      </c>
      <c r="G45" s="143">
        <v>8.1388120185556773E-2</v>
      </c>
      <c r="H45" s="143">
        <v>0</v>
      </c>
      <c r="I45" s="143">
        <v>0</v>
      </c>
      <c r="J45" s="143">
        <v>0</v>
      </c>
      <c r="K45" s="143">
        <v>3.3333300483332851E-4</v>
      </c>
      <c r="L45" s="143">
        <v>0</v>
      </c>
      <c r="M45" s="143">
        <v>5.0556117951466089E-3</v>
      </c>
      <c r="N45" s="143">
        <v>0</v>
      </c>
      <c r="O45" s="143">
        <v>7.0003174392049517E-3</v>
      </c>
      <c r="P45" s="143">
        <v>0.03</v>
      </c>
      <c r="Q45" s="143">
        <v>0</v>
      </c>
      <c r="R45" s="143">
        <v>0.47499999999999998</v>
      </c>
      <c r="S45" s="143">
        <v>0</v>
      </c>
      <c r="T45" s="143">
        <v>4.0181483688139794E-3</v>
      </c>
      <c r="U45" s="143">
        <v>0</v>
      </c>
      <c r="V45" s="143">
        <v>0</v>
      </c>
      <c r="W45" s="143">
        <v>0.17499999737499999</v>
      </c>
      <c r="X45" s="143">
        <v>0</v>
      </c>
      <c r="Y45" s="143">
        <v>0</v>
      </c>
      <c r="Z45" s="143">
        <v>7.1428571900000001E-2</v>
      </c>
      <c r="AA45" s="143">
        <v>0.28415643546440195</v>
      </c>
      <c r="AB45" s="143">
        <v>0</v>
      </c>
      <c r="AC45" s="143">
        <v>7.0914071004568729E-3</v>
      </c>
      <c r="AD45" s="143">
        <v>5.505505530450451E-2</v>
      </c>
      <c r="AE45" s="143">
        <v>0</v>
      </c>
      <c r="AF45" s="143">
        <v>6.0060061339339372E-3</v>
      </c>
      <c r="AG45" s="143">
        <v>0</v>
      </c>
      <c r="AH45" s="143">
        <v>0</v>
      </c>
      <c r="AI45" s="143">
        <v>0</v>
      </c>
      <c r="AJ45" s="143">
        <v>0</v>
      </c>
      <c r="AK45" s="143">
        <v>0</v>
      </c>
      <c r="AL45" s="143">
        <v>0</v>
      </c>
      <c r="AM45" s="143">
        <v>0</v>
      </c>
      <c r="AN45" s="143">
        <v>0.25</v>
      </c>
      <c r="AO45" s="143">
        <v>0.8</v>
      </c>
      <c r="AP45" s="143">
        <v>0.1</v>
      </c>
      <c r="AQ45" s="143">
        <v>0.1</v>
      </c>
      <c r="AR45" s="143">
        <v>0</v>
      </c>
      <c r="AS45" s="143">
        <v>0</v>
      </c>
      <c r="AT45" s="143">
        <v>0</v>
      </c>
    </row>
    <row r="46" spans="1:46" x14ac:dyDescent="0.15">
      <c r="A46" s="179" t="s">
        <v>235</v>
      </c>
      <c r="B46" s="143">
        <v>0</v>
      </c>
      <c r="C46" s="143">
        <v>0</v>
      </c>
      <c r="D46" s="143">
        <v>0</v>
      </c>
      <c r="E46" s="143">
        <v>0</v>
      </c>
      <c r="F46" s="143">
        <v>0</v>
      </c>
      <c r="G46" s="143">
        <v>0</v>
      </c>
      <c r="H46" s="143">
        <v>0</v>
      </c>
      <c r="I46" s="143">
        <v>0</v>
      </c>
      <c r="J46" s="143">
        <v>0</v>
      </c>
      <c r="K46" s="143">
        <v>0</v>
      </c>
      <c r="L46" s="143">
        <v>0</v>
      </c>
      <c r="M46" s="143">
        <v>0</v>
      </c>
      <c r="N46" s="143">
        <v>0</v>
      </c>
      <c r="O46" s="143">
        <v>0</v>
      </c>
      <c r="P46" s="143">
        <v>0</v>
      </c>
      <c r="Q46" s="143">
        <v>0</v>
      </c>
      <c r="R46" s="143">
        <v>0</v>
      </c>
      <c r="S46" s="143">
        <v>0</v>
      </c>
      <c r="T46" s="143">
        <v>0</v>
      </c>
      <c r="U46" s="143">
        <v>0</v>
      </c>
      <c r="V46" s="143">
        <v>0</v>
      </c>
      <c r="W46" s="143">
        <v>0</v>
      </c>
      <c r="X46" s="143">
        <v>0</v>
      </c>
      <c r="Y46" s="143">
        <v>0</v>
      </c>
      <c r="Z46" s="143">
        <v>0</v>
      </c>
      <c r="AA46" s="143">
        <v>0</v>
      </c>
      <c r="AB46" s="143">
        <v>0</v>
      </c>
      <c r="AC46" s="143">
        <v>0</v>
      </c>
      <c r="AD46" s="143">
        <v>0</v>
      </c>
      <c r="AE46" s="143">
        <v>0</v>
      </c>
      <c r="AF46" s="143">
        <v>0</v>
      </c>
      <c r="AG46" s="143">
        <v>0</v>
      </c>
      <c r="AH46" s="143">
        <v>0</v>
      </c>
      <c r="AI46" s="143">
        <v>0</v>
      </c>
      <c r="AJ46" s="143">
        <v>0</v>
      </c>
      <c r="AK46" s="143">
        <v>0</v>
      </c>
      <c r="AL46" s="143">
        <v>0</v>
      </c>
      <c r="AM46" s="143">
        <v>0</v>
      </c>
      <c r="AN46" s="143">
        <v>0</v>
      </c>
      <c r="AO46" s="143">
        <v>0</v>
      </c>
      <c r="AP46" s="143">
        <v>0</v>
      </c>
      <c r="AQ46" s="143">
        <v>0</v>
      </c>
      <c r="AR46" s="143">
        <v>0</v>
      </c>
      <c r="AS46" s="143">
        <v>0</v>
      </c>
      <c r="AT46" s="143">
        <v>0</v>
      </c>
    </row>
    <row r="47" spans="1:46" x14ac:dyDescent="0.15">
      <c r="A47" s="179" t="s">
        <v>238</v>
      </c>
      <c r="B47" s="143">
        <v>0</v>
      </c>
      <c r="C47" s="143">
        <v>0</v>
      </c>
      <c r="D47" s="143">
        <v>0</v>
      </c>
      <c r="E47" s="143">
        <v>0.15615615379579575</v>
      </c>
      <c r="F47" s="143">
        <v>0</v>
      </c>
      <c r="G47" s="143">
        <v>0</v>
      </c>
      <c r="H47" s="143">
        <v>0</v>
      </c>
      <c r="I47" s="143">
        <v>0</v>
      </c>
      <c r="J47" s="143">
        <v>0</v>
      </c>
      <c r="K47" s="143">
        <v>0</v>
      </c>
      <c r="L47" s="143">
        <v>0</v>
      </c>
      <c r="M47" s="143">
        <v>0</v>
      </c>
      <c r="N47" s="143">
        <v>0</v>
      </c>
      <c r="O47" s="143">
        <v>6.2738000978712806E-5</v>
      </c>
      <c r="P47" s="143">
        <v>0</v>
      </c>
      <c r="Q47" s="143">
        <v>0</v>
      </c>
      <c r="R47" s="143">
        <v>0</v>
      </c>
      <c r="S47" s="143">
        <v>0</v>
      </c>
      <c r="T47" s="143">
        <v>0</v>
      </c>
      <c r="U47" s="143">
        <v>0</v>
      </c>
      <c r="V47" s="143">
        <v>0</v>
      </c>
      <c r="W47" s="143">
        <v>0</v>
      </c>
      <c r="X47" s="143">
        <v>0</v>
      </c>
      <c r="Y47" s="143">
        <v>0</v>
      </c>
      <c r="Z47" s="143">
        <v>0</v>
      </c>
      <c r="AA47" s="143">
        <v>0</v>
      </c>
      <c r="AB47" s="143">
        <v>0</v>
      </c>
      <c r="AC47" s="143">
        <v>0</v>
      </c>
      <c r="AD47" s="143">
        <v>0</v>
      </c>
      <c r="AE47" s="143">
        <v>0</v>
      </c>
      <c r="AF47" s="143">
        <v>2.0020020446446457E-3</v>
      </c>
      <c r="AG47" s="143">
        <v>0</v>
      </c>
      <c r="AH47" s="143">
        <v>0</v>
      </c>
      <c r="AI47" s="143">
        <v>0</v>
      </c>
      <c r="AJ47" s="143">
        <v>0</v>
      </c>
      <c r="AK47" s="143">
        <v>0</v>
      </c>
      <c r="AL47" s="143">
        <v>0</v>
      </c>
      <c r="AM47" s="143">
        <v>0</v>
      </c>
      <c r="AN47" s="143">
        <v>0</v>
      </c>
      <c r="AO47" s="143">
        <v>0</v>
      </c>
      <c r="AP47" s="143">
        <v>0</v>
      </c>
      <c r="AQ47" s="143">
        <v>0</v>
      </c>
      <c r="AR47" s="143">
        <v>0</v>
      </c>
      <c r="AS47" s="143">
        <v>0</v>
      </c>
      <c r="AT47" s="143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31" activePane="bottomRight" state="frozen"/>
      <selection pane="topRight" activeCell="C1" sqref="C1"/>
      <selection pane="bottomLeft" activeCell="A2" sqref="A2"/>
      <selection pane="bottomRight" activeCell="H51" sqref="H51"/>
    </sheetView>
  </sheetViews>
  <sheetFormatPr baseColWidth="10" defaultColWidth="8.83203125" defaultRowHeight="13" x14ac:dyDescent="0.15"/>
  <cols>
    <col min="1" max="1" width="3.33203125" customWidth="1"/>
    <col min="2" max="2" width="27.5" customWidth="1"/>
    <col min="3" max="4" width="15" style="113" customWidth="1"/>
    <col min="5" max="6" width="15" style="112" customWidth="1"/>
    <col min="7" max="8" width="8.83203125" style="113"/>
  </cols>
  <sheetData>
    <row r="1" spans="1:8" ht="70" x14ac:dyDescent="0.15">
      <c r="A1" s="5" t="s">
        <v>20</v>
      </c>
      <c r="B1" s="1" t="s">
        <v>0</v>
      </c>
      <c r="C1" s="182" t="s">
        <v>234</v>
      </c>
      <c r="D1" s="182" t="s">
        <v>235</v>
      </c>
      <c r="E1" s="182" t="s">
        <v>239</v>
      </c>
      <c r="F1" s="182" t="s">
        <v>240</v>
      </c>
      <c r="G1"/>
      <c r="H1"/>
    </row>
    <row r="2" spans="1:8" x14ac:dyDescent="0.15">
      <c r="A2">
        <v>1</v>
      </c>
      <c r="B2" s="181" t="s">
        <v>191</v>
      </c>
      <c r="C2" s="113">
        <v>1</v>
      </c>
      <c r="D2" s="113">
        <v>0</v>
      </c>
      <c r="E2" s="112">
        <v>0</v>
      </c>
      <c r="F2" s="112">
        <v>1</v>
      </c>
      <c r="G2"/>
      <c r="H2"/>
    </row>
    <row r="3" spans="1:8" x14ac:dyDescent="0.15">
      <c r="A3">
        <v>2</v>
      </c>
      <c r="B3" s="181" t="s">
        <v>192</v>
      </c>
      <c r="C3" s="113">
        <v>1</v>
      </c>
      <c r="D3" s="113">
        <v>0</v>
      </c>
      <c r="E3" s="112">
        <v>0</v>
      </c>
      <c r="F3" s="112">
        <v>1</v>
      </c>
      <c r="G3"/>
      <c r="H3"/>
    </row>
    <row r="4" spans="1:8" x14ac:dyDescent="0.15">
      <c r="A4">
        <v>3</v>
      </c>
      <c r="B4" s="181" t="s">
        <v>193</v>
      </c>
      <c r="C4" s="113">
        <v>1</v>
      </c>
      <c r="D4" s="113">
        <v>0</v>
      </c>
      <c r="E4" s="112">
        <v>0</v>
      </c>
      <c r="F4" s="112">
        <v>1</v>
      </c>
      <c r="G4"/>
      <c r="H4"/>
    </row>
    <row r="5" spans="1:8" x14ac:dyDescent="0.15">
      <c r="A5">
        <v>4</v>
      </c>
      <c r="B5" s="181" t="s">
        <v>194</v>
      </c>
      <c r="C5" s="113">
        <v>1</v>
      </c>
      <c r="D5" s="113">
        <v>0</v>
      </c>
      <c r="E5" s="112">
        <v>0</v>
      </c>
      <c r="F5" s="112">
        <v>1</v>
      </c>
      <c r="G5"/>
      <c r="H5"/>
    </row>
    <row r="6" spans="1:8" x14ac:dyDescent="0.15">
      <c r="A6">
        <v>5</v>
      </c>
      <c r="B6" s="181" t="s">
        <v>195</v>
      </c>
      <c r="C6" s="113">
        <v>1</v>
      </c>
      <c r="D6" s="113">
        <v>0</v>
      </c>
      <c r="E6" s="112">
        <v>0</v>
      </c>
      <c r="F6" s="112">
        <v>1</v>
      </c>
      <c r="G6"/>
      <c r="H6"/>
    </row>
    <row r="7" spans="1:8" x14ac:dyDescent="0.15">
      <c r="A7">
        <v>6</v>
      </c>
      <c r="B7" s="181" t="s">
        <v>196</v>
      </c>
      <c r="C7" s="113">
        <v>1</v>
      </c>
      <c r="D7" s="113">
        <v>0</v>
      </c>
      <c r="E7" s="112">
        <v>0</v>
      </c>
      <c r="F7" s="112">
        <v>1</v>
      </c>
      <c r="G7"/>
      <c r="H7"/>
    </row>
    <row r="8" spans="1:8" x14ac:dyDescent="0.15">
      <c r="A8">
        <v>7</v>
      </c>
      <c r="B8" s="181" t="s">
        <v>197</v>
      </c>
      <c r="C8" s="113">
        <v>1</v>
      </c>
      <c r="D8" s="113">
        <v>0</v>
      </c>
      <c r="E8" s="112">
        <v>0</v>
      </c>
      <c r="F8" s="112">
        <v>1</v>
      </c>
      <c r="G8"/>
      <c r="H8"/>
    </row>
    <row r="9" spans="1:8" x14ac:dyDescent="0.15">
      <c r="A9">
        <v>8</v>
      </c>
      <c r="B9" s="181" t="s">
        <v>198</v>
      </c>
      <c r="C9" s="113">
        <v>1</v>
      </c>
      <c r="D9" s="113">
        <v>0</v>
      </c>
      <c r="E9" s="112">
        <v>0</v>
      </c>
      <c r="F9" s="112">
        <v>1</v>
      </c>
      <c r="G9"/>
      <c r="H9"/>
    </row>
    <row r="10" spans="1:8" x14ac:dyDescent="0.15">
      <c r="A10">
        <v>9</v>
      </c>
      <c r="B10" s="181" t="s">
        <v>199</v>
      </c>
      <c r="C10" s="113">
        <v>1</v>
      </c>
      <c r="D10" s="113">
        <v>0</v>
      </c>
      <c r="E10" s="112">
        <v>0</v>
      </c>
      <c r="F10" s="112">
        <v>1</v>
      </c>
      <c r="G10"/>
      <c r="H10"/>
    </row>
    <row r="11" spans="1:8" x14ac:dyDescent="0.15">
      <c r="A11">
        <v>10</v>
      </c>
      <c r="B11" s="181" t="s">
        <v>200</v>
      </c>
      <c r="C11" s="113">
        <v>1</v>
      </c>
      <c r="D11" s="113">
        <v>0</v>
      </c>
      <c r="E11" s="112">
        <v>0</v>
      </c>
      <c r="F11" s="112">
        <v>1</v>
      </c>
      <c r="G11"/>
      <c r="H11"/>
    </row>
    <row r="12" spans="1:8" x14ac:dyDescent="0.15">
      <c r="A12">
        <v>11</v>
      </c>
      <c r="B12" s="181" t="s">
        <v>201</v>
      </c>
      <c r="C12" s="113">
        <v>1</v>
      </c>
      <c r="D12" s="113">
        <v>0</v>
      </c>
      <c r="E12" s="112">
        <v>0</v>
      </c>
      <c r="F12" s="112">
        <v>1</v>
      </c>
      <c r="G12"/>
      <c r="H12"/>
    </row>
    <row r="13" spans="1:8" x14ac:dyDescent="0.15">
      <c r="A13">
        <v>12</v>
      </c>
      <c r="B13" s="181" t="s">
        <v>202</v>
      </c>
      <c r="C13" s="113">
        <v>1</v>
      </c>
      <c r="D13" s="113">
        <v>0</v>
      </c>
      <c r="E13" s="112">
        <v>0</v>
      </c>
      <c r="F13" s="112">
        <v>1</v>
      </c>
      <c r="G13"/>
      <c r="H13"/>
    </row>
    <row r="14" spans="1:8" x14ac:dyDescent="0.15">
      <c r="A14">
        <v>13</v>
      </c>
      <c r="B14" s="181" t="s">
        <v>203</v>
      </c>
      <c r="C14" s="113">
        <v>1</v>
      </c>
      <c r="D14" s="113">
        <v>0</v>
      </c>
      <c r="E14" s="112">
        <v>0</v>
      </c>
      <c r="F14" s="112">
        <v>1</v>
      </c>
      <c r="G14"/>
      <c r="H14"/>
    </row>
    <row r="15" spans="1:8" x14ac:dyDescent="0.15">
      <c r="A15">
        <v>14</v>
      </c>
      <c r="B15" s="181" t="s">
        <v>204</v>
      </c>
      <c r="C15" s="113">
        <v>1</v>
      </c>
      <c r="D15" s="113">
        <v>0</v>
      </c>
      <c r="E15" s="112">
        <v>0</v>
      </c>
      <c r="F15" s="112">
        <v>1</v>
      </c>
      <c r="G15"/>
      <c r="H15"/>
    </row>
    <row r="16" spans="1:8" x14ac:dyDescent="0.15">
      <c r="A16">
        <v>15</v>
      </c>
      <c r="B16" s="181" t="s">
        <v>205</v>
      </c>
      <c r="C16" s="113">
        <v>1</v>
      </c>
      <c r="D16" s="113">
        <v>0</v>
      </c>
      <c r="E16" s="112">
        <v>0</v>
      </c>
      <c r="F16" s="112">
        <v>1</v>
      </c>
      <c r="G16"/>
      <c r="H16"/>
    </row>
    <row r="17" spans="1:8" ht="15" customHeight="1" x14ac:dyDescent="0.15">
      <c r="A17">
        <v>16</v>
      </c>
      <c r="B17" s="181" t="s">
        <v>206</v>
      </c>
      <c r="C17" s="113">
        <v>1</v>
      </c>
      <c r="D17" s="113">
        <v>0</v>
      </c>
      <c r="E17" s="112">
        <v>0</v>
      </c>
      <c r="F17" s="112">
        <v>1</v>
      </c>
      <c r="G17"/>
      <c r="H17"/>
    </row>
    <row r="18" spans="1:8" ht="15" customHeight="1" x14ac:dyDescent="0.15">
      <c r="A18">
        <v>17</v>
      </c>
      <c r="B18" s="181" t="s">
        <v>207</v>
      </c>
      <c r="C18" s="113">
        <v>1</v>
      </c>
      <c r="D18" s="113">
        <v>0</v>
      </c>
      <c r="E18" s="112">
        <v>0</v>
      </c>
      <c r="F18" s="112">
        <v>1</v>
      </c>
      <c r="G18"/>
      <c r="H18"/>
    </row>
    <row r="19" spans="1:8" ht="15" customHeight="1" x14ac:dyDescent="0.15">
      <c r="A19">
        <v>18</v>
      </c>
      <c r="B19" s="181" t="s">
        <v>208</v>
      </c>
      <c r="C19" s="113">
        <v>1</v>
      </c>
      <c r="D19" s="113">
        <v>0</v>
      </c>
      <c r="E19" s="112">
        <v>0</v>
      </c>
      <c r="F19" s="112">
        <v>1</v>
      </c>
      <c r="G19"/>
      <c r="H19"/>
    </row>
    <row r="20" spans="1:8" ht="15" customHeight="1" x14ac:dyDescent="0.15">
      <c r="A20">
        <v>19</v>
      </c>
      <c r="B20" s="181" t="s">
        <v>209</v>
      </c>
      <c r="C20" s="113">
        <v>1</v>
      </c>
      <c r="D20" s="113">
        <v>0</v>
      </c>
      <c r="E20" s="112">
        <v>0</v>
      </c>
      <c r="F20" s="112">
        <v>1</v>
      </c>
      <c r="G20"/>
      <c r="H20"/>
    </row>
    <row r="21" spans="1:8" ht="15" customHeight="1" x14ac:dyDescent="0.15">
      <c r="A21">
        <v>20</v>
      </c>
      <c r="B21" s="181" t="s">
        <v>210</v>
      </c>
      <c r="C21" s="113">
        <v>1</v>
      </c>
      <c r="D21" s="113">
        <v>0</v>
      </c>
      <c r="E21" s="112">
        <v>0</v>
      </c>
      <c r="F21" s="112">
        <v>1</v>
      </c>
      <c r="G21"/>
      <c r="H21"/>
    </row>
    <row r="22" spans="1:8" ht="15" customHeight="1" x14ac:dyDescent="0.15">
      <c r="A22">
        <v>21</v>
      </c>
      <c r="B22" s="181" t="s">
        <v>211</v>
      </c>
      <c r="C22" s="113">
        <v>1</v>
      </c>
      <c r="D22" s="113">
        <v>0</v>
      </c>
      <c r="E22" s="112">
        <v>0</v>
      </c>
      <c r="F22" s="112">
        <v>1</v>
      </c>
      <c r="G22"/>
      <c r="H22"/>
    </row>
    <row r="23" spans="1:8" ht="15" customHeight="1" x14ac:dyDescent="0.15">
      <c r="A23">
        <v>22</v>
      </c>
      <c r="B23" s="181" t="s">
        <v>212</v>
      </c>
      <c r="C23" s="113">
        <v>1</v>
      </c>
      <c r="D23" s="113">
        <v>0</v>
      </c>
      <c r="E23" s="112">
        <v>0</v>
      </c>
      <c r="F23" s="112">
        <v>1</v>
      </c>
      <c r="G23"/>
      <c r="H23"/>
    </row>
    <row r="24" spans="1:8" ht="15" customHeight="1" x14ac:dyDescent="0.15">
      <c r="A24">
        <v>23</v>
      </c>
      <c r="B24" s="181" t="s">
        <v>213</v>
      </c>
      <c r="C24" s="113">
        <v>1</v>
      </c>
      <c r="D24" s="113">
        <v>0</v>
      </c>
      <c r="E24" s="112">
        <v>0</v>
      </c>
      <c r="F24" s="112">
        <v>1</v>
      </c>
      <c r="G24"/>
      <c r="H24"/>
    </row>
    <row r="25" spans="1:8" ht="15" customHeight="1" x14ac:dyDescent="0.15">
      <c r="A25">
        <v>24</v>
      </c>
      <c r="B25" s="181" t="s">
        <v>214</v>
      </c>
      <c r="C25" s="113">
        <v>1</v>
      </c>
      <c r="D25" s="113">
        <v>0</v>
      </c>
      <c r="E25" s="112">
        <v>0</v>
      </c>
      <c r="F25" s="112">
        <v>1</v>
      </c>
      <c r="G25"/>
      <c r="H25"/>
    </row>
    <row r="26" spans="1:8" ht="15" customHeight="1" x14ac:dyDescent="0.15">
      <c r="A26">
        <v>25</v>
      </c>
      <c r="B26" s="181" t="s">
        <v>215</v>
      </c>
      <c r="C26" s="113">
        <v>1</v>
      </c>
      <c r="D26" s="113">
        <v>0</v>
      </c>
      <c r="E26" s="112">
        <v>0</v>
      </c>
      <c r="F26" s="112">
        <v>1</v>
      </c>
      <c r="G26"/>
      <c r="H26"/>
    </row>
    <row r="27" spans="1:8" ht="15" customHeight="1" x14ac:dyDescent="0.15">
      <c r="A27">
        <v>26</v>
      </c>
      <c r="B27" s="181" t="s">
        <v>216</v>
      </c>
      <c r="C27" s="113">
        <v>1</v>
      </c>
      <c r="D27" s="113">
        <v>0</v>
      </c>
      <c r="E27" s="112">
        <v>0</v>
      </c>
      <c r="F27" s="112">
        <v>1</v>
      </c>
      <c r="G27"/>
      <c r="H27"/>
    </row>
    <row r="28" spans="1:8" ht="15" customHeight="1" x14ac:dyDescent="0.15">
      <c r="A28">
        <v>27</v>
      </c>
      <c r="B28" s="181" t="s">
        <v>217</v>
      </c>
      <c r="C28" s="113">
        <v>1</v>
      </c>
      <c r="D28" s="113">
        <v>0</v>
      </c>
      <c r="E28" s="112">
        <v>0</v>
      </c>
      <c r="F28" s="112">
        <v>1</v>
      </c>
      <c r="G28"/>
      <c r="H28"/>
    </row>
    <row r="29" spans="1:8" ht="15" customHeight="1" x14ac:dyDescent="0.15">
      <c r="A29">
        <v>28</v>
      </c>
      <c r="B29" s="181" t="s">
        <v>218</v>
      </c>
      <c r="C29" s="113">
        <v>1</v>
      </c>
      <c r="D29" s="113">
        <v>0</v>
      </c>
      <c r="E29" s="112">
        <v>0</v>
      </c>
      <c r="F29" s="112">
        <v>1</v>
      </c>
      <c r="G29"/>
      <c r="H29"/>
    </row>
    <row r="30" spans="1:8" ht="15" customHeight="1" x14ac:dyDescent="0.15">
      <c r="A30">
        <v>29</v>
      </c>
      <c r="B30" s="181" t="s">
        <v>219</v>
      </c>
      <c r="C30" s="113">
        <v>1</v>
      </c>
      <c r="D30" s="113">
        <v>0</v>
      </c>
      <c r="E30" s="112">
        <v>0</v>
      </c>
      <c r="F30" s="112">
        <v>1</v>
      </c>
      <c r="G30"/>
      <c r="H30"/>
    </row>
    <row r="31" spans="1:8" ht="15" customHeight="1" x14ac:dyDescent="0.15">
      <c r="A31">
        <v>30</v>
      </c>
      <c r="B31" s="181" t="s">
        <v>220</v>
      </c>
      <c r="C31" s="113">
        <v>1</v>
      </c>
      <c r="D31" s="113">
        <v>0</v>
      </c>
      <c r="E31" s="112">
        <v>0</v>
      </c>
      <c r="F31" s="112">
        <v>1</v>
      </c>
      <c r="G31"/>
      <c r="H31"/>
    </row>
    <row r="32" spans="1:8" ht="15" customHeight="1" x14ac:dyDescent="0.15">
      <c r="A32">
        <v>31</v>
      </c>
      <c r="B32" s="181" t="s">
        <v>221</v>
      </c>
      <c r="C32" s="113">
        <v>1</v>
      </c>
      <c r="D32" s="113">
        <v>0</v>
      </c>
      <c r="E32" s="112">
        <v>0</v>
      </c>
      <c r="F32" s="112">
        <v>1</v>
      </c>
    </row>
    <row r="33" spans="1:8" ht="15" customHeight="1" x14ac:dyDescent="0.15">
      <c r="A33">
        <v>32</v>
      </c>
      <c r="B33" s="181" t="s">
        <v>222</v>
      </c>
      <c r="C33" s="113">
        <v>1</v>
      </c>
      <c r="D33" s="113">
        <v>0</v>
      </c>
      <c r="E33" s="112">
        <v>0</v>
      </c>
      <c r="F33" s="112">
        <v>1</v>
      </c>
    </row>
    <row r="34" spans="1:8" ht="15" customHeight="1" x14ac:dyDescent="0.15">
      <c r="A34">
        <v>33</v>
      </c>
      <c r="B34" s="181" t="s">
        <v>223</v>
      </c>
      <c r="C34" s="113">
        <v>1</v>
      </c>
      <c r="D34" s="113">
        <v>0</v>
      </c>
      <c r="E34" s="112">
        <v>0</v>
      </c>
      <c r="F34" s="112">
        <v>1</v>
      </c>
    </row>
    <row r="35" spans="1:8" ht="15" customHeight="1" x14ac:dyDescent="0.15">
      <c r="A35">
        <v>34</v>
      </c>
      <c r="B35" s="181" t="s">
        <v>224</v>
      </c>
      <c r="C35" s="113">
        <v>1</v>
      </c>
      <c r="D35" s="113">
        <v>0</v>
      </c>
      <c r="E35" s="112">
        <v>0</v>
      </c>
      <c r="F35" s="112">
        <v>1</v>
      </c>
    </row>
    <row r="36" spans="1:8" ht="15" customHeight="1" x14ac:dyDescent="0.15">
      <c r="A36">
        <v>35</v>
      </c>
      <c r="B36" s="181" t="s">
        <v>225</v>
      </c>
      <c r="C36" s="113">
        <v>1</v>
      </c>
      <c r="D36" s="113">
        <v>0</v>
      </c>
      <c r="E36" s="113">
        <v>0</v>
      </c>
      <c r="F36" s="113">
        <v>1</v>
      </c>
      <c r="G36"/>
      <c r="H36"/>
    </row>
    <row r="37" spans="1:8" ht="15" customHeight="1" x14ac:dyDescent="0.15">
      <c r="A37">
        <v>36</v>
      </c>
      <c r="B37" s="181" t="s">
        <v>226</v>
      </c>
      <c r="C37" s="113">
        <v>1</v>
      </c>
      <c r="D37" s="113">
        <v>0</v>
      </c>
      <c r="E37" s="113">
        <v>0</v>
      </c>
      <c r="F37" s="113">
        <v>1</v>
      </c>
      <c r="G37"/>
      <c r="H37"/>
    </row>
    <row r="38" spans="1:8" ht="15" customHeight="1" x14ac:dyDescent="0.15">
      <c r="A38">
        <v>37</v>
      </c>
      <c r="B38" s="181" t="s">
        <v>227</v>
      </c>
      <c r="C38" s="113">
        <v>1</v>
      </c>
      <c r="D38" s="113">
        <v>0</v>
      </c>
      <c r="E38" s="113">
        <v>0</v>
      </c>
      <c r="F38" s="113">
        <v>1</v>
      </c>
      <c r="G38"/>
      <c r="H38"/>
    </row>
    <row r="39" spans="1:8" ht="15" customHeight="1" x14ac:dyDescent="0.15">
      <c r="A39">
        <v>38</v>
      </c>
      <c r="B39" s="181" t="s">
        <v>228</v>
      </c>
      <c r="C39" s="113">
        <v>1</v>
      </c>
      <c r="D39" s="113">
        <v>0</v>
      </c>
      <c r="E39" s="113">
        <v>0</v>
      </c>
      <c r="F39" s="113">
        <v>1</v>
      </c>
      <c r="G39"/>
      <c r="H39"/>
    </row>
    <row r="40" spans="1:8" ht="15" customHeight="1" x14ac:dyDescent="0.15">
      <c r="A40">
        <v>39</v>
      </c>
      <c r="B40" s="181" t="s">
        <v>229</v>
      </c>
      <c r="C40" s="113">
        <v>1</v>
      </c>
      <c r="D40" s="113">
        <v>0</v>
      </c>
      <c r="E40" s="113">
        <v>0</v>
      </c>
      <c r="F40" s="113">
        <v>1</v>
      </c>
      <c r="G40"/>
      <c r="H40"/>
    </row>
    <row r="41" spans="1:8" ht="15" customHeight="1" x14ac:dyDescent="0.15">
      <c r="A41">
        <v>40</v>
      </c>
      <c r="B41" s="181" t="s">
        <v>230</v>
      </c>
      <c r="C41" s="113">
        <v>1</v>
      </c>
      <c r="D41" s="113">
        <v>0</v>
      </c>
      <c r="E41" s="113">
        <v>0</v>
      </c>
      <c r="F41" s="113">
        <v>1</v>
      </c>
      <c r="G41"/>
      <c r="H41"/>
    </row>
    <row r="42" spans="1:8" ht="15" customHeight="1" x14ac:dyDescent="0.15">
      <c r="A42">
        <v>41</v>
      </c>
      <c r="B42" s="181" t="s">
        <v>231</v>
      </c>
      <c r="C42" s="113">
        <v>1</v>
      </c>
      <c r="D42" s="113">
        <v>0</v>
      </c>
      <c r="E42" s="113">
        <v>0</v>
      </c>
      <c r="F42" s="113">
        <v>1</v>
      </c>
      <c r="G42"/>
      <c r="H42"/>
    </row>
    <row r="43" spans="1:8" ht="15" customHeight="1" x14ac:dyDescent="0.15">
      <c r="A43">
        <v>42</v>
      </c>
      <c r="B43" s="181" t="s">
        <v>232</v>
      </c>
      <c r="C43" s="113">
        <v>1</v>
      </c>
      <c r="D43" s="113">
        <v>0</v>
      </c>
      <c r="E43" s="113">
        <v>0</v>
      </c>
      <c r="F43" s="113">
        <v>1</v>
      </c>
      <c r="G43"/>
      <c r="H43"/>
    </row>
    <row r="44" spans="1:8" ht="15" customHeight="1" x14ac:dyDescent="0.15">
      <c r="A44">
        <v>43</v>
      </c>
      <c r="B44" s="181" t="s">
        <v>233</v>
      </c>
      <c r="C44" s="113">
        <v>1</v>
      </c>
      <c r="D44" s="113">
        <v>0</v>
      </c>
      <c r="E44" s="112">
        <v>0</v>
      </c>
      <c r="F44" s="112">
        <v>1</v>
      </c>
      <c r="G44"/>
      <c r="H44"/>
    </row>
    <row r="45" spans="1:8" ht="15" customHeight="1" x14ac:dyDescent="0.15">
      <c r="A45">
        <v>44</v>
      </c>
      <c r="B45" s="181" t="s">
        <v>234</v>
      </c>
      <c r="C45" s="113">
        <v>0</v>
      </c>
      <c r="D45" s="113">
        <v>1</v>
      </c>
      <c r="E45" s="112">
        <v>0</v>
      </c>
      <c r="F45" s="112">
        <v>1</v>
      </c>
      <c r="G45"/>
      <c r="H45"/>
    </row>
    <row r="46" spans="1:8" ht="15" customHeight="1" x14ac:dyDescent="0.15">
      <c r="A46">
        <v>45</v>
      </c>
      <c r="B46" s="181" t="s">
        <v>235</v>
      </c>
      <c r="C46" s="113">
        <v>0</v>
      </c>
      <c r="D46" s="113">
        <v>0</v>
      </c>
      <c r="E46" s="113">
        <v>1</v>
      </c>
      <c r="F46" s="113">
        <v>1</v>
      </c>
      <c r="G46"/>
      <c r="H46"/>
    </row>
    <row r="47" spans="1:8" ht="15" customHeight="1" x14ac:dyDescent="0.15">
      <c r="A47">
        <v>46</v>
      </c>
      <c r="B47" s="181" t="s">
        <v>236</v>
      </c>
      <c r="C47" s="113">
        <v>0</v>
      </c>
      <c r="D47" s="113">
        <v>1</v>
      </c>
      <c r="E47" s="112">
        <v>0</v>
      </c>
      <c r="F47" s="112">
        <v>1</v>
      </c>
      <c r="G47"/>
      <c r="H47"/>
    </row>
    <row r="48" spans="1:8" ht="15" customHeight="1" x14ac:dyDescent="0.15">
      <c r="A48">
        <v>47</v>
      </c>
      <c r="B48" s="181" t="s">
        <v>237</v>
      </c>
      <c r="C48" s="113">
        <v>0</v>
      </c>
      <c r="D48" s="113">
        <v>1</v>
      </c>
      <c r="E48" s="112">
        <v>0</v>
      </c>
      <c r="F48" s="112">
        <v>1</v>
      </c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7.5" bestFit="1" customWidth="1"/>
    <col min="3" max="5" width="8.83203125" bestFit="1" customWidth="1"/>
  </cols>
  <sheetData>
    <row r="1" spans="1:5" s="114" customFormat="1" ht="112" x14ac:dyDescent="0.15">
      <c r="A1" s="5" t="s">
        <v>21</v>
      </c>
      <c r="B1" s="3" t="s">
        <v>0</v>
      </c>
      <c r="C1" s="184" t="s">
        <v>236</v>
      </c>
      <c r="D1" s="184" t="s">
        <v>237</v>
      </c>
      <c r="E1" s="184" t="s">
        <v>241</v>
      </c>
    </row>
    <row r="2" spans="1:5" ht="15" customHeight="1" x14ac:dyDescent="0.15">
      <c r="A2">
        <v>1</v>
      </c>
      <c r="B2" s="183" t="s">
        <v>191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83" t="s">
        <v>192</v>
      </c>
      <c r="C3">
        <v>0</v>
      </c>
      <c r="D3">
        <v>0</v>
      </c>
      <c r="E3">
        <v>0</v>
      </c>
    </row>
    <row r="4" spans="1:5" ht="15" customHeight="1" x14ac:dyDescent="0.15">
      <c r="A4">
        <v>3</v>
      </c>
      <c r="B4" s="183" t="s">
        <v>193</v>
      </c>
      <c r="C4">
        <v>0</v>
      </c>
      <c r="D4">
        <v>0</v>
      </c>
      <c r="E4">
        <v>0</v>
      </c>
    </row>
    <row r="5" spans="1:5" ht="15" customHeight="1" x14ac:dyDescent="0.15">
      <c r="A5">
        <v>4</v>
      </c>
      <c r="B5" s="183" t="s">
        <v>194</v>
      </c>
      <c r="C5">
        <v>0</v>
      </c>
      <c r="D5">
        <v>0</v>
      </c>
      <c r="E5">
        <v>0</v>
      </c>
    </row>
    <row r="6" spans="1:5" ht="15" customHeight="1" x14ac:dyDescent="0.15">
      <c r="A6">
        <v>5</v>
      </c>
      <c r="B6" s="183" t="s">
        <v>195</v>
      </c>
      <c r="C6">
        <v>0</v>
      </c>
      <c r="D6">
        <v>0</v>
      </c>
      <c r="E6">
        <v>0</v>
      </c>
    </row>
    <row r="7" spans="1:5" ht="15" customHeight="1" x14ac:dyDescent="0.15">
      <c r="A7">
        <v>6</v>
      </c>
      <c r="B7" s="183" t="s">
        <v>196</v>
      </c>
      <c r="C7">
        <v>0</v>
      </c>
      <c r="D7">
        <v>1.9999999999999999E-6</v>
      </c>
      <c r="E7">
        <v>1.9999999999999999E-6</v>
      </c>
    </row>
    <row r="8" spans="1:5" ht="15" customHeight="1" x14ac:dyDescent="0.15">
      <c r="A8">
        <v>7</v>
      </c>
      <c r="B8" s="183" t="s">
        <v>197</v>
      </c>
      <c r="C8">
        <v>0</v>
      </c>
      <c r="D8">
        <v>4.3800000000000002E-4</v>
      </c>
      <c r="E8">
        <v>4.3800000000000002E-4</v>
      </c>
    </row>
    <row r="9" spans="1:5" ht="15" customHeight="1" x14ac:dyDescent="0.15">
      <c r="A9">
        <v>8</v>
      </c>
      <c r="B9" s="183" t="s">
        <v>198</v>
      </c>
      <c r="C9">
        <v>9.0300000000000005E-4</v>
      </c>
      <c r="D9">
        <v>1.1509999999999999E-3</v>
      </c>
      <c r="E9">
        <v>2.0539999999999998E-3</v>
      </c>
    </row>
    <row r="10" spans="1:5" ht="15" customHeight="1" x14ac:dyDescent="0.15">
      <c r="A10">
        <v>9</v>
      </c>
      <c r="B10" s="183" t="s">
        <v>199</v>
      </c>
      <c r="C10">
        <v>0</v>
      </c>
      <c r="D10">
        <v>2.1474E-2</v>
      </c>
      <c r="E10">
        <v>2.1474E-2</v>
      </c>
    </row>
    <row r="11" spans="1:5" ht="15" customHeight="1" x14ac:dyDescent="0.15">
      <c r="A11">
        <v>10</v>
      </c>
      <c r="B11" s="183" t="s">
        <v>200</v>
      </c>
      <c r="C11">
        <v>8.5939999999999992E-3</v>
      </c>
      <c r="D11">
        <v>3.441E-3</v>
      </c>
      <c r="E11">
        <v>1.2034999999999999E-2</v>
      </c>
    </row>
    <row r="12" spans="1:5" ht="15" customHeight="1" x14ac:dyDescent="0.15">
      <c r="A12">
        <v>11</v>
      </c>
      <c r="B12" s="183" t="s">
        <v>201</v>
      </c>
      <c r="C12">
        <v>2.2300000000000002E-3</v>
      </c>
      <c r="D12">
        <v>6.5919999999999998E-3</v>
      </c>
      <c r="E12">
        <v>8.822E-3</v>
      </c>
    </row>
    <row r="13" spans="1:5" ht="15" customHeight="1" x14ac:dyDescent="0.15">
      <c r="A13">
        <v>12</v>
      </c>
      <c r="B13" s="183" t="s">
        <v>202</v>
      </c>
      <c r="C13">
        <v>9.5299999999999996E-4</v>
      </c>
      <c r="D13">
        <v>1.6945999999999999E-2</v>
      </c>
      <c r="E13">
        <v>1.7898999999999998E-2</v>
      </c>
    </row>
    <row r="14" spans="1:5" ht="15" customHeight="1" x14ac:dyDescent="0.15">
      <c r="A14">
        <v>13</v>
      </c>
      <c r="B14" s="183" t="s">
        <v>203</v>
      </c>
      <c r="C14">
        <v>0</v>
      </c>
      <c r="D14">
        <v>2.7999999999999998E-4</v>
      </c>
      <c r="E14">
        <v>2.7999999999999998E-4</v>
      </c>
    </row>
    <row r="15" spans="1:5" ht="15" customHeight="1" x14ac:dyDescent="0.15">
      <c r="A15">
        <v>14</v>
      </c>
      <c r="B15" s="183" t="s">
        <v>204</v>
      </c>
      <c r="C15">
        <v>5.4837999999999998E-2</v>
      </c>
      <c r="D15">
        <v>6.8139000000000005E-2</v>
      </c>
      <c r="E15">
        <v>0.122977</v>
      </c>
    </row>
    <row r="16" spans="1:5" ht="15" customHeight="1" x14ac:dyDescent="0.15">
      <c r="A16">
        <v>15</v>
      </c>
      <c r="B16" s="183" t="s">
        <v>205</v>
      </c>
      <c r="C16">
        <v>5.195E-3</v>
      </c>
      <c r="D16">
        <v>0.179729</v>
      </c>
      <c r="E16">
        <v>0.18492400000000001</v>
      </c>
    </row>
    <row r="17" spans="1:5" ht="15" customHeight="1" x14ac:dyDescent="0.15">
      <c r="A17">
        <v>16</v>
      </c>
      <c r="B17" s="183" t="s">
        <v>206</v>
      </c>
      <c r="C17">
        <v>0.11891699999999999</v>
      </c>
      <c r="D17">
        <v>0</v>
      </c>
      <c r="E17">
        <v>0.11891699999999999</v>
      </c>
    </row>
    <row r="18" spans="1:5" ht="15" customHeight="1" x14ac:dyDescent="0.15">
      <c r="A18">
        <v>17</v>
      </c>
      <c r="B18" s="183" t="s">
        <v>207</v>
      </c>
      <c r="C18">
        <v>3.1095999999999999E-2</v>
      </c>
      <c r="D18">
        <v>0.116024</v>
      </c>
      <c r="E18">
        <v>0.14712</v>
      </c>
    </row>
    <row r="19" spans="1:5" ht="15" customHeight="1" x14ac:dyDescent="0.15">
      <c r="A19">
        <v>18</v>
      </c>
      <c r="B19" s="183" t="s">
        <v>208</v>
      </c>
      <c r="C19">
        <v>3.0000000000000001E-6</v>
      </c>
      <c r="D19">
        <v>2.2900000000000001E-4</v>
      </c>
      <c r="E19">
        <v>2.32E-4</v>
      </c>
    </row>
    <row r="20" spans="1:5" ht="15" customHeight="1" x14ac:dyDescent="0.15">
      <c r="A20">
        <v>19</v>
      </c>
      <c r="B20" s="183" t="s">
        <v>209</v>
      </c>
      <c r="C20">
        <v>6.9940000000000002E-3</v>
      </c>
      <c r="D20">
        <v>7.9679999999999994E-3</v>
      </c>
      <c r="E20">
        <v>1.4962E-2</v>
      </c>
    </row>
    <row r="21" spans="1:5" ht="15" customHeight="1" x14ac:dyDescent="0.15">
      <c r="A21">
        <v>20</v>
      </c>
      <c r="B21" s="183" t="s">
        <v>210</v>
      </c>
      <c r="C21">
        <v>0</v>
      </c>
      <c r="D21">
        <v>0</v>
      </c>
      <c r="E21">
        <v>0</v>
      </c>
    </row>
    <row r="22" spans="1:5" ht="15" customHeight="1" x14ac:dyDescent="0.15">
      <c r="A22">
        <v>21</v>
      </c>
      <c r="B22" s="183" t="s">
        <v>211</v>
      </c>
      <c r="C22">
        <v>6.2830000000000004E-3</v>
      </c>
      <c r="D22">
        <v>4.1771000000000003E-2</v>
      </c>
      <c r="E22">
        <v>4.8053999999999999E-2</v>
      </c>
    </row>
    <row r="23" spans="1:5" ht="15" customHeight="1" x14ac:dyDescent="0.15">
      <c r="A23">
        <v>22</v>
      </c>
      <c r="B23" s="183" t="s">
        <v>212</v>
      </c>
      <c r="C23">
        <v>0</v>
      </c>
      <c r="D23">
        <v>0</v>
      </c>
      <c r="E23">
        <v>0</v>
      </c>
    </row>
    <row r="24" spans="1:5" ht="15" customHeight="1" x14ac:dyDescent="0.15">
      <c r="A24">
        <v>23</v>
      </c>
      <c r="B24" s="183" t="s">
        <v>213</v>
      </c>
      <c r="C24">
        <v>7.9999999999999996E-6</v>
      </c>
      <c r="D24">
        <v>6.7699999999999998E-4</v>
      </c>
      <c r="E24">
        <v>6.8499999999999995E-4</v>
      </c>
    </row>
    <row r="25" spans="1:5" ht="15" customHeight="1" x14ac:dyDescent="0.15">
      <c r="A25">
        <v>24</v>
      </c>
      <c r="B25" s="183" t="s">
        <v>214</v>
      </c>
      <c r="C25">
        <v>1.2750000000000001E-3</v>
      </c>
      <c r="D25">
        <v>1.5629999999999999E-3</v>
      </c>
      <c r="E25">
        <v>2.8380000000000002E-3</v>
      </c>
    </row>
    <row r="26" spans="1:5" ht="15" customHeight="1" x14ac:dyDescent="0.15">
      <c r="A26">
        <v>25</v>
      </c>
      <c r="B26" s="183" t="s">
        <v>215</v>
      </c>
      <c r="C26">
        <v>7.2000000000000002E-5</v>
      </c>
      <c r="D26">
        <v>5.2999999999999998E-4</v>
      </c>
      <c r="E26">
        <v>6.02E-4</v>
      </c>
    </row>
    <row r="27" spans="1:5" ht="15" customHeight="1" x14ac:dyDescent="0.15">
      <c r="A27">
        <v>26</v>
      </c>
      <c r="B27" s="183" t="s">
        <v>216</v>
      </c>
      <c r="C27">
        <v>1.0280000000000001E-3</v>
      </c>
      <c r="D27">
        <v>0</v>
      </c>
      <c r="E27">
        <v>1.0280000000000001E-3</v>
      </c>
    </row>
    <row r="28" spans="1:5" ht="15" customHeight="1" x14ac:dyDescent="0.15">
      <c r="A28">
        <v>27</v>
      </c>
      <c r="B28" s="183" t="s">
        <v>217</v>
      </c>
      <c r="C28">
        <v>1.2930000000000001E-3</v>
      </c>
      <c r="D28">
        <v>1.4350000000000001E-3</v>
      </c>
      <c r="E28">
        <v>2.7280000000000004E-3</v>
      </c>
    </row>
    <row r="29" spans="1:5" ht="15" customHeight="1" x14ac:dyDescent="0.15">
      <c r="A29">
        <v>28</v>
      </c>
      <c r="B29" s="183" t="s">
        <v>218</v>
      </c>
      <c r="C29">
        <v>1.0150000000000001E-3</v>
      </c>
      <c r="D29">
        <v>4.8849999999999996E-3</v>
      </c>
      <c r="E29">
        <v>5.8999999999999999E-3</v>
      </c>
    </row>
    <row r="30" spans="1:5" ht="15" customHeight="1" x14ac:dyDescent="0.15">
      <c r="A30">
        <v>29</v>
      </c>
      <c r="B30" s="183" t="s">
        <v>219</v>
      </c>
      <c r="C30">
        <v>0</v>
      </c>
      <c r="D30">
        <v>8.7019999999999997E-3</v>
      </c>
      <c r="E30">
        <v>8.7019999999999997E-3</v>
      </c>
    </row>
    <row r="31" spans="1:5" ht="15" customHeight="1" x14ac:dyDescent="0.15">
      <c r="A31">
        <v>30</v>
      </c>
      <c r="B31" s="183" t="s">
        <v>220</v>
      </c>
      <c r="C31">
        <v>8.6200000000000003E-4</v>
      </c>
      <c r="D31">
        <v>1.5E-5</v>
      </c>
      <c r="E31">
        <v>8.7700000000000007E-4</v>
      </c>
    </row>
    <row r="32" spans="1:5" ht="15" customHeight="1" x14ac:dyDescent="0.15">
      <c r="A32">
        <v>31</v>
      </c>
      <c r="B32" s="183" t="s">
        <v>221</v>
      </c>
      <c r="C32">
        <v>8.1000000000000004E-5</v>
      </c>
      <c r="D32">
        <v>1.7892999999999999E-2</v>
      </c>
      <c r="E32">
        <v>1.7974E-2</v>
      </c>
    </row>
    <row r="33" spans="1:5" ht="15" customHeight="1" x14ac:dyDescent="0.15">
      <c r="A33">
        <v>32</v>
      </c>
      <c r="B33" s="183" t="s">
        <v>222</v>
      </c>
      <c r="C33">
        <v>0</v>
      </c>
      <c r="D33">
        <v>0</v>
      </c>
      <c r="E33">
        <v>0</v>
      </c>
    </row>
    <row r="34" spans="1:5" ht="15" customHeight="1" x14ac:dyDescent="0.15">
      <c r="A34">
        <v>33</v>
      </c>
      <c r="B34" s="183" t="s">
        <v>223</v>
      </c>
      <c r="C34">
        <v>0</v>
      </c>
      <c r="D34">
        <v>1.2999999999999999E-5</v>
      </c>
      <c r="E34">
        <v>1.2999999999999999E-5</v>
      </c>
    </row>
    <row r="35" spans="1:5" ht="15" customHeight="1" x14ac:dyDescent="0.15">
      <c r="A35">
        <v>34</v>
      </c>
      <c r="B35" s="183" t="s">
        <v>224</v>
      </c>
      <c r="C35">
        <v>0</v>
      </c>
      <c r="D35">
        <v>9.6000000000000002E-5</v>
      </c>
      <c r="E35">
        <v>9.6000000000000002E-5</v>
      </c>
    </row>
    <row r="36" spans="1:5" ht="15" customHeight="1" x14ac:dyDescent="0.15">
      <c r="A36">
        <v>35</v>
      </c>
      <c r="B36" s="183" t="s">
        <v>225</v>
      </c>
      <c r="C36">
        <v>0</v>
      </c>
      <c r="D36">
        <v>0</v>
      </c>
      <c r="E36">
        <v>0</v>
      </c>
    </row>
    <row r="37" spans="1:5" ht="15" customHeight="1" x14ac:dyDescent="0.15">
      <c r="A37">
        <v>36</v>
      </c>
      <c r="B37" s="183" t="s">
        <v>226</v>
      </c>
      <c r="C37">
        <v>0</v>
      </c>
      <c r="D37">
        <v>0</v>
      </c>
      <c r="E37">
        <v>0</v>
      </c>
    </row>
    <row r="38" spans="1:5" ht="15" customHeight="1" x14ac:dyDescent="0.15">
      <c r="A38">
        <v>37</v>
      </c>
      <c r="B38" s="183" t="s">
        <v>227</v>
      </c>
      <c r="C38">
        <v>0</v>
      </c>
      <c r="D38">
        <v>0</v>
      </c>
      <c r="E38">
        <v>0</v>
      </c>
    </row>
    <row r="39" spans="1:5" ht="15" customHeight="1" x14ac:dyDescent="0.15">
      <c r="A39">
        <v>38</v>
      </c>
      <c r="B39" s="183" t="s">
        <v>228</v>
      </c>
      <c r="C39">
        <v>0</v>
      </c>
      <c r="D39">
        <v>2.2592000000000001E-2</v>
      </c>
      <c r="E39">
        <v>2.2592000000000001E-2</v>
      </c>
    </row>
    <row r="40" spans="1:5" ht="15" customHeight="1" x14ac:dyDescent="0.15">
      <c r="A40">
        <v>39</v>
      </c>
      <c r="B40" s="183" t="s">
        <v>229</v>
      </c>
      <c r="C40">
        <v>3.565E-3</v>
      </c>
      <c r="D40">
        <v>3.539E-3</v>
      </c>
      <c r="E40">
        <v>7.1040000000000001E-3</v>
      </c>
    </row>
    <row r="41" spans="1:5" ht="15" customHeight="1" x14ac:dyDescent="0.15">
      <c r="A41">
        <v>40</v>
      </c>
      <c r="B41" s="183" t="s">
        <v>230</v>
      </c>
      <c r="C41">
        <v>2.0000000000000002E-5</v>
      </c>
      <c r="D41">
        <v>1.9000000000000001E-5</v>
      </c>
      <c r="E41">
        <v>3.8999999999999999E-5</v>
      </c>
    </row>
    <row r="42" spans="1:5" ht="15" customHeight="1" x14ac:dyDescent="0.15">
      <c r="A42">
        <v>41</v>
      </c>
      <c r="B42" s="183" t="s">
        <v>231</v>
      </c>
      <c r="C42">
        <v>0</v>
      </c>
      <c r="D42">
        <v>0</v>
      </c>
      <c r="E42">
        <v>0</v>
      </c>
    </row>
    <row r="43" spans="1:5" ht="15" customHeight="1" x14ac:dyDescent="0.15">
      <c r="A43">
        <v>42</v>
      </c>
      <c r="B43" s="183" t="s">
        <v>232</v>
      </c>
      <c r="C43">
        <v>0</v>
      </c>
      <c r="D43">
        <v>0</v>
      </c>
      <c r="E43">
        <v>0</v>
      </c>
    </row>
    <row r="44" spans="1:5" ht="15" customHeight="1" x14ac:dyDescent="0.15">
      <c r="A44">
        <v>43</v>
      </c>
      <c r="B44" s="183" t="s">
        <v>233</v>
      </c>
      <c r="C44">
        <v>0</v>
      </c>
      <c r="D44">
        <v>0</v>
      </c>
      <c r="E44">
        <v>0</v>
      </c>
    </row>
    <row r="45" spans="1:5" ht="15" customHeight="1" x14ac:dyDescent="0.15">
      <c r="A45">
        <v>44</v>
      </c>
      <c r="B45" s="183" t="s">
        <v>234</v>
      </c>
      <c r="C45">
        <v>0</v>
      </c>
      <c r="D45">
        <v>0</v>
      </c>
      <c r="E45">
        <v>0</v>
      </c>
    </row>
    <row r="46" spans="1:5" ht="15" customHeight="1" x14ac:dyDescent="0.15">
      <c r="A46">
        <v>45</v>
      </c>
      <c r="B46" s="183" t="s">
        <v>235</v>
      </c>
      <c r="C46">
        <v>0</v>
      </c>
      <c r="D46">
        <v>0</v>
      </c>
      <c r="E46">
        <v>0</v>
      </c>
    </row>
    <row r="47" spans="1:5" ht="15" customHeight="1" x14ac:dyDescent="0.15"/>
    <row r="48" spans="1:5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4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7.5" bestFit="1" customWidth="1"/>
    <col min="3" max="5" width="2.33203125" bestFit="1" customWidth="1"/>
  </cols>
  <sheetData>
    <row r="1" spans="1:5" s="114" customFormat="1" ht="112" x14ac:dyDescent="0.15">
      <c r="A1" s="5" t="s">
        <v>22</v>
      </c>
      <c r="B1" s="3" t="s">
        <v>0</v>
      </c>
      <c r="C1" s="186" t="s">
        <v>236</v>
      </c>
      <c r="D1" s="186" t="s">
        <v>237</v>
      </c>
      <c r="E1" s="186" t="s">
        <v>241</v>
      </c>
    </row>
    <row r="2" spans="1:5" x14ac:dyDescent="0.15">
      <c r="A2">
        <v>1</v>
      </c>
      <c r="B2" s="185" t="s">
        <v>191</v>
      </c>
      <c r="C2">
        <v>0</v>
      </c>
      <c r="D2">
        <v>0</v>
      </c>
      <c r="E2">
        <v>0</v>
      </c>
    </row>
    <row r="3" spans="1:5" x14ac:dyDescent="0.15">
      <c r="A3">
        <v>2</v>
      </c>
      <c r="B3" s="185" t="s">
        <v>192</v>
      </c>
      <c r="C3">
        <v>0</v>
      </c>
      <c r="D3">
        <v>0</v>
      </c>
      <c r="E3">
        <v>0</v>
      </c>
    </row>
    <row r="4" spans="1:5" x14ac:dyDescent="0.15">
      <c r="A4">
        <v>3</v>
      </c>
      <c r="B4" s="185" t="s">
        <v>193</v>
      </c>
      <c r="C4">
        <v>0</v>
      </c>
      <c r="D4">
        <v>0</v>
      </c>
      <c r="E4">
        <v>0</v>
      </c>
    </row>
    <row r="5" spans="1:5" x14ac:dyDescent="0.15">
      <c r="A5">
        <v>4</v>
      </c>
      <c r="B5" s="185" t="s">
        <v>194</v>
      </c>
      <c r="C5">
        <v>0</v>
      </c>
      <c r="D5">
        <v>0</v>
      </c>
      <c r="E5">
        <v>0</v>
      </c>
    </row>
    <row r="6" spans="1:5" x14ac:dyDescent="0.15">
      <c r="A6">
        <v>5</v>
      </c>
      <c r="B6" s="185" t="s">
        <v>195</v>
      </c>
      <c r="C6">
        <v>0</v>
      </c>
      <c r="D6">
        <v>0</v>
      </c>
      <c r="E6">
        <v>0</v>
      </c>
    </row>
    <row r="7" spans="1:5" x14ac:dyDescent="0.15">
      <c r="A7">
        <v>6</v>
      </c>
      <c r="B7" s="185" t="s">
        <v>196</v>
      </c>
      <c r="C7">
        <v>0</v>
      </c>
      <c r="D7">
        <v>0</v>
      </c>
      <c r="E7">
        <v>0</v>
      </c>
    </row>
    <row r="8" spans="1:5" x14ac:dyDescent="0.15">
      <c r="A8">
        <v>7</v>
      </c>
      <c r="B8" s="185" t="s">
        <v>197</v>
      </c>
      <c r="C8">
        <v>0</v>
      </c>
      <c r="D8">
        <v>0</v>
      </c>
      <c r="E8">
        <v>0</v>
      </c>
    </row>
    <row r="9" spans="1:5" x14ac:dyDescent="0.15">
      <c r="A9">
        <v>8</v>
      </c>
      <c r="B9" s="185" t="s">
        <v>198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85" t="s">
        <v>199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85" t="s">
        <v>200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85" t="s">
        <v>201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85" t="s">
        <v>202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85" t="s">
        <v>203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85" t="s">
        <v>204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85" t="s">
        <v>205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85" t="s">
        <v>206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85" t="s">
        <v>207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85" t="s">
        <v>208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85" t="s">
        <v>209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85" t="s">
        <v>210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85" t="s">
        <v>211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85" t="s">
        <v>212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85" t="s">
        <v>213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85" t="s">
        <v>214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85" t="s">
        <v>215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85" t="s">
        <v>216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85" t="s">
        <v>217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85" t="s">
        <v>218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85" t="s">
        <v>219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85" t="s">
        <v>220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85" t="s">
        <v>221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85" t="s">
        <v>222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85" t="s">
        <v>223</v>
      </c>
      <c r="C34">
        <v>0</v>
      </c>
      <c r="D34">
        <v>0</v>
      </c>
      <c r="E34">
        <v>0</v>
      </c>
    </row>
    <row r="35" spans="1:5" x14ac:dyDescent="0.15">
      <c r="A35">
        <v>34</v>
      </c>
      <c r="B35" s="185" t="s">
        <v>224</v>
      </c>
      <c r="C35">
        <v>0</v>
      </c>
      <c r="D35">
        <v>0</v>
      </c>
      <c r="E35">
        <v>0</v>
      </c>
    </row>
    <row r="36" spans="1:5" x14ac:dyDescent="0.15">
      <c r="A36">
        <v>35</v>
      </c>
      <c r="B36" s="185" t="s">
        <v>225</v>
      </c>
      <c r="C36">
        <v>0</v>
      </c>
      <c r="D36">
        <v>0</v>
      </c>
      <c r="E36">
        <v>0</v>
      </c>
    </row>
    <row r="37" spans="1:5" x14ac:dyDescent="0.15">
      <c r="A37">
        <v>36</v>
      </c>
      <c r="B37" s="185" t="s">
        <v>226</v>
      </c>
      <c r="C37">
        <v>0</v>
      </c>
      <c r="D37">
        <v>0</v>
      </c>
      <c r="E37">
        <v>0</v>
      </c>
    </row>
    <row r="38" spans="1:5" x14ac:dyDescent="0.15">
      <c r="A38">
        <v>37</v>
      </c>
      <c r="B38" s="185" t="s">
        <v>227</v>
      </c>
      <c r="C38">
        <v>0</v>
      </c>
      <c r="D38">
        <v>0</v>
      </c>
      <c r="E38">
        <v>0</v>
      </c>
    </row>
    <row r="39" spans="1:5" x14ac:dyDescent="0.15">
      <c r="A39">
        <v>38</v>
      </c>
      <c r="B39" s="185" t="s">
        <v>228</v>
      </c>
      <c r="C39">
        <v>0</v>
      </c>
      <c r="D39">
        <v>0</v>
      </c>
      <c r="E39">
        <v>0</v>
      </c>
    </row>
    <row r="40" spans="1:5" x14ac:dyDescent="0.15">
      <c r="A40">
        <v>39</v>
      </c>
      <c r="B40" s="185" t="s">
        <v>229</v>
      </c>
      <c r="C40">
        <v>0</v>
      </c>
      <c r="D40">
        <v>0</v>
      </c>
      <c r="E40">
        <v>0</v>
      </c>
    </row>
    <row r="41" spans="1:5" x14ac:dyDescent="0.15">
      <c r="A41">
        <v>40</v>
      </c>
      <c r="B41" s="185" t="s">
        <v>230</v>
      </c>
      <c r="C41">
        <v>0</v>
      </c>
      <c r="D41">
        <v>0</v>
      </c>
      <c r="E41">
        <v>0</v>
      </c>
    </row>
    <row r="42" spans="1:5" x14ac:dyDescent="0.15">
      <c r="A42">
        <v>41</v>
      </c>
      <c r="B42" s="185" t="s">
        <v>231</v>
      </c>
      <c r="C42">
        <v>0</v>
      </c>
      <c r="D42">
        <v>0</v>
      </c>
      <c r="E42">
        <v>0</v>
      </c>
    </row>
    <row r="43" spans="1:5" x14ac:dyDescent="0.15">
      <c r="A43">
        <v>42</v>
      </c>
      <c r="B43" s="185" t="s">
        <v>232</v>
      </c>
      <c r="C43">
        <v>0</v>
      </c>
      <c r="D43">
        <v>0</v>
      </c>
      <c r="E43">
        <v>0</v>
      </c>
    </row>
    <row r="44" spans="1:5" x14ac:dyDescent="0.15">
      <c r="A44">
        <v>43</v>
      </c>
      <c r="B44" s="185" t="s">
        <v>233</v>
      </c>
      <c r="C44">
        <v>0</v>
      </c>
      <c r="D44">
        <v>0</v>
      </c>
      <c r="E44">
        <v>0</v>
      </c>
    </row>
    <row r="45" spans="1:5" x14ac:dyDescent="0.15">
      <c r="A45">
        <v>44</v>
      </c>
      <c r="B45" s="185" t="s">
        <v>234</v>
      </c>
      <c r="C45">
        <v>0</v>
      </c>
      <c r="D45">
        <v>0</v>
      </c>
      <c r="E45">
        <v>0</v>
      </c>
    </row>
    <row r="46" spans="1:5" x14ac:dyDescent="0.15">
      <c r="A46">
        <v>45</v>
      </c>
      <c r="B46" s="185" t="s">
        <v>235</v>
      </c>
      <c r="C46">
        <v>0</v>
      </c>
      <c r="D46">
        <v>0</v>
      </c>
      <c r="E4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7.5" bestFit="1" customWidth="1"/>
    <col min="6" max="6" width="4.83203125" bestFit="1" customWidth="1"/>
    <col min="7" max="9" width="3.83203125" bestFit="1" customWidth="1"/>
    <col min="10" max="11" width="4.83203125" style="11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5" customFormat="1" ht="14" thickBot="1" x14ac:dyDescent="0.2">
      <c r="D1" s="116" t="s">
        <v>8</v>
      </c>
      <c r="E1" s="116" t="s">
        <v>0</v>
      </c>
      <c r="F1" s="117" t="s">
        <v>99</v>
      </c>
      <c r="G1" s="118" t="s">
        <v>84</v>
      </c>
      <c r="H1" s="118" t="s">
        <v>85</v>
      </c>
      <c r="I1" s="118" t="s">
        <v>86</v>
      </c>
      <c r="J1" s="118" t="s">
        <v>87</v>
      </c>
      <c r="K1" s="118" t="s">
        <v>88</v>
      </c>
      <c r="L1" s="119" t="s">
        <v>89</v>
      </c>
      <c r="M1" s="119" t="s">
        <v>93</v>
      </c>
      <c r="N1" s="119" t="s">
        <v>92</v>
      </c>
      <c r="O1" s="119" t="s">
        <v>90</v>
      </c>
      <c r="P1" s="119" t="s">
        <v>91</v>
      </c>
      <c r="Q1" s="120" t="s">
        <v>94</v>
      </c>
      <c r="R1" s="120" t="s">
        <v>95</v>
      </c>
      <c r="S1" s="120" t="s">
        <v>96</v>
      </c>
      <c r="T1" s="120" t="s">
        <v>97</v>
      </c>
      <c r="U1" s="120" t="s">
        <v>98</v>
      </c>
      <c r="V1" s="118" t="s">
        <v>100</v>
      </c>
      <c r="W1" s="118" t="s">
        <v>101</v>
      </c>
      <c r="X1" s="118" t="s">
        <v>102</v>
      </c>
      <c r="Y1" s="118" t="s">
        <v>134</v>
      </c>
      <c r="Z1" s="119" t="s">
        <v>103</v>
      </c>
      <c r="AA1" s="119" t="s">
        <v>104</v>
      </c>
      <c r="AB1" s="119" t="s">
        <v>105</v>
      </c>
      <c r="AC1" s="121" t="s">
        <v>135</v>
      </c>
      <c r="AD1" s="120" t="s">
        <v>106</v>
      </c>
      <c r="AE1" s="120" t="s">
        <v>107</v>
      </c>
      <c r="AF1" s="120" t="s">
        <v>108</v>
      </c>
      <c r="AG1" s="120" t="s">
        <v>136</v>
      </c>
      <c r="AH1" s="118" t="s">
        <v>109</v>
      </c>
      <c r="AI1" s="118" t="s">
        <v>111</v>
      </c>
      <c r="AJ1" s="118" t="s">
        <v>110</v>
      </c>
      <c r="AK1" s="119" t="s">
        <v>115</v>
      </c>
      <c r="AL1" s="119" t="s">
        <v>116</v>
      </c>
      <c r="AM1" s="119" t="s">
        <v>117</v>
      </c>
      <c r="AN1" s="120" t="s">
        <v>112</v>
      </c>
      <c r="AO1" s="120" t="s">
        <v>113</v>
      </c>
      <c r="AP1" s="120" t="s">
        <v>114</v>
      </c>
    </row>
    <row r="2" spans="1:42" x14ac:dyDescent="0.15">
      <c r="A2" s="122" t="s">
        <v>74</v>
      </c>
      <c r="B2" s="123">
        <v>1</v>
      </c>
      <c r="D2">
        <v>1</v>
      </c>
      <c r="E2" s="187" t="s">
        <v>191</v>
      </c>
      <c r="F2">
        <v>0.98</v>
      </c>
      <c r="G2">
        <v>0.8</v>
      </c>
      <c r="H2">
        <v>0.8</v>
      </c>
      <c r="I2">
        <v>0.8</v>
      </c>
      <c r="J2" s="113">
        <v>0.25</v>
      </c>
      <c r="K2" s="113">
        <v>0.05</v>
      </c>
    </row>
    <row r="3" spans="1:42" x14ac:dyDescent="0.15">
      <c r="A3" s="122" t="s">
        <v>75</v>
      </c>
      <c r="B3" s="124">
        <v>1</v>
      </c>
      <c r="D3">
        <v>2</v>
      </c>
      <c r="E3" s="187" t="s">
        <v>192</v>
      </c>
      <c r="F3">
        <v>0.98</v>
      </c>
      <c r="G3">
        <v>0.8</v>
      </c>
      <c r="H3">
        <v>0.8</v>
      </c>
      <c r="I3">
        <v>0.8</v>
      </c>
      <c r="J3" s="113">
        <v>0.25</v>
      </c>
      <c r="K3" s="113">
        <v>0.05</v>
      </c>
    </row>
    <row r="4" spans="1:42" x14ac:dyDescent="0.15">
      <c r="A4" s="122" t="s">
        <v>76</v>
      </c>
      <c r="B4" s="124">
        <v>1</v>
      </c>
      <c r="D4">
        <v>3</v>
      </c>
      <c r="E4" s="187" t="s">
        <v>193</v>
      </c>
      <c r="F4">
        <v>0.98</v>
      </c>
      <c r="G4">
        <v>0.8</v>
      </c>
      <c r="H4">
        <v>0.8</v>
      </c>
      <c r="I4">
        <v>0.8</v>
      </c>
      <c r="J4" s="113">
        <v>0.25</v>
      </c>
      <c r="K4" s="113">
        <v>0.05</v>
      </c>
    </row>
    <row r="5" spans="1:42" x14ac:dyDescent="0.15">
      <c r="A5" s="122" t="s">
        <v>77</v>
      </c>
      <c r="B5" s="124">
        <v>1</v>
      </c>
      <c r="D5">
        <v>4</v>
      </c>
      <c r="E5" s="187" t="s">
        <v>194</v>
      </c>
      <c r="F5">
        <v>0.98</v>
      </c>
      <c r="G5">
        <v>0.8</v>
      </c>
      <c r="H5">
        <v>0.8</v>
      </c>
      <c r="I5">
        <v>0.8</v>
      </c>
      <c r="J5" s="113">
        <v>0.25</v>
      </c>
      <c r="K5" s="113">
        <v>0.05</v>
      </c>
    </row>
    <row r="6" spans="1:42" x14ac:dyDescent="0.15">
      <c r="A6" s="122" t="s">
        <v>78</v>
      </c>
      <c r="B6" s="124">
        <v>1</v>
      </c>
      <c r="D6">
        <v>5</v>
      </c>
      <c r="E6" s="187" t="s">
        <v>195</v>
      </c>
      <c r="F6">
        <v>0.98</v>
      </c>
      <c r="G6">
        <v>0.8</v>
      </c>
      <c r="H6">
        <v>0.8</v>
      </c>
      <c r="I6">
        <v>0.8</v>
      </c>
      <c r="J6" s="113">
        <v>0.25</v>
      </c>
      <c r="K6" s="113">
        <v>0.05</v>
      </c>
    </row>
    <row r="7" spans="1:42" x14ac:dyDescent="0.15">
      <c r="A7" s="122" t="s">
        <v>79</v>
      </c>
      <c r="B7" s="124">
        <v>1</v>
      </c>
      <c r="D7">
        <v>6</v>
      </c>
      <c r="E7" s="187" t="s">
        <v>196</v>
      </c>
      <c r="F7">
        <v>0.98</v>
      </c>
      <c r="G7">
        <v>0.8</v>
      </c>
      <c r="H7">
        <v>0.8</v>
      </c>
      <c r="I7">
        <v>0.8</v>
      </c>
      <c r="J7" s="113">
        <v>0.25</v>
      </c>
      <c r="K7" s="113">
        <v>0.05</v>
      </c>
    </row>
    <row r="8" spans="1:42" x14ac:dyDescent="0.15">
      <c r="A8" s="122" t="s">
        <v>80</v>
      </c>
      <c r="B8" s="124">
        <v>1</v>
      </c>
      <c r="D8">
        <v>7</v>
      </c>
      <c r="E8" s="187" t="s">
        <v>197</v>
      </c>
      <c r="F8">
        <v>0.98</v>
      </c>
      <c r="G8">
        <v>0.8</v>
      </c>
      <c r="H8">
        <v>0.8</v>
      </c>
      <c r="I8">
        <v>0.8</v>
      </c>
      <c r="J8" s="113">
        <v>0.25</v>
      </c>
      <c r="K8" s="113">
        <v>0.05</v>
      </c>
    </row>
    <row r="9" spans="1:42" x14ac:dyDescent="0.15">
      <c r="A9" s="122" t="s">
        <v>81</v>
      </c>
      <c r="B9" s="124">
        <v>0.1</v>
      </c>
      <c r="C9" s="61" t="s">
        <v>150</v>
      </c>
      <c r="D9">
        <v>8</v>
      </c>
      <c r="E9" s="187" t="s">
        <v>198</v>
      </c>
      <c r="F9">
        <v>0.98</v>
      </c>
      <c r="G9">
        <v>0.8</v>
      </c>
      <c r="H9">
        <v>0.8</v>
      </c>
      <c r="I9">
        <v>0.8</v>
      </c>
      <c r="J9" s="113">
        <v>0.25</v>
      </c>
      <c r="K9" s="113">
        <v>0.05</v>
      </c>
    </row>
    <row r="10" spans="1:42" ht="14" thickBot="1" x14ac:dyDescent="0.2">
      <c r="A10" s="122" t="s">
        <v>149</v>
      </c>
      <c r="B10" s="125">
        <f>1/3</f>
        <v>0.33333333333333331</v>
      </c>
      <c r="C10" s="61" t="s">
        <v>150</v>
      </c>
      <c r="D10">
        <v>9</v>
      </c>
      <c r="E10" s="187" t="s">
        <v>199</v>
      </c>
      <c r="F10">
        <v>0.98</v>
      </c>
      <c r="G10">
        <v>0.8</v>
      </c>
      <c r="H10">
        <v>0.8</v>
      </c>
      <c r="I10">
        <v>0.8</v>
      </c>
      <c r="J10" s="113">
        <v>0.25</v>
      </c>
      <c r="K10" s="113">
        <v>0.05</v>
      </c>
    </row>
    <row r="11" spans="1:42" x14ac:dyDescent="0.15">
      <c r="D11">
        <v>10</v>
      </c>
      <c r="E11" s="187" t="s">
        <v>200</v>
      </c>
      <c r="F11">
        <v>0.98</v>
      </c>
      <c r="G11">
        <v>0.8</v>
      </c>
      <c r="H11">
        <v>0.8</v>
      </c>
      <c r="I11">
        <v>0.8</v>
      </c>
      <c r="J11" s="113">
        <v>0.25</v>
      </c>
      <c r="K11" s="113">
        <v>0.05</v>
      </c>
    </row>
    <row r="12" spans="1:42" x14ac:dyDescent="0.15">
      <c r="D12">
        <v>11</v>
      </c>
      <c r="E12" s="187" t="s">
        <v>201</v>
      </c>
      <c r="F12">
        <v>0.98</v>
      </c>
      <c r="G12">
        <v>0.8</v>
      </c>
      <c r="H12">
        <v>0.8</v>
      </c>
      <c r="I12">
        <v>0.8</v>
      </c>
      <c r="J12" s="113">
        <v>0.25</v>
      </c>
      <c r="K12" s="113">
        <v>0.05</v>
      </c>
    </row>
    <row r="13" spans="1:42" x14ac:dyDescent="0.15">
      <c r="D13">
        <v>12</v>
      </c>
      <c r="E13" s="187" t="s">
        <v>202</v>
      </c>
      <c r="F13">
        <v>0.98</v>
      </c>
      <c r="G13">
        <v>0.8</v>
      </c>
      <c r="H13">
        <v>0.8</v>
      </c>
      <c r="I13">
        <v>0.8</v>
      </c>
      <c r="J13" s="113">
        <v>0.25</v>
      </c>
      <c r="K13" s="113">
        <v>0.05</v>
      </c>
    </row>
    <row r="14" spans="1:42" x14ac:dyDescent="0.15">
      <c r="D14">
        <v>13</v>
      </c>
      <c r="E14" s="187" t="s">
        <v>203</v>
      </c>
      <c r="F14">
        <v>0.98</v>
      </c>
      <c r="G14">
        <v>0.8</v>
      </c>
      <c r="H14">
        <v>0.8</v>
      </c>
      <c r="I14">
        <v>0.8</v>
      </c>
      <c r="J14" s="113">
        <v>0.25</v>
      </c>
      <c r="K14" s="113">
        <v>0.05</v>
      </c>
    </row>
    <row r="15" spans="1:42" x14ac:dyDescent="0.15">
      <c r="D15">
        <v>14</v>
      </c>
      <c r="E15" s="187" t="s">
        <v>204</v>
      </c>
      <c r="F15">
        <v>0.98</v>
      </c>
      <c r="G15">
        <v>0.8</v>
      </c>
      <c r="H15">
        <v>0.8</v>
      </c>
      <c r="I15">
        <v>0.8</v>
      </c>
      <c r="J15" s="113">
        <v>0.25</v>
      </c>
      <c r="K15" s="113">
        <v>0.05</v>
      </c>
    </row>
    <row r="16" spans="1:42" x14ac:dyDescent="0.15">
      <c r="D16">
        <v>15</v>
      </c>
      <c r="E16" s="187" t="s">
        <v>205</v>
      </c>
      <c r="F16">
        <v>0.98</v>
      </c>
      <c r="G16">
        <v>0.8</v>
      </c>
      <c r="H16">
        <v>0.8</v>
      </c>
      <c r="I16">
        <v>0.8</v>
      </c>
      <c r="J16" s="113">
        <v>0.25</v>
      </c>
      <c r="K16" s="113">
        <v>0.05</v>
      </c>
    </row>
    <row r="17" spans="4:33" ht="15" customHeight="1" x14ac:dyDescent="0.15">
      <c r="D17">
        <v>16</v>
      </c>
      <c r="E17" s="187" t="s">
        <v>206</v>
      </c>
      <c r="F17">
        <v>0.98</v>
      </c>
      <c r="G17">
        <v>0.8</v>
      </c>
      <c r="H17">
        <v>0.8</v>
      </c>
      <c r="I17">
        <v>0.8</v>
      </c>
      <c r="J17" s="113">
        <v>0.25</v>
      </c>
      <c r="K17" s="113">
        <v>0.05</v>
      </c>
    </row>
    <row r="18" spans="4:33" ht="15" customHeight="1" x14ac:dyDescent="0.15">
      <c r="D18">
        <v>17</v>
      </c>
      <c r="E18" s="187" t="s">
        <v>207</v>
      </c>
      <c r="F18">
        <v>0.98</v>
      </c>
      <c r="G18">
        <v>0.8</v>
      </c>
      <c r="H18">
        <v>0.8</v>
      </c>
      <c r="I18">
        <v>0.8</v>
      </c>
      <c r="J18" s="113">
        <v>0.25</v>
      </c>
      <c r="K18" s="113">
        <v>0.05</v>
      </c>
    </row>
    <row r="19" spans="4:33" ht="15" customHeight="1" x14ac:dyDescent="0.15">
      <c r="D19">
        <v>18</v>
      </c>
      <c r="E19" s="187" t="s">
        <v>208</v>
      </c>
      <c r="F19">
        <v>0.98</v>
      </c>
      <c r="G19">
        <v>0.8</v>
      </c>
      <c r="H19">
        <v>0.8</v>
      </c>
      <c r="I19">
        <v>0.8</v>
      </c>
      <c r="J19" s="113">
        <v>0.25</v>
      </c>
      <c r="K19" s="113">
        <v>0.05</v>
      </c>
    </row>
    <row r="20" spans="4:33" ht="15" customHeight="1" x14ac:dyDescent="0.15">
      <c r="D20">
        <v>19</v>
      </c>
      <c r="E20" s="187" t="s">
        <v>209</v>
      </c>
      <c r="F20">
        <v>0.98</v>
      </c>
      <c r="G20">
        <v>0.8</v>
      </c>
      <c r="H20">
        <v>0.8</v>
      </c>
      <c r="I20">
        <v>0.8</v>
      </c>
      <c r="J20" s="113">
        <v>0.25</v>
      </c>
      <c r="K20" s="113">
        <v>0.05</v>
      </c>
    </row>
    <row r="21" spans="4:33" ht="15" customHeight="1" x14ac:dyDescent="0.15">
      <c r="D21">
        <v>20</v>
      </c>
      <c r="E21" s="187" t="s">
        <v>210</v>
      </c>
      <c r="F21">
        <v>0.98</v>
      </c>
      <c r="G21">
        <v>0.8</v>
      </c>
      <c r="H21">
        <v>0.8</v>
      </c>
      <c r="I21">
        <v>0.8</v>
      </c>
      <c r="J21" s="113">
        <v>0.25</v>
      </c>
      <c r="K21" s="113">
        <v>0.05</v>
      </c>
    </row>
    <row r="22" spans="4:33" ht="15" customHeight="1" x14ac:dyDescent="0.15">
      <c r="D22">
        <v>21</v>
      </c>
      <c r="E22" s="187" t="s">
        <v>211</v>
      </c>
      <c r="F22">
        <v>0.98</v>
      </c>
      <c r="G22">
        <v>0.8</v>
      </c>
      <c r="H22">
        <v>0.8</v>
      </c>
      <c r="I22">
        <v>0.8</v>
      </c>
      <c r="J22" s="113">
        <v>0.25</v>
      </c>
      <c r="K22" s="113">
        <v>0.05</v>
      </c>
    </row>
    <row r="23" spans="4:33" ht="15" customHeight="1" x14ac:dyDescent="0.15">
      <c r="D23">
        <v>22</v>
      </c>
      <c r="E23" s="187" t="s">
        <v>212</v>
      </c>
      <c r="F23">
        <v>0.98</v>
      </c>
      <c r="G23">
        <v>0.8</v>
      </c>
      <c r="H23">
        <v>0.8</v>
      </c>
      <c r="I23">
        <v>0.8</v>
      </c>
      <c r="J23" s="113">
        <v>0.25</v>
      </c>
      <c r="K23" s="113">
        <v>0.05</v>
      </c>
    </row>
    <row r="24" spans="4:33" ht="15" customHeight="1" x14ac:dyDescent="0.15">
      <c r="D24">
        <v>23</v>
      </c>
      <c r="E24" s="187" t="s">
        <v>213</v>
      </c>
      <c r="F24">
        <v>0.98</v>
      </c>
      <c r="G24">
        <v>0.8</v>
      </c>
      <c r="H24">
        <v>0.8</v>
      </c>
      <c r="I24">
        <v>0.8</v>
      </c>
      <c r="J24" s="113">
        <v>0.25</v>
      </c>
      <c r="K24" s="113">
        <v>0.05</v>
      </c>
    </row>
    <row r="25" spans="4:33" ht="15" customHeight="1" x14ac:dyDescent="0.15">
      <c r="D25">
        <v>24</v>
      </c>
      <c r="E25" s="187" t="s">
        <v>214</v>
      </c>
      <c r="F25">
        <v>0.98</v>
      </c>
      <c r="G25">
        <v>0.8</v>
      </c>
      <c r="H25">
        <v>0.8</v>
      </c>
      <c r="I25">
        <v>0.8</v>
      </c>
      <c r="J25" s="113">
        <v>0.25</v>
      </c>
      <c r="K25" s="113">
        <v>0.05</v>
      </c>
    </row>
    <row r="26" spans="4:33" ht="15" customHeight="1" x14ac:dyDescent="0.15">
      <c r="D26">
        <v>25</v>
      </c>
      <c r="E26" s="187" t="s">
        <v>215</v>
      </c>
      <c r="F26">
        <v>0.98</v>
      </c>
      <c r="G26">
        <v>0.8</v>
      </c>
      <c r="H26">
        <v>0.8</v>
      </c>
      <c r="I26">
        <v>0.8</v>
      </c>
      <c r="J26" s="113">
        <v>0.25</v>
      </c>
      <c r="K26" s="113">
        <v>0.05</v>
      </c>
    </row>
    <row r="27" spans="4:33" ht="15" customHeight="1" x14ac:dyDescent="0.15">
      <c r="D27">
        <v>26</v>
      </c>
      <c r="E27" s="187" t="s">
        <v>216</v>
      </c>
      <c r="F27">
        <v>0.98</v>
      </c>
      <c r="G27">
        <v>0.8</v>
      </c>
      <c r="H27">
        <v>0.8</v>
      </c>
      <c r="I27">
        <v>0.8</v>
      </c>
      <c r="J27" s="113">
        <v>0.25</v>
      </c>
      <c r="K27" s="113">
        <v>0.05</v>
      </c>
    </row>
    <row r="28" spans="4:33" ht="15" customHeight="1" x14ac:dyDescent="0.15">
      <c r="D28">
        <v>27</v>
      </c>
      <c r="E28" s="187" t="s">
        <v>217</v>
      </c>
      <c r="F28">
        <v>0.98</v>
      </c>
      <c r="G28">
        <v>0.8</v>
      </c>
      <c r="H28">
        <v>0.8</v>
      </c>
      <c r="I28">
        <v>0.8</v>
      </c>
      <c r="J28" s="113">
        <v>0.25</v>
      </c>
      <c r="K28" s="113">
        <v>0.05</v>
      </c>
    </row>
    <row r="29" spans="4:33" ht="15" customHeight="1" x14ac:dyDescent="0.15">
      <c r="D29">
        <v>28</v>
      </c>
      <c r="E29" s="187" t="s">
        <v>218</v>
      </c>
      <c r="F29">
        <v>0.98</v>
      </c>
      <c r="G29">
        <v>0.8</v>
      </c>
      <c r="H29">
        <v>0.8</v>
      </c>
      <c r="I29">
        <v>0.8</v>
      </c>
      <c r="J29" s="113">
        <v>0.25</v>
      </c>
      <c r="K29" s="113">
        <v>0.05</v>
      </c>
      <c r="Y29"/>
      <c r="AC29"/>
      <c r="AG29"/>
    </row>
    <row r="30" spans="4:33" ht="15" customHeight="1" x14ac:dyDescent="0.15">
      <c r="D30">
        <v>29</v>
      </c>
      <c r="E30" s="187" t="s">
        <v>219</v>
      </c>
      <c r="F30">
        <v>0.98</v>
      </c>
      <c r="G30">
        <v>0.8</v>
      </c>
      <c r="H30">
        <v>0.8</v>
      </c>
      <c r="I30">
        <v>0.8</v>
      </c>
      <c r="J30" s="113">
        <v>0.25</v>
      </c>
      <c r="K30" s="113">
        <v>0.05</v>
      </c>
      <c r="Y30"/>
      <c r="AC30"/>
      <c r="AG30"/>
    </row>
    <row r="31" spans="4:33" ht="15" customHeight="1" x14ac:dyDescent="0.15">
      <c r="D31">
        <v>30</v>
      </c>
      <c r="E31" s="187" t="s">
        <v>220</v>
      </c>
      <c r="F31">
        <v>0.98</v>
      </c>
      <c r="G31">
        <v>0.8</v>
      </c>
      <c r="H31">
        <v>0.8</v>
      </c>
      <c r="I31">
        <v>0.8</v>
      </c>
      <c r="J31" s="113">
        <v>0.25</v>
      </c>
      <c r="K31" s="113">
        <v>0.05</v>
      </c>
      <c r="Y31"/>
      <c r="AC31"/>
      <c r="AG31"/>
    </row>
    <row r="32" spans="4:33" ht="15" customHeight="1" x14ac:dyDescent="0.15">
      <c r="D32">
        <v>31</v>
      </c>
      <c r="E32" s="187" t="s">
        <v>221</v>
      </c>
      <c r="F32">
        <v>0.98</v>
      </c>
      <c r="G32">
        <v>0.8</v>
      </c>
      <c r="H32">
        <v>0.8</v>
      </c>
      <c r="I32">
        <v>0.8</v>
      </c>
      <c r="J32" s="113">
        <v>0.25</v>
      </c>
      <c r="K32" s="113">
        <v>0.05</v>
      </c>
      <c r="Y32"/>
      <c r="AC32"/>
      <c r="AG32"/>
    </row>
    <row r="33" spans="4:33" ht="15" customHeight="1" x14ac:dyDescent="0.15">
      <c r="D33">
        <v>32</v>
      </c>
      <c r="E33" s="187" t="s">
        <v>222</v>
      </c>
      <c r="F33">
        <v>0.98</v>
      </c>
      <c r="G33">
        <v>0.8</v>
      </c>
      <c r="H33">
        <v>0.8</v>
      </c>
      <c r="I33">
        <v>0.8</v>
      </c>
      <c r="J33" s="113">
        <v>0.25</v>
      </c>
      <c r="K33" s="113">
        <v>0.05</v>
      </c>
      <c r="Y33"/>
      <c r="AC33"/>
      <c r="AG33"/>
    </row>
    <row r="34" spans="4:33" ht="15" customHeight="1" x14ac:dyDescent="0.15">
      <c r="D34">
        <v>33</v>
      </c>
      <c r="E34" s="187" t="s">
        <v>223</v>
      </c>
      <c r="F34">
        <v>0.98</v>
      </c>
      <c r="G34">
        <v>0.8</v>
      </c>
      <c r="H34">
        <v>0.8</v>
      </c>
      <c r="I34">
        <v>0.8</v>
      </c>
      <c r="J34" s="113">
        <v>0.25</v>
      </c>
      <c r="K34" s="113">
        <v>0.05</v>
      </c>
      <c r="Y34"/>
      <c r="AC34"/>
      <c r="AG34"/>
    </row>
    <row r="35" spans="4:33" ht="15" customHeight="1" x14ac:dyDescent="0.15">
      <c r="D35">
        <v>34</v>
      </c>
      <c r="E35" s="187" t="s">
        <v>224</v>
      </c>
      <c r="F35">
        <v>0.98</v>
      </c>
      <c r="G35">
        <v>0.8</v>
      </c>
      <c r="H35">
        <v>0.8</v>
      </c>
      <c r="I35">
        <v>0.8</v>
      </c>
      <c r="J35" s="113">
        <v>0.25</v>
      </c>
      <c r="K35" s="113">
        <v>0.05</v>
      </c>
      <c r="Y35"/>
      <c r="AC35"/>
      <c r="AG35"/>
    </row>
    <row r="36" spans="4:33" ht="15" customHeight="1" x14ac:dyDescent="0.15">
      <c r="D36">
        <v>35</v>
      </c>
      <c r="E36" s="187" t="s">
        <v>225</v>
      </c>
      <c r="F36">
        <v>0.98</v>
      </c>
      <c r="G36">
        <v>0.8</v>
      </c>
      <c r="H36">
        <v>0.8</v>
      </c>
      <c r="I36">
        <v>0.8</v>
      </c>
      <c r="J36" s="113">
        <v>0.25</v>
      </c>
      <c r="K36" s="113">
        <v>0.05</v>
      </c>
      <c r="Y36"/>
      <c r="AC36"/>
      <c r="AG36"/>
    </row>
    <row r="37" spans="4:33" ht="15" customHeight="1" x14ac:dyDescent="0.15">
      <c r="D37">
        <v>36</v>
      </c>
      <c r="E37" s="187" t="s">
        <v>226</v>
      </c>
      <c r="F37">
        <v>0.98</v>
      </c>
      <c r="G37">
        <v>0.8</v>
      </c>
      <c r="H37">
        <v>0.8</v>
      </c>
      <c r="I37">
        <v>0.8</v>
      </c>
      <c r="J37" s="113">
        <v>0.25</v>
      </c>
      <c r="K37" s="113">
        <v>0.05</v>
      </c>
      <c r="Y37"/>
      <c r="AC37"/>
      <c r="AG37"/>
    </row>
    <row r="38" spans="4:33" ht="15" customHeight="1" x14ac:dyDescent="0.15">
      <c r="D38">
        <v>37</v>
      </c>
      <c r="E38" s="187" t="s">
        <v>227</v>
      </c>
      <c r="F38">
        <v>0.98</v>
      </c>
      <c r="G38">
        <v>0.8</v>
      </c>
      <c r="H38">
        <v>0.8</v>
      </c>
      <c r="I38">
        <v>0.8</v>
      </c>
      <c r="J38" s="113">
        <v>0.25</v>
      </c>
      <c r="K38" s="113">
        <v>0.05</v>
      </c>
      <c r="Y38"/>
      <c r="AC38"/>
      <c r="AG38"/>
    </row>
    <row r="39" spans="4:33" ht="15" customHeight="1" x14ac:dyDescent="0.15">
      <c r="D39">
        <v>38</v>
      </c>
      <c r="E39" s="187" t="s">
        <v>228</v>
      </c>
      <c r="F39">
        <v>0.98</v>
      </c>
      <c r="G39">
        <v>0.8</v>
      </c>
      <c r="H39">
        <v>0.8</v>
      </c>
      <c r="I39">
        <v>0.8</v>
      </c>
      <c r="J39" s="113">
        <v>0.25</v>
      </c>
      <c r="K39" s="113">
        <v>0.05</v>
      </c>
    </row>
    <row r="40" spans="4:33" ht="15" customHeight="1" x14ac:dyDescent="0.15">
      <c r="D40">
        <v>39</v>
      </c>
      <c r="E40" s="187" t="s">
        <v>229</v>
      </c>
      <c r="F40">
        <v>0.98</v>
      </c>
      <c r="G40">
        <v>0.8</v>
      </c>
      <c r="H40">
        <v>0.8</v>
      </c>
      <c r="I40">
        <v>0.8</v>
      </c>
      <c r="J40" s="113">
        <v>0.25</v>
      </c>
      <c r="K40" s="113">
        <v>0.05</v>
      </c>
      <c r="Y40"/>
      <c r="AC40"/>
      <c r="AG40"/>
    </row>
    <row r="41" spans="4:33" ht="15" customHeight="1" x14ac:dyDescent="0.15">
      <c r="D41">
        <v>40</v>
      </c>
      <c r="E41" s="187" t="s">
        <v>230</v>
      </c>
      <c r="F41">
        <v>0.98</v>
      </c>
      <c r="G41">
        <v>0.8</v>
      </c>
      <c r="H41">
        <v>0.8</v>
      </c>
      <c r="I41">
        <v>0.8</v>
      </c>
      <c r="J41" s="113">
        <v>0.25</v>
      </c>
      <c r="K41" s="113">
        <v>0.05</v>
      </c>
      <c r="Y41"/>
      <c r="AC41"/>
      <c r="AG41"/>
    </row>
    <row r="42" spans="4:33" ht="15" customHeight="1" x14ac:dyDescent="0.15">
      <c r="D42">
        <v>41</v>
      </c>
      <c r="E42" s="187" t="s">
        <v>231</v>
      </c>
      <c r="F42">
        <v>0.98</v>
      </c>
      <c r="G42">
        <v>0.8</v>
      </c>
      <c r="H42">
        <v>0.8</v>
      </c>
      <c r="I42">
        <v>0.8</v>
      </c>
      <c r="J42" s="113">
        <v>0.25</v>
      </c>
      <c r="K42" s="113">
        <v>0.05</v>
      </c>
      <c r="Y42"/>
      <c r="AC42"/>
      <c r="AG42"/>
    </row>
    <row r="43" spans="4:33" ht="15" customHeight="1" x14ac:dyDescent="0.15">
      <c r="D43">
        <v>42</v>
      </c>
      <c r="E43" s="187" t="s">
        <v>232</v>
      </c>
      <c r="F43">
        <v>0.98</v>
      </c>
      <c r="G43">
        <v>0.8</v>
      </c>
      <c r="H43">
        <v>0.8</v>
      </c>
      <c r="I43">
        <v>0.8</v>
      </c>
      <c r="J43" s="113">
        <v>0.25</v>
      </c>
      <c r="K43" s="113">
        <v>0.05</v>
      </c>
      <c r="Y43"/>
      <c r="AC43"/>
      <c r="AG43"/>
    </row>
    <row r="44" spans="4:33" ht="15" customHeight="1" x14ac:dyDescent="0.15">
      <c r="D44">
        <v>43</v>
      </c>
      <c r="E44" s="187" t="s">
        <v>233</v>
      </c>
      <c r="F44">
        <v>0.98</v>
      </c>
      <c r="G44">
        <v>0.8</v>
      </c>
      <c r="H44">
        <v>0.8</v>
      </c>
      <c r="I44">
        <v>0</v>
      </c>
      <c r="J44" s="113">
        <v>0</v>
      </c>
      <c r="K44" s="113">
        <v>0</v>
      </c>
      <c r="Y44"/>
      <c r="AC44"/>
      <c r="AG44"/>
    </row>
    <row r="45" spans="4:33" ht="15" customHeight="1" x14ac:dyDescent="0.15">
      <c r="D45">
        <v>44</v>
      </c>
      <c r="E45" s="187" t="s">
        <v>234</v>
      </c>
      <c r="F45">
        <v>0.98</v>
      </c>
      <c r="G45">
        <v>0.8</v>
      </c>
      <c r="H45">
        <v>0</v>
      </c>
      <c r="I45">
        <v>0</v>
      </c>
      <c r="J45" s="113">
        <v>0</v>
      </c>
      <c r="K45" s="113">
        <v>0</v>
      </c>
      <c r="Y45"/>
      <c r="AC45"/>
      <c r="AG45"/>
    </row>
    <row r="46" spans="4:33" ht="15" customHeight="1" x14ac:dyDescent="0.15">
      <c r="D46">
        <v>45</v>
      </c>
      <c r="E46" s="187" t="s">
        <v>235</v>
      </c>
      <c r="F46">
        <v>0.98</v>
      </c>
      <c r="G46">
        <v>0.8</v>
      </c>
      <c r="H46">
        <v>0</v>
      </c>
      <c r="I46">
        <v>0</v>
      </c>
      <c r="J46" s="113">
        <v>0</v>
      </c>
      <c r="K46" s="113">
        <v>0</v>
      </c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T47"/>
  <sheetViews>
    <sheetView workbookViewId="0">
      <selection activeCell="A3" sqref="A3"/>
    </sheetView>
  </sheetViews>
  <sheetFormatPr baseColWidth="10" defaultRowHeight="13" x14ac:dyDescent="0.15"/>
  <cols>
    <col min="1" max="1" width="27.5" style="111" bestFit="1" customWidth="1"/>
    <col min="2" max="43" width="3.83203125" style="111" customWidth="1"/>
    <col min="44" max="46" width="2.33203125" style="111" customWidth="1"/>
    <col min="47" max="16384" width="10.83203125" style="111"/>
  </cols>
  <sheetData>
    <row r="1" spans="1:46" x14ac:dyDescent="0.15">
      <c r="A1" s="63" t="s">
        <v>118</v>
      </c>
      <c r="B1" s="189" t="s">
        <v>191</v>
      </c>
      <c r="C1" s="189" t="s">
        <v>192</v>
      </c>
      <c r="D1" s="189" t="s">
        <v>193</v>
      </c>
      <c r="E1" s="189" t="s">
        <v>194</v>
      </c>
      <c r="F1" s="189" t="s">
        <v>195</v>
      </c>
      <c r="G1" s="189" t="s">
        <v>196</v>
      </c>
      <c r="H1" s="189" t="s">
        <v>197</v>
      </c>
      <c r="I1" s="189" t="s">
        <v>198</v>
      </c>
      <c r="J1" s="189" t="s">
        <v>199</v>
      </c>
      <c r="K1" s="189" t="s">
        <v>200</v>
      </c>
      <c r="L1" s="189" t="s">
        <v>201</v>
      </c>
      <c r="M1" s="189" t="s">
        <v>202</v>
      </c>
      <c r="N1" s="189" t="s">
        <v>203</v>
      </c>
      <c r="O1" s="189" t="s">
        <v>204</v>
      </c>
      <c r="P1" s="189" t="s">
        <v>205</v>
      </c>
      <c r="Q1" s="189" t="s">
        <v>206</v>
      </c>
      <c r="R1" s="189" t="s">
        <v>207</v>
      </c>
      <c r="S1" s="189" t="s">
        <v>208</v>
      </c>
      <c r="T1" s="189" t="s">
        <v>209</v>
      </c>
      <c r="U1" s="189" t="s">
        <v>210</v>
      </c>
      <c r="V1" s="189" t="s">
        <v>211</v>
      </c>
      <c r="W1" s="189" t="s">
        <v>212</v>
      </c>
      <c r="X1" s="189" t="s">
        <v>213</v>
      </c>
      <c r="Y1" s="189" t="s">
        <v>214</v>
      </c>
      <c r="Z1" s="189" t="s">
        <v>215</v>
      </c>
      <c r="AA1" s="189" t="s">
        <v>216</v>
      </c>
      <c r="AB1" s="189" t="s">
        <v>217</v>
      </c>
      <c r="AC1" s="189" t="s">
        <v>218</v>
      </c>
      <c r="AD1" s="189" t="s">
        <v>219</v>
      </c>
      <c r="AE1" s="189" t="s">
        <v>220</v>
      </c>
      <c r="AF1" s="189" t="s">
        <v>221</v>
      </c>
      <c r="AG1" s="189" t="s">
        <v>222</v>
      </c>
      <c r="AH1" s="189" t="s">
        <v>223</v>
      </c>
      <c r="AI1" s="189" t="s">
        <v>224</v>
      </c>
      <c r="AJ1" s="189" t="s">
        <v>225</v>
      </c>
      <c r="AK1" s="189" t="s">
        <v>226</v>
      </c>
      <c r="AL1" s="189" t="s">
        <v>227</v>
      </c>
      <c r="AM1" s="189" t="s">
        <v>228</v>
      </c>
      <c r="AN1" s="189" t="s">
        <v>229</v>
      </c>
      <c r="AO1" s="189" t="s">
        <v>230</v>
      </c>
      <c r="AP1" s="189" t="s">
        <v>231</v>
      </c>
      <c r="AQ1" s="189" t="s">
        <v>232</v>
      </c>
      <c r="AR1" s="189" t="s">
        <v>233</v>
      </c>
      <c r="AS1" s="189" t="s">
        <v>234</v>
      </c>
      <c r="AT1" s="189" t="s">
        <v>235</v>
      </c>
    </row>
    <row r="2" spans="1:46" customFormat="1" x14ac:dyDescent="0.15">
      <c r="A2" s="188" t="s">
        <v>191</v>
      </c>
      <c r="B2" s="111">
        <v>0</v>
      </c>
      <c r="C2" s="111">
        <v>0</v>
      </c>
      <c r="D2" s="111">
        <v>0</v>
      </c>
      <c r="E2" s="111">
        <v>0</v>
      </c>
      <c r="F2" s="111">
        <v>0.8</v>
      </c>
      <c r="G2" s="111">
        <v>0.8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  <c r="AL2" s="111">
        <v>0</v>
      </c>
      <c r="AM2" s="111">
        <v>0</v>
      </c>
      <c r="AN2" s="111">
        <v>0</v>
      </c>
      <c r="AO2" s="111">
        <v>0</v>
      </c>
      <c r="AP2" s="111">
        <v>0</v>
      </c>
      <c r="AQ2" s="111">
        <v>0</v>
      </c>
      <c r="AR2" s="111">
        <v>0</v>
      </c>
      <c r="AS2" s="111">
        <v>0</v>
      </c>
      <c r="AT2" s="111">
        <v>0</v>
      </c>
    </row>
    <row r="3" spans="1:46" customFormat="1" x14ac:dyDescent="0.15">
      <c r="A3" s="188" t="s">
        <v>192</v>
      </c>
      <c r="B3" s="111">
        <v>0</v>
      </c>
      <c r="C3" s="111">
        <v>0.8</v>
      </c>
      <c r="D3" s="111">
        <v>0</v>
      </c>
      <c r="E3" s="111">
        <v>0</v>
      </c>
      <c r="F3" s="111">
        <v>0.8</v>
      </c>
      <c r="G3" s="111">
        <v>0.8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0</v>
      </c>
      <c r="AN3" s="111">
        <v>0</v>
      </c>
      <c r="AO3" s="111">
        <v>0</v>
      </c>
      <c r="AP3" s="111">
        <v>0</v>
      </c>
      <c r="AQ3" s="111">
        <v>0</v>
      </c>
      <c r="AR3" s="111">
        <v>0</v>
      </c>
      <c r="AS3" s="111">
        <v>0</v>
      </c>
      <c r="AT3" s="111">
        <v>0</v>
      </c>
    </row>
    <row r="4" spans="1:46" customFormat="1" x14ac:dyDescent="0.15">
      <c r="A4" s="188" t="s">
        <v>193</v>
      </c>
      <c r="B4" s="111">
        <v>0</v>
      </c>
      <c r="C4" s="111">
        <v>0.8</v>
      </c>
      <c r="D4" s="111">
        <v>0</v>
      </c>
      <c r="E4" s="111">
        <v>0</v>
      </c>
      <c r="F4" s="111">
        <v>0</v>
      </c>
      <c r="G4" s="111">
        <v>0.8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0.8</v>
      </c>
      <c r="W4" s="111">
        <v>0</v>
      </c>
      <c r="X4" s="111">
        <v>0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  <c r="AL4" s="111">
        <v>0</v>
      </c>
      <c r="AM4" s="111">
        <v>0</v>
      </c>
      <c r="AN4" s="111">
        <v>0</v>
      </c>
      <c r="AO4" s="111">
        <v>0</v>
      </c>
      <c r="AP4" s="111">
        <v>0</v>
      </c>
      <c r="AQ4" s="111">
        <v>0</v>
      </c>
      <c r="AR4" s="111">
        <v>0</v>
      </c>
      <c r="AS4" s="111">
        <v>0</v>
      </c>
      <c r="AT4" s="111">
        <v>0</v>
      </c>
    </row>
    <row r="5" spans="1:46" customFormat="1" x14ac:dyDescent="0.15">
      <c r="A5" s="188" t="s">
        <v>194</v>
      </c>
      <c r="B5" s="111">
        <v>0</v>
      </c>
      <c r="C5" s="111">
        <v>0</v>
      </c>
      <c r="D5" s="111">
        <v>0</v>
      </c>
      <c r="E5" s="111">
        <v>0</v>
      </c>
      <c r="F5" s="111">
        <v>0</v>
      </c>
      <c r="G5" s="111">
        <v>0.8</v>
      </c>
      <c r="H5" s="111">
        <v>0</v>
      </c>
      <c r="I5" s="111">
        <v>0</v>
      </c>
      <c r="J5" s="111">
        <v>0</v>
      </c>
      <c r="K5" s="111">
        <v>0</v>
      </c>
      <c r="L5" s="111">
        <v>0</v>
      </c>
      <c r="M5" s="111">
        <v>0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</v>
      </c>
      <c r="AG5" s="111">
        <v>0</v>
      </c>
      <c r="AH5" s="111">
        <v>0</v>
      </c>
      <c r="AI5" s="111">
        <v>0</v>
      </c>
      <c r="AJ5" s="111">
        <v>0</v>
      </c>
      <c r="AK5" s="111">
        <v>0</v>
      </c>
      <c r="AL5" s="111">
        <v>0</v>
      </c>
      <c r="AM5" s="111">
        <v>0</v>
      </c>
      <c r="AN5" s="111">
        <v>0</v>
      </c>
      <c r="AO5" s="111">
        <v>0</v>
      </c>
      <c r="AP5" s="111">
        <v>0</v>
      </c>
      <c r="AQ5" s="111">
        <v>0</v>
      </c>
      <c r="AR5" s="111">
        <v>0</v>
      </c>
      <c r="AS5" s="111">
        <v>0</v>
      </c>
      <c r="AT5" s="111">
        <v>0</v>
      </c>
    </row>
    <row r="6" spans="1:46" customFormat="1" x14ac:dyDescent="0.15">
      <c r="A6" s="188" t="s">
        <v>195</v>
      </c>
      <c r="B6" s="111">
        <v>0</v>
      </c>
      <c r="C6" s="111">
        <v>0</v>
      </c>
      <c r="D6" s="111">
        <v>0</v>
      </c>
      <c r="E6" s="111">
        <v>0</v>
      </c>
      <c r="F6" s="111">
        <v>0</v>
      </c>
      <c r="G6" s="111">
        <v>0.8</v>
      </c>
      <c r="H6" s="111">
        <v>0</v>
      </c>
      <c r="I6" s="111">
        <v>0</v>
      </c>
      <c r="J6" s="111">
        <v>0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  <c r="AL6" s="111">
        <v>0</v>
      </c>
      <c r="AM6" s="111">
        <v>0</v>
      </c>
      <c r="AN6" s="111">
        <v>0</v>
      </c>
      <c r="AO6" s="111">
        <v>0</v>
      </c>
      <c r="AP6" s="111">
        <v>0</v>
      </c>
      <c r="AQ6" s="111">
        <v>0</v>
      </c>
      <c r="AR6" s="111">
        <v>0</v>
      </c>
      <c r="AS6" s="111">
        <v>0</v>
      </c>
      <c r="AT6" s="111">
        <v>0</v>
      </c>
    </row>
    <row r="7" spans="1:46" customFormat="1" x14ac:dyDescent="0.15">
      <c r="A7" s="188" t="s">
        <v>196</v>
      </c>
      <c r="B7" s="111">
        <v>0</v>
      </c>
      <c r="C7" s="111">
        <v>0</v>
      </c>
      <c r="D7" s="111">
        <v>0</v>
      </c>
      <c r="E7" s="111">
        <v>0</v>
      </c>
      <c r="F7" s="111">
        <v>0</v>
      </c>
      <c r="G7" s="111">
        <v>0.8</v>
      </c>
      <c r="H7" s="111">
        <v>0</v>
      </c>
      <c r="I7" s="111">
        <v>0</v>
      </c>
      <c r="J7" s="111">
        <v>0</v>
      </c>
      <c r="K7" s="111">
        <v>0</v>
      </c>
      <c r="L7" s="111">
        <v>0</v>
      </c>
      <c r="M7" s="111">
        <v>0</v>
      </c>
      <c r="N7" s="111">
        <v>0</v>
      </c>
      <c r="O7" s="111">
        <v>0</v>
      </c>
      <c r="P7" s="111">
        <v>0</v>
      </c>
      <c r="Q7" s="111">
        <v>0</v>
      </c>
      <c r="R7" s="111">
        <v>0</v>
      </c>
      <c r="S7" s="111">
        <v>0</v>
      </c>
      <c r="T7" s="111">
        <v>0</v>
      </c>
      <c r="U7" s="111">
        <v>0</v>
      </c>
      <c r="V7" s="111">
        <v>0.8</v>
      </c>
      <c r="W7" s="111">
        <v>0</v>
      </c>
      <c r="X7" s="111">
        <v>0</v>
      </c>
      <c r="Y7" s="111">
        <v>0</v>
      </c>
      <c r="Z7" s="111">
        <v>0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  <c r="AF7" s="111">
        <v>0</v>
      </c>
      <c r="AG7" s="111">
        <v>0</v>
      </c>
      <c r="AH7" s="111">
        <v>0</v>
      </c>
      <c r="AI7" s="111">
        <v>0</v>
      </c>
      <c r="AJ7" s="111">
        <v>0</v>
      </c>
      <c r="AK7" s="111">
        <v>0</v>
      </c>
      <c r="AL7" s="111">
        <v>0</v>
      </c>
      <c r="AM7" s="111">
        <v>0</v>
      </c>
      <c r="AN7" s="111">
        <v>0</v>
      </c>
      <c r="AO7" s="111">
        <v>0</v>
      </c>
      <c r="AP7" s="111">
        <v>0</v>
      </c>
      <c r="AQ7" s="111">
        <v>0</v>
      </c>
      <c r="AR7" s="111">
        <v>0</v>
      </c>
      <c r="AS7" s="111">
        <v>0</v>
      </c>
      <c r="AT7" s="111">
        <v>0</v>
      </c>
    </row>
    <row r="8" spans="1:46" customFormat="1" x14ac:dyDescent="0.15">
      <c r="A8" s="188" t="s">
        <v>197</v>
      </c>
      <c r="B8" s="111">
        <v>0</v>
      </c>
      <c r="C8" s="111">
        <v>0</v>
      </c>
      <c r="D8" s="111">
        <v>0</v>
      </c>
      <c r="E8" s="111">
        <v>0</v>
      </c>
      <c r="F8" s="111">
        <v>0.8</v>
      </c>
      <c r="G8" s="111">
        <v>0.8</v>
      </c>
      <c r="H8" s="111">
        <v>0</v>
      </c>
      <c r="I8" s="111">
        <v>0</v>
      </c>
      <c r="J8" s="111">
        <v>0.8</v>
      </c>
      <c r="K8" s="111">
        <v>0</v>
      </c>
      <c r="L8" s="111">
        <v>0</v>
      </c>
      <c r="M8" s="111">
        <v>0</v>
      </c>
      <c r="N8" s="111">
        <v>0</v>
      </c>
      <c r="O8" s="111">
        <v>0</v>
      </c>
      <c r="P8" s="111">
        <v>0</v>
      </c>
      <c r="Q8" s="111">
        <v>0</v>
      </c>
      <c r="R8" s="111">
        <v>0</v>
      </c>
      <c r="S8" s="111">
        <v>0</v>
      </c>
      <c r="T8" s="111">
        <v>0</v>
      </c>
      <c r="U8" s="111">
        <v>0</v>
      </c>
      <c r="V8" s="111">
        <v>0</v>
      </c>
      <c r="W8" s="111">
        <v>0</v>
      </c>
      <c r="X8" s="111">
        <v>0</v>
      </c>
      <c r="Y8" s="111">
        <v>0</v>
      </c>
      <c r="Z8" s="111">
        <v>0</v>
      </c>
      <c r="AA8" s="111">
        <v>0</v>
      </c>
      <c r="AB8" s="111">
        <v>0</v>
      </c>
      <c r="AC8" s="111">
        <v>0</v>
      </c>
      <c r="AD8" s="111">
        <v>0</v>
      </c>
      <c r="AE8" s="111">
        <v>0</v>
      </c>
      <c r="AF8" s="111">
        <v>0</v>
      </c>
      <c r="AG8" s="111">
        <v>0</v>
      </c>
      <c r="AH8" s="111">
        <v>0</v>
      </c>
      <c r="AI8" s="111">
        <v>0</v>
      </c>
      <c r="AJ8" s="111">
        <v>0</v>
      </c>
      <c r="AK8" s="111">
        <v>0</v>
      </c>
      <c r="AL8" s="111">
        <v>0</v>
      </c>
      <c r="AM8" s="111">
        <v>0</v>
      </c>
      <c r="AN8" s="111">
        <v>0</v>
      </c>
      <c r="AO8" s="111">
        <v>0</v>
      </c>
      <c r="AP8" s="111">
        <v>0</v>
      </c>
      <c r="AQ8" s="111">
        <v>0</v>
      </c>
      <c r="AR8" s="111">
        <v>0</v>
      </c>
      <c r="AS8" s="111">
        <v>0</v>
      </c>
      <c r="AT8" s="111">
        <v>0</v>
      </c>
    </row>
    <row r="9" spans="1:46" customFormat="1" x14ac:dyDescent="0.15">
      <c r="A9" s="188" t="s">
        <v>198</v>
      </c>
      <c r="B9" s="111">
        <v>0</v>
      </c>
      <c r="C9" s="111">
        <v>0</v>
      </c>
      <c r="D9" s="111">
        <v>0</v>
      </c>
      <c r="E9" s="111">
        <v>0</v>
      </c>
      <c r="F9" s="111">
        <v>0.8</v>
      </c>
      <c r="G9" s="111">
        <v>0.8</v>
      </c>
      <c r="H9" s="111">
        <v>0</v>
      </c>
      <c r="I9" s="111">
        <v>0</v>
      </c>
      <c r="J9" s="111">
        <v>0</v>
      </c>
      <c r="K9" s="111">
        <v>0</v>
      </c>
      <c r="L9" s="111">
        <v>0</v>
      </c>
      <c r="M9" s="111">
        <v>0.8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  <c r="AF9" s="111">
        <v>0</v>
      </c>
      <c r="AG9" s="111">
        <v>0</v>
      </c>
      <c r="AH9" s="111">
        <v>0</v>
      </c>
      <c r="AI9" s="111">
        <v>0</v>
      </c>
      <c r="AJ9" s="111">
        <v>0</v>
      </c>
      <c r="AK9" s="111">
        <v>0</v>
      </c>
      <c r="AL9" s="111">
        <v>0</v>
      </c>
      <c r="AM9" s="111">
        <v>0</v>
      </c>
      <c r="AN9" s="111">
        <v>0</v>
      </c>
      <c r="AO9" s="111">
        <v>0</v>
      </c>
      <c r="AP9" s="111">
        <v>0</v>
      </c>
      <c r="AQ9" s="111">
        <v>0</v>
      </c>
      <c r="AR9" s="111">
        <v>0</v>
      </c>
      <c r="AS9" s="111">
        <v>0</v>
      </c>
      <c r="AT9" s="111">
        <v>0</v>
      </c>
    </row>
    <row r="10" spans="1:46" customFormat="1" x14ac:dyDescent="0.15">
      <c r="A10" s="188" t="s">
        <v>199</v>
      </c>
      <c r="B10" s="111">
        <v>0</v>
      </c>
      <c r="C10" s="111">
        <v>0</v>
      </c>
      <c r="D10" s="111">
        <v>0</v>
      </c>
      <c r="E10" s="111">
        <v>0</v>
      </c>
      <c r="F10" s="111">
        <v>0</v>
      </c>
      <c r="G10" s="111">
        <v>0.8</v>
      </c>
      <c r="H10" s="111">
        <v>0</v>
      </c>
      <c r="I10" s="111">
        <v>0</v>
      </c>
      <c r="J10" s="111">
        <v>0</v>
      </c>
      <c r="K10" s="111">
        <v>0</v>
      </c>
      <c r="L10" s="111">
        <v>0.8</v>
      </c>
      <c r="M10" s="111">
        <v>0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  <c r="AT10" s="111">
        <v>0</v>
      </c>
    </row>
    <row r="11" spans="1:46" customFormat="1" x14ac:dyDescent="0.15">
      <c r="A11" s="188" t="s">
        <v>200</v>
      </c>
      <c r="B11" s="111">
        <v>0</v>
      </c>
      <c r="C11" s="111">
        <v>0</v>
      </c>
      <c r="D11" s="111">
        <v>0</v>
      </c>
      <c r="E11" s="111">
        <v>0</v>
      </c>
      <c r="F11" s="111">
        <v>0</v>
      </c>
      <c r="G11" s="111">
        <v>0.8</v>
      </c>
      <c r="H11" s="111">
        <v>0</v>
      </c>
      <c r="I11" s="111">
        <v>0</v>
      </c>
      <c r="J11" s="111">
        <v>0</v>
      </c>
      <c r="K11" s="111">
        <v>0</v>
      </c>
      <c r="L11" s="111">
        <v>0.8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1">
        <v>0</v>
      </c>
      <c r="U11" s="111">
        <v>0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0</v>
      </c>
      <c r="AF11" s="111">
        <v>0</v>
      </c>
      <c r="AG11" s="111">
        <v>0</v>
      </c>
      <c r="AH11" s="111">
        <v>0</v>
      </c>
      <c r="AI11" s="111">
        <v>0</v>
      </c>
      <c r="AJ11" s="111">
        <v>0</v>
      </c>
      <c r="AK11" s="111">
        <v>0</v>
      </c>
      <c r="AL11" s="111">
        <v>0</v>
      </c>
      <c r="AM11" s="111">
        <v>0</v>
      </c>
      <c r="AN11" s="111">
        <v>0</v>
      </c>
      <c r="AO11" s="111">
        <v>0</v>
      </c>
      <c r="AP11" s="111">
        <v>0</v>
      </c>
      <c r="AQ11" s="111">
        <v>0</v>
      </c>
      <c r="AR11" s="111">
        <v>0</v>
      </c>
      <c r="AS11" s="111">
        <v>0</v>
      </c>
      <c r="AT11" s="111">
        <v>0</v>
      </c>
    </row>
    <row r="12" spans="1:46" customFormat="1" x14ac:dyDescent="0.15">
      <c r="A12" s="188" t="s">
        <v>201</v>
      </c>
      <c r="B12" s="111">
        <v>0</v>
      </c>
      <c r="C12" s="111">
        <v>0</v>
      </c>
      <c r="D12" s="111">
        <v>0</v>
      </c>
      <c r="E12" s="111">
        <v>0.8</v>
      </c>
      <c r="F12" s="111">
        <v>0.8</v>
      </c>
      <c r="G12" s="111">
        <v>0.8</v>
      </c>
      <c r="H12" s="111">
        <v>0</v>
      </c>
      <c r="I12" s="111">
        <v>0</v>
      </c>
      <c r="J12" s="111">
        <v>0.8</v>
      </c>
      <c r="K12" s="111">
        <v>0</v>
      </c>
      <c r="L12" s="111">
        <v>0.8</v>
      </c>
      <c r="M12" s="111">
        <v>0.8</v>
      </c>
      <c r="N12" s="111">
        <v>0</v>
      </c>
      <c r="O12" s="111">
        <v>0</v>
      </c>
      <c r="P12" s="111">
        <v>0</v>
      </c>
      <c r="Q12" s="111">
        <v>0</v>
      </c>
      <c r="R12" s="111">
        <v>0</v>
      </c>
      <c r="S12" s="111">
        <v>0</v>
      </c>
      <c r="T12" s="111">
        <v>0.8</v>
      </c>
      <c r="U12" s="111">
        <v>0</v>
      </c>
      <c r="V12" s="111">
        <v>0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  <c r="AL12" s="111">
        <v>0</v>
      </c>
      <c r="AM12" s="111">
        <v>0</v>
      </c>
      <c r="AN12" s="111">
        <v>0</v>
      </c>
      <c r="AO12" s="111">
        <v>0</v>
      </c>
      <c r="AP12" s="111">
        <v>0</v>
      </c>
      <c r="AQ12" s="111">
        <v>0</v>
      </c>
      <c r="AR12" s="111">
        <v>0</v>
      </c>
      <c r="AS12" s="111">
        <v>0</v>
      </c>
      <c r="AT12" s="111">
        <v>0</v>
      </c>
    </row>
    <row r="13" spans="1:46" customFormat="1" x14ac:dyDescent="0.15">
      <c r="A13" s="188" t="s">
        <v>202</v>
      </c>
      <c r="B13" s="111">
        <v>0</v>
      </c>
      <c r="C13" s="111">
        <v>0</v>
      </c>
      <c r="D13" s="111">
        <v>0</v>
      </c>
      <c r="E13" s="111">
        <v>0</v>
      </c>
      <c r="F13" s="111">
        <v>0</v>
      </c>
      <c r="G13" s="111">
        <v>0.8</v>
      </c>
      <c r="H13" s="111">
        <v>0</v>
      </c>
      <c r="I13" s="111">
        <v>0</v>
      </c>
      <c r="J13" s="111">
        <v>0</v>
      </c>
      <c r="K13" s="111">
        <v>0.8</v>
      </c>
      <c r="L13" s="111">
        <v>0.8</v>
      </c>
      <c r="M13" s="111">
        <v>0.8</v>
      </c>
      <c r="N13" s="111">
        <v>0</v>
      </c>
      <c r="O13" s="111">
        <v>0</v>
      </c>
      <c r="P13" s="111">
        <v>0</v>
      </c>
      <c r="Q13" s="111">
        <v>0</v>
      </c>
      <c r="R13" s="111">
        <v>0</v>
      </c>
      <c r="S13" s="111">
        <v>0</v>
      </c>
      <c r="T13" s="111">
        <v>0</v>
      </c>
      <c r="U13" s="111">
        <v>0</v>
      </c>
      <c r="V13" s="111">
        <v>0</v>
      </c>
      <c r="W13" s="111">
        <v>0</v>
      </c>
      <c r="X13" s="111">
        <v>0</v>
      </c>
      <c r="Y13" s="111">
        <v>0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  <c r="AF13" s="111">
        <v>0</v>
      </c>
      <c r="AG13" s="111">
        <v>0</v>
      </c>
      <c r="AH13" s="111">
        <v>0</v>
      </c>
      <c r="AI13" s="111">
        <v>0</v>
      </c>
      <c r="AJ13" s="111">
        <v>0</v>
      </c>
      <c r="AK13" s="111">
        <v>0</v>
      </c>
      <c r="AL13" s="111">
        <v>0</v>
      </c>
      <c r="AM13" s="111">
        <v>0</v>
      </c>
      <c r="AN13" s="111">
        <v>0</v>
      </c>
      <c r="AO13" s="111">
        <v>0</v>
      </c>
      <c r="AP13" s="111">
        <v>0</v>
      </c>
      <c r="AQ13" s="111">
        <v>0</v>
      </c>
      <c r="AR13" s="111">
        <v>0</v>
      </c>
      <c r="AS13" s="111">
        <v>0</v>
      </c>
      <c r="AT13" s="111">
        <v>0</v>
      </c>
    </row>
    <row r="14" spans="1:46" customFormat="1" x14ac:dyDescent="0.15">
      <c r="A14" s="188" t="s">
        <v>203</v>
      </c>
      <c r="B14" s="111">
        <v>0</v>
      </c>
      <c r="C14" s="111">
        <v>0</v>
      </c>
      <c r="D14" s="111">
        <v>0</v>
      </c>
      <c r="E14" s="111">
        <v>0</v>
      </c>
      <c r="F14" s="111">
        <v>0.8</v>
      </c>
      <c r="G14" s="111">
        <v>0.8</v>
      </c>
      <c r="H14" s="111">
        <v>0.8</v>
      </c>
      <c r="I14" s="111">
        <v>0</v>
      </c>
      <c r="J14" s="111">
        <v>0</v>
      </c>
      <c r="K14" s="111">
        <v>0.8</v>
      </c>
      <c r="L14" s="111">
        <v>0.8</v>
      </c>
      <c r="M14" s="111">
        <v>0</v>
      </c>
      <c r="N14" s="111">
        <v>0</v>
      </c>
      <c r="O14" s="111">
        <v>0</v>
      </c>
      <c r="P14" s="111">
        <v>0</v>
      </c>
      <c r="Q14" s="111">
        <v>0</v>
      </c>
      <c r="R14" s="111">
        <v>0</v>
      </c>
      <c r="S14" s="111">
        <v>0</v>
      </c>
      <c r="T14" s="111">
        <v>0</v>
      </c>
      <c r="U14" s="111">
        <v>0.8</v>
      </c>
      <c r="V14" s="111">
        <v>0.8</v>
      </c>
      <c r="W14" s="111">
        <v>0</v>
      </c>
      <c r="X14" s="111">
        <v>0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</v>
      </c>
      <c r="AG14" s="111">
        <v>0</v>
      </c>
      <c r="AH14" s="111">
        <v>0</v>
      </c>
      <c r="AI14" s="111">
        <v>0</v>
      </c>
      <c r="AJ14" s="111">
        <v>0</v>
      </c>
      <c r="AK14" s="111">
        <v>0</v>
      </c>
      <c r="AL14" s="111">
        <v>0</v>
      </c>
      <c r="AM14" s="111">
        <v>0.8</v>
      </c>
      <c r="AN14" s="111">
        <v>0</v>
      </c>
      <c r="AO14" s="111">
        <v>0</v>
      </c>
      <c r="AP14" s="111">
        <v>0</v>
      </c>
      <c r="AQ14" s="111">
        <v>0</v>
      </c>
      <c r="AR14" s="111">
        <v>0</v>
      </c>
      <c r="AS14" s="111">
        <v>0</v>
      </c>
      <c r="AT14" s="111">
        <v>0</v>
      </c>
    </row>
    <row r="15" spans="1:46" customFormat="1" x14ac:dyDescent="0.15">
      <c r="A15" s="188" t="s">
        <v>204</v>
      </c>
      <c r="B15" s="111">
        <v>0.8</v>
      </c>
      <c r="C15" s="111">
        <v>0.8</v>
      </c>
      <c r="D15" s="111">
        <v>0</v>
      </c>
      <c r="E15" s="111">
        <v>0.8</v>
      </c>
      <c r="F15" s="111">
        <v>0.8</v>
      </c>
      <c r="G15" s="111">
        <v>0.8</v>
      </c>
      <c r="H15" s="111">
        <v>0.8</v>
      </c>
      <c r="I15" s="111">
        <v>0.8</v>
      </c>
      <c r="J15" s="111">
        <v>0.8</v>
      </c>
      <c r="K15" s="111">
        <v>0.8</v>
      </c>
      <c r="L15" s="111">
        <v>0.8</v>
      </c>
      <c r="M15" s="111">
        <v>0.8</v>
      </c>
      <c r="N15" s="111">
        <v>0.8</v>
      </c>
      <c r="O15" s="111">
        <v>0.8</v>
      </c>
      <c r="P15" s="111">
        <v>0.8</v>
      </c>
      <c r="Q15" s="111">
        <v>0</v>
      </c>
      <c r="R15" s="111">
        <v>0</v>
      </c>
      <c r="S15" s="111">
        <v>0.8</v>
      </c>
      <c r="T15" s="111">
        <v>0.8</v>
      </c>
      <c r="U15" s="111">
        <v>0</v>
      </c>
      <c r="V15" s="111">
        <v>0.8</v>
      </c>
      <c r="W15" s="111">
        <v>0</v>
      </c>
      <c r="X15" s="111">
        <v>0.8</v>
      </c>
      <c r="Y15" s="111">
        <v>0</v>
      </c>
      <c r="Z15" s="111">
        <v>0</v>
      </c>
      <c r="AA15" s="111">
        <v>0</v>
      </c>
      <c r="AB15" s="111">
        <v>0</v>
      </c>
      <c r="AC15" s="111">
        <v>0.8</v>
      </c>
      <c r="AD15" s="111">
        <v>0</v>
      </c>
      <c r="AE15" s="111">
        <v>0.8</v>
      </c>
      <c r="AF15" s="111">
        <v>0.8</v>
      </c>
      <c r="AG15" s="111">
        <v>0.8</v>
      </c>
      <c r="AH15" s="111">
        <v>0</v>
      </c>
      <c r="AI15" s="111">
        <v>0</v>
      </c>
      <c r="AJ15" s="111">
        <v>0</v>
      </c>
      <c r="AK15" s="111">
        <v>0.8</v>
      </c>
      <c r="AL15" s="111">
        <v>0</v>
      </c>
      <c r="AM15" s="111">
        <v>0.8</v>
      </c>
      <c r="AN15" s="111">
        <v>0</v>
      </c>
      <c r="AO15" s="111">
        <v>0</v>
      </c>
      <c r="AP15" s="111">
        <v>0</v>
      </c>
      <c r="AQ15" s="111">
        <v>0</v>
      </c>
      <c r="AR15" s="111">
        <v>0</v>
      </c>
      <c r="AS15" s="111">
        <v>0</v>
      </c>
      <c r="AT15" s="111">
        <v>0</v>
      </c>
    </row>
    <row r="16" spans="1:46" customFormat="1" x14ac:dyDescent="0.15">
      <c r="A16" s="188" t="s">
        <v>205</v>
      </c>
      <c r="B16" s="111">
        <v>0.8</v>
      </c>
      <c r="C16" s="111">
        <v>0.8</v>
      </c>
      <c r="D16" s="111">
        <v>0</v>
      </c>
      <c r="E16" s="111">
        <v>0.8</v>
      </c>
      <c r="F16" s="111">
        <v>0</v>
      </c>
      <c r="G16" s="111">
        <v>0.8</v>
      </c>
      <c r="H16" s="111">
        <v>0.8</v>
      </c>
      <c r="I16" s="111">
        <v>0</v>
      </c>
      <c r="J16" s="111">
        <v>0.8</v>
      </c>
      <c r="K16" s="111">
        <v>0.8</v>
      </c>
      <c r="L16" s="111">
        <v>0.8</v>
      </c>
      <c r="M16" s="111">
        <v>0.8</v>
      </c>
      <c r="N16" s="111">
        <v>0.8</v>
      </c>
      <c r="O16" s="111">
        <v>0</v>
      </c>
      <c r="P16" s="111">
        <v>0</v>
      </c>
      <c r="Q16" s="111">
        <v>0</v>
      </c>
      <c r="R16" s="111">
        <v>0</v>
      </c>
      <c r="S16" s="111">
        <v>0</v>
      </c>
      <c r="T16" s="111">
        <v>0</v>
      </c>
      <c r="U16" s="111">
        <v>0</v>
      </c>
      <c r="V16" s="111">
        <v>0.8</v>
      </c>
      <c r="W16" s="111">
        <v>0</v>
      </c>
      <c r="X16" s="111">
        <v>0</v>
      </c>
      <c r="Y16" s="111">
        <v>0</v>
      </c>
      <c r="Z16" s="111">
        <v>0</v>
      </c>
      <c r="AA16" s="111">
        <v>0</v>
      </c>
      <c r="AB16" s="111">
        <v>0</v>
      </c>
      <c r="AC16" s="111">
        <v>0</v>
      </c>
      <c r="AD16" s="111">
        <v>0</v>
      </c>
      <c r="AE16" s="111">
        <v>0</v>
      </c>
      <c r="AF16" s="111">
        <v>0</v>
      </c>
      <c r="AG16" s="111">
        <v>0</v>
      </c>
      <c r="AH16" s="111">
        <v>0</v>
      </c>
      <c r="AI16" s="111">
        <v>0</v>
      </c>
      <c r="AJ16" s="111">
        <v>0</v>
      </c>
      <c r="AK16" s="111">
        <v>0</v>
      </c>
      <c r="AL16" s="111">
        <v>0</v>
      </c>
      <c r="AM16" s="111">
        <v>0.8</v>
      </c>
      <c r="AN16" s="111">
        <v>0</v>
      </c>
      <c r="AO16" s="111">
        <v>0</v>
      </c>
      <c r="AP16" s="111">
        <v>0</v>
      </c>
      <c r="AQ16" s="111">
        <v>0</v>
      </c>
      <c r="AR16" s="111">
        <v>0</v>
      </c>
      <c r="AS16" s="111">
        <v>0</v>
      </c>
      <c r="AT16" s="111">
        <v>0</v>
      </c>
    </row>
    <row r="17" spans="1:46" customFormat="1" x14ac:dyDescent="0.15">
      <c r="A17" s="188" t="s">
        <v>206</v>
      </c>
      <c r="B17" s="111">
        <v>0</v>
      </c>
      <c r="C17" s="111">
        <v>0.8</v>
      </c>
      <c r="D17" s="111">
        <v>0</v>
      </c>
      <c r="E17" s="111">
        <v>0.8</v>
      </c>
      <c r="F17" s="111">
        <v>0</v>
      </c>
      <c r="G17" s="111">
        <v>0.8</v>
      </c>
      <c r="H17" s="111">
        <v>0</v>
      </c>
      <c r="I17" s="111">
        <v>0</v>
      </c>
      <c r="J17" s="111">
        <v>0</v>
      </c>
      <c r="K17" s="111">
        <v>0.8</v>
      </c>
      <c r="L17" s="111">
        <v>0.8</v>
      </c>
      <c r="M17" s="111">
        <v>0</v>
      </c>
      <c r="N17" s="111">
        <v>0.8</v>
      </c>
      <c r="O17" s="111">
        <v>0</v>
      </c>
      <c r="P17" s="111">
        <v>0</v>
      </c>
      <c r="Q17" s="111">
        <v>0</v>
      </c>
      <c r="R17" s="111">
        <v>0</v>
      </c>
      <c r="S17" s="111">
        <v>0.8</v>
      </c>
      <c r="T17" s="111">
        <v>0</v>
      </c>
      <c r="U17" s="111">
        <v>0.8</v>
      </c>
      <c r="V17" s="111">
        <v>0</v>
      </c>
      <c r="W17" s="111">
        <v>0</v>
      </c>
      <c r="X17" s="111">
        <v>0</v>
      </c>
      <c r="Y17" s="111">
        <v>0.8</v>
      </c>
      <c r="Z17" s="111">
        <v>0</v>
      </c>
      <c r="AA17" s="111">
        <v>0</v>
      </c>
      <c r="AB17" s="111">
        <v>0.8</v>
      </c>
      <c r="AC17" s="111">
        <v>0</v>
      </c>
      <c r="AD17" s="111">
        <v>0</v>
      </c>
      <c r="AE17" s="111">
        <v>0</v>
      </c>
      <c r="AF17" s="111">
        <v>0.8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  <c r="AL17" s="111">
        <v>0</v>
      </c>
      <c r="AM17" s="111">
        <v>0</v>
      </c>
      <c r="AN17" s="111">
        <v>0</v>
      </c>
      <c r="AO17" s="111">
        <v>0</v>
      </c>
      <c r="AP17" s="111">
        <v>0</v>
      </c>
      <c r="AQ17" s="111">
        <v>0</v>
      </c>
      <c r="AR17" s="111">
        <v>0</v>
      </c>
      <c r="AS17" s="111">
        <v>0</v>
      </c>
      <c r="AT17" s="111">
        <v>0</v>
      </c>
    </row>
    <row r="18" spans="1:46" customFormat="1" x14ac:dyDescent="0.15">
      <c r="A18" s="188" t="s">
        <v>207</v>
      </c>
      <c r="B18" s="111">
        <v>0.8</v>
      </c>
      <c r="C18" s="111">
        <v>0.8</v>
      </c>
      <c r="D18" s="111">
        <v>0</v>
      </c>
      <c r="E18" s="111">
        <v>0.8</v>
      </c>
      <c r="F18" s="111">
        <v>0.8</v>
      </c>
      <c r="G18" s="111">
        <v>0.8</v>
      </c>
      <c r="H18" s="111">
        <v>0.8</v>
      </c>
      <c r="I18" s="111">
        <v>0.8</v>
      </c>
      <c r="J18" s="111">
        <v>0</v>
      </c>
      <c r="K18" s="111">
        <v>0.8</v>
      </c>
      <c r="L18" s="111">
        <v>0.8</v>
      </c>
      <c r="M18" s="111">
        <v>0.8</v>
      </c>
      <c r="N18" s="111">
        <v>0.8</v>
      </c>
      <c r="O18" s="111">
        <v>0</v>
      </c>
      <c r="P18" s="111">
        <v>0.8</v>
      </c>
      <c r="Q18" s="111">
        <v>0</v>
      </c>
      <c r="R18" s="111">
        <v>0</v>
      </c>
      <c r="S18" s="111">
        <v>0.8</v>
      </c>
      <c r="T18" s="111">
        <v>0.8</v>
      </c>
      <c r="U18" s="111">
        <v>0</v>
      </c>
      <c r="V18" s="111">
        <v>0.8</v>
      </c>
      <c r="W18" s="111">
        <v>0</v>
      </c>
      <c r="X18" s="111">
        <v>0</v>
      </c>
      <c r="Y18" s="111">
        <v>0</v>
      </c>
      <c r="Z18" s="111">
        <v>0</v>
      </c>
      <c r="AA18" s="111">
        <v>0</v>
      </c>
      <c r="AB18" s="111">
        <v>0</v>
      </c>
      <c r="AC18" s="111">
        <v>0.8</v>
      </c>
      <c r="AD18" s="111">
        <v>0</v>
      </c>
      <c r="AE18" s="111">
        <v>0.8</v>
      </c>
      <c r="AF18" s="111">
        <v>0</v>
      </c>
      <c r="AG18" s="111">
        <v>0.8</v>
      </c>
      <c r="AH18" s="111">
        <v>0</v>
      </c>
      <c r="AI18" s="111">
        <v>0.8</v>
      </c>
      <c r="AJ18" s="111">
        <v>0</v>
      </c>
      <c r="AK18" s="111">
        <v>0.8</v>
      </c>
      <c r="AL18" s="111">
        <v>0</v>
      </c>
      <c r="AM18" s="111">
        <v>0.8</v>
      </c>
      <c r="AN18" s="111">
        <v>0</v>
      </c>
      <c r="AO18" s="111">
        <v>0</v>
      </c>
      <c r="AP18" s="111">
        <v>0</v>
      </c>
      <c r="AQ18" s="111">
        <v>0</v>
      </c>
      <c r="AR18" s="111">
        <v>0</v>
      </c>
      <c r="AS18" s="111">
        <v>0</v>
      </c>
      <c r="AT18" s="111">
        <v>0</v>
      </c>
    </row>
    <row r="19" spans="1:46" customFormat="1" x14ac:dyDescent="0.15">
      <c r="A19" s="188" t="s">
        <v>208</v>
      </c>
      <c r="B19" s="111">
        <v>0</v>
      </c>
      <c r="C19" s="111">
        <v>0</v>
      </c>
      <c r="D19" s="111">
        <v>0</v>
      </c>
      <c r="E19" s="111">
        <v>0</v>
      </c>
      <c r="F19" s="111">
        <v>0</v>
      </c>
      <c r="G19" s="111">
        <v>0.8</v>
      </c>
      <c r="H19" s="111">
        <v>0</v>
      </c>
      <c r="I19" s="111">
        <v>0.8</v>
      </c>
      <c r="J19" s="111">
        <v>0</v>
      </c>
      <c r="K19" s="111">
        <v>0</v>
      </c>
      <c r="L19" s="111">
        <v>0</v>
      </c>
      <c r="M19" s="111">
        <v>0</v>
      </c>
      <c r="N19" s="111">
        <v>0</v>
      </c>
      <c r="O19" s="111">
        <v>0</v>
      </c>
      <c r="P19" s="111">
        <v>0</v>
      </c>
      <c r="Q19" s="111">
        <v>0</v>
      </c>
      <c r="R19" s="111">
        <v>0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0</v>
      </c>
      <c r="Y19" s="111">
        <v>0</v>
      </c>
      <c r="Z19" s="111">
        <v>0</v>
      </c>
      <c r="AA19" s="111">
        <v>0</v>
      </c>
      <c r="AB19" s="111">
        <v>0</v>
      </c>
      <c r="AC19" s="111">
        <v>0</v>
      </c>
      <c r="AD19" s="111">
        <v>0</v>
      </c>
      <c r="AE19" s="111">
        <v>0</v>
      </c>
      <c r="AF19" s="111">
        <v>0</v>
      </c>
      <c r="AG19" s="111">
        <v>0</v>
      </c>
      <c r="AH19" s="111">
        <v>0</v>
      </c>
      <c r="AI19" s="111">
        <v>0</v>
      </c>
      <c r="AJ19" s="111">
        <v>0</v>
      </c>
      <c r="AK19" s="111">
        <v>0</v>
      </c>
      <c r="AL19" s="111">
        <v>0</v>
      </c>
      <c r="AM19" s="111">
        <v>0</v>
      </c>
      <c r="AN19" s="111">
        <v>0</v>
      </c>
      <c r="AO19" s="111">
        <v>0</v>
      </c>
      <c r="AP19" s="111">
        <v>0</v>
      </c>
      <c r="AQ19" s="111">
        <v>0</v>
      </c>
      <c r="AR19" s="111">
        <v>0</v>
      </c>
      <c r="AS19" s="111">
        <v>0</v>
      </c>
      <c r="AT19" s="111">
        <v>0</v>
      </c>
    </row>
    <row r="20" spans="1:46" customFormat="1" x14ac:dyDescent="0.15">
      <c r="A20" s="188" t="s">
        <v>209</v>
      </c>
      <c r="B20" s="111">
        <v>0</v>
      </c>
      <c r="C20" s="111">
        <v>0</v>
      </c>
      <c r="D20" s="111">
        <v>0</v>
      </c>
      <c r="E20" s="111">
        <v>0</v>
      </c>
      <c r="F20" s="111">
        <v>0</v>
      </c>
      <c r="G20" s="111">
        <v>0.8</v>
      </c>
      <c r="H20" s="111">
        <v>0</v>
      </c>
      <c r="I20" s="111">
        <v>0.8</v>
      </c>
      <c r="J20" s="111">
        <v>0</v>
      </c>
      <c r="K20" s="111">
        <v>0</v>
      </c>
      <c r="L20" s="111">
        <v>0</v>
      </c>
      <c r="M20" s="111">
        <v>0</v>
      </c>
      <c r="N20" s="111">
        <v>0</v>
      </c>
      <c r="O20" s="111">
        <v>0</v>
      </c>
      <c r="P20" s="111">
        <v>0</v>
      </c>
      <c r="Q20" s="111">
        <v>0</v>
      </c>
      <c r="R20" s="111">
        <v>0</v>
      </c>
      <c r="S20" s="111">
        <v>0</v>
      </c>
      <c r="T20" s="111">
        <v>0.8</v>
      </c>
      <c r="U20" s="111">
        <v>0</v>
      </c>
      <c r="V20" s="111">
        <v>0</v>
      </c>
      <c r="W20" s="111">
        <v>0</v>
      </c>
      <c r="X20" s="111">
        <v>0</v>
      </c>
      <c r="Y20" s="111">
        <v>0</v>
      </c>
      <c r="Z20" s="111">
        <v>0</v>
      </c>
      <c r="AA20" s="111">
        <v>0</v>
      </c>
      <c r="AB20" s="111">
        <v>0</v>
      </c>
      <c r="AC20" s="111">
        <v>0</v>
      </c>
      <c r="AD20" s="111">
        <v>0</v>
      </c>
      <c r="AE20" s="111">
        <v>0</v>
      </c>
      <c r="AF20" s="111">
        <v>0</v>
      </c>
      <c r="AG20" s="111">
        <v>0</v>
      </c>
      <c r="AH20" s="111">
        <v>0</v>
      </c>
      <c r="AI20" s="111">
        <v>0</v>
      </c>
      <c r="AJ20" s="111">
        <v>0</v>
      </c>
      <c r="AK20" s="111">
        <v>0</v>
      </c>
      <c r="AL20" s="111">
        <v>0</v>
      </c>
      <c r="AM20" s="111">
        <v>0</v>
      </c>
      <c r="AN20" s="111">
        <v>0</v>
      </c>
      <c r="AO20" s="111">
        <v>0</v>
      </c>
      <c r="AP20" s="111">
        <v>0</v>
      </c>
      <c r="AQ20" s="111">
        <v>0</v>
      </c>
      <c r="AR20" s="111">
        <v>0</v>
      </c>
      <c r="AS20" s="111">
        <v>0</v>
      </c>
      <c r="AT20" s="111">
        <v>0</v>
      </c>
    </row>
    <row r="21" spans="1:46" customFormat="1" x14ac:dyDescent="0.15">
      <c r="A21" s="188" t="s">
        <v>210</v>
      </c>
      <c r="B21" s="111">
        <v>0</v>
      </c>
      <c r="C21" s="111">
        <v>0</v>
      </c>
      <c r="D21" s="111">
        <v>0</v>
      </c>
      <c r="E21" s="111">
        <v>0</v>
      </c>
      <c r="F21" s="111">
        <v>0</v>
      </c>
      <c r="G21" s="111">
        <v>0.8</v>
      </c>
      <c r="H21" s="111">
        <v>0</v>
      </c>
      <c r="I21" s="111">
        <v>0</v>
      </c>
      <c r="J21" s="111">
        <v>0</v>
      </c>
      <c r="K21" s="111">
        <v>0</v>
      </c>
      <c r="L21" s="111">
        <v>0</v>
      </c>
      <c r="M21" s="111">
        <v>0</v>
      </c>
      <c r="N21" s="111">
        <v>0</v>
      </c>
      <c r="O21" s="111">
        <v>0</v>
      </c>
      <c r="P21" s="111">
        <v>0</v>
      </c>
      <c r="Q21" s="111">
        <v>0</v>
      </c>
      <c r="R21" s="111">
        <v>0</v>
      </c>
      <c r="S21" s="111">
        <v>0</v>
      </c>
      <c r="T21" s="111">
        <v>0.8</v>
      </c>
      <c r="U21" s="111">
        <v>0</v>
      </c>
      <c r="V21" s="111">
        <v>0.8</v>
      </c>
      <c r="W21" s="111">
        <v>0</v>
      </c>
      <c r="X21" s="111">
        <v>0</v>
      </c>
      <c r="Y21" s="111">
        <v>0</v>
      </c>
      <c r="Z21" s="111">
        <v>0</v>
      </c>
      <c r="AA21" s="111">
        <v>0</v>
      </c>
      <c r="AB21" s="111">
        <v>0</v>
      </c>
      <c r="AC21" s="111">
        <v>0</v>
      </c>
      <c r="AD21" s="111">
        <v>0</v>
      </c>
      <c r="AE21" s="111">
        <v>0</v>
      </c>
      <c r="AF21" s="111">
        <v>0</v>
      </c>
      <c r="AG21" s="111">
        <v>0</v>
      </c>
      <c r="AH21" s="111">
        <v>0</v>
      </c>
      <c r="AI21" s="111">
        <v>0</v>
      </c>
      <c r="AJ21" s="111">
        <v>0</v>
      </c>
      <c r="AK21" s="111">
        <v>0</v>
      </c>
      <c r="AL21" s="111">
        <v>0</v>
      </c>
      <c r="AM21" s="111">
        <v>0</v>
      </c>
      <c r="AN21" s="111">
        <v>0</v>
      </c>
      <c r="AO21" s="111">
        <v>0</v>
      </c>
      <c r="AP21" s="111">
        <v>0</v>
      </c>
      <c r="AQ21" s="111">
        <v>0</v>
      </c>
      <c r="AR21" s="111">
        <v>0</v>
      </c>
      <c r="AS21" s="111">
        <v>0</v>
      </c>
      <c r="AT21" s="111">
        <v>0</v>
      </c>
    </row>
    <row r="22" spans="1:46" customFormat="1" x14ac:dyDescent="0.15">
      <c r="A22" s="188" t="s">
        <v>211</v>
      </c>
      <c r="B22" s="111">
        <v>0</v>
      </c>
      <c r="C22" s="111">
        <v>0</v>
      </c>
      <c r="D22" s="111">
        <v>0</v>
      </c>
      <c r="E22" s="111">
        <v>0</v>
      </c>
      <c r="F22" s="111">
        <v>0.8</v>
      </c>
      <c r="G22" s="111">
        <v>0.8</v>
      </c>
      <c r="H22" s="111">
        <v>0</v>
      </c>
      <c r="I22" s="111">
        <v>0.8</v>
      </c>
      <c r="J22" s="111">
        <v>0.8</v>
      </c>
      <c r="K22" s="111">
        <v>0</v>
      </c>
      <c r="L22" s="111">
        <v>0.8</v>
      </c>
      <c r="M22" s="111">
        <v>0.8</v>
      </c>
      <c r="N22" s="111">
        <v>0</v>
      </c>
      <c r="O22" s="111">
        <v>0</v>
      </c>
      <c r="P22" s="111">
        <v>0</v>
      </c>
      <c r="Q22" s="111">
        <v>0</v>
      </c>
      <c r="R22" s="111">
        <v>0</v>
      </c>
      <c r="S22" s="111">
        <v>0</v>
      </c>
      <c r="T22" s="111">
        <v>0.8</v>
      </c>
      <c r="U22" s="111">
        <v>0</v>
      </c>
      <c r="V22" s="111">
        <v>0.8</v>
      </c>
      <c r="W22" s="111">
        <v>0</v>
      </c>
      <c r="X22" s="111">
        <v>0</v>
      </c>
      <c r="Y22" s="111">
        <v>0</v>
      </c>
      <c r="Z22" s="111">
        <v>0</v>
      </c>
      <c r="AA22" s="111">
        <v>0</v>
      </c>
      <c r="AB22" s="111">
        <v>0</v>
      </c>
      <c r="AC22" s="111">
        <v>0</v>
      </c>
      <c r="AD22" s="111">
        <v>0</v>
      </c>
      <c r="AE22" s="111">
        <v>0</v>
      </c>
      <c r="AF22" s="111">
        <v>0</v>
      </c>
      <c r="AG22" s="111">
        <v>0.8</v>
      </c>
      <c r="AH22" s="111">
        <v>0</v>
      </c>
      <c r="AI22" s="111">
        <v>0</v>
      </c>
      <c r="AJ22" s="111">
        <v>0</v>
      </c>
      <c r="AK22" s="111">
        <v>0</v>
      </c>
      <c r="AL22" s="111">
        <v>0</v>
      </c>
      <c r="AM22" s="111">
        <v>0</v>
      </c>
      <c r="AN22" s="111">
        <v>0</v>
      </c>
      <c r="AO22" s="111">
        <v>0</v>
      </c>
      <c r="AP22" s="111">
        <v>0</v>
      </c>
      <c r="AQ22" s="111">
        <v>0</v>
      </c>
      <c r="AR22" s="111">
        <v>0</v>
      </c>
      <c r="AS22" s="111">
        <v>0</v>
      </c>
      <c r="AT22" s="111">
        <v>0</v>
      </c>
    </row>
    <row r="23" spans="1:46" customFormat="1" x14ac:dyDescent="0.15">
      <c r="A23" s="188" t="s">
        <v>212</v>
      </c>
      <c r="B23" s="111">
        <v>0</v>
      </c>
      <c r="C23" s="111">
        <v>0</v>
      </c>
      <c r="D23" s="111">
        <v>0</v>
      </c>
      <c r="E23" s="111">
        <v>0</v>
      </c>
      <c r="F23" s="111">
        <v>0</v>
      </c>
      <c r="G23" s="111">
        <v>0.8</v>
      </c>
      <c r="H23" s="111">
        <v>0</v>
      </c>
      <c r="I23" s="111">
        <v>0</v>
      </c>
      <c r="J23" s="111">
        <v>0</v>
      </c>
      <c r="K23" s="111">
        <v>0</v>
      </c>
      <c r="L23" s="111">
        <v>0</v>
      </c>
      <c r="M23" s="111">
        <v>0</v>
      </c>
      <c r="N23" s="111">
        <v>0</v>
      </c>
      <c r="O23" s="111">
        <v>0</v>
      </c>
      <c r="P23" s="111">
        <v>0</v>
      </c>
      <c r="Q23" s="111">
        <v>0</v>
      </c>
      <c r="R23" s="111">
        <v>0</v>
      </c>
      <c r="S23" s="111">
        <v>0</v>
      </c>
      <c r="T23" s="111">
        <v>0</v>
      </c>
      <c r="U23" s="111">
        <v>0</v>
      </c>
      <c r="V23" s="111">
        <v>0</v>
      </c>
      <c r="W23" s="111">
        <v>0</v>
      </c>
      <c r="X23" s="111">
        <v>0</v>
      </c>
      <c r="Y23" s="111">
        <v>0</v>
      </c>
      <c r="Z23" s="111">
        <v>0</v>
      </c>
      <c r="AA23" s="111">
        <v>0</v>
      </c>
      <c r="AB23" s="111">
        <v>0</v>
      </c>
      <c r="AC23" s="111">
        <v>0</v>
      </c>
      <c r="AD23" s="111">
        <v>0</v>
      </c>
      <c r="AE23" s="111">
        <v>0</v>
      </c>
      <c r="AF23" s="111">
        <v>0</v>
      </c>
      <c r="AG23" s="111">
        <v>0</v>
      </c>
      <c r="AH23" s="111">
        <v>0</v>
      </c>
      <c r="AI23" s="111">
        <v>0</v>
      </c>
      <c r="AJ23" s="111">
        <v>0</v>
      </c>
      <c r="AK23" s="111">
        <v>0</v>
      </c>
      <c r="AL23" s="111">
        <v>0</v>
      </c>
      <c r="AM23" s="111">
        <v>0</v>
      </c>
      <c r="AN23" s="111">
        <v>0</v>
      </c>
      <c r="AO23" s="111">
        <v>0</v>
      </c>
      <c r="AP23" s="111">
        <v>0</v>
      </c>
      <c r="AQ23" s="111">
        <v>0</v>
      </c>
      <c r="AR23" s="111">
        <v>0</v>
      </c>
      <c r="AS23" s="111">
        <v>0</v>
      </c>
      <c r="AT23" s="111">
        <v>0</v>
      </c>
    </row>
    <row r="24" spans="1:46" customFormat="1" x14ac:dyDescent="0.15">
      <c r="A24" s="188" t="s">
        <v>213</v>
      </c>
      <c r="B24" s="111">
        <v>0</v>
      </c>
      <c r="C24" s="111">
        <v>0</v>
      </c>
      <c r="D24" s="111">
        <v>0</v>
      </c>
      <c r="E24" s="111">
        <v>0</v>
      </c>
      <c r="F24" s="111">
        <v>0</v>
      </c>
      <c r="G24" s="111">
        <v>0.8</v>
      </c>
      <c r="H24" s="111">
        <v>0</v>
      </c>
      <c r="I24" s="111">
        <v>0.8</v>
      </c>
      <c r="J24" s="111">
        <v>0.8</v>
      </c>
      <c r="K24" s="111">
        <v>0</v>
      </c>
      <c r="L24" s="111">
        <v>0.8</v>
      </c>
      <c r="M24" s="111">
        <v>0.8</v>
      </c>
      <c r="N24" s="111">
        <v>0</v>
      </c>
      <c r="O24" s="111">
        <v>0</v>
      </c>
      <c r="P24" s="111">
        <v>0</v>
      </c>
      <c r="Q24" s="111">
        <v>0</v>
      </c>
      <c r="R24" s="111">
        <v>0</v>
      </c>
      <c r="S24" s="111">
        <v>0</v>
      </c>
      <c r="T24" s="111">
        <v>0.8</v>
      </c>
      <c r="U24" s="111">
        <v>0</v>
      </c>
      <c r="V24" s="111">
        <v>0.8</v>
      </c>
      <c r="W24" s="111">
        <v>0</v>
      </c>
      <c r="X24" s="111">
        <v>0</v>
      </c>
      <c r="Y24" s="111">
        <v>0</v>
      </c>
      <c r="Z24" s="111">
        <v>0</v>
      </c>
      <c r="AA24" s="111">
        <v>0</v>
      </c>
      <c r="AB24" s="111">
        <v>0</v>
      </c>
      <c r="AC24" s="111">
        <v>0</v>
      </c>
      <c r="AD24" s="111">
        <v>0</v>
      </c>
      <c r="AE24" s="111">
        <v>0</v>
      </c>
      <c r="AF24" s="111">
        <v>0</v>
      </c>
      <c r="AG24" s="111">
        <v>0</v>
      </c>
      <c r="AH24" s="111">
        <v>0</v>
      </c>
      <c r="AI24" s="111">
        <v>0</v>
      </c>
      <c r="AJ24" s="111">
        <v>0</v>
      </c>
      <c r="AK24" s="111">
        <v>0</v>
      </c>
      <c r="AL24" s="111">
        <v>0</v>
      </c>
      <c r="AM24" s="111">
        <v>0</v>
      </c>
      <c r="AN24" s="111">
        <v>0</v>
      </c>
      <c r="AO24" s="111">
        <v>0</v>
      </c>
      <c r="AP24" s="111">
        <v>0</v>
      </c>
      <c r="AQ24" s="111">
        <v>0</v>
      </c>
      <c r="AR24" s="111">
        <v>0</v>
      </c>
      <c r="AS24" s="111">
        <v>0</v>
      </c>
      <c r="AT24" s="111">
        <v>0</v>
      </c>
    </row>
    <row r="25" spans="1:46" customFormat="1" x14ac:dyDescent="0.15">
      <c r="A25" s="188" t="s">
        <v>214</v>
      </c>
      <c r="B25" s="111">
        <v>0</v>
      </c>
      <c r="C25" s="111">
        <v>0</v>
      </c>
      <c r="D25" s="111">
        <v>0</v>
      </c>
      <c r="E25" s="111">
        <v>0.8</v>
      </c>
      <c r="F25" s="111">
        <v>0</v>
      </c>
      <c r="G25" s="111">
        <v>0.8</v>
      </c>
      <c r="H25" s="111">
        <v>0</v>
      </c>
      <c r="I25" s="111">
        <v>0.8</v>
      </c>
      <c r="J25" s="111">
        <v>0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</v>
      </c>
      <c r="Q25" s="111">
        <v>0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1">
        <v>0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</v>
      </c>
      <c r="AF25" s="111">
        <v>0</v>
      </c>
      <c r="AG25" s="111">
        <v>0</v>
      </c>
      <c r="AH25" s="111">
        <v>0</v>
      </c>
      <c r="AI25" s="111">
        <v>0</v>
      </c>
      <c r="AJ25" s="111">
        <v>0</v>
      </c>
      <c r="AK25" s="111">
        <v>0</v>
      </c>
      <c r="AL25" s="111">
        <v>0</v>
      </c>
      <c r="AM25" s="111">
        <v>0</v>
      </c>
      <c r="AN25" s="111">
        <v>0</v>
      </c>
      <c r="AO25" s="111">
        <v>0</v>
      </c>
      <c r="AP25" s="111">
        <v>0</v>
      </c>
      <c r="AQ25" s="111">
        <v>0</v>
      </c>
      <c r="AR25" s="111">
        <v>0</v>
      </c>
      <c r="AS25" s="111">
        <v>0</v>
      </c>
      <c r="AT25" s="111">
        <v>0</v>
      </c>
    </row>
    <row r="26" spans="1:46" customFormat="1" x14ac:dyDescent="0.15">
      <c r="A26" s="188" t="s">
        <v>215</v>
      </c>
      <c r="B26" s="111">
        <v>0</v>
      </c>
      <c r="C26" s="111">
        <v>0</v>
      </c>
      <c r="D26" s="111">
        <v>0</v>
      </c>
      <c r="E26" s="111">
        <v>0</v>
      </c>
      <c r="F26" s="111">
        <v>0</v>
      </c>
      <c r="G26" s="111">
        <v>0.8</v>
      </c>
      <c r="H26" s="111">
        <v>0</v>
      </c>
      <c r="I26" s="111">
        <v>0.8</v>
      </c>
      <c r="J26" s="111">
        <v>0</v>
      </c>
      <c r="K26" s="111">
        <v>0</v>
      </c>
      <c r="L26" s="111">
        <v>0</v>
      </c>
      <c r="M26" s="111">
        <v>0</v>
      </c>
      <c r="N26" s="111">
        <v>0</v>
      </c>
      <c r="O26" s="111">
        <v>0</v>
      </c>
      <c r="P26" s="111">
        <v>0</v>
      </c>
      <c r="Q26" s="111">
        <v>0</v>
      </c>
      <c r="R26" s="111">
        <v>0</v>
      </c>
      <c r="S26" s="111">
        <v>0.8</v>
      </c>
      <c r="T26" s="111">
        <v>0</v>
      </c>
      <c r="U26" s="111">
        <v>0.8</v>
      </c>
      <c r="V26" s="111">
        <v>0</v>
      </c>
      <c r="W26" s="111">
        <v>0</v>
      </c>
      <c r="X26" s="111">
        <v>0</v>
      </c>
      <c r="Y26" s="111">
        <v>0</v>
      </c>
      <c r="Z26" s="111">
        <v>0</v>
      </c>
      <c r="AA26" s="111">
        <v>0</v>
      </c>
      <c r="AB26" s="111">
        <v>0</v>
      </c>
      <c r="AC26" s="111">
        <v>0</v>
      </c>
      <c r="AD26" s="111">
        <v>0</v>
      </c>
      <c r="AE26" s="111">
        <v>0</v>
      </c>
      <c r="AF26" s="111">
        <v>0</v>
      </c>
      <c r="AG26" s="111">
        <v>0</v>
      </c>
      <c r="AH26" s="111">
        <v>0</v>
      </c>
      <c r="AI26" s="111">
        <v>0</v>
      </c>
      <c r="AJ26" s="111">
        <v>0</v>
      </c>
      <c r="AK26" s="111">
        <v>0</v>
      </c>
      <c r="AL26" s="111">
        <v>0</v>
      </c>
      <c r="AM26" s="111">
        <v>0</v>
      </c>
      <c r="AN26" s="111">
        <v>0</v>
      </c>
      <c r="AO26" s="111">
        <v>0</v>
      </c>
      <c r="AP26" s="111">
        <v>0</v>
      </c>
      <c r="AQ26" s="111">
        <v>0</v>
      </c>
      <c r="AR26" s="111">
        <v>0</v>
      </c>
      <c r="AS26" s="111">
        <v>0</v>
      </c>
      <c r="AT26" s="111">
        <v>0</v>
      </c>
    </row>
    <row r="27" spans="1:46" customFormat="1" x14ac:dyDescent="0.15">
      <c r="A27" s="188" t="s">
        <v>216</v>
      </c>
      <c r="B27" s="111">
        <v>0</v>
      </c>
      <c r="C27" s="111">
        <v>0.8</v>
      </c>
      <c r="D27" s="111">
        <v>0</v>
      </c>
      <c r="E27" s="111">
        <v>0.8</v>
      </c>
      <c r="F27" s="111">
        <v>0</v>
      </c>
      <c r="G27" s="111">
        <v>0.8</v>
      </c>
      <c r="H27" s="111">
        <v>0</v>
      </c>
      <c r="I27" s="111">
        <v>0</v>
      </c>
      <c r="J27" s="111">
        <v>0</v>
      </c>
      <c r="K27" s="111">
        <v>0.8</v>
      </c>
      <c r="L27" s="111">
        <v>0.8</v>
      </c>
      <c r="M27" s="111">
        <v>0</v>
      </c>
      <c r="N27" s="111">
        <v>0</v>
      </c>
      <c r="O27" s="111">
        <v>0</v>
      </c>
      <c r="P27" s="111">
        <v>0</v>
      </c>
      <c r="Q27" s="111">
        <v>0</v>
      </c>
      <c r="R27" s="111">
        <v>0</v>
      </c>
      <c r="S27" s="111">
        <v>0.8</v>
      </c>
      <c r="T27" s="111">
        <v>0</v>
      </c>
      <c r="U27" s="111">
        <v>0.8</v>
      </c>
      <c r="V27" s="111">
        <v>0.8</v>
      </c>
      <c r="W27" s="111">
        <v>0</v>
      </c>
      <c r="X27" s="111">
        <v>0</v>
      </c>
      <c r="Y27" s="111">
        <v>0</v>
      </c>
      <c r="Z27" s="111">
        <v>0</v>
      </c>
      <c r="AA27" s="111">
        <v>0</v>
      </c>
      <c r="AB27" s="111">
        <v>0</v>
      </c>
      <c r="AC27" s="111">
        <v>0</v>
      </c>
      <c r="AD27" s="111">
        <v>0</v>
      </c>
      <c r="AE27" s="111">
        <v>0</v>
      </c>
      <c r="AF27" s="111">
        <v>0</v>
      </c>
      <c r="AG27" s="111">
        <v>0</v>
      </c>
      <c r="AH27" s="111">
        <v>0</v>
      </c>
      <c r="AI27" s="111">
        <v>0</v>
      </c>
      <c r="AJ27" s="111">
        <v>0</v>
      </c>
      <c r="AK27" s="111">
        <v>0</v>
      </c>
      <c r="AL27" s="111">
        <v>0</v>
      </c>
      <c r="AM27" s="111">
        <v>0</v>
      </c>
      <c r="AN27" s="111">
        <v>0</v>
      </c>
      <c r="AO27" s="111">
        <v>0</v>
      </c>
      <c r="AP27" s="111">
        <v>0</v>
      </c>
      <c r="AQ27" s="111">
        <v>0</v>
      </c>
      <c r="AR27" s="111">
        <v>0</v>
      </c>
      <c r="AS27" s="111">
        <v>0</v>
      </c>
      <c r="AT27" s="111">
        <v>0</v>
      </c>
    </row>
    <row r="28" spans="1:46" customFormat="1" x14ac:dyDescent="0.15">
      <c r="A28" s="188" t="s">
        <v>217</v>
      </c>
      <c r="B28" s="111">
        <v>0</v>
      </c>
      <c r="C28" s="111">
        <v>0</v>
      </c>
      <c r="D28" s="111">
        <v>0</v>
      </c>
      <c r="E28" s="111">
        <v>0</v>
      </c>
      <c r="F28" s="111">
        <v>0</v>
      </c>
      <c r="G28" s="111">
        <v>0.8</v>
      </c>
      <c r="H28" s="111">
        <v>0</v>
      </c>
      <c r="I28" s="111">
        <v>0</v>
      </c>
      <c r="J28" s="111">
        <v>0</v>
      </c>
      <c r="K28" s="111">
        <v>0</v>
      </c>
      <c r="L28" s="111">
        <v>0</v>
      </c>
      <c r="M28" s="111">
        <v>0</v>
      </c>
      <c r="N28" s="111">
        <v>0</v>
      </c>
      <c r="O28" s="111">
        <v>0</v>
      </c>
      <c r="P28" s="111">
        <v>0</v>
      </c>
      <c r="Q28" s="111">
        <v>0</v>
      </c>
      <c r="R28" s="111">
        <v>0</v>
      </c>
      <c r="S28" s="111">
        <v>0.8</v>
      </c>
      <c r="T28" s="111">
        <v>0.8</v>
      </c>
      <c r="U28" s="111">
        <v>0</v>
      </c>
      <c r="V28" s="111">
        <v>0.8</v>
      </c>
      <c r="W28" s="111">
        <v>0</v>
      </c>
      <c r="X28" s="111">
        <v>0.8</v>
      </c>
      <c r="Y28" s="111">
        <v>0.8</v>
      </c>
      <c r="Z28" s="111">
        <v>0</v>
      </c>
      <c r="AA28" s="111">
        <v>0</v>
      </c>
      <c r="AB28" s="111">
        <v>0</v>
      </c>
      <c r="AC28" s="111">
        <v>0</v>
      </c>
      <c r="AD28" s="111">
        <v>0</v>
      </c>
      <c r="AE28" s="111">
        <v>0</v>
      </c>
      <c r="AF28" s="111">
        <v>0</v>
      </c>
      <c r="AG28" s="111">
        <v>0</v>
      </c>
      <c r="AH28" s="111">
        <v>0</v>
      </c>
      <c r="AI28" s="111">
        <v>0</v>
      </c>
      <c r="AJ28" s="111">
        <v>0</v>
      </c>
      <c r="AK28" s="111">
        <v>0</v>
      </c>
      <c r="AL28" s="111">
        <v>0</v>
      </c>
      <c r="AM28" s="111">
        <v>0</v>
      </c>
      <c r="AN28" s="111">
        <v>0</v>
      </c>
      <c r="AO28" s="111">
        <v>0</v>
      </c>
      <c r="AP28" s="111">
        <v>0</v>
      </c>
      <c r="AQ28" s="111">
        <v>0</v>
      </c>
      <c r="AR28" s="111">
        <v>0</v>
      </c>
      <c r="AS28" s="111">
        <v>0</v>
      </c>
      <c r="AT28" s="111">
        <v>0</v>
      </c>
    </row>
    <row r="29" spans="1:46" customFormat="1" x14ac:dyDescent="0.15">
      <c r="A29" s="188" t="s">
        <v>218</v>
      </c>
      <c r="B29" s="111">
        <v>0</v>
      </c>
      <c r="C29" s="111">
        <v>0.8</v>
      </c>
      <c r="D29" s="111">
        <v>0</v>
      </c>
      <c r="E29" s="111">
        <v>0.8</v>
      </c>
      <c r="F29" s="111">
        <v>0.8</v>
      </c>
      <c r="G29" s="111">
        <v>0.8</v>
      </c>
      <c r="H29" s="111">
        <v>0</v>
      </c>
      <c r="I29" s="111">
        <v>0.8</v>
      </c>
      <c r="J29" s="111">
        <v>0.8</v>
      </c>
      <c r="K29" s="111">
        <v>0</v>
      </c>
      <c r="L29" s="111">
        <v>0.8</v>
      </c>
      <c r="M29" s="111">
        <v>0.8</v>
      </c>
      <c r="N29" s="111">
        <v>0</v>
      </c>
      <c r="O29" s="111">
        <v>0</v>
      </c>
      <c r="P29" s="111">
        <v>0</v>
      </c>
      <c r="Q29" s="111">
        <v>0</v>
      </c>
      <c r="R29" s="111">
        <v>0</v>
      </c>
      <c r="S29" s="111">
        <v>0.8</v>
      </c>
      <c r="T29" s="111">
        <v>0.8</v>
      </c>
      <c r="U29" s="111">
        <v>0</v>
      </c>
      <c r="V29" s="111">
        <v>0.8</v>
      </c>
      <c r="W29" s="111">
        <v>0</v>
      </c>
      <c r="X29" s="111">
        <v>0.8</v>
      </c>
      <c r="Y29" s="111">
        <v>0.8</v>
      </c>
      <c r="Z29" s="111">
        <v>0</v>
      </c>
      <c r="AA29" s="111">
        <v>0</v>
      </c>
      <c r="AB29" s="111">
        <v>0</v>
      </c>
      <c r="AC29" s="111">
        <v>0</v>
      </c>
      <c r="AD29" s="111">
        <v>0</v>
      </c>
      <c r="AE29" s="111">
        <v>0</v>
      </c>
      <c r="AF29" s="111">
        <v>0</v>
      </c>
      <c r="AG29" s="111">
        <v>0</v>
      </c>
      <c r="AH29" s="111">
        <v>0</v>
      </c>
      <c r="AI29" s="111">
        <v>0</v>
      </c>
      <c r="AJ29" s="111">
        <v>0</v>
      </c>
      <c r="AK29" s="111">
        <v>0</v>
      </c>
      <c r="AL29" s="111">
        <v>0</v>
      </c>
      <c r="AM29" s="111">
        <v>0</v>
      </c>
      <c r="AN29" s="111">
        <v>0</v>
      </c>
      <c r="AO29" s="111">
        <v>0</v>
      </c>
      <c r="AP29" s="111">
        <v>0</v>
      </c>
      <c r="AQ29" s="111">
        <v>0</v>
      </c>
      <c r="AR29" s="111">
        <v>0</v>
      </c>
      <c r="AS29" s="111">
        <v>0</v>
      </c>
      <c r="AT29" s="111">
        <v>0</v>
      </c>
    </row>
    <row r="30" spans="1:46" customFormat="1" x14ac:dyDescent="0.15">
      <c r="A30" s="188" t="s">
        <v>219</v>
      </c>
      <c r="B30" s="111">
        <v>0</v>
      </c>
      <c r="C30" s="111">
        <v>0.8</v>
      </c>
      <c r="D30" s="111">
        <v>0</v>
      </c>
      <c r="E30" s="111">
        <v>0.8</v>
      </c>
      <c r="F30" s="111">
        <v>0</v>
      </c>
      <c r="G30" s="111">
        <v>0.8</v>
      </c>
      <c r="H30" s="111">
        <v>0</v>
      </c>
      <c r="I30" s="111">
        <v>0.8</v>
      </c>
      <c r="J30" s="111">
        <v>0</v>
      </c>
      <c r="K30" s="111">
        <v>0.8</v>
      </c>
      <c r="L30" s="111">
        <v>0</v>
      </c>
      <c r="M30" s="111">
        <v>0</v>
      </c>
      <c r="N30" s="111">
        <v>0</v>
      </c>
      <c r="O30" s="111">
        <v>0</v>
      </c>
      <c r="P30" s="111">
        <v>0</v>
      </c>
      <c r="Q30" s="111">
        <v>0</v>
      </c>
      <c r="R30" s="111">
        <v>0</v>
      </c>
      <c r="S30" s="111">
        <v>0.8</v>
      </c>
      <c r="T30" s="111">
        <v>0.8</v>
      </c>
      <c r="U30" s="111">
        <v>0.8</v>
      </c>
      <c r="V30" s="111">
        <v>0.8</v>
      </c>
      <c r="W30" s="111">
        <v>0</v>
      </c>
      <c r="X30" s="111">
        <v>0.8</v>
      </c>
      <c r="Y30" s="111">
        <v>0.8</v>
      </c>
      <c r="Z30" s="111">
        <v>0</v>
      </c>
      <c r="AA30" s="111">
        <v>0</v>
      </c>
      <c r="AB30" s="111">
        <v>0</v>
      </c>
      <c r="AC30" s="111">
        <v>0.8</v>
      </c>
      <c r="AD30" s="111">
        <v>0.8</v>
      </c>
      <c r="AE30" s="111">
        <v>0.8</v>
      </c>
      <c r="AF30" s="111">
        <v>0.8</v>
      </c>
      <c r="AG30" s="111">
        <v>0</v>
      </c>
      <c r="AH30" s="111">
        <v>0</v>
      </c>
      <c r="AI30" s="111">
        <v>0</v>
      </c>
      <c r="AJ30" s="111">
        <v>0</v>
      </c>
      <c r="AK30" s="111">
        <v>0</v>
      </c>
      <c r="AL30" s="111">
        <v>0</v>
      </c>
      <c r="AM30" s="111">
        <v>0</v>
      </c>
      <c r="AN30" s="111">
        <v>0</v>
      </c>
      <c r="AO30" s="111">
        <v>0</v>
      </c>
      <c r="AP30" s="111">
        <v>0</v>
      </c>
      <c r="AQ30" s="111">
        <v>0</v>
      </c>
      <c r="AR30" s="111">
        <v>0</v>
      </c>
      <c r="AS30" s="111">
        <v>0</v>
      </c>
      <c r="AT30" s="111">
        <v>0</v>
      </c>
    </row>
    <row r="31" spans="1:46" customFormat="1" x14ac:dyDescent="0.15">
      <c r="A31" s="188" t="s">
        <v>220</v>
      </c>
      <c r="B31" s="111">
        <v>0</v>
      </c>
      <c r="C31" s="111">
        <v>0</v>
      </c>
      <c r="D31" s="111">
        <v>0</v>
      </c>
      <c r="E31" s="111">
        <v>0</v>
      </c>
      <c r="F31" s="111">
        <v>0</v>
      </c>
      <c r="G31" s="111">
        <v>0</v>
      </c>
      <c r="H31" s="111">
        <v>0</v>
      </c>
      <c r="I31" s="111">
        <v>0</v>
      </c>
      <c r="J31" s="111">
        <v>0</v>
      </c>
      <c r="K31" s="111">
        <v>0</v>
      </c>
      <c r="L31" s="111">
        <v>0</v>
      </c>
      <c r="M31" s="111">
        <v>0</v>
      </c>
      <c r="N31" s="111">
        <v>0</v>
      </c>
      <c r="O31" s="111">
        <v>0</v>
      </c>
      <c r="P31" s="111">
        <v>0</v>
      </c>
      <c r="Q31" s="111">
        <v>0</v>
      </c>
      <c r="R31" s="111">
        <v>0</v>
      </c>
      <c r="S31" s="111">
        <v>0.8</v>
      </c>
      <c r="T31" s="111">
        <v>0.8</v>
      </c>
      <c r="U31" s="111">
        <v>0.8</v>
      </c>
      <c r="V31" s="111">
        <v>0.8</v>
      </c>
      <c r="W31" s="111">
        <v>0</v>
      </c>
      <c r="X31" s="111">
        <v>0.8</v>
      </c>
      <c r="Y31" s="111">
        <v>0.8</v>
      </c>
      <c r="Z31" s="111">
        <v>0</v>
      </c>
      <c r="AA31" s="111">
        <v>0</v>
      </c>
      <c r="AB31" s="111">
        <v>0</v>
      </c>
      <c r="AC31" s="111">
        <v>0</v>
      </c>
      <c r="AD31" s="111">
        <v>0</v>
      </c>
      <c r="AE31" s="111">
        <v>0</v>
      </c>
      <c r="AF31" s="111">
        <v>0</v>
      </c>
      <c r="AG31" s="111">
        <v>0</v>
      </c>
      <c r="AH31" s="111">
        <v>0</v>
      </c>
      <c r="AI31" s="111">
        <v>0</v>
      </c>
      <c r="AJ31" s="111">
        <v>0</v>
      </c>
      <c r="AK31" s="111">
        <v>0</v>
      </c>
      <c r="AL31" s="111">
        <v>0</v>
      </c>
      <c r="AM31" s="111">
        <v>0</v>
      </c>
      <c r="AN31" s="111">
        <v>0</v>
      </c>
      <c r="AO31" s="111">
        <v>0</v>
      </c>
      <c r="AP31" s="111">
        <v>0</v>
      </c>
      <c r="AQ31" s="111">
        <v>0</v>
      </c>
      <c r="AR31" s="111">
        <v>0</v>
      </c>
      <c r="AS31" s="111">
        <v>0</v>
      </c>
      <c r="AT31" s="111">
        <v>0</v>
      </c>
    </row>
    <row r="32" spans="1:46" customFormat="1" x14ac:dyDescent="0.15">
      <c r="A32" s="188" t="s">
        <v>221</v>
      </c>
      <c r="B32" s="111">
        <v>0</v>
      </c>
      <c r="C32" s="111">
        <v>0.8</v>
      </c>
      <c r="D32" s="111">
        <v>0</v>
      </c>
      <c r="E32" s="111">
        <v>0.8</v>
      </c>
      <c r="F32" s="111">
        <v>0.8</v>
      </c>
      <c r="G32" s="111">
        <v>0.8</v>
      </c>
      <c r="H32" s="111">
        <v>0.8</v>
      </c>
      <c r="I32" s="111">
        <v>0.8</v>
      </c>
      <c r="J32" s="111">
        <v>0.8</v>
      </c>
      <c r="K32" s="111">
        <v>0.8</v>
      </c>
      <c r="L32" s="111">
        <v>0.8</v>
      </c>
      <c r="M32" s="111">
        <v>0.8</v>
      </c>
      <c r="N32" s="111">
        <v>0</v>
      </c>
      <c r="O32" s="111">
        <v>0</v>
      </c>
      <c r="P32" s="111">
        <v>0</v>
      </c>
      <c r="Q32" s="111">
        <v>0</v>
      </c>
      <c r="R32" s="111">
        <v>0</v>
      </c>
      <c r="S32" s="111">
        <v>0.8</v>
      </c>
      <c r="T32" s="111">
        <v>0.8</v>
      </c>
      <c r="U32" s="111">
        <v>0.8</v>
      </c>
      <c r="V32" s="111">
        <v>0.8</v>
      </c>
      <c r="W32" s="111">
        <v>0</v>
      </c>
      <c r="X32" s="111">
        <v>0.8</v>
      </c>
      <c r="Y32" s="111">
        <v>0.8</v>
      </c>
      <c r="Z32" s="111">
        <v>0</v>
      </c>
      <c r="AA32" s="111">
        <v>0</v>
      </c>
      <c r="AB32" s="111">
        <v>0.8</v>
      </c>
      <c r="AC32" s="111">
        <v>0.8</v>
      </c>
      <c r="AD32" s="111">
        <v>0.8</v>
      </c>
      <c r="AE32" s="111">
        <v>0</v>
      </c>
      <c r="AF32" s="111">
        <v>0.8</v>
      </c>
      <c r="AG32" s="111">
        <v>0</v>
      </c>
      <c r="AH32" s="111">
        <v>0</v>
      </c>
      <c r="AI32" s="111">
        <v>0</v>
      </c>
      <c r="AJ32" s="111">
        <v>0</v>
      </c>
      <c r="AK32" s="111">
        <v>0</v>
      </c>
      <c r="AL32" s="111">
        <v>0</v>
      </c>
      <c r="AM32" s="111">
        <v>0.8</v>
      </c>
      <c r="AN32" s="111">
        <v>0</v>
      </c>
      <c r="AO32" s="111">
        <v>0</v>
      </c>
      <c r="AP32" s="111">
        <v>0</v>
      </c>
      <c r="AQ32" s="111">
        <v>0</v>
      </c>
      <c r="AR32" s="111">
        <v>0</v>
      </c>
      <c r="AS32" s="111">
        <v>0</v>
      </c>
      <c r="AT32" s="111">
        <v>0</v>
      </c>
    </row>
    <row r="33" spans="1:46" x14ac:dyDescent="0.15">
      <c r="A33" s="188" t="s">
        <v>222</v>
      </c>
      <c r="B33" s="111">
        <v>0</v>
      </c>
      <c r="C33" s="111">
        <v>0</v>
      </c>
      <c r="D33" s="111">
        <v>0</v>
      </c>
      <c r="E33" s="111">
        <v>0</v>
      </c>
      <c r="F33" s="111">
        <v>0.8</v>
      </c>
      <c r="G33" s="111">
        <v>0.8</v>
      </c>
      <c r="H33" s="111">
        <v>0.8</v>
      </c>
      <c r="I33" s="111">
        <v>0</v>
      </c>
      <c r="J33" s="111">
        <v>0</v>
      </c>
      <c r="K33" s="111">
        <v>0</v>
      </c>
      <c r="L33" s="111">
        <v>0</v>
      </c>
      <c r="M33" s="111">
        <v>0</v>
      </c>
      <c r="N33" s="111">
        <v>0</v>
      </c>
      <c r="O33" s="111">
        <v>0</v>
      </c>
      <c r="P33" s="111">
        <v>0</v>
      </c>
      <c r="Q33" s="111">
        <v>0</v>
      </c>
      <c r="R33" s="111">
        <v>0</v>
      </c>
      <c r="S33" s="111">
        <v>0</v>
      </c>
      <c r="T33" s="111">
        <v>0</v>
      </c>
      <c r="U33" s="111">
        <v>0</v>
      </c>
      <c r="V33" s="111">
        <v>0.8</v>
      </c>
      <c r="W33" s="111">
        <v>0</v>
      </c>
      <c r="X33" s="111">
        <v>0</v>
      </c>
      <c r="Y33" s="111">
        <v>0</v>
      </c>
      <c r="Z33" s="111">
        <v>0</v>
      </c>
      <c r="AA33" s="111">
        <v>0</v>
      </c>
      <c r="AB33" s="111">
        <v>0</v>
      </c>
      <c r="AC33" s="111">
        <v>0</v>
      </c>
      <c r="AD33" s="111">
        <v>0</v>
      </c>
      <c r="AE33" s="111">
        <v>0</v>
      </c>
      <c r="AF33" s="111">
        <v>0</v>
      </c>
      <c r="AG33" s="111">
        <v>0</v>
      </c>
      <c r="AH33" s="111">
        <v>0</v>
      </c>
      <c r="AI33" s="111">
        <v>0</v>
      </c>
      <c r="AJ33" s="111">
        <v>0</v>
      </c>
      <c r="AK33" s="111">
        <v>0</v>
      </c>
      <c r="AL33" s="111">
        <v>0</v>
      </c>
      <c r="AM33" s="111">
        <v>0</v>
      </c>
      <c r="AN33" s="111">
        <v>0</v>
      </c>
      <c r="AO33" s="111">
        <v>0</v>
      </c>
      <c r="AP33" s="111">
        <v>0</v>
      </c>
      <c r="AQ33" s="111">
        <v>0</v>
      </c>
      <c r="AR33" s="111">
        <v>0</v>
      </c>
      <c r="AS33" s="111">
        <v>0</v>
      </c>
      <c r="AT33" s="111">
        <v>0</v>
      </c>
    </row>
    <row r="34" spans="1:46" x14ac:dyDescent="0.15">
      <c r="A34" s="188" t="s">
        <v>223</v>
      </c>
      <c r="B34" s="111">
        <v>0.8</v>
      </c>
      <c r="C34" s="111">
        <v>0.8</v>
      </c>
      <c r="D34" s="111">
        <v>0</v>
      </c>
      <c r="E34" s="111">
        <v>0</v>
      </c>
      <c r="F34" s="111">
        <v>0.8</v>
      </c>
      <c r="G34" s="111">
        <v>0.8</v>
      </c>
      <c r="H34" s="111">
        <v>0.8</v>
      </c>
      <c r="I34" s="111">
        <v>0</v>
      </c>
      <c r="J34" s="111">
        <v>0</v>
      </c>
      <c r="K34" s="111">
        <v>0</v>
      </c>
      <c r="L34" s="111">
        <v>0</v>
      </c>
      <c r="M34" s="111">
        <v>0</v>
      </c>
      <c r="N34" s="111">
        <v>0</v>
      </c>
      <c r="O34" s="111">
        <v>0</v>
      </c>
      <c r="P34" s="111">
        <v>0</v>
      </c>
      <c r="Q34" s="111">
        <v>0</v>
      </c>
      <c r="R34" s="111">
        <v>0</v>
      </c>
      <c r="S34" s="111">
        <v>0</v>
      </c>
      <c r="T34" s="111">
        <v>0</v>
      </c>
      <c r="U34" s="111">
        <v>0</v>
      </c>
      <c r="V34" s="111">
        <v>0.8</v>
      </c>
      <c r="W34" s="111">
        <v>0</v>
      </c>
      <c r="X34" s="111">
        <v>0</v>
      </c>
      <c r="Y34" s="111">
        <v>0</v>
      </c>
      <c r="Z34" s="111">
        <v>0</v>
      </c>
      <c r="AA34" s="111">
        <v>0</v>
      </c>
      <c r="AB34" s="111">
        <v>0</v>
      </c>
      <c r="AC34" s="111">
        <v>0</v>
      </c>
      <c r="AD34" s="111">
        <v>0</v>
      </c>
      <c r="AE34" s="111">
        <v>0</v>
      </c>
      <c r="AF34" s="111">
        <v>0</v>
      </c>
      <c r="AG34" s="111">
        <v>0.8</v>
      </c>
      <c r="AH34" s="111">
        <v>0</v>
      </c>
      <c r="AI34" s="111">
        <v>0</v>
      </c>
      <c r="AJ34" s="111">
        <v>0</v>
      </c>
      <c r="AK34" s="111">
        <v>0</v>
      </c>
      <c r="AL34" s="111">
        <v>0</v>
      </c>
      <c r="AM34" s="111">
        <v>0</v>
      </c>
      <c r="AN34" s="111">
        <v>0</v>
      </c>
      <c r="AO34" s="111">
        <v>0</v>
      </c>
      <c r="AP34" s="111">
        <v>0</v>
      </c>
      <c r="AQ34" s="111">
        <v>0</v>
      </c>
      <c r="AR34" s="111">
        <v>0</v>
      </c>
      <c r="AS34" s="111">
        <v>0</v>
      </c>
      <c r="AT34" s="111">
        <v>0</v>
      </c>
    </row>
    <row r="35" spans="1:46" x14ac:dyDescent="0.15">
      <c r="A35" s="188" t="s">
        <v>224</v>
      </c>
      <c r="B35" s="111">
        <v>0</v>
      </c>
      <c r="C35" s="111">
        <v>0</v>
      </c>
      <c r="D35" s="111">
        <v>0</v>
      </c>
      <c r="E35" s="111">
        <v>0</v>
      </c>
      <c r="F35" s="111">
        <v>0.8</v>
      </c>
      <c r="G35" s="111">
        <v>0</v>
      </c>
      <c r="H35" s="111">
        <v>0.8</v>
      </c>
      <c r="I35" s="111">
        <v>0.8</v>
      </c>
      <c r="J35" s="111">
        <v>0.8</v>
      </c>
      <c r="K35" s="111">
        <v>0</v>
      </c>
      <c r="L35" s="111">
        <v>0</v>
      </c>
      <c r="M35" s="111">
        <v>0</v>
      </c>
      <c r="N35" s="111">
        <v>0</v>
      </c>
      <c r="O35" s="111">
        <v>0</v>
      </c>
      <c r="P35" s="111">
        <v>0</v>
      </c>
      <c r="Q35" s="111">
        <v>0</v>
      </c>
      <c r="R35" s="111">
        <v>0</v>
      </c>
      <c r="S35" s="111">
        <v>0</v>
      </c>
      <c r="T35" s="111">
        <v>0</v>
      </c>
      <c r="U35" s="111">
        <v>0</v>
      </c>
      <c r="V35" s="111">
        <v>0</v>
      </c>
      <c r="W35" s="111">
        <v>0</v>
      </c>
      <c r="X35" s="111">
        <v>0</v>
      </c>
      <c r="Y35" s="111">
        <v>0</v>
      </c>
      <c r="Z35" s="111">
        <v>0</v>
      </c>
      <c r="AA35" s="111">
        <v>0</v>
      </c>
      <c r="AB35" s="111">
        <v>0</v>
      </c>
      <c r="AC35" s="111">
        <v>0</v>
      </c>
      <c r="AD35" s="111">
        <v>0</v>
      </c>
      <c r="AE35" s="111">
        <v>0</v>
      </c>
      <c r="AF35" s="111">
        <v>0</v>
      </c>
      <c r="AG35" s="111">
        <v>0</v>
      </c>
      <c r="AH35" s="111">
        <v>0</v>
      </c>
      <c r="AI35" s="111">
        <v>0</v>
      </c>
      <c r="AJ35" s="111">
        <v>0</v>
      </c>
      <c r="AK35" s="111">
        <v>0</v>
      </c>
      <c r="AL35" s="111">
        <v>0</v>
      </c>
      <c r="AM35" s="111">
        <v>0</v>
      </c>
      <c r="AN35" s="111">
        <v>0</v>
      </c>
      <c r="AO35" s="111">
        <v>0</v>
      </c>
      <c r="AP35" s="111">
        <v>0</v>
      </c>
      <c r="AQ35" s="111">
        <v>0</v>
      </c>
      <c r="AR35" s="111">
        <v>0</v>
      </c>
      <c r="AS35" s="111">
        <v>0</v>
      </c>
      <c r="AT35" s="111">
        <v>0</v>
      </c>
    </row>
    <row r="36" spans="1:46" x14ac:dyDescent="0.15">
      <c r="A36" s="188" t="s">
        <v>225</v>
      </c>
      <c r="B36" s="111">
        <v>0.8</v>
      </c>
      <c r="C36" s="111">
        <v>0</v>
      </c>
      <c r="D36" s="111">
        <v>0</v>
      </c>
      <c r="E36" s="111">
        <v>0</v>
      </c>
      <c r="F36" s="111">
        <v>0</v>
      </c>
      <c r="G36" s="111">
        <v>0</v>
      </c>
      <c r="H36" s="111">
        <v>0.8</v>
      </c>
      <c r="I36" s="111">
        <v>0</v>
      </c>
      <c r="J36" s="111">
        <v>0</v>
      </c>
      <c r="K36" s="111">
        <v>0</v>
      </c>
      <c r="L36" s="111">
        <v>0</v>
      </c>
      <c r="M36" s="111">
        <v>0</v>
      </c>
      <c r="N36" s="111">
        <v>0</v>
      </c>
      <c r="O36" s="111">
        <v>0</v>
      </c>
      <c r="P36" s="111">
        <v>0</v>
      </c>
      <c r="Q36" s="111">
        <v>0</v>
      </c>
      <c r="R36" s="111">
        <v>0</v>
      </c>
      <c r="S36" s="111">
        <v>0</v>
      </c>
      <c r="T36" s="111">
        <v>0</v>
      </c>
      <c r="U36" s="111">
        <v>0</v>
      </c>
      <c r="V36" s="111">
        <v>0</v>
      </c>
      <c r="W36" s="111">
        <v>0</v>
      </c>
      <c r="X36" s="111">
        <v>0</v>
      </c>
      <c r="Y36" s="111">
        <v>0</v>
      </c>
      <c r="Z36" s="111">
        <v>0</v>
      </c>
      <c r="AA36" s="111">
        <v>0</v>
      </c>
      <c r="AB36" s="111">
        <v>0</v>
      </c>
      <c r="AC36" s="111">
        <v>0</v>
      </c>
      <c r="AD36" s="111">
        <v>0</v>
      </c>
      <c r="AE36" s="111">
        <v>0</v>
      </c>
      <c r="AF36" s="111">
        <v>0</v>
      </c>
      <c r="AG36" s="111">
        <v>0</v>
      </c>
      <c r="AH36" s="111">
        <v>0</v>
      </c>
      <c r="AI36" s="111">
        <v>0.8</v>
      </c>
      <c r="AJ36" s="111">
        <v>0</v>
      </c>
      <c r="AK36" s="111">
        <v>0</v>
      </c>
      <c r="AL36" s="111">
        <v>0</v>
      </c>
      <c r="AM36" s="111">
        <v>0</v>
      </c>
      <c r="AN36" s="111">
        <v>0</v>
      </c>
      <c r="AO36" s="111">
        <v>0</v>
      </c>
      <c r="AP36" s="111">
        <v>0</v>
      </c>
      <c r="AQ36" s="111">
        <v>0</v>
      </c>
      <c r="AR36" s="111">
        <v>0</v>
      </c>
      <c r="AS36" s="111">
        <v>0</v>
      </c>
      <c r="AT36" s="111">
        <v>0</v>
      </c>
    </row>
    <row r="37" spans="1:46" x14ac:dyDescent="0.15">
      <c r="A37" s="188" t="s">
        <v>226</v>
      </c>
      <c r="B37" s="111">
        <v>0.8</v>
      </c>
      <c r="C37" s="111">
        <v>0</v>
      </c>
      <c r="D37" s="111">
        <v>0</v>
      </c>
      <c r="E37" s="111">
        <v>0</v>
      </c>
      <c r="F37" s="111">
        <v>0</v>
      </c>
      <c r="G37" s="111">
        <v>0.8</v>
      </c>
      <c r="H37" s="111">
        <v>0.8</v>
      </c>
      <c r="I37" s="111">
        <v>0</v>
      </c>
      <c r="J37" s="111">
        <v>0.8</v>
      </c>
      <c r="K37" s="111">
        <v>0</v>
      </c>
      <c r="L37" s="111">
        <v>0</v>
      </c>
      <c r="M37" s="111">
        <v>0</v>
      </c>
      <c r="N37" s="111">
        <v>0</v>
      </c>
      <c r="O37" s="111">
        <v>0</v>
      </c>
      <c r="P37" s="111">
        <v>0</v>
      </c>
      <c r="Q37" s="111">
        <v>0</v>
      </c>
      <c r="R37" s="111">
        <v>0</v>
      </c>
      <c r="S37" s="111">
        <v>0</v>
      </c>
      <c r="T37" s="111">
        <v>0</v>
      </c>
      <c r="U37" s="111">
        <v>0</v>
      </c>
      <c r="V37" s="111">
        <v>0.8</v>
      </c>
      <c r="W37" s="111">
        <v>0</v>
      </c>
      <c r="X37" s="111">
        <v>0</v>
      </c>
      <c r="Y37" s="111">
        <v>0</v>
      </c>
      <c r="Z37" s="111">
        <v>0</v>
      </c>
      <c r="AA37" s="111">
        <v>0</v>
      </c>
      <c r="AB37" s="111">
        <v>0</v>
      </c>
      <c r="AC37" s="111">
        <v>0</v>
      </c>
      <c r="AD37" s="111">
        <v>0</v>
      </c>
      <c r="AE37" s="111">
        <v>0</v>
      </c>
      <c r="AF37" s="111">
        <v>0</v>
      </c>
      <c r="AG37" s="111">
        <v>0.8</v>
      </c>
      <c r="AH37" s="111">
        <v>0</v>
      </c>
      <c r="AI37" s="111">
        <v>0.8</v>
      </c>
      <c r="AJ37" s="111">
        <v>0</v>
      </c>
      <c r="AK37" s="111">
        <v>0</v>
      </c>
      <c r="AL37" s="111">
        <v>0</v>
      </c>
      <c r="AM37" s="111">
        <v>0</v>
      </c>
      <c r="AN37" s="111">
        <v>0</v>
      </c>
      <c r="AO37" s="111">
        <v>0</v>
      </c>
      <c r="AP37" s="111">
        <v>0</v>
      </c>
      <c r="AQ37" s="111">
        <v>0</v>
      </c>
      <c r="AR37" s="111">
        <v>0</v>
      </c>
      <c r="AS37" s="111">
        <v>0</v>
      </c>
      <c r="AT37" s="111">
        <v>0</v>
      </c>
    </row>
    <row r="38" spans="1:46" x14ac:dyDescent="0.15">
      <c r="A38" s="188" t="s">
        <v>227</v>
      </c>
      <c r="B38" s="111">
        <v>0.8</v>
      </c>
      <c r="C38" s="111">
        <v>0.8</v>
      </c>
      <c r="D38" s="111">
        <v>0</v>
      </c>
      <c r="E38" s="111">
        <v>0</v>
      </c>
      <c r="F38" s="111">
        <v>0.8</v>
      </c>
      <c r="G38" s="111">
        <v>0</v>
      </c>
      <c r="H38" s="111">
        <v>0.8</v>
      </c>
      <c r="I38" s="111">
        <v>0.8</v>
      </c>
      <c r="J38" s="111">
        <v>0.8</v>
      </c>
      <c r="K38" s="111">
        <v>0</v>
      </c>
      <c r="L38" s="111">
        <v>0</v>
      </c>
      <c r="M38" s="111">
        <v>0</v>
      </c>
      <c r="N38" s="111">
        <v>0</v>
      </c>
      <c r="O38" s="111">
        <v>0</v>
      </c>
      <c r="P38" s="111">
        <v>0</v>
      </c>
      <c r="Q38" s="111">
        <v>0</v>
      </c>
      <c r="R38" s="111">
        <v>0</v>
      </c>
      <c r="S38" s="111">
        <v>0</v>
      </c>
      <c r="T38" s="111">
        <v>0</v>
      </c>
      <c r="U38" s="111">
        <v>0</v>
      </c>
      <c r="V38" s="111">
        <v>0.8</v>
      </c>
      <c r="W38" s="111">
        <v>0</v>
      </c>
      <c r="X38" s="111">
        <v>0</v>
      </c>
      <c r="Y38" s="111">
        <v>0</v>
      </c>
      <c r="Z38" s="111">
        <v>0</v>
      </c>
      <c r="AA38" s="111">
        <v>0</v>
      </c>
      <c r="AB38" s="111">
        <v>0</v>
      </c>
      <c r="AC38" s="111">
        <v>0</v>
      </c>
      <c r="AD38" s="111">
        <v>0</v>
      </c>
      <c r="AE38" s="111">
        <v>0</v>
      </c>
      <c r="AF38" s="111">
        <v>0</v>
      </c>
      <c r="AG38" s="111">
        <v>0.8</v>
      </c>
      <c r="AH38" s="111">
        <v>0</v>
      </c>
      <c r="AI38" s="111">
        <v>0.8</v>
      </c>
      <c r="AJ38" s="111">
        <v>0</v>
      </c>
      <c r="AK38" s="111">
        <v>0.8</v>
      </c>
      <c r="AL38" s="111">
        <v>0.8</v>
      </c>
      <c r="AM38" s="111">
        <v>0.8</v>
      </c>
      <c r="AN38" s="111">
        <v>0</v>
      </c>
      <c r="AO38" s="111">
        <v>0</v>
      </c>
      <c r="AP38" s="111">
        <v>0</v>
      </c>
      <c r="AQ38" s="111">
        <v>0</v>
      </c>
      <c r="AR38" s="111">
        <v>0</v>
      </c>
      <c r="AS38" s="111">
        <v>0</v>
      </c>
      <c r="AT38" s="111">
        <v>0</v>
      </c>
    </row>
    <row r="39" spans="1:46" x14ac:dyDescent="0.15">
      <c r="A39" s="188" t="s">
        <v>228</v>
      </c>
      <c r="B39" s="111">
        <v>0.8</v>
      </c>
      <c r="C39" s="111">
        <v>0.8</v>
      </c>
      <c r="D39" s="111">
        <v>0</v>
      </c>
      <c r="E39" s="111">
        <v>0.8</v>
      </c>
      <c r="F39" s="111">
        <v>0.8</v>
      </c>
      <c r="G39" s="111">
        <v>0.8</v>
      </c>
      <c r="H39" s="111">
        <v>0.8</v>
      </c>
      <c r="I39" s="111">
        <v>0.8</v>
      </c>
      <c r="J39" s="111">
        <v>0.8</v>
      </c>
      <c r="K39" s="111">
        <v>0.8</v>
      </c>
      <c r="L39" s="111">
        <v>0.8</v>
      </c>
      <c r="M39" s="111">
        <v>0.8</v>
      </c>
      <c r="N39" s="111">
        <v>0</v>
      </c>
      <c r="O39" s="111">
        <v>0.8</v>
      </c>
      <c r="P39" s="111">
        <v>0</v>
      </c>
      <c r="Q39" s="111">
        <v>0</v>
      </c>
      <c r="R39" s="111">
        <v>0</v>
      </c>
      <c r="S39" s="111">
        <v>0.8</v>
      </c>
      <c r="T39" s="111">
        <v>0.8</v>
      </c>
      <c r="U39" s="111">
        <v>0</v>
      </c>
      <c r="V39" s="111">
        <v>0.8</v>
      </c>
      <c r="W39" s="111">
        <v>0</v>
      </c>
      <c r="X39" s="111">
        <v>0.8</v>
      </c>
      <c r="Y39" s="111">
        <v>0</v>
      </c>
      <c r="Z39" s="111">
        <v>0</v>
      </c>
      <c r="AA39" s="111">
        <v>0</v>
      </c>
      <c r="AB39" s="111">
        <v>0</v>
      </c>
      <c r="AC39" s="111">
        <v>0.8</v>
      </c>
      <c r="AD39" s="111">
        <v>0.8</v>
      </c>
      <c r="AE39" s="111">
        <v>0</v>
      </c>
      <c r="AF39" s="111">
        <v>0</v>
      </c>
      <c r="AG39" s="111">
        <v>0.8</v>
      </c>
      <c r="AH39" s="111">
        <v>0.8</v>
      </c>
      <c r="AI39" s="111">
        <v>0.8</v>
      </c>
      <c r="AJ39" s="111">
        <v>0</v>
      </c>
      <c r="AK39" s="111">
        <v>0</v>
      </c>
      <c r="AL39" s="111">
        <v>0.8</v>
      </c>
      <c r="AM39" s="111">
        <v>0.8</v>
      </c>
      <c r="AN39" s="111">
        <v>0</v>
      </c>
      <c r="AO39" s="111">
        <v>0</v>
      </c>
      <c r="AP39" s="111">
        <v>0</v>
      </c>
      <c r="AQ39" s="111">
        <v>0</v>
      </c>
      <c r="AR39" s="111">
        <v>0</v>
      </c>
      <c r="AS39" s="111">
        <v>0</v>
      </c>
      <c r="AT39" s="111">
        <v>0</v>
      </c>
    </row>
    <row r="40" spans="1:46" x14ac:dyDescent="0.15">
      <c r="A40" s="188" t="s">
        <v>229</v>
      </c>
      <c r="B40" s="111">
        <v>0</v>
      </c>
      <c r="C40" s="111">
        <v>0</v>
      </c>
      <c r="D40" s="111">
        <v>0</v>
      </c>
      <c r="E40" s="111">
        <v>0.8</v>
      </c>
      <c r="F40" s="111">
        <v>0.8</v>
      </c>
      <c r="G40" s="111">
        <v>0.8</v>
      </c>
      <c r="H40" s="111">
        <v>0.8</v>
      </c>
      <c r="I40" s="111">
        <v>0.8</v>
      </c>
      <c r="J40" s="111">
        <v>0.8</v>
      </c>
      <c r="K40" s="111">
        <v>0.8</v>
      </c>
      <c r="L40" s="111">
        <v>0.8</v>
      </c>
      <c r="M40" s="111">
        <v>0.8</v>
      </c>
      <c r="N40" s="111">
        <v>0.8</v>
      </c>
      <c r="O40" s="111">
        <v>0.8</v>
      </c>
      <c r="P40" s="111">
        <v>0</v>
      </c>
      <c r="Q40" s="111">
        <v>0</v>
      </c>
      <c r="R40" s="111">
        <v>0.8</v>
      </c>
      <c r="S40" s="111">
        <v>0.8</v>
      </c>
      <c r="T40" s="111">
        <v>0.8</v>
      </c>
      <c r="U40" s="111">
        <v>0.8</v>
      </c>
      <c r="V40" s="111">
        <v>0.8</v>
      </c>
      <c r="W40" s="111">
        <v>0.8</v>
      </c>
      <c r="X40" s="111">
        <v>0.8</v>
      </c>
      <c r="Y40" s="111">
        <v>0.8</v>
      </c>
      <c r="Z40" s="111">
        <v>0.8</v>
      </c>
      <c r="AA40" s="111">
        <v>0.8</v>
      </c>
      <c r="AB40" s="111">
        <v>0.8</v>
      </c>
      <c r="AC40" s="111">
        <v>0.8</v>
      </c>
      <c r="AD40" s="111">
        <v>0.8</v>
      </c>
      <c r="AE40" s="111">
        <v>0.8</v>
      </c>
      <c r="AF40" s="111">
        <v>0.8</v>
      </c>
      <c r="AG40" s="111">
        <v>0.8</v>
      </c>
      <c r="AH40" s="111">
        <v>0.8</v>
      </c>
      <c r="AI40" s="111">
        <v>0.8</v>
      </c>
      <c r="AJ40" s="111">
        <v>0</v>
      </c>
      <c r="AK40" s="111">
        <v>0.8</v>
      </c>
      <c r="AL40" s="111">
        <v>0.8</v>
      </c>
      <c r="AM40" s="111">
        <v>0.8</v>
      </c>
      <c r="AN40" s="111">
        <v>0.8</v>
      </c>
      <c r="AO40" s="111">
        <v>0</v>
      </c>
      <c r="AP40" s="111">
        <v>0</v>
      </c>
      <c r="AQ40" s="111">
        <v>0</v>
      </c>
      <c r="AR40" s="111">
        <v>0</v>
      </c>
      <c r="AS40" s="111">
        <v>0</v>
      </c>
      <c r="AT40" s="111">
        <v>0</v>
      </c>
    </row>
    <row r="41" spans="1:46" x14ac:dyDescent="0.15">
      <c r="A41" s="188" t="s">
        <v>230</v>
      </c>
      <c r="B41" s="111">
        <v>0</v>
      </c>
      <c r="C41" s="111">
        <v>0.8</v>
      </c>
      <c r="D41" s="111">
        <v>0</v>
      </c>
      <c r="E41" s="111">
        <v>0.8</v>
      </c>
      <c r="F41" s="111">
        <v>0.8</v>
      </c>
      <c r="G41" s="111">
        <v>0.8</v>
      </c>
      <c r="H41" s="111">
        <v>0.8</v>
      </c>
      <c r="I41" s="111">
        <v>0.8</v>
      </c>
      <c r="J41" s="111">
        <v>0.8</v>
      </c>
      <c r="K41" s="111">
        <v>0.8</v>
      </c>
      <c r="L41" s="111">
        <v>0.8</v>
      </c>
      <c r="M41" s="111">
        <v>0.8</v>
      </c>
      <c r="N41" s="111">
        <v>0</v>
      </c>
      <c r="O41" s="111">
        <v>0.8</v>
      </c>
      <c r="P41" s="111">
        <v>0.8</v>
      </c>
      <c r="Q41" s="111">
        <v>0.8</v>
      </c>
      <c r="R41" s="111">
        <v>0</v>
      </c>
      <c r="S41" s="111">
        <v>0</v>
      </c>
      <c r="T41" s="111">
        <v>0</v>
      </c>
      <c r="U41" s="111">
        <v>0</v>
      </c>
      <c r="V41" s="111">
        <v>0.8</v>
      </c>
      <c r="W41" s="111">
        <v>0.8</v>
      </c>
      <c r="X41" s="111">
        <v>0.8</v>
      </c>
      <c r="Y41" s="111">
        <v>0.8</v>
      </c>
      <c r="Z41" s="111">
        <v>0.8</v>
      </c>
      <c r="AA41" s="111">
        <v>0.8</v>
      </c>
      <c r="AB41" s="111">
        <v>0.8</v>
      </c>
      <c r="AC41" s="111">
        <v>0.8</v>
      </c>
      <c r="AD41" s="111">
        <v>0.8</v>
      </c>
      <c r="AE41" s="111">
        <v>0</v>
      </c>
      <c r="AF41" s="111">
        <v>0.8</v>
      </c>
      <c r="AG41" s="111">
        <v>0.8</v>
      </c>
      <c r="AH41" s="111">
        <v>0.8</v>
      </c>
      <c r="AI41" s="111">
        <v>0</v>
      </c>
      <c r="AJ41" s="111">
        <v>0.8</v>
      </c>
      <c r="AK41" s="111">
        <v>0</v>
      </c>
      <c r="AL41" s="111">
        <v>0.8</v>
      </c>
      <c r="AM41" s="111">
        <v>0.8</v>
      </c>
      <c r="AN41" s="111">
        <v>0.8</v>
      </c>
      <c r="AO41" s="111">
        <v>0.8</v>
      </c>
      <c r="AP41" s="111">
        <v>0</v>
      </c>
      <c r="AQ41" s="111">
        <v>0</v>
      </c>
      <c r="AR41" s="111">
        <v>0</v>
      </c>
      <c r="AS41" s="111">
        <v>0</v>
      </c>
      <c r="AT41" s="111">
        <v>0</v>
      </c>
    </row>
    <row r="42" spans="1:46" x14ac:dyDescent="0.15">
      <c r="A42" s="188" t="s">
        <v>231</v>
      </c>
      <c r="B42" s="111">
        <v>0.8</v>
      </c>
      <c r="C42" s="111">
        <v>0</v>
      </c>
      <c r="D42" s="111">
        <v>0.8</v>
      </c>
      <c r="E42" s="111">
        <v>0.8</v>
      </c>
      <c r="F42" s="111">
        <v>0.8</v>
      </c>
      <c r="G42" s="111">
        <v>0.8</v>
      </c>
      <c r="H42" s="111">
        <v>0.8</v>
      </c>
      <c r="I42" s="111">
        <v>0.8</v>
      </c>
      <c r="J42" s="111">
        <v>0.8</v>
      </c>
      <c r="K42" s="111">
        <v>0.8</v>
      </c>
      <c r="L42" s="111">
        <v>0</v>
      </c>
      <c r="M42" s="111">
        <v>0.8</v>
      </c>
      <c r="N42" s="111">
        <v>0</v>
      </c>
      <c r="O42" s="111">
        <v>0.8</v>
      </c>
      <c r="P42" s="111">
        <v>0</v>
      </c>
      <c r="Q42" s="111">
        <v>0</v>
      </c>
      <c r="R42" s="111">
        <v>0.8</v>
      </c>
      <c r="S42" s="111">
        <v>0</v>
      </c>
      <c r="T42" s="111">
        <v>0</v>
      </c>
      <c r="U42" s="111">
        <v>0</v>
      </c>
      <c r="V42" s="111">
        <v>0.8</v>
      </c>
      <c r="W42" s="111">
        <v>0</v>
      </c>
      <c r="X42" s="111">
        <v>0.8</v>
      </c>
      <c r="Y42" s="111">
        <v>0</v>
      </c>
      <c r="Z42" s="111">
        <v>0.8</v>
      </c>
      <c r="AA42" s="111">
        <v>0.8</v>
      </c>
      <c r="AB42" s="111">
        <v>0</v>
      </c>
      <c r="AC42" s="111">
        <v>0.8</v>
      </c>
      <c r="AD42" s="111">
        <v>0.8</v>
      </c>
      <c r="AE42" s="111">
        <v>0</v>
      </c>
      <c r="AF42" s="111">
        <v>0.8</v>
      </c>
      <c r="AG42" s="111">
        <v>0.8</v>
      </c>
      <c r="AH42" s="111">
        <v>0.8</v>
      </c>
      <c r="AI42" s="111">
        <v>0.8</v>
      </c>
      <c r="AJ42" s="111">
        <v>0.8</v>
      </c>
      <c r="AK42" s="111">
        <v>0.8</v>
      </c>
      <c r="AL42" s="111">
        <v>0.8</v>
      </c>
      <c r="AM42" s="111">
        <v>0.8</v>
      </c>
      <c r="AN42" s="111">
        <v>0.8</v>
      </c>
      <c r="AO42" s="111">
        <v>0</v>
      </c>
      <c r="AP42" s="111">
        <v>0.8</v>
      </c>
      <c r="AQ42" s="111">
        <v>0</v>
      </c>
      <c r="AR42" s="111">
        <v>0</v>
      </c>
      <c r="AS42" s="111">
        <v>0</v>
      </c>
      <c r="AT42" s="111">
        <v>0</v>
      </c>
    </row>
    <row r="43" spans="1:46" x14ac:dyDescent="0.15">
      <c r="A43" s="188" t="s">
        <v>232</v>
      </c>
      <c r="B43" s="111">
        <v>0</v>
      </c>
      <c r="C43" s="111">
        <v>0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0</v>
      </c>
      <c r="J43" s="111">
        <v>0.8</v>
      </c>
      <c r="K43" s="111">
        <v>0.8</v>
      </c>
      <c r="L43" s="111">
        <v>0.8</v>
      </c>
      <c r="M43" s="111">
        <v>0.8</v>
      </c>
      <c r="N43" s="111">
        <v>0.8</v>
      </c>
      <c r="O43" s="111">
        <v>0.8</v>
      </c>
      <c r="P43" s="111">
        <v>0.8</v>
      </c>
      <c r="Q43" s="111">
        <v>0.8</v>
      </c>
      <c r="R43" s="111">
        <v>0.8</v>
      </c>
      <c r="S43" s="111">
        <v>0</v>
      </c>
      <c r="T43" s="111">
        <v>0</v>
      </c>
      <c r="U43" s="111">
        <v>0</v>
      </c>
      <c r="V43" s="111">
        <v>0.8</v>
      </c>
      <c r="W43" s="111">
        <v>0.8</v>
      </c>
      <c r="X43" s="111">
        <v>0</v>
      </c>
      <c r="Y43" s="111">
        <v>0</v>
      </c>
      <c r="Z43" s="111">
        <v>0.8</v>
      </c>
      <c r="AA43" s="111">
        <v>0.8</v>
      </c>
      <c r="AB43" s="111">
        <v>0</v>
      </c>
      <c r="AC43" s="111">
        <v>0.8</v>
      </c>
      <c r="AD43" s="111">
        <v>0</v>
      </c>
      <c r="AE43" s="111">
        <v>0</v>
      </c>
      <c r="AF43" s="111">
        <v>0.8</v>
      </c>
      <c r="AG43" s="111">
        <v>0.8</v>
      </c>
      <c r="AH43" s="111">
        <v>0.8</v>
      </c>
      <c r="AI43" s="111">
        <v>0.8</v>
      </c>
      <c r="AJ43" s="111">
        <v>0.8</v>
      </c>
      <c r="AK43" s="111">
        <v>0</v>
      </c>
      <c r="AL43" s="111">
        <v>0.8</v>
      </c>
      <c r="AM43" s="111">
        <v>0</v>
      </c>
      <c r="AN43" s="111">
        <v>0.8</v>
      </c>
      <c r="AO43" s="111">
        <v>0.8</v>
      </c>
      <c r="AP43" s="111">
        <v>0.8</v>
      </c>
      <c r="AQ43" s="111">
        <v>0</v>
      </c>
      <c r="AR43" s="111">
        <v>0</v>
      </c>
      <c r="AS43" s="111">
        <v>0</v>
      </c>
      <c r="AT43" s="111">
        <v>0</v>
      </c>
    </row>
    <row r="44" spans="1:46" x14ac:dyDescent="0.15">
      <c r="A44" s="188" t="s">
        <v>233</v>
      </c>
      <c r="B44" s="111">
        <v>0</v>
      </c>
      <c r="C44" s="111">
        <v>0</v>
      </c>
      <c r="D44" s="111">
        <v>0.8</v>
      </c>
      <c r="E44" s="111">
        <v>0</v>
      </c>
      <c r="F44" s="111">
        <v>0</v>
      </c>
      <c r="G44" s="111">
        <v>0.8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0.8</v>
      </c>
      <c r="P44" s="111">
        <v>0.8</v>
      </c>
      <c r="Q44" s="111">
        <v>0.8</v>
      </c>
      <c r="R44" s="111">
        <v>0.8</v>
      </c>
      <c r="S44" s="111">
        <v>0</v>
      </c>
      <c r="T44" s="111">
        <v>0</v>
      </c>
      <c r="U44" s="111">
        <v>0</v>
      </c>
      <c r="V44" s="111">
        <v>0.8</v>
      </c>
      <c r="W44" s="111">
        <v>0</v>
      </c>
      <c r="X44" s="111">
        <v>0</v>
      </c>
      <c r="Y44" s="111">
        <v>0</v>
      </c>
      <c r="Z44" s="111">
        <v>0.8</v>
      </c>
      <c r="AA44" s="111">
        <v>0.8</v>
      </c>
      <c r="AB44" s="111">
        <v>0</v>
      </c>
      <c r="AC44" s="111">
        <v>0.8</v>
      </c>
      <c r="AD44" s="111">
        <v>0</v>
      </c>
      <c r="AE44" s="111">
        <v>0</v>
      </c>
      <c r="AF44" s="111">
        <v>0.8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0.8</v>
      </c>
      <c r="AP44" s="111">
        <v>0.8</v>
      </c>
      <c r="AQ44" s="111">
        <v>0.8</v>
      </c>
      <c r="AR44" s="111">
        <v>0</v>
      </c>
      <c r="AS44" s="111">
        <v>0</v>
      </c>
      <c r="AT44" s="111">
        <v>0</v>
      </c>
    </row>
    <row r="45" spans="1:46" x14ac:dyDescent="0.15">
      <c r="A45" s="188" t="s">
        <v>234</v>
      </c>
      <c r="B45" s="111">
        <v>0</v>
      </c>
      <c r="C45" s="111">
        <v>0</v>
      </c>
      <c r="D45" s="111">
        <v>0</v>
      </c>
      <c r="E45" s="111">
        <v>0</v>
      </c>
      <c r="F45" s="111">
        <v>0.8</v>
      </c>
      <c r="G45" s="111">
        <v>0.8</v>
      </c>
      <c r="H45" s="111">
        <v>0</v>
      </c>
      <c r="I45" s="111">
        <v>0</v>
      </c>
      <c r="J45" s="111">
        <v>0</v>
      </c>
      <c r="K45" s="111">
        <v>0.8</v>
      </c>
      <c r="L45" s="111">
        <v>0</v>
      </c>
      <c r="M45" s="111">
        <v>0.8</v>
      </c>
      <c r="N45" s="111">
        <v>0</v>
      </c>
      <c r="O45" s="111">
        <v>0.8</v>
      </c>
      <c r="P45" s="111">
        <v>0.8</v>
      </c>
      <c r="Q45" s="111">
        <v>0</v>
      </c>
      <c r="R45" s="111">
        <v>0.8</v>
      </c>
      <c r="S45" s="111">
        <v>0</v>
      </c>
      <c r="T45" s="111">
        <v>0.8</v>
      </c>
      <c r="U45" s="111">
        <v>0</v>
      </c>
      <c r="V45" s="111">
        <v>0</v>
      </c>
      <c r="W45" s="111">
        <v>0.8</v>
      </c>
      <c r="X45" s="111">
        <v>0</v>
      </c>
      <c r="Y45" s="111">
        <v>0</v>
      </c>
      <c r="Z45" s="111">
        <v>0.8</v>
      </c>
      <c r="AA45" s="111">
        <v>0.8</v>
      </c>
      <c r="AB45" s="111">
        <v>0</v>
      </c>
      <c r="AC45" s="111">
        <v>0.8</v>
      </c>
      <c r="AD45" s="111">
        <v>0.8</v>
      </c>
      <c r="AE45" s="111">
        <v>0</v>
      </c>
      <c r="AF45" s="111">
        <v>0.8</v>
      </c>
      <c r="AG45" s="111">
        <v>0</v>
      </c>
      <c r="AH45" s="111">
        <v>0</v>
      </c>
      <c r="AI45" s="111">
        <v>0</v>
      </c>
      <c r="AJ45" s="111">
        <v>0</v>
      </c>
      <c r="AK45" s="111">
        <v>0</v>
      </c>
      <c r="AL45" s="111">
        <v>0</v>
      </c>
      <c r="AM45" s="111">
        <v>0</v>
      </c>
      <c r="AN45" s="111">
        <v>0.8</v>
      </c>
      <c r="AO45" s="111">
        <v>0.8</v>
      </c>
      <c r="AP45" s="111">
        <v>0.8</v>
      </c>
      <c r="AQ45" s="111">
        <v>0.8</v>
      </c>
      <c r="AR45" s="111">
        <v>0</v>
      </c>
      <c r="AS45" s="111">
        <v>0</v>
      </c>
      <c r="AT45" s="111">
        <v>0</v>
      </c>
    </row>
    <row r="46" spans="1:46" x14ac:dyDescent="0.15">
      <c r="A46" s="188" t="s">
        <v>235</v>
      </c>
      <c r="B46" s="111">
        <v>0</v>
      </c>
      <c r="C46" s="111">
        <v>0</v>
      </c>
      <c r="D46" s="111">
        <v>0</v>
      </c>
      <c r="E46" s="111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0</v>
      </c>
      <c r="L46" s="111">
        <v>0</v>
      </c>
      <c r="M46" s="111">
        <v>0</v>
      </c>
      <c r="N46" s="111">
        <v>0</v>
      </c>
      <c r="O46" s="111">
        <v>0</v>
      </c>
      <c r="P46" s="111">
        <v>0</v>
      </c>
      <c r="Q46" s="111">
        <v>0</v>
      </c>
      <c r="R46" s="111">
        <v>0</v>
      </c>
      <c r="S46" s="111">
        <v>0</v>
      </c>
      <c r="T46" s="111">
        <v>0</v>
      </c>
      <c r="U46" s="111">
        <v>0</v>
      </c>
      <c r="V46" s="111">
        <v>0</v>
      </c>
      <c r="W46" s="111">
        <v>0</v>
      </c>
      <c r="X46" s="111">
        <v>0</v>
      </c>
      <c r="Y46" s="111">
        <v>0</v>
      </c>
      <c r="Z46" s="111">
        <v>0</v>
      </c>
      <c r="AA46" s="111">
        <v>0</v>
      </c>
      <c r="AB46" s="111">
        <v>0</v>
      </c>
      <c r="AC46" s="111">
        <v>0</v>
      </c>
      <c r="AD46" s="111">
        <v>0</v>
      </c>
      <c r="AE46" s="111">
        <v>0</v>
      </c>
      <c r="AF46" s="111">
        <v>0</v>
      </c>
      <c r="AG46" s="111">
        <v>0</v>
      </c>
      <c r="AH46" s="111">
        <v>0</v>
      </c>
      <c r="AI46" s="111">
        <v>0</v>
      </c>
      <c r="AJ46" s="111">
        <v>0</v>
      </c>
      <c r="AK46" s="111">
        <v>0</v>
      </c>
      <c r="AL46" s="111">
        <v>0</v>
      </c>
      <c r="AM46" s="111">
        <v>0</v>
      </c>
      <c r="AN46" s="111">
        <v>0</v>
      </c>
      <c r="AO46" s="111">
        <v>0</v>
      </c>
      <c r="AP46" s="111">
        <v>0</v>
      </c>
      <c r="AQ46" s="111">
        <v>0</v>
      </c>
      <c r="AR46" s="111">
        <v>0</v>
      </c>
      <c r="AS46" s="111">
        <v>0</v>
      </c>
      <c r="AT46" s="111">
        <v>0</v>
      </c>
    </row>
    <row r="47" spans="1:46" x14ac:dyDescent="0.15">
      <c r="A47" s="188" t="s">
        <v>238</v>
      </c>
      <c r="B47" s="111">
        <v>0</v>
      </c>
      <c r="C47" s="111">
        <v>0</v>
      </c>
      <c r="D47" s="111">
        <v>0</v>
      </c>
      <c r="E47" s="111">
        <v>0.8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0</v>
      </c>
      <c r="L47" s="111">
        <v>0</v>
      </c>
      <c r="M47" s="111">
        <v>0</v>
      </c>
      <c r="N47" s="111">
        <v>0</v>
      </c>
      <c r="O47" s="111">
        <v>0.8</v>
      </c>
      <c r="P47" s="111">
        <v>0</v>
      </c>
      <c r="Q47" s="111">
        <v>0</v>
      </c>
      <c r="R47" s="111">
        <v>0</v>
      </c>
      <c r="S47" s="111">
        <v>0</v>
      </c>
      <c r="T47" s="111">
        <v>0</v>
      </c>
      <c r="U47" s="111">
        <v>0</v>
      </c>
      <c r="V47" s="111">
        <v>0</v>
      </c>
      <c r="W47" s="111">
        <v>0</v>
      </c>
      <c r="X47" s="111">
        <v>0</v>
      </c>
      <c r="Y47" s="111">
        <v>0</v>
      </c>
      <c r="Z47" s="111">
        <v>0</v>
      </c>
      <c r="AA47" s="111">
        <v>0</v>
      </c>
      <c r="AB47" s="111">
        <v>0</v>
      </c>
      <c r="AC47" s="111">
        <v>0</v>
      </c>
      <c r="AD47" s="111">
        <v>0</v>
      </c>
      <c r="AE47" s="111">
        <v>0</v>
      </c>
      <c r="AF47" s="111">
        <v>0.8</v>
      </c>
      <c r="AG47" s="111">
        <v>0</v>
      </c>
      <c r="AH47" s="111">
        <v>0</v>
      </c>
      <c r="AI47" s="111">
        <v>0</v>
      </c>
      <c r="AJ47" s="111">
        <v>0</v>
      </c>
      <c r="AK47" s="111">
        <v>0</v>
      </c>
      <c r="AL47" s="111">
        <v>0</v>
      </c>
      <c r="AM47" s="111">
        <v>0</v>
      </c>
      <c r="AN47" s="111">
        <v>0</v>
      </c>
      <c r="AO47" s="111">
        <v>0</v>
      </c>
      <c r="AP47" s="111">
        <v>0</v>
      </c>
      <c r="AQ47" s="111">
        <v>0</v>
      </c>
      <c r="AR47" s="111">
        <v>0</v>
      </c>
      <c r="AS47" s="111">
        <v>0</v>
      </c>
      <c r="AT47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T47"/>
  <sheetViews>
    <sheetView workbookViewId="0">
      <selection activeCell="A3" sqref="A3"/>
    </sheetView>
  </sheetViews>
  <sheetFormatPr baseColWidth="10" defaultRowHeight="13" x14ac:dyDescent="0.15"/>
  <cols>
    <col min="1" max="1" width="27.5" style="111" bestFit="1" customWidth="1"/>
    <col min="2" max="46" width="2.33203125" style="111" customWidth="1"/>
    <col min="47" max="16384" width="10.83203125" style="111"/>
  </cols>
  <sheetData>
    <row r="1" spans="1:46" x14ac:dyDescent="0.15">
      <c r="A1" s="63" t="s">
        <v>139</v>
      </c>
      <c r="B1" s="191" t="s">
        <v>191</v>
      </c>
      <c r="C1" s="191" t="s">
        <v>192</v>
      </c>
      <c r="D1" s="191" t="s">
        <v>193</v>
      </c>
      <c r="E1" s="191" t="s">
        <v>194</v>
      </c>
      <c r="F1" s="191" t="s">
        <v>195</v>
      </c>
      <c r="G1" s="191" t="s">
        <v>196</v>
      </c>
      <c r="H1" s="191" t="s">
        <v>197</v>
      </c>
      <c r="I1" s="191" t="s">
        <v>198</v>
      </c>
      <c r="J1" s="191" t="s">
        <v>199</v>
      </c>
      <c r="K1" s="191" t="s">
        <v>200</v>
      </c>
      <c r="L1" s="191" t="s">
        <v>201</v>
      </c>
      <c r="M1" s="191" t="s">
        <v>202</v>
      </c>
      <c r="N1" s="191" t="s">
        <v>203</v>
      </c>
      <c r="O1" s="191" t="s">
        <v>204</v>
      </c>
      <c r="P1" s="191" t="s">
        <v>205</v>
      </c>
      <c r="Q1" s="191" t="s">
        <v>206</v>
      </c>
      <c r="R1" s="191" t="s">
        <v>207</v>
      </c>
      <c r="S1" s="191" t="s">
        <v>208</v>
      </c>
      <c r="T1" s="191" t="s">
        <v>209</v>
      </c>
      <c r="U1" s="191" t="s">
        <v>210</v>
      </c>
      <c r="V1" s="191" t="s">
        <v>211</v>
      </c>
      <c r="W1" s="191" t="s">
        <v>212</v>
      </c>
      <c r="X1" s="191" t="s">
        <v>213</v>
      </c>
      <c r="Y1" s="191" t="s">
        <v>214</v>
      </c>
      <c r="Z1" s="191" t="s">
        <v>215</v>
      </c>
      <c r="AA1" s="191" t="s">
        <v>216</v>
      </c>
      <c r="AB1" s="191" t="s">
        <v>217</v>
      </c>
      <c r="AC1" s="191" t="s">
        <v>218</v>
      </c>
      <c r="AD1" s="191" t="s">
        <v>219</v>
      </c>
      <c r="AE1" s="191" t="s">
        <v>220</v>
      </c>
      <c r="AF1" s="191" t="s">
        <v>221</v>
      </c>
      <c r="AG1" s="191" t="s">
        <v>222</v>
      </c>
      <c r="AH1" s="191" t="s">
        <v>223</v>
      </c>
      <c r="AI1" s="191" t="s">
        <v>224</v>
      </c>
      <c r="AJ1" s="191" t="s">
        <v>225</v>
      </c>
      <c r="AK1" s="191" t="s">
        <v>226</v>
      </c>
      <c r="AL1" s="191" t="s">
        <v>227</v>
      </c>
      <c r="AM1" s="191" t="s">
        <v>228</v>
      </c>
      <c r="AN1" s="191" t="s">
        <v>229</v>
      </c>
      <c r="AO1" s="191" t="s">
        <v>230</v>
      </c>
      <c r="AP1" s="191" t="s">
        <v>231</v>
      </c>
      <c r="AQ1" s="191" t="s">
        <v>232</v>
      </c>
      <c r="AR1" s="191" t="s">
        <v>233</v>
      </c>
      <c r="AS1" s="191" t="s">
        <v>234</v>
      </c>
      <c r="AT1" s="191" t="s">
        <v>235</v>
      </c>
    </row>
    <row r="2" spans="1:46" customFormat="1" x14ac:dyDescent="0.15">
      <c r="A2" s="190" t="s">
        <v>191</v>
      </c>
      <c r="B2" s="111">
        <v>0</v>
      </c>
      <c r="C2" s="111">
        <v>0</v>
      </c>
      <c r="D2" s="111">
        <v>0</v>
      </c>
      <c r="E2" s="111">
        <v>0</v>
      </c>
      <c r="F2" s="111">
        <v>1</v>
      </c>
      <c r="G2" s="111">
        <v>1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  <c r="AL2" s="111">
        <v>0</v>
      </c>
      <c r="AM2" s="111">
        <v>0</v>
      </c>
      <c r="AN2" s="111">
        <v>0</v>
      </c>
      <c r="AO2" s="111">
        <v>0</v>
      </c>
      <c r="AP2" s="111">
        <v>0</v>
      </c>
      <c r="AQ2" s="111">
        <v>0</v>
      </c>
      <c r="AR2" s="111">
        <v>0</v>
      </c>
      <c r="AS2" s="111">
        <v>0</v>
      </c>
      <c r="AT2" s="111">
        <v>0</v>
      </c>
    </row>
    <row r="3" spans="1:46" customFormat="1" x14ac:dyDescent="0.15">
      <c r="A3" s="190" t="s">
        <v>192</v>
      </c>
      <c r="B3" s="111">
        <v>0</v>
      </c>
      <c r="C3" s="111">
        <v>1</v>
      </c>
      <c r="D3" s="111">
        <v>0</v>
      </c>
      <c r="E3" s="111">
        <v>0</v>
      </c>
      <c r="F3" s="111">
        <v>1</v>
      </c>
      <c r="G3" s="111">
        <v>1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0</v>
      </c>
      <c r="AN3" s="111">
        <v>0</v>
      </c>
      <c r="AO3" s="111">
        <v>0</v>
      </c>
      <c r="AP3" s="111">
        <v>0</v>
      </c>
      <c r="AQ3" s="111">
        <v>0</v>
      </c>
      <c r="AR3" s="111">
        <v>0</v>
      </c>
      <c r="AS3" s="111">
        <v>0</v>
      </c>
      <c r="AT3" s="111">
        <v>0</v>
      </c>
    </row>
    <row r="4" spans="1:46" customFormat="1" x14ac:dyDescent="0.15">
      <c r="A4" s="190" t="s">
        <v>193</v>
      </c>
      <c r="B4" s="111">
        <v>0</v>
      </c>
      <c r="C4" s="111">
        <v>1</v>
      </c>
      <c r="D4" s="111">
        <v>0</v>
      </c>
      <c r="E4" s="111">
        <v>0</v>
      </c>
      <c r="F4" s="111">
        <v>0</v>
      </c>
      <c r="G4" s="111">
        <v>1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1</v>
      </c>
      <c r="W4" s="111">
        <v>0</v>
      </c>
      <c r="X4" s="111">
        <v>0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  <c r="AL4" s="111">
        <v>0</v>
      </c>
      <c r="AM4" s="111">
        <v>0</v>
      </c>
      <c r="AN4" s="111">
        <v>0</v>
      </c>
      <c r="AO4" s="111">
        <v>0</v>
      </c>
      <c r="AP4" s="111">
        <v>0</v>
      </c>
      <c r="AQ4" s="111">
        <v>0</v>
      </c>
      <c r="AR4" s="111">
        <v>0</v>
      </c>
      <c r="AS4" s="111">
        <v>0</v>
      </c>
      <c r="AT4" s="111">
        <v>0</v>
      </c>
    </row>
    <row r="5" spans="1:46" customFormat="1" x14ac:dyDescent="0.15">
      <c r="A5" s="190" t="s">
        <v>194</v>
      </c>
      <c r="B5" s="111">
        <v>0</v>
      </c>
      <c r="C5" s="111">
        <v>0</v>
      </c>
      <c r="D5" s="111">
        <v>0</v>
      </c>
      <c r="E5" s="111">
        <v>0</v>
      </c>
      <c r="F5" s="111">
        <v>0</v>
      </c>
      <c r="G5" s="111">
        <v>1</v>
      </c>
      <c r="H5" s="111">
        <v>0</v>
      </c>
      <c r="I5" s="111">
        <v>0</v>
      </c>
      <c r="J5" s="111">
        <v>0</v>
      </c>
      <c r="K5" s="111">
        <v>0</v>
      </c>
      <c r="L5" s="111">
        <v>0</v>
      </c>
      <c r="M5" s="111">
        <v>0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</v>
      </c>
      <c r="AG5" s="111">
        <v>0</v>
      </c>
      <c r="AH5" s="111">
        <v>0</v>
      </c>
      <c r="AI5" s="111">
        <v>0</v>
      </c>
      <c r="AJ5" s="111">
        <v>0</v>
      </c>
      <c r="AK5" s="111">
        <v>0</v>
      </c>
      <c r="AL5" s="111">
        <v>0</v>
      </c>
      <c r="AM5" s="111">
        <v>0</v>
      </c>
      <c r="AN5" s="111">
        <v>0</v>
      </c>
      <c r="AO5" s="111">
        <v>0</v>
      </c>
      <c r="AP5" s="111">
        <v>0</v>
      </c>
      <c r="AQ5" s="111">
        <v>0</v>
      </c>
      <c r="AR5" s="111">
        <v>0</v>
      </c>
      <c r="AS5" s="111">
        <v>0</v>
      </c>
      <c r="AT5" s="111">
        <v>0</v>
      </c>
    </row>
    <row r="6" spans="1:46" customFormat="1" x14ac:dyDescent="0.15">
      <c r="A6" s="190" t="s">
        <v>195</v>
      </c>
      <c r="B6" s="111">
        <v>0</v>
      </c>
      <c r="C6" s="111">
        <v>0</v>
      </c>
      <c r="D6" s="111">
        <v>0</v>
      </c>
      <c r="E6" s="111">
        <v>0</v>
      </c>
      <c r="F6" s="111">
        <v>0</v>
      </c>
      <c r="G6" s="111">
        <v>1</v>
      </c>
      <c r="H6" s="111">
        <v>0</v>
      </c>
      <c r="I6" s="111">
        <v>0</v>
      </c>
      <c r="J6" s="111">
        <v>0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  <c r="AL6" s="111">
        <v>0</v>
      </c>
      <c r="AM6" s="111">
        <v>0</v>
      </c>
      <c r="AN6" s="111">
        <v>0</v>
      </c>
      <c r="AO6" s="111">
        <v>0</v>
      </c>
      <c r="AP6" s="111">
        <v>0</v>
      </c>
      <c r="AQ6" s="111">
        <v>0</v>
      </c>
      <c r="AR6" s="111">
        <v>0</v>
      </c>
      <c r="AS6" s="111">
        <v>0</v>
      </c>
      <c r="AT6" s="111">
        <v>0</v>
      </c>
    </row>
    <row r="7" spans="1:46" customFormat="1" x14ac:dyDescent="0.15">
      <c r="A7" s="190" t="s">
        <v>196</v>
      </c>
      <c r="B7" s="111">
        <v>0</v>
      </c>
      <c r="C7" s="111">
        <v>0</v>
      </c>
      <c r="D7" s="111">
        <v>0</v>
      </c>
      <c r="E7" s="111">
        <v>0</v>
      </c>
      <c r="F7" s="111">
        <v>0</v>
      </c>
      <c r="G7" s="111">
        <v>1</v>
      </c>
      <c r="H7" s="111">
        <v>0</v>
      </c>
      <c r="I7" s="111">
        <v>0</v>
      </c>
      <c r="J7" s="111">
        <v>0</v>
      </c>
      <c r="K7" s="111">
        <v>0</v>
      </c>
      <c r="L7" s="111">
        <v>0</v>
      </c>
      <c r="M7" s="111">
        <v>0</v>
      </c>
      <c r="N7" s="111">
        <v>0</v>
      </c>
      <c r="O7" s="111">
        <v>0</v>
      </c>
      <c r="P7" s="111">
        <v>0</v>
      </c>
      <c r="Q7" s="111">
        <v>0</v>
      </c>
      <c r="R7" s="111">
        <v>0</v>
      </c>
      <c r="S7" s="111">
        <v>0</v>
      </c>
      <c r="T7" s="111">
        <v>0</v>
      </c>
      <c r="U7" s="111">
        <v>0</v>
      </c>
      <c r="V7" s="111">
        <v>1</v>
      </c>
      <c r="W7" s="111">
        <v>0</v>
      </c>
      <c r="X7" s="111">
        <v>0</v>
      </c>
      <c r="Y7" s="111">
        <v>0</v>
      </c>
      <c r="Z7" s="111">
        <v>0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  <c r="AF7" s="111">
        <v>0</v>
      </c>
      <c r="AG7" s="111">
        <v>0</v>
      </c>
      <c r="AH7" s="111">
        <v>0</v>
      </c>
      <c r="AI7" s="111">
        <v>0</v>
      </c>
      <c r="AJ7" s="111">
        <v>0</v>
      </c>
      <c r="AK7" s="111">
        <v>0</v>
      </c>
      <c r="AL7" s="111">
        <v>0</v>
      </c>
      <c r="AM7" s="111">
        <v>0</v>
      </c>
      <c r="AN7" s="111">
        <v>0</v>
      </c>
      <c r="AO7" s="111">
        <v>0</v>
      </c>
      <c r="AP7" s="111">
        <v>0</v>
      </c>
      <c r="AQ7" s="111">
        <v>0</v>
      </c>
      <c r="AR7" s="111">
        <v>0</v>
      </c>
      <c r="AS7" s="111">
        <v>0</v>
      </c>
      <c r="AT7" s="111">
        <v>0</v>
      </c>
    </row>
    <row r="8" spans="1:46" customFormat="1" x14ac:dyDescent="0.15">
      <c r="A8" s="190" t="s">
        <v>197</v>
      </c>
      <c r="B8" s="111">
        <v>0</v>
      </c>
      <c r="C8" s="111">
        <v>0</v>
      </c>
      <c r="D8" s="111">
        <v>0</v>
      </c>
      <c r="E8" s="111">
        <v>0</v>
      </c>
      <c r="F8" s="111">
        <v>1</v>
      </c>
      <c r="G8" s="111">
        <v>1</v>
      </c>
      <c r="H8" s="111">
        <v>0</v>
      </c>
      <c r="I8" s="111">
        <v>0</v>
      </c>
      <c r="J8" s="111">
        <v>1</v>
      </c>
      <c r="K8" s="111">
        <v>0</v>
      </c>
      <c r="L8" s="111">
        <v>0</v>
      </c>
      <c r="M8" s="111">
        <v>0</v>
      </c>
      <c r="N8" s="111">
        <v>0</v>
      </c>
      <c r="O8" s="111">
        <v>0</v>
      </c>
      <c r="P8" s="111">
        <v>0</v>
      </c>
      <c r="Q8" s="111">
        <v>0</v>
      </c>
      <c r="R8" s="111">
        <v>0</v>
      </c>
      <c r="S8" s="111">
        <v>0</v>
      </c>
      <c r="T8" s="111">
        <v>0</v>
      </c>
      <c r="U8" s="111">
        <v>0</v>
      </c>
      <c r="V8" s="111">
        <v>0</v>
      </c>
      <c r="W8" s="111">
        <v>0</v>
      </c>
      <c r="X8" s="111">
        <v>0</v>
      </c>
      <c r="Y8" s="111">
        <v>0</v>
      </c>
      <c r="Z8" s="111">
        <v>0</v>
      </c>
      <c r="AA8" s="111">
        <v>0</v>
      </c>
      <c r="AB8" s="111">
        <v>0</v>
      </c>
      <c r="AC8" s="111">
        <v>0</v>
      </c>
      <c r="AD8" s="111">
        <v>0</v>
      </c>
      <c r="AE8" s="111">
        <v>0</v>
      </c>
      <c r="AF8" s="111">
        <v>0</v>
      </c>
      <c r="AG8" s="111">
        <v>0</v>
      </c>
      <c r="AH8" s="111">
        <v>0</v>
      </c>
      <c r="AI8" s="111">
        <v>0</v>
      </c>
      <c r="AJ8" s="111">
        <v>0</v>
      </c>
      <c r="AK8" s="111">
        <v>0</v>
      </c>
      <c r="AL8" s="111">
        <v>0</v>
      </c>
      <c r="AM8" s="111">
        <v>0</v>
      </c>
      <c r="AN8" s="111">
        <v>0</v>
      </c>
      <c r="AO8" s="111">
        <v>0</v>
      </c>
      <c r="AP8" s="111">
        <v>0</v>
      </c>
      <c r="AQ8" s="111">
        <v>0</v>
      </c>
      <c r="AR8" s="111">
        <v>0</v>
      </c>
      <c r="AS8" s="111">
        <v>0</v>
      </c>
      <c r="AT8" s="111">
        <v>0</v>
      </c>
    </row>
    <row r="9" spans="1:46" customFormat="1" x14ac:dyDescent="0.15">
      <c r="A9" s="190" t="s">
        <v>198</v>
      </c>
      <c r="B9" s="111">
        <v>0</v>
      </c>
      <c r="C9" s="111">
        <v>0</v>
      </c>
      <c r="D9" s="111">
        <v>0</v>
      </c>
      <c r="E9" s="111">
        <v>0</v>
      </c>
      <c r="F9" s="111">
        <v>1</v>
      </c>
      <c r="G9" s="111">
        <v>1</v>
      </c>
      <c r="H9" s="111">
        <v>0</v>
      </c>
      <c r="I9" s="111">
        <v>0</v>
      </c>
      <c r="J9" s="111">
        <v>0</v>
      </c>
      <c r="K9" s="111">
        <v>0</v>
      </c>
      <c r="L9" s="111">
        <v>0</v>
      </c>
      <c r="M9" s="111">
        <v>1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  <c r="AF9" s="111">
        <v>0</v>
      </c>
      <c r="AG9" s="111">
        <v>0</v>
      </c>
      <c r="AH9" s="111">
        <v>0</v>
      </c>
      <c r="AI9" s="111">
        <v>0</v>
      </c>
      <c r="AJ9" s="111">
        <v>0</v>
      </c>
      <c r="AK9" s="111">
        <v>0</v>
      </c>
      <c r="AL9" s="111">
        <v>0</v>
      </c>
      <c r="AM9" s="111">
        <v>0</v>
      </c>
      <c r="AN9" s="111">
        <v>0</v>
      </c>
      <c r="AO9" s="111">
        <v>0</v>
      </c>
      <c r="AP9" s="111">
        <v>0</v>
      </c>
      <c r="AQ9" s="111">
        <v>0</v>
      </c>
      <c r="AR9" s="111">
        <v>0</v>
      </c>
      <c r="AS9" s="111">
        <v>0</v>
      </c>
      <c r="AT9" s="111">
        <v>0</v>
      </c>
    </row>
    <row r="10" spans="1:46" customFormat="1" x14ac:dyDescent="0.15">
      <c r="A10" s="190" t="s">
        <v>199</v>
      </c>
      <c r="B10" s="111">
        <v>0</v>
      </c>
      <c r="C10" s="111">
        <v>0</v>
      </c>
      <c r="D10" s="111">
        <v>0</v>
      </c>
      <c r="E10" s="111">
        <v>0</v>
      </c>
      <c r="F10" s="111">
        <v>0</v>
      </c>
      <c r="G10" s="111">
        <v>1</v>
      </c>
      <c r="H10" s="111">
        <v>0</v>
      </c>
      <c r="I10" s="111">
        <v>0</v>
      </c>
      <c r="J10" s="111">
        <v>0</v>
      </c>
      <c r="K10" s="111">
        <v>0</v>
      </c>
      <c r="L10" s="111">
        <v>1</v>
      </c>
      <c r="M10" s="111">
        <v>0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  <c r="AT10" s="111">
        <v>0</v>
      </c>
    </row>
    <row r="11" spans="1:46" customFormat="1" x14ac:dyDescent="0.15">
      <c r="A11" s="190" t="s">
        <v>200</v>
      </c>
      <c r="B11" s="111">
        <v>0</v>
      </c>
      <c r="C11" s="111">
        <v>0</v>
      </c>
      <c r="D11" s="111">
        <v>0</v>
      </c>
      <c r="E11" s="111">
        <v>0</v>
      </c>
      <c r="F11" s="111">
        <v>0</v>
      </c>
      <c r="G11" s="111">
        <v>1</v>
      </c>
      <c r="H11" s="111">
        <v>0</v>
      </c>
      <c r="I11" s="111">
        <v>0</v>
      </c>
      <c r="J11" s="111">
        <v>0</v>
      </c>
      <c r="K11" s="111">
        <v>0</v>
      </c>
      <c r="L11" s="111">
        <v>1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1">
        <v>0</v>
      </c>
      <c r="U11" s="111">
        <v>0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0</v>
      </c>
      <c r="AF11" s="111">
        <v>0</v>
      </c>
      <c r="AG11" s="111">
        <v>0</v>
      </c>
      <c r="AH11" s="111">
        <v>0</v>
      </c>
      <c r="AI11" s="111">
        <v>0</v>
      </c>
      <c r="AJ11" s="111">
        <v>0</v>
      </c>
      <c r="AK11" s="111">
        <v>0</v>
      </c>
      <c r="AL11" s="111">
        <v>0</v>
      </c>
      <c r="AM11" s="111">
        <v>0</v>
      </c>
      <c r="AN11" s="111">
        <v>0</v>
      </c>
      <c r="AO11" s="111">
        <v>0</v>
      </c>
      <c r="AP11" s="111">
        <v>0</v>
      </c>
      <c r="AQ11" s="111">
        <v>0</v>
      </c>
      <c r="AR11" s="111">
        <v>0</v>
      </c>
      <c r="AS11" s="111">
        <v>0</v>
      </c>
      <c r="AT11" s="111">
        <v>0</v>
      </c>
    </row>
    <row r="12" spans="1:46" customFormat="1" x14ac:dyDescent="0.15">
      <c r="A12" s="190" t="s">
        <v>201</v>
      </c>
      <c r="B12" s="111">
        <v>0</v>
      </c>
      <c r="C12" s="111">
        <v>0</v>
      </c>
      <c r="D12" s="111">
        <v>0</v>
      </c>
      <c r="E12" s="111">
        <v>1</v>
      </c>
      <c r="F12" s="111">
        <v>1</v>
      </c>
      <c r="G12" s="111">
        <v>1</v>
      </c>
      <c r="H12" s="111">
        <v>0</v>
      </c>
      <c r="I12" s="111">
        <v>0</v>
      </c>
      <c r="J12" s="111">
        <v>1</v>
      </c>
      <c r="K12" s="111">
        <v>0</v>
      </c>
      <c r="L12" s="111">
        <v>1</v>
      </c>
      <c r="M12" s="111">
        <v>1</v>
      </c>
      <c r="N12" s="111">
        <v>0</v>
      </c>
      <c r="O12" s="111">
        <v>0</v>
      </c>
      <c r="P12" s="111">
        <v>0</v>
      </c>
      <c r="Q12" s="111">
        <v>0</v>
      </c>
      <c r="R12" s="111">
        <v>0</v>
      </c>
      <c r="S12" s="111">
        <v>0</v>
      </c>
      <c r="T12" s="111">
        <v>1</v>
      </c>
      <c r="U12" s="111">
        <v>0</v>
      </c>
      <c r="V12" s="111">
        <v>0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  <c r="AL12" s="111">
        <v>0</v>
      </c>
      <c r="AM12" s="111">
        <v>0</v>
      </c>
      <c r="AN12" s="111">
        <v>0</v>
      </c>
      <c r="AO12" s="111">
        <v>0</v>
      </c>
      <c r="AP12" s="111">
        <v>0</v>
      </c>
      <c r="AQ12" s="111">
        <v>0</v>
      </c>
      <c r="AR12" s="111">
        <v>0</v>
      </c>
      <c r="AS12" s="111">
        <v>0</v>
      </c>
      <c r="AT12" s="111">
        <v>0</v>
      </c>
    </row>
    <row r="13" spans="1:46" customFormat="1" x14ac:dyDescent="0.15">
      <c r="A13" s="190" t="s">
        <v>202</v>
      </c>
      <c r="B13" s="111">
        <v>0</v>
      </c>
      <c r="C13" s="111">
        <v>0</v>
      </c>
      <c r="D13" s="111">
        <v>0</v>
      </c>
      <c r="E13" s="111">
        <v>0</v>
      </c>
      <c r="F13" s="111">
        <v>0</v>
      </c>
      <c r="G13" s="111">
        <v>1</v>
      </c>
      <c r="H13" s="111">
        <v>0</v>
      </c>
      <c r="I13" s="111">
        <v>0</v>
      </c>
      <c r="J13" s="111">
        <v>0</v>
      </c>
      <c r="K13" s="111">
        <v>1</v>
      </c>
      <c r="L13" s="111">
        <v>1</v>
      </c>
      <c r="M13" s="111">
        <v>1</v>
      </c>
      <c r="N13" s="111">
        <v>0</v>
      </c>
      <c r="O13" s="111">
        <v>0</v>
      </c>
      <c r="P13" s="111">
        <v>0</v>
      </c>
      <c r="Q13" s="111">
        <v>0</v>
      </c>
      <c r="R13" s="111">
        <v>0</v>
      </c>
      <c r="S13" s="111">
        <v>0</v>
      </c>
      <c r="T13" s="111">
        <v>0</v>
      </c>
      <c r="U13" s="111">
        <v>0</v>
      </c>
      <c r="V13" s="111">
        <v>0</v>
      </c>
      <c r="W13" s="111">
        <v>0</v>
      </c>
      <c r="X13" s="111">
        <v>0</v>
      </c>
      <c r="Y13" s="111">
        <v>0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  <c r="AF13" s="111">
        <v>0</v>
      </c>
      <c r="AG13" s="111">
        <v>0</v>
      </c>
      <c r="AH13" s="111">
        <v>0</v>
      </c>
      <c r="AI13" s="111">
        <v>0</v>
      </c>
      <c r="AJ13" s="111">
        <v>0</v>
      </c>
      <c r="AK13" s="111">
        <v>0</v>
      </c>
      <c r="AL13" s="111">
        <v>0</v>
      </c>
      <c r="AM13" s="111">
        <v>0</v>
      </c>
      <c r="AN13" s="111">
        <v>0</v>
      </c>
      <c r="AO13" s="111">
        <v>0</v>
      </c>
      <c r="AP13" s="111">
        <v>0</v>
      </c>
      <c r="AQ13" s="111">
        <v>0</v>
      </c>
      <c r="AR13" s="111">
        <v>0</v>
      </c>
      <c r="AS13" s="111">
        <v>0</v>
      </c>
      <c r="AT13" s="111">
        <v>0</v>
      </c>
    </row>
    <row r="14" spans="1:46" customFormat="1" x14ac:dyDescent="0.15">
      <c r="A14" s="190" t="s">
        <v>203</v>
      </c>
      <c r="B14" s="111">
        <v>0</v>
      </c>
      <c r="C14" s="111">
        <v>0</v>
      </c>
      <c r="D14" s="111">
        <v>0</v>
      </c>
      <c r="E14" s="111">
        <v>0</v>
      </c>
      <c r="F14" s="111">
        <v>1</v>
      </c>
      <c r="G14" s="111">
        <v>1</v>
      </c>
      <c r="H14" s="111">
        <v>1</v>
      </c>
      <c r="I14" s="111">
        <v>0</v>
      </c>
      <c r="J14" s="111">
        <v>0</v>
      </c>
      <c r="K14" s="111">
        <v>1</v>
      </c>
      <c r="L14" s="111">
        <v>1</v>
      </c>
      <c r="M14" s="111">
        <v>0</v>
      </c>
      <c r="N14" s="111">
        <v>0</v>
      </c>
      <c r="O14" s="111">
        <v>0</v>
      </c>
      <c r="P14" s="111">
        <v>0</v>
      </c>
      <c r="Q14" s="111">
        <v>0</v>
      </c>
      <c r="R14" s="111">
        <v>0</v>
      </c>
      <c r="S14" s="111">
        <v>0</v>
      </c>
      <c r="T14" s="111">
        <v>0</v>
      </c>
      <c r="U14" s="111">
        <v>1</v>
      </c>
      <c r="V14" s="111">
        <v>1</v>
      </c>
      <c r="W14" s="111">
        <v>0</v>
      </c>
      <c r="X14" s="111">
        <v>0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</v>
      </c>
      <c r="AG14" s="111">
        <v>0</v>
      </c>
      <c r="AH14" s="111">
        <v>0</v>
      </c>
      <c r="AI14" s="111">
        <v>0</v>
      </c>
      <c r="AJ14" s="111">
        <v>0</v>
      </c>
      <c r="AK14" s="111">
        <v>0</v>
      </c>
      <c r="AL14" s="111">
        <v>0</v>
      </c>
      <c r="AM14" s="111">
        <v>1</v>
      </c>
      <c r="AN14" s="111">
        <v>0</v>
      </c>
      <c r="AO14" s="111">
        <v>0</v>
      </c>
      <c r="AP14" s="111">
        <v>0</v>
      </c>
      <c r="AQ14" s="111">
        <v>0</v>
      </c>
      <c r="AR14" s="111">
        <v>0</v>
      </c>
      <c r="AS14" s="111">
        <v>0</v>
      </c>
      <c r="AT14" s="111">
        <v>0</v>
      </c>
    </row>
    <row r="15" spans="1:46" customFormat="1" x14ac:dyDescent="0.15">
      <c r="A15" s="190" t="s">
        <v>204</v>
      </c>
      <c r="B15" s="111">
        <v>1</v>
      </c>
      <c r="C15" s="111">
        <v>1</v>
      </c>
      <c r="D15" s="111">
        <v>0</v>
      </c>
      <c r="E15" s="111">
        <v>1</v>
      </c>
      <c r="F15" s="111">
        <v>1</v>
      </c>
      <c r="G15" s="111">
        <v>1</v>
      </c>
      <c r="H15" s="111">
        <v>1</v>
      </c>
      <c r="I15" s="111">
        <v>1</v>
      </c>
      <c r="J15" s="111">
        <v>1</v>
      </c>
      <c r="K15" s="111">
        <v>1</v>
      </c>
      <c r="L15" s="111">
        <v>1</v>
      </c>
      <c r="M15" s="111">
        <v>1</v>
      </c>
      <c r="N15" s="111">
        <v>1</v>
      </c>
      <c r="O15" s="111">
        <v>1</v>
      </c>
      <c r="P15" s="111">
        <v>1</v>
      </c>
      <c r="Q15" s="111">
        <v>0</v>
      </c>
      <c r="R15" s="111">
        <v>0</v>
      </c>
      <c r="S15" s="111">
        <v>1</v>
      </c>
      <c r="T15" s="111">
        <v>1</v>
      </c>
      <c r="U15" s="111">
        <v>0</v>
      </c>
      <c r="V15" s="111">
        <v>1</v>
      </c>
      <c r="W15" s="111">
        <v>0</v>
      </c>
      <c r="X15" s="111">
        <v>1</v>
      </c>
      <c r="Y15" s="111">
        <v>0</v>
      </c>
      <c r="Z15" s="111">
        <v>0</v>
      </c>
      <c r="AA15" s="111">
        <v>0</v>
      </c>
      <c r="AB15" s="111">
        <v>0</v>
      </c>
      <c r="AC15" s="111">
        <v>1</v>
      </c>
      <c r="AD15" s="111">
        <v>0</v>
      </c>
      <c r="AE15" s="111">
        <v>1</v>
      </c>
      <c r="AF15" s="111">
        <v>1</v>
      </c>
      <c r="AG15" s="111">
        <v>1</v>
      </c>
      <c r="AH15" s="111">
        <v>0</v>
      </c>
      <c r="AI15" s="111">
        <v>0</v>
      </c>
      <c r="AJ15" s="111">
        <v>0</v>
      </c>
      <c r="AK15" s="111">
        <v>1</v>
      </c>
      <c r="AL15" s="111">
        <v>0</v>
      </c>
      <c r="AM15" s="111">
        <v>1</v>
      </c>
      <c r="AN15" s="111">
        <v>0</v>
      </c>
      <c r="AO15" s="111">
        <v>0</v>
      </c>
      <c r="AP15" s="111">
        <v>0</v>
      </c>
      <c r="AQ15" s="111">
        <v>0</v>
      </c>
      <c r="AR15" s="111">
        <v>0</v>
      </c>
      <c r="AS15" s="111">
        <v>0</v>
      </c>
      <c r="AT15" s="111">
        <v>0</v>
      </c>
    </row>
    <row r="16" spans="1:46" customFormat="1" x14ac:dyDescent="0.15">
      <c r="A16" s="190" t="s">
        <v>205</v>
      </c>
      <c r="B16" s="111">
        <v>1</v>
      </c>
      <c r="C16" s="111">
        <v>1</v>
      </c>
      <c r="D16" s="111">
        <v>0</v>
      </c>
      <c r="E16" s="111">
        <v>1</v>
      </c>
      <c r="F16" s="111">
        <v>0</v>
      </c>
      <c r="G16" s="111">
        <v>1</v>
      </c>
      <c r="H16" s="111">
        <v>1</v>
      </c>
      <c r="I16" s="111">
        <v>0</v>
      </c>
      <c r="J16" s="111">
        <v>1</v>
      </c>
      <c r="K16" s="111">
        <v>1</v>
      </c>
      <c r="L16" s="111">
        <v>1</v>
      </c>
      <c r="M16" s="111">
        <v>1</v>
      </c>
      <c r="N16" s="111">
        <v>1</v>
      </c>
      <c r="O16" s="111">
        <v>0</v>
      </c>
      <c r="P16" s="111">
        <v>0</v>
      </c>
      <c r="Q16" s="111">
        <v>0</v>
      </c>
      <c r="R16" s="111">
        <v>0</v>
      </c>
      <c r="S16" s="111">
        <v>0</v>
      </c>
      <c r="T16" s="111">
        <v>0</v>
      </c>
      <c r="U16" s="111">
        <v>0</v>
      </c>
      <c r="V16" s="111">
        <v>1</v>
      </c>
      <c r="W16" s="111">
        <v>0</v>
      </c>
      <c r="X16" s="111">
        <v>0</v>
      </c>
      <c r="Y16" s="111">
        <v>0</v>
      </c>
      <c r="Z16" s="111">
        <v>0</v>
      </c>
      <c r="AA16" s="111">
        <v>0</v>
      </c>
      <c r="AB16" s="111">
        <v>0</v>
      </c>
      <c r="AC16" s="111">
        <v>0</v>
      </c>
      <c r="AD16" s="111">
        <v>0</v>
      </c>
      <c r="AE16" s="111">
        <v>0</v>
      </c>
      <c r="AF16" s="111">
        <v>0</v>
      </c>
      <c r="AG16" s="111">
        <v>0</v>
      </c>
      <c r="AH16" s="111">
        <v>0</v>
      </c>
      <c r="AI16" s="111">
        <v>0</v>
      </c>
      <c r="AJ16" s="111">
        <v>0</v>
      </c>
      <c r="AK16" s="111">
        <v>0</v>
      </c>
      <c r="AL16" s="111">
        <v>0</v>
      </c>
      <c r="AM16" s="111">
        <v>1</v>
      </c>
      <c r="AN16" s="111">
        <v>0</v>
      </c>
      <c r="AO16" s="111">
        <v>0</v>
      </c>
      <c r="AP16" s="111">
        <v>0</v>
      </c>
      <c r="AQ16" s="111">
        <v>0</v>
      </c>
      <c r="AR16" s="111">
        <v>0</v>
      </c>
      <c r="AS16" s="111">
        <v>0</v>
      </c>
      <c r="AT16" s="111">
        <v>0</v>
      </c>
    </row>
    <row r="17" spans="1:46" customFormat="1" x14ac:dyDescent="0.15">
      <c r="A17" s="190" t="s">
        <v>206</v>
      </c>
      <c r="B17" s="111">
        <v>0</v>
      </c>
      <c r="C17" s="111">
        <v>1</v>
      </c>
      <c r="D17" s="111">
        <v>0</v>
      </c>
      <c r="E17" s="111">
        <v>1</v>
      </c>
      <c r="F17" s="111">
        <v>0</v>
      </c>
      <c r="G17" s="111">
        <v>1</v>
      </c>
      <c r="H17" s="111">
        <v>0</v>
      </c>
      <c r="I17" s="111">
        <v>0</v>
      </c>
      <c r="J17" s="111">
        <v>0</v>
      </c>
      <c r="K17" s="111">
        <v>1</v>
      </c>
      <c r="L17" s="111">
        <v>1</v>
      </c>
      <c r="M17" s="111">
        <v>0</v>
      </c>
      <c r="N17" s="111">
        <v>1</v>
      </c>
      <c r="O17" s="111">
        <v>0</v>
      </c>
      <c r="P17" s="111">
        <v>0</v>
      </c>
      <c r="Q17" s="111">
        <v>0</v>
      </c>
      <c r="R17" s="111">
        <v>0</v>
      </c>
      <c r="S17" s="111">
        <v>1</v>
      </c>
      <c r="T17" s="111">
        <v>0</v>
      </c>
      <c r="U17" s="111">
        <v>1</v>
      </c>
      <c r="V17" s="111">
        <v>0</v>
      </c>
      <c r="W17" s="111">
        <v>0</v>
      </c>
      <c r="X17" s="111">
        <v>0</v>
      </c>
      <c r="Y17" s="111">
        <v>1</v>
      </c>
      <c r="Z17" s="111">
        <v>0</v>
      </c>
      <c r="AA17" s="111">
        <v>0</v>
      </c>
      <c r="AB17" s="111">
        <v>1</v>
      </c>
      <c r="AC17" s="111">
        <v>0</v>
      </c>
      <c r="AD17" s="111">
        <v>0</v>
      </c>
      <c r="AE17" s="111">
        <v>0</v>
      </c>
      <c r="AF17" s="111">
        <v>1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  <c r="AL17" s="111">
        <v>0</v>
      </c>
      <c r="AM17" s="111">
        <v>0</v>
      </c>
      <c r="AN17" s="111">
        <v>0</v>
      </c>
      <c r="AO17" s="111">
        <v>0</v>
      </c>
      <c r="AP17" s="111">
        <v>0</v>
      </c>
      <c r="AQ17" s="111">
        <v>0</v>
      </c>
      <c r="AR17" s="111">
        <v>0</v>
      </c>
      <c r="AS17" s="111">
        <v>0</v>
      </c>
      <c r="AT17" s="111">
        <v>0</v>
      </c>
    </row>
    <row r="18" spans="1:46" customFormat="1" x14ac:dyDescent="0.15">
      <c r="A18" s="190" t="s">
        <v>207</v>
      </c>
      <c r="B18" s="111">
        <v>1</v>
      </c>
      <c r="C18" s="111">
        <v>1</v>
      </c>
      <c r="D18" s="111">
        <v>0</v>
      </c>
      <c r="E18" s="111">
        <v>1</v>
      </c>
      <c r="F18" s="111">
        <v>1</v>
      </c>
      <c r="G18" s="111">
        <v>1</v>
      </c>
      <c r="H18" s="111">
        <v>1</v>
      </c>
      <c r="I18" s="111">
        <v>1</v>
      </c>
      <c r="J18" s="111">
        <v>0</v>
      </c>
      <c r="K18" s="111">
        <v>1</v>
      </c>
      <c r="L18" s="111">
        <v>1</v>
      </c>
      <c r="M18" s="111">
        <v>1</v>
      </c>
      <c r="N18" s="111">
        <v>1</v>
      </c>
      <c r="O18" s="111">
        <v>0</v>
      </c>
      <c r="P18" s="111">
        <v>1</v>
      </c>
      <c r="Q18" s="111">
        <v>0</v>
      </c>
      <c r="R18" s="111">
        <v>0</v>
      </c>
      <c r="S18" s="111">
        <v>1</v>
      </c>
      <c r="T18" s="111">
        <v>1</v>
      </c>
      <c r="U18" s="111">
        <v>0</v>
      </c>
      <c r="V18" s="111">
        <v>1</v>
      </c>
      <c r="W18" s="111">
        <v>0</v>
      </c>
      <c r="X18" s="111">
        <v>0</v>
      </c>
      <c r="Y18" s="111">
        <v>0</v>
      </c>
      <c r="Z18" s="111">
        <v>0</v>
      </c>
      <c r="AA18" s="111">
        <v>0</v>
      </c>
      <c r="AB18" s="111">
        <v>0</v>
      </c>
      <c r="AC18" s="111">
        <v>1</v>
      </c>
      <c r="AD18" s="111">
        <v>0</v>
      </c>
      <c r="AE18" s="111">
        <v>1</v>
      </c>
      <c r="AF18" s="111">
        <v>0</v>
      </c>
      <c r="AG18" s="111">
        <v>1</v>
      </c>
      <c r="AH18" s="111">
        <v>0</v>
      </c>
      <c r="AI18" s="111">
        <v>1</v>
      </c>
      <c r="AJ18" s="111">
        <v>0</v>
      </c>
      <c r="AK18" s="111">
        <v>1</v>
      </c>
      <c r="AL18" s="111">
        <v>0</v>
      </c>
      <c r="AM18" s="111">
        <v>1</v>
      </c>
      <c r="AN18" s="111">
        <v>0</v>
      </c>
      <c r="AO18" s="111">
        <v>0</v>
      </c>
      <c r="AP18" s="111">
        <v>0</v>
      </c>
      <c r="AQ18" s="111">
        <v>0</v>
      </c>
      <c r="AR18" s="111">
        <v>0</v>
      </c>
      <c r="AS18" s="111">
        <v>0</v>
      </c>
      <c r="AT18" s="111">
        <v>0</v>
      </c>
    </row>
    <row r="19" spans="1:46" customFormat="1" x14ac:dyDescent="0.15">
      <c r="A19" s="190" t="s">
        <v>208</v>
      </c>
      <c r="B19" s="111">
        <v>0</v>
      </c>
      <c r="C19" s="111">
        <v>0</v>
      </c>
      <c r="D19" s="111">
        <v>0</v>
      </c>
      <c r="E19" s="111">
        <v>0</v>
      </c>
      <c r="F19" s="111">
        <v>0</v>
      </c>
      <c r="G19" s="111">
        <v>1</v>
      </c>
      <c r="H19" s="111">
        <v>0</v>
      </c>
      <c r="I19" s="111">
        <v>1</v>
      </c>
      <c r="J19" s="111">
        <v>0</v>
      </c>
      <c r="K19" s="111">
        <v>0</v>
      </c>
      <c r="L19" s="111">
        <v>0</v>
      </c>
      <c r="M19" s="111">
        <v>0</v>
      </c>
      <c r="N19" s="111">
        <v>0</v>
      </c>
      <c r="O19" s="111">
        <v>0</v>
      </c>
      <c r="P19" s="111">
        <v>0</v>
      </c>
      <c r="Q19" s="111">
        <v>0</v>
      </c>
      <c r="R19" s="111">
        <v>0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0</v>
      </c>
      <c r="Y19" s="111">
        <v>0</v>
      </c>
      <c r="Z19" s="111">
        <v>0</v>
      </c>
      <c r="AA19" s="111">
        <v>0</v>
      </c>
      <c r="AB19" s="111">
        <v>0</v>
      </c>
      <c r="AC19" s="111">
        <v>0</v>
      </c>
      <c r="AD19" s="111">
        <v>0</v>
      </c>
      <c r="AE19" s="111">
        <v>0</v>
      </c>
      <c r="AF19" s="111">
        <v>0</v>
      </c>
      <c r="AG19" s="111">
        <v>0</v>
      </c>
      <c r="AH19" s="111">
        <v>0</v>
      </c>
      <c r="AI19" s="111">
        <v>0</v>
      </c>
      <c r="AJ19" s="111">
        <v>0</v>
      </c>
      <c r="AK19" s="111">
        <v>0</v>
      </c>
      <c r="AL19" s="111">
        <v>0</v>
      </c>
      <c r="AM19" s="111">
        <v>0</v>
      </c>
      <c r="AN19" s="111">
        <v>0</v>
      </c>
      <c r="AO19" s="111">
        <v>0</v>
      </c>
      <c r="AP19" s="111">
        <v>0</v>
      </c>
      <c r="AQ19" s="111">
        <v>0</v>
      </c>
      <c r="AR19" s="111">
        <v>0</v>
      </c>
      <c r="AS19" s="111">
        <v>0</v>
      </c>
      <c r="AT19" s="111">
        <v>0</v>
      </c>
    </row>
    <row r="20" spans="1:46" customFormat="1" x14ac:dyDescent="0.15">
      <c r="A20" s="190" t="s">
        <v>209</v>
      </c>
      <c r="B20" s="111">
        <v>0</v>
      </c>
      <c r="C20" s="111">
        <v>0</v>
      </c>
      <c r="D20" s="111">
        <v>0</v>
      </c>
      <c r="E20" s="111">
        <v>0</v>
      </c>
      <c r="F20" s="111">
        <v>0</v>
      </c>
      <c r="G20" s="111">
        <v>1</v>
      </c>
      <c r="H20" s="111">
        <v>0</v>
      </c>
      <c r="I20" s="111">
        <v>1</v>
      </c>
      <c r="J20" s="111">
        <v>0</v>
      </c>
      <c r="K20" s="111">
        <v>0</v>
      </c>
      <c r="L20" s="111">
        <v>0</v>
      </c>
      <c r="M20" s="111">
        <v>0</v>
      </c>
      <c r="N20" s="111">
        <v>0</v>
      </c>
      <c r="O20" s="111">
        <v>0</v>
      </c>
      <c r="P20" s="111">
        <v>0</v>
      </c>
      <c r="Q20" s="111">
        <v>0</v>
      </c>
      <c r="R20" s="111">
        <v>0</v>
      </c>
      <c r="S20" s="111">
        <v>0</v>
      </c>
      <c r="T20" s="111">
        <v>1</v>
      </c>
      <c r="U20" s="111">
        <v>0</v>
      </c>
      <c r="V20" s="111">
        <v>0</v>
      </c>
      <c r="W20" s="111">
        <v>0</v>
      </c>
      <c r="X20" s="111">
        <v>0</v>
      </c>
      <c r="Y20" s="111">
        <v>0</v>
      </c>
      <c r="Z20" s="111">
        <v>0</v>
      </c>
      <c r="AA20" s="111">
        <v>0</v>
      </c>
      <c r="AB20" s="111">
        <v>0</v>
      </c>
      <c r="AC20" s="111">
        <v>0</v>
      </c>
      <c r="AD20" s="111">
        <v>0</v>
      </c>
      <c r="AE20" s="111">
        <v>0</v>
      </c>
      <c r="AF20" s="111">
        <v>0</v>
      </c>
      <c r="AG20" s="111">
        <v>0</v>
      </c>
      <c r="AH20" s="111">
        <v>0</v>
      </c>
      <c r="AI20" s="111">
        <v>0</v>
      </c>
      <c r="AJ20" s="111">
        <v>0</v>
      </c>
      <c r="AK20" s="111">
        <v>0</v>
      </c>
      <c r="AL20" s="111">
        <v>0</v>
      </c>
      <c r="AM20" s="111">
        <v>0</v>
      </c>
      <c r="AN20" s="111">
        <v>0</v>
      </c>
      <c r="AO20" s="111">
        <v>0</v>
      </c>
      <c r="AP20" s="111">
        <v>0</v>
      </c>
      <c r="AQ20" s="111">
        <v>0</v>
      </c>
      <c r="AR20" s="111">
        <v>0</v>
      </c>
      <c r="AS20" s="111">
        <v>0</v>
      </c>
      <c r="AT20" s="111">
        <v>0</v>
      </c>
    </row>
    <row r="21" spans="1:46" customFormat="1" x14ac:dyDescent="0.15">
      <c r="A21" s="190" t="s">
        <v>210</v>
      </c>
      <c r="B21" s="111">
        <v>0</v>
      </c>
      <c r="C21" s="111">
        <v>0</v>
      </c>
      <c r="D21" s="111">
        <v>0</v>
      </c>
      <c r="E21" s="111">
        <v>0</v>
      </c>
      <c r="F21" s="111">
        <v>0</v>
      </c>
      <c r="G21" s="111">
        <v>1</v>
      </c>
      <c r="H21" s="111">
        <v>0</v>
      </c>
      <c r="I21" s="111">
        <v>0</v>
      </c>
      <c r="J21" s="111">
        <v>0</v>
      </c>
      <c r="K21" s="111">
        <v>0</v>
      </c>
      <c r="L21" s="111">
        <v>0</v>
      </c>
      <c r="M21" s="111">
        <v>0</v>
      </c>
      <c r="N21" s="111">
        <v>0</v>
      </c>
      <c r="O21" s="111">
        <v>0</v>
      </c>
      <c r="P21" s="111">
        <v>0</v>
      </c>
      <c r="Q21" s="111">
        <v>0</v>
      </c>
      <c r="R21" s="111">
        <v>0</v>
      </c>
      <c r="S21" s="111">
        <v>0</v>
      </c>
      <c r="T21" s="111">
        <v>1</v>
      </c>
      <c r="U21" s="111">
        <v>0</v>
      </c>
      <c r="V21" s="111">
        <v>1</v>
      </c>
      <c r="W21" s="111">
        <v>0</v>
      </c>
      <c r="X21" s="111">
        <v>0</v>
      </c>
      <c r="Y21" s="111">
        <v>0</v>
      </c>
      <c r="Z21" s="111">
        <v>0</v>
      </c>
      <c r="AA21" s="111">
        <v>0</v>
      </c>
      <c r="AB21" s="111">
        <v>0</v>
      </c>
      <c r="AC21" s="111">
        <v>0</v>
      </c>
      <c r="AD21" s="111">
        <v>0</v>
      </c>
      <c r="AE21" s="111">
        <v>0</v>
      </c>
      <c r="AF21" s="111">
        <v>0</v>
      </c>
      <c r="AG21" s="111">
        <v>0</v>
      </c>
      <c r="AH21" s="111">
        <v>0</v>
      </c>
      <c r="AI21" s="111">
        <v>0</v>
      </c>
      <c r="AJ21" s="111">
        <v>0</v>
      </c>
      <c r="AK21" s="111">
        <v>0</v>
      </c>
      <c r="AL21" s="111">
        <v>0</v>
      </c>
      <c r="AM21" s="111">
        <v>0</v>
      </c>
      <c r="AN21" s="111">
        <v>0</v>
      </c>
      <c r="AO21" s="111">
        <v>0</v>
      </c>
      <c r="AP21" s="111">
        <v>0</v>
      </c>
      <c r="AQ21" s="111">
        <v>0</v>
      </c>
      <c r="AR21" s="111">
        <v>0</v>
      </c>
      <c r="AS21" s="111">
        <v>0</v>
      </c>
      <c r="AT21" s="111">
        <v>0</v>
      </c>
    </row>
    <row r="22" spans="1:46" customFormat="1" x14ac:dyDescent="0.15">
      <c r="A22" s="190" t="s">
        <v>211</v>
      </c>
      <c r="B22" s="111">
        <v>0</v>
      </c>
      <c r="C22" s="111">
        <v>0</v>
      </c>
      <c r="D22" s="111">
        <v>0</v>
      </c>
      <c r="E22" s="111">
        <v>0</v>
      </c>
      <c r="F22" s="111">
        <v>1</v>
      </c>
      <c r="G22" s="111">
        <v>1</v>
      </c>
      <c r="H22" s="111">
        <v>0</v>
      </c>
      <c r="I22" s="111">
        <v>1</v>
      </c>
      <c r="J22" s="111">
        <v>1</v>
      </c>
      <c r="K22" s="111">
        <v>0</v>
      </c>
      <c r="L22" s="111">
        <v>1</v>
      </c>
      <c r="M22" s="111">
        <v>1</v>
      </c>
      <c r="N22" s="111">
        <v>0</v>
      </c>
      <c r="O22" s="111">
        <v>0</v>
      </c>
      <c r="P22" s="111">
        <v>0</v>
      </c>
      <c r="Q22" s="111">
        <v>0</v>
      </c>
      <c r="R22" s="111">
        <v>0</v>
      </c>
      <c r="S22" s="111">
        <v>0</v>
      </c>
      <c r="T22" s="111">
        <v>1</v>
      </c>
      <c r="U22" s="111">
        <v>0</v>
      </c>
      <c r="V22" s="111">
        <v>1</v>
      </c>
      <c r="W22" s="111">
        <v>0</v>
      </c>
      <c r="X22" s="111">
        <v>0</v>
      </c>
      <c r="Y22" s="111">
        <v>0</v>
      </c>
      <c r="Z22" s="111">
        <v>0</v>
      </c>
      <c r="AA22" s="111">
        <v>0</v>
      </c>
      <c r="AB22" s="111">
        <v>0</v>
      </c>
      <c r="AC22" s="111">
        <v>0</v>
      </c>
      <c r="AD22" s="111">
        <v>0</v>
      </c>
      <c r="AE22" s="111">
        <v>0</v>
      </c>
      <c r="AF22" s="111">
        <v>0</v>
      </c>
      <c r="AG22" s="111">
        <v>1</v>
      </c>
      <c r="AH22" s="111">
        <v>0</v>
      </c>
      <c r="AI22" s="111">
        <v>0</v>
      </c>
      <c r="AJ22" s="111">
        <v>0</v>
      </c>
      <c r="AK22" s="111">
        <v>0</v>
      </c>
      <c r="AL22" s="111">
        <v>0</v>
      </c>
      <c r="AM22" s="111">
        <v>0</v>
      </c>
      <c r="AN22" s="111">
        <v>0</v>
      </c>
      <c r="AO22" s="111">
        <v>0</v>
      </c>
      <c r="AP22" s="111">
        <v>0</v>
      </c>
      <c r="AQ22" s="111">
        <v>0</v>
      </c>
      <c r="AR22" s="111">
        <v>0</v>
      </c>
      <c r="AS22" s="111">
        <v>0</v>
      </c>
      <c r="AT22" s="111">
        <v>0</v>
      </c>
    </row>
    <row r="23" spans="1:46" customFormat="1" x14ac:dyDescent="0.15">
      <c r="A23" s="190" t="s">
        <v>212</v>
      </c>
      <c r="B23" s="111">
        <v>0</v>
      </c>
      <c r="C23" s="111">
        <v>0</v>
      </c>
      <c r="D23" s="111">
        <v>0</v>
      </c>
      <c r="E23" s="111">
        <v>0</v>
      </c>
      <c r="F23" s="111">
        <v>0</v>
      </c>
      <c r="G23" s="111">
        <v>1</v>
      </c>
      <c r="H23" s="111">
        <v>0</v>
      </c>
      <c r="I23" s="111">
        <v>0</v>
      </c>
      <c r="J23" s="111">
        <v>0</v>
      </c>
      <c r="K23" s="111">
        <v>0</v>
      </c>
      <c r="L23" s="111">
        <v>0</v>
      </c>
      <c r="M23" s="111">
        <v>0</v>
      </c>
      <c r="N23" s="111">
        <v>0</v>
      </c>
      <c r="O23" s="111">
        <v>0</v>
      </c>
      <c r="P23" s="111">
        <v>0</v>
      </c>
      <c r="Q23" s="111">
        <v>0</v>
      </c>
      <c r="R23" s="111">
        <v>0</v>
      </c>
      <c r="S23" s="111">
        <v>0</v>
      </c>
      <c r="T23" s="111">
        <v>0</v>
      </c>
      <c r="U23" s="111">
        <v>0</v>
      </c>
      <c r="V23" s="111">
        <v>0</v>
      </c>
      <c r="W23" s="111">
        <v>0</v>
      </c>
      <c r="X23" s="111">
        <v>0</v>
      </c>
      <c r="Y23" s="111">
        <v>0</v>
      </c>
      <c r="Z23" s="111">
        <v>0</v>
      </c>
      <c r="AA23" s="111">
        <v>0</v>
      </c>
      <c r="AB23" s="111">
        <v>0</v>
      </c>
      <c r="AC23" s="111">
        <v>0</v>
      </c>
      <c r="AD23" s="111">
        <v>0</v>
      </c>
      <c r="AE23" s="111">
        <v>0</v>
      </c>
      <c r="AF23" s="111">
        <v>0</v>
      </c>
      <c r="AG23" s="111">
        <v>0</v>
      </c>
      <c r="AH23" s="111">
        <v>0</v>
      </c>
      <c r="AI23" s="111">
        <v>0</v>
      </c>
      <c r="AJ23" s="111">
        <v>0</v>
      </c>
      <c r="AK23" s="111">
        <v>0</v>
      </c>
      <c r="AL23" s="111">
        <v>0</v>
      </c>
      <c r="AM23" s="111">
        <v>0</v>
      </c>
      <c r="AN23" s="111">
        <v>0</v>
      </c>
      <c r="AO23" s="111">
        <v>0</v>
      </c>
      <c r="AP23" s="111">
        <v>0</v>
      </c>
      <c r="AQ23" s="111">
        <v>0</v>
      </c>
      <c r="AR23" s="111">
        <v>0</v>
      </c>
      <c r="AS23" s="111">
        <v>0</v>
      </c>
      <c r="AT23" s="111">
        <v>0</v>
      </c>
    </row>
    <row r="24" spans="1:46" customFormat="1" x14ac:dyDescent="0.15">
      <c r="A24" s="190" t="s">
        <v>213</v>
      </c>
      <c r="B24" s="111">
        <v>0</v>
      </c>
      <c r="C24" s="111">
        <v>0</v>
      </c>
      <c r="D24" s="111">
        <v>0</v>
      </c>
      <c r="E24" s="111">
        <v>0</v>
      </c>
      <c r="F24" s="111">
        <v>0</v>
      </c>
      <c r="G24" s="111">
        <v>1</v>
      </c>
      <c r="H24" s="111">
        <v>0</v>
      </c>
      <c r="I24" s="111">
        <v>1</v>
      </c>
      <c r="J24" s="111">
        <v>1</v>
      </c>
      <c r="K24" s="111">
        <v>0</v>
      </c>
      <c r="L24" s="111">
        <v>1</v>
      </c>
      <c r="M24" s="111">
        <v>1</v>
      </c>
      <c r="N24" s="111">
        <v>0</v>
      </c>
      <c r="O24" s="111">
        <v>0</v>
      </c>
      <c r="P24" s="111">
        <v>0</v>
      </c>
      <c r="Q24" s="111">
        <v>0</v>
      </c>
      <c r="R24" s="111">
        <v>0</v>
      </c>
      <c r="S24" s="111">
        <v>0</v>
      </c>
      <c r="T24" s="111">
        <v>1</v>
      </c>
      <c r="U24" s="111">
        <v>0</v>
      </c>
      <c r="V24" s="111">
        <v>1</v>
      </c>
      <c r="W24" s="111">
        <v>0</v>
      </c>
      <c r="X24" s="111">
        <v>0</v>
      </c>
      <c r="Y24" s="111">
        <v>0</v>
      </c>
      <c r="Z24" s="111">
        <v>0</v>
      </c>
      <c r="AA24" s="111">
        <v>0</v>
      </c>
      <c r="AB24" s="111">
        <v>0</v>
      </c>
      <c r="AC24" s="111">
        <v>0</v>
      </c>
      <c r="AD24" s="111">
        <v>0</v>
      </c>
      <c r="AE24" s="111">
        <v>0</v>
      </c>
      <c r="AF24" s="111">
        <v>0</v>
      </c>
      <c r="AG24" s="111">
        <v>0</v>
      </c>
      <c r="AH24" s="111">
        <v>0</v>
      </c>
      <c r="AI24" s="111">
        <v>0</v>
      </c>
      <c r="AJ24" s="111">
        <v>0</v>
      </c>
      <c r="AK24" s="111">
        <v>0</v>
      </c>
      <c r="AL24" s="111">
        <v>0</v>
      </c>
      <c r="AM24" s="111">
        <v>0</v>
      </c>
      <c r="AN24" s="111">
        <v>0</v>
      </c>
      <c r="AO24" s="111">
        <v>0</v>
      </c>
      <c r="AP24" s="111">
        <v>0</v>
      </c>
      <c r="AQ24" s="111">
        <v>0</v>
      </c>
      <c r="AR24" s="111">
        <v>0</v>
      </c>
      <c r="AS24" s="111">
        <v>0</v>
      </c>
      <c r="AT24" s="111">
        <v>0</v>
      </c>
    </row>
    <row r="25" spans="1:46" customFormat="1" x14ac:dyDescent="0.15">
      <c r="A25" s="190" t="s">
        <v>214</v>
      </c>
      <c r="B25" s="111">
        <v>0</v>
      </c>
      <c r="C25" s="111">
        <v>0</v>
      </c>
      <c r="D25" s="111">
        <v>0</v>
      </c>
      <c r="E25" s="111">
        <v>1</v>
      </c>
      <c r="F25" s="111">
        <v>0</v>
      </c>
      <c r="G25" s="111">
        <v>1</v>
      </c>
      <c r="H25" s="111">
        <v>0</v>
      </c>
      <c r="I25" s="111">
        <v>1</v>
      </c>
      <c r="J25" s="111">
        <v>0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</v>
      </c>
      <c r="Q25" s="111">
        <v>0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1">
        <v>0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</v>
      </c>
      <c r="AF25" s="111">
        <v>0</v>
      </c>
      <c r="AG25" s="111">
        <v>0</v>
      </c>
      <c r="AH25" s="111">
        <v>0</v>
      </c>
      <c r="AI25" s="111">
        <v>0</v>
      </c>
      <c r="AJ25" s="111">
        <v>0</v>
      </c>
      <c r="AK25" s="111">
        <v>0</v>
      </c>
      <c r="AL25" s="111">
        <v>0</v>
      </c>
      <c r="AM25" s="111">
        <v>0</v>
      </c>
      <c r="AN25" s="111">
        <v>0</v>
      </c>
      <c r="AO25" s="111">
        <v>0</v>
      </c>
      <c r="AP25" s="111">
        <v>0</v>
      </c>
      <c r="AQ25" s="111">
        <v>0</v>
      </c>
      <c r="AR25" s="111">
        <v>0</v>
      </c>
      <c r="AS25" s="111">
        <v>0</v>
      </c>
      <c r="AT25" s="111">
        <v>0</v>
      </c>
    </row>
    <row r="26" spans="1:46" customFormat="1" x14ac:dyDescent="0.15">
      <c r="A26" s="190" t="s">
        <v>215</v>
      </c>
      <c r="B26" s="111">
        <v>0</v>
      </c>
      <c r="C26" s="111">
        <v>0</v>
      </c>
      <c r="D26" s="111">
        <v>0</v>
      </c>
      <c r="E26" s="111">
        <v>0</v>
      </c>
      <c r="F26" s="111">
        <v>0</v>
      </c>
      <c r="G26" s="111">
        <v>1</v>
      </c>
      <c r="H26" s="111">
        <v>0</v>
      </c>
      <c r="I26" s="111">
        <v>1</v>
      </c>
      <c r="J26" s="111">
        <v>0</v>
      </c>
      <c r="K26" s="111">
        <v>0</v>
      </c>
      <c r="L26" s="111">
        <v>0</v>
      </c>
      <c r="M26" s="111">
        <v>0</v>
      </c>
      <c r="N26" s="111">
        <v>0</v>
      </c>
      <c r="O26" s="111">
        <v>0</v>
      </c>
      <c r="P26" s="111">
        <v>0</v>
      </c>
      <c r="Q26" s="111">
        <v>0</v>
      </c>
      <c r="R26" s="111">
        <v>0</v>
      </c>
      <c r="S26" s="111">
        <v>1</v>
      </c>
      <c r="T26" s="111">
        <v>0</v>
      </c>
      <c r="U26" s="111">
        <v>1</v>
      </c>
      <c r="V26" s="111">
        <v>0</v>
      </c>
      <c r="W26" s="111">
        <v>0</v>
      </c>
      <c r="X26" s="111">
        <v>0</v>
      </c>
      <c r="Y26" s="111">
        <v>0</v>
      </c>
      <c r="Z26" s="111">
        <v>0</v>
      </c>
      <c r="AA26" s="111">
        <v>0</v>
      </c>
      <c r="AB26" s="111">
        <v>0</v>
      </c>
      <c r="AC26" s="111">
        <v>0</v>
      </c>
      <c r="AD26" s="111">
        <v>0</v>
      </c>
      <c r="AE26" s="111">
        <v>0</v>
      </c>
      <c r="AF26" s="111">
        <v>0</v>
      </c>
      <c r="AG26" s="111">
        <v>0</v>
      </c>
      <c r="AH26" s="111">
        <v>0</v>
      </c>
      <c r="AI26" s="111">
        <v>0</v>
      </c>
      <c r="AJ26" s="111">
        <v>0</v>
      </c>
      <c r="AK26" s="111">
        <v>0</v>
      </c>
      <c r="AL26" s="111">
        <v>0</v>
      </c>
      <c r="AM26" s="111">
        <v>0</v>
      </c>
      <c r="AN26" s="111">
        <v>0</v>
      </c>
      <c r="AO26" s="111">
        <v>0</v>
      </c>
      <c r="AP26" s="111">
        <v>0</v>
      </c>
      <c r="AQ26" s="111">
        <v>0</v>
      </c>
      <c r="AR26" s="111">
        <v>0</v>
      </c>
      <c r="AS26" s="111">
        <v>0</v>
      </c>
      <c r="AT26" s="111">
        <v>0</v>
      </c>
    </row>
    <row r="27" spans="1:46" customFormat="1" x14ac:dyDescent="0.15">
      <c r="A27" s="190" t="s">
        <v>216</v>
      </c>
      <c r="B27" s="111">
        <v>0</v>
      </c>
      <c r="C27" s="111">
        <v>1</v>
      </c>
      <c r="D27" s="111">
        <v>0</v>
      </c>
      <c r="E27" s="111">
        <v>1</v>
      </c>
      <c r="F27" s="111">
        <v>0</v>
      </c>
      <c r="G27" s="111">
        <v>1</v>
      </c>
      <c r="H27" s="111">
        <v>0</v>
      </c>
      <c r="I27" s="111">
        <v>0</v>
      </c>
      <c r="J27" s="111">
        <v>0</v>
      </c>
      <c r="K27" s="111">
        <v>1</v>
      </c>
      <c r="L27" s="111">
        <v>1</v>
      </c>
      <c r="M27" s="111">
        <v>0</v>
      </c>
      <c r="N27" s="111">
        <v>0</v>
      </c>
      <c r="O27" s="111">
        <v>0</v>
      </c>
      <c r="P27" s="111">
        <v>0</v>
      </c>
      <c r="Q27" s="111">
        <v>0</v>
      </c>
      <c r="R27" s="111">
        <v>0</v>
      </c>
      <c r="S27" s="111">
        <v>1</v>
      </c>
      <c r="T27" s="111">
        <v>0</v>
      </c>
      <c r="U27" s="111">
        <v>1</v>
      </c>
      <c r="V27" s="111">
        <v>1</v>
      </c>
      <c r="W27" s="111">
        <v>0</v>
      </c>
      <c r="X27" s="111">
        <v>0</v>
      </c>
      <c r="Y27" s="111">
        <v>0</v>
      </c>
      <c r="Z27" s="111">
        <v>0</v>
      </c>
      <c r="AA27" s="111">
        <v>0</v>
      </c>
      <c r="AB27" s="111">
        <v>0</v>
      </c>
      <c r="AC27" s="111">
        <v>0</v>
      </c>
      <c r="AD27" s="111">
        <v>0</v>
      </c>
      <c r="AE27" s="111">
        <v>0</v>
      </c>
      <c r="AF27" s="111">
        <v>0</v>
      </c>
      <c r="AG27" s="111">
        <v>0</v>
      </c>
      <c r="AH27" s="111">
        <v>0</v>
      </c>
      <c r="AI27" s="111">
        <v>0</v>
      </c>
      <c r="AJ27" s="111">
        <v>0</v>
      </c>
      <c r="AK27" s="111">
        <v>0</v>
      </c>
      <c r="AL27" s="111">
        <v>0</v>
      </c>
      <c r="AM27" s="111">
        <v>0</v>
      </c>
      <c r="AN27" s="111">
        <v>0</v>
      </c>
      <c r="AO27" s="111">
        <v>0</v>
      </c>
      <c r="AP27" s="111">
        <v>0</v>
      </c>
      <c r="AQ27" s="111">
        <v>0</v>
      </c>
      <c r="AR27" s="111">
        <v>0</v>
      </c>
      <c r="AS27" s="111">
        <v>0</v>
      </c>
      <c r="AT27" s="111">
        <v>0</v>
      </c>
    </row>
    <row r="28" spans="1:46" customFormat="1" x14ac:dyDescent="0.15">
      <c r="A28" s="190" t="s">
        <v>217</v>
      </c>
      <c r="B28" s="111">
        <v>0</v>
      </c>
      <c r="C28" s="111">
        <v>0</v>
      </c>
      <c r="D28" s="111">
        <v>0</v>
      </c>
      <c r="E28" s="111">
        <v>0</v>
      </c>
      <c r="F28" s="111">
        <v>0</v>
      </c>
      <c r="G28" s="111">
        <v>1</v>
      </c>
      <c r="H28" s="111">
        <v>0</v>
      </c>
      <c r="I28" s="111">
        <v>0</v>
      </c>
      <c r="J28" s="111">
        <v>0</v>
      </c>
      <c r="K28" s="111">
        <v>0</v>
      </c>
      <c r="L28" s="111">
        <v>0</v>
      </c>
      <c r="M28" s="111">
        <v>0</v>
      </c>
      <c r="N28" s="111">
        <v>0</v>
      </c>
      <c r="O28" s="111">
        <v>0</v>
      </c>
      <c r="P28" s="111">
        <v>0</v>
      </c>
      <c r="Q28" s="111">
        <v>0</v>
      </c>
      <c r="R28" s="111">
        <v>0</v>
      </c>
      <c r="S28" s="111">
        <v>1</v>
      </c>
      <c r="T28" s="111">
        <v>1</v>
      </c>
      <c r="U28" s="111">
        <v>0</v>
      </c>
      <c r="V28" s="111">
        <v>1</v>
      </c>
      <c r="W28" s="111">
        <v>0</v>
      </c>
      <c r="X28" s="111">
        <v>1</v>
      </c>
      <c r="Y28" s="111">
        <v>1</v>
      </c>
      <c r="Z28" s="111">
        <v>0</v>
      </c>
      <c r="AA28" s="111">
        <v>0</v>
      </c>
      <c r="AB28" s="111">
        <v>0</v>
      </c>
      <c r="AC28" s="111">
        <v>0</v>
      </c>
      <c r="AD28" s="111">
        <v>0</v>
      </c>
      <c r="AE28" s="111">
        <v>0</v>
      </c>
      <c r="AF28" s="111">
        <v>0</v>
      </c>
      <c r="AG28" s="111">
        <v>0</v>
      </c>
      <c r="AH28" s="111">
        <v>0</v>
      </c>
      <c r="AI28" s="111">
        <v>0</v>
      </c>
      <c r="AJ28" s="111">
        <v>0</v>
      </c>
      <c r="AK28" s="111">
        <v>0</v>
      </c>
      <c r="AL28" s="111">
        <v>0</v>
      </c>
      <c r="AM28" s="111">
        <v>0</v>
      </c>
      <c r="AN28" s="111">
        <v>0</v>
      </c>
      <c r="AO28" s="111">
        <v>0</v>
      </c>
      <c r="AP28" s="111">
        <v>0</v>
      </c>
      <c r="AQ28" s="111">
        <v>0</v>
      </c>
      <c r="AR28" s="111">
        <v>0</v>
      </c>
      <c r="AS28" s="111">
        <v>0</v>
      </c>
      <c r="AT28" s="111">
        <v>0</v>
      </c>
    </row>
    <row r="29" spans="1:46" customFormat="1" x14ac:dyDescent="0.15">
      <c r="A29" s="190" t="s">
        <v>218</v>
      </c>
      <c r="B29" s="111">
        <v>0</v>
      </c>
      <c r="C29" s="111">
        <v>1</v>
      </c>
      <c r="D29" s="111">
        <v>0</v>
      </c>
      <c r="E29" s="111">
        <v>1</v>
      </c>
      <c r="F29" s="111">
        <v>1</v>
      </c>
      <c r="G29" s="111">
        <v>1</v>
      </c>
      <c r="H29" s="111">
        <v>0</v>
      </c>
      <c r="I29" s="111">
        <v>1</v>
      </c>
      <c r="J29" s="111">
        <v>1</v>
      </c>
      <c r="K29" s="111">
        <v>0</v>
      </c>
      <c r="L29" s="111">
        <v>1</v>
      </c>
      <c r="M29" s="111">
        <v>1</v>
      </c>
      <c r="N29" s="111">
        <v>0</v>
      </c>
      <c r="O29" s="111">
        <v>0</v>
      </c>
      <c r="P29" s="111">
        <v>0</v>
      </c>
      <c r="Q29" s="111">
        <v>0</v>
      </c>
      <c r="R29" s="111">
        <v>0</v>
      </c>
      <c r="S29" s="111">
        <v>1</v>
      </c>
      <c r="T29" s="111">
        <v>1</v>
      </c>
      <c r="U29" s="111">
        <v>0</v>
      </c>
      <c r="V29" s="111">
        <v>1</v>
      </c>
      <c r="W29" s="111">
        <v>0</v>
      </c>
      <c r="X29" s="111">
        <v>1</v>
      </c>
      <c r="Y29" s="111">
        <v>1</v>
      </c>
      <c r="Z29" s="111">
        <v>0</v>
      </c>
      <c r="AA29" s="111">
        <v>0</v>
      </c>
      <c r="AB29" s="111">
        <v>0</v>
      </c>
      <c r="AC29" s="111">
        <v>0</v>
      </c>
      <c r="AD29" s="111">
        <v>0</v>
      </c>
      <c r="AE29" s="111">
        <v>0</v>
      </c>
      <c r="AF29" s="111">
        <v>0</v>
      </c>
      <c r="AG29" s="111">
        <v>0</v>
      </c>
      <c r="AH29" s="111">
        <v>0</v>
      </c>
      <c r="AI29" s="111">
        <v>0</v>
      </c>
      <c r="AJ29" s="111">
        <v>0</v>
      </c>
      <c r="AK29" s="111">
        <v>0</v>
      </c>
      <c r="AL29" s="111">
        <v>0</v>
      </c>
      <c r="AM29" s="111">
        <v>0</v>
      </c>
      <c r="AN29" s="111">
        <v>0</v>
      </c>
      <c r="AO29" s="111">
        <v>0</v>
      </c>
      <c r="AP29" s="111">
        <v>0</v>
      </c>
      <c r="AQ29" s="111">
        <v>0</v>
      </c>
      <c r="AR29" s="111">
        <v>0</v>
      </c>
      <c r="AS29" s="111">
        <v>0</v>
      </c>
      <c r="AT29" s="111">
        <v>0</v>
      </c>
    </row>
    <row r="30" spans="1:46" customFormat="1" x14ac:dyDescent="0.15">
      <c r="A30" s="190" t="s">
        <v>219</v>
      </c>
      <c r="B30" s="111">
        <v>0</v>
      </c>
      <c r="C30" s="111">
        <v>1</v>
      </c>
      <c r="D30" s="111">
        <v>0</v>
      </c>
      <c r="E30" s="111">
        <v>1</v>
      </c>
      <c r="F30" s="111">
        <v>0</v>
      </c>
      <c r="G30" s="111">
        <v>1</v>
      </c>
      <c r="H30" s="111">
        <v>0</v>
      </c>
      <c r="I30" s="111">
        <v>1</v>
      </c>
      <c r="J30" s="111">
        <v>0</v>
      </c>
      <c r="K30" s="111">
        <v>1</v>
      </c>
      <c r="L30" s="111">
        <v>0</v>
      </c>
      <c r="M30" s="111">
        <v>0</v>
      </c>
      <c r="N30" s="111">
        <v>0</v>
      </c>
      <c r="O30" s="111">
        <v>0</v>
      </c>
      <c r="P30" s="111">
        <v>0</v>
      </c>
      <c r="Q30" s="111">
        <v>0</v>
      </c>
      <c r="R30" s="111">
        <v>0</v>
      </c>
      <c r="S30" s="111">
        <v>1</v>
      </c>
      <c r="T30" s="111">
        <v>1</v>
      </c>
      <c r="U30" s="111">
        <v>1</v>
      </c>
      <c r="V30" s="111">
        <v>1</v>
      </c>
      <c r="W30" s="111">
        <v>0</v>
      </c>
      <c r="X30" s="111">
        <v>1</v>
      </c>
      <c r="Y30" s="111">
        <v>1</v>
      </c>
      <c r="Z30" s="111">
        <v>0</v>
      </c>
      <c r="AA30" s="111">
        <v>0</v>
      </c>
      <c r="AB30" s="111">
        <v>0</v>
      </c>
      <c r="AC30" s="111">
        <v>1</v>
      </c>
      <c r="AD30" s="111">
        <v>1</v>
      </c>
      <c r="AE30" s="111">
        <v>1</v>
      </c>
      <c r="AF30" s="111">
        <v>1</v>
      </c>
      <c r="AG30" s="111">
        <v>0</v>
      </c>
      <c r="AH30" s="111">
        <v>0</v>
      </c>
      <c r="AI30" s="111">
        <v>0</v>
      </c>
      <c r="AJ30" s="111">
        <v>0</v>
      </c>
      <c r="AK30" s="111">
        <v>0</v>
      </c>
      <c r="AL30" s="111">
        <v>0</v>
      </c>
      <c r="AM30" s="111">
        <v>0</v>
      </c>
      <c r="AN30" s="111">
        <v>0</v>
      </c>
      <c r="AO30" s="111">
        <v>0</v>
      </c>
      <c r="AP30" s="111">
        <v>0</v>
      </c>
      <c r="AQ30" s="111">
        <v>0</v>
      </c>
      <c r="AR30" s="111">
        <v>0</v>
      </c>
      <c r="AS30" s="111">
        <v>0</v>
      </c>
      <c r="AT30" s="111">
        <v>0</v>
      </c>
    </row>
    <row r="31" spans="1:46" customFormat="1" x14ac:dyDescent="0.15">
      <c r="A31" s="190" t="s">
        <v>220</v>
      </c>
      <c r="B31" s="111">
        <v>0</v>
      </c>
      <c r="C31" s="111">
        <v>0</v>
      </c>
      <c r="D31" s="111">
        <v>0</v>
      </c>
      <c r="E31" s="111">
        <v>0</v>
      </c>
      <c r="F31" s="111">
        <v>0</v>
      </c>
      <c r="G31" s="111">
        <v>0</v>
      </c>
      <c r="H31" s="111">
        <v>0</v>
      </c>
      <c r="I31" s="111">
        <v>0</v>
      </c>
      <c r="J31" s="111">
        <v>0</v>
      </c>
      <c r="K31" s="111">
        <v>0</v>
      </c>
      <c r="L31" s="111">
        <v>0</v>
      </c>
      <c r="M31" s="111">
        <v>0</v>
      </c>
      <c r="N31" s="111">
        <v>0</v>
      </c>
      <c r="O31" s="111">
        <v>0</v>
      </c>
      <c r="P31" s="111">
        <v>0</v>
      </c>
      <c r="Q31" s="111">
        <v>0</v>
      </c>
      <c r="R31" s="111">
        <v>0</v>
      </c>
      <c r="S31" s="111">
        <v>1</v>
      </c>
      <c r="T31" s="111">
        <v>1</v>
      </c>
      <c r="U31" s="111">
        <v>1</v>
      </c>
      <c r="V31" s="111">
        <v>1</v>
      </c>
      <c r="W31" s="111">
        <v>0</v>
      </c>
      <c r="X31" s="111">
        <v>1</v>
      </c>
      <c r="Y31" s="111">
        <v>1</v>
      </c>
      <c r="Z31" s="111">
        <v>0</v>
      </c>
      <c r="AA31" s="111">
        <v>0</v>
      </c>
      <c r="AB31" s="111">
        <v>0</v>
      </c>
      <c r="AC31" s="111">
        <v>0</v>
      </c>
      <c r="AD31" s="111">
        <v>0</v>
      </c>
      <c r="AE31" s="111">
        <v>0</v>
      </c>
      <c r="AF31" s="111">
        <v>0</v>
      </c>
      <c r="AG31" s="111">
        <v>0</v>
      </c>
      <c r="AH31" s="111">
        <v>0</v>
      </c>
      <c r="AI31" s="111">
        <v>0</v>
      </c>
      <c r="AJ31" s="111">
        <v>0</v>
      </c>
      <c r="AK31" s="111">
        <v>0</v>
      </c>
      <c r="AL31" s="111">
        <v>0</v>
      </c>
      <c r="AM31" s="111">
        <v>0</v>
      </c>
      <c r="AN31" s="111">
        <v>0</v>
      </c>
      <c r="AO31" s="111">
        <v>0</v>
      </c>
      <c r="AP31" s="111">
        <v>0</v>
      </c>
      <c r="AQ31" s="111">
        <v>0</v>
      </c>
      <c r="AR31" s="111">
        <v>0</v>
      </c>
      <c r="AS31" s="111">
        <v>0</v>
      </c>
      <c r="AT31" s="111">
        <v>0</v>
      </c>
    </row>
    <row r="32" spans="1:46" x14ac:dyDescent="0.15">
      <c r="A32" s="190" t="s">
        <v>221</v>
      </c>
      <c r="B32" s="111">
        <v>0</v>
      </c>
      <c r="C32" s="111">
        <v>1</v>
      </c>
      <c r="D32" s="111">
        <v>0</v>
      </c>
      <c r="E32" s="111">
        <v>1</v>
      </c>
      <c r="F32" s="111">
        <v>1</v>
      </c>
      <c r="G32" s="111">
        <v>1</v>
      </c>
      <c r="H32" s="111">
        <v>1</v>
      </c>
      <c r="I32" s="111">
        <v>1</v>
      </c>
      <c r="J32" s="111">
        <v>1</v>
      </c>
      <c r="K32" s="111">
        <v>1</v>
      </c>
      <c r="L32" s="111">
        <v>1</v>
      </c>
      <c r="M32" s="111">
        <v>1</v>
      </c>
      <c r="N32" s="111">
        <v>0</v>
      </c>
      <c r="O32" s="111">
        <v>0</v>
      </c>
      <c r="P32" s="111">
        <v>0</v>
      </c>
      <c r="Q32" s="111">
        <v>0</v>
      </c>
      <c r="R32" s="111">
        <v>0</v>
      </c>
      <c r="S32" s="111">
        <v>1</v>
      </c>
      <c r="T32" s="111">
        <v>1</v>
      </c>
      <c r="U32" s="111">
        <v>1</v>
      </c>
      <c r="V32" s="111">
        <v>1</v>
      </c>
      <c r="W32" s="111">
        <v>0</v>
      </c>
      <c r="X32" s="111">
        <v>1</v>
      </c>
      <c r="Y32" s="111">
        <v>1</v>
      </c>
      <c r="Z32" s="111">
        <v>0</v>
      </c>
      <c r="AA32" s="111">
        <v>0</v>
      </c>
      <c r="AB32" s="111">
        <v>1</v>
      </c>
      <c r="AC32" s="111">
        <v>1</v>
      </c>
      <c r="AD32" s="111">
        <v>1</v>
      </c>
      <c r="AE32" s="111">
        <v>0</v>
      </c>
      <c r="AF32" s="111">
        <v>1</v>
      </c>
      <c r="AG32" s="111">
        <v>0</v>
      </c>
      <c r="AH32" s="111">
        <v>0</v>
      </c>
      <c r="AI32" s="111">
        <v>0</v>
      </c>
      <c r="AJ32" s="111">
        <v>0</v>
      </c>
      <c r="AK32" s="111">
        <v>0</v>
      </c>
      <c r="AL32" s="111">
        <v>0</v>
      </c>
      <c r="AM32" s="111">
        <v>1</v>
      </c>
      <c r="AN32" s="111">
        <v>0</v>
      </c>
      <c r="AO32" s="111">
        <v>0</v>
      </c>
      <c r="AP32" s="111">
        <v>0</v>
      </c>
      <c r="AQ32" s="111">
        <v>0</v>
      </c>
      <c r="AR32" s="111">
        <v>0</v>
      </c>
      <c r="AS32" s="111">
        <v>0</v>
      </c>
      <c r="AT32" s="111">
        <v>0</v>
      </c>
    </row>
    <row r="33" spans="1:46" x14ac:dyDescent="0.15">
      <c r="A33" s="190" t="s">
        <v>222</v>
      </c>
      <c r="B33" s="111">
        <v>0</v>
      </c>
      <c r="C33" s="111">
        <v>0</v>
      </c>
      <c r="D33" s="111">
        <v>0</v>
      </c>
      <c r="E33" s="111">
        <v>0</v>
      </c>
      <c r="F33" s="111">
        <v>1</v>
      </c>
      <c r="G33" s="111">
        <v>1</v>
      </c>
      <c r="H33" s="111">
        <v>1</v>
      </c>
      <c r="I33" s="111">
        <v>0</v>
      </c>
      <c r="J33" s="111">
        <v>0</v>
      </c>
      <c r="K33" s="111">
        <v>0</v>
      </c>
      <c r="L33" s="111">
        <v>0</v>
      </c>
      <c r="M33" s="111">
        <v>0</v>
      </c>
      <c r="N33" s="111">
        <v>0</v>
      </c>
      <c r="O33" s="111">
        <v>0</v>
      </c>
      <c r="P33" s="111">
        <v>0</v>
      </c>
      <c r="Q33" s="111">
        <v>0</v>
      </c>
      <c r="R33" s="111">
        <v>0</v>
      </c>
      <c r="S33" s="111">
        <v>0</v>
      </c>
      <c r="T33" s="111">
        <v>0</v>
      </c>
      <c r="U33" s="111">
        <v>0</v>
      </c>
      <c r="V33" s="111">
        <v>1</v>
      </c>
      <c r="W33" s="111">
        <v>0</v>
      </c>
      <c r="X33" s="111">
        <v>0</v>
      </c>
      <c r="Y33" s="111">
        <v>0</v>
      </c>
      <c r="Z33" s="111">
        <v>0</v>
      </c>
      <c r="AA33" s="111">
        <v>0</v>
      </c>
      <c r="AB33" s="111">
        <v>0</v>
      </c>
      <c r="AC33" s="111">
        <v>0</v>
      </c>
      <c r="AD33" s="111">
        <v>0</v>
      </c>
      <c r="AE33" s="111">
        <v>0</v>
      </c>
      <c r="AF33" s="111">
        <v>0</v>
      </c>
      <c r="AG33" s="111">
        <v>0</v>
      </c>
      <c r="AH33" s="111">
        <v>0</v>
      </c>
      <c r="AI33" s="111">
        <v>0</v>
      </c>
      <c r="AJ33" s="111">
        <v>0</v>
      </c>
      <c r="AK33" s="111">
        <v>0</v>
      </c>
      <c r="AL33" s="111">
        <v>0</v>
      </c>
      <c r="AM33" s="111">
        <v>0</v>
      </c>
      <c r="AN33" s="111">
        <v>0</v>
      </c>
      <c r="AO33" s="111">
        <v>0</v>
      </c>
      <c r="AP33" s="111">
        <v>0</v>
      </c>
      <c r="AQ33" s="111">
        <v>0</v>
      </c>
      <c r="AR33" s="111">
        <v>0</v>
      </c>
      <c r="AS33" s="111">
        <v>0</v>
      </c>
      <c r="AT33" s="111">
        <v>0</v>
      </c>
    </row>
    <row r="34" spans="1:46" x14ac:dyDescent="0.15">
      <c r="A34" s="190" t="s">
        <v>223</v>
      </c>
      <c r="B34" s="111">
        <v>1</v>
      </c>
      <c r="C34" s="111">
        <v>1</v>
      </c>
      <c r="D34" s="111">
        <v>0</v>
      </c>
      <c r="E34" s="111">
        <v>0</v>
      </c>
      <c r="F34" s="111">
        <v>1</v>
      </c>
      <c r="G34" s="111">
        <v>1</v>
      </c>
      <c r="H34" s="111">
        <v>1</v>
      </c>
      <c r="I34" s="111">
        <v>0</v>
      </c>
      <c r="J34" s="111">
        <v>0</v>
      </c>
      <c r="K34" s="111">
        <v>0</v>
      </c>
      <c r="L34" s="111">
        <v>0</v>
      </c>
      <c r="M34" s="111">
        <v>0</v>
      </c>
      <c r="N34" s="111">
        <v>0</v>
      </c>
      <c r="O34" s="111">
        <v>0</v>
      </c>
      <c r="P34" s="111">
        <v>0</v>
      </c>
      <c r="Q34" s="111">
        <v>0</v>
      </c>
      <c r="R34" s="111">
        <v>0</v>
      </c>
      <c r="S34" s="111">
        <v>0</v>
      </c>
      <c r="T34" s="111">
        <v>0</v>
      </c>
      <c r="U34" s="111">
        <v>0</v>
      </c>
      <c r="V34" s="111">
        <v>1</v>
      </c>
      <c r="W34" s="111">
        <v>0</v>
      </c>
      <c r="X34" s="111">
        <v>0</v>
      </c>
      <c r="Y34" s="111">
        <v>0</v>
      </c>
      <c r="Z34" s="111">
        <v>0</v>
      </c>
      <c r="AA34" s="111">
        <v>0</v>
      </c>
      <c r="AB34" s="111">
        <v>0</v>
      </c>
      <c r="AC34" s="111">
        <v>0</v>
      </c>
      <c r="AD34" s="111">
        <v>0</v>
      </c>
      <c r="AE34" s="111">
        <v>0</v>
      </c>
      <c r="AF34" s="111">
        <v>0</v>
      </c>
      <c r="AG34" s="111">
        <v>1</v>
      </c>
      <c r="AH34" s="111">
        <v>0</v>
      </c>
      <c r="AI34" s="111">
        <v>0</v>
      </c>
      <c r="AJ34" s="111">
        <v>0</v>
      </c>
      <c r="AK34" s="111">
        <v>0</v>
      </c>
      <c r="AL34" s="111">
        <v>0</v>
      </c>
      <c r="AM34" s="111">
        <v>0</v>
      </c>
      <c r="AN34" s="111">
        <v>0</v>
      </c>
      <c r="AO34" s="111">
        <v>0</v>
      </c>
      <c r="AP34" s="111">
        <v>0</v>
      </c>
      <c r="AQ34" s="111">
        <v>0</v>
      </c>
      <c r="AR34" s="111">
        <v>0</v>
      </c>
      <c r="AS34" s="111">
        <v>0</v>
      </c>
      <c r="AT34" s="111">
        <v>0</v>
      </c>
    </row>
    <row r="35" spans="1:46" x14ac:dyDescent="0.15">
      <c r="A35" s="190" t="s">
        <v>224</v>
      </c>
      <c r="B35" s="111">
        <v>0</v>
      </c>
      <c r="C35" s="111">
        <v>0</v>
      </c>
      <c r="D35" s="111">
        <v>0</v>
      </c>
      <c r="E35" s="111">
        <v>0</v>
      </c>
      <c r="F35" s="111">
        <v>1</v>
      </c>
      <c r="G35" s="111">
        <v>0</v>
      </c>
      <c r="H35" s="111">
        <v>1</v>
      </c>
      <c r="I35" s="111">
        <v>1</v>
      </c>
      <c r="J35" s="111">
        <v>1</v>
      </c>
      <c r="K35" s="111">
        <v>0</v>
      </c>
      <c r="L35" s="111">
        <v>0</v>
      </c>
      <c r="M35" s="111">
        <v>0</v>
      </c>
      <c r="N35" s="111">
        <v>0</v>
      </c>
      <c r="O35" s="111">
        <v>0</v>
      </c>
      <c r="P35" s="111">
        <v>0</v>
      </c>
      <c r="Q35" s="111">
        <v>0</v>
      </c>
      <c r="R35" s="111">
        <v>0</v>
      </c>
      <c r="S35" s="111">
        <v>0</v>
      </c>
      <c r="T35" s="111">
        <v>0</v>
      </c>
      <c r="U35" s="111">
        <v>0</v>
      </c>
      <c r="V35" s="111">
        <v>0</v>
      </c>
      <c r="W35" s="111">
        <v>0</v>
      </c>
      <c r="X35" s="111">
        <v>0</v>
      </c>
      <c r="Y35" s="111">
        <v>0</v>
      </c>
      <c r="Z35" s="111">
        <v>0</v>
      </c>
      <c r="AA35" s="111">
        <v>0</v>
      </c>
      <c r="AB35" s="111">
        <v>0</v>
      </c>
      <c r="AC35" s="111">
        <v>0</v>
      </c>
      <c r="AD35" s="111">
        <v>0</v>
      </c>
      <c r="AE35" s="111">
        <v>0</v>
      </c>
      <c r="AF35" s="111">
        <v>0</v>
      </c>
      <c r="AG35" s="111">
        <v>0</v>
      </c>
      <c r="AH35" s="111">
        <v>0</v>
      </c>
      <c r="AI35" s="111">
        <v>0</v>
      </c>
      <c r="AJ35" s="111">
        <v>0</v>
      </c>
      <c r="AK35" s="111">
        <v>0</v>
      </c>
      <c r="AL35" s="111">
        <v>0</v>
      </c>
      <c r="AM35" s="111">
        <v>0</v>
      </c>
      <c r="AN35" s="111">
        <v>0</v>
      </c>
      <c r="AO35" s="111">
        <v>0</v>
      </c>
      <c r="AP35" s="111">
        <v>0</v>
      </c>
      <c r="AQ35" s="111">
        <v>0</v>
      </c>
      <c r="AR35" s="111">
        <v>0</v>
      </c>
      <c r="AS35" s="111">
        <v>0</v>
      </c>
      <c r="AT35" s="111">
        <v>0</v>
      </c>
    </row>
    <row r="36" spans="1:46" x14ac:dyDescent="0.15">
      <c r="A36" s="190" t="s">
        <v>225</v>
      </c>
      <c r="B36" s="111">
        <v>1</v>
      </c>
      <c r="C36" s="111">
        <v>0</v>
      </c>
      <c r="D36" s="111">
        <v>0</v>
      </c>
      <c r="E36" s="111">
        <v>0</v>
      </c>
      <c r="F36" s="111">
        <v>0</v>
      </c>
      <c r="G36" s="111">
        <v>0</v>
      </c>
      <c r="H36" s="111">
        <v>1</v>
      </c>
      <c r="I36" s="111">
        <v>0</v>
      </c>
      <c r="J36" s="111">
        <v>0</v>
      </c>
      <c r="K36" s="111">
        <v>0</v>
      </c>
      <c r="L36" s="111">
        <v>0</v>
      </c>
      <c r="M36" s="111">
        <v>0</v>
      </c>
      <c r="N36" s="111">
        <v>0</v>
      </c>
      <c r="O36" s="111">
        <v>0</v>
      </c>
      <c r="P36" s="111">
        <v>0</v>
      </c>
      <c r="Q36" s="111">
        <v>0</v>
      </c>
      <c r="R36" s="111">
        <v>0</v>
      </c>
      <c r="S36" s="111">
        <v>0</v>
      </c>
      <c r="T36" s="111">
        <v>0</v>
      </c>
      <c r="U36" s="111">
        <v>0</v>
      </c>
      <c r="V36" s="111">
        <v>0</v>
      </c>
      <c r="W36" s="111">
        <v>0</v>
      </c>
      <c r="X36" s="111">
        <v>0</v>
      </c>
      <c r="Y36" s="111">
        <v>0</v>
      </c>
      <c r="Z36" s="111">
        <v>0</v>
      </c>
      <c r="AA36" s="111">
        <v>0</v>
      </c>
      <c r="AB36" s="111">
        <v>0</v>
      </c>
      <c r="AC36" s="111">
        <v>0</v>
      </c>
      <c r="AD36" s="111">
        <v>0</v>
      </c>
      <c r="AE36" s="111">
        <v>0</v>
      </c>
      <c r="AF36" s="111">
        <v>0</v>
      </c>
      <c r="AG36" s="111">
        <v>0</v>
      </c>
      <c r="AH36" s="111">
        <v>0</v>
      </c>
      <c r="AI36" s="111">
        <v>1</v>
      </c>
      <c r="AJ36" s="111">
        <v>0</v>
      </c>
      <c r="AK36" s="111">
        <v>0</v>
      </c>
      <c r="AL36" s="111">
        <v>0</v>
      </c>
      <c r="AM36" s="111">
        <v>0</v>
      </c>
      <c r="AN36" s="111">
        <v>0</v>
      </c>
      <c r="AO36" s="111">
        <v>0</v>
      </c>
      <c r="AP36" s="111">
        <v>0</v>
      </c>
      <c r="AQ36" s="111">
        <v>0</v>
      </c>
      <c r="AR36" s="111">
        <v>0</v>
      </c>
      <c r="AS36" s="111">
        <v>0</v>
      </c>
      <c r="AT36" s="111">
        <v>0</v>
      </c>
    </row>
    <row r="37" spans="1:46" x14ac:dyDescent="0.15">
      <c r="A37" s="190" t="s">
        <v>226</v>
      </c>
      <c r="B37" s="111">
        <v>1</v>
      </c>
      <c r="C37" s="111">
        <v>0</v>
      </c>
      <c r="D37" s="111">
        <v>0</v>
      </c>
      <c r="E37" s="111">
        <v>0</v>
      </c>
      <c r="F37" s="111">
        <v>0</v>
      </c>
      <c r="G37" s="111">
        <v>1</v>
      </c>
      <c r="H37" s="111">
        <v>1</v>
      </c>
      <c r="I37" s="111">
        <v>0</v>
      </c>
      <c r="J37" s="111">
        <v>1</v>
      </c>
      <c r="K37" s="111">
        <v>0</v>
      </c>
      <c r="L37" s="111">
        <v>0</v>
      </c>
      <c r="M37" s="111">
        <v>0</v>
      </c>
      <c r="N37" s="111">
        <v>0</v>
      </c>
      <c r="O37" s="111">
        <v>0</v>
      </c>
      <c r="P37" s="111">
        <v>0</v>
      </c>
      <c r="Q37" s="111">
        <v>0</v>
      </c>
      <c r="R37" s="111">
        <v>0</v>
      </c>
      <c r="S37" s="111">
        <v>0</v>
      </c>
      <c r="T37" s="111">
        <v>0</v>
      </c>
      <c r="U37" s="111">
        <v>0</v>
      </c>
      <c r="V37" s="111">
        <v>1</v>
      </c>
      <c r="W37" s="111">
        <v>0</v>
      </c>
      <c r="X37" s="111">
        <v>0</v>
      </c>
      <c r="Y37" s="111">
        <v>0</v>
      </c>
      <c r="Z37" s="111">
        <v>0</v>
      </c>
      <c r="AA37" s="111">
        <v>0</v>
      </c>
      <c r="AB37" s="111">
        <v>0</v>
      </c>
      <c r="AC37" s="111">
        <v>0</v>
      </c>
      <c r="AD37" s="111">
        <v>0</v>
      </c>
      <c r="AE37" s="111">
        <v>0</v>
      </c>
      <c r="AF37" s="111">
        <v>0</v>
      </c>
      <c r="AG37" s="111">
        <v>1</v>
      </c>
      <c r="AH37" s="111">
        <v>0</v>
      </c>
      <c r="AI37" s="111">
        <v>1</v>
      </c>
      <c r="AJ37" s="111">
        <v>0</v>
      </c>
      <c r="AK37" s="111">
        <v>0</v>
      </c>
      <c r="AL37" s="111">
        <v>0</v>
      </c>
      <c r="AM37" s="111">
        <v>0</v>
      </c>
      <c r="AN37" s="111">
        <v>0</v>
      </c>
      <c r="AO37" s="111">
        <v>0</v>
      </c>
      <c r="AP37" s="111">
        <v>0</v>
      </c>
      <c r="AQ37" s="111">
        <v>0</v>
      </c>
      <c r="AR37" s="111">
        <v>0</v>
      </c>
      <c r="AS37" s="111">
        <v>0</v>
      </c>
      <c r="AT37" s="111">
        <v>0</v>
      </c>
    </row>
    <row r="38" spans="1:46" x14ac:dyDescent="0.15">
      <c r="A38" s="190" t="s">
        <v>227</v>
      </c>
      <c r="B38" s="111">
        <v>1</v>
      </c>
      <c r="C38" s="111">
        <v>1</v>
      </c>
      <c r="D38" s="111">
        <v>0</v>
      </c>
      <c r="E38" s="111">
        <v>0</v>
      </c>
      <c r="F38" s="111">
        <v>1</v>
      </c>
      <c r="G38" s="111">
        <v>0</v>
      </c>
      <c r="H38" s="111">
        <v>1</v>
      </c>
      <c r="I38" s="111">
        <v>1</v>
      </c>
      <c r="J38" s="111">
        <v>1</v>
      </c>
      <c r="K38" s="111">
        <v>0</v>
      </c>
      <c r="L38" s="111">
        <v>0</v>
      </c>
      <c r="M38" s="111">
        <v>0</v>
      </c>
      <c r="N38" s="111">
        <v>0</v>
      </c>
      <c r="O38" s="111">
        <v>0</v>
      </c>
      <c r="P38" s="111">
        <v>0</v>
      </c>
      <c r="Q38" s="111">
        <v>0</v>
      </c>
      <c r="R38" s="111">
        <v>0</v>
      </c>
      <c r="S38" s="111">
        <v>0</v>
      </c>
      <c r="T38" s="111">
        <v>0</v>
      </c>
      <c r="U38" s="111">
        <v>0</v>
      </c>
      <c r="V38" s="111">
        <v>1</v>
      </c>
      <c r="W38" s="111">
        <v>0</v>
      </c>
      <c r="X38" s="111">
        <v>0</v>
      </c>
      <c r="Y38" s="111">
        <v>0</v>
      </c>
      <c r="Z38" s="111">
        <v>0</v>
      </c>
      <c r="AA38" s="111">
        <v>0</v>
      </c>
      <c r="AB38" s="111">
        <v>0</v>
      </c>
      <c r="AC38" s="111">
        <v>0</v>
      </c>
      <c r="AD38" s="111">
        <v>0</v>
      </c>
      <c r="AE38" s="111">
        <v>0</v>
      </c>
      <c r="AF38" s="111">
        <v>0</v>
      </c>
      <c r="AG38" s="111">
        <v>1</v>
      </c>
      <c r="AH38" s="111">
        <v>0</v>
      </c>
      <c r="AI38" s="111">
        <v>1</v>
      </c>
      <c r="AJ38" s="111">
        <v>0</v>
      </c>
      <c r="AK38" s="111">
        <v>1</v>
      </c>
      <c r="AL38" s="111">
        <v>1</v>
      </c>
      <c r="AM38" s="111">
        <v>1</v>
      </c>
      <c r="AN38" s="111">
        <v>0</v>
      </c>
      <c r="AO38" s="111">
        <v>0</v>
      </c>
      <c r="AP38" s="111">
        <v>0</v>
      </c>
      <c r="AQ38" s="111">
        <v>0</v>
      </c>
      <c r="AR38" s="111">
        <v>0</v>
      </c>
      <c r="AS38" s="111">
        <v>0</v>
      </c>
      <c r="AT38" s="111">
        <v>0</v>
      </c>
    </row>
    <row r="39" spans="1:46" x14ac:dyDescent="0.15">
      <c r="A39" s="190" t="s">
        <v>228</v>
      </c>
      <c r="B39" s="111">
        <v>1</v>
      </c>
      <c r="C39" s="111">
        <v>1</v>
      </c>
      <c r="D39" s="111">
        <v>0</v>
      </c>
      <c r="E39" s="111">
        <v>1</v>
      </c>
      <c r="F39" s="111">
        <v>1</v>
      </c>
      <c r="G39" s="111">
        <v>1</v>
      </c>
      <c r="H39" s="111">
        <v>1</v>
      </c>
      <c r="I39" s="111">
        <v>1</v>
      </c>
      <c r="J39" s="111">
        <v>1</v>
      </c>
      <c r="K39" s="111">
        <v>1</v>
      </c>
      <c r="L39" s="111">
        <v>1</v>
      </c>
      <c r="M39" s="111">
        <v>1</v>
      </c>
      <c r="N39" s="111">
        <v>0</v>
      </c>
      <c r="O39" s="111">
        <v>1</v>
      </c>
      <c r="P39" s="111">
        <v>0</v>
      </c>
      <c r="Q39" s="111">
        <v>0</v>
      </c>
      <c r="R39" s="111">
        <v>0</v>
      </c>
      <c r="S39" s="111">
        <v>1</v>
      </c>
      <c r="T39" s="111">
        <v>1</v>
      </c>
      <c r="U39" s="111">
        <v>0</v>
      </c>
      <c r="V39" s="111">
        <v>1</v>
      </c>
      <c r="W39" s="111">
        <v>0</v>
      </c>
      <c r="X39" s="111">
        <v>1</v>
      </c>
      <c r="Y39" s="111">
        <v>0</v>
      </c>
      <c r="Z39" s="111">
        <v>0</v>
      </c>
      <c r="AA39" s="111">
        <v>0</v>
      </c>
      <c r="AB39" s="111">
        <v>0</v>
      </c>
      <c r="AC39" s="111">
        <v>1</v>
      </c>
      <c r="AD39" s="111">
        <v>1</v>
      </c>
      <c r="AE39" s="111">
        <v>0</v>
      </c>
      <c r="AF39" s="111">
        <v>0</v>
      </c>
      <c r="AG39" s="111">
        <v>1</v>
      </c>
      <c r="AH39" s="111">
        <v>1</v>
      </c>
      <c r="AI39" s="111">
        <v>1</v>
      </c>
      <c r="AJ39" s="111">
        <v>0</v>
      </c>
      <c r="AK39" s="111">
        <v>0</v>
      </c>
      <c r="AL39" s="111">
        <v>1</v>
      </c>
      <c r="AM39" s="111">
        <v>1</v>
      </c>
      <c r="AN39" s="111">
        <v>0</v>
      </c>
      <c r="AO39" s="111">
        <v>0</v>
      </c>
      <c r="AP39" s="111">
        <v>0</v>
      </c>
      <c r="AQ39" s="111">
        <v>0</v>
      </c>
      <c r="AR39" s="111">
        <v>0</v>
      </c>
      <c r="AS39" s="111">
        <v>0</v>
      </c>
      <c r="AT39" s="111">
        <v>0</v>
      </c>
    </row>
    <row r="40" spans="1:46" x14ac:dyDescent="0.15">
      <c r="A40" s="190" t="s">
        <v>229</v>
      </c>
      <c r="B40" s="111">
        <v>0</v>
      </c>
      <c r="C40" s="111">
        <v>0</v>
      </c>
      <c r="D40" s="111">
        <v>0</v>
      </c>
      <c r="E40" s="111">
        <v>1</v>
      </c>
      <c r="F40" s="111">
        <v>1</v>
      </c>
      <c r="G40" s="111">
        <v>1</v>
      </c>
      <c r="H40" s="111">
        <v>1</v>
      </c>
      <c r="I40" s="111">
        <v>1</v>
      </c>
      <c r="J40" s="111">
        <v>1</v>
      </c>
      <c r="K40" s="111">
        <v>1</v>
      </c>
      <c r="L40" s="111">
        <v>1</v>
      </c>
      <c r="M40" s="111">
        <v>1</v>
      </c>
      <c r="N40" s="111">
        <v>1</v>
      </c>
      <c r="O40" s="111">
        <v>1</v>
      </c>
      <c r="P40" s="111">
        <v>0</v>
      </c>
      <c r="Q40" s="111">
        <v>0</v>
      </c>
      <c r="R40" s="111">
        <v>1</v>
      </c>
      <c r="S40" s="111">
        <v>1</v>
      </c>
      <c r="T40" s="111">
        <v>1</v>
      </c>
      <c r="U40" s="111">
        <v>1</v>
      </c>
      <c r="V40" s="111">
        <v>1</v>
      </c>
      <c r="W40" s="111">
        <v>1</v>
      </c>
      <c r="X40" s="111">
        <v>1</v>
      </c>
      <c r="Y40" s="111">
        <v>1</v>
      </c>
      <c r="Z40" s="111">
        <v>1</v>
      </c>
      <c r="AA40" s="111">
        <v>1</v>
      </c>
      <c r="AB40" s="111">
        <v>1</v>
      </c>
      <c r="AC40" s="111">
        <v>1</v>
      </c>
      <c r="AD40" s="111">
        <v>1</v>
      </c>
      <c r="AE40" s="111">
        <v>1</v>
      </c>
      <c r="AF40" s="111">
        <v>1</v>
      </c>
      <c r="AG40" s="111">
        <v>1</v>
      </c>
      <c r="AH40" s="111">
        <v>1</v>
      </c>
      <c r="AI40" s="111">
        <v>1</v>
      </c>
      <c r="AJ40" s="111">
        <v>0</v>
      </c>
      <c r="AK40" s="111">
        <v>1</v>
      </c>
      <c r="AL40" s="111">
        <v>1</v>
      </c>
      <c r="AM40" s="111">
        <v>1</v>
      </c>
      <c r="AN40" s="111">
        <v>1</v>
      </c>
      <c r="AO40" s="111">
        <v>0</v>
      </c>
      <c r="AP40" s="111">
        <v>0</v>
      </c>
      <c r="AQ40" s="111">
        <v>0</v>
      </c>
      <c r="AR40" s="111">
        <v>0</v>
      </c>
      <c r="AS40" s="111">
        <v>0</v>
      </c>
      <c r="AT40" s="111">
        <v>0</v>
      </c>
    </row>
    <row r="41" spans="1:46" x14ac:dyDescent="0.15">
      <c r="A41" s="190" t="s">
        <v>230</v>
      </c>
      <c r="B41" s="111">
        <v>0</v>
      </c>
      <c r="C41" s="111">
        <v>1</v>
      </c>
      <c r="D41" s="111">
        <v>0</v>
      </c>
      <c r="E41" s="111">
        <v>1</v>
      </c>
      <c r="F41" s="111">
        <v>1</v>
      </c>
      <c r="G41" s="111">
        <v>1</v>
      </c>
      <c r="H41" s="111">
        <v>1</v>
      </c>
      <c r="I41" s="111">
        <v>1</v>
      </c>
      <c r="J41" s="111">
        <v>1</v>
      </c>
      <c r="K41" s="111">
        <v>1</v>
      </c>
      <c r="L41" s="111">
        <v>1</v>
      </c>
      <c r="M41" s="111">
        <v>1</v>
      </c>
      <c r="N41" s="111">
        <v>0</v>
      </c>
      <c r="O41" s="111">
        <v>1</v>
      </c>
      <c r="P41" s="111">
        <v>1</v>
      </c>
      <c r="Q41" s="111">
        <v>1</v>
      </c>
      <c r="R41" s="111">
        <v>0</v>
      </c>
      <c r="S41" s="111">
        <v>0</v>
      </c>
      <c r="T41" s="111">
        <v>0</v>
      </c>
      <c r="U41" s="111">
        <v>0</v>
      </c>
      <c r="V41" s="111">
        <v>1</v>
      </c>
      <c r="W41" s="111">
        <v>1</v>
      </c>
      <c r="X41" s="111">
        <v>1</v>
      </c>
      <c r="Y41" s="111">
        <v>1</v>
      </c>
      <c r="Z41" s="111">
        <v>1</v>
      </c>
      <c r="AA41" s="111">
        <v>1</v>
      </c>
      <c r="AB41" s="111">
        <v>1</v>
      </c>
      <c r="AC41" s="111">
        <v>1</v>
      </c>
      <c r="AD41" s="111">
        <v>1</v>
      </c>
      <c r="AE41" s="111">
        <v>0</v>
      </c>
      <c r="AF41" s="111">
        <v>1</v>
      </c>
      <c r="AG41" s="111">
        <v>1</v>
      </c>
      <c r="AH41" s="111">
        <v>1</v>
      </c>
      <c r="AI41" s="111">
        <v>0</v>
      </c>
      <c r="AJ41" s="111">
        <v>1</v>
      </c>
      <c r="AK41" s="111">
        <v>0</v>
      </c>
      <c r="AL41" s="111">
        <v>1</v>
      </c>
      <c r="AM41" s="111">
        <v>1</v>
      </c>
      <c r="AN41" s="111">
        <v>1</v>
      </c>
      <c r="AO41" s="111">
        <v>1</v>
      </c>
      <c r="AP41" s="111">
        <v>0</v>
      </c>
      <c r="AQ41" s="111">
        <v>0</v>
      </c>
      <c r="AR41" s="111">
        <v>0</v>
      </c>
      <c r="AS41" s="111">
        <v>0</v>
      </c>
      <c r="AT41" s="111">
        <v>0</v>
      </c>
    </row>
    <row r="42" spans="1:46" x14ac:dyDescent="0.15">
      <c r="A42" s="190" t="s">
        <v>231</v>
      </c>
      <c r="B42" s="111">
        <v>1</v>
      </c>
      <c r="C42" s="111">
        <v>0</v>
      </c>
      <c r="D42" s="111">
        <v>1</v>
      </c>
      <c r="E42" s="111">
        <v>1</v>
      </c>
      <c r="F42" s="111">
        <v>1</v>
      </c>
      <c r="G42" s="111">
        <v>1</v>
      </c>
      <c r="H42" s="111">
        <v>1</v>
      </c>
      <c r="I42" s="111">
        <v>1</v>
      </c>
      <c r="J42" s="111">
        <v>1</v>
      </c>
      <c r="K42" s="111">
        <v>1</v>
      </c>
      <c r="L42" s="111">
        <v>0</v>
      </c>
      <c r="M42" s="111">
        <v>1</v>
      </c>
      <c r="N42" s="111">
        <v>0</v>
      </c>
      <c r="O42" s="111">
        <v>1</v>
      </c>
      <c r="P42" s="111">
        <v>0</v>
      </c>
      <c r="Q42" s="111">
        <v>0</v>
      </c>
      <c r="R42" s="111">
        <v>1</v>
      </c>
      <c r="S42" s="111">
        <v>0</v>
      </c>
      <c r="T42" s="111">
        <v>0</v>
      </c>
      <c r="U42" s="111">
        <v>0</v>
      </c>
      <c r="V42" s="111">
        <v>1</v>
      </c>
      <c r="W42" s="111">
        <v>0</v>
      </c>
      <c r="X42" s="111">
        <v>1</v>
      </c>
      <c r="Y42" s="111">
        <v>0</v>
      </c>
      <c r="Z42" s="111">
        <v>1</v>
      </c>
      <c r="AA42" s="111">
        <v>1</v>
      </c>
      <c r="AB42" s="111">
        <v>0</v>
      </c>
      <c r="AC42" s="111">
        <v>1</v>
      </c>
      <c r="AD42" s="111">
        <v>1</v>
      </c>
      <c r="AE42" s="111">
        <v>0</v>
      </c>
      <c r="AF42" s="111">
        <v>1</v>
      </c>
      <c r="AG42" s="111">
        <v>1</v>
      </c>
      <c r="AH42" s="111">
        <v>1</v>
      </c>
      <c r="AI42" s="111">
        <v>1</v>
      </c>
      <c r="AJ42" s="111">
        <v>1</v>
      </c>
      <c r="AK42" s="111">
        <v>1</v>
      </c>
      <c r="AL42" s="111">
        <v>1</v>
      </c>
      <c r="AM42" s="111">
        <v>1</v>
      </c>
      <c r="AN42" s="111">
        <v>1</v>
      </c>
      <c r="AO42" s="111">
        <v>0</v>
      </c>
      <c r="AP42" s="111">
        <v>1</v>
      </c>
      <c r="AQ42" s="111">
        <v>0</v>
      </c>
      <c r="AR42" s="111">
        <v>0</v>
      </c>
      <c r="AS42" s="111">
        <v>0</v>
      </c>
      <c r="AT42" s="111">
        <v>0</v>
      </c>
    </row>
    <row r="43" spans="1:46" x14ac:dyDescent="0.15">
      <c r="A43" s="190" t="s">
        <v>232</v>
      </c>
      <c r="B43" s="111">
        <v>0</v>
      </c>
      <c r="C43" s="111">
        <v>0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0</v>
      </c>
      <c r="J43" s="111">
        <v>1</v>
      </c>
      <c r="K43" s="111">
        <v>1</v>
      </c>
      <c r="L43" s="111">
        <v>1</v>
      </c>
      <c r="M43" s="111">
        <v>1</v>
      </c>
      <c r="N43" s="111">
        <v>1</v>
      </c>
      <c r="O43" s="111">
        <v>1</v>
      </c>
      <c r="P43" s="111">
        <v>1</v>
      </c>
      <c r="Q43" s="111">
        <v>1</v>
      </c>
      <c r="R43" s="111">
        <v>1</v>
      </c>
      <c r="S43" s="111">
        <v>0</v>
      </c>
      <c r="T43" s="111">
        <v>0</v>
      </c>
      <c r="U43" s="111">
        <v>0</v>
      </c>
      <c r="V43" s="111">
        <v>1</v>
      </c>
      <c r="W43" s="111">
        <v>1</v>
      </c>
      <c r="X43" s="111">
        <v>0</v>
      </c>
      <c r="Y43" s="111">
        <v>0</v>
      </c>
      <c r="Z43" s="111">
        <v>1</v>
      </c>
      <c r="AA43" s="111">
        <v>1</v>
      </c>
      <c r="AB43" s="111">
        <v>0</v>
      </c>
      <c r="AC43" s="111">
        <v>1</v>
      </c>
      <c r="AD43" s="111">
        <v>0</v>
      </c>
      <c r="AE43" s="111">
        <v>0</v>
      </c>
      <c r="AF43" s="111">
        <v>1</v>
      </c>
      <c r="AG43" s="111">
        <v>1</v>
      </c>
      <c r="AH43" s="111">
        <v>1</v>
      </c>
      <c r="AI43" s="111">
        <v>1</v>
      </c>
      <c r="AJ43" s="111">
        <v>1</v>
      </c>
      <c r="AK43" s="111">
        <v>0</v>
      </c>
      <c r="AL43" s="111">
        <v>1</v>
      </c>
      <c r="AM43" s="111">
        <v>0</v>
      </c>
      <c r="AN43" s="111">
        <v>1</v>
      </c>
      <c r="AO43" s="111">
        <v>1</v>
      </c>
      <c r="AP43" s="111">
        <v>1</v>
      </c>
      <c r="AQ43" s="111">
        <v>0</v>
      </c>
      <c r="AR43" s="111">
        <v>0</v>
      </c>
      <c r="AS43" s="111">
        <v>0</v>
      </c>
      <c r="AT43" s="111">
        <v>0</v>
      </c>
    </row>
    <row r="44" spans="1:46" x14ac:dyDescent="0.15">
      <c r="A44" s="190" t="s">
        <v>233</v>
      </c>
      <c r="B44" s="111">
        <v>0</v>
      </c>
      <c r="C44" s="111">
        <v>0</v>
      </c>
      <c r="D44" s="111">
        <v>1</v>
      </c>
      <c r="E44" s="111">
        <v>0</v>
      </c>
      <c r="F44" s="111">
        <v>0</v>
      </c>
      <c r="G44" s="111">
        <v>1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1</v>
      </c>
      <c r="P44" s="111">
        <v>1</v>
      </c>
      <c r="Q44" s="111">
        <v>1</v>
      </c>
      <c r="R44" s="111">
        <v>1</v>
      </c>
      <c r="S44" s="111">
        <v>0</v>
      </c>
      <c r="T44" s="111">
        <v>0</v>
      </c>
      <c r="U44" s="111">
        <v>0</v>
      </c>
      <c r="V44" s="111">
        <v>1</v>
      </c>
      <c r="W44" s="111">
        <v>0</v>
      </c>
      <c r="X44" s="111">
        <v>0</v>
      </c>
      <c r="Y44" s="111">
        <v>0</v>
      </c>
      <c r="Z44" s="111">
        <v>1</v>
      </c>
      <c r="AA44" s="111">
        <v>1</v>
      </c>
      <c r="AB44" s="111">
        <v>0</v>
      </c>
      <c r="AC44" s="111">
        <v>1</v>
      </c>
      <c r="AD44" s="111">
        <v>0</v>
      </c>
      <c r="AE44" s="111">
        <v>0</v>
      </c>
      <c r="AF44" s="111">
        <v>1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1</v>
      </c>
      <c r="AP44" s="111">
        <v>1</v>
      </c>
      <c r="AQ44" s="111">
        <v>1</v>
      </c>
      <c r="AR44" s="111">
        <v>0</v>
      </c>
      <c r="AS44" s="111">
        <v>0</v>
      </c>
      <c r="AT44" s="111">
        <v>0</v>
      </c>
    </row>
    <row r="45" spans="1:46" x14ac:dyDescent="0.15">
      <c r="A45" s="190" t="s">
        <v>234</v>
      </c>
      <c r="B45" s="111">
        <v>0</v>
      </c>
      <c r="C45" s="111">
        <v>0</v>
      </c>
      <c r="D45" s="111">
        <v>0</v>
      </c>
      <c r="E45" s="111">
        <v>0</v>
      </c>
      <c r="F45" s="111">
        <v>1</v>
      </c>
      <c r="G45" s="111">
        <v>1</v>
      </c>
      <c r="H45" s="111">
        <v>0</v>
      </c>
      <c r="I45" s="111">
        <v>0</v>
      </c>
      <c r="J45" s="111">
        <v>0</v>
      </c>
      <c r="K45" s="111">
        <v>1</v>
      </c>
      <c r="L45" s="111">
        <v>0</v>
      </c>
      <c r="M45" s="111">
        <v>1</v>
      </c>
      <c r="N45" s="111">
        <v>0</v>
      </c>
      <c r="O45" s="111">
        <v>1</v>
      </c>
      <c r="P45" s="111">
        <v>1</v>
      </c>
      <c r="Q45" s="111">
        <v>0</v>
      </c>
      <c r="R45" s="111">
        <v>1</v>
      </c>
      <c r="S45" s="111">
        <v>0</v>
      </c>
      <c r="T45" s="111">
        <v>1</v>
      </c>
      <c r="U45" s="111">
        <v>0</v>
      </c>
      <c r="V45" s="111">
        <v>0</v>
      </c>
      <c r="W45" s="111">
        <v>1</v>
      </c>
      <c r="X45" s="111">
        <v>0</v>
      </c>
      <c r="Y45" s="111">
        <v>0</v>
      </c>
      <c r="Z45" s="111">
        <v>1</v>
      </c>
      <c r="AA45" s="111">
        <v>1</v>
      </c>
      <c r="AB45" s="111">
        <v>0</v>
      </c>
      <c r="AC45" s="111">
        <v>1</v>
      </c>
      <c r="AD45" s="111">
        <v>1</v>
      </c>
      <c r="AE45" s="111">
        <v>0</v>
      </c>
      <c r="AF45" s="111">
        <v>1</v>
      </c>
      <c r="AG45" s="111">
        <v>0</v>
      </c>
      <c r="AH45" s="111">
        <v>0</v>
      </c>
      <c r="AI45" s="111">
        <v>0</v>
      </c>
      <c r="AJ45" s="111">
        <v>0</v>
      </c>
      <c r="AK45" s="111">
        <v>0</v>
      </c>
      <c r="AL45" s="111">
        <v>0</v>
      </c>
      <c r="AM45" s="111">
        <v>0</v>
      </c>
      <c r="AN45" s="111">
        <v>1</v>
      </c>
      <c r="AO45" s="111">
        <v>1</v>
      </c>
      <c r="AP45" s="111">
        <v>1</v>
      </c>
      <c r="AQ45" s="111">
        <v>1</v>
      </c>
      <c r="AR45" s="111">
        <v>0</v>
      </c>
      <c r="AS45" s="111">
        <v>0</v>
      </c>
      <c r="AT45" s="111">
        <v>0</v>
      </c>
    </row>
    <row r="46" spans="1:46" x14ac:dyDescent="0.15">
      <c r="A46" s="190" t="s">
        <v>235</v>
      </c>
      <c r="B46" s="111">
        <v>0</v>
      </c>
      <c r="C46" s="111">
        <v>0</v>
      </c>
      <c r="D46" s="111">
        <v>0</v>
      </c>
      <c r="E46" s="111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0</v>
      </c>
      <c r="L46" s="111">
        <v>0</v>
      </c>
      <c r="M46" s="111">
        <v>0</v>
      </c>
      <c r="N46" s="111">
        <v>0</v>
      </c>
      <c r="O46" s="111">
        <v>0</v>
      </c>
      <c r="P46" s="111">
        <v>0</v>
      </c>
      <c r="Q46" s="111">
        <v>0</v>
      </c>
      <c r="R46" s="111">
        <v>0</v>
      </c>
      <c r="S46" s="111">
        <v>0</v>
      </c>
      <c r="T46" s="111">
        <v>0</v>
      </c>
      <c r="U46" s="111">
        <v>0</v>
      </c>
      <c r="V46" s="111">
        <v>0</v>
      </c>
      <c r="W46" s="111">
        <v>0</v>
      </c>
      <c r="X46" s="111">
        <v>0</v>
      </c>
      <c r="Y46" s="111">
        <v>0</v>
      </c>
      <c r="Z46" s="111">
        <v>0</v>
      </c>
      <c r="AA46" s="111">
        <v>0</v>
      </c>
      <c r="AB46" s="111">
        <v>0</v>
      </c>
      <c r="AC46" s="111">
        <v>0</v>
      </c>
      <c r="AD46" s="111">
        <v>0</v>
      </c>
      <c r="AE46" s="111">
        <v>0</v>
      </c>
      <c r="AF46" s="111">
        <v>0</v>
      </c>
      <c r="AG46" s="111">
        <v>0</v>
      </c>
      <c r="AH46" s="111">
        <v>0</v>
      </c>
      <c r="AI46" s="111">
        <v>0</v>
      </c>
      <c r="AJ46" s="111">
        <v>0</v>
      </c>
      <c r="AK46" s="111">
        <v>0</v>
      </c>
      <c r="AL46" s="111">
        <v>0</v>
      </c>
      <c r="AM46" s="111">
        <v>0</v>
      </c>
      <c r="AN46" s="111">
        <v>0</v>
      </c>
      <c r="AO46" s="111">
        <v>0</v>
      </c>
      <c r="AP46" s="111">
        <v>0</v>
      </c>
      <c r="AQ46" s="111">
        <v>0</v>
      </c>
      <c r="AR46" s="111">
        <v>0</v>
      </c>
      <c r="AS46" s="111">
        <v>0</v>
      </c>
      <c r="AT46" s="111">
        <v>0</v>
      </c>
    </row>
    <row r="47" spans="1:46" x14ac:dyDescent="0.15">
      <c r="A47" s="190" t="s">
        <v>238</v>
      </c>
      <c r="B47" s="111">
        <v>0</v>
      </c>
      <c r="C47" s="111">
        <v>0</v>
      </c>
      <c r="D47" s="111">
        <v>0</v>
      </c>
      <c r="E47" s="111">
        <v>1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0</v>
      </c>
      <c r="L47" s="111">
        <v>0</v>
      </c>
      <c r="M47" s="111">
        <v>0</v>
      </c>
      <c r="N47" s="111">
        <v>0</v>
      </c>
      <c r="O47" s="111">
        <v>1</v>
      </c>
      <c r="P47" s="111">
        <v>0</v>
      </c>
      <c r="Q47" s="111">
        <v>0</v>
      </c>
      <c r="R47" s="111">
        <v>0</v>
      </c>
      <c r="S47" s="111">
        <v>0</v>
      </c>
      <c r="T47" s="111">
        <v>0</v>
      </c>
      <c r="U47" s="111">
        <v>0</v>
      </c>
      <c r="V47" s="111">
        <v>0</v>
      </c>
      <c r="W47" s="111">
        <v>0</v>
      </c>
      <c r="X47" s="111">
        <v>0</v>
      </c>
      <c r="Y47" s="111">
        <v>0</v>
      </c>
      <c r="Z47" s="111">
        <v>0</v>
      </c>
      <c r="AA47" s="111">
        <v>0</v>
      </c>
      <c r="AB47" s="111">
        <v>0</v>
      </c>
      <c r="AC47" s="111">
        <v>0</v>
      </c>
      <c r="AD47" s="111">
        <v>0</v>
      </c>
      <c r="AE47" s="111">
        <v>0</v>
      </c>
      <c r="AF47" s="111">
        <v>1</v>
      </c>
      <c r="AG47" s="111">
        <v>0</v>
      </c>
      <c r="AH47" s="111">
        <v>0</v>
      </c>
      <c r="AI47" s="111">
        <v>0</v>
      </c>
      <c r="AJ47" s="111">
        <v>0</v>
      </c>
      <c r="AK47" s="111">
        <v>0</v>
      </c>
      <c r="AL47" s="111">
        <v>0</v>
      </c>
      <c r="AM47" s="111">
        <v>0</v>
      </c>
      <c r="AN47" s="111">
        <v>0</v>
      </c>
      <c r="AO47" s="111">
        <v>0</v>
      </c>
      <c r="AP47" s="111">
        <v>0</v>
      </c>
      <c r="AQ47" s="111">
        <v>0</v>
      </c>
      <c r="AR47" s="111">
        <v>0</v>
      </c>
      <c r="AS47" s="111">
        <v>0</v>
      </c>
      <c r="AT47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7.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93" t="s">
        <v>236</v>
      </c>
      <c r="D1" s="193" t="s">
        <v>237</v>
      </c>
    </row>
    <row r="2" spans="1:4" x14ac:dyDescent="0.15">
      <c r="A2">
        <v>1</v>
      </c>
      <c r="B2" s="192" t="s">
        <v>191</v>
      </c>
      <c r="C2">
        <v>0</v>
      </c>
      <c r="D2">
        <v>0</v>
      </c>
    </row>
    <row r="3" spans="1:4" x14ac:dyDescent="0.15">
      <c r="A3">
        <v>2</v>
      </c>
      <c r="B3" s="192" t="s">
        <v>192</v>
      </c>
      <c r="C3">
        <v>0</v>
      </c>
      <c r="D3">
        <v>0</v>
      </c>
    </row>
    <row r="4" spans="1:4" x14ac:dyDescent="0.15">
      <c r="A4">
        <v>3</v>
      </c>
      <c r="B4" s="192" t="s">
        <v>193</v>
      </c>
      <c r="C4">
        <v>0</v>
      </c>
      <c r="D4">
        <v>0</v>
      </c>
    </row>
    <row r="5" spans="1:4" x14ac:dyDescent="0.15">
      <c r="A5">
        <v>4</v>
      </c>
      <c r="B5" s="192" t="s">
        <v>194</v>
      </c>
      <c r="C5">
        <v>0</v>
      </c>
      <c r="D5">
        <v>0</v>
      </c>
    </row>
    <row r="6" spans="1:4" x14ac:dyDescent="0.15">
      <c r="A6">
        <v>5</v>
      </c>
      <c r="B6" s="192" t="s">
        <v>195</v>
      </c>
      <c r="C6">
        <v>0</v>
      </c>
      <c r="D6">
        <v>0</v>
      </c>
    </row>
    <row r="7" spans="1:4" x14ac:dyDescent="0.15">
      <c r="A7">
        <v>6</v>
      </c>
      <c r="B7" s="192" t="s">
        <v>196</v>
      </c>
      <c r="C7">
        <v>0</v>
      </c>
      <c r="D7">
        <v>0.8</v>
      </c>
    </row>
    <row r="8" spans="1:4" x14ac:dyDescent="0.15">
      <c r="A8">
        <v>7</v>
      </c>
      <c r="B8" s="192" t="s">
        <v>197</v>
      </c>
      <c r="C8">
        <v>0</v>
      </c>
      <c r="D8">
        <v>0.8</v>
      </c>
    </row>
    <row r="9" spans="1:4" x14ac:dyDescent="0.15">
      <c r="A9">
        <v>8</v>
      </c>
      <c r="B9" s="192" t="s">
        <v>198</v>
      </c>
      <c r="C9">
        <v>0.8</v>
      </c>
      <c r="D9">
        <v>0.8</v>
      </c>
    </row>
    <row r="10" spans="1:4" x14ac:dyDescent="0.15">
      <c r="A10">
        <v>9</v>
      </c>
      <c r="B10" s="192" t="s">
        <v>199</v>
      </c>
      <c r="C10">
        <v>0</v>
      </c>
      <c r="D10">
        <v>0.8</v>
      </c>
    </row>
    <row r="11" spans="1:4" x14ac:dyDescent="0.15">
      <c r="A11">
        <v>10</v>
      </c>
      <c r="B11" s="192" t="s">
        <v>200</v>
      </c>
      <c r="C11">
        <v>0.8</v>
      </c>
      <c r="D11">
        <v>0.8</v>
      </c>
    </row>
    <row r="12" spans="1:4" x14ac:dyDescent="0.15">
      <c r="A12">
        <v>11</v>
      </c>
      <c r="B12" s="192" t="s">
        <v>201</v>
      </c>
      <c r="C12">
        <v>0.8</v>
      </c>
      <c r="D12">
        <v>0.8</v>
      </c>
    </row>
    <row r="13" spans="1:4" x14ac:dyDescent="0.15">
      <c r="A13">
        <v>12</v>
      </c>
      <c r="B13" s="192" t="s">
        <v>202</v>
      </c>
      <c r="C13">
        <v>0.8</v>
      </c>
      <c r="D13">
        <v>0.8</v>
      </c>
    </row>
    <row r="14" spans="1:4" x14ac:dyDescent="0.15">
      <c r="A14">
        <v>13</v>
      </c>
      <c r="B14" s="192" t="s">
        <v>203</v>
      </c>
      <c r="C14">
        <v>0</v>
      </c>
      <c r="D14">
        <v>0.8</v>
      </c>
    </row>
    <row r="15" spans="1:4" x14ac:dyDescent="0.15">
      <c r="A15">
        <v>14</v>
      </c>
      <c r="B15" s="192" t="s">
        <v>204</v>
      </c>
      <c r="C15">
        <v>0.8</v>
      </c>
      <c r="D15">
        <v>0.8</v>
      </c>
    </row>
    <row r="16" spans="1:4" x14ac:dyDescent="0.15">
      <c r="A16">
        <v>15</v>
      </c>
      <c r="B16" s="192" t="s">
        <v>205</v>
      </c>
      <c r="C16">
        <v>0.8</v>
      </c>
      <c r="D16">
        <v>0.8</v>
      </c>
    </row>
    <row r="17" spans="1:4" x14ac:dyDescent="0.15">
      <c r="A17">
        <v>16</v>
      </c>
      <c r="B17" s="192" t="s">
        <v>206</v>
      </c>
      <c r="C17">
        <v>0.8</v>
      </c>
      <c r="D17">
        <v>0</v>
      </c>
    </row>
    <row r="18" spans="1:4" x14ac:dyDescent="0.15">
      <c r="A18">
        <v>17</v>
      </c>
      <c r="B18" s="192" t="s">
        <v>207</v>
      </c>
      <c r="C18">
        <v>0.8</v>
      </c>
      <c r="D18">
        <v>0.8</v>
      </c>
    </row>
    <row r="19" spans="1:4" x14ac:dyDescent="0.15">
      <c r="A19">
        <v>18</v>
      </c>
      <c r="B19" s="192" t="s">
        <v>208</v>
      </c>
      <c r="C19">
        <v>0.8</v>
      </c>
      <c r="D19">
        <v>0.8</v>
      </c>
    </row>
    <row r="20" spans="1:4" x14ac:dyDescent="0.15">
      <c r="A20">
        <v>19</v>
      </c>
      <c r="B20" s="192" t="s">
        <v>209</v>
      </c>
      <c r="C20">
        <v>0.8</v>
      </c>
      <c r="D20">
        <v>0.8</v>
      </c>
    </row>
    <row r="21" spans="1:4" x14ac:dyDescent="0.15">
      <c r="A21">
        <v>20</v>
      </c>
      <c r="B21" s="192" t="s">
        <v>210</v>
      </c>
      <c r="C21">
        <v>0</v>
      </c>
      <c r="D21">
        <v>0</v>
      </c>
    </row>
    <row r="22" spans="1:4" x14ac:dyDescent="0.15">
      <c r="A22">
        <v>21</v>
      </c>
      <c r="B22" s="192" t="s">
        <v>211</v>
      </c>
      <c r="C22">
        <v>0.8</v>
      </c>
      <c r="D22">
        <v>0.8</v>
      </c>
    </row>
    <row r="23" spans="1:4" x14ac:dyDescent="0.15">
      <c r="A23">
        <v>22</v>
      </c>
      <c r="B23" s="192" t="s">
        <v>212</v>
      </c>
      <c r="C23">
        <v>0</v>
      </c>
      <c r="D23">
        <v>0</v>
      </c>
    </row>
    <row r="24" spans="1:4" x14ac:dyDescent="0.15">
      <c r="A24">
        <v>23</v>
      </c>
      <c r="B24" s="192" t="s">
        <v>213</v>
      </c>
      <c r="C24">
        <v>0.8</v>
      </c>
      <c r="D24">
        <v>0.8</v>
      </c>
    </row>
    <row r="25" spans="1:4" x14ac:dyDescent="0.15">
      <c r="A25">
        <v>24</v>
      </c>
      <c r="B25" s="192" t="s">
        <v>214</v>
      </c>
      <c r="C25">
        <v>0.8</v>
      </c>
      <c r="D25">
        <v>0.8</v>
      </c>
    </row>
    <row r="26" spans="1:4" x14ac:dyDescent="0.15">
      <c r="A26">
        <v>25</v>
      </c>
      <c r="B26" s="192" t="s">
        <v>215</v>
      </c>
      <c r="C26">
        <v>0.8</v>
      </c>
      <c r="D26">
        <v>0.8</v>
      </c>
    </row>
    <row r="27" spans="1:4" x14ac:dyDescent="0.15">
      <c r="A27">
        <v>26</v>
      </c>
      <c r="B27" s="192" t="s">
        <v>216</v>
      </c>
      <c r="C27">
        <v>0.8</v>
      </c>
      <c r="D27">
        <v>0</v>
      </c>
    </row>
    <row r="28" spans="1:4" x14ac:dyDescent="0.15">
      <c r="A28">
        <v>27</v>
      </c>
      <c r="B28" s="192" t="s">
        <v>217</v>
      </c>
      <c r="C28">
        <v>0.8</v>
      </c>
      <c r="D28">
        <v>0.8</v>
      </c>
    </row>
    <row r="29" spans="1:4" x14ac:dyDescent="0.15">
      <c r="A29">
        <v>28</v>
      </c>
      <c r="B29" s="192" t="s">
        <v>218</v>
      </c>
      <c r="C29">
        <v>0.8</v>
      </c>
      <c r="D29">
        <v>0.8</v>
      </c>
    </row>
    <row r="30" spans="1:4" x14ac:dyDescent="0.15">
      <c r="A30">
        <v>29</v>
      </c>
      <c r="B30" s="192" t="s">
        <v>219</v>
      </c>
      <c r="C30">
        <v>0</v>
      </c>
      <c r="D30">
        <v>0.8</v>
      </c>
    </row>
    <row r="31" spans="1:4" x14ac:dyDescent="0.15">
      <c r="A31">
        <v>30</v>
      </c>
      <c r="B31" s="192" t="s">
        <v>220</v>
      </c>
      <c r="C31">
        <v>0.8</v>
      </c>
      <c r="D31">
        <v>0.8</v>
      </c>
    </row>
    <row r="32" spans="1:4" x14ac:dyDescent="0.15">
      <c r="A32">
        <v>31</v>
      </c>
      <c r="B32" s="192" t="s">
        <v>221</v>
      </c>
      <c r="C32">
        <v>0.8</v>
      </c>
      <c r="D32">
        <v>0.8</v>
      </c>
    </row>
    <row r="33" spans="1:4" x14ac:dyDescent="0.15">
      <c r="A33">
        <v>32</v>
      </c>
      <c r="B33" s="192" t="s">
        <v>222</v>
      </c>
      <c r="C33">
        <v>0</v>
      </c>
      <c r="D33">
        <v>0</v>
      </c>
    </row>
    <row r="34" spans="1:4" x14ac:dyDescent="0.15">
      <c r="A34">
        <v>33</v>
      </c>
      <c r="B34" s="192" t="s">
        <v>223</v>
      </c>
      <c r="C34">
        <v>0</v>
      </c>
      <c r="D34">
        <v>0.8</v>
      </c>
    </row>
    <row r="35" spans="1:4" x14ac:dyDescent="0.15">
      <c r="A35">
        <v>34</v>
      </c>
      <c r="B35" s="192" t="s">
        <v>224</v>
      </c>
      <c r="C35">
        <v>0</v>
      </c>
      <c r="D35">
        <v>0.8</v>
      </c>
    </row>
    <row r="36" spans="1:4" x14ac:dyDescent="0.15">
      <c r="A36">
        <v>35</v>
      </c>
      <c r="B36" s="192" t="s">
        <v>225</v>
      </c>
      <c r="C36">
        <v>0</v>
      </c>
      <c r="D36">
        <v>0</v>
      </c>
    </row>
    <row r="37" spans="1:4" x14ac:dyDescent="0.15">
      <c r="A37">
        <v>36</v>
      </c>
      <c r="B37" s="192" t="s">
        <v>226</v>
      </c>
      <c r="C37">
        <v>0</v>
      </c>
      <c r="D37">
        <v>0</v>
      </c>
    </row>
    <row r="38" spans="1:4" x14ac:dyDescent="0.15">
      <c r="A38">
        <v>37</v>
      </c>
      <c r="B38" s="192" t="s">
        <v>227</v>
      </c>
      <c r="C38">
        <v>0</v>
      </c>
      <c r="D38">
        <v>0</v>
      </c>
    </row>
    <row r="39" spans="1:4" x14ac:dyDescent="0.15">
      <c r="A39">
        <v>38</v>
      </c>
      <c r="B39" s="192" t="s">
        <v>228</v>
      </c>
      <c r="C39">
        <v>0</v>
      </c>
      <c r="D39">
        <v>0.8</v>
      </c>
    </row>
    <row r="40" spans="1:4" x14ac:dyDescent="0.15">
      <c r="A40">
        <v>39</v>
      </c>
      <c r="B40" s="192" t="s">
        <v>229</v>
      </c>
      <c r="C40">
        <v>0.8</v>
      </c>
      <c r="D40">
        <v>0.8</v>
      </c>
    </row>
    <row r="41" spans="1:4" x14ac:dyDescent="0.15">
      <c r="A41">
        <v>40</v>
      </c>
      <c r="B41" s="192" t="s">
        <v>230</v>
      </c>
      <c r="C41">
        <v>0.8</v>
      </c>
      <c r="D41">
        <v>0.8</v>
      </c>
    </row>
    <row r="42" spans="1:4" x14ac:dyDescent="0.15">
      <c r="A42">
        <v>41</v>
      </c>
      <c r="B42" s="192" t="s">
        <v>231</v>
      </c>
      <c r="C42">
        <v>0</v>
      </c>
      <c r="D42">
        <v>0</v>
      </c>
    </row>
    <row r="43" spans="1:4" x14ac:dyDescent="0.15">
      <c r="A43">
        <v>42</v>
      </c>
      <c r="B43" s="192" t="s">
        <v>232</v>
      </c>
      <c r="C43">
        <v>0</v>
      </c>
      <c r="D43">
        <v>0</v>
      </c>
    </row>
    <row r="44" spans="1:4" x14ac:dyDescent="0.15">
      <c r="A44">
        <v>43</v>
      </c>
      <c r="B44" s="192" t="s">
        <v>233</v>
      </c>
      <c r="C44">
        <v>0</v>
      </c>
      <c r="D44">
        <v>0</v>
      </c>
    </row>
    <row r="45" spans="1:4" x14ac:dyDescent="0.15">
      <c r="A45">
        <v>44</v>
      </c>
      <c r="B45" s="192" t="s">
        <v>234</v>
      </c>
      <c r="C45">
        <v>0</v>
      </c>
      <c r="D45">
        <v>0</v>
      </c>
    </row>
    <row r="46" spans="1:4" x14ac:dyDescent="0.15">
      <c r="A46">
        <v>45</v>
      </c>
      <c r="B46" s="192" t="s">
        <v>235</v>
      </c>
      <c r="C46">
        <v>0</v>
      </c>
      <c r="D4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46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7.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95" t="s">
        <v>236</v>
      </c>
      <c r="D1" s="195" t="s">
        <v>237</v>
      </c>
    </row>
    <row r="2" spans="1:4" x14ac:dyDescent="0.15">
      <c r="A2">
        <v>1</v>
      </c>
      <c r="B2" s="194" t="s">
        <v>191</v>
      </c>
      <c r="C2">
        <v>0</v>
      </c>
      <c r="D2">
        <v>0</v>
      </c>
    </row>
    <row r="3" spans="1:4" x14ac:dyDescent="0.15">
      <c r="A3">
        <v>2</v>
      </c>
      <c r="B3" s="194" t="s">
        <v>192</v>
      </c>
      <c r="C3">
        <v>0</v>
      </c>
      <c r="D3">
        <v>0</v>
      </c>
    </row>
    <row r="4" spans="1:4" x14ac:dyDescent="0.15">
      <c r="A4">
        <v>3</v>
      </c>
      <c r="B4" s="194" t="s">
        <v>193</v>
      </c>
      <c r="C4">
        <v>0</v>
      </c>
      <c r="D4">
        <v>0</v>
      </c>
    </row>
    <row r="5" spans="1:4" x14ac:dyDescent="0.15">
      <c r="A5">
        <v>4</v>
      </c>
      <c r="B5" s="194" t="s">
        <v>194</v>
      </c>
      <c r="C5">
        <v>0</v>
      </c>
      <c r="D5">
        <v>0</v>
      </c>
    </row>
    <row r="6" spans="1:4" x14ac:dyDescent="0.15">
      <c r="A6">
        <v>5</v>
      </c>
      <c r="B6" s="194" t="s">
        <v>195</v>
      </c>
      <c r="C6">
        <v>0</v>
      </c>
      <c r="D6">
        <v>0</v>
      </c>
    </row>
    <row r="7" spans="1:4" x14ac:dyDescent="0.15">
      <c r="A7">
        <v>6</v>
      </c>
      <c r="B7" s="194" t="s">
        <v>196</v>
      </c>
      <c r="C7">
        <v>0</v>
      </c>
      <c r="D7">
        <v>0.8</v>
      </c>
    </row>
    <row r="8" spans="1:4" x14ac:dyDescent="0.15">
      <c r="A8">
        <v>7</v>
      </c>
      <c r="B8" s="194" t="s">
        <v>197</v>
      </c>
      <c r="C8">
        <v>0</v>
      </c>
      <c r="D8">
        <v>0.8</v>
      </c>
    </row>
    <row r="9" spans="1:4" x14ac:dyDescent="0.15">
      <c r="A9">
        <v>8</v>
      </c>
      <c r="B9" s="194" t="s">
        <v>198</v>
      </c>
      <c r="C9">
        <v>0.8</v>
      </c>
      <c r="D9">
        <v>0.8</v>
      </c>
    </row>
    <row r="10" spans="1:4" x14ac:dyDescent="0.15">
      <c r="A10">
        <v>9</v>
      </c>
      <c r="B10" s="194" t="s">
        <v>199</v>
      </c>
      <c r="C10">
        <v>0</v>
      </c>
      <c r="D10">
        <v>0.8</v>
      </c>
    </row>
    <row r="11" spans="1:4" x14ac:dyDescent="0.15">
      <c r="A11">
        <v>10</v>
      </c>
      <c r="B11" s="194" t="s">
        <v>200</v>
      </c>
      <c r="C11">
        <v>0.8</v>
      </c>
      <c r="D11">
        <v>0.8</v>
      </c>
    </row>
    <row r="12" spans="1:4" x14ac:dyDescent="0.15">
      <c r="A12">
        <v>11</v>
      </c>
      <c r="B12" s="194" t="s">
        <v>201</v>
      </c>
      <c r="C12">
        <v>0.8</v>
      </c>
      <c r="D12">
        <v>0.8</v>
      </c>
    </row>
    <row r="13" spans="1:4" x14ac:dyDescent="0.15">
      <c r="A13">
        <v>12</v>
      </c>
      <c r="B13" s="194" t="s">
        <v>202</v>
      </c>
      <c r="C13">
        <v>0.8</v>
      </c>
      <c r="D13">
        <v>0.8</v>
      </c>
    </row>
    <row r="14" spans="1:4" x14ac:dyDescent="0.15">
      <c r="A14">
        <v>13</v>
      </c>
      <c r="B14" s="194" t="s">
        <v>203</v>
      </c>
      <c r="C14">
        <v>0</v>
      </c>
      <c r="D14">
        <v>0.8</v>
      </c>
    </row>
    <row r="15" spans="1:4" x14ac:dyDescent="0.15">
      <c r="A15">
        <v>14</v>
      </c>
      <c r="B15" s="194" t="s">
        <v>204</v>
      </c>
      <c r="C15">
        <v>0.8</v>
      </c>
      <c r="D15">
        <v>0.8</v>
      </c>
    </row>
    <row r="16" spans="1:4" x14ac:dyDescent="0.15">
      <c r="A16">
        <v>15</v>
      </c>
      <c r="B16" s="194" t="s">
        <v>205</v>
      </c>
      <c r="C16">
        <v>0.8</v>
      </c>
      <c r="D16">
        <v>0.8</v>
      </c>
    </row>
    <row r="17" spans="1:4" x14ac:dyDescent="0.15">
      <c r="A17">
        <v>16</v>
      </c>
      <c r="B17" s="194" t="s">
        <v>206</v>
      </c>
      <c r="C17">
        <v>0.8</v>
      </c>
      <c r="D17">
        <v>0</v>
      </c>
    </row>
    <row r="18" spans="1:4" x14ac:dyDescent="0.15">
      <c r="A18">
        <v>17</v>
      </c>
      <c r="B18" s="194" t="s">
        <v>207</v>
      </c>
      <c r="C18">
        <v>0.8</v>
      </c>
      <c r="D18">
        <v>0.8</v>
      </c>
    </row>
    <row r="19" spans="1:4" x14ac:dyDescent="0.15">
      <c r="A19">
        <v>18</v>
      </c>
      <c r="B19" s="194" t="s">
        <v>208</v>
      </c>
      <c r="C19">
        <v>0.8</v>
      </c>
      <c r="D19">
        <v>0.8</v>
      </c>
    </row>
    <row r="20" spans="1:4" x14ac:dyDescent="0.15">
      <c r="A20">
        <v>19</v>
      </c>
      <c r="B20" s="194" t="s">
        <v>209</v>
      </c>
      <c r="C20">
        <v>0.8</v>
      </c>
      <c r="D20">
        <v>0.8</v>
      </c>
    </row>
    <row r="21" spans="1:4" x14ac:dyDescent="0.15">
      <c r="A21">
        <v>20</v>
      </c>
      <c r="B21" s="194" t="s">
        <v>210</v>
      </c>
      <c r="C21">
        <v>0</v>
      </c>
      <c r="D21">
        <v>0</v>
      </c>
    </row>
    <row r="22" spans="1:4" x14ac:dyDescent="0.15">
      <c r="A22">
        <v>21</v>
      </c>
      <c r="B22" s="194" t="s">
        <v>211</v>
      </c>
      <c r="C22">
        <v>0.8</v>
      </c>
      <c r="D22">
        <v>0.8</v>
      </c>
    </row>
    <row r="23" spans="1:4" x14ac:dyDescent="0.15">
      <c r="A23">
        <v>22</v>
      </c>
      <c r="B23" s="194" t="s">
        <v>212</v>
      </c>
      <c r="C23">
        <v>0</v>
      </c>
      <c r="D23">
        <v>0</v>
      </c>
    </row>
    <row r="24" spans="1:4" x14ac:dyDescent="0.15">
      <c r="A24">
        <v>23</v>
      </c>
      <c r="B24" s="194" t="s">
        <v>213</v>
      </c>
      <c r="C24">
        <v>0.8</v>
      </c>
      <c r="D24">
        <v>0.8</v>
      </c>
    </row>
    <row r="25" spans="1:4" x14ac:dyDescent="0.15">
      <c r="A25">
        <v>24</v>
      </c>
      <c r="B25" s="194" t="s">
        <v>214</v>
      </c>
      <c r="C25">
        <v>0.8</v>
      </c>
      <c r="D25">
        <v>0.8</v>
      </c>
    </row>
    <row r="26" spans="1:4" x14ac:dyDescent="0.15">
      <c r="A26">
        <v>25</v>
      </c>
      <c r="B26" s="194" t="s">
        <v>215</v>
      </c>
      <c r="C26">
        <v>0.8</v>
      </c>
      <c r="D26">
        <v>0.8</v>
      </c>
    </row>
    <row r="27" spans="1:4" x14ac:dyDescent="0.15">
      <c r="A27">
        <v>26</v>
      </c>
      <c r="B27" s="194" t="s">
        <v>216</v>
      </c>
      <c r="C27">
        <v>0.8</v>
      </c>
      <c r="D27">
        <v>0</v>
      </c>
    </row>
    <row r="28" spans="1:4" x14ac:dyDescent="0.15">
      <c r="A28">
        <v>27</v>
      </c>
      <c r="B28" s="194" t="s">
        <v>217</v>
      </c>
      <c r="C28">
        <v>0.8</v>
      </c>
      <c r="D28">
        <v>0.8</v>
      </c>
    </row>
    <row r="29" spans="1:4" x14ac:dyDescent="0.15">
      <c r="A29">
        <v>28</v>
      </c>
      <c r="B29" s="194" t="s">
        <v>218</v>
      </c>
      <c r="C29">
        <v>0.8</v>
      </c>
      <c r="D29">
        <v>0.8</v>
      </c>
    </row>
    <row r="30" spans="1:4" x14ac:dyDescent="0.15">
      <c r="A30">
        <v>29</v>
      </c>
      <c r="B30" s="194" t="s">
        <v>219</v>
      </c>
      <c r="C30">
        <v>0</v>
      </c>
      <c r="D30">
        <v>0.8</v>
      </c>
    </row>
    <row r="31" spans="1:4" x14ac:dyDescent="0.15">
      <c r="A31">
        <v>30</v>
      </c>
      <c r="B31" s="194" t="s">
        <v>220</v>
      </c>
      <c r="C31">
        <v>0.8</v>
      </c>
      <c r="D31">
        <v>0.8</v>
      </c>
    </row>
    <row r="32" spans="1:4" x14ac:dyDescent="0.15">
      <c r="A32">
        <v>31</v>
      </c>
      <c r="B32" s="194" t="s">
        <v>221</v>
      </c>
      <c r="C32">
        <v>0.8</v>
      </c>
      <c r="D32">
        <v>0.8</v>
      </c>
    </row>
    <row r="33" spans="1:4" x14ac:dyDescent="0.15">
      <c r="A33">
        <v>32</v>
      </c>
      <c r="B33" s="194" t="s">
        <v>222</v>
      </c>
      <c r="C33">
        <v>0</v>
      </c>
      <c r="D33">
        <v>0</v>
      </c>
    </row>
    <row r="34" spans="1:4" x14ac:dyDescent="0.15">
      <c r="A34">
        <v>33</v>
      </c>
      <c r="B34" s="194" t="s">
        <v>223</v>
      </c>
      <c r="C34">
        <v>0</v>
      </c>
      <c r="D34">
        <v>0.8</v>
      </c>
    </row>
    <row r="35" spans="1:4" x14ac:dyDescent="0.15">
      <c r="A35">
        <v>34</v>
      </c>
      <c r="B35" s="194" t="s">
        <v>224</v>
      </c>
      <c r="C35">
        <v>0</v>
      </c>
      <c r="D35">
        <v>0.8</v>
      </c>
    </row>
    <row r="36" spans="1:4" x14ac:dyDescent="0.15">
      <c r="A36">
        <v>35</v>
      </c>
      <c r="B36" s="194" t="s">
        <v>225</v>
      </c>
      <c r="C36">
        <v>0</v>
      </c>
      <c r="D36">
        <v>0</v>
      </c>
    </row>
    <row r="37" spans="1:4" x14ac:dyDescent="0.15">
      <c r="A37">
        <v>36</v>
      </c>
      <c r="B37" s="194" t="s">
        <v>226</v>
      </c>
      <c r="C37">
        <v>0</v>
      </c>
      <c r="D37">
        <v>0</v>
      </c>
    </row>
    <row r="38" spans="1:4" x14ac:dyDescent="0.15">
      <c r="A38">
        <v>37</v>
      </c>
      <c r="B38" s="194" t="s">
        <v>227</v>
      </c>
      <c r="C38">
        <v>0</v>
      </c>
      <c r="D38">
        <v>0</v>
      </c>
    </row>
    <row r="39" spans="1:4" x14ac:dyDescent="0.15">
      <c r="A39">
        <v>38</v>
      </c>
      <c r="B39" s="194" t="s">
        <v>228</v>
      </c>
      <c r="C39">
        <v>0</v>
      </c>
      <c r="D39">
        <v>0.8</v>
      </c>
    </row>
    <row r="40" spans="1:4" x14ac:dyDescent="0.15">
      <c r="A40">
        <v>39</v>
      </c>
      <c r="B40" s="194" t="s">
        <v>229</v>
      </c>
      <c r="C40">
        <v>0.8</v>
      </c>
      <c r="D40">
        <v>0.8</v>
      </c>
    </row>
    <row r="41" spans="1:4" x14ac:dyDescent="0.15">
      <c r="A41">
        <v>40</v>
      </c>
      <c r="B41" s="194" t="s">
        <v>230</v>
      </c>
      <c r="C41">
        <v>0.8</v>
      </c>
      <c r="D41">
        <v>0.8</v>
      </c>
    </row>
    <row r="42" spans="1:4" x14ac:dyDescent="0.15">
      <c r="A42">
        <v>41</v>
      </c>
      <c r="B42" s="194" t="s">
        <v>231</v>
      </c>
      <c r="C42">
        <v>0</v>
      </c>
      <c r="D42">
        <v>0</v>
      </c>
    </row>
    <row r="43" spans="1:4" x14ac:dyDescent="0.15">
      <c r="A43">
        <v>42</v>
      </c>
      <c r="B43" s="194" t="s">
        <v>232</v>
      </c>
      <c r="C43">
        <v>0</v>
      </c>
      <c r="D43">
        <v>0</v>
      </c>
    </row>
    <row r="44" spans="1:4" x14ac:dyDescent="0.15">
      <c r="A44">
        <v>43</v>
      </c>
      <c r="B44" s="194" t="s">
        <v>233</v>
      </c>
      <c r="C44">
        <v>0</v>
      </c>
      <c r="D44">
        <v>0</v>
      </c>
    </row>
    <row r="45" spans="1:4" x14ac:dyDescent="0.15">
      <c r="A45">
        <v>44</v>
      </c>
      <c r="B45" s="194" t="s">
        <v>234</v>
      </c>
      <c r="C45">
        <v>0</v>
      </c>
      <c r="D45">
        <v>0</v>
      </c>
    </row>
    <row r="46" spans="1:4" x14ac:dyDescent="0.15">
      <c r="A46">
        <v>45</v>
      </c>
      <c r="B46" s="194" t="s">
        <v>235</v>
      </c>
      <c r="C46">
        <v>0</v>
      </c>
      <c r="D4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7">
        <v>1</v>
      </c>
      <c r="B2" s="147" t="s">
        <v>191</v>
      </c>
      <c r="C2" s="8">
        <v>3.934772253036499</v>
      </c>
      <c r="D2" s="9">
        <v>3.0901137739419937E-2</v>
      </c>
      <c r="E2" s="9">
        <v>1.9999999552965164E-2</v>
      </c>
      <c r="F2" s="9">
        <v>4.8499999046325684</v>
      </c>
      <c r="G2" s="9">
        <v>0.30127599835395813</v>
      </c>
      <c r="H2" s="9">
        <v>4.1237114928662777E-3</v>
      </c>
      <c r="I2">
        <v>0</v>
      </c>
      <c r="J2"/>
    </row>
    <row r="3" spans="1:10" ht="15" customHeight="1" x14ac:dyDescent="0.15">
      <c r="A3" s="148">
        <v>2</v>
      </c>
      <c r="B3" s="148" t="s">
        <v>192</v>
      </c>
      <c r="C3" s="8">
        <v>4.6906681060791016</v>
      </c>
      <c r="D3" s="9">
        <v>6.1803314834833145E-2</v>
      </c>
      <c r="E3" s="9">
        <v>7.0000000298023224E-2</v>
      </c>
      <c r="F3" s="9">
        <v>14.550000190734863</v>
      </c>
      <c r="G3" s="9">
        <v>0.70146751403808594</v>
      </c>
      <c r="H3" s="9">
        <v>4.8109963536262512E-3</v>
      </c>
      <c r="I3">
        <v>0</v>
      </c>
      <c r="J3"/>
    </row>
    <row r="4" spans="1:10" ht="15" customHeight="1" x14ac:dyDescent="0.15">
      <c r="A4" s="149">
        <v>3</v>
      </c>
      <c r="B4" s="149" t="s">
        <v>193</v>
      </c>
      <c r="C4" s="8">
        <v>2.1816327571868896</v>
      </c>
      <c r="D4" s="9">
        <v>4.3989155441522598E-2</v>
      </c>
      <c r="E4" s="9">
        <v>0.15000000596046448</v>
      </c>
      <c r="F4" s="9">
        <v>3.5</v>
      </c>
      <c r="G4" s="9">
        <v>0.94999980926513672</v>
      </c>
      <c r="H4" s="9">
        <v>4.285714402794838E-2</v>
      </c>
      <c r="I4">
        <v>0</v>
      </c>
      <c r="J4"/>
    </row>
    <row r="5" spans="1:10" ht="15" customHeight="1" x14ac:dyDescent="0.15">
      <c r="A5" s="150">
        <v>4</v>
      </c>
      <c r="B5" s="150" t="s">
        <v>194</v>
      </c>
      <c r="C5" s="8">
        <v>3.7005763053894043</v>
      </c>
      <c r="D5" s="9">
        <v>4.999999888241291E-3</v>
      </c>
      <c r="E5" s="9">
        <v>1.4999999664723873E-2</v>
      </c>
      <c r="F5" s="9">
        <v>86.410003662109375</v>
      </c>
      <c r="G5" s="9">
        <v>0.13239283859729767</v>
      </c>
      <c r="H5" s="9">
        <v>1.7359100456815213E-4</v>
      </c>
      <c r="I5">
        <v>0</v>
      </c>
      <c r="J5"/>
    </row>
    <row r="6" spans="1:10" ht="15" customHeight="1" x14ac:dyDescent="0.15">
      <c r="A6" s="151">
        <v>5</v>
      </c>
      <c r="B6" s="151" t="s">
        <v>195</v>
      </c>
      <c r="C6" s="8">
        <v>4.3667421340942383</v>
      </c>
      <c r="D6" s="9">
        <v>2.7142338454723358E-2</v>
      </c>
      <c r="E6" s="9">
        <v>0.20000000298023224</v>
      </c>
      <c r="F6" s="9">
        <v>4.4600000381469727</v>
      </c>
      <c r="G6" s="9">
        <v>5.9775616973638535E-2</v>
      </c>
      <c r="H6" s="9">
        <v>4.4843047857284546E-2</v>
      </c>
      <c r="I6">
        <v>0</v>
      </c>
      <c r="J6"/>
    </row>
    <row r="7" spans="1:10" ht="15" customHeight="1" x14ac:dyDescent="0.15">
      <c r="A7" s="152">
        <v>6</v>
      </c>
      <c r="B7" s="152" t="s">
        <v>196</v>
      </c>
      <c r="C7" s="8">
        <v>4.2856731414794922</v>
      </c>
      <c r="D7" s="9">
        <v>1.4353004284203053E-2</v>
      </c>
      <c r="E7" s="9">
        <v>0.46000000834465027</v>
      </c>
      <c r="F7" s="9">
        <v>4.5</v>
      </c>
      <c r="G7" s="9">
        <v>2.0597288385033607E-2</v>
      </c>
      <c r="H7" s="9">
        <v>0.10222222656011581</v>
      </c>
      <c r="I7">
        <v>1.9999999949504854E-6</v>
      </c>
      <c r="J7"/>
    </row>
    <row r="8" spans="1:10" ht="15" customHeight="1" x14ac:dyDescent="0.15">
      <c r="A8" s="153">
        <v>7</v>
      </c>
      <c r="B8" s="153" t="s">
        <v>197</v>
      </c>
      <c r="C8" s="8">
        <v>4.4181723594665527</v>
      </c>
      <c r="D8" s="9">
        <v>1.0801126249134541E-2</v>
      </c>
      <c r="E8" s="9">
        <v>0.43999999761581421</v>
      </c>
      <c r="F8" s="9">
        <v>7.9899997711181641</v>
      </c>
      <c r="G8" s="9">
        <v>0.67431676387786865</v>
      </c>
      <c r="H8" s="9">
        <v>5.5068835616111755E-2</v>
      </c>
      <c r="I8">
        <v>4.3799998820759356E-4</v>
      </c>
      <c r="J8"/>
    </row>
    <row r="9" spans="1:10" ht="15" customHeight="1" x14ac:dyDescent="0.15">
      <c r="A9" s="154">
        <v>8</v>
      </c>
      <c r="B9" s="154" t="s">
        <v>198</v>
      </c>
      <c r="C9" s="8">
        <v>4.0786905288696289</v>
      </c>
      <c r="D9" s="9">
        <v>5.0655242055654526E-2</v>
      </c>
      <c r="E9" s="9">
        <v>0.5899999737739563</v>
      </c>
      <c r="F9" s="9">
        <v>7.9899997711181641</v>
      </c>
      <c r="G9" s="9">
        <v>0.2103547602891922</v>
      </c>
      <c r="H9" s="9">
        <v>7.3842301964759827E-2</v>
      </c>
      <c r="I9">
        <v>2.0540000405162573E-3</v>
      </c>
      <c r="J9"/>
    </row>
    <row r="10" spans="1:10" ht="15" customHeight="1" x14ac:dyDescent="0.15">
      <c r="A10" s="155">
        <v>9</v>
      </c>
      <c r="B10" s="155" t="s">
        <v>199</v>
      </c>
      <c r="C10" s="8">
        <v>4.2975616455078125</v>
      </c>
      <c r="D10" s="9">
        <v>2.8822049498558044E-2</v>
      </c>
      <c r="E10" s="9">
        <v>0.99000000953674316</v>
      </c>
      <c r="F10" s="9">
        <v>4.8499999046325684</v>
      </c>
      <c r="G10" s="9">
        <v>0.94999998807907104</v>
      </c>
      <c r="H10" s="9">
        <v>0.20412372052669525</v>
      </c>
      <c r="I10">
        <v>2.1474000066518784E-2</v>
      </c>
      <c r="J10"/>
    </row>
    <row r="11" spans="1:10" ht="15" customHeight="1" x14ac:dyDescent="0.15">
      <c r="A11" s="156">
        <v>10</v>
      </c>
      <c r="B11" s="156" t="s">
        <v>200</v>
      </c>
      <c r="C11" s="8">
        <v>4.2325868606567383</v>
      </c>
      <c r="D11" s="9">
        <v>1.9236573949456215E-2</v>
      </c>
      <c r="E11" s="9">
        <v>1.4099999666213989</v>
      </c>
      <c r="F11" s="9">
        <v>6.5999999046325684</v>
      </c>
      <c r="G11" s="9">
        <v>0.94999998807907104</v>
      </c>
      <c r="H11" s="9">
        <v>0.2136363685131073</v>
      </c>
      <c r="I11">
        <v>1.2034999206662178E-2</v>
      </c>
      <c r="J11"/>
    </row>
    <row r="12" spans="1:10" ht="15" customHeight="1" x14ac:dyDescent="0.15">
      <c r="A12" s="157">
        <v>11</v>
      </c>
      <c r="B12" s="157" t="s">
        <v>201</v>
      </c>
      <c r="C12" s="8">
        <v>4.2474322319030762</v>
      </c>
      <c r="D12" s="9">
        <v>6.0982219874858856E-2</v>
      </c>
      <c r="E12" s="9">
        <v>0.69999998807907104</v>
      </c>
      <c r="F12" s="9">
        <v>6.2600002288818359</v>
      </c>
      <c r="G12" s="9">
        <v>0.94999992847442627</v>
      </c>
      <c r="H12" s="9">
        <v>0.11182107776403427</v>
      </c>
      <c r="I12">
        <v>8.821999654173851E-3</v>
      </c>
      <c r="J12"/>
    </row>
    <row r="13" spans="1:10" ht="15" customHeight="1" x14ac:dyDescent="0.15">
      <c r="A13" s="158">
        <v>12</v>
      </c>
      <c r="B13" s="158" t="s">
        <v>202</v>
      </c>
      <c r="C13" s="8">
        <v>4.1863465309143066</v>
      </c>
      <c r="D13" s="9">
        <v>3.2749339938163757E-2</v>
      </c>
      <c r="E13" s="9">
        <v>1.0399999618530273</v>
      </c>
      <c r="F13" s="9">
        <v>9.4600000381469727</v>
      </c>
      <c r="G13" s="9">
        <v>0.95000004768371582</v>
      </c>
      <c r="H13" s="9">
        <v>0.10993657261133194</v>
      </c>
      <c r="I13">
        <v>1.7898999154567719E-2</v>
      </c>
      <c r="J13"/>
    </row>
    <row r="14" spans="1:10" ht="15" customHeight="1" x14ac:dyDescent="0.15">
      <c r="A14" s="159">
        <v>13</v>
      </c>
      <c r="B14" s="159" t="s">
        <v>203</v>
      </c>
      <c r="C14" s="8">
        <v>3.5849447250366211</v>
      </c>
      <c r="D14" s="9">
        <v>0.21522553265094757</v>
      </c>
      <c r="E14" s="9">
        <v>1.3899999856948853</v>
      </c>
      <c r="F14" s="9">
        <v>14.079999923706055</v>
      </c>
      <c r="G14" s="9">
        <v>0.95000004768371582</v>
      </c>
      <c r="H14" s="9">
        <v>9.8721593618392944E-2</v>
      </c>
      <c r="I14">
        <v>2.8000000747852027E-4</v>
      </c>
      <c r="J14"/>
    </row>
    <row r="15" spans="1:10" ht="15" customHeight="1" x14ac:dyDescent="0.15">
      <c r="A15" s="160">
        <v>14</v>
      </c>
      <c r="B15" s="160" t="s">
        <v>204</v>
      </c>
      <c r="C15" s="8">
        <v>3.2982492446899414</v>
      </c>
      <c r="D15" s="9">
        <v>1.0210882425308228</v>
      </c>
      <c r="E15" s="9">
        <v>2.5</v>
      </c>
      <c r="F15" s="9">
        <v>13.649999618530273</v>
      </c>
      <c r="G15" s="9">
        <v>0.94999998807907104</v>
      </c>
      <c r="H15" s="9">
        <v>0.18315018713474274</v>
      </c>
      <c r="I15">
        <v>0.12297700345516205</v>
      </c>
      <c r="J15"/>
    </row>
    <row r="16" spans="1:10" ht="15" customHeight="1" x14ac:dyDescent="0.15">
      <c r="A16" s="161">
        <v>15</v>
      </c>
      <c r="B16" s="161" t="s">
        <v>205</v>
      </c>
      <c r="C16" s="8">
        <v>2.8847715854644775</v>
      </c>
      <c r="D16" s="9">
        <v>0.69137036800384521</v>
      </c>
      <c r="E16" s="9">
        <v>1.2200000286102295</v>
      </c>
      <c r="F16" s="9">
        <v>10.060000419616699</v>
      </c>
      <c r="G16" s="9">
        <v>0.94999998807907104</v>
      </c>
      <c r="H16" s="9">
        <v>0.12127236276865005</v>
      </c>
      <c r="I16">
        <v>0.18492400646209717</v>
      </c>
      <c r="J16"/>
    </row>
    <row r="17" spans="1:10" ht="15" customHeight="1" x14ac:dyDescent="0.15">
      <c r="A17" s="162">
        <v>16</v>
      </c>
      <c r="B17" s="162" t="s">
        <v>206</v>
      </c>
      <c r="C17" s="8">
        <v>2.5173468589782715</v>
      </c>
      <c r="D17" s="9">
        <v>0.59791117906570435</v>
      </c>
      <c r="E17" s="9">
        <v>0.87000000476837158</v>
      </c>
      <c r="F17" s="9">
        <v>13.510000228881836</v>
      </c>
      <c r="G17" s="9">
        <v>0.94999998807907104</v>
      </c>
      <c r="H17" s="9">
        <v>6.439673900604248E-2</v>
      </c>
      <c r="I17">
        <v>0.11891700327396393</v>
      </c>
      <c r="J17"/>
    </row>
    <row r="18" spans="1:10" ht="15" customHeight="1" x14ac:dyDescent="0.15">
      <c r="A18" s="163">
        <v>17</v>
      </c>
      <c r="B18" s="163" t="s">
        <v>207</v>
      </c>
      <c r="C18" s="8">
        <v>2.4521584510803223</v>
      </c>
      <c r="D18" s="9">
        <v>0.69977474212646484</v>
      </c>
      <c r="E18" s="9">
        <v>1.7300000190734863</v>
      </c>
      <c r="F18" s="9">
        <v>11.829999923706055</v>
      </c>
      <c r="G18" s="9">
        <v>0.95000004768371582</v>
      </c>
      <c r="H18" s="9">
        <v>0.14623838663101196</v>
      </c>
      <c r="I18">
        <v>0.14711999893188477</v>
      </c>
      <c r="J18"/>
    </row>
    <row r="19" spans="1:10" ht="15" customHeight="1" x14ac:dyDescent="0.15">
      <c r="A19" s="164">
        <v>18</v>
      </c>
      <c r="B19" s="164" t="s">
        <v>208</v>
      </c>
      <c r="C19" s="8">
        <v>4.2032966613769531</v>
      </c>
      <c r="D19" s="9">
        <v>7.4462761403992772E-4</v>
      </c>
      <c r="E19" s="9">
        <v>0.99300003051757812</v>
      </c>
      <c r="F19" s="9">
        <v>6.619999885559082</v>
      </c>
      <c r="G19" s="9">
        <v>0.94999998807907104</v>
      </c>
      <c r="H19" s="9">
        <v>0.15000000596046448</v>
      </c>
      <c r="I19">
        <v>2.3199999122880399E-4</v>
      </c>
      <c r="J19"/>
    </row>
    <row r="20" spans="1:10" ht="15" customHeight="1" x14ac:dyDescent="0.15">
      <c r="A20" s="165">
        <v>19</v>
      </c>
      <c r="B20" s="165" t="s">
        <v>209</v>
      </c>
      <c r="C20" s="8">
        <v>3.9672276973724365</v>
      </c>
      <c r="D20" s="9">
        <v>1.1176645755767822E-2</v>
      </c>
      <c r="E20" s="9">
        <v>1.4800000190734863</v>
      </c>
      <c r="F20" s="9">
        <v>8.369999885559082</v>
      </c>
      <c r="G20" s="9">
        <v>0.94999998807907104</v>
      </c>
      <c r="H20" s="9">
        <v>0.1768219918012619</v>
      </c>
      <c r="I20">
        <v>1.4962000772356987E-2</v>
      </c>
      <c r="J20"/>
    </row>
    <row r="21" spans="1:10" ht="15" customHeight="1" x14ac:dyDescent="0.15">
      <c r="A21" s="166">
        <v>20</v>
      </c>
      <c r="B21" s="166" t="s">
        <v>210</v>
      </c>
      <c r="C21" s="8">
        <v>4.0532894134521484</v>
      </c>
      <c r="D21" s="9">
        <v>9.7365062683820724E-3</v>
      </c>
      <c r="E21" s="9">
        <v>0.98000001907348633</v>
      </c>
      <c r="F21" s="9">
        <v>8.369999885559082</v>
      </c>
      <c r="G21" s="9">
        <v>0.94999998807907104</v>
      </c>
      <c r="H21" s="9">
        <v>0.11708483099937439</v>
      </c>
      <c r="I21">
        <v>0</v>
      </c>
      <c r="J21"/>
    </row>
    <row r="22" spans="1:10" ht="15" customHeight="1" x14ac:dyDescent="0.15">
      <c r="A22" s="167">
        <v>21</v>
      </c>
      <c r="B22" s="167" t="s">
        <v>211</v>
      </c>
      <c r="C22" s="8">
        <v>3.8919765949249268</v>
      </c>
      <c r="D22" s="9">
        <v>9.7363770008087158E-2</v>
      </c>
      <c r="E22" s="9">
        <v>0.56000000238418579</v>
      </c>
      <c r="F22" s="9">
        <v>7.0900001525878906</v>
      </c>
      <c r="G22" s="9">
        <v>0.94999998807907104</v>
      </c>
      <c r="H22" s="9">
        <v>7.8984484076499939E-2</v>
      </c>
      <c r="I22">
        <v>4.8053998500108719E-2</v>
      </c>
      <c r="J22"/>
    </row>
    <row r="23" spans="1:10" ht="15" customHeight="1" x14ac:dyDescent="0.15">
      <c r="A23" s="168">
        <v>22</v>
      </c>
      <c r="B23" s="168" t="s">
        <v>212</v>
      </c>
      <c r="C23" s="8">
        <v>3.0656237602233887</v>
      </c>
      <c r="D23" s="9">
        <v>2.9676319099962711E-3</v>
      </c>
      <c r="E23" s="9">
        <v>0.8399999737739563</v>
      </c>
      <c r="F23" s="9">
        <v>7.7100000381469727</v>
      </c>
      <c r="G23" s="9">
        <v>7.8102193772792816E-2</v>
      </c>
      <c r="H23" s="9">
        <v>0.10894941538572311</v>
      </c>
      <c r="I23">
        <v>0</v>
      </c>
      <c r="J23"/>
    </row>
    <row r="24" spans="1:10" ht="15" customHeight="1" x14ac:dyDescent="0.15">
      <c r="A24" s="169">
        <v>23</v>
      </c>
      <c r="B24" s="169" t="s">
        <v>213</v>
      </c>
      <c r="C24" s="8">
        <v>3.8049688339233398</v>
      </c>
      <c r="D24" s="9">
        <v>8.5341311991214752E-2</v>
      </c>
      <c r="E24" s="9">
        <v>1.0099999904632568</v>
      </c>
      <c r="F24" s="9">
        <v>9.869999885559082</v>
      </c>
      <c r="G24" s="9">
        <v>0.12329898774623871</v>
      </c>
      <c r="H24" s="9">
        <v>0.10233029723167419</v>
      </c>
      <c r="I24">
        <v>6.8499997723847628E-4</v>
      </c>
      <c r="J24"/>
    </row>
    <row r="25" spans="1:10" ht="15" customHeight="1" x14ac:dyDescent="0.15">
      <c r="A25" s="170">
        <v>24</v>
      </c>
      <c r="B25" s="170" t="s">
        <v>214</v>
      </c>
      <c r="C25" s="8">
        <v>3.7618863582611084</v>
      </c>
      <c r="D25" s="9">
        <v>3.2171323895454407E-2</v>
      </c>
      <c r="E25" s="9">
        <v>0.88999998569488525</v>
      </c>
      <c r="F25" s="9">
        <v>8.3199996948242188</v>
      </c>
      <c r="G25" s="9">
        <v>0.95000004768371582</v>
      </c>
      <c r="H25" s="9">
        <v>0.10697115957736969</v>
      </c>
      <c r="I25">
        <v>2.8380001895129681E-3</v>
      </c>
      <c r="J25"/>
    </row>
    <row r="26" spans="1:10" ht="15" customHeight="1" x14ac:dyDescent="0.15">
      <c r="A26" s="171">
        <v>25</v>
      </c>
      <c r="B26" s="171" t="s">
        <v>215</v>
      </c>
      <c r="C26" s="8">
        <v>3.3461074829101562</v>
      </c>
      <c r="D26" s="9">
        <v>1.4119158498942852E-2</v>
      </c>
      <c r="E26" s="9">
        <v>1.1399999856948853</v>
      </c>
      <c r="F26" s="9">
        <v>10.369999885559082</v>
      </c>
      <c r="G26" s="9">
        <v>0.94999998807907104</v>
      </c>
      <c r="H26" s="9">
        <v>0.10993249714374542</v>
      </c>
      <c r="I26">
        <v>6.0200004372745752E-4</v>
      </c>
      <c r="J26"/>
    </row>
    <row r="27" spans="1:10" ht="15" customHeight="1" x14ac:dyDescent="0.15">
      <c r="A27" s="172">
        <v>26</v>
      </c>
      <c r="B27" s="172" t="s">
        <v>216</v>
      </c>
      <c r="C27" s="8">
        <v>2.3196480274200439</v>
      </c>
      <c r="D27" s="9">
        <v>2.5979340076446533E-2</v>
      </c>
      <c r="E27" s="9">
        <v>1.0399999618530273</v>
      </c>
      <c r="F27" s="9">
        <v>13.710000038146973</v>
      </c>
      <c r="G27" s="9">
        <v>0.94999998807907104</v>
      </c>
      <c r="H27" s="9">
        <v>7.585703581571579E-2</v>
      </c>
      <c r="I27">
        <v>1.028000027872622E-3</v>
      </c>
      <c r="J27"/>
    </row>
    <row r="28" spans="1:10" ht="15" customHeight="1" x14ac:dyDescent="0.15">
      <c r="A28" s="173">
        <v>27</v>
      </c>
      <c r="B28" s="173" t="s">
        <v>217</v>
      </c>
      <c r="C28" s="8">
        <v>3.8110599517822266</v>
      </c>
      <c r="D28" s="9">
        <v>1.3180751353502274E-2</v>
      </c>
      <c r="E28" s="9">
        <v>1.8400000333786011</v>
      </c>
      <c r="F28" s="9">
        <v>9.0100002288818359</v>
      </c>
      <c r="G28" s="9">
        <v>0.94999992847442627</v>
      </c>
      <c r="H28" s="9">
        <v>0.20421753823757172</v>
      </c>
      <c r="I28">
        <v>2.7279998175799847E-3</v>
      </c>
      <c r="J28"/>
    </row>
    <row r="29" spans="1:10" ht="15" customHeight="1" x14ac:dyDescent="0.15">
      <c r="A29" s="174">
        <v>28</v>
      </c>
      <c r="B29" s="174" t="s">
        <v>218</v>
      </c>
      <c r="C29" s="8">
        <v>3.3740079402923584</v>
      </c>
      <c r="D29" s="9">
        <v>4.1227463632822037E-2</v>
      </c>
      <c r="E29" s="9">
        <v>1.5399999618530273</v>
      </c>
      <c r="F29" s="9">
        <v>10.859999656677246</v>
      </c>
      <c r="G29" s="9">
        <v>0.94999998807907104</v>
      </c>
      <c r="H29" s="9">
        <v>0.14180478453636169</v>
      </c>
      <c r="I29">
        <v>5.9000002220273018E-3</v>
      </c>
      <c r="J29"/>
    </row>
    <row r="30" spans="1:10" ht="15" customHeight="1" x14ac:dyDescent="0.15">
      <c r="A30" s="175">
        <v>29</v>
      </c>
      <c r="B30" s="175" t="s">
        <v>219</v>
      </c>
      <c r="C30" s="8">
        <v>3.5818982124328613</v>
      </c>
      <c r="D30" s="9">
        <v>7.5720734894275665E-2</v>
      </c>
      <c r="E30" s="9">
        <v>1.309999942779541</v>
      </c>
      <c r="F30" s="9">
        <v>12.130000114440918</v>
      </c>
      <c r="G30" s="9">
        <v>0.94999998807907104</v>
      </c>
      <c r="H30" s="9">
        <v>0.10799669474363327</v>
      </c>
      <c r="I30">
        <v>8.7019996717572212E-3</v>
      </c>
      <c r="J30"/>
    </row>
    <row r="31" spans="1:10" ht="15" customHeight="1" x14ac:dyDescent="0.15">
      <c r="A31" s="176">
        <v>30</v>
      </c>
      <c r="B31" s="176" t="s">
        <v>220</v>
      </c>
      <c r="C31" s="8">
        <v>3.9365608692169189</v>
      </c>
      <c r="D31" s="9">
        <v>9.6687324345111847E-2</v>
      </c>
      <c r="E31" s="9">
        <v>1.690000057220459</v>
      </c>
      <c r="F31" s="9">
        <v>11.699999809265137</v>
      </c>
      <c r="G31" s="9">
        <v>0.14038898050785065</v>
      </c>
      <c r="H31" s="9">
        <v>0.14444445073604584</v>
      </c>
      <c r="I31">
        <v>8.7699998402968049E-4</v>
      </c>
      <c r="J31"/>
    </row>
    <row r="32" spans="1:10" ht="15" customHeight="1" x14ac:dyDescent="0.15">
      <c r="A32" s="204">
        <v>31</v>
      </c>
      <c r="B32" s="204" t="s">
        <v>221</v>
      </c>
      <c r="C32" s="8">
        <v>3.0420608520507812</v>
      </c>
      <c r="D32" s="9">
        <v>0.120372474193573</v>
      </c>
      <c r="E32" s="9">
        <v>1.059999942779541</v>
      </c>
      <c r="F32" s="9">
        <v>10.449999809265137</v>
      </c>
      <c r="G32" s="9">
        <v>0.94999992847442627</v>
      </c>
      <c r="H32" s="9">
        <v>0.10143540054559708</v>
      </c>
      <c r="I32">
        <v>1.7974000424146652E-2</v>
      </c>
      <c r="J32"/>
    </row>
    <row r="33" spans="1:10" ht="15" customHeight="1" x14ac:dyDescent="0.15">
      <c r="A33" s="205">
        <v>32</v>
      </c>
      <c r="B33" s="205" t="s">
        <v>222</v>
      </c>
      <c r="C33" s="8">
        <v>4.2857537269592285</v>
      </c>
      <c r="D33" s="9">
        <v>1.9054010510444641E-2</v>
      </c>
      <c r="E33" s="9">
        <v>0.73000001907348633</v>
      </c>
      <c r="F33" s="9">
        <v>6</v>
      </c>
      <c r="G33" s="9">
        <v>0.52216190099716187</v>
      </c>
      <c r="H33" s="9">
        <v>0.12166666984558105</v>
      </c>
      <c r="I33">
        <v>0</v>
      </c>
      <c r="J33"/>
    </row>
    <row r="34" spans="1:10" ht="15" customHeight="1" x14ac:dyDescent="0.15">
      <c r="A34" s="206">
        <v>33</v>
      </c>
      <c r="B34" s="206" t="s">
        <v>223</v>
      </c>
      <c r="C34" s="8">
        <v>3.5394091606140137</v>
      </c>
      <c r="D34" s="9">
        <v>0.15444201231002808</v>
      </c>
      <c r="E34" s="9">
        <v>0.51999998092651367</v>
      </c>
      <c r="F34" s="9">
        <v>4.1700000762939453</v>
      </c>
      <c r="G34" s="9">
        <v>0.95000004768371582</v>
      </c>
      <c r="H34" s="9">
        <v>0.12470023334026337</v>
      </c>
      <c r="I34">
        <v>1.2999999853491317E-5</v>
      </c>
      <c r="J34"/>
    </row>
    <row r="35" spans="1:10" ht="15" customHeight="1" x14ac:dyDescent="0.15">
      <c r="A35" s="207">
        <v>34</v>
      </c>
      <c r="B35" s="207" t="s">
        <v>224</v>
      </c>
      <c r="C35" s="8">
        <v>4.032078742980957</v>
      </c>
      <c r="D35" s="9">
        <v>5.1214292645454407E-2</v>
      </c>
      <c r="E35" s="9">
        <v>0.5899999737739563</v>
      </c>
      <c r="F35" s="9">
        <v>5.2300000190734863</v>
      </c>
      <c r="G35" s="9">
        <v>0.95000004768371582</v>
      </c>
      <c r="H35" s="9">
        <v>0.11281070113182068</v>
      </c>
      <c r="I35">
        <v>9.6000003395602107E-5</v>
      </c>
      <c r="J35"/>
    </row>
    <row r="36" spans="1:10" ht="15" customHeight="1" x14ac:dyDescent="0.15">
      <c r="A36" s="208">
        <v>35</v>
      </c>
      <c r="B36" s="208" t="s">
        <v>225</v>
      </c>
      <c r="C36" s="8">
        <v>3.2517006397247314</v>
      </c>
      <c r="D36" s="9">
        <v>8.022744208574295E-2</v>
      </c>
      <c r="E36" s="9">
        <v>0.30000001192092896</v>
      </c>
      <c r="F36" s="9">
        <v>4.6999998092651367</v>
      </c>
      <c r="G36" s="9">
        <v>0.94999992847442627</v>
      </c>
      <c r="H36" s="9">
        <v>6.3829794526100159E-2</v>
      </c>
      <c r="I36">
        <v>0</v>
      </c>
      <c r="J36"/>
    </row>
    <row r="37" spans="1:10" ht="15" customHeight="1" x14ac:dyDescent="0.15">
      <c r="A37" s="209">
        <v>36</v>
      </c>
      <c r="B37" s="209" t="s">
        <v>226</v>
      </c>
      <c r="C37" s="8">
        <v>4.0467572212219238</v>
      </c>
      <c r="D37" s="9">
        <v>6.2737315893173218E-2</v>
      </c>
      <c r="E37" s="9">
        <v>0.80000001192092896</v>
      </c>
      <c r="F37" s="9">
        <v>5</v>
      </c>
      <c r="G37" s="9">
        <v>0.94999998807907104</v>
      </c>
      <c r="H37" s="9">
        <v>0.15999999642372131</v>
      </c>
      <c r="I37">
        <v>0</v>
      </c>
      <c r="J37"/>
    </row>
    <row r="38" spans="1:10" ht="15" customHeight="1" x14ac:dyDescent="0.15">
      <c r="A38" s="210">
        <v>37</v>
      </c>
      <c r="B38" s="210" t="s">
        <v>227</v>
      </c>
      <c r="C38" s="8">
        <v>3.2032318115234375</v>
      </c>
      <c r="D38" s="9">
        <v>3.5666139125823975</v>
      </c>
      <c r="E38" s="9">
        <v>3.3599998950958252</v>
      </c>
      <c r="F38" s="9">
        <v>9.5</v>
      </c>
      <c r="G38" s="9">
        <v>4.3263498693704605E-2</v>
      </c>
      <c r="H38" s="9">
        <v>0.3536841869354248</v>
      </c>
      <c r="I38">
        <v>0</v>
      </c>
      <c r="J38"/>
    </row>
    <row r="39" spans="1:10" ht="15" customHeight="1" x14ac:dyDescent="0.15">
      <c r="A39" s="211">
        <v>38</v>
      </c>
      <c r="B39" s="211" t="s">
        <v>228</v>
      </c>
      <c r="C39" s="8">
        <v>3.9366381168365479</v>
      </c>
      <c r="D39" s="9">
        <v>0.61067187786102295</v>
      </c>
      <c r="E39" s="9">
        <v>2.5</v>
      </c>
      <c r="F39" s="9">
        <v>10</v>
      </c>
      <c r="G39" s="9">
        <v>0.94999992847442627</v>
      </c>
      <c r="H39" s="9">
        <v>0.25</v>
      </c>
      <c r="I39">
        <v>2.2592000663280487E-2</v>
      </c>
      <c r="J39"/>
    </row>
    <row r="40" spans="1:10" ht="15" customHeight="1" x14ac:dyDescent="0.15">
      <c r="A40" s="212">
        <v>39</v>
      </c>
      <c r="B40" s="212" t="s">
        <v>229</v>
      </c>
      <c r="C40" s="8">
        <v>2.9667024612426758</v>
      </c>
      <c r="D40" s="9">
        <v>2.9412226676940918</v>
      </c>
      <c r="E40" s="9">
        <v>5.5</v>
      </c>
      <c r="F40" s="9">
        <v>20</v>
      </c>
      <c r="G40" s="9">
        <v>0.95000004768371582</v>
      </c>
      <c r="H40" s="9">
        <v>0.27500000596046448</v>
      </c>
      <c r="I40">
        <v>7.1040000766515732E-3</v>
      </c>
      <c r="J40"/>
    </row>
    <row r="41" spans="1:10" ht="15" customHeight="1" x14ac:dyDescent="0.15">
      <c r="A41" s="213">
        <v>40</v>
      </c>
      <c r="B41" s="213" t="s">
        <v>230</v>
      </c>
      <c r="C41" s="8">
        <v>2.1734693050384521</v>
      </c>
      <c r="D41" s="9">
        <v>9.7186222076416016</v>
      </c>
      <c r="E41" s="9">
        <v>5</v>
      </c>
      <c r="F41" s="9">
        <v>25</v>
      </c>
      <c r="G41" s="9">
        <v>0.95000004768371582</v>
      </c>
      <c r="H41" s="9">
        <v>0.20000000298023224</v>
      </c>
      <c r="I41">
        <v>3.8999998650979251E-5</v>
      </c>
      <c r="J41"/>
    </row>
    <row r="42" spans="1:10" ht="15" customHeight="1" x14ac:dyDescent="0.15">
      <c r="A42" s="214">
        <v>41</v>
      </c>
      <c r="B42" s="214" t="s">
        <v>231</v>
      </c>
      <c r="C42" s="8">
        <v>2.816326379776001</v>
      </c>
      <c r="D42" s="9">
        <v>1.9259288311004639</v>
      </c>
      <c r="E42" s="9">
        <v>10</v>
      </c>
      <c r="F42" s="9">
        <v>50</v>
      </c>
      <c r="G42" s="9">
        <v>0.94999998807907104</v>
      </c>
      <c r="H42" s="9">
        <v>0.20000000298023224</v>
      </c>
      <c r="I42">
        <v>0</v>
      </c>
      <c r="J42"/>
    </row>
    <row r="43" spans="1:10" ht="15" customHeight="1" x14ac:dyDescent="0.15">
      <c r="A43" s="215">
        <v>42</v>
      </c>
      <c r="B43" s="215" t="s">
        <v>232</v>
      </c>
      <c r="C43" s="8">
        <v>2</v>
      </c>
      <c r="D43" s="9">
        <v>4.0277810096740723</v>
      </c>
      <c r="E43" s="9">
        <v>40</v>
      </c>
      <c r="F43" s="9">
        <v>200</v>
      </c>
      <c r="G43" s="9">
        <v>0.94999992847442627</v>
      </c>
      <c r="H43" s="9">
        <v>0.20000000298023224</v>
      </c>
      <c r="I43">
        <v>0</v>
      </c>
      <c r="J43"/>
    </row>
    <row r="44" spans="1:10" ht="15" customHeight="1" x14ac:dyDescent="0.15">
      <c r="A44" s="216">
        <v>43</v>
      </c>
      <c r="B44" s="216" t="s">
        <v>233</v>
      </c>
      <c r="C44" s="8">
        <v>1</v>
      </c>
      <c r="D44" s="9">
        <v>24</v>
      </c>
      <c r="E44" s="9">
        <v>197</v>
      </c>
      <c r="F44" s="10"/>
      <c r="G44" s="9">
        <v>0.15894225239753723</v>
      </c>
      <c r="H44" s="10"/>
      <c r="I44">
        <v>0</v>
      </c>
      <c r="J44"/>
    </row>
    <row r="45" spans="1:10" ht="15" customHeight="1" x14ac:dyDescent="0.15">
      <c r="A45" s="217">
        <v>44</v>
      </c>
      <c r="B45" s="217" t="s">
        <v>234</v>
      </c>
      <c r="C45" s="8">
        <v>1</v>
      </c>
      <c r="D45" s="9">
        <v>153.31246948242188</v>
      </c>
      <c r="E45" s="10"/>
      <c r="F45" s="10"/>
      <c r="G45" s="7">
        <v>7.1288883686065674E-2</v>
      </c>
      <c r="H45" s="10"/>
      <c r="I45">
        <v>0</v>
      </c>
      <c r="J45"/>
    </row>
    <row r="46" spans="1:10" ht="15" customHeight="1" x14ac:dyDescent="0.15">
      <c r="A46" s="218">
        <v>45</v>
      </c>
      <c r="B46" s="218" t="s">
        <v>235</v>
      </c>
      <c r="C46" s="8">
        <v>1</v>
      </c>
      <c r="D46" s="9">
        <v>5</v>
      </c>
      <c r="E46" s="10"/>
      <c r="F46" s="10"/>
      <c r="G46" s="7">
        <v>0</v>
      </c>
      <c r="H46" s="10"/>
      <c r="I46">
        <v>0</v>
      </c>
      <c r="J46"/>
    </row>
    <row r="47" spans="1:10" ht="15" customHeight="1" x14ac:dyDescent="0.15">
      <c r="A47" s="219">
        <v>46</v>
      </c>
      <c r="B47" s="219" t="s">
        <v>236</v>
      </c>
      <c r="C47" s="8">
        <v>3.8841249942779541</v>
      </c>
      <c r="D47" s="10"/>
      <c r="E47" s="10"/>
      <c r="F47" s="10"/>
      <c r="G47" s="10"/>
      <c r="H47" s="10"/>
      <c r="I47">
        <v>0.24522499740123749</v>
      </c>
      <c r="J47"/>
    </row>
    <row r="48" spans="1:10" ht="15" customHeight="1" x14ac:dyDescent="0.15">
      <c r="A48" s="220">
        <v>47</v>
      </c>
      <c r="B48" s="220" t="s">
        <v>237</v>
      </c>
      <c r="C48" s="8">
        <v>4.1437358856201172</v>
      </c>
      <c r="D48" s="10"/>
      <c r="E48" s="10"/>
      <c r="F48" s="10"/>
      <c r="G48" s="10"/>
      <c r="H48" s="10"/>
      <c r="I48">
        <v>0.52614301443099976</v>
      </c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242</v>
      </c>
      <c r="E1" t="s">
        <v>243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  <c r="V1" t="s">
        <v>207</v>
      </c>
      <c r="W1" t="s">
        <v>208</v>
      </c>
      <c r="X1" t="s">
        <v>209</v>
      </c>
      <c r="Y1" t="s">
        <v>210</v>
      </c>
      <c r="Z1" t="s">
        <v>211</v>
      </c>
      <c r="AA1" t="s">
        <v>212</v>
      </c>
      <c r="AB1" t="s">
        <v>213</v>
      </c>
      <c r="AC1" t="s">
        <v>214</v>
      </c>
      <c r="AD1" t="s">
        <v>215</v>
      </c>
      <c r="AE1" t="s">
        <v>216</v>
      </c>
      <c r="AF1" t="s">
        <v>217</v>
      </c>
      <c r="AG1" t="s">
        <v>218</v>
      </c>
      <c r="AH1" t="s">
        <v>219</v>
      </c>
      <c r="AI1" t="s">
        <v>220</v>
      </c>
      <c r="AJ1" t="s">
        <v>221</v>
      </c>
      <c r="AK1" t="s">
        <v>222</v>
      </c>
      <c r="AL1" t="s">
        <v>223</v>
      </c>
      <c r="AM1" t="s">
        <v>224</v>
      </c>
      <c r="AN1" t="s">
        <v>225</v>
      </c>
      <c r="AO1" t="s">
        <v>226</v>
      </c>
      <c r="AP1" t="s">
        <v>227</v>
      </c>
      <c r="AQ1" t="s">
        <v>228</v>
      </c>
      <c r="AR1" t="s">
        <v>229</v>
      </c>
      <c r="AS1" t="s">
        <v>230</v>
      </c>
      <c r="AT1" t="s">
        <v>231</v>
      </c>
      <c r="AU1" t="s">
        <v>232</v>
      </c>
      <c r="AV1" t="s">
        <v>233</v>
      </c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1.9999999552965164E-2</v>
      </c>
      <c r="C2">
        <v>1.3974479399621487E-2</v>
      </c>
      <c r="D2"/>
      <c r="E2"/>
      <c r="F2"/>
      <c r="G2"/>
      <c r="H2"/>
      <c r="I2"/>
      <c r="J2" s="241">
        <v>3.9253383874893188E-3</v>
      </c>
      <c r="K2" s="240">
        <v>2.100181533023715E-3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7.0000000298023224E-2</v>
      </c>
      <c r="C3">
        <v>2.089727483689785E-2</v>
      </c>
      <c r="D3"/>
      <c r="E3"/>
      <c r="F3"/>
      <c r="G3" s="242">
        <v>5.5997059680521488E-3</v>
      </c>
      <c r="H3"/>
      <c r="I3"/>
      <c r="J3" s="250">
        <v>2.3551633581519127E-2</v>
      </c>
      <c r="K3" s="247">
        <v>1.9951390102505684E-2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0.15000000596046448</v>
      </c>
      <c r="C4">
        <v>7.5000287033617496E-3</v>
      </c>
      <c r="D4"/>
      <c r="E4"/>
      <c r="F4"/>
      <c r="G4" s="222">
        <v>7.8674023970961571E-3</v>
      </c>
      <c r="H4"/>
      <c r="I4"/>
      <c r="J4"/>
      <c r="K4" s="67">
        <v>8.8519081473350525E-3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 s="262">
        <v>0.12578067183494568</v>
      </c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1.4999999664723873E-2</v>
      </c>
      <c r="C5">
        <v>1.3014107011258602E-2</v>
      </c>
      <c r="D5"/>
      <c r="E5"/>
      <c r="F5"/>
      <c r="G5"/>
      <c r="H5"/>
      <c r="I5"/>
      <c r="J5"/>
      <c r="K5" s="239">
        <v>1.985892653465271E-3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0.20000000298023224</v>
      </c>
      <c r="C6">
        <v>0.18804487586021423</v>
      </c>
      <c r="D6"/>
      <c r="E6"/>
      <c r="F6"/>
      <c r="G6"/>
      <c r="H6"/>
      <c r="I6"/>
      <c r="J6"/>
      <c r="K6" s="67">
        <v>1.1955123394727707E-2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0.46000000834465027</v>
      </c>
      <c r="C7">
        <v>0.45052525401115417</v>
      </c>
      <c r="D7"/>
      <c r="E7" s="11">
        <v>1.3934365415479988E-4</v>
      </c>
      <c r="F7"/>
      <c r="G7"/>
      <c r="H7"/>
      <c r="I7"/>
      <c r="J7"/>
      <c r="K7" s="15">
        <v>4.521561786532402E-3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 s="15">
        <v>4.8138471320271492E-3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0.43999999761581421</v>
      </c>
      <c r="C8">
        <v>0.1433006227016449</v>
      </c>
      <c r="D8"/>
      <c r="E8" s="69">
        <v>4.0551327168941498E-2</v>
      </c>
      <c r="F8"/>
      <c r="G8"/>
      <c r="H8"/>
      <c r="I8"/>
      <c r="J8" s="246">
        <v>6.7380428314208984E-2</v>
      </c>
      <c r="K8" s="251">
        <v>0.17424497008323669</v>
      </c>
      <c r="L8"/>
      <c r="M8"/>
      <c r="N8" s="237">
        <v>1.4522645622491837E-2</v>
      </c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0.5899999737739563</v>
      </c>
      <c r="C9">
        <v>0.46589067578315735</v>
      </c>
      <c r="D9" s="144">
        <v>1.7826387658715248E-2</v>
      </c>
      <c r="E9" s="227">
        <v>2.2722229361534119E-2</v>
      </c>
      <c r="F9"/>
      <c r="G9"/>
      <c r="H9"/>
      <c r="I9"/>
      <c r="J9" s="18">
        <v>7.1837040595710278E-3</v>
      </c>
      <c r="K9" s="226">
        <v>2.6904577389359474E-2</v>
      </c>
      <c r="L9"/>
      <c r="M9"/>
      <c r="N9"/>
      <c r="O9"/>
      <c r="P9"/>
      <c r="Q9" s="252">
        <v>4.9472402781248093E-2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0.99000000953674316</v>
      </c>
      <c r="C10">
        <v>4.9500010907649994E-2</v>
      </c>
      <c r="D10"/>
      <c r="E10" s="228">
        <v>0.74505460262298584</v>
      </c>
      <c r="F10"/>
      <c r="G10"/>
      <c r="H10"/>
      <c r="I10"/>
      <c r="J10"/>
      <c r="K10" s="13">
        <v>3.6026861518621445E-2</v>
      </c>
      <c r="L10"/>
      <c r="M10"/>
      <c r="N10"/>
      <c r="O10"/>
      <c r="P10" s="260">
        <v>0.15941853821277618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1.4099999666213989</v>
      </c>
      <c r="C11">
        <v>7.0500016212463379E-2</v>
      </c>
      <c r="D11" s="221">
        <v>0.44675314426422119</v>
      </c>
      <c r="E11" s="229">
        <v>0.17887799441814423</v>
      </c>
      <c r="F11"/>
      <c r="G11"/>
      <c r="H11"/>
      <c r="I11"/>
      <c r="J11"/>
      <c r="K11" s="26">
        <v>3.7110455334186554E-2</v>
      </c>
      <c r="L11"/>
      <c r="M11"/>
      <c r="N11"/>
      <c r="O11"/>
      <c r="P11" s="276">
        <v>0.67675840854644775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0.69999998807907104</v>
      </c>
      <c r="C12">
        <v>3.5000048577785492E-2</v>
      </c>
      <c r="D12" s="222">
        <v>3.6568034440279007E-2</v>
      </c>
      <c r="E12" s="230">
        <v>0.10809707641601562</v>
      </c>
      <c r="F12"/>
      <c r="G12"/>
      <c r="H12"/>
      <c r="I12" s="110">
        <v>0.12765498459339142</v>
      </c>
      <c r="J12" s="274">
        <v>0.19094996154308319</v>
      </c>
      <c r="K12" s="258">
        <v>7.3430612683296204E-2</v>
      </c>
      <c r="L12"/>
      <c r="M12"/>
      <c r="N12" s="11">
        <v>3.9105626638047397E-4</v>
      </c>
      <c r="O12"/>
      <c r="P12" s="246">
        <v>0.10674023628234863</v>
      </c>
      <c r="Q12" s="144">
        <v>2.0547272637486458E-2</v>
      </c>
      <c r="R12"/>
      <c r="S12"/>
      <c r="T12"/>
      <c r="U12"/>
      <c r="V12"/>
      <c r="W12"/>
      <c r="X12" s="11">
        <v>6.2072998844087124E-4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1.0399999618530273</v>
      </c>
      <c r="C13">
        <v>5.1999948918819427E-2</v>
      </c>
      <c r="D13" s="24">
        <v>2.9099822044372559E-2</v>
      </c>
      <c r="E13" s="231">
        <v>0.51744550466537476</v>
      </c>
      <c r="F13"/>
      <c r="G13"/>
      <c r="H13"/>
      <c r="I13"/>
      <c r="J13"/>
      <c r="K13" s="14">
        <v>1.9816581625491381E-3</v>
      </c>
      <c r="L13"/>
      <c r="M13"/>
      <c r="N13"/>
      <c r="O13" s="13">
        <v>3.876761719584465E-2</v>
      </c>
      <c r="P13" s="275">
        <v>0.36244451999664307</v>
      </c>
      <c r="Q13" s="13">
        <v>3.8260869681835175E-2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1.3899999856948853</v>
      </c>
      <c r="C14">
        <v>6.949993222951889E-2</v>
      </c>
      <c r="D14"/>
      <c r="E14" s="11">
        <v>1.3009608956053853E-3</v>
      </c>
      <c r="F14"/>
      <c r="G14"/>
      <c r="H14"/>
      <c r="I14"/>
      <c r="J14" s="18">
        <v>1.6907485201954842E-2</v>
      </c>
      <c r="K14" s="14">
        <v>3.0153486877679825E-3</v>
      </c>
      <c r="L14" s="23">
        <v>6.8166488781571388E-3</v>
      </c>
      <c r="M14"/>
      <c r="N14"/>
      <c r="O14" s="25">
        <v>4.2472753673791885E-2</v>
      </c>
      <c r="P14" s="21">
        <v>2.6685779914259911E-2</v>
      </c>
      <c r="Q14"/>
      <c r="R14"/>
      <c r="S14"/>
      <c r="T14"/>
      <c r="U14"/>
      <c r="V14"/>
      <c r="W14"/>
      <c r="X14"/>
      <c r="Y14" s="245">
        <v>3.1553938984870911E-2</v>
      </c>
      <c r="Z14" s="242">
        <v>0.11247185617685318</v>
      </c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 s="287">
        <v>1.0792752504348755</v>
      </c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2.5</v>
      </c>
      <c r="C15">
        <v>0.12500002980232239</v>
      </c>
      <c r="D15" s="65">
        <v>5.3705446422100067E-2</v>
      </c>
      <c r="E15" s="24">
        <v>6.6731743514537811E-2</v>
      </c>
      <c r="F15" s="14">
        <v>4.7842548228800297E-3</v>
      </c>
      <c r="G15" s="23">
        <v>1.2332173995673656E-2</v>
      </c>
      <c r="H15"/>
      <c r="I15" s="17">
        <v>3.3036939799785614E-2</v>
      </c>
      <c r="J15" s="12">
        <v>1.199802290648222E-2</v>
      </c>
      <c r="K15" s="14">
        <v>4.067691508680582E-3</v>
      </c>
      <c r="L15" s="12">
        <v>8.3322431892156601E-3</v>
      </c>
      <c r="M15" s="144">
        <v>7.1887917816638947E-2</v>
      </c>
      <c r="N15" s="15">
        <v>2.5654761120676994E-2</v>
      </c>
      <c r="O15" s="16">
        <v>3.9002805948257446E-2</v>
      </c>
      <c r="P15" s="237">
        <v>8.1372722983360291E-2</v>
      </c>
      <c r="Q15" s="77">
        <v>0.16382318735122681</v>
      </c>
      <c r="R15" s="271">
        <v>0.24731583893299103</v>
      </c>
      <c r="S15" s="291">
        <v>0.64889883995056152</v>
      </c>
      <c r="T15" s="253">
        <v>0.2826789915561676</v>
      </c>
      <c r="U15"/>
      <c r="V15"/>
      <c r="W15" s="11">
        <v>3.4724199213087559E-4</v>
      </c>
      <c r="X15" s="14">
        <v>2.4848685134202242E-3</v>
      </c>
      <c r="Y15"/>
      <c r="Z15" s="28">
        <v>8.9408800005912781E-2</v>
      </c>
      <c r="AA15"/>
      <c r="AB15" s="19">
        <v>4.47247214615345E-2</v>
      </c>
      <c r="AC15"/>
      <c r="AD15"/>
      <c r="AE15"/>
      <c r="AF15"/>
      <c r="AG15" s="11">
        <v>2.2210460156202316E-3</v>
      </c>
      <c r="AH15"/>
      <c r="AI15" s="238">
        <v>0.21979953348636627</v>
      </c>
      <c r="AJ15" s="12">
        <v>8.6320256814360619E-3</v>
      </c>
      <c r="AK15" s="14">
        <v>7.2009372524917126E-3</v>
      </c>
      <c r="AL15"/>
      <c r="AM15"/>
      <c r="AN15"/>
      <c r="AO15" s="23">
        <v>1.7067117616534233E-2</v>
      </c>
      <c r="AP15"/>
      <c r="AQ15" s="267">
        <v>0.22749023139476776</v>
      </c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1.2200000286102295</v>
      </c>
      <c r="C16">
        <v>6.1000015586614609E-2</v>
      </c>
      <c r="D16" s="23">
        <v>7.5140628032386303E-3</v>
      </c>
      <c r="E16" s="232">
        <v>0.25996053218841553</v>
      </c>
      <c r="F16" s="23">
        <v>7.0658889599144459E-3</v>
      </c>
      <c r="G16" s="16">
        <v>1.821344718337059E-2</v>
      </c>
      <c r="H16"/>
      <c r="I16" s="26">
        <v>3.0651645734906197E-2</v>
      </c>
      <c r="J16"/>
      <c r="K16" s="14">
        <v>3.0037965625524521E-3</v>
      </c>
      <c r="L16" s="23">
        <v>6.2829083763062954E-3</v>
      </c>
      <c r="M16"/>
      <c r="N16" s="20">
        <v>5.2410226315259933E-2</v>
      </c>
      <c r="O16" s="17">
        <v>1.730751059949398E-2</v>
      </c>
      <c r="P16" s="144">
        <v>3.5998549312353134E-2</v>
      </c>
      <c r="Q16" s="23">
        <v>6.3432911410927773E-3</v>
      </c>
      <c r="R16" s="290">
        <v>0.36526194214820862</v>
      </c>
      <c r="S16"/>
      <c r="T16"/>
      <c r="U16"/>
      <c r="V16"/>
      <c r="W16"/>
      <c r="X16"/>
      <c r="Y16"/>
      <c r="Z16" s="15">
        <v>1.3004755601286888E-2</v>
      </c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 s="286">
        <v>0.33598142862319946</v>
      </c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0.87000000476837158</v>
      </c>
      <c r="C17">
        <v>4.3500009924173355E-2</v>
      </c>
      <c r="D17" s="223">
        <v>0.1988874077796936</v>
      </c>
      <c r="E17"/>
      <c r="F17"/>
      <c r="G17" s="245">
        <v>2.1060381084680557E-2</v>
      </c>
      <c r="H17"/>
      <c r="I17" s="256">
        <v>6.0035746544599533E-2</v>
      </c>
      <c r="J17"/>
      <c r="K17" s="11">
        <v>8.4943503679824062E-6</v>
      </c>
      <c r="L17"/>
      <c r="M17"/>
      <c r="N17"/>
      <c r="O17" s="12">
        <v>4.246830940246582E-3</v>
      </c>
      <c r="P17" s="283">
        <v>7.1723878383636475E-2</v>
      </c>
      <c r="Q17"/>
      <c r="R17" s="288">
        <v>0.42235586047172546</v>
      </c>
      <c r="S17"/>
      <c r="T17"/>
      <c r="U17"/>
      <c r="V17"/>
      <c r="W17" s="11">
        <v>5.9300567954778671E-4</v>
      </c>
      <c r="X17"/>
      <c r="Y17" s="17">
        <v>1.1358230374753475E-2</v>
      </c>
      <c r="Z17"/>
      <c r="AA17"/>
      <c r="AB17"/>
      <c r="AC17" s="16">
        <v>1.295644324272871E-2</v>
      </c>
      <c r="AD17"/>
      <c r="AE17"/>
      <c r="AF17" s="15">
        <v>8.5322326049208641E-3</v>
      </c>
      <c r="AG17"/>
      <c r="AH17"/>
      <c r="AI17"/>
      <c r="AJ17" s="19">
        <v>1.4741420745849609E-2</v>
      </c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1.7300000190734863</v>
      </c>
      <c r="C18">
        <v>8.6499921977519989E-2</v>
      </c>
      <c r="D18" s="26">
        <v>4.4437158852815628E-2</v>
      </c>
      <c r="E18" s="233">
        <v>0.16580192744731903</v>
      </c>
      <c r="F18" s="12">
        <v>6.9810268469154835E-3</v>
      </c>
      <c r="G18" s="15">
        <v>1.7994701862335205E-2</v>
      </c>
      <c r="H18"/>
      <c r="I18" s="17">
        <v>2.2867146879434586E-2</v>
      </c>
      <c r="J18" s="14">
        <v>4.506782628595829E-3</v>
      </c>
      <c r="K18" s="11">
        <v>1.2983777560293674E-3</v>
      </c>
      <c r="L18" s="23">
        <v>1.0455374605953693E-2</v>
      </c>
      <c r="M18" s="13">
        <v>6.6067397594451904E-2</v>
      </c>
      <c r="N18"/>
      <c r="O18" s="12">
        <v>6.4775268547236919E-3</v>
      </c>
      <c r="P18" s="23">
        <v>1.0396274738013744E-2</v>
      </c>
      <c r="Q18" s="70">
        <v>8.7739504873752594E-2</v>
      </c>
      <c r="R18" s="289">
        <v>0.36087509989738464</v>
      </c>
      <c r="S18"/>
      <c r="T18" s="249">
        <v>9.9391788244247437E-2</v>
      </c>
      <c r="U18"/>
      <c r="V18"/>
      <c r="W18" s="11">
        <v>5.0668406765908003E-4</v>
      </c>
      <c r="X18" s="15">
        <v>1.5846256166696548E-2</v>
      </c>
      <c r="Y18"/>
      <c r="Z18" s="14">
        <v>3.9534051902592182E-3</v>
      </c>
      <c r="AA18"/>
      <c r="AB18"/>
      <c r="AC18"/>
      <c r="AD18"/>
      <c r="AE18"/>
      <c r="AF18"/>
      <c r="AG18" s="14">
        <v>3.2408770639449358E-3</v>
      </c>
      <c r="AH18"/>
      <c r="AI18" s="284">
        <v>0.3207242488861084</v>
      </c>
      <c r="AJ18"/>
      <c r="AK18" s="23">
        <v>1.0507370345294476E-2</v>
      </c>
      <c r="AL18"/>
      <c r="AM18" s="16">
        <v>2.6581047102808952E-2</v>
      </c>
      <c r="AN18"/>
      <c r="AO18" s="17">
        <v>2.4903774261474609E-2</v>
      </c>
      <c r="AP18"/>
      <c r="AQ18" s="285">
        <v>0.33194625377655029</v>
      </c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0.99300003051757812</v>
      </c>
      <c r="C19">
        <v>4.9650013446807861E-2</v>
      </c>
      <c r="D19" s="12">
        <v>4.0288595482707024E-3</v>
      </c>
      <c r="E19" s="234">
        <v>0.30753627419471741</v>
      </c>
      <c r="F19"/>
      <c r="G19"/>
      <c r="H19"/>
      <c r="I19"/>
      <c r="J19"/>
      <c r="K19" s="238">
        <v>8.7154969573020935E-2</v>
      </c>
      <c r="L19"/>
      <c r="M19" s="243">
        <v>0.54462993144989014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1.4800000190734863</v>
      </c>
      <c r="C20">
        <v>7.400001585483551E-2</v>
      </c>
      <c r="D20" s="224">
        <v>0.62576913833618164</v>
      </c>
      <c r="E20" s="235">
        <v>0.71291518211364746</v>
      </c>
      <c r="F20"/>
      <c r="G20"/>
      <c r="H20"/>
      <c r="I20"/>
      <c r="J20"/>
      <c r="K20" s="12">
        <v>5.8065718039870262E-3</v>
      </c>
      <c r="L20"/>
      <c r="M20" s="26">
        <v>3.6285169422626495E-2</v>
      </c>
      <c r="N20"/>
      <c r="O20"/>
      <c r="P20"/>
      <c r="Q20"/>
      <c r="R20"/>
      <c r="S20"/>
      <c r="T20"/>
      <c r="U20"/>
      <c r="V20"/>
      <c r="W20"/>
      <c r="X20" s="19">
        <v>2.5223925709724426E-2</v>
      </c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>
        <v>0.98000001907348633</v>
      </c>
      <c r="C21">
        <v>4.9000013619661331E-2</v>
      </c>
      <c r="D21"/>
      <c r="E21"/>
      <c r="F21"/>
      <c r="G21"/>
      <c r="H21"/>
      <c r="I21"/>
      <c r="J21"/>
      <c r="K21" s="248">
        <v>0.13997401297092438</v>
      </c>
      <c r="L21"/>
      <c r="M21"/>
      <c r="N21"/>
      <c r="O21"/>
      <c r="P21"/>
      <c r="Q21"/>
      <c r="R21"/>
      <c r="S21"/>
      <c r="T21"/>
      <c r="U21"/>
      <c r="V21"/>
      <c r="W21"/>
      <c r="X21" s="15">
        <v>9.6516106277704239E-3</v>
      </c>
      <c r="Y21"/>
      <c r="Z21" s="268">
        <v>0.78137433528900146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>
        <v>0.56000000238418579</v>
      </c>
      <c r="C22">
        <v>2.8000006452202797E-2</v>
      </c>
      <c r="D22" s="225">
        <v>6.4531192183494568E-2</v>
      </c>
      <c r="E22" s="236">
        <v>0.42901992797851562</v>
      </c>
      <c r="F22"/>
      <c r="G22"/>
      <c r="H22"/>
      <c r="I22"/>
      <c r="J22" s="17">
        <v>7.4749006889760494E-3</v>
      </c>
      <c r="K22" s="14">
        <v>6.6655181581154466E-4</v>
      </c>
      <c r="L22"/>
      <c r="M22" s="22">
        <v>4.1652708314359188E-3</v>
      </c>
      <c r="N22" s="22">
        <v>4.8332433216273785E-3</v>
      </c>
      <c r="O22"/>
      <c r="P22" s="22">
        <v>3.9326478727161884E-3</v>
      </c>
      <c r="Q22" s="23">
        <v>3.2173627987504005E-3</v>
      </c>
      <c r="R22"/>
      <c r="S22"/>
      <c r="T22"/>
      <c r="U22"/>
      <c r="V22"/>
      <c r="W22"/>
      <c r="X22" s="14">
        <v>9.6517388010397553E-4</v>
      </c>
      <c r="Y22"/>
      <c r="Z22" s="18">
        <v>7.1034971624612808E-3</v>
      </c>
      <c r="AA22"/>
      <c r="AB22"/>
      <c r="AC22"/>
      <c r="AD22"/>
      <c r="AE22"/>
      <c r="AF22"/>
      <c r="AG22"/>
      <c r="AH22"/>
      <c r="AI22"/>
      <c r="AJ22"/>
      <c r="AK22" s="18">
        <v>6.0902237892150879E-3</v>
      </c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212</v>
      </c>
      <c r="B23">
        <v>0.8399999737739563</v>
      </c>
      <c r="C23">
        <v>0.77439415454864502</v>
      </c>
      <c r="D23"/>
      <c r="E23"/>
      <c r="F23"/>
      <c r="G23"/>
      <c r="H23"/>
      <c r="I23"/>
      <c r="J23"/>
      <c r="K23" s="75">
        <v>6.560584157705307E-2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213</v>
      </c>
      <c r="B24">
        <v>1.0099999904632568</v>
      </c>
      <c r="C24">
        <v>0.8854680061340332</v>
      </c>
      <c r="D24" s="11">
        <v>9.3741233285982162E-5</v>
      </c>
      <c r="E24" s="22">
        <v>7.9328520223498344E-3</v>
      </c>
      <c r="F24"/>
      <c r="G24"/>
      <c r="H24"/>
      <c r="I24"/>
      <c r="J24"/>
      <c r="K24" s="28">
        <v>3.6501709371805191E-2</v>
      </c>
      <c r="L24"/>
      <c r="M24" s="12">
        <v>4.7520534135401249E-3</v>
      </c>
      <c r="N24" s="19">
        <v>1.838042214512825E-2</v>
      </c>
      <c r="O24"/>
      <c r="P24" s="12">
        <v>4.4866595417261124E-3</v>
      </c>
      <c r="Q24" s="12">
        <v>3.6706088576465845E-3</v>
      </c>
      <c r="R24"/>
      <c r="S24"/>
      <c r="T24"/>
      <c r="U24"/>
      <c r="V24"/>
      <c r="W24"/>
      <c r="X24" s="11">
        <v>8.8710708951111883E-5</v>
      </c>
      <c r="Y24"/>
      <c r="Z24" s="244">
        <v>4.8625219613313675E-2</v>
      </c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214</v>
      </c>
      <c r="B25">
        <v>0.88999998569488525</v>
      </c>
      <c r="C25">
        <v>4.4499956071376801E-2</v>
      </c>
      <c r="D25" s="226">
        <v>3.9631567895412445E-2</v>
      </c>
      <c r="E25" s="64">
        <v>4.8583641648292542E-2</v>
      </c>
      <c r="F25"/>
      <c r="G25"/>
      <c r="H25"/>
      <c r="I25" s="272">
        <v>0.32263451814651489</v>
      </c>
      <c r="J25"/>
      <c r="K25" s="23">
        <v>6.0517867095768452E-3</v>
      </c>
      <c r="L25"/>
      <c r="M25" s="235">
        <v>0.42859846353530884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215</v>
      </c>
      <c r="B26">
        <v>1.1399999856948853</v>
      </c>
      <c r="C26">
        <v>5.7000011205673218E-2</v>
      </c>
      <c r="D26" s="12">
        <v>5.0994544290006161E-3</v>
      </c>
      <c r="E26" s="237">
        <v>3.7537649273872375E-2</v>
      </c>
      <c r="F26"/>
      <c r="G26"/>
      <c r="H26"/>
      <c r="I26"/>
      <c r="J26"/>
      <c r="K26" s="66">
        <v>4.5964498072862625E-2</v>
      </c>
      <c r="L26"/>
      <c r="M26" s="265">
        <v>0.48829326033592224</v>
      </c>
      <c r="N26"/>
      <c r="O26"/>
      <c r="P26"/>
      <c r="Q26"/>
      <c r="R26"/>
      <c r="S26"/>
      <c r="T26"/>
      <c r="U26"/>
      <c r="V26"/>
      <c r="W26" s="65">
        <v>2.5112312287092209E-2</v>
      </c>
      <c r="X26"/>
      <c r="Y26" s="264">
        <v>0.48099276423454285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216</v>
      </c>
      <c r="B27">
        <v>1.0399999618530273</v>
      </c>
      <c r="C27">
        <v>5.2000012248754501E-2</v>
      </c>
      <c r="D27" s="13">
        <v>3.9569906890392303E-2</v>
      </c>
      <c r="E27"/>
      <c r="F27"/>
      <c r="G27" s="259">
        <v>0.17310784757137299</v>
      </c>
      <c r="H27"/>
      <c r="I27" s="261">
        <v>0.18311887979507446</v>
      </c>
      <c r="J27"/>
      <c r="K27" s="22">
        <v>7.4941851198673248E-3</v>
      </c>
      <c r="L27"/>
      <c r="M27"/>
      <c r="N27"/>
      <c r="O27" s="77">
        <v>6.6963180899620056E-2</v>
      </c>
      <c r="P27" s="78">
        <v>0.14738534390926361</v>
      </c>
      <c r="Q27"/>
      <c r="R27"/>
      <c r="S27"/>
      <c r="T27"/>
      <c r="U27"/>
      <c r="V27"/>
      <c r="W27" s="14">
        <v>2.4642131756991148E-3</v>
      </c>
      <c r="X27"/>
      <c r="Y27" s="146">
        <v>0.26140820980072021</v>
      </c>
      <c r="Z27" s="254">
        <v>0.1064881905913353</v>
      </c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217</v>
      </c>
      <c r="B28">
        <v>1.8400000333786011</v>
      </c>
      <c r="C28">
        <v>9.2000134289264679E-2</v>
      </c>
      <c r="D28" s="222">
        <v>9.809759259223938E-2</v>
      </c>
      <c r="E28" s="67">
        <v>0.10887087881565094</v>
      </c>
      <c r="F28"/>
      <c r="G28"/>
      <c r="H28"/>
      <c r="I28"/>
      <c r="J28"/>
      <c r="K28" s="249">
        <v>0.10339758545160294</v>
      </c>
      <c r="L28"/>
      <c r="M28"/>
      <c r="N28"/>
      <c r="O28"/>
      <c r="P28"/>
      <c r="Q28"/>
      <c r="R28"/>
      <c r="S28"/>
      <c r="T28"/>
      <c r="U28"/>
      <c r="V28"/>
      <c r="W28" s="17">
        <v>2.6900190860033035E-2</v>
      </c>
      <c r="X28" s="64">
        <v>9.9813841283321381E-2</v>
      </c>
      <c r="Y28"/>
      <c r="Z28" s="253">
        <v>0.20988887548446655</v>
      </c>
      <c r="AA28"/>
      <c r="AB28" s="263">
        <v>0.51329493522644043</v>
      </c>
      <c r="AC28" s="269">
        <v>0.58773601055145264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218</v>
      </c>
      <c r="B29">
        <v>1.5399999618530273</v>
      </c>
      <c r="C29">
        <v>7.700001448392868E-2</v>
      </c>
      <c r="D29" s="16">
        <v>2.4619512259960175E-2</v>
      </c>
      <c r="E29" s="27">
        <v>0.11848898231983185</v>
      </c>
      <c r="F29"/>
      <c r="G29" s="72">
        <v>0.10908329486846924</v>
      </c>
      <c r="H29"/>
      <c r="I29" s="237">
        <v>5.2450776100158691E-2</v>
      </c>
      <c r="J29" s="19">
        <v>2.6479357853531837E-2</v>
      </c>
      <c r="K29" s="227">
        <v>6.1391651630401611E-2</v>
      </c>
      <c r="L29"/>
      <c r="M29" s="233">
        <v>0.14755205810070038</v>
      </c>
      <c r="N29" s="109">
        <v>0.26633375883102417</v>
      </c>
      <c r="O29"/>
      <c r="P29" s="145">
        <v>9.2874355614185333E-2</v>
      </c>
      <c r="Q29" s="256">
        <v>0.10637480765581131</v>
      </c>
      <c r="R29"/>
      <c r="S29"/>
      <c r="T29"/>
      <c r="U29"/>
      <c r="V29"/>
      <c r="W29" s="11">
        <v>1.4333678409457207E-3</v>
      </c>
      <c r="X29" s="18">
        <v>1.8235022202134132E-2</v>
      </c>
      <c r="Y29"/>
      <c r="Z29" s="266">
        <v>0.16775789856910706</v>
      </c>
      <c r="AA29"/>
      <c r="AB29" s="239">
        <v>0.20513062179088593</v>
      </c>
      <c r="AC29" s="66">
        <v>6.4794458448886871E-2</v>
      </c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219</v>
      </c>
      <c r="B30">
        <v>1.309999942779541</v>
      </c>
      <c r="C30">
        <v>6.5500013530254364E-2</v>
      </c>
      <c r="D30"/>
      <c r="E30" s="238">
        <v>0.11492228507995605</v>
      </c>
      <c r="F30"/>
      <c r="G30" s="267">
        <v>0.1187845766544342</v>
      </c>
      <c r="H30"/>
      <c r="I30" s="12">
        <v>5.7115461677312851E-3</v>
      </c>
      <c r="J30"/>
      <c r="K30" s="15">
        <v>1.3713126070797443E-2</v>
      </c>
      <c r="L30"/>
      <c r="M30" s="271">
        <v>0.12853963673114777</v>
      </c>
      <c r="N30"/>
      <c r="O30" s="24">
        <v>3.6887526512145996E-2</v>
      </c>
      <c r="P30"/>
      <c r="Q30"/>
      <c r="R30"/>
      <c r="S30"/>
      <c r="T30"/>
      <c r="U30"/>
      <c r="V30"/>
      <c r="W30" s="11">
        <v>7.1538676274940372E-4</v>
      </c>
      <c r="X30" s="16">
        <v>1.985674723982811E-2</v>
      </c>
      <c r="Y30" s="256">
        <v>8.9687630534172058E-2</v>
      </c>
      <c r="Z30" s="64">
        <v>7.3070943355560303E-2</v>
      </c>
      <c r="AA30"/>
      <c r="AB30" s="277">
        <v>0.18986776471138</v>
      </c>
      <c r="AC30" s="75">
        <v>0.10230754315853119</v>
      </c>
      <c r="AD30"/>
      <c r="AE30"/>
      <c r="AF30"/>
      <c r="AG30" s="11">
        <v>6.6013657487928867E-4</v>
      </c>
      <c r="AH30" s="254">
        <v>0.1335635632276535</v>
      </c>
      <c r="AI30" s="253">
        <v>0.14969594776630402</v>
      </c>
      <c r="AJ30" s="70">
        <v>6.6515542566776276E-2</v>
      </c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220</v>
      </c>
      <c r="B31">
        <v>1.690000057220459</v>
      </c>
      <c r="C31">
        <v>1.4527426958084106</v>
      </c>
      <c r="D31" s="23">
        <v>8.9153358712792397E-3</v>
      </c>
      <c r="E31" s="11">
        <v>1.5513926337007433E-4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 s="14">
        <v>3.6671273410320282E-3</v>
      </c>
      <c r="X31" s="23">
        <v>1.069119106978178E-2</v>
      </c>
      <c r="Y31" s="65">
        <v>3.511945903301239E-2</v>
      </c>
      <c r="Z31" s="19">
        <v>2.8612779453396797E-2</v>
      </c>
      <c r="AA31"/>
      <c r="AB31" s="66">
        <v>6.9974146783351898E-2</v>
      </c>
      <c r="AC31" s="29">
        <v>8.0122210085391998E-2</v>
      </c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221</v>
      </c>
      <c r="B32">
        <v>1.059999942779541</v>
      </c>
      <c r="C32">
        <v>5.3000073879957199E-2</v>
      </c>
      <c r="D32" s="11">
        <v>6.7291129380464554E-4</v>
      </c>
      <c r="E32" s="78">
        <v>0.14864693582057953</v>
      </c>
      <c r="F32"/>
      <c r="G32" s="75">
        <v>8.2194045186042786E-2</v>
      </c>
      <c r="H32"/>
      <c r="I32" s="13">
        <v>3.9521556347608566E-2</v>
      </c>
      <c r="J32" s="227">
        <v>4.1315048933029175E-2</v>
      </c>
      <c r="K32" s="20">
        <v>4.6366315335035324E-2</v>
      </c>
      <c r="L32" s="23">
        <v>6.5549677237868309E-3</v>
      </c>
      <c r="M32" s="29">
        <v>5.0536446273326874E-2</v>
      </c>
      <c r="N32" s="28">
        <v>3.7790752947330475E-2</v>
      </c>
      <c r="O32" s="225">
        <v>0.12287694960832596</v>
      </c>
      <c r="P32" s="227">
        <v>4.1352193802595139E-2</v>
      </c>
      <c r="Q32" s="28">
        <v>3.6433275789022446E-2</v>
      </c>
      <c r="R32"/>
      <c r="S32"/>
      <c r="T32"/>
      <c r="U32"/>
      <c r="V32"/>
      <c r="W32" s="11">
        <v>4.9092719564214349E-4</v>
      </c>
      <c r="X32" s="16">
        <v>1.5613696537911892E-2</v>
      </c>
      <c r="Y32" s="24">
        <v>2.8209161013364792E-2</v>
      </c>
      <c r="Z32" s="67">
        <v>6.3202627003192902E-2</v>
      </c>
      <c r="AA32"/>
      <c r="AB32" s="69">
        <v>9.8359875380992889E-2</v>
      </c>
      <c r="AC32" s="145">
        <v>6.435692310333252E-2</v>
      </c>
      <c r="AD32"/>
      <c r="AE32"/>
      <c r="AF32" s="15">
        <v>9.8560675978660583E-3</v>
      </c>
      <c r="AG32" s="12">
        <v>3.7681104149669409E-3</v>
      </c>
      <c r="AH32" s="22">
        <v>7.6380581595003605E-3</v>
      </c>
      <c r="AI32"/>
      <c r="AJ32" s="15">
        <v>1.0460460558533669E-2</v>
      </c>
      <c r="AK32"/>
      <c r="AL32"/>
      <c r="AM32"/>
      <c r="AN32"/>
      <c r="AO32"/>
      <c r="AP32"/>
      <c r="AQ32" s="29">
        <v>5.0782635807991028E-2</v>
      </c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222</v>
      </c>
      <c r="B33">
        <v>0.73000001907348633</v>
      </c>
      <c r="C33">
        <v>0.34882181882858276</v>
      </c>
      <c r="D33"/>
      <c r="E33"/>
      <c r="F33"/>
      <c r="G33"/>
      <c r="H33"/>
      <c r="I33"/>
      <c r="J33" s="222">
        <v>3.8195870816707611E-2</v>
      </c>
      <c r="K33" s="257">
        <v>0.19414211809635162</v>
      </c>
      <c r="L33" s="230">
        <v>0.11254217475652695</v>
      </c>
      <c r="M33"/>
      <c r="N33"/>
      <c r="O33"/>
      <c r="P33"/>
      <c r="Q33"/>
      <c r="R33"/>
      <c r="S33"/>
      <c r="T33"/>
      <c r="U33"/>
      <c r="V33"/>
      <c r="W33"/>
      <c r="X33"/>
      <c r="Y33"/>
      <c r="Z33" s="244">
        <v>3.6298040300607681E-2</v>
      </c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223</v>
      </c>
      <c r="B34">
        <v>0.51999998092651367</v>
      </c>
      <c r="C34">
        <v>2.5999974459409714E-2</v>
      </c>
      <c r="D34"/>
      <c r="E34" s="11">
        <v>8.4173989307601005E-5</v>
      </c>
      <c r="F34" s="66">
        <v>2.1400755271315575E-2</v>
      </c>
      <c r="G34" s="282">
        <v>0.20383439958095551</v>
      </c>
      <c r="H34"/>
      <c r="I34"/>
      <c r="J34" s="267">
        <v>4.7123480588197708E-2</v>
      </c>
      <c r="K34" s="14">
        <v>1.2606284581124783E-3</v>
      </c>
      <c r="L34" s="273">
        <v>7.0185370743274689E-2</v>
      </c>
      <c r="M34"/>
      <c r="N34"/>
      <c r="O34"/>
      <c r="P34"/>
      <c r="Q34"/>
      <c r="R34"/>
      <c r="S34"/>
      <c r="T34"/>
      <c r="U34"/>
      <c r="V34"/>
      <c r="W34"/>
      <c r="X34"/>
      <c r="Y34"/>
      <c r="Z34" s="75">
        <v>4.0303859859704971E-2</v>
      </c>
      <c r="AA34"/>
      <c r="AB34"/>
      <c r="AC34"/>
      <c r="AD34"/>
      <c r="AE34"/>
      <c r="AF34"/>
      <c r="AG34"/>
      <c r="AH34"/>
      <c r="AI34"/>
      <c r="AJ34"/>
      <c r="AK34" s="278">
        <v>0.10980730503797531</v>
      </c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224</v>
      </c>
      <c r="B35">
        <v>0.5899999737739563</v>
      </c>
      <c r="C35">
        <v>2.9499970376491547E-2</v>
      </c>
      <c r="D35"/>
      <c r="E35" s="12">
        <v>1.8744767876341939E-3</v>
      </c>
      <c r="F35"/>
      <c r="G35"/>
      <c r="H35"/>
      <c r="I35"/>
      <c r="J35" s="245">
        <v>1.4210574328899384E-2</v>
      </c>
      <c r="K35"/>
      <c r="L35" s="25">
        <v>1.8723288550972939E-2</v>
      </c>
      <c r="M35" s="281">
        <v>0.52262884378433228</v>
      </c>
      <c r="N35" s="23">
        <v>3.0628349632024765E-3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225</v>
      </c>
      <c r="B36">
        <v>0.30000001192092896</v>
      </c>
      <c r="C36">
        <v>1.5000022016465664E-2</v>
      </c>
      <c r="D36"/>
      <c r="E36"/>
      <c r="F36" s="255">
        <v>4.119756817817688E-2</v>
      </c>
      <c r="G36"/>
      <c r="H36"/>
      <c r="I36"/>
      <c r="J36"/>
      <c r="K36"/>
      <c r="L36" s="227">
        <v>1.195226889103651E-2</v>
      </c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 s="279">
        <v>0.23185016214847565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226</v>
      </c>
      <c r="B37">
        <v>0.80000001192092896</v>
      </c>
      <c r="C37">
        <v>4.0000010281801224E-2</v>
      </c>
      <c r="D37"/>
      <c r="E37"/>
      <c r="F37" s="108">
        <v>5.2682768553495407E-2</v>
      </c>
      <c r="G37"/>
      <c r="H37"/>
      <c r="I37"/>
      <c r="J37"/>
      <c r="K37" s="14">
        <v>1.034440123476088E-3</v>
      </c>
      <c r="L37" s="270">
        <v>0.12637984752655029</v>
      </c>
      <c r="M37"/>
      <c r="N37" s="256">
        <v>5.5006183683872223E-2</v>
      </c>
      <c r="O37"/>
      <c r="P37"/>
      <c r="Q37"/>
      <c r="R37"/>
      <c r="S37"/>
      <c r="T37"/>
      <c r="U37"/>
      <c r="V37"/>
      <c r="W37"/>
      <c r="X37"/>
      <c r="Y37"/>
      <c r="Z37" s="17">
        <v>1.1024112813174725E-2</v>
      </c>
      <c r="AA37"/>
      <c r="AB37"/>
      <c r="AC37"/>
      <c r="AD37"/>
      <c r="AE37"/>
      <c r="AF37"/>
      <c r="AG37"/>
      <c r="AH37"/>
      <c r="AI37"/>
      <c r="AJ37"/>
      <c r="AK37" s="274">
        <v>0.21738646924495697</v>
      </c>
      <c r="AL37"/>
      <c r="AM37" s="280">
        <v>0.29648613929748535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227</v>
      </c>
      <c r="B38">
        <v>3.3599998950958252</v>
      </c>
      <c r="C38">
        <v>3.2146346569061279</v>
      </c>
      <c r="D38"/>
      <c r="E38"/>
      <c r="F38" s="11">
        <v>1.8413866637274623E-3</v>
      </c>
      <c r="G38" s="23">
        <v>1.7652930691838264E-2</v>
      </c>
      <c r="H38"/>
      <c r="I38"/>
      <c r="J38" s="11">
        <v>1.3263559667393565E-3</v>
      </c>
      <c r="K38"/>
      <c r="L38" s="14">
        <v>3.3863524440675974E-3</v>
      </c>
      <c r="M38" s="12">
        <v>1.5009230934083462E-2</v>
      </c>
      <c r="N38" s="14">
        <v>3.7383297458291054E-3</v>
      </c>
      <c r="O38"/>
      <c r="P38"/>
      <c r="Q38"/>
      <c r="R38"/>
      <c r="S38"/>
      <c r="T38"/>
      <c r="U38"/>
      <c r="V38"/>
      <c r="W38"/>
      <c r="X38"/>
      <c r="Y38"/>
      <c r="Z38" s="12">
        <v>1.0083628818392754E-2</v>
      </c>
      <c r="AA38"/>
      <c r="AB38"/>
      <c r="AC38"/>
      <c r="AD38"/>
      <c r="AE38"/>
      <c r="AF38"/>
      <c r="AG38"/>
      <c r="AH38"/>
      <c r="AI38"/>
      <c r="AJ38"/>
      <c r="AK38" s="14">
        <v>4.1231219656765461E-3</v>
      </c>
      <c r="AL38"/>
      <c r="AM38" s="14">
        <v>5.2152392454445362E-3</v>
      </c>
      <c r="AN38"/>
      <c r="AO38" s="17">
        <v>4.5196942985057831E-2</v>
      </c>
      <c r="AP38" s="14">
        <v>6.9415573962032795E-3</v>
      </c>
      <c r="AQ38" s="15">
        <v>3.0850257724523544E-2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228</v>
      </c>
      <c r="B39">
        <v>2.5</v>
      </c>
      <c r="C39">
        <v>0.12500017881393433</v>
      </c>
      <c r="D39"/>
      <c r="E39" s="16">
        <v>3.6995317786931992E-2</v>
      </c>
      <c r="F39" s="12">
        <v>9.3623446300625801E-3</v>
      </c>
      <c r="G39" s="292">
        <v>1.1120233535766602</v>
      </c>
      <c r="H39"/>
      <c r="I39" s="16">
        <v>3.7535004317760468E-2</v>
      </c>
      <c r="J39" s="65">
        <v>5.4027210921049118E-2</v>
      </c>
      <c r="K39" s="23">
        <v>1.2752772308886051E-2</v>
      </c>
      <c r="L39" s="18">
        <v>3.0949382111430168E-2</v>
      </c>
      <c r="M39" s="19">
        <v>4.3830517679452896E-2</v>
      </c>
      <c r="N39" s="65">
        <v>5.2657559514045715E-2</v>
      </c>
      <c r="O39" s="16">
        <v>4.0264155715703964E-2</v>
      </c>
      <c r="P39" s="29">
        <v>0.11662387847900391</v>
      </c>
      <c r="Q39" s="24">
        <v>6.9763526320457458E-2</v>
      </c>
      <c r="R39"/>
      <c r="S39" s="227">
        <v>9.8432116210460663E-2</v>
      </c>
      <c r="T39"/>
      <c r="U39"/>
      <c r="V39"/>
      <c r="W39" s="11">
        <v>9.9994649644941092E-4</v>
      </c>
      <c r="X39" s="14">
        <v>2.7699216734617949E-3</v>
      </c>
      <c r="Y39"/>
      <c r="Z39" s="28">
        <v>8.9472346007823944E-2</v>
      </c>
      <c r="AA39"/>
      <c r="AB39" s="12">
        <v>9.6940947696566582E-3</v>
      </c>
      <c r="AC39"/>
      <c r="AD39"/>
      <c r="AE39"/>
      <c r="AF39"/>
      <c r="AG39" s="21">
        <v>4.8278771340847015E-2</v>
      </c>
      <c r="AH39" s="66">
        <v>0.10388462990522385</v>
      </c>
      <c r="AI39"/>
      <c r="AJ39"/>
      <c r="AK39" s="18">
        <v>2.6994017884135246E-2</v>
      </c>
      <c r="AL39" s="11">
        <v>1.1864310363307595E-3</v>
      </c>
      <c r="AM39" s="237">
        <v>8.5286542773246765E-2</v>
      </c>
      <c r="AN39"/>
      <c r="AO39"/>
      <c r="AP39" s="27">
        <v>0.19111604988574982</v>
      </c>
      <c r="AQ39" s="227">
        <v>0.10010010004043579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229</v>
      </c>
      <c r="B40">
        <v>5.5</v>
      </c>
      <c r="C40">
        <v>0.27499973773956299</v>
      </c>
      <c r="D40" s="11">
        <v>1.2120809406042099E-3</v>
      </c>
      <c r="E40" s="11">
        <v>1.2032410595566034E-3</v>
      </c>
      <c r="F40"/>
      <c r="G40"/>
      <c r="H40"/>
      <c r="I40" s="14">
        <v>1.4116006903350353E-2</v>
      </c>
      <c r="J40" s="11">
        <v>4.6189334243535995E-3</v>
      </c>
      <c r="K40" s="11">
        <v>1.5886782202869654E-3</v>
      </c>
      <c r="L40" s="11">
        <v>1.8094157567247748E-3</v>
      </c>
      <c r="M40" s="12">
        <v>1.8200637772679329E-2</v>
      </c>
      <c r="N40" s="11">
        <v>1.0666375601431355E-4</v>
      </c>
      <c r="O40" s="11">
        <v>7.7699153916910291E-4</v>
      </c>
      <c r="P40" s="23">
        <v>2.8249725699424744E-2</v>
      </c>
      <c r="Q40" s="11">
        <v>5.0057289190590382E-3</v>
      </c>
      <c r="R40" s="68">
        <v>0.34343716502189636</v>
      </c>
      <c r="S40" s="79">
        <v>1.2160683870315552</v>
      </c>
      <c r="T40"/>
      <c r="U40"/>
      <c r="V40" s="19">
        <v>9.8651371896266937E-2</v>
      </c>
      <c r="W40" s="11">
        <v>6.6469993907958269E-4</v>
      </c>
      <c r="X40" s="12">
        <v>2.4090532213449478E-2</v>
      </c>
      <c r="Y40" s="14">
        <v>1.3853856362402439E-2</v>
      </c>
      <c r="Z40" s="18">
        <v>6.2784582376480103E-2</v>
      </c>
      <c r="AA40" s="11">
        <v>1.2965380446985364E-3</v>
      </c>
      <c r="AB40" s="144">
        <v>0.1641819030046463</v>
      </c>
      <c r="AC40" s="22">
        <v>4.613817110657692E-2</v>
      </c>
      <c r="AD40" s="14">
        <v>1.540826540440321E-2</v>
      </c>
      <c r="AE40" s="11">
        <v>1.037212205119431E-4</v>
      </c>
      <c r="AF40" s="23">
        <v>3.1261131167411804E-2</v>
      </c>
      <c r="AG40" s="12">
        <v>2.2206768393516541E-2</v>
      </c>
      <c r="AH40" s="65">
        <v>0.123475082218647</v>
      </c>
      <c r="AI40" s="66">
        <v>0.22814904153347015</v>
      </c>
      <c r="AJ40" s="12">
        <v>2.5258179754018784E-2</v>
      </c>
      <c r="AK40" s="14">
        <v>6.532023660838604E-3</v>
      </c>
      <c r="AL40" s="23">
        <v>3.1448274850845337E-2</v>
      </c>
      <c r="AM40" s="14">
        <v>1.011864747852087E-2</v>
      </c>
      <c r="AN40"/>
      <c r="AO40" s="12">
        <v>1.7775293439626694E-2</v>
      </c>
      <c r="AP40" s="13">
        <v>0.19998563826084137</v>
      </c>
      <c r="AQ40" s="257">
        <v>1.4652228355407715</v>
      </c>
      <c r="AR40" s="110">
        <v>1</v>
      </c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230</v>
      </c>
      <c r="B41">
        <v>5</v>
      </c>
      <c r="C41">
        <v>0.2499997615814209</v>
      </c>
      <c r="D41" s="11">
        <v>2.0579047941282624E-6</v>
      </c>
      <c r="E41" s="11">
        <v>1.9550095657905331E-6</v>
      </c>
      <c r="F41"/>
      <c r="G41" s="11">
        <v>4.8125302419066429E-3</v>
      </c>
      <c r="H41"/>
      <c r="I41" s="12">
        <v>1.5441635623574257E-2</v>
      </c>
      <c r="J41" s="11">
        <v>1.8471773946657777E-3</v>
      </c>
      <c r="K41" s="11">
        <v>6.4105872297659516E-4</v>
      </c>
      <c r="L41" s="11">
        <v>1.1839946637337562E-5</v>
      </c>
      <c r="M41" s="14">
        <v>5.5082016624510288E-3</v>
      </c>
      <c r="N41" s="11">
        <v>2.743841614574194E-4</v>
      </c>
      <c r="O41" s="11">
        <v>3.5707507049664855E-4</v>
      </c>
      <c r="P41" s="11">
        <v>1.1819496285170317E-4</v>
      </c>
      <c r="Q41" s="11">
        <v>1.611620100447908E-4</v>
      </c>
      <c r="R41"/>
      <c r="S41" s="237">
        <v>0.1712164431810379</v>
      </c>
      <c r="T41" s="23">
        <v>3.0415361747145653E-2</v>
      </c>
      <c r="U41" s="16">
        <v>8.3116516470909119E-2</v>
      </c>
      <c r="V41"/>
      <c r="W41"/>
      <c r="X41"/>
      <c r="Y41"/>
      <c r="Z41" s="12">
        <v>2.2416895255446434E-2</v>
      </c>
      <c r="AA41" s="11">
        <v>1.0790489614009857E-3</v>
      </c>
      <c r="AB41" s="12">
        <v>2.2972928360104561E-2</v>
      </c>
      <c r="AC41" s="14">
        <v>9.3179307878017426E-3</v>
      </c>
      <c r="AD41" s="11">
        <v>4.6631237491965294E-3</v>
      </c>
      <c r="AE41" s="11">
        <v>4.9857719568535686E-4</v>
      </c>
      <c r="AF41" s="11">
        <v>2.1118947770446539E-3</v>
      </c>
      <c r="AG41" s="23">
        <v>2.916930615901947E-2</v>
      </c>
      <c r="AH41" s="22">
        <v>4.1152354329824448E-2</v>
      </c>
      <c r="AI41"/>
      <c r="AJ41" s="16">
        <v>8.0457195639610291E-2</v>
      </c>
      <c r="AK41" s="11">
        <v>4.2709449189715087E-4</v>
      </c>
      <c r="AL41" s="23">
        <v>2.6163958013057709E-2</v>
      </c>
      <c r="AM41"/>
      <c r="AN41" s="23">
        <v>2.5865735486149788E-2</v>
      </c>
      <c r="AO41"/>
      <c r="AP41" s="294">
        <v>0.60377442836761475</v>
      </c>
      <c r="AQ41" s="22">
        <v>3.9625819772481918E-2</v>
      </c>
      <c r="AR41" s="298">
        <v>3.0263783931732178</v>
      </c>
      <c r="AS41" s="141">
        <v>0.5</v>
      </c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231</v>
      </c>
      <c r="B42">
        <v>10</v>
      </c>
      <c r="C42">
        <v>0.50000011920928955</v>
      </c>
      <c r="D42"/>
      <c r="E42"/>
      <c r="F42" s="23">
        <v>5.868062749505043E-2</v>
      </c>
      <c r="G42"/>
      <c r="H42" s="11">
        <v>7.9941712319850922E-3</v>
      </c>
      <c r="I42" s="11">
        <v>6.7367362789809704E-3</v>
      </c>
      <c r="J42" s="11">
        <v>1.1966439196839929E-3</v>
      </c>
      <c r="K42" s="11">
        <v>3.369698824826628E-4</v>
      </c>
      <c r="L42" s="11">
        <v>2.4048066698014736E-3</v>
      </c>
      <c r="M42" s="14">
        <v>1.3897744007408619E-2</v>
      </c>
      <c r="N42" s="11">
        <v>3.0949818901717663E-3</v>
      </c>
      <c r="O42" s="11">
        <v>1.77989830262959E-3</v>
      </c>
      <c r="P42"/>
      <c r="Q42" s="11">
        <v>4.8795342445373535E-4</v>
      </c>
      <c r="R42"/>
      <c r="S42" s="293">
        <v>1.5147466659545898</v>
      </c>
      <c r="T42"/>
      <c r="U42"/>
      <c r="V42" s="18">
        <v>0.10939326137304306</v>
      </c>
      <c r="W42"/>
      <c r="X42"/>
      <c r="Y42"/>
      <c r="Z42" s="11">
        <v>6.8231192417442799E-3</v>
      </c>
      <c r="AA42"/>
      <c r="AB42" s="14">
        <v>1.8881885334849358E-2</v>
      </c>
      <c r="AC42"/>
      <c r="AD42" s="14">
        <v>1.2670568190515041E-2</v>
      </c>
      <c r="AE42" s="14">
        <v>1.9800001755356789E-2</v>
      </c>
      <c r="AF42"/>
      <c r="AG42" s="14">
        <v>1.3188596814870834E-2</v>
      </c>
      <c r="AH42" s="14">
        <v>1.5753746032714844E-2</v>
      </c>
      <c r="AI42"/>
      <c r="AJ42" s="14">
        <v>2.8112936764955521E-2</v>
      </c>
      <c r="AK42" s="11">
        <v>6.4040352590382099E-3</v>
      </c>
      <c r="AL42" s="17">
        <v>0.13513849675655365</v>
      </c>
      <c r="AM42" s="12">
        <v>3.4769035875797272E-2</v>
      </c>
      <c r="AN42" s="12">
        <v>3.263092041015625E-2</v>
      </c>
      <c r="AO42" s="12">
        <v>3.3932387828826904E-2</v>
      </c>
      <c r="AP42" s="296">
        <v>3.2081036567687988</v>
      </c>
      <c r="AQ42" s="16">
        <v>0.15869827568531036</v>
      </c>
      <c r="AR42" s="295">
        <v>3.0543420314788818</v>
      </c>
      <c r="AS42"/>
      <c r="AT42" s="141">
        <v>1</v>
      </c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232</v>
      </c>
      <c r="B43">
        <v>40</v>
      </c>
      <c r="C43">
        <v>2.0000028610229492</v>
      </c>
      <c r="D43"/>
      <c r="E43"/>
      <c r="F43"/>
      <c r="G43"/>
      <c r="H43"/>
      <c r="I43"/>
      <c r="J43"/>
      <c r="K43"/>
      <c r="L43"/>
      <c r="M43"/>
      <c r="N43" s="11">
        <v>3.8944752304814756E-4</v>
      </c>
      <c r="O43" s="11">
        <v>1.129517680965364E-3</v>
      </c>
      <c r="P43" s="11">
        <v>3.2321799080818892E-3</v>
      </c>
      <c r="Q43" s="11">
        <v>2.3332041746471077E-4</v>
      </c>
      <c r="R43" s="23">
        <v>0.25078949332237244</v>
      </c>
      <c r="S43" s="17">
        <v>0.52355110645294189</v>
      </c>
      <c r="T43" s="25">
        <v>1.2519325017929077</v>
      </c>
      <c r="U43" s="21">
        <v>0.80220645666122437</v>
      </c>
      <c r="V43" s="19">
        <v>0.69263917207717896</v>
      </c>
      <c r="W43"/>
      <c r="X43"/>
      <c r="Y43"/>
      <c r="Z43" s="11">
        <v>1.7171322542708367E-4</v>
      </c>
      <c r="AA43" s="11">
        <v>1.136131351813674E-3</v>
      </c>
      <c r="AB43"/>
      <c r="AC43"/>
      <c r="AD43" s="11">
        <v>2.5965319946408272E-3</v>
      </c>
      <c r="AE43" s="11">
        <v>9.5095783472061157E-3</v>
      </c>
      <c r="AF43"/>
      <c r="AG43" s="11">
        <v>2.9279137961566448E-3</v>
      </c>
      <c r="AH43"/>
      <c r="AI43"/>
      <c r="AJ43" s="11">
        <v>2.4071484804153442E-2</v>
      </c>
      <c r="AK43" s="11">
        <v>3.8277020212262869E-4</v>
      </c>
      <c r="AL43" s="11">
        <v>9.0018576011061668E-3</v>
      </c>
      <c r="AM43" s="11">
        <v>1.1083470657467842E-2</v>
      </c>
      <c r="AN43" s="11">
        <v>1.5602841041982174E-2</v>
      </c>
      <c r="AO43"/>
      <c r="AP43" s="297">
        <v>5.2402873039245605</v>
      </c>
      <c r="AQ43"/>
      <c r="AR43" s="13">
        <v>1.460468053817749</v>
      </c>
      <c r="AS43" s="299">
        <v>9.048365592956543</v>
      </c>
      <c r="AT43" s="300">
        <v>18.648288726806641</v>
      </c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233</v>
      </c>
      <c r="B44">
        <v>197</v>
      </c>
      <c r="C44">
        <v>165.68836975097656</v>
      </c>
      <c r="D44"/>
      <c r="E44"/>
      <c r="F44"/>
      <c r="G44"/>
      <c r="H44" s="11">
        <v>5.7735764421522617E-3</v>
      </c>
      <c r="I44"/>
      <c r="J44"/>
      <c r="K44" s="11">
        <v>8.1122498158947565E-6</v>
      </c>
      <c r="L44"/>
      <c r="M44"/>
      <c r="N44"/>
      <c r="O44"/>
      <c r="P44"/>
      <c r="Q44"/>
      <c r="R44"/>
      <c r="S44" s="11">
        <v>0.11874830722808838</v>
      </c>
      <c r="T44" s="11">
        <v>4.3759714812040329E-2</v>
      </c>
      <c r="U44" s="11">
        <v>0.16828708350658417</v>
      </c>
      <c r="V44" s="11">
        <v>4.3978657573461533E-2</v>
      </c>
      <c r="W44"/>
      <c r="X44"/>
      <c r="Y44"/>
      <c r="Z44" s="11">
        <v>8.6452921095769852E-5</v>
      </c>
      <c r="AA44"/>
      <c r="AB44"/>
      <c r="AC44"/>
      <c r="AD44" s="11">
        <v>4.3576094321906567E-4</v>
      </c>
      <c r="AE44" s="11">
        <v>7.2241830639541149E-3</v>
      </c>
      <c r="AF44"/>
      <c r="AG44" s="11">
        <v>1.0016487212851644E-3</v>
      </c>
      <c r="AH44"/>
      <c r="AI44"/>
      <c r="AJ44" s="11">
        <v>9.0239187702536583E-3</v>
      </c>
      <c r="AK44"/>
      <c r="AL44"/>
      <c r="AM44"/>
      <c r="AN44"/>
      <c r="AO44"/>
      <c r="AP44"/>
      <c r="AQ44"/>
      <c r="AR44"/>
      <c r="AS44" s="14">
        <v>0.30370694398880005</v>
      </c>
      <c r="AT44" s="14">
        <v>0.4012351930141449</v>
      </c>
      <c r="AU44" s="246">
        <v>30.208356857299805</v>
      </c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234</v>
      </c>
      <c r="B45"/>
      <c r="C45">
        <v>7.1288883686065674E-2</v>
      </c>
      <c r="D45"/>
      <c r="E45"/>
      <c r="F45"/>
      <c r="G45"/>
      <c r="H45"/>
      <c r="I45"/>
      <c r="J45" s="9">
        <v>6.0648709768429399E-4</v>
      </c>
      <c r="K45" s="9">
        <v>5.2567385137081146E-3</v>
      </c>
      <c r="L45"/>
      <c r="M45"/>
      <c r="N45"/>
      <c r="O45" s="9">
        <v>4.2320421925978735E-5</v>
      </c>
      <c r="P45"/>
      <c r="Q45" s="9">
        <v>1.5662726946175098E-3</v>
      </c>
      <c r="R45"/>
      <c r="S45" s="9">
        <v>9.7569406032562256E-2</v>
      </c>
      <c r="T45" s="9">
        <v>0.20865558087825775</v>
      </c>
      <c r="U45"/>
      <c r="V45" s="9">
        <v>3.9322092533111572</v>
      </c>
      <c r="W45"/>
      <c r="X45" s="9">
        <v>3.7589186104014516E-4</v>
      </c>
      <c r="Y45"/>
      <c r="Z45"/>
      <c r="AA45" s="9">
        <v>4.0040775202214718E-3</v>
      </c>
      <c r="AB45"/>
      <c r="AC45"/>
      <c r="AD45" s="9">
        <v>1.0458262637257576E-2</v>
      </c>
      <c r="AE45" s="9">
        <v>0.10120991617441177</v>
      </c>
      <c r="AF45"/>
      <c r="AG45" s="9">
        <v>3.1750374473631382E-3</v>
      </c>
      <c r="AH45" s="9">
        <v>5.0567656755447388E-2</v>
      </c>
      <c r="AI45"/>
      <c r="AJ45" s="9">
        <v>7.5549092143774033E-3</v>
      </c>
      <c r="AK45"/>
      <c r="AL45"/>
      <c r="AM45"/>
      <c r="AN45"/>
      <c r="AO45"/>
      <c r="AP45"/>
      <c r="AQ45"/>
      <c r="AR45" s="9">
        <v>14.706113815307617</v>
      </c>
      <c r="AS45" s="9">
        <v>194.37245178222656</v>
      </c>
      <c r="AT45" s="9">
        <v>9.6296443939208984</v>
      </c>
      <c r="AU45" s="9">
        <v>80.555618286132812</v>
      </c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235</v>
      </c>
      <c r="B46"/>
      <c r="C46">
        <v>0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2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7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7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6" t="s">
        <v>191</v>
      </c>
      <c r="E5">
        <v>4</v>
      </c>
      <c r="F5">
        <v>3.13</v>
      </c>
      <c r="G5">
        <v>4</v>
      </c>
      <c r="H5" s="197" t="s">
        <v>191</v>
      </c>
      <c r="J5" s="57"/>
      <c r="K5" s="58"/>
    </row>
    <row r="6" spans="1:12" ht="14" thickBot="1" x14ac:dyDescent="0.2">
      <c r="A6" s="41" t="s">
        <v>121</v>
      </c>
      <c r="D6" s="196" t="s">
        <v>192</v>
      </c>
      <c r="E6">
        <v>5</v>
      </c>
      <c r="F6">
        <v>3.13</v>
      </c>
      <c r="G6">
        <v>5</v>
      </c>
      <c r="H6" s="197" t="s">
        <v>192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6" t="s">
        <v>193</v>
      </c>
      <c r="E7">
        <v>6</v>
      </c>
      <c r="F7">
        <v>3.12</v>
      </c>
      <c r="G7">
        <v>6</v>
      </c>
      <c r="H7" s="197" t="s">
        <v>193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6" t="s">
        <v>194</v>
      </c>
      <c r="E8">
        <v>7</v>
      </c>
      <c r="F8">
        <v>3.13</v>
      </c>
      <c r="G8">
        <v>7</v>
      </c>
      <c r="H8" s="197" t="s">
        <v>194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6" t="s">
        <v>195</v>
      </c>
      <c r="E9">
        <v>8</v>
      </c>
      <c r="F9">
        <v>3.22</v>
      </c>
      <c r="G9">
        <v>8</v>
      </c>
      <c r="H9" s="197" t="s">
        <v>195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6" t="s">
        <v>196</v>
      </c>
      <c r="E10">
        <v>9</v>
      </c>
      <c r="F10">
        <v>3.22</v>
      </c>
      <c r="G10">
        <v>9</v>
      </c>
      <c r="H10" s="197" t="s">
        <v>196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6" t="s">
        <v>197</v>
      </c>
      <c r="E11">
        <v>10</v>
      </c>
      <c r="F11">
        <v>3.22</v>
      </c>
      <c r="G11">
        <v>10</v>
      </c>
      <c r="H11" s="197" t="s">
        <v>197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6" t="s">
        <v>198</v>
      </c>
      <c r="E12">
        <v>11</v>
      </c>
      <c r="F12">
        <v>3.22</v>
      </c>
      <c r="G12">
        <v>11</v>
      </c>
      <c r="H12" s="197" t="s">
        <v>198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6" t="s">
        <v>199</v>
      </c>
      <c r="E13">
        <v>12</v>
      </c>
      <c r="F13">
        <v>3.12</v>
      </c>
      <c r="G13">
        <v>12</v>
      </c>
      <c r="H13" s="197" t="s">
        <v>199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6" t="s">
        <v>200</v>
      </c>
      <c r="E14">
        <v>13</v>
      </c>
      <c r="F14">
        <v>3.12</v>
      </c>
      <c r="G14">
        <v>13</v>
      </c>
      <c r="H14" s="197" t="s">
        <v>200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6" t="s">
        <v>201</v>
      </c>
      <c r="E15">
        <v>14</v>
      </c>
      <c r="F15">
        <v>3.1</v>
      </c>
      <c r="G15">
        <v>14</v>
      </c>
      <c r="H15" s="197" t="s">
        <v>201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6" t="s">
        <v>202</v>
      </c>
      <c r="E16">
        <v>15</v>
      </c>
      <c r="F16">
        <v>3.12</v>
      </c>
      <c r="G16">
        <v>15</v>
      </c>
      <c r="H16" s="197" t="s">
        <v>202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6" t="s">
        <v>203</v>
      </c>
      <c r="E17">
        <v>16</v>
      </c>
      <c r="F17">
        <v>3.1</v>
      </c>
      <c r="G17">
        <v>16</v>
      </c>
      <c r="H17" s="197" t="s">
        <v>203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6" t="s">
        <v>204</v>
      </c>
      <c r="E18">
        <v>17</v>
      </c>
      <c r="F18">
        <v>3.1</v>
      </c>
      <c r="G18">
        <v>17</v>
      </c>
      <c r="H18" s="197" t="s">
        <v>204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6" t="s">
        <v>205</v>
      </c>
      <c r="E19">
        <v>18</v>
      </c>
      <c r="F19">
        <v>3.12</v>
      </c>
      <c r="G19">
        <v>18</v>
      </c>
      <c r="H19" s="197" t="s">
        <v>205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6" t="s">
        <v>206</v>
      </c>
      <c r="E20">
        <v>19</v>
      </c>
      <c r="F20">
        <v>3.12</v>
      </c>
      <c r="G20">
        <v>19</v>
      </c>
      <c r="H20" s="197" t="s">
        <v>206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6" t="s">
        <v>207</v>
      </c>
      <c r="E21">
        <v>20</v>
      </c>
      <c r="F21">
        <v>3.12</v>
      </c>
      <c r="G21">
        <v>20</v>
      </c>
      <c r="H21" s="197" t="s">
        <v>207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6" t="s">
        <v>208</v>
      </c>
      <c r="E22">
        <v>21</v>
      </c>
      <c r="F22">
        <v>3.22</v>
      </c>
      <c r="G22">
        <v>21</v>
      </c>
      <c r="H22" s="197" t="s">
        <v>208</v>
      </c>
    </row>
    <row r="23" spans="1:12" x14ac:dyDescent="0.15">
      <c r="A23" s="36" t="s">
        <v>129</v>
      </c>
      <c r="B23" s="44">
        <v>4</v>
      </c>
      <c r="C23" s="38"/>
      <c r="D23" s="196" t="s">
        <v>209</v>
      </c>
      <c r="E23">
        <v>22</v>
      </c>
      <c r="F23">
        <v>3.22</v>
      </c>
      <c r="G23">
        <v>22</v>
      </c>
      <c r="H23" s="197" t="s">
        <v>209</v>
      </c>
    </row>
    <row r="24" spans="1:12" x14ac:dyDescent="0.15">
      <c r="A24" s="36" t="s">
        <v>122</v>
      </c>
      <c r="B24" s="44">
        <v>4.0999999999999996</v>
      </c>
      <c r="C24" s="38"/>
      <c r="D24" s="196" t="s">
        <v>210</v>
      </c>
      <c r="E24">
        <v>23</v>
      </c>
      <c r="F24">
        <v>3.22</v>
      </c>
      <c r="G24">
        <v>23</v>
      </c>
      <c r="H24" s="197" t="s">
        <v>210</v>
      </c>
    </row>
    <row r="25" spans="1:12" x14ac:dyDescent="0.15">
      <c r="A25" s="36" t="s">
        <v>70</v>
      </c>
      <c r="B25" s="44">
        <v>4.2</v>
      </c>
      <c r="C25" s="38"/>
      <c r="D25" s="196" t="s">
        <v>211</v>
      </c>
      <c r="E25">
        <v>24</v>
      </c>
      <c r="F25">
        <v>3.2</v>
      </c>
      <c r="G25">
        <v>24</v>
      </c>
      <c r="H25" s="197" t="s">
        <v>211</v>
      </c>
    </row>
    <row r="26" spans="1:12" x14ac:dyDescent="0.15">
      <c r="A26" s="36" t="s">
        <v>123</v>
      </c>
      <c r="B26" s="44">
        <v>4.3</v>
      </c>
      <c r="C26" s="38"/>
      <c r="D26" s="196" t="s">
        <v>212</v>
      </c>
      <c r="E26">
        <v>25</v>
      </c>
      <c r="F26">
        <v>3.2</v>
      </c>
      <c r="G26">
        <v>25</v>
      </c>
      <c r="H26" s="197" t="s">
        <v>212</v>
      </c>
    </row>
    <row r="27" spans="1:12" x14ac:dyDescent="0.15">
      <c r="A27" s="36" t="s">
        <v>125</v>
      </c>
      <c r="B27" s="44">
        <v>6.1</v>
      </c>
      <c r="D27" s="196" t="s">
        <v>213</v>
      </c>
      <c r="E27">
        <v>26</v>
      </c>
      <c r="F27">
        <v>3.2</v>
      </c>
      <c r="G27">
        <v>26</v>
      </c>
      <c r="H27" s="197" t="s">
        <v>213</v>
      </c>
    </row>
    <row r="28" spans="1:12" x14ac:dyDescent="0.15">
      <c r="A28" s="36" t="s">
        <v>124</v>
      </c>
      <c r="B28" s="44">
        <v>6.2</v>
      </c>
      <c r="D28" s="196" t="s">
        <v>214</v>
      </c>
      <c r="E28">
        <v>27</v>
      </c>
      <c r="F28">
        <v>3.22</v>
      </c>
      <c r="G28">
        <v>27</v>
      </c>
      <c r="H28" s="197" t="s">
        <v>214</v>
      </c>
    </row>
    <row r="29" spans="1:12" x14ac:dyDescent="0.15">
      <c r="A29" s="36" t="s">
        <v>44</v>
      </c>
      <c r="B29" s="44">
        <v>5</v>
      </c>
      <c r="D29" s="196" t="s">
        <v>215</v>
      </c>
      <c r="E29">
        <v>28</v>
      </c>
      <c r="F29">
        <v>3.22</v>
      </c>
      <c r="G29">
        <v>28</v>
      </c>
      <c r="H29" s="197" t="s">
        <v>215</v>
      </c>
    </row>
    <row r="30" spans="1:12" x14ac:dyDescent="0.15">
      <c r="A30" s="36" t="s">
        <v>73</v>
      </c>
      <c r="B30" s="44">
        <v>7</v>
      </c>
      <c r="D30" s="196" t="s">
        <v>216</v>
      </c>
      <c r="E30">
        <v>29</v>
      </c>
      <c r="F30">
        <v>3.12</v>
      </c>
      <c r="G30">
        <v>29</v>
      </c>
      <c r="H30" s="197" t="s">
        <v>216</v>
      </c>
    </row>
    <row r="31" spans="1:12" x14ac:dyDescent="0.15">
      <c r="A31" s="36" t="s">
        <v>169</v>
      </c>
      <c r="B31" s="44">
        <v>3.14</v>
      </c>
      <c r="D31" s="196" t="s">
        <v>217</v>
      </c>
      <c r="E31">
        <v>30</v>
      </c>
      <c r="F31">
        <v>3.22</v>
      </c>
      <c r="G31">
        <v>30</v>
      </c>
      <c r="H31" s="197" t="s">
        <v>217</v>
      </c>
    </row>
    <row r="32" spans="1:12" ht="12" customHeight="1" thickBot="1" x14ac:dyDescent="0.2">
      <c r="A32" s="42" t="s">
        <v>170</v>
      </c>
      <c r="B32" s="45">
        <v>9</v>
      </c>
      <c r="D32" s="196" t="s">
        <v>218</v>
      </c>
      <c r="E32">
        <v>31</v>
      </c>
      <c r="F32">
        <v>3.2</v>
      </c>
      <c r="G32">
        <v>31</v>
      </c>
      <c r="H32" s="197" t="s">
        <v>218</v>
      </c>
    </row>
    <row r="33" spans="4:8" customFormat="1" ht="12" customHeight="1" x14ac:dyDescent="0.15">
      <c r="D33" s="196" t="s">
        <v>219</v>
      </c>
      <c r="E33">
        <v>32</v>
      </c>
      <c r="F33">
        <v>3.2</v>
      </c>
      <c r="G33">
        <v>32</v>
      </c>
      <c r="H33" s="197" t="s">
        <v>219</v>
      </c>
    </row>
    <row r="34" spans="4:8" customFormat="1" ht="12" customHeight="1" x14ac:dyDescent="0.15">
      <c r="D34" s="196" t="s">
        <v>220</v>
      </c>
      <c r="E34">
        <v>33</v>
      </c>
      <c r="F34">
        <v>3.22</v>
      </c>
      <c r="G34">
        <v>33</v>
      </c>
      <c r="H34" s="197" t="s">
        <v>220</v>
      </c>
    </row>
    <row r="35" spans="4:8" customFormat="1" x14ac:dyDescent="0.15">
      <c r="D35" s="196" t="s">
        <v>221</v>
      </c>
      <c r="E35">
        <v>34</v>
      </c>
      <c r="F35">
        <v>3.2</v>
      </c>
      <c r="G35">
        <v>34</v>
      </c>
      <c r="H35" s="197" t="s">
        <v>221</v>
      </c>
    </row>
    <row r="36" spans="4:8" customFormat="1" x14ac:dyDescent="0.15">
      <c r="D36" s="196" t="s">
        <v>222</v>
      </c>
      <c r="E36">
        <v>35</v>
      </c>
      <c r="F36">
        <v>3.2</v>
      </c>
      <c r="G36">
        <v>35</v>
      </c>
      <c r="H36" s="197" t="s">
        <v>222</v>
      </c>
    </row>
    <row r="37" spans="4:8" customFormat="1" ht="12" customHeight="1" x14ac:dyDescent="0.15">
      <c r="D37" s="196" t="s">
        <v>223</v>
      </c>
      <c r="E37">
        <v>36</v>
      </c>
      <c r="F37">
        <v>3.2</v>
      </c>
      <c r="G37">
        <v>36</v>
      </c>
      <c r="H37" s="197" t="s">
        <v>223</v>
      </c>
    </row>
    <row r="38" spans="4:8" customFormat="1" x14ac:dyDescent="0.15">
      <c r="D38" s="196" t="s">
        <v>224</v>
      </c>
      <c r="E38">
        <v>37</v>
      </c>
      <c r="F38">
        <v>3.2</v>
      </c>
      <c r="G38">
        <v>37</v>
      </c>
      <c r="H38" s="197" t="s">
        <v>224</v>
      </c>
    </row>
    <row r="39" spans="4:8" customFormat="1" x14ac:dyDescent="0.15">
      <c r="D39" s="196" t="s">
        <v>225</v>
      </c>
      <c r="E39">
        <v>38</v>
      </c>
      <c r="F39">
        <v>3.1</v>
      </c>
      <c r="G39">
        <v>38</v>
      </c>
      <c r="H39" s="197" t="s">
        <v>225</v>
      </c>
    </row>
    <row r="40" spans="4:8" customFormat="1" x14ac:dyDescent="0.15">
      <c r="D40" s="196" t="s">
        <v>226</v>
      </c>
      <c r="E40">
        <v>39</v>
      </c>
      <c r="F40">
        <v>3.1</v>
      </c>
      <c r="G40">
        <v>39</v>
      </c>
      <c r="H40" s="197" t="s">
        <v>226</v>
      </c>
    </row>
    <row r="41" spans="4:8" customFormat="1" x14ac:dyDescent="0.15">
      <c r="D41" s="196" t="s">
        <v>227</v>
      </c>
      <c r="E41">
        <v>40</v>
      </c>
      <c r="F41">
        <v>3.12</v>
      </c>
      <c r="G41">
        <v>40</v>
      </c>
      <c r="H41" s="197" t="s">
        <v>227</v>
      </c>
    </row>
    <row r="42" spans="4:8" customFormat="1" x14ac:dyDescent="0.15">
      <c r="D42" s="196" t="s">
        <v>228</v>
      </c>
      <c r="E42">
        <v>41</v>
      </c>
      <c r="F42">
        <v>3.12</v>
      </c>
      <c r="G42">
        <v>41</v>
      </c>
      <c r="H42" s="197" t="s">
        <v>228</v>
      </c>
    </row>
    <row r="43" spans="4:8" customFormat="1" x14ac:dyDescent="0.15">
      <c r="D43" s="196" t="s">
        <v>229</v>
      </c>
      <c r="E43">
        <v>42</v>
      </c>
      <c r="F43">
        <v>3</v>
      </c>
      <c r="G43">
        <v>42</v>
      </c>
      <c r="H43" s="197" t="s">
        <v>229</v>
      </c>
    </row>
    <row r="44" spans="4:8" customFormat="1" x14ac:dyDescent="0.15">
      <c r="D44" s="196" t="s">
        <v>230</v>
      </c>
      <c r="E44">
        <v>43</v>
      </c>
      <c r="F44">
        <v>3.21</v>
      </c>
      <c r="G44">
        <v>43</v>
      </c>
      <c r="H44" s="197" t="s">
        <v>230</v>
      </c>
    </row>
    <row r="45" spans="4:8" customFormat="1" x14ac:dyDescent="0.15">
      <c r="D45" s="196" t="s">
        <v>231</v>
      </c>
      <c r="E45">
        <v>44</v>
      </c>
      <c r="F45">
        <v>3.11</v>
      </c>
      <c r="G45">
        <v>44</v>
      </c>
      <c r="H45" s="197" t="s">
        <v>231</v>
      </c>
    </row>
    <row r="46" spans="4:8" customFormat="1" x14ac:dyDescent="0.15">
      <c r="D46" s="196" t="s">
        <v>232</v>
      </c>
      <c r="E46">
        <v>45</v>
      </c>
      <c r="F46">
        <v>3.11</v>
      </c>
      <c r="G46">
        <v>45</v>
      </c>
      <c r="H46" s="197" t="s">
        <v>232</v>
      </c>
    </row>
    <row r="47" spans="4:8" customFormat="1" x14ac:dyDescent="0.15">
      <c r="D47" s="196" t="s">
        <v>233</v>
      </c>
      <c r="E47">
        <v>46</v>
      </c>
      <c r="F47">
        <v>2</v>
      </c>
      <c r="G47">
        <v>46</v>
      </c>
      <c r="H47" s="197" t="s">
        <v>233</v>
      </c>
    </row>
    <row r="48" spans="4:8" customFormat="1" x14ac:dyDescent="0.15">
      <c r="D48" s="196" t="s">
        <v>234</v>
      </c>
      <c r="E48">
        <v>47</v>
      </c>
      <c r="F48">
        <v>4.0999999999999996</v>
      </c>
      <c r="G48">
        <v>47</v>
      </c>
      <c r="H48" s="197" t="s">
        <v>234</v>
      </c>
    </row>
    <row r="49" spans="4:8" customFormat="1" x14ac:dyDescent="0.15">
      <c r="D49" s="196" t="s">
        <v>235</v>
      </c>
      <c r="E49">
        <v>48</v>
      </c>
      <c r="F49">
        <v>4.3</v>
      </c>
      <c r="G49">
        <v>48</v>
      </c>
      <c r="H49" s="197" t="s">
        <v>235</v>
      </c>
    </row>
    <row r="50" spans="4:8" customFormat="1" ht="12" customHeight="1" x14ac:dyDescent="0.15">
      <c r="D50" s="196" t="s">
        <v>236</v>
      </c>
      <c r="E50">
        <v>49</v>
      </c>
      <c r="F50">
        <v>5</v>
      </c>
      <c r="G50">
        <v>49</v>
      </c>
      <c r="H50" s="197" t="s">
        <v>236</v>
      </c>
    </row>
    <row r="51" spans="4:8" customFormat="1" x14ac:dyDescent="0.15">
      <c r="D51" s="196" t="s">
        <v>237</v>
      </c>
      <c r="E51">
        <v>50</v>
      </c>
      <c r="F51">
        <v>5</v>
      </c>
      <c r="G51">
        <v>50</v>
      </c>
      <c r="H51" s="197" t="s">
        <v>237</v>
      </c>
    </row>
    <row r="52" spans="4:8" customFormat="1" ht="12" customHeight="1" x14ac:dyDescent="0.15">
      <c r="D52" s="196" t="s">
        <v>138</v>
      </c>
      <c r="E52">
        <v>51</v>
      </c>
      <c r="F52">
        <v>6.1</v>
      </c>
      <c r="G52">
        <v>51</v>
      </c>
      <c r="H52" s="197" t="s">
        <v>138</v>
      </c>
    </row>
    <row r="53" spans="4:8" customFormat="1" x14ac:dyDescent="0.15">
      <c r="D53" s="196" t="s">
        <v>45</v>
      </c>
      <c r="E53">
        <v>52</v>
      </c>
      <c r="F53">
        <v>6.2</v>
      </c>
      <c r="G53">
        <v>52</v>
      </c>
      <c r="H53" s="197" t="s">
        <v>45</v>
      </c>
    </row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5" bestFit="1" customWidth="1"/>
    <col min="2" max="2" width="3.83203125" style="84" customWidth="1"/>
    <col min="3" max="3" width="16.5" style="84" customWidth="1"/>
    <col min="4" max="4" width="39.6640625" style="84" customWidth="1"/>
    <col min="5" max="5" width="8.1640625" style="84" customWidth="1"/>
    <col min="6" max="6" width="27.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6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2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2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198" t="s">
        <v>191</v>
      </c>
      <c r="G6" s="84">
        <v>0</v>
      </c>
      <c r="H6" s="84">
        <v>0</v>
      </c>
      <c r="I6" s="84">
        <v>0</v>
      </c>
      <c r="J6" s="84">
        <v>0</v>
      </c>
      <c r="K6" s="84">
        <v>1</v>
      </c>
      <c r="L6" s="84">
        <v>0</v>
      </c>
      <c r="M6" s="84">
        <v>1</v>
      </c>
      <c r="N6" s="84">
        <v>0</v>
      </c>
      <c r="O6" s="84">
        <v>1</v>
      </c>
      <c r="P6" s="73">
        <v>0</v>
      </c>
      <c r="Q6" s="84">
        <v>0</v>
      </c>
      <c r="R6" s="74">
        <v>1</v>
      </c>
      <c r="S6"/>
      <c r="T6"/>
    </row>
    <row r="7" spans="1:23" ht="15" customHeight="1" thickBot="1" x14ac:dyDescent="0.2">
      <c r="F7" s="198" t="s">
        <v>192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3">
        <v>0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1</v>
      </c>
      <c r="C8" s="199" t="s">
        <v>233</v>
      </c>
      <c r="D8" s="88" t="s">
        <v>160</v>
      </c>
      <c r="F8" s="198" t="s">
        <v>193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3">
        <v>0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6" t="s">
        <v>168</v>
      </c>
      <c r="B9" s="95"/>
      <c r="C9" s="83"/>
      <c r="D9" s="88" t="s">
        <v>160</v>
      </c>
      <c r="F9" s="198" t="s">
        <v>194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3">
        <v>0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/>
      <c r="C10" s="83"/>
      <c r="D10" s="88" t="s">
        <v>160</v>
      </c>
      <c r="F10" s="198" t="s">
        <v>195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3">
        <v>0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198" t="s">
        <v>196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3">
        <v>0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198" t="s">
        <v>197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3">
        <v>0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198" t="s">
        <v>198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3">
        <v>0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198" t="s">
        <v>199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3">
        <v>0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198" t="s">
        <v>200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3">
        <v>0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198" t="s">
        <v>201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3">
        <v>0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198" t="s">
        <v>202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3">
        <v>0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198" t="s">
        <v>203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3">
        <v>0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1</v>
      </c>
      <c r="C19" s="200" t="s">
        <v>233</v>
      </c>
      <c r="D19" s="88" t="s">
        <v>160</v>
      </c>
      <c r="F19" s="198" t="s">
        <v>204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3">
        <v>0</v>
      </c>
      <c r="Q19" s="84">
        <v>0</v>
      </c>
      <c r="R19" s="74">
        <v>1</v>
      </c>
      <c r="S19"/>
      <c r="T19"/>
    </row>
    <row r="20" spans="1:20" ht="15" customHeight="1" x14ac:dyDescent="0.15">
      <c r="A20" s="126" t="s">
        <v>168</v>
      </c>
      <c r="B20" s="95"/>
      <c r="C20" s="83"/>
      <c r="D20" s="88" t="s">
        <v>160</v>
      </c>
      <c r="F20" s="198" t="s">
        <v>205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3">
        <v>0</v>
      </c>
      <c r="Q20" s="84">
        <v>0</v>
      </c>
      <c r="R20" s="74">
        <v>1</v>
      </c>
      <c r="S20"/>
      <c r="T20"/>
    </row>
    <row r="21" spans="1:20" ht="15" customHeight="1" x14ac:dyDescent="0.15">
      <c r="B21" s="95"/>
      <c r="C21" s="83"/>
      <c r="D21" s="88" t="s">
        <v>160</v>
      </c>
      <c r="F21" s="198" t="s">
        <v>206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3">
        <v>0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198" t="s">
        <v>207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3">
        <v>0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198" t="s">
        <v>208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3">
        <v>0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198" t="s">
        <v>209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3">
        <v>0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198" t="s">
        <v>210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3">
        <v>0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198" t="s">
        <v>211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3">
        <v>0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198" t="s">
        <v>212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3">
        <v>0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198" t="s">
        <v>213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3">
        <v>0</v>
      </c>
      <c r="Q28" s="84">
        <v>0</v>
      </c>
      <c r="R28" s="74">
        <v>1</v>
      </c>
      <c r="S28"/>
      <c r="T28"/>
    </row>
    <row r="29" spans="1:20" ht="15" customHeight="1" x14ac:dyDescent="0.15">
      <c r="F29" s="198" t="s">
        <v>214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3">
        <v>0</v>
      </c>
      <c r="Q29" s="84">
        <v>0</v>
      </c>
      <c r="R29" s="74">
        <v>1</v>
      </c>
      <c r="S29"/>
      <c r="T29"/>
    </row>
    <row r="30" spans="1:20" ht="15" customHeight="1" x14ac:dyDescent="0.15">
      <c r="F30" s="198" t="s">
        <v>215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3">
        <v>0</v>
      </c>
      <c r="Q30" s="84">
        <v>0</v>
      </c>
      <c r="R30" s="74">
        <v>1</v>
      </c>
      <c r="S30"/>
      <c r="T30"/>
    </row>
    <row r="31" spans="1:20" ht="15" customHeight="1" x14ac:dyDescent="0.15">
      <c r="A31" s="127"/>
      <c r="B31" s="138" t="s">
        <v>17</v>
      </c>
      <c r="C31" s="138" t="s">
        <v>1</v>
      </c>
      <c r="D31" s="138" t="s">
        <v>161</v>
      </c>
      <c r="E31" s="139" t="s">
        <v>163</v>
      </c>
      <c r="F31" s="198" t="s">
        <v>216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3">
        <v>0</v>
      </c>
      <c r="Q31" s="84">
        <v>0</v>
      </c>
      <c r="R31" s="74">
        <v>1</v>
      </c>
      <c r="S31"/>
      <c r="T31"/>
    </row>
    <row r="32" spans="1:20" ht="15" customHeight="1" x14ac:dyDescent="0.15">
      <c r="A32" s="201" t="s">
        <v>233</v>
      </c>
      <c r="B32" s="96">
        <v>24</v>
      </c>
      <c r="C32" s="96">
        <v>197</v>
      </c>
      <c r="D32" s="96">
        <v>4728</v>
      </c>
      <c r="E32" s="129">
        <v>1</v>
      </c>
      <c r="F32" s="198" t="s">
        <v>217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3">
        <v>0</v>
      </c>
      <c r="Q32" s="84">
        <v>0</v>
      </c>
      <c r="R32" s="74">
        <v>1</v>
      </c>
      <c r="S32"/>
      <c r="T32"/>
    </row>
    <row r="33" spans="1:20" ht="15" customHeight="1" x14ac:dyDescent="0.15">
      <c r="A33" s="128"/>
      <c r="B33" s="96"/>
      <c r="C33" s="96"/>
      <c r="D33" s="96"/>
      <c r="E33" s="129"/>
      <c r="F33" s="198" t="s">
        <v>218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3">
        <v>0</v>
      </c>
      <c r="Q33" s="84">
        <v>0</v>
      </c>
      <c r="R33" s="74">
        <v>1</v>
      </c>
      <c r="S33"/>
      <c r="T33"/>
    </row>
    <row r="34" spans="1:20" ht="15" customHeight="1" x14ac:dyDescent="0.15">
      <c r="A34" s="130"/>
      <c r="B34" s="96"/>
      <c r="C34" s="96"/>
      <c r="D34" s="96"/>
      <c r="E34" s="129"/>
      <c r="F34" s="198" t="s">
        <v>219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3">
        <v>0</v>
      </c>
      <c r="Q34" s="84">
        <v>0</v>
      </c>
      <c r="R34" s="74">
        <v>1</v>
      </c>
      <c r="S34"/>
      <c r="T34"/>
    </row>
    <row r="35" spans="1:20" ht="15" customHeight="1" x14ac:dyDescent="0.15">
      <c r="A35" s="131"/>
      <c r="B35" s="96"/>
      <c r="C35" s="96"/>
      <c r="D35" s="96"/>
      <c r="E35" s="129"/>
      <c r="F35" s="198" t="s">
        <v>220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3">
        <v>0</v>
      </c>
      <c r="Q35" s="84">
        <v>0</v>
      </c>
      <c r="R35" s="74">
        <v>1</v>
      </c>
      <c r="S35"/>
      <c r="T35"/>
    </row>
    <row r="36" spans="1:20" ht="15" customHeight="1" x14ac:dyDescent="0.15">
      <c r="A36" s="132"/>
      <c r="B36" s="96"/>
      <c r="C36" s="96"/>
      <c r="D36" s="96"/>
      <c r="E36" s="129"/>
      <c r="F36" s="198" t="s">
        <v>221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3">
        <v>0</v>
      </c>
      <c r="Q36" s="84">
        <v>0</v>
      </c>
      <c r="R36" s="74">
        <v>1</v>
      </c>
      <c r="S36"/>
      <c r="T36"/>
    </row>
    <row r="37" spans="1:20" ht="15" customHeight="1" x14ac:dyDescent="0.15">
      <c r="A37" s="132"/>
      <c r="B37" s="96"/>
      <c r="C37" s="96"/>
      <c r="D37" s="96"/>
      <c r="E37" s="129"/>
      <c r="F37" s="198" t="s">
        <v>222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3">
        <v>0</v>
      </c>
      <c r="Q37" s="84">
        <v>0</v>
      </c>
      <c r="R37" s="74">
        <v>1</v>
      </c>
      <c r="S37"/>
      <c r="T37"/>
    </row>
    <row r="38" spans="1:20" ht="15" customHeight="1" x14ac:dyDescent="0.15">
      <c r="A38" s="133"/>
      <c r="B38" s="96"/>
      <c r="C38" s="96"/>
      <c r="D38" s="96"/>
      <c r="E38" s="129"/>
      <c r="F38" s="198" t="s">
        <v>223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3">
        <v>0</v>
      </c>
      <c r="Q38" s="84">
        <v>0</v>
      </c>
      <c r="R38" s="74">
        <v>1</v>
      </c>
      <c r="S38"/>
      <c r="T38"/>
    </row>
    <row r="39" spans="1:20" ht="15" customHeight="1" x14ac:dyDescent="0.15">
      <c r="A39" s="133"/>
      <c r="B39" s="96"/>
      <c r="C39" s="96"/>
      <c r="D39" s="96"/>
      <c r="E39" s="129"/>
      <c r="F39" s="198" t="s">
        <v>224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3">
        <v>0</v>
      </c>
      <c r="Q39" s="84">
        <v>0</v>
      </c>
      <c r="R39" s="74">
        <v>1</v>
      </c>
      <c r="S39"/>
      <c r="T39"/>
    </row>
    <row r="40" spans="1:20" ht="15" customHeight="1" x14ac:dyDescent="0.15">
      <c r="A40" s="133"/>
      <c r="B40" s="96"/>
      <c r="C40" s="96"/>
      <c r="D40" s="96"/>
      <c r="E40" s="129"/>
      <c r="F40" s="198" t="s">
        <v>225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3">
        <v>0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3"/>
      <c r="B41" s="96"/>
      <c r="C41" s="96"/>
      <c r="D41" s="97"/>
      <c r="E41" s="134"/>
      <c r="F41" s="198" t="s">
        <v>226</v>
      </c>
      <c r="G41" s="84">
        <v>0</v>
      </c>
      <c r="H41" s="84">
        <v>0</v>
      </c>
      <c r="I41" s="84">
        <v>0</v>
      </c>
      <c r="J41" s="84">
        <v>0</v>
      </c>
      <c r="K41" s="84">
        <v>1</v>
      </c>
      <c r="L41" s="84">
        <v>0</v>
      </c>
      <c r="M41" s="84">
        <v>1</v>
      </c>
      <c r="N41" s="84">
        <v>0</v>
      </c>
      <c r="O41" s="84">
        <v>1</v>
      </c>
      <c r="P41" s="73">
        <v>0</v>
      </c>
      <c r="Q41" s="84">
        <v>0</v>
      </c>
      <c r="R41" s="74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4728</v>
      </c>
      <c r="E42" s="137">
        <f>SUM(E32:E41)</f>
        <v>1</v>
      </c>
      <c r="F42" s="198" t="s">
        <v>227</v>
      </c>
      <c r="G42" s="84">
        <v>0</v>
      </c>
      <c r="H42" s="84">
        <v>0</v>
      </c>
      <c r="I42" s="84">
        <v>0</v>
      </c>
      <c r="J42" s="84">
        <v>0</v>
      </c>
      <c r="K42" s="84">
        <v>1</v>
      </c>
      <c r="L42" s="84">
        <v>0</v>
      </c>
      <c r="M42" s="84">
        <v>1</v>
      </c>
      <c r="N42" s="84">
        <v>0</v>
      </c>
      <c r="O42" s="84">
        <v>1</v>
      </c>
      <c r="P42" s="73">
        <v>0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198" t="s">
        <v>228</v>
      </c>
      <c r="G43" s="84">
        <v>0</v>
      </c>
      <c r="H43" s="84">
        <v>0</v>
      </c>
      <c r="I43" s="84">
        <v>0</v>
      </c>
      <c r="J43" s="84">
        <v>0</v>
      </c>
      <c r="K43" s="84">
        <v>1</v>
      </c>
      <c r="L43" s="84">
        <v>0</v>
      </c>
      <c r="M43" s="84">
        <v>1</v>
      </c>
      <c r="N43" s="84">
        <v>0</v>
      </c>
      <c r="O43" s="84">
        <v>1</v>
      </c>
      <c r="P43" s="73">
        <v>0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 s="198" t="s">
        <v>229</v>
      </c>
      <c r="G44" s="84">
        <v>0</v>
      </c>
      <c r="H44" s="84">
        <v>0</v>
      </c>
      <c r="I44" s="84">
        <v>0</v>
      </c>
      <c r="J44" s="84">
        <v>0</v>
      </c>
      <c r="K44" s="84">
        <v>1</v>
      </c>
      <c r="L44" s="84">
        <v>0</v>
      </c>
      <c r="M44" s="84">
        <v>1</v>
      </c>
      <c r="N44" s="84">
        <v>0</v>
      </c>
      <c r="O44" s="84">
        <v>1</v>
      </c>
      <c r="P44" s="73">
        <v>0</v>
      </c>
      <c r="Q44" s="84">
        <v>0</v>
      </c>
      <c r="R44" s="74">
        <v>1</v>
      </c>
    </row>
    <row r="45" spans="1:20" ht="15" customHeight="1" x14ac:dyDescent="0.15">
      <c r="A45" s="84"/>
      <c r="F45" s="198" t="s">
        <v>230</v>
      </c>
      <c r="G45" s="84">
        <v>0</v>
      </c>
      <c r="H45" s="84">
        <v>0</v>
      </c>
      <c r="I45" s="84">
        <v>0</v>
      </c>
      <c r="J45" s="84">
        <v>0</v>
      </c>
      <c r="K45" s="84">
        <v>1</v>
      </c>
      <c r="L45" s="84">
        <v>0</v>
      </c>
      <c r="M45" s="84">
        <v>1</v>
      </c>
      <c r="N45" s="84">
        <v>0</v>
      </c>
      <c r="O45" s="84">
        <v>1</v>
      </c>
      <c r="P45" s="73">
        <v>0</v>
      </c>
      <c r="Q45" s="84">
        <v>0</v>
      </c>
      <c r="R45" s="74">
        <v>1</v>
      </c>
    </row>
    <row r="46" spans="1:20" ht="15" customHeight="1" x14ac:dyDescent="0.15">
      <c r="A46" s="84"/>
      <c r="F46" s="198" t="s">
        <v>231</v>
      </c>
      <c r="G46" s="84">
        <v>0</v>
      </c>
      <c r="H46" s="84">
        <v>0</v>
      </c>
      <c r="I46" s="84">
        <v>0</v>
      </c>
      <c r="J46" s="84">
        <v>0</v>
      </c>
      <c r="K46" s="84">
        <v>1</v>
      </c>
      <c r="L46" s="84">
        <v>0</v>
      </c>
      <c r="M46" s="84">
        <v>1</v>
      </c>
      <c r="N46" s="84">
        <v>0</v>
      </c>
      <c r="O46" s="84">
        <v>1</v>
      </c>
      <c r="P46" s="73">
        <v>0</v>
      </c>
      <c r="Q46" s="84">
        <v>0</v>
      </c>
      <c r="R46" s="74">
        <v>1</v>
      </c>
    </row>
    <row r="47" spans="1:20" ht="15" customHeight="1" x14ac:dyDescent="0.15">
      <c r="A47" s="84"/>
      <c r="F47" s="198" t="s">
        <v>232</v>
      </c>
      <c r="G47" s="84">
        <v>0</v>
      </c>
      <c r="H47" s="84">
        <v>0</v>
      </c>
      <c r="I47" s="84">
        <v>0</v>
      </c>
      <c r="J47" s="84">
        <v>0</v>
      </c>
      <c r="K47" s="84">
        <v>1</v>
      </c>
      <c r="L47" s="84">
        <v>0</v>
      </c>
      <c r="M47" s="84">
        <v>1</v>
      </c>
      <c r="N47" s="84">
        <v>0</v>
      </c>
      <c r="O47" s="84">
        <v>1</v>
      </c>
      <c r="P47" s="73">
        <v>0</v>
      </c>
      <c r="Q47" s="84">
        <v>0</v>
      </c>
      <c r="R47" s="74">
        <v>1</v>
      </c>
    </row>
    <row r="48" spans="1:20" ht="15" customHeight="1" x14ac:dyDescent="0.15">
      <c r="A48" s="84"/>
      <c r="F48" s="198" t="s">
        <v>233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0</v>
      </c>
      <c r="M48" s="84">
        <v>1</v>
      </c>
      <c r="N48" s="84">
        <v>0</v>
      </c>
      <c r="O48" s="84">
        <v>0</v>
      </c>
      <c r="P48" s="73">
        <v>0</v>
      </c>
      <c r="Q48" s="84">
        <v>0</v>
      </c>
      <c r="R48" s="74">
        <v>1</v>
      </c>
    </row>
    <row r="49" spans="6:18" s="84" customFormat="1" ht="15" customHeight="1" x14ac:dyDescent="0.15">
      <c r="F49" s="198" t="s">
        <v>234</v>
      </c>
      <c r="G49" s="84">
        <v>0</v>
      </c>
      <c r="H49" s="84">
        <v>0</v>
      </c>
      <c r="I49" s="84">
        <v>0</v>
      </c>
      <c r="J49" s="84">
        <v>0</v>
      </c>
      <c r="K49" s="84">
        <v>0</v>
      </c>
      <c r="L49" s="84">
        <v>1</v>
      </c>
      <c r="M49" s="84">
        <v>0</v>
      </c>
      <c r="N49" s="84">
        <v>1</v>
      </c>
      <c r="O49" s="84">
        <v>0</v>
      </c>
      <c r="P49" s="73">
        <v>1</v>
      </c>
      <c r="Q49" s="84">
        <v>0</v>
      </c>
      <c r="R49" s="74">
        <v>1</v>
      </c>
    </row>
    <row r="50" spans="6:18" s="84" customFormat="1" ht="15" customHeight="1" x14ac:dyDescent="0.15">
      <c r="F50" s="198" t="s">
        <v>235</v>
      </c>
      <c r="G50" s="84">
        <v>0</v>
      </c>
      <c r="H50" s="84">
        <v>0</v>
      </c>
      <c r="I50" s="84">
        <v>0</v>
      </c>
      <c r="J50" s="84">
        <v>0</v>
      </c>
      <c r="K50" s="84">
        <v>0</v>
      </c>
      <c r="L50" s="84">
        <v>1</v>
      </c>
      <c r="M50" s="84">
        <v>0</v>
      </c>
      <c r="N50" s="84">
        <v>1</v>
      </c>
      <c r="O50" s="84">
        <v>0</v>
      </c>
      <c r="P50" s="73">
        <v>1</v>
      </c>
      <c r="Q50" s="84">
        <v>0</v>
      </c>
      <c r="R50" s="74">
        <v>1</v>
      </c>
    </row>
    <row r="51" spans="6:18" s="84" customFormat="1" ht="15" customHeight="1" x14ac:dyDescent="0.15">
      <c r="F51" s="198" t="s">
        <v>236</v>
      </c>
      <c r="G51" s="84">
        <v>0</v>
      </c>
      <c r="H51" s="84">
        <v>0</v>
      </c>
      <c r="I51" s="84">
        <v>0</v>
      </c>
      <c r="J51" s="84">
        <v>0</v>
      </c>
      <c r="K51" s="84">
        <v>0</v>
      </c>
      <c r="L51" s="84">
        <v>1</v>
      </c>
      <c r="M51" s="84">
        <v>0</v>
      </c>
      <c r="N51" s="84">
        <v>0</v>
      </c>
      <c r="O51" s="84">
        <v>0</v>
      </c>
      <c r="P51" s="73">
        <v>0</v>
      </c>
      <c r="Q51" s="84">
        <v>0</v>
      </c>
      <c r="R51" s="74">
        <v>1</v>
      </c>
    </row>
    <row r="52" spans="6:18" s="84" customFormat="1" ht="15" customHeight="1" x14ac:dyDescent="0.15">
      <c r="F52" s="198" t="s">
        <v>237</v>
      </c>
      <c r="G52" s="84">
        <v>0</v>
      </c>
      <c r="H52" s="84">
        <v>0</v>
      </c>
      <c r="I52" s="84">
        <v>0</v>
      </c>
      <c r="J52" s="84">
        <v>0</v>
      </c>
      <c r="K52" s="84">
        <v>0</v>
      </c>
      <c r="L52" s="84">
        <v>1</v>
      </c>
      <c r="M52" s="84">
        <v>0</v>
      </c>
      <c r="N52" s="84">
        <v>0</v>
      </c>
      <c r="O52" s="84">
        <v>0</v>
      </c>
      <c r="P52" s="73">
        <v>0</v>
      </c>
      <c r="Q52" s="84">
        <v>0</v>
      </c>
      <c r="R52" s="74">
        <v>1</v>
      </c>
    </row>
    <row r="53" spans="6:18" s="8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C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7.5" bestFit="1" customWidth="1"/>
    <col min="2" max="2" width="2.33203125" style="112" customWidth="1"/>
    <col min="3" max="5" width="7.83203125" style="112" customWidth="1"/>
    <col min="6" max="8" width="8.83203125" style="6"/>
    <col min="9" max="9" width="13.33203125" style="6" customWidth="1"/>
    <col min="10" max="10" width="25.1640625" style="6" customWidth="1"/>
    <col min="11" max="11" width="6.83203125" style="6" customWidth="1"/>
    <col min="12" max="12" width="8.5" style="6" customWidth="1"/>
    <col min="13" max="13" width="22" style="6" customWidth="1"/>
    <col min="14" max="14" width="24" style="6" customWidth="1"/>
    <col min="15" max="15" width="22.5" style="6" customWidth="1"/>
    <col min="16" max="16" width="24.5" style="6" customWidth="1"/>
    <col min="17" max="18" width="10.5" style="6" customWidth="1"/>
    <col min="19" max="19" width="20.5" style="6" customWidth="1"/>
    <col min="20" max="20" width="6.1640625" style="6" customWidth="1"/>
    <col min="21" max="21" width="20.6640625" style="6" customWidth="1"/>
    <col min="22" max="22" width="23.83203125" style="6" customWidth="1"/>
    <col min="23" max="23" width="19.33203125" style="6" customWidth="1"/>
    <col min="24" max="24" width="11.1640625" style="6" customWidth="1"/>
    <col min="25" max="25" width="10.5" style="6" customWidth="1"/>
    <col min="26" max="26" width="8.83203125" style="6" customWidth="1"/>
    <col min="27" max="27" width="9.6640625" style="6" customWidth="1"/>
    <col min="28" max="28" width="20" style="6" customWidth="1"/>
    <col min="29" max="29" width="22.33203125" style="6" customWidth="1"/>
    <col min="30" max="30" width="25.5" style="6" customWidth="1"/>
    <col min="31" max="31" width="24.33203125" style="6" customWidth="1"/>
    <col min="32" max="32" width="7" style="6" customWidth="1"/>
    <col min="33" max="33" width="18.5" style="6" customWidth="1"/>
    <col min="34" max="34" width="24.5" style="6" customWidth="1"/>
    <col min="35" max="35" width="21.1640625" style="6" customWidth="1"/>
    <col min="36" max="36" width="27.5" style="6" customWidth="1"/>
    <col min="37" max="37" width="22.5" style="6" customWidth="1"/>
    <col min="38" max="38" width="14" style="6" customWidth="1"/>
    <col min="39" max="39" width="25.5" customWidth="1"/>
    <col min="40" max="40" width="23.1640625" customWidth="1"/>
    <col min="41" max="41" width="24.5" customWidth="1"/>
    <col min="42" max="44" width="25.5" customWidth="1"/>
    <col min="45" max="45" width="12.6640625" customWidth="1"/>
    <col min="46" max="46" width="12" customWidth="1"/>
    <col min="47" max="47" width="11.6640625" customWidth="1"/>
    <col min="48" max="48" width="8.1640625" customWidth="1"/>
    <col min="49" max="50" width="21.5" customWidth="1"/>
    <col min="51" max="51" width="16.5" customWidth="1"/>
    <col min="52" max="52" width="7.6640625" customWidth="1"/>
    <col min="53" max="53" width="21.6640625" customWidth="1"/>
    <col min="54" max="54" width="12.5" customWidth="1"/>
    <col min="55" max="55" width="12.6640625" customWidth="1"/>
    <col min="81" max="81" width="22.1640625" bestFit="1" customWidth="1"/>
  </cols>
  <sheetData>
    <row r="1" spans="1:55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3" t="s">
        <v>191</v>
      </c>
      <c r="J1" s="203" t="s">
        <v>192</v>
      </c>
      <c r="K1" s="203" t="s">
        <v>193</v>
      </c>
      <c r="L1" s="203" t="s">
        <v>194</v>
      </c>
      <c r="M1" s="203" t="s">
        <v>195</v>
      </c>
      <c r="N1" s="203" t="s">
        <v>196</v>
      </c>
      <c r="O1" s="203" t="s">
        <v>197</v>
      </c>
      <c r="P1" s="203" t="s">
        <v>198</v>
      </c>
      <c r="Q1" s="203" t="s">
        <v>199</v>
      </c>
      <c r="R1" s="203" t="s">
        <v>200</v>
      </c>
      <c r="S1" s="203" t="s">
        <v>201</v>
      </c>
      <c r="T1" s="203" t="s">
        <v>202</v>
      </c>
      <c r="U1" s="203" t="s">
        <v>203</v>
      </c>
      <c r="V1" s="203" t="s">
        <v>204</v>
      </c>
      <c r="W1" s="203" t="s">
        <v>205</v>
      </c>
      <c r="X1" s="203" t="s">
        <v>206</v>
      </c>
      <c r="Y1" s="203" t="s">
        <v>207</v>
      </c>
      <c r="Z1" s="203" t="s">
        <v>208</v>
      </c>
      <c r="AA1" s="203" t="s">
        <v>209</v>
      </c>
      <c r="AB1" s="203" t="s">
        <v>210</v>
      </c>
      <c r="AC1" s="203" t="s">
        <v>211</v>
      </c>
      <c r="AD1" s="203" t="s">
        <v>212</v>
      </c>
      <c r="AE1" s="203" t="s">
        <v>213</v>
      </c>
      <c r="AF1" s="203" t="s">
        <v>214</v>
      </c>
      <c r="AG1" s="203" t="s">
        <v>215</v>
      </c>
      <c r="AH1" s="203" t="s">
        <v>216</v>
      </c>
      <c r="AI1" s="203" t="s">
        <v>217</v>
      </c>
      <c r="AJ1" s="203" t="s">
        <v>218</v>
      </c>
      <c r="AK1" s="203" t="s">
        <v>219</v>
      </c>
      <c r="AL1" s="203" t="s">
        <v>220</v>
      </c>
      <c r="AM1" s="203" t="s">
        <v>221</v>
      </c>
      <c r="AN1" s="203" t="s">
        <v>222</v>
      </c>
      <c r="AO1" s="203" t="s">
        <v>223</v>
      </c>
      <c r="AP1" s="203" t="s">
        <v>224</v>
      </c>
      <c r="AQ1" s="203" t="s">
        <v>225</v>
      </c>
      <c r="AR1" s="203" t="s">
        <v>226</v>
      </c>
      <c r="AS1" s="203" t="s">
        <v>227</v>
      </c>
      <c r="AT1" s="203" t="s">
        <v>228</v>
      </c>
      <c r="AU1" s="203" t="s">
        <v>229</v>
      </c>
      <c r="AV1" s="203" t="s">
        <v>230</v>
      </c>
      <c r="AW1" s="203" t="s">
        <v>231</v>
      </c>
      <c r="AX1" s="203" t="s">
        <v>232</v>
      </c>
      <c r="AY1" s="203" t="s">
        <v>233</v>
      </c>
      <c r="AZ1" s="203" t="s">
        <v>234</v>
      </c>
      <c r="BA1" s="203" t="s">
        <v>235</v>
      </c>
      <c r="BB1" s="203" t="s">
        <v>236</v>
      </c>
      <c r="BC1" s="203" t="s">
        <v>237</v>
      </c>
    </row>
    <row r="2" spans="1:55" x14ac:dyDescent="0.15">
      <c r="A2" t="s">
        <v>38</v>
      </c>
      <c r="B2" s="11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5" x14ac:dyDescent="0.15">
      <c r="A3" t="s">
        <v>40</v>
      </c>
      <c r="B3" s="11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5" x14ac:dyDescent="0.15">
      <c r="A4" t="s">
        <v>41</v>
      </c>
      <c r="B4" s="11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5" x14ac:dyDescent="0.15">
      <c r="A5" s="202" t="s">
        <v>191</v>
      </c>
      <c r="B5" s="11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5" x14ac:dyDescent="0.15">
      <c r="A6" s="202" t="s">
        <v>192</v>
      </c>
      <c r="B6" s="11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5" x14ac:dyDescent="0.15">
      <c r="A7" s="202" t="s">
        <v>193</v>
      </c>
      <c r="B7" s="11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5" x14ac:dyDescent="0.15">
      <c r="A8" s="202" t="s">
        <v>194</v>
      </c>
      <c r="B8" s="11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5" x14ac:dyDescent="0.15">
      <c r="A9" s="202" t="s">
        <v>195</v>
      </c>
      <c r="B9" s="11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5" x14ac:dyDescent="0.15">
      <c r="A10" s="202" t="s">
        <v>196</v>
      </c>
      <c r="B10" s="11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5" x14ac:dyDescent="0.15">
      <c r="A11" s="202" t="s">
        <v>197</v>
      </c>
      <c r="B11" s="11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5" x14ac:dyDescent="0.15">
      <c r="A12" s="202" t="s">
        <v>198</v>
      </c>
      <c r="B12" s="11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5" x14ac:dyDescent="0.15">
      <c r="A13" s="202" t="s">
        <v>199</v>
      </c>
      <c r="B13" s="11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5" x14ac:dyDescent="0.15">
      <c r="A14" s="202" t="s">
        <v>200</v>
      </c>
      <c r="B14" s="11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5" x14ac:dyDescent="0.15">
      <c r="A15" s="202" t="s">
        <v>201</v>
      </c>
      <c r="B15" s="11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5" x14ac:dyDescent="0.15">
      <c r="A16" s="202" t="s">
        <v>202</v>
      </c>
      <c r="B16" s="11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2" t="s">
        <v>203</v>
      </c>
      <c r="B17" s="11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2" t="s">
        <v>204</v>
      </c>
      <c r="B18" s="11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2" t="s">
        <v>205</v>
      </c>
      <c r="B19" s="11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2" t="s">
        <v>206</v>
      </c>
      <c r="B20" s="11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2" t="s">
        <v>207</v>
      </c>
      <c r="B21" s="11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2" t="s">
        <v>208</v>
      </c>
      <c r="B22" s="11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2" t="s">
        <v>209</v>
      </c>
      <c r="B23" s="11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2" t="s">
        <v>210</v>
      </c>
      <c r="B24" s="11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2" t="s">
        <v>211</v>
      </c>
      <c r="B25" s="11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2" t="s">
        <v>212</v>
      </c>
      <c r="B26" s="11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2" t="s">
        <v>213</v>
      </c>
      <c r="B27" s="11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2" t="s">
        <v>214</v>
      </c>
      <c r="B28" s="11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2" t="s">
        <v>215</v>
      </c>
      <c r="B29" s="11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2" t="s">
        <v>216</v>
      </c>
      <c r="B30" s="11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2" t="s">
        <v>217</v>
      </c>
      <c r="B31" s="11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2" t="s">
        <v>218</v>
      </c>
      <c r="B32" s="11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2" t="s">
        <v>219</v>
      </c>
      <c r="B33" s="11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2" t="s">
        <v>220</v>
      </c>
      <c r="B34" s="112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2" t="s">
        <v>221</v>
      </c>
      <c r="B35" s="112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2" t="s">
        <v>222</v>
      </c>
      <c r="B36" s="112">
        <v>0</v>
      </c>
      <c r="C36"/>
      <c r="D36"/>
    </row>
    <row r="37" spans="1:38" ht="15" customHeight="1" x14ac:dyDescent="0.15">
      <c r="A37" s="202" t="s">
        <v>223</v>
      </c>
      <c r="B37" s="112">
        <v>0</v>
      </c>
      <c r="C37"/>
      <c r="D37"/>
    </row>
    <row r="38" spans="1:38" ht="15" customHeight="1" x14ac:dyDescent="0.15">
      <c r="A38" s="202" t="s">
        <v>224</v>
      </c>
      <c r="B38" s="112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2" t="s">
        <v>225</v>
      </c>
      <c r="B39" s="112">
        <v>0</v>
      </c>
      <c r="C39"/>
      <c r="D39"/>
    </row>
    <row r="40" spans="1:38" ht="15" customHeight="1" x14ac:dyDescent="0.15">
      <c r="A40" s="202" t="s">
        <v>226</v>
      </c>
      <c r="B40" s="112">
        <v>0</v>
      </c>
      <c r="C40"/>
      <c r="D40"/>
    </row>
    <row r="41" spans="1:38" ht="15" customHeight="1" x14ac:dyDescent="0.15">
      <c r="A41" s="202" t="s">
        <v>227</v>
      </c>
      <c r="B41" s="112">
        <v>0</v>
      </c>
      <c r="C41"/>
      <c r="D41"/>
    </row>
    <row r="42" spans="1:38" ht="15" customHeight="1" x14ac:dyDescent="0.15">
      <c r="A42" s="202" t="s">
        <v>228</v>
      </c>
      <c r="B42" s="112">
        <v>0</v>
      </c>
    </row>
    <row r="43" spans="1:38" ht="15" customHeight="1" x14ac:dyDescent="0.15">
      <c r="A43" s="202" t="s">
        <v>229</v>
      </c>
      <c r="B43" s="112">
        <v>0</v>
      </c>
    </row>
    <row r="44" spans="1:38" ht="15" customHeight="1" x14ac:dyDescent="0.15">
      <c r="A44" s="202" t="s">
        <v>230</v>
      </c>
      <c r="B44" s="112">
        <v>0</v>
      </c>
    </row>
    <row r="45" spans="1:38" ht="15" customHeight="1" x14ac:dyDescent="0.15">
      <c r="A45" s="202" t="s">
        <v>231</v>
      </c>
      <c r="B45" s="112">
        <v>0</v>
      </c>
    </row>
    <row r="46" spans="1:38" ht="15" customHeight="1" x14ac:dyDescent="0.15">
      <c r="A46" s="202" t="s">
        <v>232</v>
      </c>
      <c r="B46" s="112">
        <v>0</v>
      </c>
    </row>
    <row r="47" spans="1:38" ht="15" customHeight="1" x14ac:dyDescent="0.15">
      <c r="A47" s="202" t="s">
        <v>233</v>
      </c>
      <c r="B47" s="112">
        <v>0</v>
      </c>
    </row>
    <row r="48" spans="1:38" ht="15" customHeight="1" x14ac:dyDescent="0.15">
      <c r="A48" s="202" t="s">
        <v>234</v>
      </c>
      <c r="B48" s="112">
        <v>0</v>
      </c>
    </row>
    <row r="49" spans="1:38" ht="15" customHeight="1" x14ac:dyDescent="0.15">
      <c r="A49" s="202" t="s">
        <v>235</v>
      </c>
      <c r="B49" s="112">
        <v>0</v>
      </c>
    </row>
    <row r="50" spans="1:38" ht="15" customHeight="1" x14ac:dyDescent="0.15">
      <c r="A50" s="202" t="s">
        <v>236</v>
      </c>
      <c r="B50" s="112">
        <v>0</v>
      </c>
    </row>
    <row r="51" spans="1:38" ht="15" customHeight="1" x14ac:dyDescent="0.15">
      <c r="A51" s="202" t="s">
        <v>237</v>
      </c>
      <c r="B51" s="112">
        <v>0</v>
      </c>
    </row>
    <row r="52" spans="1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2022-10-24T04:21:00Z</dcterms:modified>
</cp:coreProperties>
</file>