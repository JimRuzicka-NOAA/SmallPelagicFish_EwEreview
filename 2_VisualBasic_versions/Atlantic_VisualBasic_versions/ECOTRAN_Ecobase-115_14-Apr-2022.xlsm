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DA223AD8-5010-384C-B16B-90382169191A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Diets!$B$2:$AF$35</definedName>
    <definedName name="matDiscards">Discards!$C$2:$L$34</definedName>
    <definedName name="matFishery">Fishing!$C$2:$L$34</definedName>
    <definedName name="matFishing">Fishing!#REF!</definedName>
    <definedName name="matMort">Mortalities!$A$1:$AT$34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<sst xmlns="http://schemas.openxmlformats.org/spreadsheetml/2006/main" count="1116" uniqueCount="249">
  <si>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</si>
  <si>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</si>
  <si>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</si>
  <si>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</si>
  <si>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</si>
  <si>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</si>
  <si>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</si>
  <si>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</si>
  <si>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</si>
  <si>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</si>
  <si>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</si>
  <si>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</si>
  <si>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</si>
  <si>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</si>
  <si>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</si>
  <si>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</si>
  <si>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</si>
  <si>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</si>
  <si>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</si>
  <si>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</si>
  <si>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</si>
  <si>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</si>
  <si>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</si>
  <si>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</si>
  <si>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</si>
  <si>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</si>
  <si>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</si>
  <si>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</si>
  <si>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</si>
  <si>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</si>
  <si>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</si>
  <si>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</si>
  <si>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</si>
  <si>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</si>
  <si>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</si>
  <si>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</si>
  <si>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</si>
  <si>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</si>
  <si>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</si>
  <si>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</si>
  <si>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</si>
  <si>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</si>
  <si>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</si>
  <si>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</si>
  <si>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</si>
  <si>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</si>
  <si>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</si>
  <si>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</si>
  <si>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</si>
  <si>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</si>
  <si>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</si>
  <si>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</si>
  <si>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</si>
  <si>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</si>
  <si>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</si>
  <si>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</si>
  <si>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</si>
  <si>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</si>
  <si>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</si>
  <si>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</si>
  <si>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</si>
  <si>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</si>
  <si>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</si>
  <si>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</si>
  <si>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</si>
  <si>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</si>
  <si>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</si>
  <si>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</si>
  <si>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</si>
  <si>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</si>
  <si>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</si>
  <si>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</si>
  <si>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</si>
  <si>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</si>
  <si>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</si>
  <si>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</si>
  <si>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</si>
  <si>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</si>
  <si>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</si>
  <si>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</si>
  <si>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</si>
  <si>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</si>
  <si>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</si>
  <si>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</si>
  <si>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</si>
  <si>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</si>
  <si>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</si>
  <si>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</si>
  <si>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</si>
  <si>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</si>
  <si>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</si>
  <si>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</si>
  <si>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</si>
  <si>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</si>
  <si>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</si>
  <si>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</si>
  <si>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</si>
  <si>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</si>
  <si>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</si>
  <si>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</si>
  <si>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</si>
  <si>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</si>
  <si>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</si>
  <si>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</si>
  <si>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</si>
  <si>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</si>
  <si>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</si>
  <si>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</si>
  <si>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</si>
  <si>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</si>
  <si>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</si>
  <si>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</si>
  <si>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</si>
  <si>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</si>
  <si>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</si>
  <si>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</si>
  <si>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</si>
  <si>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</si>
  <si>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</si>
  <si>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</si>
  <si>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</si>
  <si>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</si>
  <si>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</si>
  <si>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</si>
  <si>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</si>
  <si>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</si>
  <si>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</si>
  <si>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</si>
  <si>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</si>
  <si>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</si>
  <si>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</si>
  <si>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</si>
  <si>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</si>
  <si>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</si>
  <si>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</si>
  <si>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</si>
  <si>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</si>
  <si>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</si>
  <si>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</si>
  <si>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</si>
  <si>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</si>
  <si>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</si>
  <si>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</si>
  <si>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</si>
  <si>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</si>
  <si>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</si>
  <si>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</si>
  <si>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</si>
  <si>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</si>
  <si>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</si>
  <si>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</si>
  <si>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</si>
  <si>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</si>
  <si>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</si>
  <si>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</si>
  <si>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</si>
  <si>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</si>
  <si>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</si>
  <si>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</si>
  <si>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</si>
  <si>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</si>
  <si>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</si>
  <si>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</si>
  <si>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</si>
  <si>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</si>
  <si>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</si>
  <si>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</si>
  <si>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</si>
  <si>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</si>
  <si>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</si>
  <si>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</si>
  <si>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</si>
  <si>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</si>
  <si>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</si>
  <si>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</si>
  <si>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</si>
  <si>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</si>
  <si>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</si>
  <si>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</si>
  <si>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</si>
  <si>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</si>
  <si>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</si>
  <si>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</si>
  <si>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</si>
  <si>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</si>
  <si>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Benguela</t>
  </si>
  <si>
    <t>Namibia</t>
  </si>
  <si>
    <t>BOX(11 -29,17 -15.001)</t>
  </si>
  <si>
    <t>upwelling</t>
  </si>
  <si>
    <t>WetWeight</t>
  </si>
  <si>
    <t>; 03/07/2008 17:40:20; 27/02/2009 17:23:24; 27/02/2009 17:36:07</t>
  </si>
  <si>
    <t>Heymans S.J.J.,Sumaila R.U.(2007). Updated Ecosystem Model for the Northern Benguela Ecosystem, Namibia INCOFISH Ecosystem Models: Transiting from Ecopath to Ecospace. pp 25-70. In Le Quesne W.J.F.,Arreguı́n-Sánchez F.,Heymans S.J.J.,Le Quesne W.J.F.,Arreguı́n-Sánchez F.,Heymans S.J.J.</t>
  </si>
  <si>
    <t>Marine Mammals</t>
  </si>
  <si>
    <t>Seals</t>
  </si>
  <si>
    <t>Birds</t>
  </si>
  <si>
    <t>Sharks</t>
  </si>
  <si>
    <t>Tuna</t>
  </si>
  <si>
    <t>Snoek</t>
  </si>
  <si>
    <t>Other linefish</t>
  </si>
  <si>
    <t>Anchovy juvs</t>
  </si>
  <si>
    <t>Anchovy adults</t>
  </si>
  <si>
    <t>Sardine juvs</t>
  </si>
  <si>
    <t>Sardine adults</t>
  </si>
  <si>
    <t>Gobies juvs</t>
  </si>
  <si>
    <t>Gobies adults</t>
  </si>
  <si>
    <t>Other sm pelagics</t>
  </si>
  <si>
    <t>Mesopelagics</t>
  </si>
  <si>
    <t>Juv. h mackerel</t>
  </si>
  <si>
    <t>Adult h mackerel</t>
  </si>
  <si>
    <t>J hake</t>
  </si>
  <si>
    <t>A hake</t>
  </si>
  <si>
    <t>Monkfish</t>
  </si>
  <si>
    <t>Other demersals</t>
  </si>
  <si>
    <t>Cephalopods</t>
  </si>
  <si>
    <t>Macrobenthos</t>
  </si>
  <si>
    <t>Crabs</t>
  </si>
  <si>
    <t>Lobster</t>
  </si>
  <si>
    <t>Jellyfish juvs</t>
  </si>
  <si>
    <t>Jellyfish adults</t>
  </si>
  <si>
    <t>Macrozooplankton</t>
  </si>
  <si>
    <t>Mesozooplankton</t>
  </si>
  <si>
    <t>Benthic producers</t>
  </si>
  <si>
    <t>Phytoplankton</t>
  </si>
  <si>
    <t>Detritus</t>
  </si>
  <si>
    <t>detritus_TerminalBenthic</t>
  </si>
  <si>
    <t>Purse seine</t>
  </si>
  <si>
    <t>Midwater trawler</t>
  </si>
  <si>
    <t>Demersal</t>
  </si>
  <si>
    <t>Longlines</t>
  </si>
  <si>
    <t>Crab traps</t>
  </si>
  <si>
    <t>Commercial linefishery</t>
  </si>
  <si>
    <t>Recreational linefishery</t>
  </si>
  <si>
    <t>Seal fishery</t>
  </si>
  <si>
    <t>Other</t>
  </si>
  <si>
    <t>Import</t>
  </si>
  <si>
    <t>export</t>
  </si>
  <si>
    <t>sum</t>
  </si>
  <si>
    <t>TOTAL</t>
  </si>
  <si>
    <t>F Purse seine</t>
  </si>
  <si>
    <t>F Midwater trawler</t>
  </si>
  <si>
    <t>F Demersal</t>
  </si>
  <si>
    <t>F Longlines</t>
  </si>
  <si>
    <t>F Crab traps</t>
  </si>
  <si>
    <t>F Lobster</t>
  </si>
  <si>
    <t>F Commercial linefishery</t>
  </si>
  <si>
    <t>F Recreational linefishery</t>
  </si>
  <si>
    <t>F Seal fishery</t>
  </si>
  <si>
    <t>F Other</t>
  </si>
  <si>
    <t>&lt;&lt;--ba was 0.03333333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</si>
</sst>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43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8" fillId="145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56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4" t="s">
        <v>171</v>
      </c>
      <c r="C53" s="107">
        <v>115</v>
      </c>
      <c r="D53" s="107"/>
    </row>
    <row r="54" spans="2:4" x14ac:dyDescent="0.15">
      <c r="B54" s="174" t="s">
        <v>172</v>
      </c>
      <c r="C54" s="174" t="s">
        <v>185</v>
      </c>
      <c r="D54" s="107"/>
    </row>
    <row r="55" spans="2:4" x14ac:dyDescent="0.15">
      <c r="B55" s="174" t="s">
        <v>173</v>
      </c>
      <c r="C55" s="174" t="s">
        <v>186</v>
      </c>
      <c r="D55" s="107"/>
    </row>
    <row r="56" spans="2:4" x14ac:dyDescent="0.15">
      <c r="B56" s="174" t="s">
        <v>174</v>
      </c>
      <c r="C56" s="107">
        <v>179000</v>
      </c>
      <c r="D56" s="107"/>
    </row>
    <row r="57" spans="2:4" x14ac:dyDescent="0.15">
      <c r="B57" s="174" t="s">
        <v>175</v>
      </c>
      <c r="C57" s="174" t="s">
        <v>187</v>
      </c>
      <c r="D57" s="107"/>
    </row>
    <row r="58" spans="2:4" x14ac:dyDescent="0.15">
      <c r="B58" s="174" t="s">
        <v>176</v>
      </c>
      <c r="C58" s="174" t="s">
        <v>188</v>
      </c>
      <c r="D58" s="107"/>
    </row>
    <row r="59" spans="2:4" x14ac:dyDescent="0.15">
      <c r="B59" s="174" t="s">
        <v>177</v>
      </c>
      <c r="C59" s="174" t="s">
        <v>189</v>
      </c>
      <c r="D59" s="107"/>
    </row>
    <row r="60" spans="2:4" x14ac:dyDescent="0.15">
      <c r="B60" s="174" t="s">
        <v>178</v>
      </c>
      <c r="C60" s="174" t="s">
        <v>190</v>
      </c>
      <c r="D60" s="107"/>
    </row>
    <row r="61" spans="2:4" x14ac:dyDescent="0.15">
      <c r="B61" s="174" t="s">
        <v>179</v>
      </c>
      <c r="C61" s="107">
        <v>32</v>
      </c>
      <c r="D61" s="107"/>
    </row>
    <row r="62" spans="2:4" x14ac:dyDescent="0.15">
      <c r="B62" s="174" t="s">
        <v>180</v>
      </c>
      <c r="C62" s="107">
        <v>10</v>
      </c>
      <c r="D62" s="107"/>
    </row>
    <row r="63" spans="2:4" x14ac:dyDescent="0.15">
      <c r="B63" s="174" t="s">
        <v>181</v>
      </c>
      <c r="C63" s="107">
        <v>1956</v>
      </c>
      <c r="D63" s="107"/>
    </row>
    <row r="64" spans="2:4" x14ac:dyDescent="0.15">
      <c r="B64" s="174" t="s">
        <v>182</v>
      </c>
      <c r="C64" s="107">
        <v>1</v>
      </c>
      <c r="D64" s="107"/>
    </row>
    <row r="65" spans="2:4" x14ac:dyDescent="0.15">
      <c r="B65" s="174" t="s">
        <v>183</v>
      </c>
      <c r="C65" s="174" t="s">
        <v>191</v>
      </c>
      <c r="D65" s="107"/>
    </row>
    <row r="66" spans="2:4" x14ac:dyDescent="0.15">
      <c r="B66" s="174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O6" sqref="O6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13.83203125" style="81" bestFit="1" customWidth="1"/>
    <col min="8" max="9" width="10.83203125" style="81" customWidth="1"/>
    <col min="10" max="10" width="12.83203125" style="81" customWidth="1"/>
    <col min="11" max="11" width="13.83203125" style="81" customWidth="1"/>
    <col min="12" max="12" width="10.8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5" t="s">
        <v>192</v>
      </c>
      <c r="F2" s="81">
        <v>0</v>
      </c>
      <c r="G2" s="81">
        <v>2.726257E-2</v>
      </c>
      <c r="H2" s="81">
        <v>1</v>
      </c>
      <c r="I2" s="6">
        <v>12.658227</v>
      </c>
      <c r="J2" s="6">
        <v>3.0108738699999998E-2</v>
      </c>
      <c r="K2" s="6">
        <v>7.9000000000000001E-2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31</v>
      </c>
      <c r="C3" s="81">
        <v>2</v>
      </c>
      <c r="D3"/>
      <c r="E3" s="175" t="s">
        <v>193</v>
      </c>
      <c r="F3" s="81">
        <v>0</v>
      </c>
      <c r="G3" s="81">
        <v>0.15</v>
      </c>
      <c r="H3" s="81">
        <v>0.08</v>
      </c>
      <c r="I3" s="81">
        <v>19.444444699999998</v>
      </c>
      <c r="J3" s="81">
        <v>0.88986639999999995</v>
      </c>
      <c r="K3" s="81">
        <v>4.1142855799999999E-3</v>
      </c>
      <c r="L3" s="267">
        <v>0</v>
      </c>
      <c r="M3" s="81">
        <v>0.2</v>
      </c>
      <c r="N3" s="81">
        <v>0</v>
      </c>
      <c r="P3" s="60" t="s">
        <v>248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5" t="s">
        <v>194</v>
      </c>
      <c r="F4" s="81">
        <v>0</v>
      </c>
      <c r="G4" s="81">
        <v>1.6878959999999998E-2</v>
      </c>
      <c r="H4" s="81">
        <v>0.16</v>
      </c>
      <c r="I4" s="81">
        <v>120.3</v>
      </c>
      <c r="J4" s="81">
        <v>0.83816325700000005</v>
      </c>
      <c r="K4" s="81">
        <v>1.33000826E-3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10</v>
      </c>
      <c r="C5" s="81">
        <v>4</v>
      </c>
      <c r="D5"/>
      <c r="E5" s="175" t="s">
        <v>195</v>
      </c>
      <c r="F5" s="81">
        <v>0</v>
      </c>
      <c r="G5" s="81">
        <v>0.411219746</v>
      </c>
      <c r="H5" s="81">
        <v>0.5</v>
      </c>
      <c r="I5" s="81">
        <v>2</v>
      </c>
      <c r="J5" s="81">
        <v>0.57660409999999995</v>
      </c>
      <c r="K5" s="81">
        <v>0.25</v>
      </c>
      <c r="L5" s="81">
        <v>0</v>
      </c>
      <c r="M5" s="81">
        <v>0.2</v>
      </c>
      <c r="N5" s="81">
        <v>0</v>
      </c>
      <c r="P5" s="70"/>
      <c r="Q5" s="70"/>
      <c r="R5" s="70"/>
    </row>
    <row r="6" spans="1:46" ht="15" customHeight="1" thickBot="1" x14ac:dyDescent="0.2">
      <c r="B6" s="1"/>
      <c r="C6" s="81">
        <v>5</v>
      </c>
      <c r="D6"/>
      <c r="E6" s="175" t="s">
        <v>196</v>
      </c>
      <c r="F6" s="81">
        <v>0</v>
      </c>
      <c r="G6" s="81">
        <v>1</v>
      </c>
      <c r="H6" s="81">
        <v>0.25</v>
      </c>
      <c r="I6" s="81">
        <v>5</v>
      </c>
      <c r="J6" s="81">
        <v>2.3846493999999999E-2</v>
      </c>
      <c r="K6" s="81">
        <v>0.05</v>
      </c>
      <c r="L6" s="81">
        <v>0</v>
      </c>
      <c r="M6" s="81">
        <v>0.2</v>
      </c>
      <c r="N6" s="81">
        <v>0</v>
      </c>
      <c r="P6" s="70"/>
      <c r="Q6" s="70"/>
      <c r="R6" s="70"/>
      <c r="W6" s="35" t="s">
        <v>31</v>
      </c>
      <c r="X6" s="51">
        <f>MAX(MainOutputs!G:G)</f>
        <v>0.94999998807907104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238</v>
      </c>
      <c r="C7" s="81">
        <v>6</v>
      </c>
      <c r="D7"/>
      <c r="E7" s="175" t="s">
        <v>197</v>
      </c>
      <c r="F7" s="81">
        <v>0</v>
      </c>
      <c r="G7" s="81">
        <v>0.66420400000000002</v>
      </c>
      <c r="H7" s="81">
        <v>0.25</v>
      </c>
      <c r="I7" s="81">
        <v>2.5</v>
      </c>
      <c r="J7" s="81">
        <v>0.95</v>
      </c>
      <c r="K7" s="81">
        <v>0.1</v>
      </c>
      <c r="L7" s="81">
        <v>0</v>
      </c>
      <c r="M7" s="81">
        <v>0.2</v>
      </c>
      <c r="N7" s="81">
        <v>0</v>
      </c>
      <c r="P7" s="70"/>
      <c r="Q7" s="70"/>
      <c r="R7" s="70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76</v>
      </c>
      <c r="C8" s="81">
        <v>7</v>
      </c>
      <c r="D8"/>
      <c r="E8" s="175" t="s">
        <v>198</v>
      </c>
      <c r="F8" s="81">
        <v>0</v>
      </c>
      <c r="G8" s="81">
        <v>0.121354222</v>
      </c>
      <c r="H8" s="81">
        <v>0.2</v>
      </c>
      <c r="I8" s="81">
        <v>2</v>
      </c>
      <c r="J8" s="81">
        <v>0.58474839999999995</v>
      </c>
      <c r="K8" s="81">
        <v>0.1</v>
      </c>
      <c r="L8" s="81">
        <v>0</v>
      </c>
      <c r="M8" s="81">
        <v>0.2</v>
      </c>
      <c r="N8" s="81">
        <v>0</v>
      </c>
      <c r="P8" s="70"/>
      <c r="Q8" s="70"/>
      <c r="R8" s="70"/>
    </row>
    <row r="9" spans="1:46" ht="15" customHeight="1" x14ac:dyDescent="0.15">
      <c r="B9" s="1"/>
      <c r="C9" s="81">
        <v>8</v>
      </c>
      <c r="D9"/>
      <c r="E9" s="175" t="s">
        <v>199</v>
      </c>
      <c r="F9" s="81">
        <v>0</v>
      </c>
      <c r="G9" s="81">
        <v>4.8929974399999996E-3</v>
      </c>
      <c r="H9" s="81">
        <v>10</v>
      </c>
      <c r="I9" s="81">
        <v>103.90454099999999</v>
      </c>
      <c r="J9" s="81">
        <v>0.70284179999999996</v>
      </c>
      <c r="K9" s="81">
        <v>9.6242179999999997E-2</v>
      </c>
      <c r="L9" s="81">
        <v>0</v>
      </c>
      <c r="M9" s="81">
        <v>0.2</v>
      </c>
      <c r="N9" s="81">
        <v>0</v>
      </c>
      <c r="P9" s="70"/>
      <c r="Q9" s="70"/>
      <c r="R9" s="70"/>
    </row>
    <row r="10" spans="1:46" ht="15" customHeight="1" x14ac:dyDescent="0.15">
      <c r="B10" s="1"/>
      <c r="C10" s="81">
        <v>9</v>
      </c>
      <c r="D10"/>
      <c r="E10" s="175" t="s">
        <v>200</v>
      </c>
      <c r="F10" s="81">
        <v>0</v>
      </c>
      <c r="G10" s="81">
        <v>5.7</v>
      </c>
      <c r="H10" s="81">
        <v>0.85</v>
      </c>
      <c r="I10" s="81">
        <v>11.6</v>
      </c>
      <c r="J10" s="81">
        <v>0.78516330000000001</v>
      </c>
      <c r="K10" s="81">
        <v>7.3275864100000004E-2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5" t="s">
        <v>201</v>
      </c>
      <c r="F11" s="81">
        <v>0</v>
      </c>
      <c r="G11" s="81">
        <v>2.3125568400000001E-2</v>
      </c>
      <c r="H11" s="81">
        <v>10</v>
      </c>
      <c r="I11" s="81">
        <v>48.448560000000001</v>
      </c>
      <c r="J11" s="81">
        <v>0.37867897700000003</v>
      </c>
      <c r="K11" s="81">
        <v>0.20640449199999999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5" t="s">
        <v>202</v>
      </c>
      <c r="F12" s="81">
        <v>0</v>
      </c>
      <c r="G12" s="81">
        <v>26</v>
      </c>
      <c r="H12" s="81">
        <v>0.53</v>
      </c>
      <c r="I12" s="81">
        <v>5</v>
      </c>
      <c r="J12" s="81">
        <v>0.39805600000000002</v>
      </c>
      <c r="K12" s="81">
        <v>0.105999991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5" t="s">
        <v>203</v>
      </c>
      <c r="F13" s="81">
        <v>0</v>
      </c>
      <c r="G13" s="81">
        <v>4.44851676E-3</v>
      </c>
      <c r="H13" s="81">
        <v>7</v>
      </c>
      <c r="I13" s="81">
        <v>144.17802399999999</v>
      </c>
      <c r="J13" s="81">
        <v>0.62991010000000003</v>
      </c>
      <c r="K13" s="81">
        <v>4.8551089999999998E-2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5" t="s">
        <v>204</v>
      </c>
      <c r="F14" s="81">
        <v>0</v>
      </c>
      <c r="G14" s="81">
        <v>6.3</v>
      </c>
      <c r="H14" s="81">
        <v>1.1000000000000001</v>
      </c>
      <c r="I14" s="81">
        <v>15</v>
      </c>
      <c r="J14" s="81">
        <v>0.87710969999999999</v>
      </c>
      <c r="K14" s="81">
        <v>7.3333339999999997E-2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5" t="s">
        <v>205</v>
      </c>
      <c r="F15" s="81">
        <v>0</v>
      </c>
      <c r="G15" s="81">
        <v>9.2052669999999992</v>
      </c>
      <c r="H15" s="81">
        <v>0.75</v>
      </c>
      <c r="I15" s="81">
        <v>7.5</v>
      </c>
      <c r="J15" s="81">
        <v>0.95</v>
      </c>
      <c r="K15" s="81">
        <v>0.1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5" t="s">
        <v>206</v>
      </c>
      <c r="F16" s="81">
        <v>0</v>
      </c>
      <c r="G16" s="81">
        <v>7.2686142900000004</v>
      </c>
      <c r="H16" s="81">
        <v>1.23</v>
      </c>
      <c r="I16" s="81">
        <v>12.3</v>
      </c>
      <c r="J16" s="81">
        <v>0.5</v>
      </c>
      <c r="K16" s="81">
        <v>0.1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5" t="s">
        <v>207</v>
      </c>
      <c r="F17" s="81">
        <v>0</v>
      </c>
      <c r="G17" s="81">
        <v>0.84687659999999998</v>
      </c>
      <c r="H17" s="81">
        <v>1.7</v>
      </c>
      <c r="I17" s="81">
        <v>15.316269999999999</v>
      </c>
      <c r="J17" s="81">
        <v>0.90486514600000001</v>
      </c>
      <c r="K17" s="81">
        <v>0.110993087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5" t="s">
        <v>208</v>
      </c>
      <c r="F18" s="81">
        <v>0</v>
      </c>
      <c r="G18" s="81">
        <v>7</v>
      </c>
      <c r="H18" s="81">
        <v>0.4</v>
      </c>
      <c r="I18" s="81">
        <v>5.2</v>
      </c>
      <c r="J18" s="81">
        <v>0.38938576000000003</v>
      </c>
      <c r="K18" s="81">
        <v>7.6923080000000005E-2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5" t="s">
        <v>209</v>
      </c>
      <c r="F19" s="81">
        <v>0</v>
      </c>
      <c r="G19" s="81">
        <v>0.48160424800000001</v>
      </c>
      <c r="H19" s="81">
        <v>1.05</v>
      </c>
      <c r="I19" s="81">
        <v>11.2734509</v>
      </c>
      <c r="J19" s="81">
        <v>0.89084509999999995</v>
      </c>
      <c r="K19" s="81">
        <v>9.3139180000000002E-2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5" t="s">
        <v>210</v>
      </c>
      <c r="F20" s="81">
        <v>0</v>
      </c>
      <c r="G20" s="81">
        <v>24</v>
      </c>
      <c r="H20" s="81">
        <v>0.4</v>
      </c>
      <c r="I20" s="81">
        <v>2.4</v>
      </c>
      <c r="J20" s="81">
        <v>0.40732026100000002</v>
      </c>
      <c r="K20" s="81">
        <v>0.166666657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6" t="s">
        <v>137</v>
      </c>
      <c r="B21" s="99"/>
      <c r="C21" s="81">
        <v>20</v>
      </c>
      <c r="D21"/>
      <c r="E21" s="175" t="s">
        <v>211</v>
      </c>
      <c r="F21" s="81">
        <v>0</v>
      </c>
      <c r="G21" s="81">
        <v>0.6</v>
      </c>
      <c r="H21" s="81">
        <v>0.24</v>
      </c>
      <c r="I21" s="81">
        <v>2.3999998599999999</v>
      </c>
      <c r="J21" s="81">
        <v>0.80201909999999998</v>
      </c>
      <c r="K21" s="81">
        <v>0.1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5" t="s">
        <v>212</v>
      </c>
      <c r="F22" s="81">
        <v>0</v>
      </c>
      <c r="G22" s="81">
        <v>1.159686</v>
      </c>
      <c r="H22" s="81">
        <v>1</v>
      </c>
      <c r="I22" s="81">
        <v>10</v>
      </c>
      <c r="J22" s="81">
        <v>0.95</v>
      </c>
      <c r="K22" s="81">
        <v>0.1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5" t="s">
        <v>213</v>
      </c>
      <c r="F23" s="81">
        <v>0</v>
      </c>
      <c r="G23" s="81">
        <v>1.0223937000000001</v>
      </c>
      <c r="H23" s="81">
        <v>1.5</v>
      </c>
      <c r="I23" s="81">
        <v>15</v>
      </c>
      <c r="J23" s="81">
        <v>0.95</v>
      </c>
      <c r="K23" s="81">
        <v>0.1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5" t="s">
        <v>214</v>
      </c>
      <c r="F24" s="81">
        <v>0</v>
      </c>
      <c r="G24" s="81">
        <v>7.9162460000000001</v>
      </c>
      <c r="H24" s="81">
        <v>1.2</v>
      </c>
      <c r="I24" s="81">
        <v>10.000000999999999</v>
      </c>
      <c r="J24" s="81">
        <v>0.95</v>
      </c>
      <c r="K24" s="81">
        <v>0.12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5" t="s">
        <v>215</v>
      </c>
      <c r="F25" s="81">
        <v>0</v>
      </c>
      <c r="G25" s="81">
        <v>0.22984828099999999</v>
      </c>
      <c r="H25" s="81">
        <v>1.2</v>
      </c>
      <c r="I25" s="81">
        <v>8.6</v>
      </c>
      <c r="J25" s="81">
        <v>0.95</v>
      </c>
      <c r="K25" s="81">
        <v>0.139534876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5" t="s">
        <v>216</v>
      </c>
      <c r="F26" s="81">
        <v>0</v>
      </c>
      <c r="G26" s="81">
        <v>0.23616436099999999</v>
      </c>
      <c r="H26" s="81">
        <v>1.2</v>
      </c>
      <c r="I26" s="81">
        <v>4</v>
      </c>
      <c r="J26" s="81">
        <v>0.95</v>
      </c>
      <c r="K26" s="81">
        <v>0.3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5" t="s">
        <v>217</v>
      </c>
      <c r="F27" s="81">
        <v>0</v>
      </c>
      <c r="G27" s="81">
        <v>1.6438723499999999E-3</v>
      </c>
      <c r="H27" s="81">
        <v>5</v>
      </c>
      <c r="I27" s="81">
        <v>11.159945499999999</v>
      </c>
      <c r="J27" s="81">
        <v>0.35359406500000001</v>
      </c>
      <c r="K27" s="81">
        <v>0.448030859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5" t="s">
        <v>218</v>
      </c>
      <c r="F28" s="81">
        <v>0</v>
      </c>
      <c r="G28" s="81">
        <v>13.2</v>
      </c>
      <c r="H28" s="81">
        <v>0.371</v>
      </c>
      <c r="I28" s="81">
        <v>0.90400000000000003</v>
      </c>
      <c r="J28" s="81">
        <v>0.82530809999999999</v>
      </c>
      <c r="K28" s="81">
        <v>0.41039821500000001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5" t="s">
        <v>219</v>
      </c>
      <c r="F29" s="81">
        <v>0</v>
      </c>
      <c r="G29" s="81">
        <v>15.3634539</v>
      </c>
      <c r="H29" s="81">
        <v>13</v>
      </c>
      <c r="I29" s="81">
        <v>32.5</v>
      </c>
      <c r="J29" s="81">
        <v>0.95</v>
      </c>
      <c r="K29" s="81">
        <v>0.4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5" t="s">
        <v>220</v>
      </c>
      <c r="F30" s="81">
        <v>0</v>
      </c>
      <c r="G30" s="81">
        <v>26</v>
      </c>
      <c r="H30" s="81">
        <v>40</v>
      </c>
      <c r="I30" s="81">
        <v>133.33332799999999</v>
      </c>
      <c r="J30" s="81">
        <v>0.3567263</v>
      </c>
      <c r="K30" s="81">
        <v>0.3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75" t="s">
        <v>221</v>
      </c>
      <c r="F31" s="81">
        <v>1</v>
      </c>
      <c r="G31" s="81">
        <v>0.59150029999999998</v>
      </c>
      <c r="H31" s="81">
        <v>15</v>
      </c>
      <c r="I31" s="81">
        <v>0</v>
      </c>
      <c r="J31" s="81">
        <v>0.5</v>
      </c>
      <c r="K31" s="81">
        <v>0</v>
      </c>
      <c r="L31" s="81">
        <v>0</v>
      </c>
      <c r="M31" s="81">
        <v>0</v>
      </c>
      <c r="N31" s="81">
        <v>0</v>
      </c>
    </row>
    <row r="32" spans="1:22" customFormat="1" ht="15" customHeight="1" x14ac:dyDescent="0.15">
      <c r="C32" s="81">
        <v>31</v>
      </c>
      <c r="E32" s="175" t="s">
        <v>222</v>
      </c>
      <c r="F32" s="81">
        <v>1</v>
      </c>
      <c r="G32" s="81">
        <v>433.44</v>
      </c>
      <c r="H32" s="81">
        <v>49.869186399999997</v>
      </c>
      <c r="I32" s="81">
        <v>0</v>
      </c>
      <c r="J32" s="81">
        <v>0.102735095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5" t="s">
        <v>223</v>
      </c>
      <c r="F33" s="81">
        <v>2</v>
      </c>
      <c r="G33" s="81">
        <v>1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5" t="s">
        <v>224</v>
      </c>
      <c r="F34" s="81">
        <v>2</v>
      </c>
      <c r="G34" s="81">
        <v>5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5" t="s">
        <v>225</v>
      </c>
      <c r="F35" s="81">
        <v>3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>
      <c r="C36" s="81">
        <v>35</v>
      </c>
      <c r="E36" s="175" t="s">
        <v>226</v>
      </c>
      <c r="F36" s="81">
        <v>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</row>
    <row r="37" spans="3:14" customFormat="1" ht="15" customHeight="1" x14ac:dyDescent="0.15">
      <c r="C37" s="81">
        <v>36</v>
      </c>
      <c r="E37" s="175" t="s">
        <v>227</v>
      </c>
      <c r="F37" s="81">
        <v>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</row>
    <row r="38" spans="3:14" customFormat="1" ht="15" customHeight="1" x14ac:dyDescent="0.15">
      <c r="C38" s="81">
        <v>37</v>
      </c>
      <c r="E38" s="175" t="s">
        <v>228</v>
      </c>
      <c r="F38" s="81">
        <v>3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>
      <c r="C39" s="81">
        <v>38</v>
      </c>
      <c r="E39" s="175" t="s">
        <v>229</v>
      </c>
      <c r="F39" s="81">
        <v>3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0</v>
      </c>
      <c r="M39" s="81">
        <v>0</v>
      </c>
      <c r="N39" s="81">
        <v>0</v>
      </c>
    </row>
    <row r="40" spans="3:14" customFormat="1" ht="15" customHeight="1" x14ac:dyDescent="0.15">
      <c r="C40" s="81">
        <v>39</v>
      </c>
      <c r="E40" s="175" t="s">
        <v>216</v>
      </c>
      <c r="F40" s="81">
        <v>3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0</v>
      </c>
      <c r="M40" s="81">
        <v>0</v>
      </c>
      <c r="N40" s="81">
        <v>0</v>
      </c>
    </row>
    <row r="41" spans="3:14" customFormat="1" ht="15" customHeight="1" x14ac:dyDescent="0.15">
      <c r="C41" s="81">
        <v>40</v>
      </c>
      <c r="E41" s="175" t="s">
        <v>230</v>
      </c>
      <c r="F41" s="81">
        <v>3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0</v>
      </c>
      <c r="M41" s="81">
        <v>0</v>
      </c>
      <c r="N41" s="81">
        <v>0</v>
      </c>
    </row>
    <row r="42" spans="3:14" customFormat="1" ht="15" customHeight="1" x14ac:dyDescent="0.15">
      <c r="C42" s="81">
        <v>41</v>
      </c>
      <c r="E42" s="175" t="s">
        <v>231</v>
      </c>
      <c r="F42" s="81">
        <v>3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0</v>
      </c>
      <c r="M42" s="81">
        <v>0</v>
      </c>
      <c r="N42" s="81">
        <v>0</v>
      </c>
    </row>
    <row r="43" spans="3:14" customFormat="1" ht="15" customHeight="1" x14ac:dyDescent="0.15">
      <c r="C43" s="81">
        <v>42</v>
      </c>
      <c r="E43" s="175" t="s">
        <v>232</v>
      </c>
      <c r="F43" s="81">
        <v>3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0</v>
      </c>
      <c r="M43" s="81">
        <v>0</v>
      </c>
      <c r="N43" s="81">
        <v>0</v>
      </c>
    </row>
    <row r="44" spans="3:14" customFormat="1" ht="15" customHeight="1" x14ac:dyDescent="0.15">
      <c r="C44" s="81">
        <v>43</v>
      </c>
      <c r="E44" s="175" t="s">
        <v>233</v>
      </c>
      <c r="F44" s="81">
        <v>3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0</v>
      </c>
      <c r="M44" s="81">
        <v>0</v>
      </c>
      <c r="N44" s="81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1" bestFit="1" customWidth="1"/>
    <col min="2" max="2" width="5.83203125" style="141" bestFit="1" customWidth="1"/>
    <col min="3" max="3" width="15.5" style="141" bestFit="1" customWidth="1"/>
    <col min="4" max="4" width="14.83203125" style="141" bestFit="1" customWidth="1"/>
    <col min="5" max="5" width="15.83203125" style="141" bestFit="1" customWidth="1"/>
    <col min="6" max="6" width="13.83203125" style="141" bestFit="1" customWidth="1"/>
    <col min="7" max="8" width="14.83203125" style="141" bestFit="1" customWidth="1"/>
    <col min="9" max="9" width="2.33203125" style="141" bestFit="1" customWidth="1"/>
    <col min="10" max="10" width="15.83203125" style="141" bestFit="1" customWidth="1"/>
    <col min="11" max="11" width="2.33203125" style="141" bestFit="1" customWidth="1"/>
    <col min="12" max="12" width="15.5" style="141" bestFit="1" customWidth="1"/>
    <col min="13" max="13" width="2.33203125" style="141" bestFit="1" customWidth="1"/>
    <col min="14" max="14" width="15.5" style="141" bestFit="1" customWidth="1"/>
    <col min="15" max="15" width="14.83203125" style="141" bestFit="1" customWidth="1"/>
    <col min="16" max="16" width="3.83203125" style="141" bestFit="1" customWidth="1"/>
    <col min="17" max="17" width="2.33203125" style="141" bestFit="1" customWidth="1"/>
    <col min="18" max="18" width="5.83203125" style="141" bestFit="1" customWidth="1"/>
    <col min="19" max="19" width="13.83203125" style="141" bestFit="1" customWidth="1"/>
    <col min="20" max="20" width="15.83203125" style="141" bestFit="1" customWidth="1"/>
    <col min="21" max="21" width="5.83203125" style="141" bestFit="1" customWidth="1"/>
    <col min="22" max="22" width="15.83203125" style="141" bestFit="1" customWidth="1"/>
    <col min="23" max="25" width="5.83203125" style="141" bestFit="1" customWidth="1"/>
    <col min="26" max="26" width="3.83203125" style="141" bestFit="1" customWidth="1"/>
    <col min="27" max="27" width="2.33203125" style="141" bestFit="1" customWidth="1"/>
    <col min="28" max="28" width="14.83203125" style="141" bestFit="1" customWidth="1"/>
    <col min="29" max="29" width="3.83203125" style="141" bestFit="1" customWidth="1"/>
    <col min="30" max="30" width="3.83203125" style="141" customWidth="1"/>
    <col min="31" max="34" width="2.33203125" style="141" customWidth="1"/>
    <col min="35" max="16384" width="8.83203125" style="141"/>
  </cols>
  <sheetData>
    <row r="1" spans="1:34" x14ac:dyDescent="0.15">
      <c r="A1" s="140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</row>
    <row r="2" spans="1:34" customFormat="1" x14ac:dyDescent="0.15">
      <c r="A2" s="176" t="s">
        <v>192</v>
      </c>
      <c r="B2" s="141">
        <v>0</v>
      </c>
      <c r="C2" s="141">
        <v>0</v>
      </c>
      <c r="D2" s="141">
        <v>0</v>
      </c>
      <c r="E2" s="141">
        <v>9.9805708811313994E-4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</row>
    <row r="3" spans="1:34" customFormat="1" x14ac:dyDescent="0.15">
      <c r="A3" s="176" t="s">
        <v>193</v>
      </c>
      <c r="B3" s="141">
        <v>0</v>
      </c>
      <c r="C3" s="141">
        <v>0</v>
      </c>
      <c r="D3" s="141">
        <v>9.9999001699983035E-6</v>
      </c>
      <c r="E3" s="141">
        <v>9.9805708811313994E-4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</row>
    <row r="4" spans="1:34" customFormat="1" x14ac:dyDescent="0.15">
      <c r="A4" s="176" t="s">
        <v>194</v>
      </c>
      <c r="B4" s="141">
        <v>0</v>
      </c>
      <c r="C4" s="141">
        <v>7.9903891228578266E-5</v>
      </c>
      <c r="D4" s="141">
        <v>9.9999001699983044E-4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</row>
    <row r="5" spans="1:34" customFormat="1" x14ac:dyDescent="0.15">
      <c r="A5" s="176" t="s">
        <v>195</v>
      </c>
      <c r="B5" s="141">
        <v>0</v>
      </c>
      <c r="C5" s="141">
        <v>0</v>
      </c>
      <c r="D5" s="141">
        <v>0</v>
      </c>
      <c r="E5" s="141">
        <v>0.14386407828657882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</row>
    <row r="6" spans="1:34" customFormat="1" x14ac:dyDescent="0.15">
      <c r="A6" s="176" t="s">
        <v>196</v>
      </c>
      <c r="B6" s="141">
        <v>0</v>
      </c>
      <c r="C6" s="141">
        <v>0</v>
      </c>
      <c r="D6" s="141">
        <v>0</v>
      </c>
      <c r="E6" s="141">
        <v>9.9805708811313994E-4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</row>
    <row r="7" spans="1:34" customFormat="1" x14ac:dyDescent="0.15">
      <c r="A7" s="176" t="s">
        <v>197</v>
      </c>
      <c r="B7" s="141">
        <v>0</v>
      </c>
      <c r="C7" s="141">
        <v>2.6001267499787688E-2</v>
      </c>
      <c r="D7" s="141">
        <v>2.9999700509994909E-3</v>
      </c>
      <c r="E7" s="141">
        <v>1.9981122762024826E-3</v>
      </c>
      <c r="F7" s="141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9.9958699904039642E-4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</row>
    <row r="8" spans="1:34" customFormat="1" x14ac:dyDescent="0.15">
      <c r="A8" s="176" t="s">
        <v>198</v>
      </c>
      <c r="B8" s="141">
        <v>0</v>
      </c>
      <c r="C8" s="141">
        <v>9.9904865836107249E-5</v>
      </c>
      <c r="D8" s="141">
        <v>0</v>
      </c>
      <c r="E8" s="141">
        <v>1.9981122762024826E-3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9.995869990403964E-5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</row>
    <row r="9" spans="1:34" customFormat="1" x14ac:dyDescent="0.15">
      <c r="A9" s="176" t="s">
        <v>199</v>
      </c>
      <c r="B9" s="141">
        <v>0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0</v>
      </c>
      <c r="I9" s="141">
        <v>0</v>
      </c>
      <c r="J9" s="141">
        <v>0</v>
      </c>
      <c r="K9" s="141">
        <v>0</v>
      </c>
      <c r="L9" s="141">
        <v>9.9979000809829904E-5</v>
      </c>
      <c r="M9" s="141">
        <v>0</v>
      </c>
      <c r="N9" s="141">
        <v>9.9979000109976914E-5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1.0010010987987986E-3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</row>
    <row r="10" spans="1:34" customFormat="1" x14ac:dyDescent="0.15">
      <c r="A10" s="176" t="s">
        <v>200</v>
      </c>
      <c r="B10" s="141">
        <v>1.4E-2</v>
      </c>
      <c r="C10" s="141">
        <v>0.50000924668799229</v>
      </c>
      <c r="D10" s="141">
        <v>0.25299746230095688</v>
      </c>
      <c r="E10" s="141">
        <v>9.2812318894605284E-2</v>
      </c>
      <c r="F10" s="141">
        <v>9.0633179398341923E-2</v>
      </c>
      <c r="G10" s="141">
        <v>4.9989853792859369E-2</v>
      </c>
      <c r="H10" s="141">
        <v>0.56167402334317251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5.0000509946999455E-3</v>
      </c>
      <c r="P10" s="141">
        <v>0</v>
      </c>
      <c r="Q10" s="141">
        <v>0</v>
      </c>
      <c r="R10" s="141">
        <v>0</v>
      </c>
      <c r="S10" s="141">
        <v>1.8019786134237596E-2</v>
      </c>
      <c r="T10" s="141">
        <v>9.9958689904039635E-3</v>
      </c>
      <c r="U10" s="141">
        <v>3.9E-2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</row>
    <row r="11" spans="1:34" customFormat="1" x14ac:dyDescent="0.15">
      <c r="A11" s="176" t="s">
        <v>201</v>
      </c>
      <c r="B11" s="141">
        <v>0</v>
      </c>
      <c r="C11" s="141">
        <v>0</v>
      </c>
      <c r="D11" s="141">
        <v>0</v>
      </c>
      <c r="E11" s="141">
        <v>0</v>
      </c>
      <c r="F11" s="141">
        <v>0</v>
      </c>
      <c r="G11" s="141">
        <v>0</v>
      </c>
      <c r="H11" s="141">
        <v>0</v>
      </c>
      <c r="I11" s="141">
        <v>0</v>
      </c>
      <c r="J11" s="141">
        <v>1.0008908351335679E-3</v>
      </c>
      <c r="K11" s="141">
        <v>0</v>
      </c>
      <c r="L11" s="141">
        <v>0</v>
      </c>
      <c r="M11" s="141">
        <v>0</v>
      </c>
      <c r="N11" s="141">
        <v>9.9979000109976914E-5</v>
      </c>
      <c r="O11" s="141">
        <v>0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1.0010010987987986E-3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</row>
    <row r="12" spans="1:34" customFormat="1" x14ac:dyDescent="0.15">
      <c r="A12" s="176" t="s">
        <v>202</v>
      </c>
      <c r="B12" s="141">
        <v>1.4E-2</v>
      </c>
      <c r="C12" s="141">
        <v>0.1010049295530215</v>
      </c>
      <c r="D12" s="141">
        <v>1.0999890186998134E-2</v>
      </c>
      <c r="E12" s="141">
        <v>1.19886732572149E-2</v>
      </c>
      <c r="F12" s="141">
        <v>9.0633179398341923E-2</v>
      </c>
      <c r="G12" s="141">
        <v>0.1750485024261722</v>
      </c>
      <c r="H12" s="141">
        <v>6.6079295146255516E-3</v>
      </c>
      <c r="I12" s="141">
        <v>0</v>
      </c>
      <c r="J12" s="141">
        <v>0</v>
      </c>
      <c r="K12" s="141">
        <v>0</v>
      </c>
      <c r="L12" s="141">
        <v>0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1.8019786134237596E-2</v>
      </c>
      <c r="T12" s="141">
        <v>4.4938319956859207E-2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</row>
    <row r="13" spans="1:34" customFormat="1" x14ac:dyDescent="0.15">
      <c r="A13" s="176" t="s">
        <v>203</v>
      </c>
      <c r="B13" s="141">
        <v>0</v>
      </c>
      <c r="C13" s="141">
        <v>0</v>
      </c>
      <c r="D13" s="141">
        <v>0</v>
      </c>
      <c r="E13" s="141">
        <v>0</v>
      </c>
      <c r="F13" s="141">
        <v>0</v>
      </c>
      <c r="G13" s="141">
        <v>0</v>
      </c>
      <c r="H13" s="141">
        <v>0</v>
      </c>
      <c r="I13" s="141">
        <v>0</v>
      </c>
      <c r="J13" s="141">
        <v>1.0008907451335702E-4</v>
      </c>
      <c r="K13" s="141">
        <v>0</v>
      </c>
      <c r="L13" s="141">
        <v>9.9979000809829904E-5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</row>
    <row r="14" spans="1:34" customFormat="1" x14ac:dyDescent="0.15">
      <c r="A14" s="176" t="s">
        <v>204</v>
      </c>
      <c r="B14" s="141">
        <v>6.9000000000000006E-2</v>
      </c>
      <c r="C14" s="141">
        <v>5.890287090567288E-2</v>
      </c>
      <c r="D14" s="141">
        <v>0.42899570729292702</v>
      </c>
      <c r="E14" s="141">
        <v>0</v>
      </c>
      <c r="F14" s="141">
        <v>1.2136964019554317E-2</v>
      </c>
      <c r="G14" s="141">
        <v>5.0113886394578455E-3</v>
      </c>
      <c r="H14" s="141">
        <v>0</v>
      </c>
      <c r="I14" s="141">
        <v>0</v>
      </c>
      <c r="J14" s="141">
        <v>0</v>
      </c>
      <c r="K14" s="141">
        <v>0</v>
      </c>
      <c r="L14" s="141">
        <v>0</v>
      </c>
      <c r="M14" s="141">
        <v>0</v>
      </c>
      <c r="N14" s="141">
        <v>0</v>
      </c>
      <c r="O14" s="141">
        <v>0</v>
      </c>
      <c r="P14" s="141">
        <v>0</v>
      </c>
      <c r="Q14" s="141">
        <v>0</v>
      </c>
      <c r="R14" s="141">
        <v>8.9999999999999993E-3</v>
      </c>
      <c r="S14" s="141">
        <v>1.8019786134237596E-2</v>
      </c>
      <c r="T14" s="141">
        <v>4.4938319956859207E-2</v>
      </c>
      <c r="U14" s="141">
        <v>0.10199999999999999</v>
      </c>
      <c r="V14" s="141">
        <v>2.0807178899748917E-2</v>
      </c>
      <c r="W14" s="141">
        <v>0.1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</row>
    <row r="15" spans="1:34" customFormat="1" x14ac:dyDescent="0.15">
      <c r="A15" s="176" t="s">
        <v>205</v>
      </c>
      <c r="B15" s="141">
        <v>0.11700000000000001</v>
      </c>
      <c r="C15" s="141">
        <v>0.10600195962985433</v>
      </c>
      <c r="D15" s="141">
        <v>3.6999630628993724E-2</v>
      </c>
      <c r="E15" s="141">
        <v>0.10989617469113655</v>
      </c>
      <c r="F15" s="141">
        <v>9.6938093356895197E-2</v>
      </c>
      <c r="G15" s="141">
        <v>0.14497056800929203</v>
      </c>
      <c r="H15" s="141">
        <v>1.2114537403480176E-2</v>
      </c>
      <c r="I15" s="141">
        <v>0</v>
      </c>
      <c r="J15" s="141">
        <v>0</v>
      </c>
      <c r="K15" s="141">
        <v>0</v>
      </c>
      <c r="L15" s="141">
        <v>0</v>
      </c>
      <c r="M15" s="141">
        <v>0</v>
      </c>
      <c r="N15" s="141">
        <v>0</v>
      </c>
      <c r="O15" s="141">
        <v>3.0000307568199668E-3</v>
      </c>
      <c r="P15" s="141">
        <v>0</v>
      </c>
      <c r="Q15" s="141">
        <v>0</v>
      </c>
      <c r="R15" s="141">
        <v>0</v>
      </c>
      <c r="S15" s="141">
        <v>0</v>
      </c>
      <c r="T15" s="141">
        <v>4.4981416256817834E-2</v>
      </c>
      <c r="U15" s="141">
        <v>0.19700000000000001</v>
      </c>
      <c r="V15" s="141">
        <v>5.3518463413777244E-2</v>
      </c>
      <c r="W15" s="141">
        <v>0.1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</row>
    <row r="16" spans="1:34" customFormat="1" x14ac:dyDescent="0.15">
      <c r="A16" s="176" t="s">
        <v>206</v>
      </c>
      <c r="B16" s="141">
        <v>0.193</v>
      </c>
      <c r="C16" s="141">
        <v>7.0001297776318954E-3</v>
      </c>
      <c r="D16" s="141">
        <v>5.2999470900991011E-2</v>
      </c>
      <c r="E16" s="141">
        <v>0</v>
      </c>
      <c r="F16" s="141">
        <v>4.2400566618393351E-2</v>
      </c>
      <c r="G16" s="141">
        <v>4.9989853792859369E-2</v>
      </c>
      <c r="H16" s="141">
        <v>0</v>
      </c>
      <c r="I16" s="141">
        <v>0</v>
      </c>
      <c r="J16" s="141">
        <v>0</v>
      </c>
      <c r="K16" s="141">
        <v>0</v>
      </c>
      <c r="L16" s="141">
        <v>0</v>
      </c>
      <c r="M16" s="141">
        <v>0</v>
      </c>
      <c r="N16" s="141">
        <v>0</v>
      </c>
      <c r="O16" s="141">
        <v>9.9901019894104923E-3</v>
      </c>
      <c r="P16" s="141">
        <v>0</v>
      </c>
      <c r="Q16" s="141">
        <v>0</v>
      </c>
      <c r="R16" s="141">
        <v>0.02</v>
      </c>
      <c r="S16" s="141">
        <v>1.0000980019001862E-2</v>
      </c>
      <c r="T16" s="141">
        <v>9.9958689904039635E-3</v>
      </c>
      <c r="U16" s="141">
        <v>0.129</v>
      </c>
      <c r="V16" s="141">
        <v>1.7806142770938969E-2</v>
      </c>
      <c r="W16" s="141">
        <v>0.1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</row>
    <row r="17" spans="1:34" customFormat="1" x14ac:dyDescent="0.15">
      <c r="A17" s="176" t="s">
        <v>207</v>
      </c>
      <c r="B17" s="141">
        <v>0</v>
      </c>
      <c r="C17" s="141">
        <v>9.9904866536107251E-2</v>
      </c>
      <c r="D17" s="141">
        <v>4.9999500849991522E-3</v>
      </c>
      <c r="E17" s="141">
        <v>0</v>
      </c>
      <c r="F17" s="141">
        <v>0</v>
      </c>
      <c r="G17" s="141">
        <v>9.9979701385718642E-3</v>
      </c>
      <c r="H17" s="141">
        <v>3.6343611510440493E-2</v>
      </c>
      <c r="I17" s="141">
        <v>0</v>
      </c>
      <c r="J17" s="141">
        <v>0</v>
      </c>
      <c r="K17" s="141">
        <v>0</v>
      </c>
      <c r="L17" s="141">
        <v>0</v>
      </c>
      <c r="M17" s="141">
        <v>0</v>
      </c>
      <c r="N17" s="141">
        <v>0</v>
      </c>
      <c r="O17" s="141">
        <v>0</v>
      </c>
      <c r="P17" s="141">
        <v>0</v>
      </c>
      <c r="Q17" s="141">
        <v>0</v>
      </c>
      <c r="R17" s="141">
        <v>0</v>
      </c>
      <c r="S17" s="141">
        <v>0</v>
      </c>
      <c r="T17" s="141">
        <v>9.9958689904039635E-3</v>
      </c>
      <c r="U17" s="141">
        <v>6.6000000000000003E-2</v>
      </c>
      <c r="V17" s="141">
        <v>0</v>
      </c>
      <c r="W17" s="141">
        <v>0.01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</row>
    <row r="18" spans="1:34" customFormat="1" x14ac:dyDescent="0.15">
      <c r="A18" s="176" t="s">
        <v>208</v>
      </c>
      <c r="B18" s="141">
        <v>0</v>
      </c>
      <c r="C18" s="141">
        <v>3.6001753653552161E-2</v>
      </c>
      <c r="D18" s="141">
        <v>0</v>
      </c>
      <c r="E18" s="141">
        <v>1.19886732572149E-2</v>
      </c>
      <c r="F18" s="141">
        <v>4.9973951704430364E-2</v>
      </c>
      <c r="G18" s="141">
        <v>4.3991070609716229E-2</v>
      </c>
      <c r="H18" s="141">
        <v>0</v>
      </c>
      <c r="I18" s="141">
        <v>0</v>
      </c>
      <c r="J18" s="141">
        <v>0</v>
      </c>
      <c r="K18" s="141">
        <v>0</v>
      </c>
      <c r="L18" s="141">
        <v>0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</v>
      </c>
      <c r="S18" s="141">
        <v>0</v>
      </c>
      <c r="T18" s="141">
        <v>9.9958689904039635E-3</v>
      </c>
      <c r="U18" s="141">
        <v>0.05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</row>
    <row r="19" spans="1:34" customFormat="1" x14ac:dyDescent="0.15">
      <c r="A19" s="176" t="s">
        <v>209</v>
      </c>
      <c r="B19" s="141">
        <v>0.1</v>
      </c>
      <c r="C19" s="141">
        <v>9.9904861536107177E-3</v>
      </c>
      <c r="D19" s="141">
        <v>9.9999001699983044E-3</v>
      </c>
      <c r="E19" s="141">
        <v>0</v>
      </c>
      <c r="F19" s="141">
        <v>6.0606004298911342E-3</v>
      </c>
      <c r="G19" s="141">
        <v>3.0008317415915276E-3</v>
      </c>
      <c r="H19" s="141">
        <v>5.506608228854639E-2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4.9931462852065792E-3</v>
      </c>
      <c r="U19" s="141">
        <v>1E-3</v>
      </c>
      <c r="V19" s="141">
        <v>9.9134200951688325E-4</v>
      </c>
      <c r="W19" s="141">
        <v>1E-3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</row>
    <row r="20" spans="1:34" customFormat="1" x14ac:dyDescent="0.15">
      <c r="A20" s="176" t="s">
        <v>210</v>
      </c>
      <c r="B20" s="141">
        <v>0.17499999999999999</v>
      </c>
      <c r="C20" s="141">
        <v>2.5001218884411241E-2</v>
      </c>
      <c r="D20" s="141">
        <v>0</v>
      </c>
      <c r="E20" s="141">
        <v>3.9962245624049651E-3</v>
      </c>
      <c r="F20" s="141">
        <v>2.4273928139094424E-2</v>
      </c>
      <c r="G20" s="141">
        <v>9.8979906571861481E-2</v>
      </c>
      <c r="H20" s="141">
        <v>0</v>
      </c>
      <c r="I20" s="141">
        <v>0</v>
      </c>
      <c r="J20" s="141">
        <v>0</v>
      </c>
      <c r="K20" s="141">
        <v>0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0</v>
      </c>
      <c r="S20" s="141">
        <v>0</v>
      </c>
      <c r="T20" s="141">
        <v>4.9931462852065796E-2</v>
      </c>
      <c r="U20" s="141">
        <v>0.26</v>
      </c>
      <c r="V20" s="141">
        <v>8.9230780856615483E-3</v>
      </c>
      <c r="W20" s="141">
        <v>0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</row>
    <row r="21" spans="1:34" customFormat="1" x14ac:dyDescent="0.15">
      <c r="A21" s="176" t="s">
        <v>211</v>
      </c>
      <c r="B21" s="141">
        <v>0</v>
      </c>
      <c r="C21" s="141">
        <v>0</v>
      </c>
      <c r="D21" s="141">
        <v>0</v>
      </c>
      <c r="E21" s="141">
        <v>4.998262940470688E-2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4.9979349952019821E-4</v>
      </c>
      <c r="U21" s="141">
        <v>0.01</v>
      </c>
      <c r="V21" s="141">
        <v>9.4232510904632095E-4</v>
      </c>
      <c r="W21" s="141">
        <v>0</v>
      </c>
      <c r="X21" s="141">
        <v>0</v>
      </c>
      <c r="Y21" s="141">
        <v>0.01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</row>
    <row r="22" spans="1:34" customFormat="1" x14ac:dyDescent="0.15">
      <c r="A22" s="176" t="s">
        <v>212</v>
      </c>
      <c r="B22" s="141">
        <v>0</v>
      </c>
      <c r="C22" s="141">
        <v>0</v>
      </c>
      <c r="D22" s="141">
        <v>0.10799892383598171</v>
      </c>
      <c r="E22" s="141">
        <v>0.36487319565436022</v>
      </c>
      <c r="F22" s="141">
        <v>0</v>
      </c>
      <c r="G22" s="141">
        <v>9.9979701385718642E-3</v>
      </c>
      <c r="H22" s="141">
        <v>4.074889959352427E-2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41">
        <v>4.9979346752019819E-3</v>
      </c>
      <c r="U22" s="141">
        <v>0.05</v>
      </c>
      <c r="V22" s="141">
        <v>8.9230780856615483E-3</v>
      </c>
      <c r="W22" s="141">
        <v>0</v>
      </c>
      <c r="X22" s="141">
        <v>0</v>
      </c>
      <c r="Y22" s="141">
        <v>0.01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</row>
    <row r="23" spans="1:34" customFormat="1" x14ac:dyDescent="0.15">
      <c r="A23" s="176" t="s">
        <v>213</v>
      </c>
      <c r="B23" s="141">
        <v>0.318</v>
      </c>
      <c r="C23" s="141">
        <v>3.0001461961293479E-2</v>
      </c>
      <c r="D23" s="141">
        <v>4.3999560747992536E-2</v>
      </c>
      <c r="E23" s="141">
        <v>9.9805704011314056E-2</v>
      </c>
      <c r="F23" s="141">
        <v>9.0633179398341923E-2</v>
      </c>
      <c r="G23" s="141">
        <v>7.011942667185524E-3</v>
      </c>
      <c r="H23" s="141">
        <v>3.3039645773127679E-2</v>
      </c>
      <c r="I23" s="141">
        <v>0</v>
      </c>
      <c r="J23" s="141">
        <v>0</v>
      </c>
      <c r="K23" s="141">
        <v>0</v>
      </c>
      <c r="L23" s="141">
        <v>0</v>
      </c>
      <c r="M23" s="141">
        <v>0</v>
      </c>
      <c r="N23" s="141">
        <v>0</v>
      </c>
      <c r="O23" s="141">
        <v>0</v>
      </c>
      <c r="P23" s="141">
        <v>0</v>
      </c>
      <c r="Q23" s="141">
        <v>0</v>
      </c>
      <c r="R23" s="141">
        <v>1E-3</v>
      </c>
      <c r="S23" s="141">
        <v>1.401538872662924E-2</v>
      </c>
      <c r="T23" s="141">
        <v>4.9931462852065792E-3</v>
      </c>
      <c r="U23" s="141">
        <v>3.4000000000000002E-2</v>
      </c>
      <c r="V23" s="141">
        <v>9.4232510904632095E-4</v>
      </c>
      <c r="W23" s="141">
        <v>0.01</v>
      </c>
      <c r="X23" s="141">
        <v>0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</row>
    <row r="24" spans="1:34" customFormat="1" x14ac:dyDescent="0.15">
      <c r="A24" s="176" t="s">
        <v>214</v>
      </c>
      <c r="B24" s="141">
        <v>0</v>
      </c>
      <c r="C24" s="141">
        <v>0</v>
      </c>
      <c r="D24" s="141">
        <v>0</v>
      </c>
      <c r="E24" s="141">
        <v>5.3849122758656942E-2</v>
      </c>
      <c r="F24" s="141">
        <v>0</v>
      </c>
      <c r="G24" s="141">
        <v>8.9981736047146849E-2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1.4000143885159846E-2</v>
      </c>
      <c r="P24" s="141">
        <v>0</v>
      </c>
      <c r="Q24" s="141">
        <v>0</v>
      </c>
      <c r="R24" s="141">
        <v>0</v>
      </c>
      <c r="S24" s="141">
        <v>1.8019786134237596E-2</v>
      </c>
      <c r="T24" s="141">
        <v>4.4938319956859207E-2</v>
      </c>
      <c r="U24" s="141">
        <v>6.2E-2</v>
      </c>
      <c r="V24" s="141">
        <v>0</v>
      </c>
      <c r="W24" s="141">
        <v>0</v>
      </c>
      <c r="X24" s="141">
        <v>0.05</v>
      </c>
      <c r="Y24" s="141">
        <v>0.33300000000000002</v>
      </c>
      <c r="Z24" s="141">
        <v>0.5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</row>
    <row r="25" spans="1:34" customFormat="1" x14ac:dyDescent="0.15">
      <c r="A25" s="176" t="s">
        <v>215</v>
      </c>
      <c r="B25" s="141">
        <v>0</v>
      </c>
      <c r="C25" s="141">
        <v>0</v>
      </c>
      <c r="D25" s="141">
        <v>0</v>
      </c>
      <c r="E25" s="141">
        <v>4.9952809405062033E-2</v>
      </c>
      <c r="F25" s="141">
        <v>0</v>
      </c>
      <c r="G25" s="141">
        <v>9.9979701385718642E-3</v>
      </c>
      <c r="H25" s="141">
        <v>0</v>
      </c>
      <c r="I25" s="141">
        <v>0</v>
      </c>
      <c r="J25" s="141">
        <v>0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41">
        <v>0</v>
      </c>
      <c r="Q25" s="141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8.9230780856615483E-3</v>
      </c>
      <c r="W25" s="141">
        <v>0</v>
      </c>
      <c r="X25" s="141">
        <v>1E-3</v>
      </c>
      <c r="Y25" s="141">
        <v>0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</row>
    <row r="26" spans="1:34" customFormat="1" x14ac:dyDescent="0.15">
      <c r="A26" s="176" t="s">
        <v>216</v>
      </c>
      <c r="B26" s="141">
        <v>0</v>
      </c>
      <c r="C26" s="141">
        <v>0</v>
      </c>
      <c r="D26" s="141">
        <v>0</v>
      </c>
      <c r="E26" s="141">
        <v>0</v>
      </c>
      <c r="F26" s="141">
        <v>0</v>
      </c>
      <c r="G26" s="141">
        <v>2.600720746045989E-2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8.9230780856615483E-3</v>
      </c>
      <c r="W26" s="141">
        <v>0</v>
      </c>
      <c r="X26" s="141">
        <v>1E-3</v>
      </c>
      <c r="Y26" s="141">
        <v>0</v>
      </c>
      <c r="Z26" s="141">
        <v>0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</row>
    <row r="27" spans="1:34" customFormat="1" x14ac:dyDescent="0.15">
      <c r="A27" s="176" t="s">
        <v>217</v>
      </c>
      <c r="B27" s="141">
        <v>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1.0008907051335712E-5</v>
      </c>
      <c r="K27" s="141">
        <v>0</v>
      </c>
      <c r="L27" s="141">
        <v>9.9979000809829901E-6</v>
      </c>
      <c r="M27" s="141">
        <v>0</v>
      </c>
      <c r="N27" s="141">
        <v>9.9979000109976907E-6</v>
      </c>
      <c r="O27" s="141">
        <v>0</v>
      </c>
      <c r="P27" s="141">
        <v>0</v>
      </c>
      <c r="Q27" s="141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141">
        <v>0</v>
      </c>
      <c r="X27" s="141">
        <v>0</v>
      </c>
      <c r="Y27" s="141">
        <v>0</v>
      </c>
      <c r="Z27" s="141">
        <v>0</v>
      </c>
      <c r="AA27" s="141">
        <v>0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</row>
    <row r="28" spans="1:34" customFormat="1" x14ac:dyDescent="0.15">
      <c r="A28" s="176" t="s">
        <v>218</v>
      </c>
      <c r="B28" s="141">
        <v>0</v>
      </c>
      <c r="C28" s="141">
        <v>0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2.1000003377739995E-2</v>
      </c>
      <c r="P28" s="141">
        <v>0</v>
      </c>
      <c r="Q28" s="141">
        <v>0</v>
      </c>
      <c r="R28" s="141">
        <v>0</v>
      </c>
      <c r="S28" s="141">
        <v>0</v>
      </c>
      <c r="T28" s="141">
        <v>4.4981416256817834E-2</v>
      </c>
      <c r="U28" s="141">
        <v>0</v>
      </c>
      <c r="V28" s="141">
        <v>0</v>
      </c>
      <c r="W28" s="141">
        <v>0</v>
      </c>
      <c r="X28" s="141">
        <v>0</v>
      </c>
      <c r="Y28" s="141">
        <v>0</v>
      </c>
      <c r="Z28" s="141">
        <v>0</v>
      </c>
      <c r="AA28" s="141">
        <v>0</v>
      </c>
      <c r="AB28" s="141">
        <v>0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</row>
    <row r="29" spans="1:34" customFormat="1" x14ac:dyDescent="0.15">
      <c r="A29" s="176" t="s">
        <v>219</v>
      </c>
      <c r="B29" s="141">
        <v>0</v>
      </c>
      <c r="C29" s="141">
        <v>0</v>
      </c>
      <c r="D29" s="141">
        <v>4.299957383099276E-2</v>
      </c>
      <c r="E29" s="141">
        <v>0</v>
      </c>
      <c r="F29" s="141">
        <v>0.12136964419497477</v>
      </c>
      <c r="G29" s="141">
        <v>0.16504575528753412</v>
      </c>
      <c r="H29" s="141">
        <v>0.2544052705730831</v>
      </c>
      <c r="I29" s="141">
        <v>0</v>
      </c>
      <c r="J29" s="141">
        <v>0.32028504404274233</v>
      </c>
      <c r="K29" s="141">
        <v>0</v>
      </c>
      <c r="L29" s="141">
        <v>0.17996221945769397</v>
      </c>
      <c r="M29" s="141">
        <v>0</v>
      </c>
      <c r="N29" s="141">
        <v>5.998740006598615E-2</v>
      </c>
      <c r="O29" s="141">
        <v>0.35000356962899615</v>
      </c>
      <c r="P29" s="141">
        <v>0.6</v>
      </c>
      <c r="Q29" s="141">
        <v>0</v>
      </c>
      <c r="R29" s="141">
        <v>0.79</v>
      </c>
      <c r="S29" s="141">
        <v>0.81589585655020214</v>
      </c>
      <c r="T29" s="141">
        <v>0.31087154170156328</v>
      </c>
      <c r="U29" s="141">
        <v>0</v>
      </c>
      <c r="V29" s="141">
        <v>0.30410490291940706</v>
      </c>
      <c r="W29" s="141">
        <v>0.39400000000000002</v>
      </c>
      <c r="X29" s="141">
        <v>0</v>
      </c>
      <c r="Y29" s="141">
        <v>0</v>
      </c>
      <c r="Z29" s="141">
        <v>0</v>
      </c>
      <c r="AA29" s="141">
        <v>0</v>
      </c>
      <c r="AB29" s="141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</row>
    <row r="30" spans="1:34" customFormat="1" x14ac:dyDescent="0.15">
      <c r="A30" s="176" t="s">
        <v>220</v>
      </c>
      <c r="B30" s="141">
        <v>0</v>
      </c>
      <c r="C30" s="141">
        <v>0</v>
      </c>
      <c r="D30" s="141">
        <v>2.9999700509994909E-3</v>
      </c>
      <c r="E30" s="141">
        <v>0</v>
      </c>
      <c r="F30" s="141">
        <v>0</v>
      </c>
      <c r="G30" s="141">
        <v>0.11097747253814774</v>
      </c>
      <c r="H30" s="141">
        <v>0</v>
      </c>
      <c r="I30" s="141">
        <v>0</v>
      </c>
      <c r="J30" s="141">
        <v>0.3102761432914064</v>
      </c>
      <c r="K30" s="141">
        <v>0</v>
      </c>
      <c r="L30" s="141">
        <v>0.17996221945769397</v>
      </c>
      <c r="M30" s="141">
        <v>0</v>
      </c>
      <c r="N30" s="141">
        <v>9.9979010109976924E-3</v>
      </c>
      <c r="O30" s="141">
        <v>0.59700609936717342</v>
      </c>
      <c r="P30" s="141">
        <v>0.4</v>
      </c>
      <c r="Q30" s="141">
        <v>1</v>
      </c>
      <c r="R30" s="141">
        <v>0.18</v>
      </c>
      <c r="S30" s="141">
        <v>8.8008630167216412E-2</v>
      </c>
      <c r="T30" s="141">
        <v>0.35785216065646192</v>
      </c>
      <c r="U30" s="141">
        <v>0</v>
      </c>
      <c r="V30" s="141">
        <v>0.11003796105636442</v>
      </c>
      <c r="W30" s="141">
        <v>0.28499999999999998</v>
      </c>
      <c r="X30" s="141">
        <v>0</v>
      </c>
      <c r="Y30" s="141">
        <v>0</v>
      </c>
      <c r="Z30" s="141">
        <v>0</v>
      </c>
      <c r="AA30" s="141">
        <v>0</v>
      </c>
      <c r="AB30" s="141">
        <v>0.25025024969969967</v>
      </c>
      <c r="AC30" s="141">
        <v>0.4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</row>
    <row r="31" spans="1:34" customFormat="1" x14ac:dyDescent="0.15">
      <c r="A31" s="176" t="s">
        <v>221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0</v>
      </c>
      <c r="O31" s="141">
        <v>0</v>
      </c>
      <c r="P31" s="141">
        <v>0</v>
      </c>
      <c r="Q31" s="141">
        <v>0</v>
      </c>
      <c r="R31" s="141">
        <v>0</v>
      </c>
      <c r="S31" s="141">
        <v>0</v>
      </c>
      <c r="T31" s="141">
        <v>0</v>
      </c>
      <c r="U31" s="141">
        <v>0</v>
      </c>
      <c r="V31" s="141">
        <v>0</v>
      </c>
      <c r="W31" s="141">
        <v>0</v>
      </c>
      <c r="X31" s="141">
        <v>0.05</v>
      </c>
      <c r="Y31" s="141">
        <v>0</v>
      </c>
      <c r="Z31" s="141">
        <v>0.5</v>
      </c>
      <c r="AA31" s="141">
        <v>0</v>
      </c>
      <c r="AB31" s="141">
        <v>0</v>
      </c>
      <c r="AC31" s="141">
        <v>0</v>
      </c>
      <c r="AD31" s="141">
        <v>0</v>
      </c>
      <c r="AE31" s="141">
        <v>0</v>
      </c>
      <c r="AF31" s="141">
        <v>0</v>
      </c>
      <c r="AG31" s="141">
        <v>0</v>
      </c>
      <c r="AH31" s="141">
        <v>0</v>
      </c>
    </row>
    <row r="32" spans="1:34" customFormat="1" x14ac:dyDescent="0.15">
      <c r="A32" s="176" t="s">
        <v>222</v>
      </c>
      <c r="B32" s="141">
        <v>0</v>
      </c>
      <c r="C32" s="141">
        <v>0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1</v>
      </c>
      <c r="J32" s="141">
        <v>0.33029397479407741</v>
      </c>
      <c r="K32" s="141">
        <v>1</v>
      </c>
      <c r="L32" s="141">
        <v>0.55988240453504745</v>
      </c>
      <c r="M32" s="141">
        <v>1</v>
      </c>
      <c r="N32" s="141">
        <v>0.92980474302278526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1</v>
      </c>
      <c r="AB32" s="141">
        <v>0.24724724870330328</v>
      </c>
      <c r="AC32" s="141">
        <v>0.6</v>
      </c>
      <c r="AD32" s="141">
        <v>0.5</v>
      </c>
      <c r="AE32" s="141">
        <v>0</v>
      </c>
      <c r="AF32" s="141">
        <v>0</v>
      </c>
      <c r="AG32" s="141">
        <v>0</v>
      </c>
      <c r="AH32" s="141">
        <v>0</v>
      </c>
    </row>
    <row r="33" spans="1:34" customFormat="1" x14ac:dyDescent="0.15">
      <c r="A33" s="176" t="s">
        <v>223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3.8033849055075647E-2</v>
      </c>
      <c r="K33" s="141">
        <v>0</v>
      </c>
      <c r="L33" s="141">
        <v>7.9983200647863933E-2</v>
      </c>
      <c r="M33" s="141">
        <v>0</v>
      </c>
      <c r="N33" s="141">
        <v>0</v>
      </c>
      <c r="O33" s="141">
        <v>0</v>
      </c>
      <c r="P33" s="141">
        <v>0</v>
      </c>
      <c r="Q33" s="141">
        <v>0</v>
      </c>
      <c r="R33" s="141">
        <v>0</v>
      </c>
      <c r="S33" s="141">
        <v>0</v>
      </c>
      <c r="T33" s="141">
        <v>0</v>
      </c>
      <c r="U33" s="141">
        <v>0</v>
      </c>
      <c r="V33" s="141">
        <v>0.4551570463695076</v>
      </c>
      <c r="W33" s="141">
        <v>0</v>
      </c>
      <c r="X33" s="141">
        <v>0.89800000000000002</v>
      </c>
      <c r="Y33" s="141">
        <v>0.64700000000000002</v>
      </c>
      <c r="Z33" s="141">
        <v>0</v>
      </c>
      <c r="AA33" s="141">
        <v>0</v>
      </c>
      <c r="AB33" s="141">
        <v>0.50050049939939933</v>
      </c>
      <c r="AC33" s="141">
        <v>0</v>
      </c>
      <c r="AD33" s="141">
        <v>0.5</v>
      </c>
      <c r="AE33" s="141">
        <v>0</v>
      </c>
      <c r="AF33" s="141">
        <v>0</v>
      </c>
      <c r="AG33" s="141">
        <v>0</v>
      </c>
      <c r="AH33" s="141">
        <v>0</v>
      </c>
    </row>
    <row r="34" spans="1:34" customFormat="1" x14ac:dyDescent="0.15">
      <c r="A34" s="176" t="s">
        <v>224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1">
        <v>0</v>
      </c>
      <c r="Q34" s="141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0</v>
      </c>
      <c r="W34" s="141">
        <v>0</v>
      </c>
      <c r="X34" s="141">
        <v>0</v>
      </c>
      <c r="Y34" s="141">
        <v>0</v>
      </c>
      <c r="Z34" s="141">
        <v>0</v>
      </c>
      <c r="AA34" s="141">
        <v>0</v>
      </c>
      <c r="AB34" s="141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141">
        <v>0</v>
      </c>
    </row>
    <row r="35" spans="1:34" customFormat="1" x14ac:dyDescent="0.15">
      <c r="A35" s="176" t="s">
        <v>234</v>
      </c>
      <c r="B35" s="141">
        <v>0</v>
      </c>
      <c r="C35" s="141">
        <v>0</v>
      </c>
      <c r="D35" s="141">
        <v>0</v>
      </c>
      <c r="E35" s="141">
        <v>0</v>
      </c>
      <c r="F35" s="141">
        <v>0.37494671334174062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141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8" activePane="bottomRight" state="frozen"/>
      <selection pane="topRight" activeCell="C1" sqref="C1"/>
      <selection pane="bottomLeft" activeCell="A2" sqref="A2"/>
      <selection pane="bottomRight" activeCell="H44" sqref="H44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9.5" style="110" customWidth="1"/>
    <col min="5" max="6" width="9.5" style="109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79" t="s">
        <v>223</v>
      </c>
      <c r="D1" s="179" t="s">
        <v>224</v>
      </c>
      <c r="E1" s="179" t="s">
        <v>235</v>
      </c>
      <c r="F1" s="179" t="s">
        <v>236</v>
      </c>
      <c r="G1"/>
      <c r="H1"/>
    </row>
    <row r="2" spans="1:8" x14ac:dyDescent="0.15">
      <c r="A2">
        <v>1</v>
      </c>
      <c r="B2" s="178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78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78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78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78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78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78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78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78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78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78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78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78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78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78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10">
        <v>1</v>
      </c>
      <c r="D32" s="110">
        <v>0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78" t="s">
        <v>223</v>
      </c>
      <c r="C33" s="110">
        <v>0</v>
      </c>
      <c r="D33" s="110">
        <v>1</v>
      </c>
      <c r="E33" s="109">
        <v>0</v>
      </c>
      <c r="F33" s="109">
        <v>1</v>
      </c>
    </row>
    <row r="34" spans="1:8" ht="15" customHeight="1" x14ac:dyDescent="0.15">
      <c r="A34">
        <v>33</v>
      </c>
      <c r="B34" s="178" t="s">
        <v>224</v>
      </c>
      <c r="C34" s="110">
        <v>0</v>
      </c>
      <c r="D34" s="110">
        <v>0</v>
      </c>
      <c r="E34" s="109">
        <v>1</v>
      </c>
      <c r="F34" s="109">
        <v>1</v>
      </c>
    </row>
    <row r="35" spans="1:8" ht="15" customHeight="1" x14ac:dyDescent="0.15">
      <c r="A35">
        <v>34</v>
      </c>
      <c r="B35" s="178" t="s">
        <v>225</v>
      </c>
      <c r="C35" s="110">
        <v>0</v>
      </c>
      <c r="D35" s="110">
        <v>1</v>
      </c>
      <c r="E35" s="109">
        <v>0</v>
      </c>
      <c r="F35" s="109">
        <v>1</v>
      </c>
    </row>
    <row r="36" spans="1:8" ht="15" customHeight="1" x14ac:dyDescent="0.15">
      <c r="A36">
        <v>35</v>
      </c>
      <c r="B36" s="178" t="s">
        <v>226</v>
      </c>
      <c r="C36" s="110">
        <v>0</v>
      </c>
      <c r="D36" s="110">
        <v>1</v>
      </c>
      <c r="E36" s="110">
        <v>0</v>
      </c>
      <c r="F36" s="110">
        <v>1</v>
      </c>
      <c r="G36"/>
      <c r="H36"/>
    </row>
    <row r="37" spans="1:8" ht="15" customHeight="1" x14ac:dyDescent="0.15">
      <c r="A37">
        <v>36</v>
      </c>
      <c r="B37" s="178" t="s">
        <v>227</v>
      </c>
      <c r="C37" s="110">
        <v>0</v>
      </c>
      <c r="D37" s="110">
        <v>1</v>
      </c>
      <c r="E37" s="110">
        <v>0</v>
      </c>
      <c r="F37" s="110">
        <v>1</v>
      </c>
      <c r="G37"/>
      <c r="H37"/>
    </row>
    <row r="38" spans="1:8" ht="15" customHeight="1" x14ac:dyDescent="0.15">
      <c r="A38">
        <v>37</v>
      </c>
      <c r="B38" s="178" t="s">
        <v>228</v>
      </c>
      <c r="C38" s="110">
        <v>0</v>
      </c>
      <c r="D38" s="110">
        <v>1</v>
      </c>
      <c r="E38" s="110">
        <v>0</v>
      </c>
      <c r="F38" s="110">
        <v>1</v>
      </c>
      <c r="G38"/>
      <c r="H38"/>
    </row>
    <row r="39" spans="1:8" ht="15" customHeight="1" x14ac:dyDescent="0.15">
      <c r="A39">
        <v>38</v>
      </c>
      <c r="B39" s="178" t="s">
        <v>229</v>
      </c>
      <c r="C39" s="110">
        <v>0</v>
      </c>
      <c r="D39" s="110">
        <v>1</v>
      </c>
      <c r="E39" s="110">
        <v>0</v>
      </c>
      <c r="F39" s="110">
        <v>1</v>
      </c>
      <c r="G39"/>
      <c r="H39"/>
    </row>
    <row r="40" spans="1:8" ht="15" customHeight="1" x14ac:dyDescent="0.15">
      <c r="A40">
        <v>39</v>
      </c>
      <c r="B40" s="178" t="s">
        <v>216</v>
      </c>
      <c r="C40" s="110">
        <v>0</v>
      </c>
      <c r="D40" s="110">
        <v>1</v>
      </c>
      <c r="E40" s="110">
        <v>0</v>
      </c>
      <c r="F40" s="110">
        <v>1</v>
      </c>
      <c r="G40"/>
      <c r="H40"/>
    </row>
    <row r="41" spans="1:8" ht="15" customHeight="1" x14ac:dyDescent="0.15">
      <c r="A41">
        <v>40</v>
      </c>
      <c r="B41" s="178" t="s">
        <v>230</v>
      </c>
      <c r="C41" s="110">
        <v>0</v>
      </c>
      <c r="D41" s="110">
        <v>1</v>
      </c>
      <c r="E41" s="110">
        <v>0</v>
      </c>
      <c r="F41" s="110">
        <v>1</v>
      </c>
      <c r="G41"/>
      <c r="H41"/>
    </row>
    <row r="42" spans="1:8" ht="15" customHeight="1" x14ac:dyDescent="0.15">
      <c r="A42">
        <v>41</v>
      </c>
      <c r="B42" s="178" t="s">
        <v>231</v>
      </c>
      <c r="C42" s="110">
        <v>0</v>
      </c>
      <c r="D42" s="110">
        <v>1</v>
      </c>
      <c r="E42" s="110">
        <v>0</v>
      </c>
      <c r="F42" s="110">
        <v>1</v>
      </c>
      <c r="G42"/>
      <c r="H42"/>
    </row>
    <row r="43" spans="1:8" ht="15" customHeight="1" x14ac:dyDescent="0.15">
      <c r="A43">
        <v>42</v>
      </c>
      <c r="B43" s="178" t="s">
        <v>232</v>
      </c>
      <c r="C43" s="110">
        <v>0</v>
      </c>
      <c r="D43" s="110">
        <v>1</v>
      </c>
      <c r="E43" s="110">
        <v>0</v>
      </c>
      <c r="F43" s="110">
        <v>1</v>
      </c>
      <c r="G43"/>
      <c r="H43"/>
    </row>
    <row r="44" spans="1:8" ht="15" customHeight="1" x14ac:dyDescent="0.15">
      <c r="A44">
        <v>43</v>
      </c>
      <c r="B44" s="178" t="s">
        <v>233</v>
      </c>
      <c r="C44" s="110">
        <v>0</v>
      </c>
      <c r="D44" s="110">
        <v>1</v>
      </c>
      <c r="E44" s="109">
        <v>0</v>
      </c>
      <c r="F44" s="109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M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3" width="11.83203125" bestFit="1" customWidth="1"/>
    <col min="4" max="4" width="6.83203125" bestFit="1" customWidth="1"/>
    <col min="5" max="5" width="5.83203125" bestFit="1" customWidth="1"/>
    <col min="6" max="6" width="7.5" customWidth="1"/>
    <col min="7" max="8" width="6.83203125" customWidth="1"/>
    <col min="9" max="9" width="12.83203125" customWidth="1"/>
    <col min="10" max="10" width="6.83203125" customWidth="1"/>
    <col min="11" max="11" width="11.83203125" customWidth="1"/>
    <col min="12" max="12" width="6.83203125" customWidth="1"/>
    <col min="13" max="13" width="12.83203125" customWidth="1"/>
  </cols>
  <sheetData>
    <row r="1" spans="1:13" s="111" customFormat="1" ht="112" x14ac:dyDescent="0.15">
      <c r="A1" s="5" t="s">
        <v>21</v>
      </c>
      <c r="B1" s="3" t="s">
        <v>0</v>
      </c>
      <c r="C1" s="181" t="s">
        <v>225</v>
      </c>
      <c r="D1" s="181" t="s">
        <v>226</v>
      </c>
      <c r="E1" s="181" t="s">
        <v>227</v>
      </c>
      <c r="F1" s="181" t="s">
        <v>228</v>
      </c>
      <c r="G1" s="181" t="s">
        <v>229</v>
      </c>
      <c r="H1" s="181" t="s">
        <v>216</v>
      </c>
      <c r="I1" s="181" t="s">
        <v>230</v>
      </c>
      <c r="J1" s="181" t="s">
        <v>231</v>
      </c>
      <c r="K1" s="181" t="s">
        <v>232</v>
      </c>
      <c r="L1" s="181" t="s">
        <v>233</v>
      </c>
      <c r="M1" s="181" t="s">
        <v>237</v>
      </c>
    </row>
    <row r="2" spans="1:13" ht="15" customHeight="1" x14ac:dyDescent="0.15">
      <c r="A2">
        <v>1</v>
      </c>
      <c r="B2" s="18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ht="15" customHeight="1" x14ac:dyDescent="0.15">
      <c r="A3">
        <v>2</v>
      </c>
      <c r="B3" s="18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4.058117E-3</v>
      </c>
      <c r="L3">
        <v>0</v>
      </c>
      <c r="M3">
        <v>4.058117E-3</v>
      </c>
    </row>
    <row r="4" spans="1:13" ht="15" customHeight="1" x14ac:dyDescent="0.15">
      <c r="A4">
        <v>3</v>
      </c>
      <c r="B4" s="18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ht="15" customHeight="1" x14ac:dyDescent="0.15">
      <c r="A5">
        <v>4</v>
      </c>
      <c r="B5" s="180" t="s">
        <v>195</v>
      </c>
      <c r="C5">
        <v>0</v>
      </c>
      <c r="D5">
        <v>0</v>
      </c>
      <c r="E5">
        <v>0</v>
      </c>
      <c r="F5">
        <v>1.5E-5</v>
      </c>
      <c r="G5">
        <v>0</v>
      </c>
      <c r="H5">
        <v>0</v>
      </c>
      <c r="I5">
        <v>0</v>
      </c>
      <c r="J5">
        <v>9.9999999999999995E-7</v>
      </c>
      <c r="K5">
        <v>0</v>
      </c>
      <c r="L5">
        <v>0</v>
      </c>
      <c r="M5">
        <v>1.5999999999999999E-5</v>
      </c>
    </row>
    <row r="6" spans="1:13" ht="15" customHeight="1" x14ac:dyDescent="0.15">
      <c r="A6">
        <v>5</v>
      </c>
      <c r="B6" s="180" t="s">
        <v>196</v>
      </c>
      <c r="C6">
        <v>4.4000000000000003E-3</v>
      </c>
      <c r="D6">
        <v>0</v>
      </c>
      <c r="E6">
        <v>0</v>
      </c>
      <c r="F6">
        <v>2.9999999999999997E-4</v>
      </c>
      <c r="G6">
        <v>0</v>
      </c>
      <c r="H6">
        <v>0</v>
      </c>
      <c r="I6">
        <v>4.4078200000000002E-4</v>
      </c>
      <c r="J6">
        <v>0</v>
      </c>
      <c r="K6">
        <v>0</v>
      </c>
      <c r="L6">
        <v>0</v>
      </c>
      <c r="M6">
        <v>5.140782E-3</v>
      </c>
    </row>
    <row r="7" spans="1:13" ht="15" customHeight="1" x14ac:dyDescent="0.15">
      <c r="A7">
        <v>6</v>
      </c>
      <c r="B7" s="180" t="s">
        <v>197</v>
      </c>
      <c r="C7">
        <v>0</v>
      </c>
      <c r="D7">
        <v>1.0000000000000001E-5</v>
      </c>
      <c r="E7">
        <v>0</v>
      </c>
      <c r="F7">
        <v>0</v>
      </c>
      <c r="G7">
        <v>0</v>
      </c>
      <c r="H7">
        <v>0</v>
      </c>
      <c r="I7">
        <v>1.6590312100000001E-2</v>
      </c>
      <c r="J7">
        <v>0</v>
      </c>
      <c r="K7">
        <v>0</v>
      </c>
      <c r="L7">
        <v>0</v>
      </c>
      <c r="M7">
        <v>1.66003121E-2</v>
      </c>
    </row>
    <row r="8" spans="1:13" ht="15" customHeight="1" x14ac:dyDescent="0.15">
      <c r="A8">
        <v>7</v>
      </c>
      <c r="B8" s="180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1.9E-3</v>
      </c>
      <c r="J8">
        <v>4.5999999999999999E-3</v>
      </c>
      <c r="K8">
        <v>0</v>
      </c>
      <c r="L8">
        <v>0</v>
      </c>
      <c r="M8">
        <v>6.4999999999999997E-3</v>
      </c>
    </row>
    <row r="9" spans="1:13" ht="15" customHeight="1" x14ac:dyDescent="0.15">
      <c r="A9">
        <v>8</v>
      </c>
      <c r="B9" s="180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ht="15" customHeight="1" x14ac:dyDescent="0.15">
      <c r="A10">
        <v>9</v>
      </c>
      <c r="B10" s="180" t="s">
        <v>200</v>
      </c>
      <c r="C10">
        <v>3.3500000000000001E-3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3.3500000000000001E-3</v>
      </c>
    </row>
    <row r="11" spans="1:13" ht="15" customHeight="1" x14ac:dyDescent="0.15">
      <c r="A11">
        <v>10</v>
      </c>
      <c r="B11" s="18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ht="15" customHeight="1" x14ac:dyDescent="0.15">
      <c r="A12">
        <v>11</v>
      </c>
      <c r="B12" s="180" t="s">
        <v>202</v>
      </c>
      <c r="C12">
        <v>1.7218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1.7218</v>
      </c>
    </row>
    <row r="13" spans="1:13" ht="15" customHeight="1" x14ac:dyDescent="0.15">
      <c r="A13">
        <v>12</v>
      </c>
      <c r="B13" s="180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ht="15" customHeight="1" x14ac:dyDescent="0.15">
      <c r="A14">
        <v>13</v>
      </c>
      <c r="B14" s="180" t="s">
        <v>204</v>
      </c>
      <c r="C14">
        <v>7.0000000000000001E-3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7.0000000000000001E-3</v>
      </c>
    </row>
    <row r="15" spans="1:13" ht="15" customHeight="1" x14ac:dyDescent="0.15">
      <c r="A15">
        <v>14</v>
      </c>
      <c r="B15" s="180" t="s">
        <v>205</v>
      </c>
      <c r="C15">
        <v>7.9299999999999995E-2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7.9299999999999995E-2</v>
      </c>
    </row>
    <row r="16" spans="1:13" ht="15" customHeight="1" x14ac:dyDescent="0.15">
      <c r="A16">
        <v>15</v>
      </c>
      <c r="B16" s="180" t="s">
        <v>206</v>
      </c>
      <c r="C16">
        <v>6.8999999999999999E-3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6.8999999999999999E-3</v>
      </c>
    </row>
    <row r="17" spans="1:13" ht="15" customHeight="1" x14ac:dyDescent="0.15">
      <c r="A17">
        <v>16</v>
      </c>
      <c r="B17" s="180" t="s">
        <v>207</v>
      </c>
      <c r="C17">
        <v>0.15160000000000001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0.15160000000000001</v>
      </c>
    </row>
    <row r="18" spans="1:13" ht="15" customHeight="1" x14ac:dyDescent="0.15">
      <c r="A18">
        <v>17</v>
      </c>
      <c r="B18" s="180" t="s">
        <v>208</v>
      </c>
      <c r="C18">
        <v>0</v>
      </c>
      <c r="D18">
        <v>4.4999999999999997E-3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4.4999999999999997E-3</v>
      </c>
    </row>
    <row r="19" spans="1:13" ht="15" customHeight="1" x14ac:dyDescent="0.15">
      <c r="A19">
        <v>18</v>
      </c>
      <c r="B19" s="180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ht="15" customHeight="1" x14ac:dyDescent="0.15">
      <c r="A20">
        <v>19</v>
      </c>
      <c r="B20" s="180" t="s">
        <v>210</v>
      </c>
      <c r="C20">
        <v>0</v>
      </c>
      <c r="D20">
        <v>0</v>
      </c>
      <c r="E20">
        <v>0.13400000000000001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0.13400000000000001</v>
      </c>
    </row>
    <row r="21" spans="1:13" ht="15" customHeight="1" x14ac:dyDescent="0.15">
      <c r="A21">
        <v>20</v>
      </c>
      <c r="B21" s="18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ht="15" customHeight="1" x14ac:dyDescent="0.15">
      <c r="A22">
        <v>21</v>
      </c>
      <c r="B22" s="180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ht="15" customHeight="1" x14ac:dyDescent="0.15">
      <c r="A23">
        <v>22</v>
      </c>
      <c r="B23" s="180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ht="15" customHeight="1" x14ac:dyDescent="0.15">
      <c r="A24">
        <v>23</v>
      </c>
      <c r="B24" s="180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ht="15" customHeight="1" x14ac:dyDescent="0.15">
      <c r="A25">
        <v>24</v>
      </c>
      <c r="B25" s="180" t="s">
        <v>215</v>
      </c>
      <c r="C25">
        <v>0</v>
      </c>
      <c r="D25">
        <v>0</v>
      </c>
      <c r="E25">
        <v>0</v>
      </c>
      <c r="F25">
        <v>0</v>
      </c>
      <c r="G25">
        <v>2.1700000000000001E-2</v>
      </c>
      <c r="H25">
        <v>0</v>
      </c>
      <c r="I25">
        <v>0</v>
      </c>
      <c r="J25">
        <v>0</v>
      </c>
      <c r="K25">
        <v>0</v>
      </c>
      <c r="L25">
        <v>0</v>
      </c>
      <c r="M25">
        <v>2.1700000000000001E-2</v>
      </c>
    </row>
    <row r="26" spans="1:13" ht="15" customHeight="1" x14ac:dyDescent="0.15">
      <c r="A26">
        <v>25</v>
      </c>
      <c r="B26" s="18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4.3400000000000001E-2</v>
      </c>
      <c r="I26">
        <v>0</v>
      </c>
      <c r="J26">
        <v>0</v>
      </c>
      <c r="K26">
        <v>0</v>
      </c>
      <c r="L26">
        <v>0</v>
      </c>
      <c r="M26">
        <v>4.3400000000000001E-2</v>
      </c>
    </row>
    <row r="27" spans="1:13" ht="15" customHeight="1" x14ac:dyDescent="0.15">
      <c r="A27">
        <v>26</v>
      </c>
      <c r="B27" s="180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ht="15" customHeight="1" x14ac:dyDescent="0.15">
      <c r="A28">
        <v>27</v>
      </c>
      <c r="B28" s="180" t="s">
        <v>218</v>
      </c>
      <c r="C28">
        <v>9.3915700000000003E-4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9.3915700000000003E-4</v>
      </c>
    </row>
    <row r="29" spans="1:13" ht="15" customHeight="1" x14ac:dyDescent="0.15">
      <c r="A29">
        <v>28</v>
      </c>
      <c r="B29" s="18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ht="15" customHeight="1" x14ac:dyDescent="0.15">
      <c r="A30">
        <v>29</v>
      </c>
      <c r="B30" s="18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ht="15" customHeight="1" x14ac:dyDescent="0.15">
      <c r="A31">
        <v>30</v>
      </c>
      <c r="B31" s="18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5.7999999999999996E-3</v>
      </c>
      <c r="M31">
        <v>5.7999999999999996E-3</v>
      </c>
    </row>
    <row r="32" spans="1:13" ht="15" customHeight="1" x14ac:dyDescent="0.15">
      <c r="A32">
        <v>31</v>
      </c>
      <c r="B32" s="18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ht="15" customHeight="1" x14ac:dyDescent="0.15">
      <c r="A33">
        <v>32</v>
      </c>
      <c r="B33" s="18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ht="15" customHeight="1" x14ac:dyDescent="0.15">
      <c r="A34">
        <v>33</v>
      </c>
      <c r="B34" s="18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ht="15" customHeight="1" x14ac:dyDescent="0.15"/>
    <row r="36" spans="1:13" ht="15" customHeight="1" x14ac:dyDescent="0.15"/>
    <row r="37" spans="1:13" ht="15" customHeight="1" x14ac:dyDescent="0.15"/>
    <row r="38" spans="1:13" ht="15" customHeight="1" x14ac:dyDescent="0.15"/>
    <row r="39" spans="1:13" ht="15" customHeight="1" x14ac:dyDescent="0.15"/>
    <row r="40" spans="1:13" ht="15" customHeight="1" x14ac:dyDescent="0.15"/>
    <row r="41" spans="1:13" ht="15" customHeight="1" x14ac:dyDescent="0.15"/>
    <row r="42" spans="1:13" ht="15" customHeight="1" x14ac:dyDescent="0.15"/>
    <row r="43" spans="1:13" ht="15" customHeight="1" x14ac:dyDescent="0.15"/>
    <row r="44" spans="1:13" ht="15" customHeight="1" x14ac:dyDescent="0.15"/>
    <row r="45" spans="1:13" ht="15" customHeight="1" x14ac:dyDescent="0.15"/>
    <row r="46" spans="1:13" ht="15" customHeight="1" x14ac:dyDescent="0.15"/>
    <row r="47" spans="1:13" ht="15" customHeight="1" x14ac:dyDescent="0.15"/>
    <row r="48" spans="1:13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M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3" width="2.33203125" bestFit="1" customWidth="1"/>
    <col min="4" max="4" width="11.83203125" bestFit="1" customWidth="1"/>
    <col min="5" max="5" width="6.83203125" bestFit="1" customWidth="1"/>
    <col min="6" max="8" width="2.33203125" customWidth="1"/>
    <col min="9" max="9" width="6.83203125" customWidth="1"/>
    <col min="10" max="12" width="2.33203125" customWidth="1"/>
    <col min="13" max="13" width="11.83203125" customWidth="1"/>
  </cols>
  <sheetData>
    <row r="1" spans="1:13" s="111" customFormat="1" ht="112" x14ac:dyDescent="0.15">
      <c r="A1" s="5" t="s">
        <v>22</v>
      </c>
      <c r="B1" s="3" t="s">
        <v>0</v>
      </c>
      <c r="C1" s="183" t="s">
        <v>225</v>
      </c>
      <c r="D1" s="183" t="s">
        <v>226</v>
      </c>
      <c r="E1" s="183" t="s">
        <v>227</v>
      </c>
      <c r="F1" s="183" t="s">
        <v>228</v>
      </c>
      <c r="G1" s="183" t="s">
        <v>229</v>
      </c>
      <c r="H1" s="183" t="s">
        <v>216</v>
      </c>
      <c r="I1" s="183" t="s">
        <v>230</v>
      </c>
      <c r="J1" s="183" t="s">
        <v>231</v>
      </c>
      <c r="K1" s="183" t="s">
        <v>232</v>
      </c>
      <c r="L1" s="183" t="s">
        <v>233</v>
      </c>
      <c r="M1" s="183" t="s">
        <v>237</v>
      </c>
    </row>
    <row r="2" spans="1:13" x14ac:dyDescent="0.15">
      <c r="A2">
        <v>1</v>
      </c>
      <c r="B2" s="18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82" t="s">
        <v>193</v>
      </c>
      <c r="C3">
        <v>0</v>
      </c>
      <c r="D3">
        <v>4.7913300000000002E-4</v>
      </c>
      <c r="E3">
        <v>2.9999999999999997E-4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7.79133E-4</v>
      </c>
    </row>
    <row r="4" spans="1:13" x14ac:dyDescent="0.15">
      <c r="A4">
        <v>3</v>
      </c>
      <c r="B4" s="182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82" t="s">
        <v>195</v>
      </c>
      <c r="C5">
        <v>0</v>
      </c>
      <c r="D5">
        <v>1E-4</v>
      </c>
      <c r="E5">
        <v>2.0000000000000002E-5</v>
      </c>
      <c r="F5">
        <v>0</v>
      </c>
      <c r="G5">
        <v>0</v>
      </c>
      <c r="H5">
        <v>0</v>
      </c>
      <c r="I5">
        <v>1E-4</v>
      </c>
      <c r="J5">
        <v>0</v>
      </c>
      <c r="K5">
        <v>0</v>
      </c>
      <c r="L5">
        <v>0</v>
      </c>
      <c r="M5">
        <v>2.2000000000000001E-4</v>
      </c>
    </row>
    <row r="6" spans="1:13" x14ac:dyDescent="0.15">
      <c r="A6">
        <v>5</v>
      </c>
      <c r="B6" s="182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82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182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82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82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15">
      <c r="A11">
        <v>10</v>
      </c>
      <c r="B11" s="182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82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15">
      <c r="A13">
        <v>12</v>
      </c>
      <c r="B13" s="182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82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15">
      <c r="A15">
        <v>14</v>
      </c>
      <c r="B15" s="182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82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15">
      <c r="A17">
        <v>16</v>
      </c>
      <c r="B17" s="182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15">
      <c r="A18">
        <v>17</v>
      </c>
      <c r="B18" s="182" t="s">
        <v>208</v>
      </c>
      <c r="C18">
        <v>0</v>
      </c>
      <c r="D18">
        <v>0</v>
      </c>
      <c r="E18">
        <v>2.0000000000000001E-4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2.0000000000000001E-4</v>
      </c>
    </row>
    <row r="19" spans="1:13" x14ac:dyDescent="0.15">
      <c r="A19">
        <v>18</v>
      </c>
      <c r="B19" s="182" t="s">
        <v>209</v>
      </c>
      <c r="C19">
        <v>0</v>
      </c>
      <c r="D19">
        <v>2E-3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2E-3</v>
      </c>
    </row>
    <row r="20" spans="1:13" x14ac:dyDescent="0.15">
      <c r="A20">
        <v>19</v>
      </c>
      <c r="B20" s="182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82" t="s">
        <v>211</v>
      </c>
      <c r="C21">
        <v>0</v>
      </c>
      <c r="D21">
        <v>0</v>
      </c>
      <c r="E21">
        <v>5.0000000000000001E-4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5.0000000000000001E-4</v>
      </c>
    </row>
    <row r="22" spans="1:13" x14ac:dyDescent="0.15">
      <c r="A22">
        <v>21</v>
      </c>
      <c r="B22" s="182" t="s">
        <v>212</v>
      </c>
      <c r="C22">
        <v>0</v>
      </c>
      <c r="D22">
        <v>0</v>
      </c>
      <c r="E22">
        <v>7.2700000000000001E-2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7.2700000000000001E-2</v>
      </c>
    </row>
    <row r="23" spans="1:13" x14ac:dyDescent="0.15">
      <c r="A23">
        <v>22</v>
      </c>
      <c r="B23" s="182" t="s">
        <v>213</v>
      </c>
      <c r="C23">
        <v>0</v>
      </c>
      <c r="D23">
        <v>0</v>
      </c>
      <c r="E23">
        <v>2E-3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2E-3</v>
      </c>
    </row>
    <row r="24" spans="1:13" x14ac:dyDescent="0.15">
      <c r="A24">
        <v>23</v>
      </c>
      <c r="B24" s="182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182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15">
      <c r="A26">
        <v>25</v>
      </c>
      <c r="B26" s="182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82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82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8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82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15">
      <c r="A31">
        <v>30</v>
      </c>
      <c r="B31" s="18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8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82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82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</v>
      </c>
      <c r="J31" s="110">
        <v>0</v>
      </c>
      <c r="K31" s="110">
        <v>0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0.8</v>
      </c>
      <c r="I32">
        <v>0</v>
      </c>
      <c r="J32" s="110">
        <v>0</v>
      </c>
      <c r="K32" s="110">
        <v>0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</v>
      </c>
      <c r="I33">
        <v>0</v>
      </c>
      <c r="J33" s="110">
        <v>0</v>
      </c>
      <c r="K33" s="110">
        <v>0</v>
      </c>
      <c r="Y33"/>
      <c r="AC33"/>
      <c r="AG33"/>
    </row>
    <row r="34" spans="4:33" ht="15" customHeight="1" x14ac:dyDescent="0.15">
      <c r="D34">
        <v>33</v>
      </c>
      <c r="E34" s="184" t="s">
        <v>224</v>
      </c>
      <c r="F34">
        <v>0.98</v>
      </c>
      <c r="G34">
        <v>0.8</v>
      </c>
      <c r="H34">
        <v>0</v>
      </c>
      <c r="I34">
        <v>0</v>
      </c>
      <c r="J34" s="110">
        <v>0</v>
      </c>
      <c r="K34" s="110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0" width="3.83203125" style="107" customWidth="1"/>
    <col min="31" max="34" width="2.33203125" style="107" customWidth="1"/>
    <col min="35" max="16384" width="10.83203125" style="107"/>
  </cols>
  <sheetData>
    <row r="1" spans="1:34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</row>
    <row r="2" spans="1:34" customFormat="1" x14ac:dyDescent="0.15">
      <c r="A2" s="185" t="s">
        <v>192</v>
      </c>
      <c r="B2" s="107">
        <v>0</v>
      </c>
      <c r="C2" s="107">
        <v>0</v>
      </c>
      <c r="D2" s="107">
        <v>0</v>
      </c>
      <c r="E2" s="107">
        <v>0.8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5" t="s">
        <v>193</v>
      </c>
      <c r="B3" s="107">
        <v>0</v>
      </c>
      <c r="C3" s="107">
        <v>0</v>
      </c>
      <c r="D3" s="107">
        <v>0.8</v>
      </c>
      <c r="E3" s="107">
        <v>0.8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</row>
    <row r="4" spans="1:34" customFormat="1" x14ac:dyDescent="0.15">
      <c r="A4" s="185" t="s">
        <v>194</v>
      </c>
      <c r="B4" s="107">
        <v>0</v>
      </c>
      <c r="C4" s="107">
        <v>0.8</v>
      </c>
      <c r="D4" s="107">
        <v>0.8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5" t="s">
        <v>195</v>
      </c>
      <c r="B5" s="107">
        <v>0</v>
      </c>
      <c r="C5" s="107">
        <v>0</v>
      </c>
      <c r="D5" s="107">
        <v>0</v>
      </c>
      <c r="E5" s="107">
        <v>0.8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5" t="s">
        <v>196</v>
      </c>
      <c r="B6" s="107">
        <v>0</v>
      </c>
      <c r="C6" s="107">
        <v>0</v>
      </c>
      <c r="D6" s="107">
        <v>0</v>
      </c>
      <c r="E6" s="107">
        <v>0.8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5" t="s">
        <v>197</v>
      </c>
      <c r="B7" s="107">
        <v>0</v>
      </c>
      <c r="C7" s="107">
        <v>0.8</v>
      </c>
      <c r="D7" s="107">
        <v>0.8</v>
      </c>
      <c r="E7" s="107">
        <v>0.8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0.8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5" t="s">
        <v>198</v>
      </c>
      <c r="B8" s="107">
        <v>0</v>
      </c>
      <c r="C8" s="107">
        <v>0.8</v>
      </c>
      <c r="D8" s="107">
        <v>0</v>
      </c>
      <c r="E8" s="107">
        <v>0.8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0.8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5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0.8</v>
      </c>
      <c r="M9" s="107">
        <v>0</v>
      </c>
      <c r="N9" s="107">
        <v>0.8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0.8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5" t="s">
        <v>200</v>
      </c>
      <c r="B10" s="107">
        <v>0.8</v>
      </c>
      <c r="C10" s="107">
        <v>0.8</v>
      </c>
      <c r="D10" s="107">
        <v>0.8</v>
      </c>
      <c r="E10" s="107">
        <v>0.8</v>
      </c>
      <c r="F10" s="107">
        <v>0.8</v>
      </c>
      <c r="G10" s="107">
        <v>0.8</v>
      </c>
      <c r="H10" s="107">
        <v>0.8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0.8</v>
      </c>
      <c r="P10" s="107">
        <v>0</v>
      </c>
      <c r="Q10" s="107">
        <v>0</v>
      </c>
      <c r="R10" s="107">
        <v>0</v>
      </c>
      <c r="S10" s="107">
        <v>0.8</v>
      </c>
      <c r="T10" s="107">
        <v>0.8</v>
      </c>
      <c r="U10" s="107">
        <v>0.8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5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0.8</v>
      </c>
      <c r="K11" s="107">
        <v>0</v>
      </c>
      <c r="L11" s="107">
        <v>0</v>
      </c>
      <c r="M11" s="107">
        <v>0</v>
      </c>
      <c r="N11" s="107">
        <v>0.8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0.8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5" t="s">
        <v>202</v>
      </c>
      <c r="B12" s="107">
        <v>0.8</v>
      </c>
      <c r="C12" s="107">
        <v>0.8</v>
      </c>
      <c r="D12" s="107">
        <v>0.8</v>
      </c>
      <c r="E12" s="107">
        <v>0.8</v>
      </c>
      <c r="F12" s="107">
        <v>0.8</v>
      </c>
      <c r="G12" s="107">
        <v>0.8</v>
      </c>
      <c r="H12" s="107">
        <v>0.8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0.8</v>
      </c>
      <c r="T12" s="107">
        <v>0.8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5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0.8</v>
      </c>
      <c r="K13" s="107">
        <v>0</v>
      </c>
      <c r="L13" s="107">
        <v>0.8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5" t="s">
        <v>204</v>
      </c>
      <c r="B14" s="107">
        <v>0.8</v>
      </c>
      <c r="C14" s="107">
        <v>0.8</v>
      </c>
      <c r="D14" s="107">
        <v>0.8</v>
      </c>
      <c r="E14" s="107">
        <v>0</v>
      </c>
      <c r="F14" s="107">
        <v>0.8</v>
      </c>
      <c r="G14" s="107">
        <v>0.8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0.8</v>
      </c>
      <c r="S14" s="107">
        <v>0.8</v>
      </c>
      <c r="T14" s="107">
        <v>0.8</v>
      </c>
      <c r="U14" s="107">
        <v>0.8</v>
      </c>
      <c r="V14" s="107">
        <v>0.8</v>
      </c>
      <c r="W14" s="107">
        <v>0.8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5" t="s">
        <v>205</v>
      </c>
      <c r="B15" s="107">
        <v>0.8</v>
      </c>
      <c r="C15" s="107">
        <v>0.8</v>
      </c>
      <c r="D15" s="107">
        <v>0.8</v>
      </c>
      <c r="E15" s="107">
        <v>0.8</v>
      </c>
      <c r="F15" s="107">
        <v>0.8</v>
      </c>
      <c r="G15" s="107">
        <v>0.8</v>
      </c>
      <c r="H15" s="107">
        <v>0.8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0.8</v>
      </c>
      <c r="P15" s="107">
        <v>0</v>
      </c>
      <c r="Q15" s="107">
        <v>0</v>
      </c>
      <c r="R15" s="107">
        <v>0</v>
      </c>
      <c r="S15" s="107">
        <v>0</v>
      </c>
      <c r="T15" s="107">
        <v>0.8</v>
      </c>
      <c r="U15" s="107">
        <v>0.8</v>
      </c>
      <c r="V15" s="107">
        <v>0.8</v>
      </c>
      <c r="W15" s="107">
        <v>0.8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5" t="s">
        <v>206</v>
      </c>
      <c r="B16" s="107">
        <v>0.8</v>
      </c>
      <c r="C16" s="107">
        <v>0.8</v>
      </c>
      <c r="D16" s="107">
        <v>0.8</v>
      </c>
      <c r="E16" s="107">
        <v>0</v>
      </c>
      <c r="F16" s="107">
        <v>0.8</v>
      </c>
      <c r="G16" s="107">
        <v>0.8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0.8</v>
      </c>
      <c r="P16" s="107">
        <v>0</v>
      </c>
      <c r="Q16" s="107">
        <v>0</v>
      </c>
      <c r="R16" s="107">
        <v>0.8</v>
      </c>
      <c r="S16" s="107">
        <v>0.8</v>
      </c>
      <c r="T16" s="107">
        <v>0.8</v>
      </c>
      <c r="U16" s="107">
        <v>0.8</v>
      </c>
      <c r="V16" s="107">
        <v>0.8</v>
      </c>
      <c r="W16" s="107">
        <v>0.8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5" t="s">
        <v>207</v>
      </c>
      <c r="B17" s="107">
        <v>0</v>
      </c>
      <c r="C17" s="107">
        <v>0.8</v>
      </c>
      <c r="D17" s="107">
        <v>0.8</v>
      </c>
      <c r="E17" s="107">
        <v>0</v>
      </c>
      <c r="F17" s="107">
        <v>0</v>
      </c>
      <c r="G17" s="107">
        <v>0.8</v>
      </c>
      <c r="H17" s="107">
        <v>0.8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0.8</v>
      </c>
      <c r="U17" s="107">
        <v>0.8</v>
      </c>
      <c r="V17" s="107">
        <v>0</v>
      </c>
      <c r="W17" s="107">
        <v>0.8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5" t="s">
        <v>208</v>
      </c>
      <c r="B18" s="107">
        <v>0</v>
      </c>
      <c r="C18" s="107">
        <v>0.8</v>
      </c>
      <c r="D18" s="107">
        <v>0</v>
      </c>
      <c r="E18" s="107">
        <v>0.8</v>
      </c>
      <c r="F18" s="107">
        <v>0.8</v>
      </c>
      <c r="G18" s="107">
        <v>0.8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0.8</v>
      </c>
      <c r="U18" s="107">
        <v>0.8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5" t="s">
        <v>209</v>
      </c>
      <c r="B19" s="107">
        <v>0.8</v>
      </c>
      <c r="C19" s="107">
        <v>0.8</v>
      </c>
      <c r="D19" s="107">
        <v>0.8</v>
      </c>
      <c r="E19" s="107">
        <v>0</v>
      </c>
      <c r="F19" s="107">
        <v>0.8</v>
      </c>
      <c r="G19" s="107">
        <v>0.8</v>
      </c>
      <c r="H19" s="107">
        <v>0.8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0.8</v>
      </c>
      <c r="U19" s="107">
        <v>0.8</v>
      </c>
      <c r="V19" s="107">
        <v>0.8</v>
      </c>
      <c r="W19" s="107">
        <v>0.8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5" t="s">
        <v>210</v>
      </c>
      <c r="B20" s="107">
        <v>0.8</v>
      </c>
      <c r="C20" s="107">
        <v>0.8</v>
      </c>
      <c r="D20" s="107">
        <v>0</v>
      </c>
      <c r="E20" s="107">
        <v>0.8</v>
      </c>
      <c r="F20" s="107">
        <v>0.8</v>
      </c>
      <c r="G20" s="107">
        <v>0.8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0.8</v>
      </c>
      <c r="U20" s="107">
        <v>0.8</v>
      </c>
      <c r="V20" s="107">
        <v>0.8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5" t="s">
        <v>211</v>
      </c>
      <c r="B21" s="107">
        <v>0</v>
      </c>
      <c r="C21" s="107">
        <v>0</v>
      </c>
      <c r="D21" s="107">
        <v>0</v>
      </c>
      <c r="E21" s="107">
        <v>0.8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0.8</v>
      </c>
      <c r="U21" s="107">
        <v>0.8</v>
      </c>
      <c r="V21" s="107">
        <v>0.8</v>
      </c>
      <c r="W21" s="107">
        <v>0</v>
      </c>
      <c r="X21" s="107">
        <v>0</v>
      </c>
      <c r="Y21" s="107">
        <v>0.8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5" t="s">
        <v>212</v>
      </c>
      <c r="B22" s="107">
        <v>0</v>
      </c>
      <c r="C22" s="107">
        <v>0</v>
      </c>
      <c r="D22" s="107">
        <v>0.8</v>
      </c>
      <c r="E22" s="107">
        <v>0.8</v>
      </c>
      <c r="F22" s="107">
        <v>0</v>
      </c>
      <c r="G22" s="107">
        <v>0.8</v>
      </c>
      <c r="H22" s="107">
        <v>0.8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0.8</v>
      </c>
      <c r="U22" s="107">
        <v>0.8</v>
      </c>
      <c r="V22" s="107">
        <v>0.8</v>
      </c>
      <c r="W22" s="107">
        <v>0</v>
      </c>
      <c r="X22" s="107">
        <v>0</v>
      </c>
      <c r="Y22" s="107">
        <v>0.8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5" t="s">
        <v>213</v>
      </c>
      <c r="B23" s="107">
        <v>0.8</v>
      </c>
      <c r="C23" s="107">
        <v>0.8</v>
      </c>
      <c r="D23" s="107">
        <v>0.8</v>
      </c>
      <c r="E23" s="107">
        <v>0.8</v>
      </c>
      <c r="F23" s="107">
        <v>0.8</v>
      </c>
      <c r="G23" s="107">
        <v>0.8</v>
      </c>
      <c r="H23" s="107">
        <v>0.8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0.8</v>
      </c>
      <c r="S23" s="107">
        <v>0.8</v>
      </c>
      <c r="T23" s="107">
        <v>0.8</v>
      </c>
      <c r="U23" s="107">
        <v>0.8</v>
      </c>
      <c r="V23" s="107">
        <v>0.8</v>
      </c>
      <c r="W23" s="107">
        <v>0.8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5" t="s">
        <v>214</v>
      </c>
      <c r="B24" s="107">
        <v>0</v>
      </c>
      <c r="C24" s="107">
        <v>0</v>
      </c>
      <c r="D24" s="107">
        <v>0</v>
      </c>
      <c r="E24" s="107">
        <v>0.8</v>
      </c>
      <c r="F24" s="107">
        <v>0</v>
      </c>
      <c r="G24" s="107">
        <v>0.8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0.8</v>
      </c>
      <c r="P24" s="107">
        <v>0</v>
      </c>
      <c r="Q24" s="107">
        <v>0</v>
      </c>
      <c r="R24" s="107">
        <v>0</v>
      </c>
      <c r="S24" s="107">
        <v>0.8</v>
      </c>
      <c r="T24" s="107">
        <v>0.8</v>
      </c>
      <c r="U24" s="107">
        <v>0.8</v>
      </c>
      <c r="V24" s="107">
        <v>0</v>
      </c>
      <c r="W24" s="107">
        <v>0</v>
      </c>
      <c r="X24" s="107">
        <v>0.8</v>
      </c>
      <c r="Y24" s="107">
        <v>0.8</v>
      </c>
      <c r="Z24" s="107">
        <v>0.8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5" t="s">
        <v>215</v>
      </c>
      <c r="B25" s="107">
        <v>0</v>
      </c>
      <c r="C25" s="107">
        <v>0</v>
      </c>
      <c r="D25" s="107">
        <v>0</v>
      </c>
      <c r="E25" s="107">
        <v>0.8</v>
      </c>
      <c r="F25" s="107">
        <v>0</v>
      </c>
      <c r="G25" s="107">
        <v>0.8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0.8</v>
      </c>
      <c r="W25" s="107">
        <v>0</v>
      </c>
      <c r="X25" s="107">
        <v>0.8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5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0.8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0.8</v>
      </c>
      <c r="W26" s="107">
        <v>0</v>
      </c>
      <c r="X26" s="107">
        <v>0.8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5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0.8</v>
      </c>
      <c r="K27" s="107">
        <v>0</v>
      </c>
      <c r="L27" s="107">
        <v>0.8</v>
      </c>
      <c r="M27" s="107">
        <v>0</v>
      </c>
      <c r="N27" s="107">
        <v>0.8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5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0.8</v>
      </c>
      <c r="P28" s="107">
        <v>0</v>
      </c>
      <c r="Q28" s="107">
        <v>0</v>
      </c>
      <c r="R28" s="107">
        <v>0</v>
      </c>
      <c r="S28" s="107">
        <v>0</v>
      </c>
      <c r="T28" s="107">
        <v>0.8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5" t="s">
        <v>219</v>
      </c>
      <c r="B29" s="107">
        <v>0</v>
      </c>
      <c r="C29" s="107">
        <v>0</v>
      </c>
      <c r="D29" s="107">
        <v>0.8</v>
      </c>
      <c r="E29" s="107">
        <v>0</v>
      </c>
      <c r="F29" s="107">
        <v>0.8</v>
      </c>
      <c r="G29" s="107">
        <v>0.8</v>
      </c>
      <c r="H29" s="107">
        <v>0.8</v>
      </c>
      <c r="I29" s="107">
        <v>0</v>
      </c>
      <c r="J29" s="107">
        <v>0.8</v>
      </c>
      <c r="K29" s="107">
        <v>0</v>
      </c>
      <c r="L29" s="107">
        <v>0.8</v>
      </c>
      <c r="M29" s="107">
        <v>0</v>
      </c>
      <c r="N29" s="107">
        <v>0.8</v>
      </c>
      <c r="O29" s="107">
        <v>0.8</v>
      </c>
      <c r="P29" s="107">
        <v>0.8</v>
      </c>
      <c r="Q29" s="107">
        <v>0</v>
      </c>
      <c r="R29" s="107">
        <v>0.8</v>
      </c>
      <c r="S29" s="107">
        <v>0.8</v>
      </c>
      <c r="T29" s="107">
        <v>0.8</v>
      </c>
      <c r="U29" s="107">
        <v>0</v>
      </c>
      <c r="V29" s="107">
        <v>0.8</v>
      </c>
      <c r="W29" s="107">
        <v>0.8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5" t="s">
        <v>220</v>
      </c>
      <c r="B30" s="107">
        <v>0</v>
      </c>
      <c r="C30" s="107">
        <v>0</v>
      </c>
      <c r="D30" s="107">
        <v>0.8</v>
      </c>
      <c r="E30" s="107">
        <v>0</v>
      </c>
      <c r="F30" s="107">
        <v>0</v>
      </c>
      <c r="G30" s="107">
        <v>0.8</v>
      </c>
      <c r="H30" s="107">
        <v>0</v>
      </c>
      <c r="I30" s="107">
        <v>0</v>
      </c>
      <c r="J30" s="107">
        <v>0.8</v>
      </c>
      <c r="K30" s="107">
        <v>0</v>
      </c>
      <c r="L30" s="107">
        <v>0.8</v>
      </c>
      <c r="M30" s="107">
        <v>0</v>
      </c>
      <c r="N30" s="107">
        <v>0.8</v>
      </c>
      <c r="O30" s="107">
        <v>0.8</v>
      </c>
      <c r="P30" s="107">
        <v>0.8</v>
      </c>
      <c r="Q30" s="107">
        <v>0.8</v>
      </c>
      <c r="R30" s="107">
        <v>0.8</v>
      </c>
      <c r="S30" s="107">
        <v>0.8</v>
      </c>
      <c r="T30" s="107">
        <v>0.8</v>
      </c>
      <c r="U30" s="107">
        <v>0</v>
      </c>
      <c r="V30" s="107">
        <v>0.8</v>
      </c>
      <c r="W30" s="107">
        <v>0.8</v>
      </c>
      <c r="X30" s="107">
        <v>0</v>
      </c>
      <c r="Y30" s="107">
        <v>0</v>
      </c>
      <c r="Z30" s="107">
        <v>0</v>
      </c>
      <c r="AA30" s="107">
        <v>0</v>
      </c>
      <c r="AB30" s="107">
        <v>0.8</v>
      </c>
      <c r="AC30" s="107">
        <v>0.8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5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0.8</v>
      </c>
      <c r="Y31" s="107">
        <v>0</v>
      </c>
      <c r="Z31" s="107">
        <v>0.8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</row>
    <row r="32" spans="1:34" customFormat="1" x14ac:dyDescent="0.15">
      <c r="A32" s="185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0.8</v>
      </c>
      <c r="J32" s="107">
        <v>0.8</v>
      </c>
      <c r="K32" s="107">
        <v>0.8</v>
      </c>
      <c r="L32" s="107">
        <v>0.8</v>
      </c>
      <c r="M32" s="107">
        <v>0.8</v>
      </c>
      <c r="N32" s="107">
        <v>0.8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0.8</v>
      </c>
      <c r="AB32" s="107">
        <v>0.8</v>
      </c>
      <c r="AC32" s="107">
        <v>0.8</v>
      </c>
      <c r="AD32" s="107">
        <v>0.8</v>
      </c>
      <c r="AE32" s="107">
        <v>0</v>
      </c>
      <c r="AF32" s="107">
        <v>0</v>
      </c>
      <c r="AG32" s="107">
        <v>0</v>
      </c>
      <c r="AH32" s="107">
        <v>0</v>
      </c>
    </row>
    <row r="33" spans="1:34" x14ac:dyDescent="0.15">
      <c r="A33" s="185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0.8</v>
      </c>
      <c r="K33" s="107">
        <v>0</v>
      </c>
      <c r="L33" s="107">
        <v>0.8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0.8</v>
      </c>
      <c r="W33" s="107">
        <v>0</v>
      </c>
      <c r="X33" s="107">
        <v>0.8</v>
      </c>
      <c r="Y33" s="107">
        <v>0.8</v>
      </c>
      <c r="Z33" s="107">
        <v>0</v>
      </c>
      <c r="AA33" s="107">
        <v>0</v>
      </c>
      <c r="AB33" s="107">
        <v>0.8</v>
      </c>
      <c r="AC33" s="107">
        <v>0</v>
      </c>
      <c r="AD33" s="107">
        <v>0.8</v>
      </c>
      <c r="AE33" s="107">
        <v>0</v>
      </c>
      <c r="AF33" s="107">
        <v>0</v>
      </c>
      <c r="AG33" s="107">
        <v>0</v>
      </c>
      <c r="AH33" s="107">
        <v>0</v>
      </c>
    </row>
    <row r="34" spans="1:34" x14ac:dyDescent="0.15">
      <c r="A34" s="185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5" t="s">
        <v>234</v>
      </c>
      <c r="B35" s="107">
        <v>0</v>
      </c>
      <c r="C35" s="107">
        <v>0</v>
      </c>
      <c r="D35" s="107">
        <v>0</v>
      </c>
      <c r="E35" s="107">
        <v>0</v>
      </c>
      <c r="F35" s="107">
        <v>0.8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4" width="2.33203125" style="107" customWidth="1"/>
    <col min="35" max="16384" width="10.83203125" style="107"/>
  </cols>
  <sheetData>
    <row r="1" spans="1:34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</row>
    <row r="2" spans="1:34" customFormat="1" x14ac:dyDescent="0.15">
      <c r="A2" s="187" t="s">
        <v>192</v>
      </c>
      <c r="B2" s="107">
        <v>0</v>
      </c>
      <c r="C2" s="107">
        <v>0</v>
      </c>
      <c r="D2" s="107">
        <v>0</v>
      </c>
      <c r="E2" s="107">
        <v>1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7" t="s">
        <v>193</v>
      </c>
      <c r="B3" s="107">
        <v>0</v>
      </c>
      <c r="C3" s="107">
        <v>0</v>
      </c>
      <c r="D3" s="107">
        <v>1</v>
      </c>
      <c r="E3" s="107">
        <v>1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</row>
    <row r="4" spans="1:34" customFormat="1" x14ac:dyDescent="0.15">
      <c r="A4" s="187" t="s">
        <v>194</v>
      </c>
      <c r="B4" s="107">
        <v>0</v>
      </c>
      <c r="C4" s="107">
        <v>1</v>
      </c>
      <c r="D4" s="107">
        <v>1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7" t="s">
        <v>195</v>
      </c>
      <c r="B5" s="107">
        <v>0</v>
      </c>
      <c r="C5" s="107">
        <v>0</v>
      </c>
      <c r="D5" s="107">
        <v>0</v>
      </c>
      <c r="E5" s="107">
        <v>1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7" t="s">
        <v>196</v>
      </c>
      <c r="B6" s="107">
        <v>0</v>
      </c>
      <c r="C6" s="107">
        <v>0</v>
      </c>
      <c r="D6" s="107">
        <v>0</v>
      </c>
      <c r="E6" s="107">
        <v>1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7" t="s">
        <v>197</v>
      </c>
      <c r="B7" s="107">
        <v>0</v>
      </c>
      <c r="C7" s="107">
        <v>1</v>
      </c>
      <c r="D7" s="107">
        <v>1</v>
      </c>
      <c r="E7" s="107">
        <v>1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1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7" t="s">
        <v>198</v>
      </c>
      <c r="B8" s="107">
        <v>0</v>
      </c>
      <c r="C8" s="107">
        <v>1</v>
      </c>
      <c r="D8" s="107">
        <v>0</v>
      </c>
      <c r="E8" s="107">
        <v>1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1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7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1</v>
      </c>
      <c r="M9" s="107">
        <v>0</v>
      </c>
      <c r="N9" s="107">
        <v>1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1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7" t="s">
        <v>200</v>
      </c>
      <c r="B10" s="107">
        <v>1</v>
      </c>
      <c r="C10" s="107">
        <v>1</v>
      </c>
      <c r="D10" s="107">
        <v>1</v>
      </c>
      <c r="E10" s="107">
        <v>1</v>
      </c>
      <c r="F10" s="107">
        <v>1</v>
      </c>
      <c r="G10" s="107">
        <v>1</v>
      </c>
      <c r="H10" s="107">
        <v>1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1</v>
      </c>
      <c r="P10" s="107">
        <v>0</v>
      </c>
      <c r="Q10" s="107">
        <v>0</v>
      </c>
      <c r="R10" s="107">
        <v>0</v>
      </c>
      <c r="S10" s="107">
        <v>1</v>
      </c>
      <c r="T10" s="107">
        <v>1</v>
      </c>
      <c r="U10" s="107">
        <v>1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7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1</v>
      </c>
      <c r="K11" s="107">
        <v>0</v>
      </c>
      <c r="L11" s="107">
        <v>0</v>
      </c>
      <c r="M11" s="107">
        <v>0</v>
      </c>
      <c r="N11" s="107">
        <v>1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1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7" t="s">
        <v>202</v>
      </c>
      <c r="B12" s="107">
        <v>1</v>
      </c>
      <c r="C12" s="107">
        <v>1</v>
      </c>
      <c r="D12" s="107">
        <v>1</v>
      </c>
      <c r="E12" s="107">
        <v>1</v>
      </c>
      <c r="F12" s="107">
        <v>1</v>
      </c>
      <c r="G12" s="107">
        <v>1</v>
      </c>
      <c r="H12" s="107">
        <v>1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1</v>
      </c>
      <c r="T12" s="107">
        <v>1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7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1</v>
      </c>
      <c r="K13" s="107">
        <v>0</v>
      </c>
      <c r="L13" s="107">
        <v>1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7" t="s">
        <v>204</v>
      </c>
      <c r="B14" s="107">
        <v>1</v>
      </c>
      <c r="C14" s="107">
        <v>1</v>
      </c>
      <c r="D14" s="107">
        <v>1</v>
      </c>
      <c r="E14" s="107">
        <v>0</v>
      </c>
      <c r="F14" s="107">
        <v>1</v>
      </c>
      <c r="G14" s="107">
        <v>1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1</v>
      </c>
      <c r="S14" s="107">
        <v>1</v>
      </c>
      <c r="T14" s="107">
        <v>1</v>
      </c>
      <c r="U14" s="107">
        <v>1</v>
      </c>
      <c r="V14" s="107">
        <v>1</v>
      </c>
      <c r="W14" s="107">
        <v>1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7" t="s">
        <v>205</v>
      </c>
      <c r="B15" s="107">
        <v>1</v>
      </c>
      <c r="C15" s="107">
        <v>1</v>
      </c>
      <c r="D15" s="107">
        <v>1</v>
      </c>
      <c r="E15" s="107">
        <v>1</v>
      </c>
      <c r="F15" s="107">
        <v>1</v>
      </c>
      <c r="G15" s="107">
        <v>1</v>
      </c>
      <c r="H15" s="107">
        <v>1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1</v>
      </c>
      <c r="P15" s="107">
        <v>0</v>
      </c>
      <c r="Q15" s="107">
        <v>0</v>
      </c>
      <c r="R15" s="107">
        <v>0</v>
      </c>
      <c r="S15" s="107">
        <v>0</v>
      </c>
      <c r="T15" s="107">
        <v>1</v>
      </c>
      <c r="U15" s="107">
        <v>1</v>
      </c>
      <c r="V15" s="107">
        <v>1</v>
      </c>
      <c r="W15" s="107">
        <v>1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7" t="s">
        <v>206</v>
      </c>
      <c r="B16" s="107">
        <v>1</v>
      </c>
      <c r="C16" s="107">
        <v>1</v>
      </c>
      <c r="D16" s="107">
        <v>1</v>
      </c>
      <c r="E16" s="107">
        <v>0</v>
      </c>
      <c r="F16" s="107">
        <v>1</v>
      </c>
      <c r="G16" s="107">
        <v>1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1</v>
      </c>
      <c r="P16" s="107">
        <v>0</v>
      </c>
      <c r="Q16" s="107">
        <v>0</v>
      </c>
      <c r="R16" s="107">
        <v>1</v>
      </c>
      <c r="S16" s="107">
        <v>1</v>
      </c>
      <c r="T16" s="107">
        <v>1</v>
      </c>
      <c r="U16" s="107">
        <v>1</v>
      </c>
      <c r="V16" s="107">
        <v>1</v>
      </c>
      <c r="W16" s="107">
        <v>1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7" t="s">
        <v>207</v>
      </c>
      <c r="B17" s="107">
        <v>0</v>
      </c>
      <c r="C17" s="107">
        <v>1</v>
      </c>
      <c r="D17" s="107">
        <v>1</v>
      </c>
      <c r="E17" s="107">
        <v>0</v>
      </c>
      <c r="F17" s="107">
        <v>0</v>
      </c>
      <c r="G17" s="107">
        <v>1</v>
      </c>
      <c r="H17" s="107">
        <v>1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1</v>
      </c>
      <c r="U17" s="107">
        <v>1</v>
      </c>
      <c r="V17" s="107">
        <v>0</v>
      </c>
      <c r="W17" s="107">
        <v>1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7" t="s">
        <v>208</v>
      </c>
      <c r="B18" s="107">
        <v>0</v>
      </c>
      <c r="C18" s="107">
        <v>1</v>
      </c>
      <c r="D18" s="107">
        <v>0</v>
      </c>
      <c r="E18" s="107">
        <v>1</v>
      </c>
      <c r="F18" s="107">
        <v>1</v>
      </c>
      <c r="G18" s="107">
        <v>1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1</v>
      </c>
      <c r="U18" s="107">
        <v>1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7" t="s">
        <v>209</v>
      </c>
      <c r="B19" s="107">
        <v>1</v>
      </c>
      <c r="C19" s="107">
        <v>1</v>
      </c>
      <c r="D19" s="107">
        <v>1</v>
      </c>
      <c r="E19" s="107">
        <v>0</v>
      </c>
      <c r="F19" s="107">
        <v>1</v>
      </c>
      <c r="G19" s="107">
        <v>1</v>
      </c>
      <c r="H19" s="107">
        <v>1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1</v>
      </c>
      <c r="U19" s="107">
        <v>1</v>
      </c>
      <c r="V19" s="107">
        <v>1</v>
      </c>
      <c r="W19" s="107">
        <v>1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7" t="s">
        <v>210</v>
      </c>
      <c r="B20" s="107">
        <v>1</v>
      </c>
      <c r="C20" s="107">
        <v>1</v>
      </c>
      <c r="D20" s="107">
        <v>0</v>
      </c>
      <c r="E20" s="107">
        <v>1</v>
      </c>
      <c r="F20" s="107">
        <v>1</v>
      </c>
      <c r="G20" s="107">
        <v>1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1</v>
      </c>
      <c r="U20" s="107">
        <v>1</v>
      </c>
      <c r="V20" s="107">
        <v>1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7" t="s">
        <v>211</v>
      </c>
      <c r="B21" s="107">
        <v>0</v>
      </c>
      <c r="C21" s="107">
        <v>0</v>
      </c>
      <c r="D21" s="107">
        <v>0</v>
      </c>
      <c r="E21" s="107">
        <v>1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1</v>
      </c>
      <c r="U21" s="107">
        <v>1</v>
      </c>
      <c r="V21" s="107">
        <v>1</v>
      </c>
      <c r="W21" s="107">
        <v>0</v>
      </c>
      <c r="X21" s="107">
        <v>0</v>
      </c>
      <c r="Y21" s="107">
        <v>1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7" t="s">
        <v>212</v>
      </c>
      <c r="B22" s="107">
        <v>0</v>
      </c>
      <c r="C22" s="107">
        <v>0</v>
      </c>
      <c r="D22" s="107">
        <v>1</v>
      </c>
      <c r="E22" s="107">
        <v>1</v>
      </c>
      <c r="F22" s="107">
        <v>0</v>
      </c>
      <c r="G22" s="107">
        <v>1</v>
      </c>
      <c r="H22" s="107">
        <v>1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1</v>
      </c>
      <c r="U22" s="107">
        <v>1</v>
      </c>
      <c r="V22" s="107">
        <v>1</v>
      </c>
      <c r="W22" s="107">
        <v>0</v>
      </c>
      <c r="X22" s="107">
        <v>0</v>
      </c>
      <c r="Y22" s="107">
        <v>1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7" t="s">
        <v>213</v>
      </c>
      <c r="B23" s="107">
        <v>1</v>
      </c>
      <c r="C23" s="107">
        <v>1</v>
      </c>
      <c r="D23" s="107">
        <v>1</v>
      </c>
      <c r="E23" s="107">
        <v>1</v>
      </c>
      <c r="F23" s="107">
        <v>1</v>
      </c>
      <c r="G23" s="107">
        <v>1</v>
      </c>
      <c r="H23" s="107">
        <v>1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1</v>
      </c>
      <c r="S23" s="107">
        <v>1</v>
      </c>
      <c r="T23" s="107">
        <v>1</v>
      </c>
      <c r="U23" s="107">
        <v>1</v>
      </c>
      <c r="V23" s="107">
        <v>1</v>
      </c>
      <c r="W23" s="107">
        <v>1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7" t="s">
        <v>214</v>
      </c>
      <c r="B24" s="107">
        <v>0</v>
      </c>
      <c r="C24" s="107">
        <v>0</v>
      </c>
      <c r="D24" s="107">
        <v>0</v>
      </c>
      <c r="E24" s="107">
        <v>1</v>
      </c>
      <c r="F24" s="107">
        <v>0</v>
      </c>
      <c r="G24" s="107">
        <v>1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1</v>
      </c>
      <c r="P24" s="107">
        <v>0</v>
      </c>
      <c r="Q24" s="107">
        <v>0</v>
      </c>
      <c r="R24" s="107">
        <v>0</v>
      </c>
      <c r="S24" s="107">
        <v>1</v>
      </c>
      <c r="T24" s="107">
        <v>1</v>
      </c>
      <c r="U24" s="107">
        <v>1</v>
      </c>
      <c r="V24" s="107">
        <v>0</v>
      </c>
      <c r="W24" s="107">
        <v>0</v>
      </c>
      <c r="X24" s="107">
        <v>1</v>
      </c>
      <c r="Y24" s="107">
        <v>1</v>
      </c>
      <c r="Z24" s="107">
        <v>1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7" t="s">
        <v>215</v>
      </c>
      <c r="B25" s="107">
        <v>0</v>
      </c>
      <c r="C25" s="107">
        <v>0</v>
      </c>
      <c r="D25" s="107">
        <v>0</v>
      </c>
      <c r="E25" s="107">
        <v>1</v>
      </c>
      <c r="F25" s="107">
        <v>0</v>
      </c>
      <c r="G25" s="107">
        <v>1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1</v>
      </c>
      <c r="W25" s="107">
        <v>0</v>
      </c>
      <c r="X25" s="107">
        <v>1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7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1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1</v>
      </c>
      <c r="W26" s="107">
        <v>0</v>
      </c>
      <c r="X26" s="107">
        <v>1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7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1</v>
      </c>
      <c r="K27" s="107">
        <v>0</v>
      </c>
      <c r="L27" s="107">
        <v>1</v>
      </c>
      <c r="M27" s="107">
        <v>0</v>
      </c>
      <c r="N27" s="107">
        <v>1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7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1</v>
      </c>
      <c r="P28" s="107">
        <v>0</v>
      </c>
      <c r="Q28" s="107">
        <v>0</v>
      </c>
      <c r="R28" s="107">
        <v>0</v>
      </c>
      <c r="S28" s="107">
        <v>0</v>
      </c>
      <c r="T28" s="107">
        <v>1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7" t="s">
        <v>219</v>
      </c>
      <c r="B29" s="107">
        <v>0</v>
      </c>
      <c r="C29" s="107">
        <v>0</v>
      </c>
      <c r="D29" s="107">
        <v>1</v>
      </c>
      <c r="E29" s="107">
        <v>0</v>
      </c>
      <c r="F29" s="107">
        <v>1</v>
      </c>
      <c r="G29" s="107">
        <v>1</v>
      </c>
      <c r="H29" s="107">
        <v>1</v>
      </c>
      <c r="I29" s="107">
        <v>0</v>
      </c>
      <c r="J29" s="107">
        <v>1</v>
      </c>
      <c r="K29" s="107">
        <v>0</v>
      </c>
      <c r="L29" s="107">
        <v>1</v>
      </c>
      <c r="M29" s="107">
        <v>0</v>
      </c>
      <c r="N29" s="107">
        <v>1</v>
      </c>
      <c r="O29" s="107">
        <v>1</v>
      </c>
      <c r="P29" s="107">
        <v>1</v>
      </c>
      <c r="Q29" s="107">
        <v>0</v>
      </c>
      <c r="R29" s="107">
        <v>1</v>
      </c>
      <c r="S29" s="107">
        <v>1</v>
      </c>
      <c r="T29" s="107">
        <v>1</v>
      </c>
      <c r="U29" s="107">
        <v>0</v>
      </c>
      <c r="V29" s="107">
        <v>1</v>
      </c>
      <c r="W29" s="107">
        <v>1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7" t="s">
        <v>220</v>
      </c>
      <c r="B30" s="107">
        <v>0</v>
      </c>
      <c r="C30" s="107">
        <v>0</v>
      </c>
      <c r="D30" s="107">
        <v>1</v>
      </c>
      <c r="E30" s="107">
        <v>0</v>
      </c>
      <c r="F30" s="107">
        <v>0</v>
      </c>
      <c r="G30" s="107">
        <v>1</v>
      </c>
      <c r="H30" s="107">
        <v>0</v>
      </c>
      <c r="I30" s="107">
        <v>0</v>
      </c>
      <c r="J30" s="107">
        <v>1</v>
      </c>
      <c r="K30" s="107">
        <v>0</v>
      </c>
      <c r="L30" s="107">
        <v>1</v>
      </c>
      <c r="M30" s="107">
        <v>0</v>
      </c>
      <c r="N30" s="107">
        <v>1</v>
      </c>
      <c r="O30" s="107">
        <v>1</v>
      </c>
      <c r="P30" s="107">
        <v>1</v>
      </c>
      <c r="Q30" s="107">
        <v>1</v>
      </c>
      <c r="R30" s="107">
        <v>1</v>
      </c>
      <c r="S30" s="107">
        <v>1</v>
      </c>
      <c r="T30" s="107">
        <v>1</v>
      </c>
      <c r="U30" s="107">
        <v>0</v>
      </c>
      <c r="V30" s="107">
        <v>1</v>
      </c>
      <c r="W30" s="107">
        <v>1</v>
      </c>
      <c r="X30" s="107">
        <v>0</v>
      </c>
      <c r="Y30" s="107">
        <v>0</v>
      </c>
      <c r="Z30" s="107">
        <v>0</v>
      </c>
      <c r="AA30" s="107">
        <v>0</v>
      </c>
      <c r="AB30" s="107">
        <v>1</v>
      </c>
      <c r="AC30" s="107">
        <v>1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7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1</v>
      </c>
      <c r="Y31" s="107">
        <v>0</v>
      </c>
      <c r="Z31" s="107">
        <v>1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</row>
    <row r="32" spans="1:34" x14ac:dyDescent="0.15">
      <c r="A32" s="187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1</v>
      </c>
      <c r="J32" s="107">
        <v>1</v>
      </c>
      <c r="K32" s="107">
        <v>1</v>
      </c>
      <c r="L32" s="107">
        <v>1</v>
      </c>
      <c r="M32" s="107">
        <v>1</v>
      </c>
      <c r="N32" s="107">
        <v>1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1</v>
      </c>
      <c r="AB32" s="107">
        <v>1</v>
      </c>
      <c r="AC32" s="107">
        <v>1</v>
      </c>
      <c r="AD32" s="107">
        <v>1</v>
      </c>
      <c r="AE32" s="107">
        <v>0</v>
      </c>
      <c r="AF32" s="107">
        <v>0</v>
      </c>
      <c r="AG32" s="107">
        <v>0</v>
      </c>
      <c r="AH32" s="107">
        <v>0</v>
      </c>
    </row>
    <row r="33" spans="1:34" x14ac:dyDescent="0.15">
      <c r="A33" s="187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1</v>
      </c>
      <c r="K33" s="107">
        <v>0</v>
      </c>
      <c r="L33" s="107">
        <v>1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1</v>
      </c>
      <c r="W33" s="107">
        <v>0</v>
      </c>
      <c r="X33" s="107">
        <v>1</v>
      </c>
      <c r="Y33" s="107">
        <v>1</v>
      </c>
      <c r="Z33" s="107">
        <v>0</v>
      </c>
      <c r="AA33" s="107">
        <v>0</v>
      </c>
      <c r="AB33" s="107">
        <v>1</v>
      </c>
      <c r="AC33" s="107">
        <v>0</v>
      </c>
      <c r="AD33" s="107">
        <v>1</v>
      </c>
      <c r="AE33" s="107">
        <v>0</v>
      </c>
      <c r="AF33" s="107">
        <v>0</v>
      </c>
      <c r="AG33" s="107">
        <v>0</v>
      </c>
      <c r="AH33" s="107">
        <v>0</v>
      </c>
    </row>
    <row r="34" spans="1:34" x14ac:dyDescent="0.15">
      <c r="A34" s="187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7" t="s">
        <v>234</v>
      </c>
      <c r="B35" s="107">
        <v>0</v>
      </c>
      <c r="C35" s="107">
        <v>0</v>
      </c>
      <c r="D35" s="107">
        <v>0</v>
      </c>
      <c r="E35" s="107">
        <v>0</v>
      </c>
      <c r="F35" s="107">
        <v>1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L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4" width="3.83203125" bestFit="1" customWidth="1"/>
    <col min="5" max="12" width="3.83203125" customWidth="1"/>
  </cols>
  <sheetData>
    <row r="1" spans="1:12" ht="112" x14ac:dyDescent="0.15">
      <c r="A1" s="5" t="s">
        <v>83</v>
      </c>
      <c r="B1" s="3" t="s">
        <v>0</v>
      </c>
      <c r="C1" s="190" t="s">
        <v>225</v>
      </c>
      <c r="D1" s="190" t="s">
        <v>226</v>
      </c>
      <c r="E1" s="190" t="s">
        <v>227</v>
      </c>
      <c r="F1" s="190" t="s">
        <v>228</v>
      </c>
      <c r="G1" s="190" t="s">
        <v>229</v>
      </c>
      <c r="H1" s="190" t="s">
        <v>216</v>
      </c>
      <c r="I1" s="190" t="s">
        <v>230</v>
      </c>
      <c r="J1" s="190" t="s">
        <v>231</v>
      </c>
      <c r="K1" s="190" t="s">
        <v>232</v>
      </c>
      <c r="L1" s="190" t="s">
        <v>233</v>
      </c>
    </row>
    <row r="2" spans="1:12" x14ac:dyDescent="0.15">
      <c r="A2">
        <v>1</v>
      </c>
      <c r="B2" s="18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89" t="s">
        <v>193</v>
      </c>
      <c r="C3">
        <v>0</v>
      </c>
      <c r="D3">
        <v>0.8</v>
      </c>
      <c r="E3">
        <v>0.8</v>
      </c>
      <c r="F3">
        <v>0</v>
      </c>
      <c r="G3">
        <v>0</v>
      </c>
      <c r="H3">
        <v>0</v>
      </c>
      <c r="I3">
        <v>0</v>
      </c>
      <c r="J3">
        <v>0</v>
      </c>
      <c r="K3">
        <v>0.8</v>
      </c>
      <c r="L3">
        <v>0</v>
      </c>
    </row>
    <row r="4" spans="1:12" x14ac:dyDescent="0.15">
      <c r="A4">
        <v>3</v>
      </c>
      <c r="B4" s="18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89" t="s">
        <v>195</v>
      </c>
      <c r="C5">
        <v>0</v>
      </c>
      <c r="D5">
        <v>0.8</v>
      </c>
      <c r="E5">
        <v>0.8</v>
      </c>
      <c r="F5">
        <v>0.8</v>
      </c>
      <c r="G5">
        <v>0</v>
      </c>
      <c r="H5">
        <v>0</v>
      </c>
      <c r="I5">
        <v>0.8</v>
      </c>
      <c r="J5">
        <v>0.8</v>
      </c>
      <c r="K5">
        <v>0</v>
      </c>
      <c r="L5">
        <v>0</v>
      </c>
    </row>
    <row r="6" spans="1:12" x14ac:dyDescent="0.15">
      <c r="A6">
        <v>5</v>
      </c>
      <c r="B6" s="189" t="s">
        <v>196</v>
      </c>
      <c r="C6">
        <v>0.8</v>
      </c>
      <c r="D6">
        <v>0</v>
      </c>
      <c r="E6">
        <v>0</v>
      </c>
      <c r="F6">
        <v>0.8</v>
      </c>
      <c r="G6">
        <v>0</v>
      </c>
      <c r="H6">
        <v>0</v>
      </c>
      <c r="I6">
        <v>0.8</v>
      </c>
      <c r="J6">
        <v>0</v>
      </c>
      <c r="K6">
        <v>0</v>
      </c>
      <c r="L6">
        <v>0</v>
      </c>
    </row>
    <row r="7" spans="1:12" x14ac:dyDescent="0.15">
      <c r="A7">
        <v>6</v>
      </c>
      <c r="B7" s="189" t="s">
        <v>197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  <c r="I7">
        <v>0.8</v>
      </c>
      <c r="J7">
        <v>0</v>
      </c>
      <c r="K7">
        <v>0</v>
      </c>
      <c r="L7">
        <v>0</v>
      </c>
    </row>
    <row r="8" spans="1:12" x14ac:dyDescent="0.15">
      <c r="A8">
        <v>7</v>
      </c>
      <c r="B8" s="189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0.8</v>
      </c>
      <c r="J8">
        <v>0.8</v>
      </c>
      <c r="K8">
        <v>0</v>
      </c>
      <c r="L8">
        <v>0</v>
      </c>
    </row>
    <row r="9" spans="1:12" x14ac:dyDescent="0.15">
      <c r="A9">
        <v>8</v>
      </c>
      <c r="B9" s="18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x14ac:dyDescent="0.15">
      <c r="A10">
        <v>9</v>
      </c>
      <c r="B10" s="189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89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8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15">
      <c r="A14">
        <v>13</v>
      </c>
      <c r="B14" s="189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15">
      <c r="A15">
        <v>14</v>
      </c>
      <c r="B15" s="189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89" t="s">
        <v>206</v>
      </c>
      <c r="C16">
        <v>0.8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15">
      <c r="A17">
        <v>16</v>
      </c>
      <c r="B17" s="189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15">
      <c r="A18">
        <v>17</v>
      </c>
      <c r="B18" s="189" t="s">
        <v>208</v>
      </c>
      <c r="C18">
        <v>0</v>
      </c>
      <c r="D18">
        <v>0.8</v>
      </c>
      <c r="E18">
        <v>0.8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x14ac:dyDescent="0.15">
      <c r="A19">
        <v>18</v>
      </c>
      <c r="B19" s="189" t="s">
        <v>209</v>
      </c>
      <c r="C19">
        <v>0</v>
      </c>
      <c r="D19">
        <v>0.8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15">
      <c r="A20">
        <v>19</v>
      </c>
      <c r="B20" s="189" t="s">
        <v>210</v>
      </c>
      <c r="C20">
        <v>0</v>
      </c>
      <c r="D20">
        <v>0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89" t="s">
        <v>211</v>
      </c>
      <c r="C21">
        <v>0</v>
      </c>
      <c r="D21">
        <v>0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15">
      <c r="A22">
        <v>21</v>
      </c>
      <c r="B22" s="189" t="s">
        <v>212</v>
      </c>
      <c r="C22">
        <v>0</v>
      </c>
      <c r="D22">
        <v>0</v>
      </c>
      <c r="E22">
        <v>0.8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89" t="s">
        <v>213</v>
      </c>
      <c r="C23">
        <v>0</v>
      </c>
      <c r="D23">
        <v>0</v>
      </c>
      <c r="E23">
        <v>0.8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15">
      <c r="A24">
        <v>23</v>
      </c>
      <c r="B24" s="18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15">
      <c r="A25">
        <v>24</v>
      </c>
      <c r="B25" s="189" t="s">
        <v>215</v>
      </c>
      <c r="C25">
        <v>0</v>
      </c>
      <c r="D25">
        <v>0</v>
      </c>
      <c r="E25">
        <v>0</v>
      </c>
      <c r="F25">
        <v>0</v>
      </c>
      <c r="G25">
        <v>0.8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0.8</v>
      </c>
      <c r="I26">
        <v>0</v>
      </c>
      <c r="J26">
        <v>0</v>
      </c>
      <c r="K26">
        <v>0</v>
      </c>
      <c r="L26">
        <v>0</v>
      </c>
    </row>
    <row r="27" spans="1:12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15">
      <c r="A28">
        <v>27</v>
      </c>
      <c r="B28" s="189" t="s">
        <v>218</v>
      </c>
      <c r="C28">
        <v>0.8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0.8</v>
      </c>
    </row>
    <row r="32" spans="1:12" x14ac:dyDescent="0.15">
      <c r="A32">
        <v>31</v>
      </c>
      <c r="B32" s="18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15">
      <c r="A33">
        <v>32</v>
      </c>
      <c r="B33" s="18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15">
      <c r="A34">
        <v>33</v>
      </c>
      <c r="B34" s="18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L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4" width="3.83203125" bestFit="1" customWidth="1"/>
    <col min="5" max="12" width="3.83203125" customWidth="1"/>
  </cols>
  <sheetData>
    <row r="1" spans="1:12" ht="112" x14ac:dyDescent="0.15">
      <c r="A1" s="5" t="s">
        <v>82</v>
      </c>
      <c r="B1" s="3" t="s">
        <v>0</v>
      </c>
      <c r="C1" s="192" t="s">
        <v>225</v>
      </c>
      <c r="D1" s="192" t="s">
        <v>226</v>
      </c>
      <c r="E1" s="192" t="s">
        <v>227</v>
      </c>
      <c r="F1" s="192" t="s">
        <v>228</v>
      </c>
      <c r="G1" s="192" t="s">
        <v>229</v>
      </c>
      <c r="H1" s="192" t="s">
        <v>216</v>
      </c>
      <c r="I1" s="192" t="s">
        <v>230</v>
      </c>
      <c r="J1" s="192" t="s">
        <v>231</v>
      </c>
      <c r="K1" s="192" t="s">
        <v>232</v>
      </c>
      <c r="L1" s="192" t="s">
        <v>233</v>
      </c>
    </row>
    <row r="2" spans="1:12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91" t="s">
        <v>193</v>
      </c>
      <c r="C3">
        <v>0</v>
      </c>
      <c r="D3">
        <v>0.8</v>
      </c>
      <c r="E3">
        <v>0.8</v>
      </c>
      <c r="F3">
        <v>0</v>
      </c>
      <c r="G3">
        <v>0</v>
      </c>
      <c r="H3">
        <v>0</v>
      </c>
      <c r="I3">
        <v>0</v>
      </c>
      <c r="J3">
        <v>0</v>
      </c>
      <c r="K3">
        <v>0.8</v>
      </c>
      <c r="L3">
        <v>0</v>
      </c>
    </row>
    <row r="4" spans="1:12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91" t="s">
        <v>195</v>
      </c>
      <c r="C5">
        <v>0</v>
      </c>
      <c r="D5">
        <v>0.8</v>
      </c>
      <c r="E5">
        <v>0.8</v>
      </c>
      <c r="F5">
        <v>0.8</v>
      </c>
      <c r="G5">
        <v>0</v>
      </c>
      <c r="H5">
        <v>0</v>
      </c>
      <c r="I5">
        <v>0.8</v>
      </c>
      <c r="J5">
        <v>0.8</v>
      </c>
      <c r="K5">
        <v>0</v>
      </c>
      <c r="L5">
        <v>0</v>
      </c>
    </row>
    <row r="6" spans="1:12" x14ac:dyDescent="0.15">
      <c r="A6">
        <v>5</v>
      </c>
      <c r="B6" s="191" t="s">
        <v>196</v>
      </c>
      <c r="C6">
        <v>0.8</v>
      </c>
      <c r="D6">
        <v>0</v>
      </c>
      <c r="E6">
        <v>0</v>
      </c>
      <c r="F6">
        <v>0.8</v>
      </c>
      <c r="G6">
        <v>0</v>
      </c>
      <c r="H6">
        <v>0</v>
      </c>
      <c r="I6">
        <v>0.8</v>
      </c>
      <c r="J6">
        <v>0</v>
      </c>
      <c r="K6">
        <v>0</v>
      </c>
      <c r="L6">
        <v>0</v>
      </c>
    </row>
    <row r="7" spans="1:12" x14ac:dyDescent="0.15">
      <c r="A7">
        <v>6</v>
      </c>
      <c r="B7" s="191" t="s">
        <v>197</v>
      </c>
      <c r="C7">
        <v>0</v>
      </c>
      <c r="D7">
        <v>0.8</v>
      </c>
      <c r="E7">
        <v>0</v>
      </c>
      <c r="F7">
        <v>0</v>
      </c>
      <c r="G7">
        <v>0</v>
      </c>
      <c r="H7">
        <v>0</v>
      </c>
      <c r="I7">
        <v>0.8</v>
      </c>
      <c r="J7">
        <v>0</v>
      </c>
      <c r="K7">
        <v>0</v>
      </c>
      <c r="L7">
        <v>0</v>
      </c>
    </row>
    <row r="8" spans="1:12" x14ac:dyDescent="0.15">
      <c r="A8">
        <v>7</v>
      </c>
      <c r="B8" s="19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0.8</v>
      </c>
      <c r="J8">
        <v>0.8</v>
      </c>
      <c r="K8">
        <v>0</v>
      </c>
      <c r="L8">
        <v>0</v>
      </c>
    </row>
    <row r="9" spans="1:12" x14ac:dyDescent="0.15">
      <c r="A9">
        <v>8</v>
      </c>
      <c r="B9" s="19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x14ac:dyDescent="0.15">
      <c r="A10">
        <v>9</v>
      </c>
      <c r="B10" s="191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9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91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91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15">
      <c r="A14">
        <v>13</v>
      </c>
      <c r="B14" s="191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15">
      <c r="A15">
        <v>14</v>
      </c>
      <c r="B15" s="191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91" t="s">
        <v>206</v>
      </c>
      <c r="C16">
        <v>0.8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15">
      <c r="A17">
        <v>16</v>
      </c>
      <c r="B17" s="191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15">
      <c r="A18">
        <v>17</v>
      </c>
      <c r="B18" s="191" t="s">
        <v>208</v>
      </c>
      <c r="C18">
        <v>0</v>
      </c>
      <c r="D18">
        <v>0.8</v>
      </c>
      <c r="E18">
        <v>0.8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x14ac:dyDescent="0.15">
      <c r="A19">
        <v>18</v>
      </c>
      <c r="B19" s="191" t="s">
        <v>209</v>
      </c>
      <c r="C19">
        <v>0</v>
      </c>
      <c r="D19">
        <v>0.8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15">
      <c r="A20">
        <v>19</v>
      </c>
      <c r="B20" s="191" t="s">
        <v>210</v>
      </c>
      <c r="C20">
        <v>0</v>
      </c>
      <c r="D20">
        <v>0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91" t="s">
        <v>211</v>
      </c>
      <c r="C21">
        <v>0</v>
      </c>
      <c r="D21">
        <v>0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15">
      <c r="A22">
        <v>21</v>
      </c>
      <c r="B22" s="191" t="s">
        <v>212</v>
      </c>
      <c r="C22">
        <v>0</v>
      </c>
      <c r="D22">
        <v>0</v>
      </c>
      <c r="E22">
        <v>0.8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91" t="s">
        <v>213</v>
      </c>
      <c r="C23">
        <v>0</v>
      </c>
      <c r="D23">
        <v>0</v>
      </c>
      <c r="E23">
        <v>0.8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15">
      <c r="A24">
        <v>23</v>
      </c>
      <c r="B24" s="191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15">
      <c r="A25">
        <v>24</v>
      </c>
      <c r="B25" s="191" t="s">
        <v>215</v>
      </c>
      <c r="C25">
        <v>0</v>
      </c>
      <c r="D25">
        <v>0</v>
      </c>
      <c r="E25">
        <v>0</v>
      </c>
      <c r="F25">
        <v>0</v>
      </c>
      <c r="G25">
        <v>0.8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 x14ac:dyDescent="0.15">
      <c r="A26">
        <v>25</v>
      </c>
      <c r="B26" s="19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0.8</v>
      </c>
      <c r="I26">
        <v>0</v>
      </c>
      <c r="J26">
        <v>0</v>
      </c>
      <c r="K26">
        <v>0</v>
      </c>
      <c r="L26">
        <v>0</v>
      </c>
    </row>
    <row r="27" spans="1:12" x14ac:dyDescent="0.15">
      <c r="A27">
        <v>26</v>
      </c>
      <c r="B27" s="191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15">
      <c r="A28">
        <v>27</v>
      </c>
      <c r="B28" s="191" t="s">
        <v>218</v>
      </c>
      <c r="C28">
        <v>0.8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15">
      <c r="A29">
        <v>28</v>
      </c>
      <c r="B29" s="19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 x14ac:dyDescent="0.15">
      <c r="A30">
        <v>29</v>
      </c>
      <c r="B30" s="19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15">
      <c r="A31">
        <v>30</v>
      </c>
      <c r="B31" s="19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0.8</v>
      </c>
    </row>
    <row r="32" spans="1:12" x14ac:dyDescent="0.15">
      <c r="A32">
        <v>31</v>
      </c>
      <c r="B32" s="19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15">
      <c r="A33">
        <v>32</v>
      </c>
      <c r="B33" s="19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15">
      <c r="A34">
        <v>33</v>
      </c>
      <c r="B34" s="19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4.2284970283508301</v>
      </c>
      <c r="D2" s="9">
        <v>2.7262570336461067E-2</v>
      </c>
      <c r="E2" s="9">
        <v>1</v>
      </c>
      <c r="F2" s="9">
        <v>12.65822696685791</v>
      </c>
      <c r="G2" s="9">
        <v>3.01087386906147E-2</v>
      </c>
      <c r="H2" s="9">
        <v>7.9000003635883331E-2</v>
      </c>
      <c r="I2">
        <v>0</v>
      </c>
      <c r="J2"/>
    </row>
    <row r="3" spans="1:10" ht="15" customHeight="1" x14ac:dyDescent="0.15">
      <c r="A3" s="145">
        <v>2</v>
      </c>
      <c r="B3" s="145" t="s">
        <v>193</v>
      </c>
      <c r="C3" s="8">
        <v>3.8434796333312988</v>
      </c>
      <c r="D3" s="9">
        <v>0.15000000596046448</v>
      </c>
      <c r="E3" s="9">
        <v>7.9999998211860657E-2</v>
      </c>
      <c r="F3" s="9">
        <v>19.44444465637207</v>
      </c>
      <c r="G3" s="9">
        <v>0.4731997549533844</v>
      </c>
      <c r="H3" s="9">
        <v>4.1142855770885944E-3</v>
      </c>
      <c r="I3">
        <v>4.8372503370046616E-3</v>
      </c>
      <c r="J3"/>
    </row>
    <row r="4" spans="1:10" ht="15" customHeight="1" x14ac:dyDescent="0.15">
      <c r="A4" s="146">
        <v>3</v>
      </c>
      <c r="B4" s="146" t="s">
        <v>194</v>
      </c>
      <c r="C4" s="8">
        <v>3.5366220474243164</v>
      </c>
      <c r="D4" s="9">
        <v>1.6878960654139519E-2</v>
      </c>
      <c r="E4" s="9">
        <v>0.15999999642372131</v>
      </c>
      <c r="F4" s="9">
        <v>120.30000305175781</v>
      </c>
      <c r="G4" s="9">
        <v>0.83816325664520264</v>
      </c>
      <c r="H4" s="9">
        <v>1.3300082646310329E-3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4.092689037322998</v>
      </c>
      <c r="D5" s="9">
        <v>0.41121974587440491</v>
      </c>
      <c r="E5" s="9">
        <v>0.5</v>
      </c>
      <c r="F5" s="9">
        <v>2</v>
      </c>
      <c r="G5" s="9">
        <v>0.57660412788391113</v>
      </c>
      <c r="H5" s="9">
        <v>0.25</v>
      </c>
      <c r="I5">
        <v>2.3599997803103179E-4</v>
      </c>
      <c r="J5"/>
    </row>
    <row r="6" spans="1:10" ht="15" customHeight="1" x14ac:dyDescent="0.15">
      <c r="A6" s="148">
        <v>5</v>
      </c>
      <c r="B6" s="148" t="s">
        <v>196</v>
      </c>
      <c r="C6" s="8">
        <v>3.8981204032897949</v>
      </c>
      <c r="D6" s="9">
        <v>1</v>
      </c>
      <c r="E6" s="9">
        <v>0.25</v>
      </c>
      <c r="F6" s="9">
        <v>5</v>
      </c>
      <c r="G6" s="9">
        <v>2.3846494033932686E-2</v>
      </c>
      <c r="H6" s="9">
        <v>5.000000074505806E-2</v>
      </c>
      <c r="I6">
        <v>5.1407818682491779E-3</v>
      </c>
      <c r="J6"/>
    </row>
    <row r="7" spans="1:10" ht="15" customHeight="1" x14ac:dyDescent="0.15">
      <c r="A7" s="149">
        <v>6</v>
      </c>
      <c r="B7" s="149" t="s">
        <v>197</v>
      </c>
      <c r="C7" s="8">
        <v>3.658167839050293</v>
      </c>
      <c r="D7" s="9">
        <v>0.66420400142669678</v>
      </c>
      <c r="E7" s="9">
        <v>0.25</v>
      </c>
      <c r="F7" s="9">
        <v>2.5</v>
      </c>
      <c r="G7" s="9">
        <v>0.94999998807907104</v>
      </c>
      <c r="H7" s="9">
        <v>0.10000000149011612</v>
      </c>
      <c r="I7">
        <v>1.6600312665104866E-2</v>
      </c>
      <c r="J7"/>
    </row>
    <row r="8" spans="1:10" ht="15" customHeight="1" x14ac:dyDescent="0.15">
      <c r="A8" s="150">
        <v>7</v>
      </c>
      <c r="B8" s="150" t="s">
        <v>198</v>
      </c>
      <c r="C8" s="8">
        <v>3.7373313903808594</v>
      </c>
      <c r="D8" s="9">
        <v>0.12135422229766846</v>
      </c>
      <c r="E8" s="9">
        <v>0.20000000298023224</v>
      </c>
      <c r="F8" s="9">
        <v>2</v>
      </c>
      <c r="G8" s="9">
        <v>0.58474838733673096</v>
      </c>
      <c r="H8" s="9">
        <v>0.10000000149011612</v>
      </c>
      <c r="I8">
        <v>6.5000001341104507E-3</v>
      </c>
      <c r="J8"/>
    </row>
    <row r="9" spans="1:10" ht="15" customHeight="1" x14ac:dyDescent="0.15">
      <c r="A9" s="151">
        <v>8</v>
      </c>
      <c r="B9" s="151" t="s">
        <v>199</v>
      </c>
      <c r="C9" s="8">
        <v>2</v>
      </c>
      <c r="D9" s="9">
        <v>4.8929974436759949E-3</v>
      </c>
      <c r="E9" s="9">
        <v>10</v>
      </c>
      <c r="F9" s="9">
        <v>103.904541015625</v>
      </c>
      <c r="G9" s="9">
        <v>0.70284175872802734</v>
      </c>
      <c r="H9" s="9">
        <v>9.6242181956768036E-2</v>
      </c>
      <c r="I9">
        <v>0</v>
      </c>
      <c r="J9"/>
    </row>
    <row r="10" spans="1:10" ht="15" customHeight="1" x14ac:dyDescent="0.15">
      <c r="A10" s="152">
        <v>9</v>
      </c>
      <c r="B10" s="152" t="s">
        <v>200</v>
      </c>
      <c r="C10" s="8">
        <v>2.7597861289978027</v>
      </c>
      <c r="D10" s="9">
        <v>5.6999998092651367</v>
      </c>
      <c r="E10" s="9">
        <v>0.85000002384185791</v>
      </c>
      <c r="F10" s="9">
        <v>11.600000381469727</v>
      </c>
      <c r="G10" s="9">
        <v>0.78514999151229858</v>
      </c>
      <c r="H10" s="9">
        <v>7.3275864124298096E-2</v>
      </c>
      <c r="I10">
        <v>3.3499998971819878E-3</v>
      </c>
      <c r="J10"/>
    </row>
    <row r="11" spans="1:10" ht="15" customHeight="1" x14ac:dyDescent="0.15">
      <c r="A11" s="153">
        <v>10</v>
      </c>
      <c r="B11" s="153" t="s">
        <v>201</v>
      </c>
      <c r="C11" s="8">
        <v>2</v>
      </c>
      <c r="D11" s="9">
        <v>2.3125568404793739E-2</v>
      </c>
      <c r="E11" s="9">
        <v>10</v>
      </c>
      <c r="F11" s="9">
        <v>48.448558807373047</v>
      </c>
      <c r="G11" s="9">
        <v>0.37867897748947144</v>
      </c>
      <c r="H11" s="9">
        <v>0.20640449225902557</v>
      </c>
      <c r="I11">
        <v>0</v>
      </c>
      <c r="J11"/>
    </row>
    <row r="12" spans="1:10" ht="15" customHeight="1" x14ac:dyDescent="0.15">
      <c r="A12" s="154">
        <v>11</v>
      </c>
      <c r="B12" s="154" t="s">
        <v>202</v>
      </c>
      <c r="C12" s="8">
        <v>2.4321193695068359</v>
      </c>
      <c r="D12" s="9">
        <v>26</v>
      </c>
      <c r="E12" s="9">
        <v>0.52999997138977051</v>
      </c>
      <c r="F12" s="9">
        <v>5</v>
      </c>
      <c r="G12" s="9">
        <v>0.39805132150650024</v>
      </c>
      <c r="H12" s="9">
        <v>0.10599999129772186</v>
      </c>
      <c r="I12">
        <v>1.7217999696731567</v>
      </c>
      <c r="J12"/>
    </row>
    <row r="13" spans="1:10" ht="15" customHeight="1" x14ac:dyDescent="0.15">
      <c r="A13" s="155">
        <v>12</v>
      </c>
      <c r="B13" s="155" t="s">
        <v>203</v>
      </c>
      <c r="C13" s="8">
        <v>2</v>
      </c>
      <c r="D13" s="9">
        <v>4.4485167600214481E-3</v>
      </c>
      <c r="E13" s="9">
        <v>7</v>
      </c>
      <c r="F13" s="9">
        <v>144.17802429199219</v>
      </c>
      <c r="G13" s="9">
        <v>0.62991005182266235</v>
      </c>
      <c r="H13" s="9">
        <v>4.8551090061664581E-2</v>
      </c>
      <c r="I13">
        <v>0</v>
      </c>
      <c r="J13"/>
    </row>
    <row r="14" spans="1:10" ht="15" customHeight="1" x14ac:dyDescent="0.15">
      <c r="A14" s="156">
        <v>13</v>
      </c>
      <c r="B14" s="156" t="s">
        <v>204</v>
      </c>
      <c r="C14" s="8">
        <v>2.0941901206970215</v>
      </c>
      <c r="D14" s="9">
        <v>6.3000001907348633</v>
      </c>
      <c r="E14" s="9">
        <v>1.1000000238418579</v>
      </c>
      <c r="F14" s="9">
        <v>15</v>
      </c>
      <c r="G14" s="9">
        <v>0.87710845470428467</v>
      </c>
      <c r="H14" s="9">
        <v>7.3333337903022766E-2</v>
      </c>
      <c r="I14">
        <v>7.0000002160668373E-3</v>
      </c>
      <c r="J14"/>
    </row>
    <row r="15" spans="1:10" ht="15" customHeight="1" x14ac:dyDescent="0.15">
      <c r="A15" s="157">
        <v>14</v>
      </c>
      <c r="B15" s="157" t="s">
        <v>205</v>
      </c>
      <c r="C15" s="8">
        <v>3.1657629013061523</v>
      </c>
      <c r="D15" s="9">
        <v>9.2052669525146484</v>
      </c>
      <c r="E15" s="9">
        <v>0.75</v>
      </c>
      <c r="F15" s="9">
        <v>7.5</v>
      </c>
      <c r="G15" s="9">
        <v>0.94998997449874878</v>
      </c>
      <c r="H15" s="9">
        <v>0.10000000149011612</v>
      </c>
      <c r="I15">
        <v>7.9300001263618469E-2</v>
      </c>
      <c r="J15"/>
    </row>
    <row r="16" spans="1:10" ht="15" customHeight="1" x14ac:dyDescent="0.15">
      <c r="A16" s="158">
        <v>15</v>
      </c>
      <c r="B16" s="158" t="s">
        <v>206</v>
      </c>
      <c r="C16" s="8">
        <v>3.2400000095367432</v>
      </c>
      <c r="D16" s="9">
        <v>7.2686142921447754</v>
      </c>
      <c r="E16" s="9">
        <v>1.2300000190734863</v>
      </c>
      <c r="F16" s="9">
        <v>12.300000190734863</v>
      </c>
      <c r="G16" s="9">
        <v>0.49999663233757019</v>
      </c>
      <c r="H16" s="9">
        <v>0.10000000149011612</v>
      </c>
      <c r="I16">
        <v>6.8999999202787876E-3</v>
      </c>
      <c r="J16"/>
    </row>
    <row r="17" spans="1:10" ht="15" customHeight="1" x14ac:dyDescent="0.15">
      <c r="A17" s="159">
        <v>16</v>
      </c>
      <c r="B17" s="159" t="s">
        <v>207</v>
      </c>
      <c r="C17" s="8">
        <v>3</v>
      </c>
      <c r="D17" s="9">
        <v>0.84687662124633789</v>
      </c>
      <c r="E17" s="9">
        <v>1.7000000476837158</v>
      </c>
      <c r="F17" s="9">
        <v>15.316269874572754</v>
      </c>
      <c r="G17" s="9">
        <v>0.90486514568328857</v>
      </c>
      <c r="H17" s="9">
        <v>0.11099308729171753</v>
      </c>
      <c r="I17">
        <v>0.15160000324249268</v>
      </c>
      <c r="J17"/>
    </row>
    <row r="18" spans="1:10" ht="15" customHeight="1" x14ac:dyDescent="0.15">
      <c r="A18" s="160">
        <v>17</v>
      </c>
      <c r="B18" s="160" t="s">
        <v>208</v>
      </c>
      <c r="C18" s="8">
        <v>3.343080997467041</v>
      </c>
      <c r="D18" s="9">
        <v>7</v>
      </c>
      <c r="E18" s="9">
        <v>0.40000000596046448</v>
      </c>
      <c r="F18" s="9">
        <v>5.1999998092651367</v>
      </c>
      <c r="G18" s="9">
        <v>0.3893730640411377</v>
      </c>
      <c r="H18" s="9">
        <v>7.6923079788684845E-2</v>
      </c>
      <c r="I18">
        <v>4.6999999321997166E-3</v>
      </c>
      <c r="J18"/>
    </row>
    <row r="19" spans="1:10" ht="15" customHeight="1" x14ac:dyDescent="0.15">
      <c r="A19" s="161">
        <v>18</v>
      </c>
      <c r="B19" s="161" t="s">
        <v>209</v>
      </c>
      <c r="C19" s="8">
        <v>3.3830270767211914</v>
      </c>
      <c r="D19" s="9">
        <v>0.48160424828529358</v>
      </c>
      <c r="E19" s="9">
        <v>1.0499999523162842</v>
      </c>
      <c r="F19" s="9">
        <v>11.27345085144043</v>
      </c>
      <c r="G19" s="9">
        <v>0.89083653688430786</v>
      </c>
      <c r="H19" s="9">
        <v>9.3139179050922394E-2</v>
      </c>
      <c r="I19">
        <v>2.0000000949949026E-3</v>
      </c>
      <c r="J19"/>
    </row>
    <row r="20" spans="1:10" ht="15" customHeight="1" x14ac:dyDescent="0.15">
      <c r="A20" s="162">
        <v>19</v>
      </c>
      <c r="B20" s="162" t="s">
        <v>210</v>
      </c>
      <c r="C20" s="8">
        <v>3.3457210063934326</v>
      </c>
      <c r="D20" s="9">
        <v>24</v>
      </c>
      <c r="E20" s="9">
        <v>0.40000000596046448</v>
      </c>
      <c r="F20" s="9">
        <v>2.4000000953674316</v>
      </c>
      <c r="G20" s="9">
        <v>0.40731847286224365</v>
      </c>
      <c r="H20" s="9">
        <v>0.1666666567325592</v>
      </c>
      <c r="I20">
        <v>0.13400000333786011</v>
      </c>
      <c r="J20"/>
    </row>
    <row r="21" spans="1:10" ht="15" customHeight="1" x14ac:dyDescent="0.15">
      <c r="A21" s="163">
        <v>20</v>
      </c>
      <c r="B21" s="163" t="s">
        <v>211</v>
      </c>
      <c r="C21" s="8">
        <v>4.024956226348877</v>
      </c>
      <c r="D21" s="9">
        <v>0.60000002384185791</v>
      </c>
      <c r="E21" s="9">
        <v>0.23999999463558197</v>
      </c>
      <c r="F21" s="9">
        <v>2.3999998569488525</v>
      </c>
      <c r="G21" s="9">
        <v>0.80201917886734009</v>
      </c>
      <c r="H21" s="9">
        <v>0.10000000149011612</v>
      </c>
      <c r="I21">
        <v>5.0000002374872565E-4</v>
      </c>
      <c r="J21"/>
    </row>
    <row r="22" spans="1:10" ht="15" customHeight="1" x14ac:dyDescent="0.15">
      <c r="A22" s="164">
        <v>21</v>
      </c>
      <c r="B22" s="164" t="s">
        <v>212</v>
      </c>
      <c r="C22" s="8">
        <v>2.7848310470581055</v>
      </c>
      <c r="D22" s="9">
        <v>1.1596859693527222</v>
      </c>
      <c r="E22" s="9">
        <v>1</v>
      </c>
      <c r="F22" s="9">
        <v>10</v>
      </c>
      <c r="G22" s="9">
        <v>0.94999992847442627</v>
      </c>
      <c r="H22" s="9">
        <v>0.10000000149011612</v>
      </c>
      <c r="I22">
        <v>7.2700001299381256E-2</v>
      </c>
      <c r="J22"/>
    </row>
    <row r="23" spans="1:10" ht="15" customHeight="1" x14ac:dyDescent="0.15">
      <c r="A23" s="165">
        <v>22</v>
      </c>
      <c r="B23" s="165" t="s">
        <v>213</v>
      </c>
      <c r="C23" s="8">
        <v>3.4333109855651855</v>
      </c>
      <c r="D23" s="9">
        <v>1.0223937034606934</v>
      </c>
      <c r="E23" s="9">
        <v>1.5</v>
      </c>
      <c r="F23" s="9">
        <v>15</v>
      </c>
      <c r="G23" s="9">
        <v>0.94995802640914917</v>
      </c>
      <c r="H23" s="9">
        <v>0.10000000149011612</v>
      </c>
      <c r="I23">
        <v>2.0000000949949026E-3</v>
      </c>
      <c r="J23"/>
    </row>
    <row r="24" spans="1:10" ht="15" customHeight="1" x14ac:dyDescent="0.15">
      <c r="A24" s="166">
        <v>23</v>
      </c>
      <c r="B24" s="166" t="s">
        <v>214</v>
      </c>
      <c r="C24" s="8">
        <v>2.0557131767272949</v>
      </c>
      <c r="D24" s="9">
        <v>7.9162459373474121</v>
      </c>
      <c r="E24" s="9">
        <v>1.2000000476837158</v>
      </c>
      <c r="F24" s="9">
        <v>10.000000953674316</v>
      </c>
      <c r="G24" s="9">
        <v>0.94999998807907104</v>
      </c>
      <c r="H24" s="9">
        <v>0.11999998986721039</v>
      </c>
      <c r="I24">
        <v>0</v>
      </c>
      <c r="J24"/>
    </row>
    <row r="25" spans="1:10" ht="15" customHeight="1" x14ac:dyDescent="0.15">
      <c r="A25" s="167">
        <v>24</v>
      </c>
      <c r="B25" s="167" t="s">
        <v>215</v>
      </c>
      <c r="C25" s="8">
        <v>2.3996503353118896</v>
      </c>
      <c r="D25" s="9">
        <v>0.22984828054904938</v>
      </c>
      <c r="E25" s="9">
        <v>1.2000000476837158</v>
      </c>
      <c r="F25" s="9">
        <v>8.6000003814697266</v>
      </c>
      <c r="G25" s="9">
        <v>0.94999998807907104</v>
      </c>
      <c r="H25" s="9">
        <v>0.13953487575054169</v>
      </c>
      <c r="I25">
        <v>2.1700000390410423E-2</v>
      </c>
      <c r="J25"/>
    </row>
    <row r="26" spans="1:10" ht="15" customHeight="1" x14ac:dyDescent="0.15">
      <c r="A26" s="168">
        <v>25</v>
      </c>
      <c r="B26" s="168" t="s">
        <v>216</v>
      </c>
      <c r="C26" s="8">
        <v>2.5278565883636475</v>
      </c>
      <c r="D26" s="9">
        <v>0.23616436123847961</v>
      </c>
      <c r="E26" s="9">
        <v>1.2000000476837158</v>
      </c>
      <c r="F26" s="9">
        <v>4</v>
      </c>
      <c r="G26" s="9">
        <v>0.94999992847442627</v>
      </c>
      <c r="H26" s="9">
        <v>0.30000001192092896</v>
      </c>
      <c r="I26">
        <v>4.3400000780820847E-2</v>
      </c>
      <c r="J26"/>
    </row>
    <row r="27" spans="1:10" ht="15" customHeight="1" x14ac:dyDescent="0.15">
      <c r="A27" s="169">
        <v>26</v>
      </c>
      <c r="B27" s="169" t="s">
        <v>217</v>
      </c>
      <c r="C27" s="8">
        <v>2</v>
      </c>
      <c r="D27" s="9">
        <v>1.6438723541796207E-3</v>
      </c>
      <c r="E27" s="9">
        <v>5</v>
      </c>
      <c r="F27" s="9">
        <v>11.159945487976074</v>
      </c>
      <c r="G27" s="9">
        <v>0.35359406471252441</v>
      </c>
      <c r="H27" s="9">
        <v>0.44803085923194885</v>
      </c>
      <c r="I27">
        <v>0</v>
      </c>
      <c r="J27"/>
    </row>
    <row r="28" spans="1:10" ht="15" customHeight="1" x14ac:dyDescent="0.15">
      <c r="A28" s="170">
        <v>27</v>
      </c>
      <c r="B28" s="170" t="s">
        <v>218</v>
      </c>
      <c r="C28" s="8">
        <v>2.2522521018981934</v>
      </c>
      <c r="D28" s="9">
        <v>13.199999809265137</v>
      </c>
      <c r="E28" s="9">
        <v>0.37099999189376831</v>
      </c>
      <c r="F28" s="9">
        <v>0.90399998426437378</v>
      </c>
      <c r="G28" s="9">
        <v>0.82530808448791504</v>
      </c>
      <c r="H28" s="9">
        <v>0.4103982150554657</v>
      </c>
      <c r="I28">
        <v>9.3915697652846575E-4</v>
      </c>
      <c r="J28"/>
    </row>
    <row r="29" spans="1:10" ht="15" customHeight="1" x14ac:dyDescent="0.15">
      <c r="A29" s="171">
        <v>28</v>
      </c>
      <c r="B29" s="171" t="s">
        <v>219</v>
      </c>
      <c r="C29" s="8">
        <v>2.4000000953674316</v>
      </c>
      <c r="D29" s="9">
        <v>15.36345386505127</v>
      </c>
      <c r="E29" s="9">
        <v>13</v>
      </c>
      <c r="F29" s="9">
        <v>32.5</v>
      </c>
      <c r="G29" s="9">
        <v>0.94999945163726807</v>
      </c>
      <c r="H29" s="9">
        <v>0.40000000596046448</v>
      </c>
      <c r="I29">
        <v>0</v>
      </c>
      <c r="J29"/>
    </row>
    <row r="30" spans="1:10" ht="15" customHeight="1" x14ac:dyDescent="0.15">
      <c r="A30" s="172">
        <v>29</v>
      </c>
      <c r="B30" s="172" t="s">
        <v>220</v>
      </c>
      <c r="C30" s="8">
        <v>2</v>
      </c>
      <c r="D30" s="9">
        <v>26</v>
      </c>
      <c r="E30" s="9">
        <v>40</v>
      </c>
      <c r="F30" s="9">
        <v>133.33332824707031</v>
      </c>
      <c r="G30" s="9">
        <v>0.35672628879547119</v>
      </c>
      <c r="H30" s="9">
        <v>0.30000001192092896</v>
      </c>
      <c r="I30">
        <v>0</v>
      </c>
      <c r="J30"/>
    </row>
    <row r="31" spans="1:10" ht="15" customHeight="1" x14ac:dyDescent="0.15">
      <c r="A31" s="173">
        <v>30</v>
      </c>
      <c r="B31" s="173" t="s">
        <v>221</v>
      </c>
      <c r="C31" s="8">
        <v>1</v>
      </c>
      <c r="D31" s="9">
        <v>0.59150028228759766</v>
      </c>
      <c r="E31" s="9">
        <v>15</v>
      </c>
      <c r="F31" s="10"/>
      <c r="G31" s="9">
        <v>0.5</v>
      </c>
      <c r="H31" s="10"/>
      <c r="I31">
        <v>5.7999999262392521E-3</v>
      </c>
      <c r="J31"/>
    </row>
    <row r="32" spans="1:10" ht="15" customHeight="1" x14ac:dyDescent="0.15">
      <c r="A32" s="201">
        <v>31</v>
      </c>
      <c r="B32" s="201" t="s">
        <v>222</v>
      </c>
      <c r="C32" s="8">
        <v>1</v>
      </c>
      <c r="D32" s="9">
        <v>433.44000244140625</v>
      </c>
      <c r="E32" s="9">
        <v>49.869186401367188</v>
      </c>
      <c r="F32" s="10"/>
      <c r="G32" s="9">
        <v>0.10273509472608566</v>
      </c>
      <c r="H32" s="10"/>
      <c r="I32">
        <v>0</v>
      </c>
      <c r="J32"/>
    </row>
    <row r="33" spans="1:10" ht="15" customHeight="1" x14ac:dyDescent="0.15">
      <c r="A33" s="202">
        <v>32</v>
      </c>
      <c r="B33" s="202" t="s">
        <v>223</v>
      </c>
      <c r="C33" s="8">
        <v>1</v>
      </c>
      <c r="D33" s="9">
        <v>1</v>
      </c>
      <c r="E33" s="10"/>
      <c r="F33" s="10"/>
      <c r="G33" s="7">
        <v>8.6988143622875214E-2</v>
      </c>
      <c r="H33" s="10"/>
      <c r="I33">
        <v>0</v>
      </c>
      <c r="J33"/>
    </row>
    <row r="34" spans="1:10" ht="15" customHeight="1" x14ac:dyDescent="0.15">
      <c r="A34" s="203">
        <v>33</v>
      </c>
      <c r="B34" s="203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4">
        <v>34</v>
      </c>
      <c r="B35" s="204" t="s">
        <v>225</v>
      </c>
      <c r="C35" s="8">
        <v>3.5105161666870117</v>
      </c>
      <c r="D35" s="10"/>
      <c r="E35" s="10"/>
      <c r="F35" s="10"/>
      <c r="G35" s="10"/>
      <c r="H35" s="10"/>
      <c r="I35">
        <v>1.9752891063690186</v>
      </c>
      <c r="J35"/>
    </row>
    <row r="36" spans="1:10" ht="15" customHeight="1" x14ac:dyDescent="0.15">
      <c r="A36" s="205">
        <v>35</v>
      </c>
      <c r="B36" s="205" t="s">
        <v>226</v>
      </c>
      <c r="C36" s="8">
        <v>4.3991894721984863</v>
      </c>
      <c r="D36" s="10"/>
      <c r="E36" s="10"/>
      <c r="F36" s="10"/>
      <c r="G36" s="10"/>
      <c r="H36" s="10"/>
      <c r="I36">
        <v>7.0891333743929863E-3</v>
      </c>
      <c r="J36"/>
    </row>
    <row r="37" spans="1:10" ht="15" customHeight="1" x14ac:dyDescent="0.15">
      <c r="A37" s="206">
        <v>36</v>
      </c>
      <c r="B37" s="206" t="s">
        <v>227</v>
      </c>
      <c r="C37" s="8">
        <v>4.1545224189758301</v>
      </c>
      <c r="D37" s="10"/>
      <c r="E37" s="10"/>
      <c r="F37" s="10"/>
      <c r="G37" s="10"/>
      <c r="H37" s="10"/>
      <c r="I37">
        <v>0.20972001552581787</v>
      </c>
      <c r="J37"/>
    </row>
    <row r="38" spans="1:10" ht="15" customHeight="1" x14ac:dyDescent="0.15">
      <c r="A38" s="207">
        <v>37</v>
      </c>
      <c r="B38" s="207" t="s">
        <v>228</v>
      </c>
      <c r="C38" s="8">
        <v>4.9073867797851562</v>
      </c>
      <c r="D38" s="10"/>
      <c r="E38" s="10"/>
      <c r="F38" s="10"/>
      <c r="G38" s="10"/>
      <c r="H38" s="10"/>
      <c r="I38">
        <v>3.1500001205131412E-4</v>
      </c>
      <c r="J38"/>
    </row>
    <row r="39" spans="1:10" ht="15" customHeight="1" x14ac:dyDescent="0.15">
      <c r="A39" s="208">
        <v>38</v>
      </c>
      <c r="B39" s="208" t="s">
        <v>229</v>
      </c>
      <c r="C39" s="8">
        <v>3.3996503353118896</v>
      </c>
      <c r="D39" s="10"/>
      <c r="E39" s="10"/>
      <c r="F39" s="10"/>
      <c r="G39" s="10"/>
      <c r="H39" s="10"/>
      <c r="I39">
        <v>2.1700000390410423E-2</v>
      </c>
      <c r="J39"/>
    </row>
    <row r="40" spans="1:10" ht="15" customHeight="1" x14ac:dyDescent="0.15">
      <c r="A40" s="209">
        <v>39</v>
      </c>
      <c r="B40" s="209" t="s">
        <v>216</v>
      </c>
      <c r="C40" s="8">
        <v>3.5278565883636475</v>
      </c>
      <c r="D40" s="10"/>
      <c r="E40" s="10"/>
      <c r="F40" s="10"/>
      <c r="G40" s="10"/>
      <c r="H40" s="10"/>
      <c r="I40">
        <v>4.3400000780820847E-2</v>
      </c>
      <c r="J40"/>
    </row>
    <row r="41" spans="1:10" ht="15" customHeight="1" x14ac:dyDescent="0.15">
      <c r="A41" s="210">
        <v>40</v>
      </c>
      <c r="B41" s="210" t="s">
        <v>230</v>
      </c>
      <c r="C41" s="8">
        <v>4.6739120483398438</v>
      </c>
      <c r="D41" s="10"/>
      <c r="E41" s="10"/>
      <c r="F41" s="10"/>
      <c r="G41" s="10"/>
      <c r="H41" s="10"/>
      <c r="I41">
        <v>1.9031094387173653E-2</v>
      </c>
      <c r="J41"/>
    </row>
    <row r="42" spans="1:10" ht="15" customHeight="1" x14ac:dyDescent="0.15">
      <c r="A42" s="211">
        <v>41</v>
      </c>
      <c r="B42" s="211" t="s">
        <v>231</v>
      </c>
      <c r="C42" s="8">
        <v>4.7374081611633301</v>
      </c>
      <c r="D42" s="10"/>
      <c r="E42" s="10"/>
      <c r="F42" s="10"/>
      <c r="G42" s="10"/>
      <c r="H42" s="10"/>
      <c r="I42">
        <v>4.6009998768568039E-3</v>
      </c>
      <c r="J42"/>
    </row>
    <row r="43" spans="1:10" ht="15" customHeight="1" x14ac:dyDescent="0.15">
      <c r="A43" s="212">
        <v>42</v>
      </c>
      <c r="B43" s="212" t="s">
        <v>232</v>
      </c>
      <c r="C43" s="8">
        <v>4.8434805870056152</v>
      </c>
      <c r="D43" s="10"/>
      <c r="E43" s="10"/>
      <c r="F43" s="10"/>
      <c r="G43" s="10"/>
      <c r="H43" s="10"/>
      <c r="I43">
        <v>4.0581170469522476E-3</v>
      </c>
      <c r="J43"/>
    </row>
    <row r="44" spans="1:10" ht="15" customHeight="1" x14ac:dyDescent="0.15">
      <c r="A44" s="213">
        <v>43</v>
      </c>
      <c r="B44" s="213" t="s">
        <v>233</v>
      </c>
      <c r="C44" s="8">
        <v>2</v>
      </c>
      <c r="D44" s="10"/>
      <c r="E44" s="10"/>
      <c r="F44" s="10"/>
      <c r="G44" s="10"/>
      <c r="H44" s="10"/>
      <c r="I44">
        <v>5.7999999262392521E-3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238</v>
      </c>
      <c r="E1" t="s">
        <v>239</v>
      </c>
      <c r="F1" t="s">
        <v>240</v>
      </c>
      <c r="G1" t="s">
        <v>241</v>
      </c>
      <c r="H1" t="s">
        <v>242</v>
      </c>
      <c r="I1" t="s">
        <v>243</v>
      </c>
      <c r="J1" t="s">
        <v>244</v>
      </c>
      <c r="K1" t="s">
        <v>245</v>
      </c>
      <c r="L1" t="s">
        <v>246</v>
      </c>
      <c r="M1" t="s">
        <v>247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</v>
      </c>
      <c r="C2">
        <v>0.9698912501335144</v>
      </c>
      <c r="D2"/>
      <c r="E2"/>
      <c r="F2"/>
      <c r="G2"/>
      <c r="H2"/>
      <c r="I2"/>
      <c r="J2"/>
      <c r="K2"/>
      <c r="L2"/>
      <c r="M2"/>
      <c r="N2"/>
      <c r="O2"/>
      <c r="P2"/>
      <c r="Q2" s="142">
        <v>3.01087386906147E-2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7.9999998211860657E-2</v>
      </c>
      <c r="C3">
        <v>4.2144019156694412E-2</v>
      </c>
      <c r="D3"/>
      <c r="E3" s="216">
        <v>3.1942198984324932E-3</v>
      </c>
      <c r="F3" s="25">
        <v>2.0000000949949026E-3</v>
      </c>
      <c r="G3"/>
      <c r="H3"/>
      <c r="I3"/>
      <c r="J3"/>
      <c r="K3"/>
      <c r="L3" s="219">
        <v>2.7054112404584885E-2</v>
      </c>
      <c r="M3"/>
      <c r="N3"/>
      <c r="O3"/>
      <c r="P3" s="14">
        <v>1.3536791084334254E-4</v>
      </c>
      <c r="Q3" s="222">
        <v>5.4722768254578114E-3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0.15999999642372131</v>
      </c>
      <c r="C4">
        <v>2.5893878191709518E-2</v>
      </c>
      <c r="D4"/>
      <c r="E4"/>
      <c r="F4"/>
      <c r="G4"/>
      <c r="H4"/>
      <c r="I4"/>
      <c r="J4"/>
      <c r="K4"/>
      <c r="L4"/>
      <c r="M4"/>
      <c r="N4"/>
      <c r="O4" s="220">
        <v>1.3807308860123158E-2</v>
      </c>
      <c r="P4" s="225">
        <v>0.12029881030321121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</v>
      </c>
      <c r="C5">
        <v>0.21169793605804443</v>
      </c>
      <c r="D5"/>
      <c r="E5" s="11">
        <v>2.431789762340486E-4</v>
      </c>
      <c r="F5" s="11">
        <v>4.8635796702001244E-5</v>
      </c>
      <c r="G5" s="11">
        <v>3.6476845707511529E-5</v>
      </c>
      <c r="H5"/>
      <c r="I5"/>
      <c r="J5" s="11">
        <v>2.431789762340486E-4</v>
      </c>
      <c r="K5" s="11">
        <v>2.4317898805747973E-6</v>
      </c>
      <c r="L5"/>
      <c r="M5"/>
      <c r="N5"/>
      <c r="O5"/>
      <c r="P5"/>
      <c r="Q5" s="244">
        <v>0.28772816061973572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0.25</v>
      </c>
      <c r="C6">
        <v>0.24403837323188782</v>
      </c>
      <c r="D6" s="19">
        <v>4.3999999761581421E-3</v>
      </c>
      <c r="E6"/>
      <c r="F6"/>
      <c r="G6" s="14">
        <v>3.0000001424923539E-4</v>
      </c>
      <c r="H6"/>
      <c r="I6"/>
      <c r="J6" s="14">
        <v>4.4078199425712228E-4</v>
      </c>
      <c r="K6"/>
      <c r="L6"/>
      <c r="M6"/>
      <c r="N6"/>
      <c r="O6"/>
      <c r="P6"/>
      <c r="Q6" s="12">
        <v>8.2084158202633262E-4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0.25</v>
      </c>
      <c r="C7">
        <v>1.2500002980232239E-2</v>
      </c>
      <c r="D7"/>
      <c r="E7" s="11">
        <v>1.5055615222081542E-5</v>
      </c>
      <c r="F7"/>
      <c r="G7"/>
      <c r="H7"/>
      <c r="I7"/>
      <c r="J7" s="139">
        <v>2.4977736175060272E-2</v>
      </c>
      <c r="K7"/>
      <c r="L7"/>
      <c r="M7"/>
      <c r="N7"/>
      <c r="O7" s="138">
        <v>0.11417731642723083</v>
      </c>
      <c r="P7" s="13">
        <v>9.1712120920419693E-3</v>
      </c>
      <c r="Q7" s="15">
        <v>2.4741291999816895E-3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38">
        <v>8.6684532463550568E-2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0.20000000298023224</v>
      </c>
      <c r="C8">
        <v>8.3050325512886047E-2</v>
      </c>
      <c r="D8"/>
      <c r="E8"/>
      <c r="F8"/>
      <c r="G8"/>
      <c r="H8"/>
      <c r="I8"/>
      <c r="J8" s="73">
        <v>1.5656646341085434E-2</v>
      </c>
      <c r="K8" s="218">
        <v>3.7905562669038773E-2</v>
      </c>
      <c r="L8"/>
      <c r="M8"/>
      <c r="N8"/>
      <c r="O8" s="18">
        <v>2.4011461064219475E-3</v>
      </c>
      <c r="P8"/>
      <c r="Q8" s="222">
        <v>1.3541568070650101E-2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26">
        <v>4.7444757074117661E-2</v>
      </c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10</v>
      </c>
      <c r="C9">
        <v>2.9715824127197266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 s="231">
        <v>2.6562998294830322</v>
      </c>
      <c r="Y9"/>
      <c r="Z9" s="228">
        <v>1.9309259653091431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 s="230">
        <v>2.4411919116973877</v>
      </c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0.85000002384185791</v>
      </c>
      <c r="C10">
        <v>0.1826225072145462</v>
      </c>
      <c r="D10" s="11">
        <v>5.8771931799128652E-4</v>
      </c>
      <c r="E10"/>
      <c r="F10"/>
      <c r="G10"/>
      <c r="H10"/>
      <c r="I10"/>
      <c r="J10"/>
      <c r="K10"/>
      <c r="L10"/>
      <c r="M10"/>
      <c r="N10" s="14">
        <v>8.4760383469983935E-4</v>
      </c>
      <c r="O10" s="256">
        <v>0.25585269927978516</v>
      </c>
      <c r="P10" s="215">
        <v>9.0126536786556244E-2</v>
      </c>
      <c r="Q10" s="16">
        <v>1.339166983962059E-2</v>
      </c>
      <c r="R10" s="72">
        <v>7.9502791166305542E-2</v>
      </c>
      <c r="S10" s="19">
        <v>1.4562922529876232E-2</v>
      </c>
      <c r="T10" s="23">
        <v>2.3916320875287056E-2</v>
      </c>
      <c r="U10"/>
      <c r="V10"/>
      <c r="W10"/>
      <c r="X10"/>
      <c r="Y10"/>
      <c r="Z10"/>
      <c r="AA10" s="69">
        <v>6.0561589896678925E-2</v>
      </c>
      <c r="AB10"/>
      <c r="AC10"/>
      <c r="AD10"/>
      <c r="AE10" s="20">
        <v>1.7164137214422226E-2</v>
      </c>
      <c r="AF10" s="137">
        <v>0.10101089626550674</v>
      </c>
      <c r="AG10" s="18">
        <v>9.8526338115334511E-3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10</v>
      </c>
      <c r="C11">
        <v>6.2132101058959961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237">
        <v>2.861720085144043</v>
      </c>
      <c r="W11"/>
      <c r="X11"/>
      <c r="Y11"/>
      <c r="Z11" s="64">
        <v>0.40855282545089722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 s="67">
        <v>0.51651686429977417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0.52999997138977051</v>
      </c>
      <c r="C12">
        <v>0.31903278827667236</v>
      </c>
      <c r="D12" s="214">
        <v>6.6223077476024628E-2</v>
      </c>
      <c r="E12"/>
      <c r="F12"/>
      <c r="G12"/>
      <c r="H12"/>
      <c r="I12"/>
      <c r="J12"/>
      <c r="K12"/>
      <c r="L12"/>
      <c r="M12"/>
      <c r="N12" s="11">
        <v>1.858208270277828E-4</v>
      </c>
      <c r="O12" s="63">
        <v>1.1330680921673775E-2</v>
      </c>
      <c r="P12" s="14">
        <v>8.5906562162563205E-4</v>
      </c>
      <c r="Q12" s="11">
        <v>3.7922916817478836E-4</v>
      </c>
      <c r="R12" s="251">
        <v>1.7429457977414131E-2</v>
      </c>
      <c r="S12" s="63">
        <v>1.1179607361555099E-2</v>
      </c>
      <c r="T12" s="11">
        <v>6.1684630054514855E-5</v>
      </c>
      <c r="U12"/>
      <c r="V12"/>
      <c r="W12"/>
      <c r="X12"/>
      <c r="Y12"/>
      <c r="Z12"/>
      <c r="AA12"/>
      <c r="AB12"/>
      <c r="AC12"/>
      <c r="AD12"/>
      <c r="AE12" s="21">
        <v>3.7629068829119205E-3</v>
      </c>
      <c r="AF12" s="245">
        <v>9.9555663764476776E-2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7</v>
      </c>
      <c r="C13">
        <v>2.5906295776367188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227">
        <v>1.4876620769500732</v>
      </c>
      <c r="W13"/>
      <c r="X13" s="232">
        <v>2.921708345413208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1.1000000238418579</v>
      </c>
      <c r="C14">
        <v>0.13518069684505463</v>
      </c>
      <c r="D14" s="14">
        <v>1.1111111380159855E-3</v>
      </c>
      <c r="E14"/>
      <c r="F14"/>
      <c r="G14"/>
      <c r="H14"/>
      <c r="I14"/>
      <c r="J14"/>
      <c r="K14"/>
      <c r="L14"/>
      <c r="M14"/>
      <c r="N14" s="12">
        <v>3.7796206306666136E-3</v>
      </c>
      <c r="O14" s="25">
        <v>2.7269847691059113E-2</v>
      </c>
      <c r="P14" s="214">
        <v>0.13826863467693329</v>
      </c>
      <c r="Q14"/>
      <c r="R14" s="21">
        <v>9.632510133087635E-3</v>
      </c>
      <c r="S14" s="14">
        <v>1.3208668678998947E-3</v>
      </c>
      <c r="T14"/>
      <c r="U14"/>
      <c r="V14"/>
      <c r="W14"/>
      <c r="X14"/>
      <c r="Y14"/>
      <c r="Z14"/>
      <c r="AA14"/>
      <c r="AB14"/>
      <c r="AC14"/>
      <c r="AD14" s="28">
        <v>5.1999993622303009E-2</v>
      </c>
      <c r="AE14" s="17">
        <v>1.5529456548392773E-2</v>
      </c>
      <c r="AF14" s="258">
        <v>0.41086465120315552</v>
      </c>
      <c r="AG14" s="63">
        <v>2.3314287886023521E-2</v>
      </c>
      <c r="AH14" s="27">
        <v>3.8301259279251099E-2</v>
      </c>
      <c r="AI14" s="76">
        <v>0.24342706799507141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0.75</v>
      </c>
      <c r="C15">
        <v>3.7507519125938416E-2</v>
      </c>
      <c r="D15" s="18">
        <v>8.6146332323551178E-3</v>
      </c>
      <c r="E15"/>
      <c r="F15"/>
      <c r="G15"/>
      <c r="H15"/>
      <c r="I15"/>
      <c r="J15"/>
      <c r="K15"/>
      <c r="L15"/>
      <c r="M15"/>
      <c r="N15" s="22">
        <v>4.3862070888280869E-3</v>
      </c>
      <c r="O15" s="250">
        <v>3.3586468547582626E-2</v>
      </c>
      <c r="P15" s="18">
        <v>8.1615447998046875E-3</v>
      </c>
      <c r="Q15" s="17">
        <v>9.8186135292053223E-3</v>
      </c>
      <c r="R15" s="69">
        <v>5.265359953045845E-2</v>
      </c>
      <c r="S15" s="27">
        <v>2.6150796562433243E-2</v>
      </c>
      <c r="T15" s="11">
        <v>3.194150049239397E-4</v>
      </c>
      <c r="U15"/>
      <c r="V15"/>
      <c r="W15"/>
      <c r="X15"/>
      <c r="Y15"/>
      <c r="Z15"/>
      <c r="AA15" s="142">
        <v>2.2500229999423027E-2</v>
      </c>
      <c r="AB15"/>
      <c r="AC15"/>
      <c r="AD15"/>
      <c r="AE15"/>
      <c r="AF15" s="108">
        <v>0.28146165609359741</v>
      </c>
      <c r="AG15" s="64">
        <v>3.0817141756415367E-2</v>
      </c>
      <c r="AH15" s="242">
        <v>6.7422933876514435E-2</v>
      </c>
      <c r="AI15" s="76">
        <v>0.16659924387931824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1.2300000190734863</v>
      </c>
      <c r="C16">
        <v>0.61500412225723267</v>
      </c>
      <c r="D16" s="11">
        <v>9.4928685575723648E-4</v>
      </c>
      <c r="E16"/>
      <c r="F16"/>
      <c r="G16"/>
      <c r="H16"/>
      <c r="I16"/>
      <c r="J16"/>
      <c r="K16"/>
      <c r="L16"/>
      <c r="M16"/>
      <c r="N16" s="21">
        <v>9.1631617397069931E-3</v>
      </c>
      <c r="O16" s="14">
        <v>2.8089324478060007E-3</v>
      </c>
      <c r="P16" s="18">
        <v>1.4805776998400688E-2</v>
      </c>
      <c r="Q16"/>
      <c r="R16" s="229">
        <v>2.916688472032547E-2</v>
      </c>
      <c r="S16" s="15">
        <v>1.1420148424804211E-2</v>
      </c>
      <c r="T16"/>
      <c r="U16"/>
      <c r="V16"/>
      <c r="W16"/>
      <c r="X16"/>
      <c r="Y16"/>
      <c r="Z16"/>
      <c r="AA16" s="26">
        <v>9.4889014959335327E-2</v>
      </c>
      <c r="AB16"/>
      <c r="AC16"/>
      <c r="AD16" s="254">
        <v>0.10015664249658585</v>
      </c>
      <c r="AE16" s="22">
        <v>7.4703013524413109E-3</v>
      </c>
      <c r="AF16" s="75">
        <v>7.9212084412574768E-2</v>
      </c>
      <c r="AG16" s="63">
        <v>2.5556458160281181E-2</v>
      </c>
      <c r="AH16" s="229">
        <v>2.8409173712134361E-2</v>
      </c>
      <c r="AI16" s="257">
        <v>0.21098802983760834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1.7000000476837158</v>
      </c>
      <c r="C17">
        <v>0.16172926127910614</v>
      </c>
      <c r="D17" s="215">
        <v>0.17901073396205902</v>
      </c>
      <c r="E17"/>
      <c r="F17"/>
      <c r="G17"/>
      <c r="H17"/>
      <c r="I17"/>
      <c r="J17"/>
      <c r="K17"/>
      <c r="L17"/>
      <c r="M17"/>
      <c r="N17"/>
      <c r="O17" s="248">
        <v>0.34407514333724976</v>
      </c>
      <c r="P17" s="21">
        <v>1.1988279409706593E-2</v>
      </c>
      <c r="Q17"/>
      <c r="R17"/>
      <c r="S17" s="18">
        <v>1.9603481516242027E-2</v>
      </c>
      <c r="T17" s="22">
        <v>1.0415804572403431E-2</v>
      </c>
      <c r="U17"/>
      <c r="V17"/>
      <c r="W17"/>
      <c r="X17"/>
      <c r="Y17"/>
      <c r="Z17"/>
      <c r="AA17"/>
      <c r="AB17"/>
      <c r="AC17"/>
      <c r="AD17"/>
      <c r="AE17"/>
      <c r="AF17" s="252">
        <v>0.67986536026000977</v>
      </c>
      <c r="AG17" s="105">
        <v>0.11222416162490845</v>
      </c>
      <c r="AH17"/>
      <c r="AI17" s="215">
        <v>0.18108783662319183</v>
      </c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0.40000000596046448</v>
      </c>
      <c r="C18">
        <v>0.24425077438354492</v>
      </c>
      <c r="D18"/>
      <c r="E18" s="14">
        <v>6.4285710686817765E-4</v>
      </c>
      <c r="F18" s="11">
        <v>2.8571428629220463E-5</v>
      </c>
      <c r="G18"/>
      <c r="H18"/>
      <c r="I18"/>
      <c r="J18"/>
      <c r="K18"/>
      <c r="L18"/>
      <c r="M18"/>
      <c r="N18"/>
      <c r="O18" s="13">
        <v>1.5000730752944946E-2</v>
      </c>
      <c r="P18"/>
      <c r="Q18" s="12">
        <v>1.4085655566304922E-3</v>
      </c>
      <c r="R18" s="242">
        <v>3.5695679485797882E-2</v>
      </c>
      <c r="S18" s="25">
        <v>1.0435373522341251E-2</v>
      </c>
      <c r="T18"/>
      <c r="U18"/>
      <c r="V18"/>
      <c r="W18"/>
      <c r="X18"/>
      <c r="Y18"/>
      <c r="Z18"/>
      <c r="AA18"/>
      <c r="AB18"/>
      <c r="AC18"/>
      <c r="AD18"/>
      <c r="AE18"/>
      <c r="AF18" s="253">
        <v>8.225172758102417E-2</v>
      </c>
      <c r="AG18" s="25">
        <v>1.0285715572535992E-2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1.0499999523162842</v>
      </c>
      <c r="C19">
        <v>0.11462163180112839</v>
      </c>
      <c r="D19"/>
      <c r="E19" s="12">
        <v>4.1527873836457729E-3</v>
      </c>
      <c r="F19"/>
      <c r="G19"/>
      <c r="H19"/>
      <c r="I19"/>
      <c r="J19"/>
      <c r="K19"/>
      <c r="L19"/>
      <c r="M19"/>
      <c r="N19" s="222">
        <v>7.1655474603176117E-2</v>
      </c>
      <c r="O19" s="235">
        <v>6.0503870248794556E-2</v>
      </c>
      <c r="P19" s="216">
        <v>4.2161561548709869E-2</v>
      </c>
      <c r="Q19"/>
      <c r="R19" s="143">
        <v>6.2920957803726196E-2</v>
      </c>
      <c r="S19" s="15">
        <v>1.0346484370529652E-2</v>
      </c>
      <c r="T19" s="25">
        <v>2.7751008048653603E-2</v>
      </c>
      <c r="U19"/>
      <c r="V19"/>
      <c r="W19"/>
      <c r="X19"/>
      <c r="Y19"/>
      <c r="Z19"/>
      <c r="AA19"/>
      <c r="AB19"/>
      <c r="AC19"/>
      <c r="AD19"/>
      <c r="AE19"/>
      <c r="AF19" s="246">
        <v>0.59718167781829834</v>
      </c>
      <c r="AG19" s="14">
        <v>2.990007633343339E-3</v>
      </c>
      <c r="AH19" s="229">
        <v>2.387116476893425E-2</v>
      </c>
      <c r="AI19" s="142">
        <v>3.1843379139900208E-2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0.40000000596046448</v>
      </c>
      <c r="C20">
        <v>0.23707261681556702</v>
      </c>
      <c r="D20"/>
      <c r="E20"/>
      <c r="F20" s="17">
        <v>5.5833333171904087E-3</v>
      </c>
      <c r="G20"/>
      <c r="H20"/>
      <c r="I20"/>
      <c r="J20"/>
      <c r="K20"/>
      <c r="L20"/>
      <c r="M20"/>
      <c r="N20" s="22">
        <v>2.5163234677165747E-3</v>
      </c>
      <c r="O20" s="21">
        <v>3.038342809304595E-3</v>
      </c>
      <c r="P20"/>
      <c r="Q20" s="11">
        <v>1.3694386871065944E-4</v>
      </c>
      <c r="R20" s="18">
        <v>5.0570680759847164E-3</v>
      </c>
      <c r="S20" s="19">
        <v>6.8482137285172939E-3</v>
      </c>
      <c r="T20"/>
      <c r="U20"/>
      <c r="V20"/>
      <c r="W20"/>
      <c r="X20"/>
      <c r="Y20"/>
      <c r="Z20"/>
      <c r="AA20"/>
      <c r="AB20"/>
      <c r="AC20"/>
      <c r="AD20"/>
      <c r="AE20"/>
      <c r="AF20" s="261">
        <v>0.11983551830053329</v>
      </c>
      <c r="AG20" s="216">
        <v>1.5600003302097321E-2</v>
      </c>
      <c r="AH20" s="15">
        <v>4.3116533197462559E-3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0.23999999463558197</v>
      </c>
      <c r="C21">
        <v>4.7515396028757095E-2</v>
      </c>
      <c r="D21"/>
      <c r="E21"/>
      <c r="F21" s="12">
        <v>8.3333335351198912E-4</v>
      </c>
      <c r="G21"/>
      <c r="H21"/>
      <c r="I21"/>
      <c r="J21"/>
      <c r="K21"/>
      <c r="L21"/>
      <c r="M21"/>
      <c r="N21"/>
      <c r="O21"/>
      <c r="P21"/>
      <c r="Q21" s="237">
        <v>6.8512812256813049E-2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34">
        <v>4.7980174422264099E-2</v>
      </c>
      <c r="AG21" s="139">
        <v>2.4000002071261406E-2</v>
      </c>
      <c r="AH21" s="26">
        <v>1.8213354051113129E-2</v>
      </c>
      <c r="AI21"/>
      <c r="AJ21"/>
      <c r="AK21" s="233">
        <v>3.2944921404123306E-2</v>
      </c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</v>
      </c>
      <c r="C22">
        <v>5.000007152557373E-2</v>
      </c>
      <c r="D22"/>
      <c r="E22"/>
      <c r="F22" s="66">
        <v>6.2689386308193207E-2</v>
      </c>
      <c r="G22"/>
      <c r="H22"/>
      <c r="I22"/>
      <c r="J22"/>
      <c r="K22"/>
      <c r="L22"/>
      <c r="M22"/>
      <c r="N22"/>
      <c r="O22"/>
      <c r="P22" s="245">
        <v>0.18909947574138641</v>
      </c>
      <c r="Q22" s="249">
        <v>0.25876501202583313</v>
      </c>
      <c r="R22"/>
      <c r="S22" s="17">
        <v>1.43157122656703E-2</v>
      </c>
      <c r="T22" s="21">
        <v>8.5282586514949799E-3</v>
      </c>
      <c r="U22"/>
      <c r="V22"/>
      <c r="W22"/>
      <c r="X22"/>
      <c r="Y22"/>
      <c r="Z22"/>
      <c r="AA22"/>
      <c r="AB22"/>
      <c r="AC22"/>
      <c r="AD22"/>
      <c r="AE22"/>
      <c r="AF22" s="247">
        <v>0.24824051558971405</v>
      </c>
      <c r="AG22" s="66">
        <v>6.208578497171402E-2</v>
      </c>
      <c r="AH22" s="242">
        <v>8.923078328371048E-2</v>
      </c>
      <c r="AI22"/>
      <c r="AJ22"/>
      <c r="AK22" s="19">
        <v>1.7045091837644577E-2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1.5</v>
      </c>
      <c r="C23">
        <v>7.5062960386276245E-2</v>
      </c>
      <c r="D23"/>
      <c r="E23"/>
      <c r="F23" s="14">
        <v>1.956193707883358E-3</v>
      </c>
      <c r="G23"/>
      <c r="H23"/>
      <c r="I23"/>
      <c r="J23"/>
      <c r="K23"/>
      <c r="L23"/>
      <c r="M23"/>
      <c r="N23" s="69">
        <v>0.10733678936958313</v>
      </c>
      <c r="O23" s="235">
        <v>8.5587643086910248E-2</v>
      </c>
      <c r="P23" s="65">
        <v>8.7385930120944977E-2</v>
      </c>
      <c r="Q23" s="241">
        <v>8.028624951839447E-2</v>
      </c>
      <c r="R23" s="106">
        <v>0.44324010610580444</v>
      </c>
      <c r="S23" s="21">
        <v>1.1388372629880905E-2</v>
      </c>
      <c r="T23" s="22">
        <v>7.8433584421873093E-3</v>
      </c>
      <c r="U23"/>
      <c r="V23"/>
      <c r="W23"/>
      <c r="X23"/>
      <c r="Y23"/>
      <c r="Z23"/>
      <c r="AA23"/>
      <c r="AB23"/>
      <c r="AC23"/>
      <c r="AD23" s="229">
        <v>3.560272604227066E-2</v>
      </c>
      <c r="AE23" s="239">
        <v>7.442762702703476E-2</v>
      </c>
      <c r="AF23" s="245">
        <v>0.28130576014518738</v>
      </c>
      <c r="AG23" s="24">
        <v>4.7887630760669708E-2</v>
      </c>
      <c r="AH23" s="21">
        <v>1.0688654147088528E-2</v>
      </c>
      <c r="AI23" s="139">
        <v>0.15000000596046448</v>
      </c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1.2000000476837158</v>
      </c>
      <c r="C24">
        <v>6.0000017285346985E-2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 s="12">
        <v>5.5945259518921375E-3</v>
      </c>
      <c r="R24"/>
      <c r="S24" s="16">
        <v>1.8874548375606537E-2</v>
      </c>
      <c r="T24"/>
      <c r="U24"/>
      <c r="V24"/>
      <c r="W24"/>
      <c r="X24"/>
      <c r="Y24"/>
      <c r="Z24"/>
      <c r="AA24" s="255">
        <v>0.1220986545085907</v>
      </c>
      <c r="AB24"/>
      <c r="AC24"/>
      <c r="AD24"/>
      <c r="AE24" s="15">
        <v>1.2358834967017174E-2</v>
      </c>
      <c r="AF24" s="259">
        <v>0.32697916030883789</v>
      </c>
      <c r="AG24" s="15">
        <v>1.1278074234724045E-2</v>
      </c>
      <c r="AH24"/>
      <c r="AI24"/>
      <c r="AJ24" s="232">
        <v>0.50000005960464478</v>
      </c>
      <c r="AK24" s="222">
        <v>8.3150468766689301E-2</v>
      </c>
      <c r="AL24" s="239">
        <v>5.9665746986865997E-2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1.2000000476837158</v>
      </c>
      <c r="C25">
        <v>6.0000017285346985E-2</v>
      </c>
      <c r="D25"/>
      <c r="E25"/>
      <c r="F25"/>
      <c r="G25"/>
      <c r="H25" s="73">
        <v>9.4410106539726257E-2</v>
      </c>
      <c r="I25"/>
      <c r="J25"/>
      <c r="K25"/>
      <c r="L25"/>
      <c r="M25"/>
      <c r="N25"/>
      <c r="O25"/>
      <c r="P25"/>
      <c r="Q25" s="236">
        <v>0.17874036729335785</v>
      </c>
      <c r="R25"/>
      <c r="S25" s="143">
        <v>7.2229079902172089E-2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 s="108">
        <v>0.4502086341381073</v>
      </c>
      <c r="AI25"/>
      <c r="AJ25" s="237">
        <v>0.34441184997558594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1.2000000476837158</v>
      </c>
      <c r="C26">
        <v>6.0000088065862656E-2</v>
      </c>
      <c r="D26"/>
      <c r="E26"/>
      <c r="F26"/>
      <c r="G26"/>
      <c r="H26"/>
      <c r="I26" s="217">
        <v>0.18377032876014709</v>
      </c>
      <c r="J26"/>
      <c r="K26"/>
      <c r="L26"/>
      <c r="M26"/>
      <c r="N26"/>
      <c r="O26"/>
      <c r="P26"/>
      <c r="Q26"/>
      <c r="R26"/>
      <c r="S26" s="217">
        <v>0.18286089599132538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 s="243">
        <v>0.43816807866096497</v>
      </c>
      <c r="AI26"/>
      <c r="AJ26" s="240">
        <v>0.33520075678825378</v>
      </c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5</v>
      </c>
      <c r="C27">
        <v>3.2320296764373779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221">
        <v>0.40257930755615234</v>
      </c>
      <c r="W27"/>
      <c r="X27" s="224">
        <v>0.79064959287643433</v>
      </c>
      <c r="Y27"/>
      <c r="Z27" s="223">
        <v>0.5747414231300354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0.37099999189376831</v>
      </c>
      <c r="C28">
        <v>6.4810700714588165E-2</v>
      </c>
      <c r="D28" s="11">
        <v>7.1148257120512426E-5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 s="106">
        <v>0.10983559489250183</v>
      </c>
      <c r="AB28"/>
      <c r="AC28"/>
      <c r="AD28"/>
      <c r="AE28"/>
      <c r="AF28" s="260">
        <v>0.19628256559371948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13</v>
      </c>
      <c r="C29">
        <v>0.65000712871551514</v>
      </c>
      <c r="D29"/>
      <c r="E29"/>
      <c r="F29"/>
      <c r="G29"/>
      <c r="H29"/>
      <c r="I29"/>
      <c r="J29"/>
      <c r="K29"/>
      <c r="L29"/>
      <c r="M29"/>
      <c r="N29"/>
      <c r="O29"/>
      <c r="P29" s="11">
        <v>5.6831175461411476E-3</v>
      </c>
      <c r="Q29"/>
      <c r="R29" s="12">
        <v>3.9499461650848389E-2</v>
      </c>
      <c r="S29" s="14">
        <v>1.783844456076622E-2</v>
      </c>
      <c r="T29" s="11">
        <v>4.0190382860600948E-3</v>
      </c>
      <c r="U29"/>
      <c r="V29" s="215">
        <v>1.3784171342849731</v>
      </c>
      <c r="W29"/>
      <c r="X29" s="263">
        <v>1.5227752923965454</v>
      </c>
      <c r="Y29"/>
      <c r="Z29" s="23">
        <v>0.36898013949394226</v>
      </c>
      <c r="AA29" s="264">
        <v>1.5728280544281006</v>
      </c>
      <c r="AB29" s="266">
        <v>3.4915571212768555</v>
      </c>
      <c r="AC29"/>
      <c r="AD29" s="265">
        <v>1.8717145919799805</v>
      </c>
      <c r="AE29" s="63">
        <v>0.28833213448524475</v>
      </c>
      <c r="AF29" s="242">
        <v>1.1655062437057495</v>
      </c>
      <c r="AG29"/>
      <c r="AH29" s="19">
        <v>0.22954876720905304</v>
      </c>
      <c r="AI29" s="142">
        <v>0.39329349994659424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40</v>
      </c>
      <c r="C30">
        <v>25.730949401855469</v>
      </c>
      <c r="D30"/>
      <c r="E30"/>
      <c r="F30"/>
      <c r="G30"/>
      <c r="H30"/>
      <c r="I30"/>
      <c r="J30"/>
      <c r="K30"/>
      <c r="L30"/>
      <c r="M30"/>
      <c r="N30"/>
      <c r="O30"/>
      <c r="P30" s="11">
        <v>2.3429059365298599E-4</v>
      </c>
      <c r="Q30"/>
      <c r="R30"/>
      <c r="S30" s="11">
        <v>7.0876618847250938E-3</v>
      </c>
      <c r="T30"/>
      <c r="U30"/>
      <c r="V30" s="20">
        <v>0.78905612230300903</v>
      </c>
      <c r="W30"/>
      <c r="X30" s="63">
        <v>0.89981108903884888</v>
      </c>
      <c r="Y30"/>
      <c r="Z30" s="11">
        <v>3.6338523030281067E-2</v>
      </c>
      <c r="AA30" s="216">
        <v>1.5852693319320679</v>
      </c>
      <c r="AB30" s="27">
        <v>1.3754456043243408</v>
      </c>
      <c r="AC30" s="18">
        <v>0.49888426065444946</v>
      </c>
      <c r="AD30" s="22">
        <v>0.25200000405311584</v>
      </c>
      <c r="AE30" s="11">
        <v>1.8378036096692085E-2</v>
      </c>
      <c r="AF30" s="20">
        <v>0.79278022050857544</v>
      </c>
      <c r="AG30"/>
      <c r="AH30" s="14">
        <v>4.9080569297075272E-2</v>
      </c>
      <c r="AI30" s="12">
        <v>0.16810512542724609</v>
      </c>
      <c r="AJ30"/>
      <c r="AK30"/>
      <c r="AL30"/>
      <c r="AM30"/>
      <c r="AN30" s="14">
        <v>0.11485330760478973</v>
      </c>
      <c r="AO30" s="228">
        <v>7.6817269325256348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15</v>
      </c>
      <c r="C31">
        <v>7.5</v>
      </c>
      <c r="D31"/>
      <c r="E31"/>
      <c r="F31"/>
      <c r="G31"/>
      <c r="H31"/>
      <c r="I31"/>
      <c r="J31"/>
      <c r="K31"/>
      <c r="L31"/>
      <c r="M31" s="11">
        <v>9.805574081838131E-3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 s="262">
        <v>6.6916680335998535</v>
      </c>
      <c r="AK31"/>
      <c r="AL31" s="241">
        <v>0.79852664470672607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49.869186401367188</v>
      </c>
      <c r="C32">
        <v>44.745872497558594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11">
        <v>1.1729528196156025E-3</v>
      </c>
      <c r="V32" s="14">
        <v>5.0385378301143646E-2</v>
      </c>
      <c r="W32" s="11">
        <v>2.5849032681435347E-3</v>
      </c>
      <c r="X32" s="12">
        <v>0.16792339086532593</v>
      </c>
      <c r="Y32" s="11">
        <v>1.4797396725043654E-3</v>
      </c>
      <c r="Z32" s="12">
        <v>0.2027190774679184</v>
      </c>
      <c r="AA32"/>
      <c r="AB32"/>
      <c r="AC32"/>
      <c r="AD32"/>
      <c r="AE32"/>
      <c r="AF32"/>
      <c r="AG32"/>
      <c r="AH32"/>
      <c r="AI32"/>
      <c r="AJ32"/>
      <c r="AK32"/>
      <c r="AL32"/>
      <c r="AM32" s="11">
        <v>4.2325409594923258E-5</v>
      </c>
      <c r="AN32" s="11">
        <v>6.8068290129303932E-3</v>
      </c>
      <c r="AO32" s="17">
        <v>0.6911853551864624</v>
      </c>
      <c r="AP32" s="221">
        <v>3.9990153312683105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8.6988143622875214E-2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9">
        <v>2.5147981643676758</v>
      </c>
      <c r="W33"/>
      <c r="X33" s="9">
        <v>10.397815704345703</v>
      </c>
      <c r="Y33"/>
      <c r="Z33"/>
      <c r="AA33"/>
      <c r="AB33"/>
      <c r="AC33"/>
      <c r="AD33"/>
      <c r="AE33"/>
      <c r="AF33"/>
      <c r="AG33"/>
      <c r="AH33" s="9">
        <v>5.2783923149108887</v>
      </c>
      <c r="AI33"/>
      <c r="AJ33" s="9">
        <v>71.087898254394531</v>
      </c>
      <c r="AK33" s="9">
        <v>1.2789218425750732</v>
      </c>
      <c r="AL33"/>
      <c r="AM33"/>
      <c r="AN33" s="9">
        <v>5.9723720550537109</v>
      </c>
      <c r="AO33"/>
      <c r="AP33" s="9">
        <v>1733.333251953125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8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3.13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3.13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3.13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3.12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3.12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3.12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3.12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3.12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3.12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3.12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3.22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3.22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3.1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3.12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3.12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3.12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3.12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3.12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3.22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3.2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3.12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3.21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3.21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3.21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3.11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3.11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3.11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3.11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2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2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4.0999999999999996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4.3</v>
      </c>
      <c r="G37">
        <v>36</v>
      </c>
      <c r="H37" s="194" t="s">
        <v>224</v>
      </c>
    </row>
    <row r="38" spans="4:8" customFormat="1" x14ac:dyDescent="0.15">
      <c r="D38" s="193" t="s">
        <v>225</v>
      </c>
      <c r="E38">
        <v>37</v>
      </c>
      <c r="F38">
        <v>5</v>
      </c>
      <c r="G38">
        <v>37</v>
      </c>
      <c r="H38" s="194" t="s">
        <v>225</v>
      </c>
    </row>
    <row r="39" spans="4:8" customFormat="1" x14ac:dyDescent="0.15">
      <c r="D39" s="193" t="s">
        <v>226</v>
      </c>
      <c r="E39">
        <v>38</v>
      </c>
      <c r="F39">
        <v>5</v>
      </c>
      <c r="G39">
        <v>38</v>
      </c>
      <c r="H39" s="194" t="s">
        <v>226</v>
      </c>
    </row>
    <row r="40" spans="4:8" customFormat="1" x14ac:dyDescent="0.15">
      <c r="D40" s="193" t="s">
        <v>227</v>
      </c>
      <c r="E40">
        <v>39</v>
      </c>
      <c r="F40">
        <v>5</v>
      </c>
      <c r="G40">
        <v>39</v>
      </c>
      <c r="H40" s="194" t="s">
        <v>227</v>
      </c>
    </row>
    <row r="41" spans="4:8" customFormat="1" x14ac:dyDescent="0.15">
      <c r="D41" s="193" t="s">
        <v>228</v>
      </c>
      <c r="E41">
        <v>40</v>
      </c>
      <c r="F41">
        <v>5</v>
      </c>
      <c r="G41">
        <v>40</v>
      </c>
      <c r="H41" s="194" t="s">
        <v>228</v>
      </c>
    </row>
    <row r="42" spans="4:8" customFormat="1" x14ac:dyDescent="0.15">
      <c r="D42" s="193" t="s">
        <v>229</v>
      </c>
      <c r="E42">
        <v>41</v>
      </c>
      <c r="F42">
        <v>5</v>
      </c>
      <c r="G42">
        <v>41</v>
      </c>
      <c r="H42" s="194" t="s">
        <v>229</v>
      </c>
    </row>
    <row r="43" spans="4:8" customFormat="1" x14ac:dyDescent="0.15">
      <c r="D43" s="193" t="s">
        <v>216</v>
      </c>
      <c r="E43">
        <v>42</v>
      </c>
      <c r="F43">
        <v>5</v>
      </c>
      <c r="G43">
        <v>42</v>
      </c>
      <c r="H43" s="194" t="s">
        <v>216</v>
      </c>
    </row>
    <row r="44" spans="4:8" customFormat="1" x14ac:dyDescent="0.15">
      <c r="D44" s="193" t="s">
        <v>230</v>
      </c>
      <c r="E44">
        <v>43</v>
      </c>
      <c r="F44">
        <v>5</v>
      </c>
      <c r="G44">
        <v>43</v>
      </c>
      <c r="H44" s="194" t="s">
        <v>230</v>
      </c>
    </row>
    <row r="45" spans="4:8" customFormat="1" x14ac:dyDescent="0.15">
      <c r="D45" s="193" t="s">
        <v>231</v>
      </c>
      <c r="E45">
        <v>44</v>
      </c>
      <c r="F45">
        <v>5</v>
      </c>
      <c r="G45">
        <v>44</v>
      </c>
      <c r="H45" s="194" t="s">
        <v>231</v>
      </c>
    </row>
    <row r="46" spans="4:8" customFormat="1" x14ac:dyDescent="0.15">
      <c r="D46" s="193" t="s">
        <v>232</v>
      </c>
      <c r="E46">
        <v>45</v>
      </c>
      <c r="F46">
        <v>5</v>
      </c>
      <c r="G46">
        <v>45</v>
      </c>
      <c r="H46" s="194" t="s">
        <v>232</v>
      </c>
    </row>
    <row r="47" spans="4:8" customFormat="1" x14ac:dyDescent="0.15">
      <c r="D47" s="193" t="s">
        <v>233</v>
      </c>
      <c r="E47">
        <v>46</v>
      </c>
      <c r="F47">
        <v>5</v>
      </c>
      <c r="G47">
        <v>46</v>
      </c>
      <c r="H47" s="194" t="s">
        <v>233</v>
      </c>
    </row>
    <row r="48" spans="4:8" customFormat="1" x14ac:dyDescent="0.15">
      <c r="D48" s="193" t="s">
        <v>138</v>
      </c>
      <c r="E48">
        <v>47</v>
      </c>
      <c r="F48">
        <v>6.1</v>
      </c>
      <c r="G48">
        <v>47</v>
      </c>
      <c r="H48" s="194" t="s">
        <v>138</v>
      </c>
    </row>
    <row r="49" spans="4:8" customFormat="1" x14ac:dyDescent="0.15">
      <c r="D49" s="193" t="s">
        <v>45</v>
      </c>
      <c r="E49">
        <v>48</v>
      </c>
      <c r="F49">
        <v>6.2</v>
      </c>
      <c r="G49">
        <v>48</v>
      </c>
      <c r="H49" s="194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6.33203125" style="82" bestFit="1" customWidth="1"/>
    <col min="2" max="2" width="15.83203125" style="81" customWidth="1"/>
    <col min="3" max="3" width="16.33203125" style="81" customWidth="1"/>
    <col min="4" max="4" width="9.83203125" style="81" customWidth="1"/>
    <col min="5" max="5" width="15.832031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0" customWidth="1"/>
    <col min="17" max="17" width="2.33203125" style="81" customWidth="1"/>
    <col min="18" max="18" width="2.33203125" style="71" customWidth="1"/>
    <col min="19" max="16384" width="11.5" style="81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3" t="s">
        <v>48</v>
      </c>
      <c r="L1" s="71"/>
      <c r="M1" s="83" t="s">
        <v>119</v>
      </c>
      <c r="N1" s="71"/>
      <c r="O1" s="83" t="s">
        <v>49</v>
      </c>
      <c r="P1" s="74"/>
      <c r="Q1" s="83" t="s">
        <v>50</v>
      </c>
      <c r="R1" s="68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5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0">
        <v>0</v>
      </c>
      <c r="Q6" s="81">
        <v>0</v>
      </c>
      <c r="R6" s="71">
        <v>1</v>
      </c>
      <c r="S6"/>
      <c r="T6"/>
    </row>
    <row r="7" spans="1:23" ht="15" customHeight="1" thickBot="1" x14ac:dyDescent="0.2">
      <c r="F7" s="195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0">
        <v>0</v>
      </c>
      <c r="Q7" s="81">
        <v>0</v>
      </c>
      <c r="R7" s="71">
        <v>1</v>
      </c>
      <c r="S7"/>
      <c r="T7"/>
    </row>
    <row r="8" spans="1:23" ht="15" customHeight="1" x14ac:dyDescent="0.15">
      <c r="A8" s="83" t="s">
        <v>56</v>
      </c>
      <c r="B8" s="90">
        <v>4.1030492312657741E-4</v>
      </c>
      <c r="C8" s="196" t="s">
        <v>221</v>
      </c>
      <c r="D8" s="85" t="s">
        <v>160</v>
      </c>
      <c r="F8" s="195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0">
        <v>0</v>
      </c>
      <c r="Q8" s="81">
        <v>0</v>
      </c>
      <c r="R8" s="71">
        <v>1</v>
      </c>
      <c r="S8"/>
      <c r="T8"/>
      <c r="W8"/>
    </row>
    <row r="9" spans="1:23" ht="15" customHeight="1" x14ac:dyDescent="0.15">
      <c r="A9" s="123" t="s">
        <v>168</v>
      </c>
      <c r="B9" s="92">
        <v>0.99958969507687345</v>
      </c>
      <c r="C9" s="196" t="s">
        <v>222</v>
      </c>
      <c r="D9" s="85" t="s">
        <v>160</v>
      </c>
      <c r="F9" s="195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0">
        <v>0</v>
      </c>
      <c r="Q9" s="81">
        <v>0</v>
      </c>
      <c r="R9" s="71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5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0">
        <v>0</v>
      </c>
      <c r="Q10" s="81">
        <v>0</v>
      </c>
      <c r="R10" s="71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5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0">
        <v>0</v>
      </c>
      <c r="Q11" s="81">
        <v>0</v>
      </c>
      <c r="R11" s="71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5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0">
        <v>0</v>
      </c>
      <c r="Q12" s="81">
        <v>0</v>
      </c>
      <c r="R12" s="71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5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0">
        <v>0</v>
      </c>
      <c r="Q13" s="81">
        <v>0</v>
      </c>
      <c r="R13" s="71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5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0">
        <v>0</v>
      </c>
      <c r="Q14" s="81">
        <v>0</v>
      </c>
      <c r="R14" s="71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5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0">
        <v>0</v>
      </c>
      <c r="Q15" s="81">
        <v>0</v>
      </c>
      <c r="R15" s="71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5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0">
        <v>0</v>
      </c>
      <c r="Q16" s="81">
        <v>0</v>
      </c>
      <c r="R16" s="71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5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0">
        <v>0</v>
      </c>
      <c r="Q17" s="81">
        <v>0</v>
      </c>
      <c r="R17" s="71">
        <v>1</v>
      </c>
      <c r="S17"/>
      <c r="T17"/>
    </row>
    <row r="18" spans="1:20" ht="15" customHeight="1" thickBot="1" x14ac:dyDescent="0.2">
      <c r="B18" s="93"/>
      <c r="F18" s="195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0">
        <v>0</v>
      </c>
      <c r="Q18" s="81">
        <v>0</v>
      </c>
      <c r="R18" s="71">
        <v>1</v>
      </c>
      <c r="S18"/>
      <c r="T18"/>
    </row>
    <row r="19" spans="1:20" ht="15" customHeight="1" x14ac:dyDescent="0.15">
      <c r="A19" s="83" t="s">
        <v>57</v>
      </c>
      <c r="B19" s="90">
        <v>4.1030492312657741E-4</v>
      </c>
      <c r="C19" s="197" t="s">
        <v>221</v>
      </c>
      <c r="D19" s="85" t="s">
        <v>160</v>
      </c>
      <c r="F19" s="195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0">
        <v>0</v>
      </c>
      <c r="Q19" s="81">
        <v>0</v>
      </c>
      <c r="R19" s="71">
        <v>1</v>
      </c>
      <c r="S19"/>
      <c r="T19"/>
    </row>
    <row r="20" spans="1:20" ht="15" customHeight="1" x14ac:dyDescent="0.15">
      <c r="A20" s="123" t="s">
        <v>168</v>
      </c>
      <c r="B20" s="92">
        <v>0.99958969507687345</v>
      </c>
      <c r="C20" s="197" t="s">
        <v>222</v>
      </c>
      <c r="D20" s="85" t="s">
        <v>160</v>
      </c>
      <c r="F20" s="195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0">
        <v>0</v>
      </c>
      <c r="Q20" s="81">
        <v>0</v>
      </c>
      <c r="R20" s="71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5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0">
        <v>0</v>
      </c>
      <c r="Q21" s="81">
        <v>0</v>
      </c>
      <c r="R21" s="71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5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0">
        <v>0</v>
      </c>
      <c r="Q22" s="81">
        <v>0</v>
      </c>
      <c r="R22" s="71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5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0">
        <v>0</v>
      </c>
      <c r="Q23" s="81">
        <v>0</v>
      </c>
      <c r="R23" s="71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5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0">
        <v>0</v>
      </c>
      <c r="Q24" s="81">
        <v>0</v>
      </c>
      <c r="R24" s="71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5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0">
        <v>0</v>
      </c>
      <c r="Q25" s="81">
        <v>0</v>
      </c>
      <c r="R25" s="71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5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0">
        <v>0</v>
      </c>
      <c r="Q26" s="81">
        <v>0</v>
      </c>
      <c r="R26" s="71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5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0">
        <v>0</v>
      </c>
      <c r="Q27" s="81">
        <v>0</v>
      </c>
      <c r="R27" s="71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5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0">
        <v>0</v>
      </c>
      <c r="Q28" s="81">
        <v>0</v>
      </c>
      <c r="R28" s="71">
        <v>1</v>
      </c>
      <c r="S28"/>
      <c r="T28"/>
    </row>
    <row r="29" spans="1:20" ht="15" customHeight="1" x14ac:dyDescent="0.15">
      <c r="F29" s="195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0">
        <v>0</v>
      </c>
      <c r="Q29" s="81">
        <v>0</v>
      </c>
      <c r="R29" s="71">
        <v>1</v>
      </c>
      <c r="S29"/>
      <c r="T29"/>
    </row>
    <row r="30" spans="1:20" ht="15" customHeight="1" x14ac:dyDescent="0.15">
      <c r="F30" s="195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0">
        <v>0</v>
      </c>
      <c r="Q30" s="81">
        <v>0</v>
      </c>
      <c r="R30" s="71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5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0">
        <v>0</v>
      </c>
      <c r="Q31" s="81">
        <v>0</v>
      </c>
      <c r="R31" s="71">
        <v>1</v>
      </c>
      <c r="S31"/>
      <c r="T31"/>
    </row>
    <row r="32" spans="1:20" ht="15" customHeight="1" x14ac:dyDescent="0.15">
      <c r="A32" s="198" t="s">
        <v>221</v>
      </c>
      <c r="B32" s="93">
        <v>0.59150029999999998</v>
      </c>
      <c r="C32" s="93">
        <v>15</v>
      </c>
      <c r="D32" s="93">
        <v>8.8725044999999998</v>
      </c>
      <c r="E32" s="125">
        <v>4.1030492312657741E-4</v>
      </c>
      <c r="F32" s="195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0">
        <v>0</v>
      </c>
      <c r="Q32" s="81">
        <v>0</v>
      </c>
      <c r="R32" s="71">
        <v>1</v>
      </c>
      <c r="S32"/>
      <c r="T32"/>
    </row>
    <row r="33" spans="1:20" ht="15" customHeight="1" x14ac:dyDescent="0.15">
      <c r="A33" s="198" t="s">
        <v>222</v>
      </c>
      <c r="B33" s="93">
        <v>433.44</v>
      </c>
      <c r="C33" s="93">
        <v>49.869186399999997</v>
      </c>
      <c r="D33" s="93">
        <v>21615.300153215998</v>
      </c>
      <c r="E33" s="125">
        <v>0.99958969507687345</v>
      </c>
      <c r="F33" s="195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0">
        <v>0</v>
      </c>
      <c r="Q33" s="81">
        <v>0</v>
      </c>
      <c r="R33" s="71">
        <v>1</v>
      </c>
      <c r="S33"/>
      <c r="T33"/>
    </row>
    <row r="34" spans="1:20" ht="15" customHeight="1" x14ac:dyDescent="0.15">
      <c r="A34" s="126"/>
      <c r="B34" s="93"/>
      <c r="C34" s="93"/>
      <c r="D34" s="93"/>
      <c r="E34" s="125"/>
      <c r="F34" s="195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0">
        <v>0</v>
      </c>
      <c r="Q34" s="81">
        <v>0</v>
      </c>
      <c r="R34" s="71">
        <v>1</v>
      </c>
      <c r="S34"/>
      <c r="T34"/>
    </row>
    <row r="35" spans="1:20" ht="15" customHeight="1" x14ac:dyDescent="0.15">
      <c r="A35" s="127"/>
      <c r="B35" s="93"/>
      <c r="C35" s="93"/>
      <c r="D35" s="93"/>
      <c r="E35" s="125"/>
      <c r="F35" s="195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1</v>
      </c>
      <c r="N35" s="81">
        <v>0</v>
      </c>
      <c r="O35" s="81">
        <v>0</v>
      </c>
      <c r="P35" s="70">
        <v>0</v>
      </c>
      <c r="Q35" s="81">
        <v>0</v>
      </c>
      <c r="R35" s="71">
        <v>1</v>
      </c>
      <c r="S35"/>
      <c r="T35"/>
    </row>
    <row r="36" spans="1:20" ht="15" customHeight="1" x14ac:dyDescent="0.15">
      <c r="A36" s="128"/>
      <c r="B36" s="93"/>
      <c r="C36" s="93"/>
      <c r="D36" s="93"/>
      <c r="E36" s="125"/>
      <c r="F36" s="195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1</v>
      </c>
      <c r="N36" s="81">
        <v>0</v>
      </c>
      <c r="O36" s="81">
        <v>0</v>
      </c>
      <c r="P36" s="70">
        <v>0</v>
      </c>
      <c r="Q36" s="81">
        <v>0</v>
      </c>
      <c r="R36" s="71">
        <v>1</v>
      </c>
      <c r="S36"/>
      <c r="T36"/>
    </row>
    <row r="37" spans="1:20" ht="15" customHeight="1" x14ac:dyDescent="0.15">
      <c r="A37" s="128"/>
      <c r="B37" s="93"/>
      <c r="C37" s="93"/>
      <c r="D37" s="93"/>
      <c r="E37" s="125"/>
      <c r="F37" s="195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0">
        <v>1</v>
      </c>
      <c r="Q37" s="81">
        <v>0</v>
      </c>
      <c r="R37" s="71">
        <v>1</v>
      </c>
      <c r="S37"/>
      <c r="T37"/>
    </row>
    <row r="38" spans="1:20" ht="15" customHeight="1" x14ac:dyDescent="0.15">
      <c r="A38" s="129"/>
      <c r="B38" s="93"/>
      <c r="C38" s="93"/>
      <c r="D38" s="93"/>
      <c r="E38" s="125"/>
      <c r="F38" s="195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1</v>
      </c>
      <c r="O38" s="81">
        <v>0</v>
      </c>
      <c r="P38" s="70">
        <v>1</v>
      </c>
      <c r="Q38" s="81">
        <v>0</v>
      </c>
      <c r="R38" s="71">
        <v>1</v>
      </c>
      <c r="S38"/>
      <c r="T38"/>
    </row>
    <row r="39" spans="1:20" ht="15" customHeight="1" x14ac:dyDescent="0.15">
      <c r="A39" s="129"/>
      <c r="B39" s="93"/>
      <c r="C39" s="93"/>
      <c r="D39" s="93"/>
      <c r="E39" s="125"/>
      <c r="F39" s="195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0</v>
      </c>
      <c r="O39" s="81">
        <v>0</v>
      </c>
      <c r="P39" s="70">
        <v>0</v>
      </c>
      <c r="Q39" s="81">
        <v>0</v>
      </c>
      <c r="R39" s="71">
        <v>1</v>
      </c>
      <c r="S39"/>
      <c r="T39"/>
    </row>
    <row r="40" spans="1:20" ht="15" customHeight="1" x14ac:dyDescent="0.15">
      <c r="A40" s="129"/>
      <c r="B40" s="93"/>
      <c r="C40" s="93"/>
      <c r="D40" s="93"/>
      <c r="E40" s="125"/>
      <c r="F40" s="195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0</v>
      </c>
      <c r="O40" s="81">
        <v>0</v>
      </c>
      <c r="P40" s="70">
        <v>0</v>
      </c>
      <c r="Q40" s="81">
        <v>0</v>
      </c>
      <c r="R40" s="71">
        <v>1</v>
      </c>
      <c r="S40"/>
      <c r="T40"/>
    </row>
    <row r="41" spans="1:20" ht="15" customHeight="1" thickBot="1" x14ac:dyDescent="0.2">
      <c r="A41" s="129"/>
      <c r="B41" s="93"/>
      <c r="C41" s="93"/>
      <c r="D41" s="94"/>
      <c r="E41" s="130"/>
      <c r="F41" s="195" t="s">
        <v>227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1</v>
      </c>
      <c r="M41" s="81">
        <v>0</v>
      </c>
      <c r="N41" s="81">
        <v>0</v>
      </c>
      <c r="O41" s="81">
        <v>0</v>
      </c>
      <c r="P41" s="70">
        <v>0</v>
      </c>
      <c r="Q41" s="81">
        <v>0</v>
      </c>
      <c r="R41" s="71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21624.172657715997</v>
      </c>
      <c r="E42" s="133">
        <f>SUM(E32:E41)</f>
        <v>1</v>
      </c>
      <c r="F42" s="195" t="s">
        <v>228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1</v>
      </c>
      <c r="M42" s="81">
        <v>0</v>
      </c>
      <c r="N42" s="81">
        <v>0</v>
      </c>
      <c r="O42" s="81">
        <v>0</v>
      </c>
      <c r="P42" s="70">
        <v>0</v>
      </c>
      <c r="Q42" s="81">
        <v>0</v>
      </c>
      <c r="R42" s="71">
        <v>1</v>
      </c>
      <c r="S42"/>
      <c r="T42"/>
    </row>
    <row r="43" spans="1:20" ht="15" customHeight="1" x14ac:dyDescent="0.15">
      <c r="A43" s="81"/>
      <c r="F43" s="195" t="s">
        <v>229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1</v>
      </c>
      <c r="M43" s="81">
        <v>0</v>
      </c>
      <c r="N43" s="81">
        <v>0</v>
      </c>
      <c r="O43" s="81">
        <v>0</v>
      </c>
      <c r="P43" s="70">
        <v>0</v>
      </c>
      <c r="Q43" s="81">
        <v>0</v>
      </c>
      <c r="R43" s="71">
        <v>1</v>
      </c>
      <c r="S43"/>
      <c r="T43"/>
    </row>
    <row r="44" spans="1:20" ht="15" customHeight="1" x14ac:dyDescent="0.15">
      <c r="A44" s="81"/>
      <c r="F44" s="195" t="s">
        <v>216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1</v>
      </c>
      <c r="M44" s="81">
        <v>0</v>
      </c>
      <c r="N44" s="81">
        <v>0</v>
      </c>
      <c r="O44" s="81">
        <v>0</v>
      </c>
      <c r="P44" s="70">
        <v>0</v>
      </c>
      <c r="Q44" s="81">
        <v>0</v>
      </c>
      <c r="R44" s="71">
        <v>1</v>
      </c>
    </row>
    <row r="45" spans="1:20" ht="15" customHeight="1" x14ac:dyDescent="0.15">
      <c r="A45" s="81"/>
      <c r="F45" s="195" t="s">
        <v>230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>
        <v>1</v>
      </c>
      <c r="M45" s="81">
        <v>0</v>
      </c>
      <c r="N45" s="81">
        <v>0</v>
      </c>
      <c r="O45" s="81">
        <v>0</v>
      </c>
      <c r="P45" s="70">
        <v>0</v>
      </c>
      <c r="Q45" s="81">
        <v>0</v>
      </c>
      <c r="R45" s="71">
        <v>1</v>
      </c>
    </row>
    <row r="46" spans="1:20" ht="15" customHeight="1" x14ac:dyDescent="0.15">
      <c r="A46" s="81"/>
      <c r="F46" s="195" t="s">
        <v>231</v>
      </c>
      <c r="G46" s="81">
        <v>0</v>
      </c>
      <c r="H46" s="81">
        <v>0</v>
      </c>
      <c r="I46" s="81">
        <v>0</v>
      </c>
      <c r="J46" s="81">
        <v>0</v>
      </c>
      <c r="K46" s="81">
        <v>0</v>
      </c>
      <c r="L46" s="81">
        <v>1</v>
      </c>
      <c r="M46" s="81">
        <v>0</v>
      </c>
      <c r="N46" s="81">
        <v>0</v>
      </c>
      <c r="O46" s="81">
        <v>0</v>
      </c>
      <c r="P46" s="70">
        <v>0</v>
      </c>
      <c r="Q46" s="81">
        <v>0</v>
      </c>
      <c r="R46" s="71">
        <v>1</v>
      </c>
    </row>
    <row r="47" spans="1:20" ht="15" customHeight="1" x14ac:dyDescent="0.15">
      <c r="A47" s="81"/>
      <c r="F47" s="195" t="s">
        <v>232</v>
      </c>
      <c r="G47" s="81">
        <v>0</v>
      </c>
      <c r="H47" s="81">
        <v>0</v>
      </c>
      <c r="I47" s="81">
        <v>0</v>
      </c>
      <c r="J47" s="81">
        <v>0</v>
      </c>
      <c r="K47" s="81">
        <v>0</v>
      </c>
      <c r="L47" s="81">
        <v>1</v>
      </c>
      <c r="M47" s="81">
        <v>0</v>
      </c>
      <c r="N47" s="81">
        <v>0</v>
      </c>
      <c r="O47" s="81">
        <v>0</v>
      </c>
      <c r="P47" s="70">
        <v>0</v>
      </c>
      <c r="Q47" s="81">
        <v>0</v>
      </c>
      <c r="R47" s="71">
        <v>1</v>
      </c>
    </row>
    <row r="48" spans="1:20" ht="15" customHeight="1" x14ac:dyDescent="0.15">
      <c r="A48" s="81"/>
      <c r="F48" s="195" t="s">
        <v>233</v>
      </c>
      <c r="G48" s="81">
        <v>0</v>
      </c>
      <c r="H48" s="81">
        <v>0</v>
      </c>
      <c r="I48" s="81">
        <v>0</v>
      </c>
      <c r="J48" s="81">
        <v>0</v>
      </c>
      <c r="K48" s="81">
        <v>0</v>
      </c>
      <c r="L48" s="81">
        <v>1</v>
      </c>
      <c r="M48" s="81">
        <v>0</v>
      </c>
      <c r="N48" s="81">
        <v>0</v>
      </c>
      <c r="O48" s="81">
        <v>0</v>
      </c>
      <c r="P48" s="70">
        <v>0</v>
      </c>
      <c r="Q48" s="81">
        <v>0</v>
      </c>
      <c r="R48" s="71">
        <v>1</v>
      </c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9" customWidth="1"/>
    <col min="3" max="5" width="7.83203125" style="109" customWidth="1"/>
    <col min="6" max="8" width="8.83203125" style="6"/>
    <col min="9" max="9" width="15.5" style="6" customWidth="1"/>
    <col min="10" max="10" width="6" style="6" customWidth="1"/>
    <col min="11" max="11" width="5.5" style="6" customWidth="1"/>
    <col min="12" max="12" width="7.1640625" style="6" customWidth="1"/>
    <col min="13" max="13" width="5.33203125" style="6" customWidth="1"/>
    <col min="14" max="14" width="6.5" style="6" customWidth="1"/>
    <col min="15" max="15" width="12.1640625" style="6" customWidth="1"/>
    <col min="16" max="16" width="12" style="6" customWidth="1"/>
    <col min="17" max="17" width="13.83203125" style="6" customWidth="1"/>
    <col min="18" max="18" width="11.33203125" style="6" customWidth="1"/>
    <col min="19" max="19" width="13.1640625" style="6" customWidth="1"/>
    <col min="20" max="20" width="10.83203125" style="6" customWidth="1"/>
    <col min="21" max="21" width="12.6640625" style="6" customWidth="1"/>
    <col min="22" max="22" width="16.5" style="6" customWidth="1"/>
    <col min="23" max="23" width="12.6640625" style="6" customWidth="1"/>
    <col min="24" max="24" width="14.1640625" style="6" customWidth="1"/>
    <col min="25" max="25" width="15.33203125" style="6" customWidth="1"/>
    <col min="26" max="26" width="6.6640625" style="6" customWidth="1"/>
    <col min="27" max="27" width="7.1640625" style="6" customWidth="1"/>
    <col min="28" max="28" width="8.6640625" style="6" customWidth="1"/>
    <col min="29" max="29" width="15" style="6" customWidth="1"/>
    <col min="30" max="30" width="12" style="6" customWidth="1"/>
    <col min="31" max="31" width="13" style="6" customWidth="1"/>
    <col min="32" max="32" width="6.1640625" style="6" customWidth="1"/>
    <col min="33" max="33" width="7.5" style="6" customWidth="1"/>
    <col min="34" max="34" width="11.5" style="6" customWidth="1"/>
    <col min="35" max="35" width="13.5" style="6" customWidth="1"/>
    <col min="36" max="36" width="16.5" style="6" customWidth="1"/>
    <col min="37" max="37" width="15.83203125" style="6" customWidth="1"/>
    <col min="38" max="38" width="16.33203125" style="6" customWidth="1"/>
    <col min="39" max="39" width="13.1640625" customWidth="1"/>
    <col min="40" max="40" width="7.6640625" customWidth="1"/>
    <col min="41" max="41" width="21.6640625" customWidth="1"/>
    <col min="42" max="42" width="11.1640625" customWidth="1"/>
    <col min="43" max="43" width="14.6640625" customWidth="1"/>
    <col min="44" max="45" width="9.1640625" customWidth="1"/>
    <col min="46" max="46" width="9.83203125" customWidth="1"/>
    <col min="47" max="47" width="7.5" customWidth="1"/>
    <col min="48" max="48" width="20" customWidth="1"/>
    <col min="49" max="49" width="20.5" customWidth="1"/>
    <col min="50" max="50" width="11" customWidth="1"/>
    <col min="51" max="51" width="5.83203125" customWidth="1"/>
    <col min="81" max="81" width="22.1640625" bestFit="1" customWidth="1"/>
  </cols>
  <sheetData>
    <row r="1" spans="1:51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  <c r="AP1" s="200" t="s">
        <v>225</v>
      </c>
      <c r="AQ1" s="200" t="s">
        <v>226</v>
      </c>
      <c r="AR1" s="200" t="s">
        <v>227</v>
      </c>
      <c r="AS1" s="200" t="s">
        <v>228</v>
      </c>
      <c r="AT1" s="200" t="s">
        <v>229</v>
      </c>
      <c r="AU1" s="200" t="s">
        <v>216</v>
      </c>
      <c r="AV1" s="200" t="s">
        <v>230</v>
      </c>
      <c r="AW1" s="200" t="s">
        <v>231</v>
      </c>
      <c r="AX1" s="200" t="s">
        <v>232</v>
      </c>
      <c r="AY1" s="200" t="s">
        <v>233</v>
      </c>
    </row>
    <row r="2" spans="1:51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199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199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199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199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199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199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199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199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199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199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199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199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9">
        <v>0</v>
      </c>
      <c r="C36"/>
      <c r="D36"/>
    </row>
    <row r="37" spans="1:38" ht="15" customHeight="1" x14ac:dyDescent="0.15">
      <c r="A37" s="199" t="s">
        <v>224</v>
      </c>
      <c r="B37" s="109">
        <v>0</v>
      </c>
      <c r="C37"/>
      <c r="D37"/>
    </row>
    <row r="38" spans="1:38" ht="15" customHeight="1" x14ac:dyDescent="0.15">
      <c r="A38" s="199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9" t="s">
        <v>226</v>
      </c>
      <c r="B39" s="109">
        <v>0</v>
      </c>
      <c r="C39"/>
      <c r="D39"/>
    </row>
    <row r="40" spans="1:38" ht="15" customHeight="1" x14ac:dyDescent="0.15">
      <c r="A40" s="199" t="s">
        <v>227</v>
      </c>
      <c r="B40" s="109">
        <v>0</v>
      </c>
      <c r="C40"/>
      <c r="D40"/>
    </row>
    <row r="41" spans="1:38" ht="15" customHeight="1" x14ac:dyDescent="0.15">
      <c r="A41" s="199" t="s">
        <v>228</v>
      </c>
      <c r="B41" s="109">
        <v>0</v>
      </c>
      <c r="C41"/>
      <c r="D41"/>
    </row>
    <row r="42" spans="1:38" ht="15" customHeight="1" x14ac:dyDescent="0.15">
      <c r="A42" s="199" t="s">
        <v>229</v>
      </c>
      <c r="B42" s="109">
        <v>0</v>
      </c>
    </row>
    <row r="43" spans="1:38" ht="15" customHeight="1" x14ac:dyDescent="0.15">
      <c r="A43" s="199" t="s">
        <v>216</v>
      </c>
      <c r="B43" s="109">
        <v>0</v>
      </c>
    </row>
    <row r="44" spans="1:38" ht="15" customHeight="1" x14ac:dyDescent="0.15">
      <c r="A44" s="199" t="s">
        <v>230</v>
      </c>
      <c r="B44" s="109">
        <v>0</v>
      </c>
    </row>
    <row r="45" spans="1:38" ht="15" customHeight="1" x14ac:dyDescent="0.15">
      <c r="A45" s="199" t="s">
        <v>231</v>
      </c>
      <c r="B45" s="109">
        <v>0</v>
      </c>
    </row>
    <row r="46" spans="1:38" ht="15" customHeight="1" x14ac:dyDescent="0.15">
      <c r="A46" s="199" t="s">
        <v>232</v>
      </c>
      <c r="B46" s="109">
        <v>0</v>
      </c>
    </row>
    <row r="47" spans="1:38" ht="15" customHeight="1" x14ac:dyDescent="0.15">
      <c r="A47" s="199" t="s">
        <v>233</v>
      </c>
      <c r="B47" s="109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2022-10-24T04:17:56Z</dcterms:modified>
</cp:coreProperties>
</file>