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Atlantic/Atlantic_ECOTRAN_K-path_versions/"/>
    </mc:Choice>
  </mc:AlternateContent>
  <xr:revisionPtr revIDLastSave="0" documentId="13_ncr:1_{1FB377F1-17C6-D94F-ADA4-664C0311789A}" xr6:coauthVersionLast="45" xr6:coauthVersionMax="45" xr10:uidLastSave="{00000000-0000-0000-0000-000000000000}"/>
  <bookViews>
    <workbookView xWindow="0" yWindow="460" windowWidth="25600" windowHeight="14240" tabRatio="728" firstSheet="2" activeTab="3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Main!$C$2:$N$68</definedName>
    <definedName name="matDetritus">Detritus!$C$2:$F$68</definedName>
    <definedName name="matDiet">Diets!$B$2:$AU$51</definedName>
    <definedName name="matDiscards">Discards!$C$2:$T$50</definedName>
    <definedName name="matFishery">Fishing!$C$2:$T$50</definedName>
    <definedName name="matFishing">Fishing!#REF!</definedName>
    <definedName name="matMort">Mortalities!$A$1:$BR$50</definedName>
    <definedName name="matOut">MainOutputs!$A$2:$I$68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53" i="78" l="1"/>
  <c r="D53" i="78"/>
  <c r="E53" i="78"/>
  <c r="F53" i="78"/>
  <c r="G53" i="78"/>
  <c r="H53" i="78"/>
  <c r="I53" i="78"/>
  <c r="J53" i="78"/>
  <c r="K53" i="78"/>
  <c r="L53" i="78"/>
  <c r="M53" i="78"/>
  <c r="N53" i="78"/>
  <c r="O53" i="78"/>
  <c r="P53" i="78"/>
  <c r="Q53" i="78"/>
  <c r="R53" i="78"/>
  <c r="S53" i="78"/>
  <c r="T53" i="78"/>
  <c r="U53" i="78"/>
  <c r="V53" i="78"/>
  <c r="W53" i="78"/>
  <c r="X53" i="78"/>
  <c r="Y53" i="78"/>
  <c r="Z53" i="78"/>
  <c r="AA53" i="78"/>
  <c r="AB53" i="78"/>
  <c r="AC53" i="78"/>
  <c r="AD53" i="78"/>
  <c r="AE53" i="78"/>
  <c r="AF53" i="78"/>
  <c r="AG53" i="78"/>
  <c r="AH53" i="78"/>
  <c r="AI53" i="78"/>
  <c r="AJ53" i="78"/>
  <c r="AK53" i="78"/>
  <c r="AL53" i="78"/>
  <c r="AM53" i="78"/>
  <c r="AN53" i="78"/>
  <c r="AO53" i="78"/>
  <c r="AP53" i="78"/>
  <c r="AQ53" i="78"/>
  <c r="AR53" i="78"/>
  <c r="AS53" i="78"/>
  <c r="AT53" i="78"/>
  <c r="AU53" i="78"/>
  <c r="AV53" i="78"/>
  <c r="AW53" i="78"/>
  <c r="AX53" i="78"/>
  <c r="B53" i="78"/>
  <c r="E42" i="86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<sst xmlns="http://schemas.openxmlformats.org/spreadsheetml/2006/main" count="1586" uniqueCount="269">
  <si>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</si>
  <si>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</si>
  <si>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</si>
  <si>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</si>
  <si>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</si>
  <si>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</si>
  <si>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</si>
  <si>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</si>
  <si>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</si>
  <si>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</si>
  <si>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</si>
  <si>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</si>
  <si>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</si>
  <si>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</si>
  <si>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</si>
  <si>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</si>
  <si>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</si>
  <si>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</si>
  <si>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</si>
  <si>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</si>
  <si>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</si>
  <si>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</si>
  <si>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</si>
  <si>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</si>
  <si>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</si>
  <si>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</si>
  <si>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</si>
  <si>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</si>
  <si>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</si>
  <si>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</si>
  <si>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</si>
  <si>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</si>
  <si>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</si>
  <si>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</si>
  <si>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</si>
  <si>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</si>
  <si>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</si>
  <si>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</si>
  <si>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</si>
  <si>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</si>
  <si>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</si>
  <si>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</si>
  <si>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</si>
  <si>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</si>
  <si>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</si>
  <si>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</si>
  <si>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</si>
  <si>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</si>
  <si>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</si>
  <si>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</si>
  <si>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</si>
  <si>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</si>
  <si>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</si>
  <si>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</si>
  <si>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</si>
  <si>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</si>
  <si>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</si>
  <si>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</si>
  <si>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</si>
  <si>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</si>
  <si>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</si>
  <si>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</si>
  <si>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</si>
  <si>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</si>
  <si>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</si>
  <si>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</si>
  <si>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</si>
  <si>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</si>
  <si>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</si>
  <si>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</si>
  <si>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</si>
  <si>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</si>
  <si>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</si>
  <si>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</si>
  <si>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</si>
  <si>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</si>
  <si>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</si>
  <si>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</si>
  <si>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</si>
  <si>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</si>
  <si>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</si>
  <si>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</si>
  <si>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</si>
  <si>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</si>
  <si>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</si>
  <si>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</si>
  <si>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</si>
  <si>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</si>
  <si>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</si>
  <si>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</si>
  <si>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</si>
  <si>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</si>
  <si>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</si>
  <si>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</si>
  <si>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</si>
  <si>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</si>
  <si>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</si>
  <si>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</si>
  <si>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</si>
  <si>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</si>
  <si>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</si>
  <si>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</si>
  <si>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</si>
  <si>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</si>
  <si>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</si>
  <si>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</si>
  <si>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</si>
  <si>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</si>
  <si>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</si>
  <si>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</si>
  <si>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</si>
  <si>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</si>
  <si>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</si>
  <si>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</si>
  <si>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</si>
  <si>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</si>
  <si>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</si>
  <si>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</si>
  <si>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</si>
  <si>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</si>
  <si>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</si>
  <si>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</si>
  <si>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</si>
  <si>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</si>
  <si>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</si>
  <si>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</si>
  <si>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</si>
  <si>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</si>
  <si>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</si>
  <si>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</si>
  <si>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</si>
  <si>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</si>
  <si>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</si>
  <si>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</si>
  <si>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</si>
  <si>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</si>
  <si>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</si>
  <si>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</si>
  <si>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</si>
  <si>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</si>
  <si>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</si>
  <si>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</si>
  <si>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</si>
  <si>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</si>
  <si>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</si>
  <si>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</si>
  <si>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</si>
  <si>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</si>
  <si>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</si>
  <si>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</si>
  <si>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</si>
  <si>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</si>
  <si>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</si>
  <si>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</si>
  <si>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</si>
  <si>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</si>
  <si>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</si>
  <si>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</si>
  <si>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</si>
  <si>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</si>
  <si>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</si>
  <si>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</si>
  <si>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</si>
  <si>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</si>
  <si>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</si>
  <si>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</si>
  <si>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</si>
  <si>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</si>
  <si>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</si>
  <si>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</si>
  <si>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</si>
  <si>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</si>
  <si>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</si>
  <si>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</si>
  <si>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</si>
  <si>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</si>
  <si>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</si>
  <si>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</si>
  <si>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</si>
  <si>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</si>
  <si>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</si>
  <si>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</si>
  <si>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</si>
  <si>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</si>
  <si>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</si>
  <si>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Celtic Sea</t>
  </si>
  <si>
    <t>France, UK, Irlande</t>
  </si>
  <si>
    <t>BOX(-11.4295299629191 48.0740161415041,-1.16976118890515 52.4992707395696)</t>
  </si>
  <si>
    <t>continental shelf</t>
  </si>
  <si>
    <t>WetWeight</t>
  </si>
  <si>
    <t>Ecopath model derived from the "Celtic Sea 2013 by Moullec et al" modelThese two models were built updating and improving the Celtic_Biscay 1980 and 2012 models developped by Guénette &amp;amp; Gascuel 2009 and Bentorcha et al. 2017</t>
  </si>
  <si>
    <t>Moullec F., Gascuel D., Bentorcha K., et al., 2017, Journal of Marine systems, 172: 104–117</t>
  </si>
  <si>
    <t>https://doi.org/10.1016/j.jmarsys.2017.03.008</t>
  </si>
  <si>
    <t>Plunge and pursuit divers seabirds</t>
  </si>
  <si>
    <t>Surface feeders seabirds</t>
  </si>
  <si>
    <t>Baleen whales</t>
  </si>
  <si>
    <t>Toothed whales</t>
  </si>
  <si>
    <t>Sharks L</t>
  </si>
  <si>
    <t>Sharks/rays</t>
  </si>
  <si>
    <t>Anglerfish</t>
  </si>
  <si>
    <t>Sea bass</t>
  </si>
  <si>
    <t>Cod ad</t>
  </si>
  <si>
    <t>Cod juvenile</t>
  </si>
  <si>
    <t>Blue whitting</t>
  </si>
  <si>
    <t>Hake adulte</t>
  </si>
  <si>
    <t>Hake juvenile</t>
  </si>
  <si>
    <t>Haddock</t>
  </si>
  <si>
    <t>Whitting</t>
  </si>
  <si>
    <t>Megrim</t>
  </si>
  <si>
    <t>Sole</t>
  </si>
  <si>
    <t>Boarfish</t>
  </si>
  <si>
    <t>Plaice</t>
  </si>
  <si>
    <t>Demersal L</t>
  </si>
  <si>
    <t>Demersal M</t>
  </si>
  <si>
    <t>Demersal S</t>
  </si>
  <si>
    <t>Horse Mackerel</t>
  </si>
  <si>
    <t>Mackerel</t>
  </si>
  <si>
    <t>Sprat</t>
  </si>
  <si>
    <t>Herring</t>
  </si>
  <si>
    <t>Sardine</t>
  </si>
  <si>
    <t>Pouts</t>
  </si>
  <si>
    <t>Pelagic L</t>
  </si>
  <si>
    <t>Pelagic M</t>
  </si>
  <si>
    <t>Cephalopods</t>
  </si>
  <si>
    <t>Norway lobster</t>
  </si>
  <si>
    <t>Lobsters/Crabs</t>
  </si>
  <si>
    <t>Shrimps</t>
  </si>
  <si>
    <t>Carnivorous and necrophagous invertebrates</t>
  </si>
  <si>
    <t>Sub-surface deposit feeders invertebrates</t>
  </si>
  <si>
    <t>Surface suspension and deposit feeders</t>
  </si>
  <si>
    <t>Benthic meiofauna</t>
  </si>
  <si>
    <t>Suprabenthic invertebrates</t>
  </si>
  <si>
    <t>Macrozooplankton</t>
  </si>
  <si>
    <t>Mesozooplankton</t>
  </si>
  <si>
    <t>Microzooplankton</t>
  </si>
  <si>
    <t>Bacteria</t>
  </si>
  <si>
    <t>Phytoplankton L</t>
  </si>
  <si>
    <t>Phytoplankton S</t>
  </si>
  <si>
    <t>Benthic producers</t>
  </si>
  <si>
    <t>Discards</t>
  </si>
  <si>
    <t>Detritus</t>
  </si>
  <si>
    <t>detritus_TerminalBenthic</t>
  </si>
  <si>
    <t>Cod adulte</t>
  </si>
  <si>
    <t>Horse mackerel</t>
  </si>
  <si>
    <t>Mixte</t>
  </si>
  <si>
    <t>Import</t>
  </si>
  <si>
    <t>export</t>
  </si>
  <si>
    <t>sum</t>
  </si>
  <si>
    <t>TOTAL</t>
  </si>
  <si>
    <t>F Anglerfish</t>
  </si>
  <si>
    <t>F Sea bass</t>
  </si>
  <si>
    <t>F Cod adulte</t>
  </si>
  <si>
    <t>F Cod juvenile</t>
  </si>
  <si>
    <t>F Blue whitting</t>
  </si>
  <si>
    <t>F Hake adulte</t>
  </si>
  <si>
    <t>F Haddock</t>
  </si>
  <si>
    <t>F Whitting</t>
  </si>
  <si>
    <t>F Boarfish</t>
  </si>
  <si>
    <t>F Sole</t>
  </si>
  <si>
    <t>F Plaice</t>
  </si>
  <si>
    <t>F Megrim</t>
  </si>
  <si>
    <t>F Horse mackerel</t>
  </si>
  <si>
    <t>F Mackerel</t>
  </si>
  <si>
    <t>F Sardine</t>
  </si>
  <si>
    <t>F Norway lobster</t>
  </si>
  <si>
    <t>F Herring</t>
  </si>
  <si>
    <t>F Mixte</t>
  </si>
  <si>
    <t>sum--&gt;&gt;</t>
  </si>
  <si>
    <t>&lt;&lt;--moved 1% to Discards (JRuz 5/8/2022)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</si>
</sst>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203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58FF00"/>
        <bgColor indexed="64"/>
      </patternFill>
    </fill>
    <fill>
      <patternFill patternType="solid">
        <fgColor rgb="FF5D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ADFF00"/>
        <bgColor indexed="64"/>
      </patternFill>
    </fill>
    <fill>
      <patternFill patternType="solid">
        <fgColor rgb="FFFFB6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FFB300"/>
        <bgColor indexed="64"/>
      </patternFill>
    </fill>
    <fill>
      <patternFill patternType="solid">
        <fgColor rgb="FFFFCD00"/>
        <bgColor indexed="64"/>
      </patternFill>
    </fill>
    <fill>
      <patternFill patternType="solid">
        <fgColor rgb="FFFFA700"/>
        <bgColor indexed="64"/>
      </patternFill>
    </fill>
    <fill>
      <patternFill patternType="solid">
        <fgColor rgb="FFFFBE00"/>
        <bgColor indexed="64"/>
      </patternFill>
    </fill>
    <fill>
      <patternFill patternType="solid">
        <fgColor rgb="FF52FF00"/>
        <bgColor indexed="64"/>
      </patternFill>
    </fill>
    <fill>
      <patternFill patternType="solid">
        <fgColor rgb="FF77FF00"/>
        <bgColor indexed="64"/>
      </patternFill>
    </fill>
    <fill>
      <patternFill patternType="solid">
        <fgColor rgb="FFA0FF00"/>
        <bgColor indexed="64"/>
      </patternFill>
    </fill>
    <fill>
      <patternFill patternType="solid">
        <fgColor rgb="FFFFFB00"/>
        <bgColor indexed="64"/>
      </patternFill>
    </fill>
    <fill>
      <patternFill patternType="solid">
        <fgColor rgb="FFBDFF00"/>
        <bgColor indexed="64"/>
      </patternFill>
    </fill>
    <fill>
      <patternFill patternType="solid">
        <fgColor rgb="FFFFD2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70FF00"/>
        <bgColor indexed="64"/>
      </patternFill>
    </fill>
    <fill>
      <patternFill patternType="solid">
        <fgColor rgb="FF8CFF00"/>
        <bgColor indexed="64"/>
      </patternFill>
    </fill>
    <fill>
      <patternFill patternType="solid">
        <fgColor rgb="FFA6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F3FF00"/>
        <bgColor indexed="64"/>
      </patternFill>
    </fill>
    <fill>
      <patternFill patternType="solid">
        <fgColor rgb="FFAC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54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A2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62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8EFF00"/>
        <bgColor indexed="64"/>
      </patternFill>
    </fill>
    <fill>
      <patternFill patternType="solid">
        <fgColor rgb="FF4C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6AFF00"/>
        <bgColor indexed="64"/>
      </patternFill>
    </fill>
    <fill>
      <patternFill patternType="solid">
        <fgColor rgb="FF5AFF00"/>
        <bgColor indexed="64"/>
      </patternFill>
    </fill>
    <fill>
      <patternFill patternType="solid">
        <fgColor rgb="FF9EFF00"/>
        <bgColor indexed="64"/>
      </patternFill>
    </fill>
    <fill>
      <patternFill patternType="solid">
        <fgColor rgb="FFA5FF00"/>
        <bgColor indexed="64"/>
      </patternFill>
    </fill>
    <fill>
      <patternFill patternType="solid">
        <fgColor rgb="FF68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47FF00"/>
        <bgColor indexed="64"/>
      </patternFill>
    </fill>
    <fill>
      <patternFill patternType="solid">
        <fgColor rgb="FF76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6CFF00"/>
        <bgColor indexed="64"/>
      </patternFill>
    </fill>
    <fill>
      <patternFill patternType="solid">
        <fgColor rgb="FFDCFF00"/>
        <bgColor indexed="64"/>
      </patternFill>
    </fill>
    <fill>
      <patternFill patternType="solid">
        <fgColor rgb="FF5BFF00"/>
        <bgColor indexed="64"/>
      </patternFill>
    </fill>
    <fill>
      <patternFill patternType="solid">
        <fgColor rgb="FF9A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57FF00"/>
        <bgColor indexed="64"/>
      </patternFill>
    </fill>
    <fill>
      <patternFill patternType="solid">
        <fgColor rgb="FF55FF00"/>
        <bgColor indexed="64"/>
      </patternFill>
    </fill>
    <fill>
      <patternFill patternType="solid">
        <fgColor rgb="FF4BFF00"/>
        <bgColor indexed="64"/>
      </patternFill>
    </fill>
    <fill>
      <patternFill patternType="solid">
        <fgColor rgb="FF4F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EE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74FF00"/>
        <bgColor indexed="64"/>
      </patternFill>
    </fill>
    <fill>
      <patternFill patternType="solid">
        <fgColor rgb="FF7AFF00"/>
        <bgColor indexed="64"/>
      </patternFill>
    </fill>
    <fill>
      <patternFill patternType="solid">
        <fgColor rgb="FF88FF00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95FF00"/>
        <bgColor indexed="64"/>
      </patternFill>
    </fill>
    <fill>
      <patternFill patternType="solid">
        <fgColor rgb="FFFFA600"/>
        <bgColor indexed="64"/>
      </patternFill>
    </fill>
    <fill>
      <patternFill patternType="solid">
        <fgColor rgb="FF7CFF00"/>
        <bgColor indexed="64"/>
      </patternFill>
    </fill>
    <fill>
      <patternFill patternType="solid">
        <fgColor rgb="FFFFA100"/>
        <bgColor indexed="64"/>
      </patternFill>
    </fill>
    <fill>
      <patternFill patternType="solid">
        <fgColor rgb="FF7DFF00"/>
        <bgColor indexed="64"/>
      </patternFill>
    </fill>
    <fill>
      <patternFill patternType="solid">
        <fgColor rgb="FF89FF00"/>
        <bgColor indexed="64"/>
      </patternFill>
    </fill>
    <fill>
      <patternFill patternType="solid">
        <fgColor rgb="FF87FF00"/>
        <bgColor indexed="64"/>
      </patternFill>
    </fill>
    <fill>
      <patternFill patternType="solid">
        <fgColor rgb="FFBBFF00"/>
        <bgColor indexed="64"/>
      </patternFill>
    </fill>
    <fill>
      <patternFill patternType="solid">
        <fgColor rgb="FFFFFE00"/>
        <bgColor indexed="64"/>
      </patternFill>
    </fill>
    <fill>
      <patternFill patternType="solid">
        <fgColor rgb="FF41FF00"/>
        <bgColor indexed="64"/>
      </patternFill>
    </fill>
    <fill>
      <patternFill patternType="solid">
        <fgColor rgb="FFFFBF00"/>
        <bgColor indexed="64"/>
      </patternFill>
    </fill>
    <fill>
      <patternFill patternType="solid">
        <fgColor rgb="FFFFF000"/>
        <bgColor indexed="64"/>
      </patternFill>
    </fill>
    <fill>
      <patternFill patternType="solid">
        <fgColor rgb="FFB9FF00"/>
        <bgColor indexed="64"/>
      </patternFill>
    </fill>
    <fill>
      <patternFill patternType="solid">
        <fgColor rgb="FFDB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641BC8"/>
        <bgColor indexed="64"/>
      </patternFill>
    </fill>
    <fill>
      <patternFill patternType="solid">
        <fgColor rgb="FF75C098"/>
        <bgColor indexed="64"/>
      </patternFill>
    </fill>
    <fill>
      <patternFill patternType="solid">
        <fgColor rgb="FFD40536"/>
        <bgColor indexed="64"/>
      </patternFill>
    </fill>
    <fill>
      <patternFill patternType="solid">
        <fgColor rgb="FF131B55"/>
        <bgColor indexed="64"/>
      </patternFill>
    </fill>
    <fill>
      <patternFill patternType="solid">
        <fgColor rgb="FF210089"/>
        <bgColor indexed="64"/>
      </patternFill>
    </fill>
    <fill>
      <patternFill patternType="solid">
        <fgColor rgb="FFA88BD3"/>
        <bgColor indexed="64"/>
      </patternFill>
    </fill>
    <fill>
      <patternFill patternType="solid">
        <fgColor rgb="FF1531AD"/>
        <bgColor indexed="64"/>
      </patternFill>
    </fill>
    <fill>
      <patternFill patternType="solid">
        <fgColor rgb="FF745B26"/>
        <bgColor indexed="64"/>
      </patternFill>
    </fill>
    <fill>
      <patternFill patternType="solid">
        <fgColor rgb="FFB4ED87"/>
        <bgColor indexed="64"/>
      </patternFill>
    </fill>
    <fill>
      <patternFill patternType="solid">
        <fgColor rgb="FF17C166"/>
        <bgColor indexed="64"/>
      </patternFill>
    </fill>
    <fill>
      <patternFill patternType="solid">
        <fgColor rgb="FF767E35"/>
        <bgColor indexed="64"/>
      </patternFill>
    </fill>
    <fill>
      <patternFill patternType="solid">
        <fgColor rgb="FF541896"/>
        <bgColor indexed="64"/>
      </patternFill>
    </fill>
    <fill>
      <patternFill patternType="solid">
        <fgColor rgb="FF2BED19"/>
        <bgColor indexed="64"/>
      </patternFill>
    </fill>
    <fill>
      <patternFill patternType="solid">
        <fgColor rgb="FF7146DE"/>
        <bgColor indexed="64"/>
      </patternFill>
    </fill>
    <fill>
      <patternFill patternType="solid">
        <fgColor rgb="FFBF46AC"/>
        <bgColor indexed="64"/>
      </patternFill>
    </fill>
    <fill>
      <patternFill patternType="solid">
        <fgColor rgb="FF411708"/>
        <bgColor indexed="64"/>
      </patternFill>
    </fill>
    <fill>
      <patternFill patternType="solid">
        <fgColor rgb="FF52C94C"/>
        <bgColor indexed="64"/>
      </patternFill>
    </fill>
    <fill>
      <patternFill patternType="solid">
        <fgColor rgb="FF3C7B41"/>
        <bgColor indexed="64"/>
      </patternFill>
    </fill>
    <fill>
      <patternFill patternType="solid">
        <fgColor rgb="FF570B7B"/>
        <bgColor indexed="64"/>
      </patternFill>
    </fill>
    <fill>
      <patternFill patternType="solid">
        <fgColor rgb="FF35DC96"/>
        <bgColor indexed="64"/>
      </patternFill>
    </fill>
    <fill>
      <patternFill patternType="solid">
        <fgColor rgb="FFC1ED54"/>
        <bgColor indexed="64"/>
      </patternFill>
    </fill>
    <fill>
      <patternFill patternType="solid">
        <fgColor rgb="FF8A15A2"/>
        <bgColor indexed="64"/>
      </patternFill>
    </fill>
    <fill>
      <patternFill patternType="solid">
        <fgColor rgb="FF69F51D"/>
        <bgColor indexed="64"/>
      </patternFill>
    </fill>
    <fill>
      <patternFill patternType="solid">
        <fgColor rgb="FFEB9E59"/>
        <bgColor indexed="64"/>
      </patternFill>
    </fill>
    <fill>
      <patternFill patternType="solid">
        <fgColor rgb="FF267A38"/>
        <bgColor indexed="64"/>
      </patternFill>
    </fill>
    <fill>
      <patternFill patternType="solid">
        <fgColor rgb="FFFD2107"/>
        <bgColor indexed="64"/>
      </patternFill>
    </fill>
    <fill>
      <patternFill patternType="solid">
        <fgColor rgb="FF588CEB"/>
        <bgColor indexed="64"/>
      </patternFill>
    </fill>
    <fill>
      <patternFill patternType="solid">
        <fgColor rgb="FF8968D8"/>
        <bgColor indexed="64"/>
      </patternFill>
    </fill>
    <fill>
      <patternFill patternType="solid">
        <fgColor rgb="FFD3ABB8"/>
        <bgColor indexed="64"/>
      </patternFill>
    </fill>
    <fill>
      <patternFill patternType="solid">
        <fgColor rgb="FFFE577E"/>
        <bgColor indexed="64"/>
      </patternFill>
    </fill>
  </fills>
  <borders count="5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325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5" borderId="2" xfId="0" applyFont="1" applyFill="1" applyBorder="1" applyAlignment="1">
      <alignment horizontal="center"/>
    </xf>
    <xf numFmtId="0" fontId="1" fillId="25" borderId="4" xfId="0" applyFont="1" applyFill="1" applyBorder="1" applyAlignment="1">
      <alignment horizontal="center"/>
    </xf>
    <xf numFmtId="0" fontId="1" fillId="25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5" borderId="5" xfId="0" applyFill="1" applyBorder="1"/>
    <xf numFmtId="0" fontId="0" fillId="25" borderId="6" xfId="0" applyFill="1" applyBorder="1"/>
    <xf numFmtId="0" fontId="0" fillId="25" borderId="7" xfId="0" applyFill="1" applyBorder="1"/>
    <xf numFmtId="0" fontId="0" fillId="25" borderId="8" xfId="0" applyFill="1" applyBorder="1"/>
    <xf numFmtId="0" fontId="0" fillId="25" borderId="9" xfId="0" applyFill="1" applyBorder="1"/>
    <xf numFmtId="0" fontId="0" fillId="25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1" fillId="0" borderId="0" xfId="0" applyFont="1" applyAlignment="1">
      <alignment horizontal="center"/>
    </xf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9" borderId="0" xfId="0" applyFill="1"/>
    <xf numFmtId="0" fontId="0" fillId="40" borderId="0" xfId="0" applyFill="1"/>
    <xf numFmtId="0" fontId="0" fillId="0" borderId="0" xfId="0" applyFont="1" applyFill="1" applyAlignment="1">
      <alignment horizontal="center"/>
    </xf>
    <xf numFmtId="0" fontId="0" fillId="41" borderId="0" xfId="0" applyFill="1"/>
    <xf numFmtId="0" fontId="0" fillId="42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8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8" borderId="3" xfId="0" applyNumberFormat="1" applyFont="1" applyFill="1" applyBorder="1"/>
    <xf numFmtId="0" fontId="0" fillId="38" borderId="2" xfId="0" applyFont="1" applyFill="1" applyBorder="1"/>
    <xf numFmtId="0" fontId="0" fillId="38" borderId="3" xfId="0" applyFont="1" applyFill="1" applyBorder="1"/>
    <xf numFmtId="0" fontId="0" fillId="38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3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5" borderId="2" xfId="0" applyFill="1" applyBorder="1" applyAlignment="1">
      <alignment horizontal="center"/>
    </xf>
    <xf numFmtId="0" fontId="0" fillId="25" borderId="4" xfId="0" applyFill="1" applyBorder="1" applyAlignment="1">
      <alignment horizontal="center"/>
    </xf>
    <xf numFmtId="0" fontId="0" fillId="25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51" borderId="0" xfId="0" applyFill="1"/>
    <xf numFmtId="0" fontId="0" fillId="52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49" fontId="0" fillId="0" borderId="54" xfId="0" applyNumberFormat="1" applyFont="1" applyFill="1" applyBorder="1"/>
    <xf numFmtId="0" fontId="8" fillId="135" borderId="0" xfId="0" applyFont="1" applyFill="1" applyAlignment="1">
      <alignment horizontal="center"/>
    </xf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  <xf numFmtId="0" fontId="0" fillId="184" borderId="0" xfId="0" applyFill="1"/>
    <xf numFmtId="0" fontId="0" fillId="185" borderId="0" xfId="0" applyFill="1"/>
    <xf numFmtId="0" fontId="0" fillId="186" borderId="0" xfId="0" applyFill="1"/>
    <xf numFmtId="0" fontId="0" fillId="187" borderId="0" xfId="0" applyFill="1"/>
    <xf numFmtId="0" fontId="0" fillId="188" borderId="0" xfId="0" applyFill="1"/>
    <xf numFmtId="0" fontId="0" fillId="189" borderId="0" xfId="0" applyFill="1"/>
    <xf numFmtId="0" fontId="0" fillId="190" borderId="0" xfId="0" applyFill="1"/>
    <xf numFmtId="0" fontId="0" fillId="191" borderId="0" xfId="0" applyFill="1"/>
    <xf numFmtId="0" fontId="0" fillId="192" borderId="0" xfId="0" applyFill="1"/>
    <xf numFmtId="0" fontId="0" fillId="193" borderId="0" xfId="0" applyFill="1"/>
    <xf numFmtId="0" fontId="0" fillId="194" borderId="0" xfId="0" applyFill="1"/>
    <xf numFmtId="0" fontId="0" fillId="195" borderId="0" xfId="0" applyFill="1"/>
    <xf numFmtId="0" fontId="0" fillId="196" borderId="0" xfId="0" applyFill="1"/>
    <xf numFmtId="0" fontId="0" fillId="197" borderId="0" xfId="0" applyFill="1"/>
    <xf numFmtId="0" fontId="0" fillId="198" borderId="0" xfId="0" applyFill="1"/>
    <xf numFmtId="0" fontId="0" fillId="199" borderId="0" xfId="0" applyFill="1"/>
    <xf numFmtId="0" fontId="0" fillId="200" borderId="0" xfId="0" applyFill="1"/>
    <xf numFmtId="0" fontId="0" fillId="201" borderId="0" xfId="0" applyFill="1"/>
    <xf numFmtId="0" fontId="0" fillId="202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99.332031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2" t="s">
        <v>164</v>
      </c>
    </row>
    <row r="6" spans="2:4" ht="14" thickBot="1" x14ac:dyDescent="0.2">
      <c r="B6" s="46" t="s">
        <v>141</v>
      </c>
    </row>
    <row r="7" spans="2:4" x14ac:dyDescent="0.15">
      <c r="B7" s="62" t="s">
        <v>143</v>
      </c>
    </row>
    <row r="8" spans="2:4" x14ac:dyDescent="0.15">
      <c r="B8" s="62" t="s">
        <v>142</v>
      </c>
    </row>
    <row r="9" spans="2:4" x14ac:dyDescent="0.15">
      <c r="B9" s="62" t="s">
        <v>144</v>
      </c>
    </row>
    <row r="10" spans="2:4" x14ac:dyDescent="0.15">
      <c r="B10" s="62" t="s">
        <v>147</v>
      </c>
    </row>
    <row r="11" spans="2:4" x14ac:dyDescent="0.15">
      <c r="B11" s="62" t="s">
        <v>151</v>
      </c>
    </row>
    <row r="12" spans="2:4" x14ac:dyDescent="0.15">
      <c r="B12" s="62" t="s">
        <v>153</v>
      </c>
    </row>
    <row r="13" spans="2:4" x14ac:dyDescent="0.15">
      <c r="B13" s="62" t="s">
        <v>165</v>
      </c>
    </row>
    <row r="15" spans="2:4" ht="14" thickBot="1" x14ac:dyDescent="0.2"/>
    <row r="16" spans="2:4" ht="14" thickBot="1" x14ac:dyDescent="0.2">
      <c r="B16" s="47" t="s">
        <v>137</v>
      </c>
      <c r="C16" s="48"/>
      <c r="D16" s="30">
        <v>41373</v>
      </c>
    </row>
    <row r="17" spans="2:4" x14ac:dyDescent="0.15">
      <c r="B17" s="49" t="s">
        <v>58</v>
      </c>
      <c r="C17" s="33">
        <v>0</v>
      </c>
    </row>
    <row r="18" spans="2:4" x14ac:dyDescent="0.15">
      <c r="B18" s="49" t="s">
        <v>59</v>
      </c>
      <c r="C18" s="33">
        <v>1</v>
      </c>
    </row>
    <row r="19" spans="2:4" x14ac:dyDescent="0.15">
      <c r="B19" s="49" t="s">
        <v>60</v>
      </c>
      <c r="C19" s="33">
        <v>2</v>
      </c>
    </row>
    <row r="20" spans="2:4" ht="14" thickBot="1" x14ac:dyDescent="0.2">
      <c r="B20" s="50" t="s">
        <v>44</v>
      </c>
      <c r="C20" s="34">
        <v>3</v>
      </c>
    </row>
    <row r="21" spans="2:4" x14ac:dyDescent="0.15">
      <c r="B21" s="51" t="s">
        <v>140</v>
      </c>
    </row>
    <row r="22" spans="2:4" ht="14" thickBot="1" x14ac:dyDescent="0.2"/>
    <row r="23" spans="2:4" ht="14" thickBot="1" x14ac:dyDescent="0.2">
      <c r="B23" s="47" t="s">
        <v>65</v>
      </c>
      <c r="C23" s="48"/>
      <c r="D23" s="30" t="s">
        <v>148</v>
      </c>
    </row>
    <row r="24" spans="2:4" x14ac:dyDescent="0.15">
      <c r="B24" s="53" t="s">
        <v>38</v>
      </c>
      <c r="C24" s="31">
        <v>1</v>
      </c>
    </row>
    <row r="25" spans="2:4" x14ac:dyDescent="0.15">
      <c r="B25" s="49" t="s">
        <v>40</v>
      </c>
      <c r="C25" s="33">
        <v>1.1000000000000001</v>
      </c>
    </row>
    <row r="26" spans="2:4" x14ac:dyDescent="0.15">
      <c r="B26" s="49" t="s">
        <v>41</v>
      </c>
      <c r="C26" s="33">
        <v>1.2</v>
      </c>
    </row>
    <row r="27" spans="2:4" x14ac:dyDescent="0.15">
      <c r="B27" s="49"/>
      <c r="C27" s="33"/>
    </row>
    <row r="28" spans="2:4" x14ac:dyDescent="0.15">
      <c r="B28" s="49" t="s">
        <v>42</v>
      </c>
      <c r="C28" s="33">
        <v>2.1</v>
      </c>
    </row>
    <row r="29" spans="2:4" x14ac:dyDescent="0.15">
      <c r="B29" s="49" t="s">
        <v>43</v>
      </c>
      <c r="C29" s="33">
        <v>2.2000000000000002</v>
      </c>
    </row>
    <row r="30" spans="2:4" x14ac:dyDescent="0.15">
      <c r="B30" s="49" t="s">
        <v>67</v>
      </c>
      <c r="C30" s="33">
        <v>2.2999999999999998</v>
      </c>
    </row>
    <row r="31" spans="2:4" x14ac:dyDescent="0.15">
      <c r="B31" s="49"/>
      <c r="C31" s="33"/>
    </row>
    <row r="32" spans="2:4" x14ac:dyDescent="0.15">
      <c r="B32" s="49" t="s">
        <v>62</v>
      </c>
      <c r="C32" s="33">
        <v>3.11</v>
      </c>
    </row>
    <row r="33" spans="2:3" x14ac:dyDescent="0.15">
      <c r="B33" s="49" t="s">
        <v>61</v>
      </c>
      <c r="C33" s="33">
        <v>3.12</v>
      </c>
    </row>
    <row r="34" spans="2:3" x14ac:dyDescent="0.15">
      <c r="B34" s="49" t="s">
        <v>68</v>
      </c>
      <c r="C34" s="33">
        <v>3.13</v>
      </c>
    </row>
    <row r="35" spans="2:3" x14ac:dyDescent="0.15">
      <c r="B35" s="49"/>
      <c r="C35" s="33"/>
    </row>
    <row r="36" spans="2:3" x14ac:dyDescent="0.15">
      <c r="B36" s="49" t="s">
        <v>66</v>
      </c>
      <c r="C36" s="33">
        <v>3.21</v>
      </c>
    </row>
    <row r="37" spans="2:3" x14ac:dyDescent="0.15">
      <c r="B37" s="49" t="s">
        <v>63</v>
      </c>
      <c r="C37" s="33">
        <v>3.22</v>
      </c>
    </row>
    <row r="38" spans="2:3" x14ac:dyDescent="0.15">
      <c r="B38" s="49" t="s">
        <v>69</v>
      </c>
      <c r="C38" s="33">
        <v>3.23</v>
      </c>
    </row>
    <row r="39" spans="2:3" x14ac:dyDescent="0.15">
      <c r="B39" s="49"/>
      <c r="C39" s="33"/>
    </row>
    <row r="40" spans="2:3" x14ac:dyDescent="0.15">
      <c r="B40" s="49" t="s">
        <v>64</v>
      </c>
      <c r="C40" s="33">
        <v>8</v>
      </c>
    </row>
    <row r="41" spans="2:3" x14ac:dyDescent="0.15">
      <c r="B41" s="49"/>
      <c r="C41" s="33"/>
    </row>
    <row r="42" spans="2:3" x14ac:dyDescent="0.15">
      <c r="B42" s="49" t="s">
        <v>71</v>
      </c>
      <c r="C42" s="33">
        <v>4.0999999999999996</v>
      </c>
    </row>
    <row r="43" spans="2:3" x14ac:dyDescent="0.15">
      <c r="B43" s="49" t="s">
        <v>70</v>
      </c>
      <c r="C43" s="33">
        <v>4.2</v>
      </c>
    </row>
    <row r="44" spans="2:3" x14ac:dyDescent="0.15">
      <c r="B44" s="49" t="s">
        <v>72</v>
      </c>
      <c r="C44" s="33">
        <v>4.3</v>
      </c>
    </row>
    <row r="45" spans="2:3" x14ac:dyDescent="0.15">
      <c r="B45" s="32"/>
      <c r="C45" s="33"/>
    </row>
    <row r="46" spans="2:3" x14ac:dyDescent="0.15">
      <c r="B46" s="49" t="s">
        <v>138</v>
      </c>
      <c r="C46" s="33">
        <v>6.1</v>
      </c>
    </row>
    <row r="47" spans="2:3" x14ac:dyDescent="0.15">
      <c r="B47" s="49" t="s">
        <v>45</v>
      </c>
      <c r="C47" s="33">
        <v>6.2</v>
      </c>
    </row>
    <row r="48" spans="2:3" x14ac:dyDescent="0.15">
      <c r="B48" s="49"/>
      <c r="C48" s="33"/>
    </row>
    <row r="49" spans="2:4" x14ac:dyDescent="0.15">
      <c r="B49" s="49" t="s">
        <v>44</v>
      </c>
      <c r="C49" s="33">
        <v>5</v>
      </c>
    </row>
    <row r="50" spans="2:4" x14ac:dyDescent="0.15">
      <c r="B50" s="49"/>
      <c r="C50" s="33"/>
    </row>
    <row r="51" spans="2:4" ht="14" thickBot="1" x14ac:dyDescent="0.2">
      <c r="B51" s="50" t="s">
        <v>73</v>
      </c>
      <c r="C51" s="34">
        <v>7</v>
      </c>
    </row>
    <row r="53" spans="2:4" x14ac:dyDescent="0.15">
      <c r="B53" s="147" t="s">
        <v>171</v>
      </c>
      <c r="C53" s="111">
        <v>734</v>
      </c>
      <c r="D53" s="111"/>
    </row>
    <row r="54" spans="2:4" x14ac:dyDescent="0.15">
      <c r="B54" s="147" t="s">
        <v>172</v>
      </c>
      <c r="C54" s="147" t="s">
        <v>185</v>
      </c>
      <c r="D54" s="111"/>
    </row>
    <row r="55" spans="2:4" x14ac:dyDescent="0.15">
      <c r="B55" s="147" t="s">
        <v>173</v>
      </c>
      <c r="C55" s="147" t="s">
        <v>186</v>
      </c>
      <c r="D55" s="111"/>
    </row>
    <row r="56" spans="2:4" x14ac:dyDescent="0.15">
      <c r="B56" s="147" t="s">
        <v>174</v>
      </c>
      <c r="C56" s="111">
        <v>232360</v>
      </c>
      <c r="D56" s="111"/>
    </row>
    <row r="57" spans="2:4" x14ac:dyDescent="0.15">
      <c r="B57" s="147" t="s">
        <v>175</v>
      </c>
      <c r="C57" s="147" t="s">
        <v>187</v>
      </c>
      <c r="D57" s="111"/>
    </row>
    <row r="58" spans="2:4" x14ac:dyDescent="0.15">
      <c r="B58" s="147" t="s">
        <v>176</v>
      </c>
      <c r="C58" s="147" t="s">
        <v>188</v>
      </c>
      <c r="D58" s="111"/>
    </row>
    <row r="59" spans="2:4" x14ac:dyDescent="0.15">
      <c r="B59" s="147" t="s">
        <v>177</v>
      </c>
      <c r="C59" s="147" t="s">
        <v>189</v>
      </c>
      <c r="D59" s="111"/>
    </row>
    <row r="60" spans="2:4" x14ac:dyDescent="0.15">
      <c r="B60" s="147" t="s">
        <v>178</v>
      </c>
      <c r="C60" s="147" t="s">
        <v>190</v>
      </c>
      <c r="D60" s="111"/>
    </row>
    <row r="61" spans="2:4" x14ac:dyDescent="0.15">
      <c r="B61" s="147" t="s">
        <v>179</v>
      </c>
      <c r="C61" s="111">
        <v>48</v>
      </c>
      <c r="D61" s="111"/>
    </row>
    <row r="62" spans="2:4" x14ac:dyDescent="0.15">
      <c r="B62" s="147" t="s">
        <v>180</v>
      </c>
      <c r="C62" s="111">
        <v>18</v>
      </c>
      <c r="D62" s="111"/>
    </row>
    <row r="63" spans="2:4" x14ac:dyDescent="0.15">
      <c r="B63" s="147" t="s">
        <v>181</v>
      </c>
      <c r="C63" s="111">
        <v>1980</v>
      </c>
      <c r="D63" s="111"/>
    </row>
    <row r="64" spans="2:4" x14ac:dyDescent="0.15">
      <c r="B64" s="147" t="s">
        <v>182</v>
      </c>
      <c r="C64" s="111">
        <v>0</v>
      </c>
      <c r="D64" s="111"/>
    </row>
    <row r="65" spans="2:4" x14ac:dyDescent="0.15">
      <c r="B65" s="147" t="s">
        <v>183</v>
      </c>
      <c r="C65" s="147" t="s">
        <v>191</v>
      </c>
      <c r="D65" s="111"/>
    </row>
    <row r="66" spans="2:4" x14ac:dyDescent="0.15">
      <c r="B66" s="147" t="s">
        <v>184</v>
      </c>
      <c r="C66" s="147" t="s">
        <v>192</v>
      </c>
      <c r="D66" s="111"/>
    </row>
    <row r="67" spans="2:4" x14ac:dyDescent="0.15">
      <c r="B67" s="111"/>
      <c r="C67" s="111"/>
      <c r="D67" s="111"/>
    </row>
    <row r="68" spans="2:4" x14ac:dyDescent="0.15">
      <c r="B68" s="111"/>
      <c r="C68" s="111"/>
      <c r="D68" s="111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4" sqref="Q4"/>
    </sheetView>
  </sheetViews>
  <sheetFormatPr baseColWidth="10" defaultColWidth="8.83203125" defaultRowHeight="15" customHeight="1" x14ac:dyDescent="0.15"/>
  <cols>
    <col min="1" max="1" width="22.5" style="83" customWidth="1"/>
    <col min="2" max="3" width="3.33203125" style="83" customWidth="1"/>
    <col min="4" max="4" width="14.33203125" style="83" customWidth="1"/>
    <col min="5" max="5" width="37.5" style="83" bestFit="1" customWidth="1"/>
    <col min="6" max="6" width="2.33203125" style="83" bestFit="1" customWidth="1"/>
    <col min="7" max="7" width="12.83203125" style="83" bestFit="1" customWidth="1"/>
    <col min="8" max="8" width="5.83203125" style="83" customWidth="1"/>
    <col min="9" max="9" width="10.83203125" style="83" customWidth="1"/>
    <col min="10" max="10" width="11.83203125" style="83" customWidth="1"/>
    <col min="11" max="11" width="13.83203125" style="83" customWidth="1"/>
    <col min="12" max="12" width="2.33203125" style="83" customWidth="1"/>
    <col min="13" max="13" width="3.83203125" style="83" customWidth="1"/>
    <col min="14" max="14" width="2.33203125" style="83" customWidth="1"/>
    <col min="16" max="25" width="8.83203125" style="83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3"/>
  </cols>
  <sheetData>
    <row r="1" spans="1:46" s="100" customFormat="1" ht="15" customHeight="1" x14ac:dyDescent="0.15">
      <c r="A1" s="79" t="s">
        <v>18</v>
      </c>
      <c r="C1" s="80" t="s">
        <v>8</v>
      </c>
      <c r="D1" s="79" t="s">
        <v>23</v>
      </c>
      <c r="E1" s="79" t="s">
        <v>0</v>
      </c>
      <c r="F1" s="79" t="s">
        <v>7</v>
      </c>
      <c r="G1" s="81" t="s">
        <v>13</v>
      </c>
      <c r="H1" s="79" t="s">
        <v>1</v>
      </c>
      <c r="I1" s="79" t="s">
        <v>2</v>
      </c>
      <c r="J1" s="79" t="s">
        <v>14</v>
      </c>
      <c r="K1" s="79" t="s">
        <v>3</v>
      </c>
      <c r="L1" s="79" t="s">
        <v>4</v>
      </c>
      <c r="M1" s="79" t="s">
        <v>5</v>
      </c>
      <c r="N1" s="79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100">
        <v>1</v>
      </c>
      <c r="D2"/>
      <c r="E2" s="148" t="s">
        <v>193</v>
      </c>
      <c r="F2" s="83">
        <v>0</v>
      </c>
      <c r="G2" s="83">
        <v>1E-3</v>
      </c>
      <c r="H2" s="83">
        <v>0.153</v>
      </c>
      <c r="I2" s="6">
        <v>135.26300000000001</v>
      </c>
      <c r="J2" s="6">
        <v>0</v>
      </c>
      <c r="K2" s="6">
        <v>1.1311296799999999E-3</v>
      </c>
      <c r="L2" s="6">
        <v>0</v>
      </c>
      <c r="M2" s="83">
        <v>0.2</v>
      </c>
      <c r="N2" s="83">
        <v>0</v>
      </c>
    </row>
    <row r="3" spans="1:46" ht="15" customHeight="1" x14ac:dyDescent="0.15">
      <c r="A3" s="1" t="s">
        <v>9</v>
      </c>
      <c r="B3" s="4">
        <v>46</v>
      </c>
      <c r="C3" s="83">
        <v>2</v>
      </c>
      <c r="D3"/>
      <c r="E3" s="148" t="s">
        <v>194</v>
      </c>
      <c r="F3" s="83">
        <v>0</v>
      </c>
      <c r="G3" s="83">
        <v>2E-3</v>
      </c>
      <c r="H3" s="83">
        <v>0.247</v>
      </c>
      <c r="I3" s="83">
        <v>114.465</v>
      </c>
      <c r="J3" s="83">
        <v>0</v>
      </c>
      <c r="K3" s="83">
        <v>2.1578648599999998E-3</v>
      </c>
      <c r="L3" s="83">
        <v>0</v>
      </c>
      <c r="M3" s="83">
        <v>0.2</v>
      </c>
      <c r="N3" s="83">
        <v>0</v>
      </c>
    </row>
    <row r="4" spans="1:46" ht="15" customHeight="1" x14ac:dyDescent="0.15">
      <c r="A4" s="1" t="s">
        <v>10</v>
      </c>
      <c r="B4" s="4">
        <v>3</v>
      </c>
      <c r="C4" s="83">
        <v>3</v>
      </c>
      <c r="D4"/>
      <c r="E4" s="148" t="s">
        <v>195</v>
      </c>
      <c r="F4" s="83">
        <v>0</v>
      </c>
      <c r="G4" s="83">
        <v>6.5135380000000007E-2</v>
      </c>
      <c r="H4" s="83">
        <v>3.5000000000000003E-2</v>
      </c>
      <c r="I4" s="83">
        <v>4.7746110000000002</v>
      </c>
      <c r="J4" s="83">
        <v>0</v>
      </c>
      <c r="K4" s="83">
        <v>7.3304399999999997E-3</v>
      </c>
      <c r="L4" s="83">
        <v>0</v>
      </c>
      <c r="M4" s="83">
        <v>0.2</v>
      </c>
      <c r="N4" s="83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18</v>
      </c>
      <c r="C5" s="83">
        <v>4</v>
      </c>
      <c r="D5"/>
      <c r="E5" s="148" t="s">
        <v>196</v>
      </c>
      <c r="F5" s="83">
        <v>0</v>
      </c>
      <c r="G5" s="83">
        <v>3.2677810000000002E-2</v>
      </c>
      <c r="H5" s="83">
        <v>0.13500000000000001</v>
      </c>
      <c r="I5" s="83">
        <v>11.9984</v>
      </c>
      <c r="J5" s="83">
        <v>0</v>
      </c>
      <c r="K5" s="83">
        <v>1.12515008E-2</v>
      </c>
      <c r="L5" s="83">
        <v>0</v>
      </c>
      <c r="M5" s="83">
        <v>0.2</v>
      </c>
      <c r="N5" s="83">
        <v>0</v>
      </c>
      <c r="P5" s="72"/>
      <c r="Q5" s="72"/>
      <c r="R5" s="72"/>
    </row>
    <row r="6" spans="1:46" ht="15" customHeight="1" thickBot="1" x14ac:dyDescent="0.2">
      <c r="B6" s="1"/>
      <c r="C6" s="83">
        <v>5</v>
      </c>
      <c r="D6"/>
      <c r="E6" s="148" t="s">
        <v>197</v>
      </c>
      <c r="F6" s="83">
        <v>0</v>
      </c>
      <c r="G6" s="83">
        <v>4.26736027E-2</v>
      </c>
      <c r="H6" s="83">
        <v>0.15</v>
      </c>
      <c r="I6" s="83">
        <v>1.8</v>
      </c>
      <c r="J6" s="83">
        <v>0.6</v>
      </c>
      <c r="K6" s="83">
        <v>8.3333335800000005E-2</v>
      </c>
      <c r="L6" s="83">
        <v>0</v>
      </c>
      <c r="M6" s="83">
        <v>0.2</v>
      </c>
      <c r="N6" s="83">
        <v>0</v>
      </c>
      <c r="P6" s="72"/>
      <c r="Q6" s="72"/>
      <c r="R6" s="72"/>
      <c r="W6" s="36" t="s">
        <v>31</v>
      </c>
      <c r="X6" s="52">
        <f>MAX(MainOutputs!G:G)</f>
        <v>0.95000672340393066</v>
      </c>
    </row>
    <row r="7" spans="1:46" ht="15" customHeight="1" x14ac:dyDescent="0.15">
      <c r="A7" s="2" t="s">
        <v>27</v>
      </c>
      <c r="B7" s="83">
        <f ca="1">COUNTIF(OFFSET(cornerDiets,1,1,NumLiving+NumDead+1,NumLiving+NumDead),"&gt;0")+NumLiving+NumDead+1</f>
        <v>530</v>
      </c>
      <c r="C7" s="83">
        <v>6</v>
      </c>
      <c r="D7"/>
      <c r="E7" s="148" t="s">
        <v>198</v>
      </c>
      <c r="F7" s="83">
        <v>0</v>
      </c>
      <c r="G7" s="83">
        <v>0.40853667300000002</v>
      </c>
      <c r="H7" s="83">
        <v>0.35</v>
      </c>
      <c r="I7" s="83">
        <v>3.5</v>
      </c>
      <c r="J7" s="83">
        <v>0.80000009999999999</v>
      </c>
      <c r="K7" s="83">
        <v>0.1</v>
      </c>
      <c r="L7" s="83">
        <v>0</v>
      </c>
      <c r="M7" s="83">
        <v>0.2</v>
      </c>
      <c r="N7" s="83">
        <v>0</v>
      </c>
      <c r="P7" s="72"/>
      <c r="Q7" s="72"/>
      <c r="R7" s="72"/>
    </row>
    <row r="8" spans="1:46" ht="15" customHeight="1" x14ac:dyDescent="0.15">
      <c r="A8" s="2" t="s">
        <v>28</v>
      </c>
      <c r="B8" s="83">
        <f ca="1">COUNTIF(OFFSET(cornerFishing,1,2,NumLiving+NumDead,NumGears),"&gt;0")+NumDead*COUNTIF(OFFSET(cornerDiscards,1,2,NumLiving+NumDead,NumGears),"&gt;0")+NumLiving+NumDead+1</f>
        <v>169</v>
      </c>
      <c r="C8" s="83">
        <v>7</v>
      </c>
      <c r="D8"/>
      <c r="E8" s="148" t="s">
        <v>199</v>
      </c>
      <c r="F8" s="83">
        <v>0</v>
      </c>
      <c r="G8" s="83">
        <v>0.44021139999999997</v>
      </c>
      <c r="H8" s="83">
        <v>0.4</v>
      </c>
      <c r="I8" s="83">
        <v>2.4</v>
      </c>
      <c r="J8" s="83">
        <v>0.80000009999999999</v>
      </c>
      <c r="K8" s="83">
        <v>0.166666657</v>
      </c>
      <c r="L8" s="83">
        <v>0</v>
      </c>
      <c r="M8" s="83">
        <v>0.2</v>
      </c>
      <c r="N8" s="83">
        <v>0</v>
      </c>
      <c r="P8" s="72"/>
      <c r="Q8" s="72"/>
      <c r="R8" s="72"/>
    </row>
    <row r="9" spans="1:46" ht="15" customHeight="1" x14ac:dyDescent="0.15">
      <c r="B9" s="1"/>
      <c r="C9" s="83">
        <v>8</v>
      </c>
      <c r="D9"/>
      <c r="E9" s="148" t="s">
        <v>200</v>
      </c>
      <c r="F9" s="83">
        <v>0</v>
      </c>
      <c r="G9" s="83">
        <v>3.3673109999999999E-2</v>
      </c>
      <c r="H9" s="83">
        <v>0.23</v>
      </c>
      <c r="I9" s="83">
        <v>3.754</v>
      </c>
      <c r="J9" s="83">
        <v>0.900000036</v>
      </c>
      <c r="K9" s="83">
        <v>6.1267983200000001E-2</v>
      </c>
      <c r="L9" s="83">
        <v>0</v>
      </c>
      <c r="M9" s="83">
        <v>0.2</v>
      </c>
      <c r="N9" s="83">
        <v>0</v>
      </c>
      <c r="P9" s="72"/>
      <c r="Q9" s="72"/>
      <c r="R9" s="72"/>
    </row>
    <row r="10" spans="1:46" ht="15" customHeight="1" x14ac:dyDescent="0.15">
      <c r="B10" s="1"/>
      <c r="C10" s="83">
        <v>9</v>
      </c>
      <c r="D10"/>
      <c r="E10" s="148" t="s">
        <v>201</v>
      </c>
      <c r="F10" s="83">
        <v>0</v>
      </c>
      <c r="G10" s="83">
        <v>6.3255500000000006E-2</v>
      </c>
      <c r="H10" s="83">
        <v>0.69</v>
      </c>
      <c r="I10" s="83">
        <v>4.1118483499999998</v>
      </c>
      <c r="J10" s="83">
        <v>0.91933980000000004</v>
      </c>
      <c r="K10" s="83">
        <v>0.16780774300000001</v>
      </c>
      <c r="L10" s="83">
        <v>0</v>
      </c>
      <c r="M10" s="83">
        <v>0.2</v>
      </c>
      <c r="N10" s="83">
        <v>0</v>
      </c>
    </row>
    <row r="11" spans="1:46" ht="15" customHeight="1" x14ac:dyDescent="0.15">
      <c r="C11" s="83">
        <v>10</v>
      </c>
      <c r="D11"/>
      <c r="E11" s="148" t="s">
        <v>202</v>
      </c>
      <c r="F11" s="83">
        <v>0</v>
      </c>
      <c r="G11" s="83">
        <v>1.3131971500000001E-2</v>
      </c>
      <c r="H11" s="83">
        <v>0.9</v>
      </c>
      <c r="I11" s="83">
        <v>9.1407620000000005</v>
      </c>
      <c r="J11" s="83">
        <v>0.71941763199999997</v>
      </c>
      <c r="K11" s="83">
        <v>9.8460055899999996E-2</v>
      </c>
      <c r="L11" s="83">
        <v>0</v>
      </c>
      <c r="M11" s="83">
        <v>0.2</v>
      </c>
      <c r="N11" s="83">
        <v>0</v>
      </c>
    </row>
    <row r="12" spans="1:46" ht="15" customHeight="1" x14ac:dyDescent="0.15">
      <c r="C12" s="83">
        <v>11</v>
      </c>
      <c r="D12"/>
      <c r="E12" s="148" t="s">
        <v>203</v>
      </c>
      <c r="F12" s="83">
        <v>0</v>
      </c>
      <c r="G12" s="83">
        <v>0.238825172</v>
      </c>
      <c r="H12" s="83">
        <v>0.47</v>
      </c>
      <c r="I12" s="83">
        <v>2.35</v>
      </c>
      <c r="J12" s="83">
        <v>0.95000004800000004</v>
      </c>
      <c r="K12" s="83">
        <v>0.2</v>
      </c>
      <c r="L12" s="83">
        <v>0</v>
      </c>
      <c r="M12" s="83">
        <v>0.2</v>
      </c>
      <c r="N12" s="83">
        <v>0</v>
      </c>
    </row>
    <row r="13" spans="1:46" ht="15" customHeight="1" x14ac:dyDescent="0.15">
      <c r="C13" s="83">
        <v>12</v>
      </c>
      <c r="D13"/>
      <c r="E13" s="148" t="s">
        <v>204</v>
      </c>
      <c r="F13" s="83">
        <v>0</v>
      </c>
      <c r="G13" s="83">
        <v>0.14557537400000001</v>
      </c>
      <c r="H13" s="83">
        <v>0.77100000000000002</v>
      </c>
      <c r="I13" s="83">
        <v>2.52039838</v>
      </c>
      <c r="J13" s="83">
        <v>0.91662394999999997</v>
      </c>
      <c r="K13" s="83">
        <v>0.30590403100000002</v>
      </c>
      <c r="L13" s="83">
        <v>0</v>
      </c>
      <c r="M13" s="83">
        <v>0.2</v>
      </c>
      <c r="N13" s="83">
        <v>0</v>
      </c>
    </row>
    <row r="14" spans="1:46" ht="15" customHeight="1" x14ac:dyDescent="0.15">
      <c r="C14" s="83">
        <v>13</v>
      </c>
      <c r="D14"/>
      <c r="E14" s="148" t="s">
        <v>205</v>
      </c>
      <c r="F14" s="83">
        <v>0</v>
      </c>
      <c r="G14" s="83">
        <v>3.4936837900000003E-2</v>
      </c>
      <c r="H14" s="83">
        <v>1.2</v>
      </c>
      <c r="I14" s="83">
        <v>6.202</v>
      </c>
      <c r="J14" s="83">
        <v>0.72619449999999997</v>
      </c>
      <c r="K14" s="83">
        <v>0.193485975</v>
      </c>
      <c r="L14" s="83">
        <v>0</v>
      </c>
      <c r="M14" s="83">
        <v>0.2</v>
      </c>
      <c r="N14" s="83">
        <v>0</v>
      </c>
    </row>
    <row r="15" spans="1:46" ht="15" customHeight="1" x14ac:dyDescent="0.15">
      <c r="C15" s="83">
        <v>14</v>
      </c>
      <c r="D15"/>
      <c r="E15" s="148" t="s">
        <v>206</v>
      </c>
      <c r="F15" s="83">
        <v>0</v>
      </c>
      <c r="G15" s="83">
        <v>0.33580794899999999</v>
      </c>
      <c r="H15" s="83">
        <v>0.4</v>
      </c>
      <c r="I15" s="83">
        <v>3.331</v>
      </c>
      <c r="J15" s="83">
        <v>0.95</v>
      </c>
      <c r="K15" s="83">
        <v>0.120084055</v>
      </c>
      <c r="L15" s="83">
        <v>0</v>
      </c>
      <c r="M15" s="83">
        <v>0.2</v>
      </c>
      <c r="N15" s="83">
        <v>0</v>
      </c>
    </row>
    <row r="16" spans="1:46" ht="15" customHeight="1" x14ac:dyDescent="0.15">
      <c r="C16" s="83">
        <v>15</v>
      </c>
      <c r="D16"/>
      <c r="E16" s="148" t="s">
        <v>207</v>
      </c>
      <c r="F16" s="83">
        <v>0</v>
      </c>
      <c r="G16" s="83">
        <v>0.43206661899999999</v>
      </c>
      <c r="H16" s="83">
        <v>0.43</v>
      </c>
      <c r="I16" s="83">
        <v>4.7080000000000002</v>
      </c>
      <c r="J16" s="83">
        <v>0.95000004800000004</v>
      </c>
      <c r="K16" s="83">
        <v>9.1333895900000003E-2</v>
      </c>
      <c r="L16" s="83">
        <v>0</v>
      </c>
      <c r="M16" s="83">
        <v>0.2</v>
      </c>
      <c r="N16" s="83">
        <v>0</v>
      </c>
    </row>
    <row r="17" spans="1:22" ht="15" customHeight="1" x14ac:dyDescent="0.15">
      <c r="C17" s="83">
        <v>16</v>
      </c>
      <c r="D17"/>
      <c r="E17" s="148" t="s">
        <v>208</v>
      </c>
      <c r="F17" s="83">
        <v>0</v>
      </c>
      <c r="G17" s="83">
        <v>0.206617147</v>
      </c>
      <c r="H17" s="83">
        <v>0.4</v>
      </c>
      <c r="I17" s="83">
        <v>2</v>
      </c>
      <c r="J17" s="83">
        <v>0.9</v>
      </c>
      <c r="K17" s="83">
        <v>0.2</v>
      </c>
      <c r="L17" s="83">
        <v>0</v>
      </c>
      <c r="M17" s="83">
        <v>0.2</v>
      </c>
      <c r="N17" s="83">
        <v>0</v>
      </c>
      <c r="V17" s="1" t="s">
        <v>30</v>
      </c>
    </row>
    <row r="18" spans="1:22" ht="15" customHeight="1" x14ac:dyDescent="0.15">
      <c r="C18" s="83">
        <v>17</v>
      </c>
      <c r="D18"/>
      <c r="E18" s="148" t="s">
        <v>209</v>
      </c>
      <c r="F18" s="83">
        <v>0</v>
      </c>
      <c r="G18" s="83">
        <v>5.6752506600000002E-2</v>
      </c>
      <c r="H18" s="83">
        <v>0.46</v>
      </c>
      <c r="I18" s="83">
        <v>3.7</v>
      </c>
      <c r="J18" s="83">
        <v>0.87499064199999999</v>
      </c>
      <c r="K18" s="83">
        <v>0.124324322</v>
      </c>
      <c r="L18" s="83">
        <v>0</v>
      </c>
      <c r="M18" s="83">
        <v>0.2</v>
      </c>
      <c r="N18" s="83">
        <v>0</v>
      </c>
      <c r="V18" s="1"/>
    </row>
    <row r="19" spans="1:22" ht="15" customHeight="1" x14ac:dyDescent="0.15">
      <c r="C19" s="83">
        <v>18</v>
      </c>
      <c r="D19"/>
      <c r="E19" s="148" t="s">
        <v>210</v>
      </c>
      <c r="F19" s="83">
        <v>0</v>
      </c>
      <c r="G19" s="83">
        <v>2.3923013399999998E-2</v>
      </c>
      <c r="H19" s="83">
        <v>0.59</v>
      </c>
      <c r="I19" s="83">
        <v>6.6207779999999996</v>
      </c>
      <c r="J19" s="83">
        <v>0.4</v>
      </c>
      <c r="K19" s="83">
        <v>8.9113390000000001E-2</v>
      </c>
      <c r="L19" s="83">
        <v>0</v>
      </c>
      <c r="M19" s="83">
        <v>0.2</v>
      </c>
      <c r="N19" s="83">
        <v>0</v>
      </c>
    </row>
    <row r="20" spans="1:22" ht="15" customHeight="1" thickBot="1" x14ac:dyDescent="0.2">
      <c r="C20" s="83">
        <v>19</v>
      </c>
      <c r="D20"/>
      <c r="E20" s="148" t="s">
        <v>211</v>
      </c>
      <c r="F20" s="83">
        <v>0</v>
      </c>
      <c r="G20" s="83">
        <v>4.4610549999999999E-2</v>
      </c>
      <c r="H20" s="83">
        <v>0.8</v>
      </c>
      <c r="I20" s="83">
        <v>3.42</v>
      </c>
      <c r="J20" s="83">
        <v>0.85948783200000001</v>
      </c>
      <c r="K20" s="83">
        <v>0.23391813</v>
      </c>
      <c r="L20" s="83">
        <v>0</v>
      </c>
      <c r="M20" s="83">
        <v>0.2</v>
      </c>
      <c r="N20" s="83">
        <v>0</v>
      </c>
    </row>
    <row r="21" spans="1:22" ht="15" customHeight="1" thickBot="1" x14ac:dyDescent="0.2">
      <c r="A21" s="47" t="s">
        <v>137</v>
      </c>
      <c r="B21" s="101"/>
      <c r="C21" s="83">
        <v>20</v>
      </c>
      <c r="D21"/>
      <c r="E21" s="148" t="s">
        <v>212</v>
      </c>
      <c r="F21" s="83">
        <v>0</v>
      </c>
      <c r="G21" s="83">
        <v>0.6144577</v>
      </c>
      <c r="H21" s="83">
        <v>0.34399999999999997</v>
      </c>
      <c r="I21" s="83">
        <v>1.72</v>
      </c>
      <c r="J21" s="83">
        <v>0.85</v>
      </c>
      <c r="K21" s="83">
        <v>0.2</v>
      </c>
      <c r="L21" s="83">
        <v>0</v>
      </c>
      <c r="M21" s="83">
        <v>0.2</v>
      </c>
      <c r="N21" s="83">
        <v>0</v>
      </c>
    </row>
    <row r="22" spans="1:22" ht="15" customHeight="1" x14ac:dyDescent="0.15">
      <c r="A22" s="102" t="s">
        <v>58</v>
      </c>
      <c r="B22" s="103">
        <v>0</v>
      </c>
      <c r="C22" s="83">
        <v>21</v>
      </c>
      <c r="D22"/>
      <c r="E22" s="148" t="s">
        <v>213</v>
      </c>
      <c r="F22" s="83">
        <v>0</v>
      </c>
      <c r="G22" s="83">
        <v>1.35600078</v>
      </c>
      <c r="H22" s="83">
        <v>0.5</v>
      </c>
      <c r="I22" s="83">
        <v>2.5</v>
      </c>
      <c r="J22" s="83">
        <v>0.95</v>
      </c>
      <c r="K22" s="83">
        <v>0.2</v>
      </c>
      <c r="L22" s="83">
        <v>0</v>
      </c>
      <c r="M22" s="83">
        <v>0.2</v>
      </c>
      <c r="N22" s="83">
        <v>0</v>
      </c>
    </row>
    <row r="23" spans="1:22" ht="15" customHeight="1" x14ac:dyDescent="0.15">
      <c r="A23" s="102" t="s">
        <v>59</v>
      </c>
      <c r="B23" s="103">
        <v>1</v>
      </c>
      <c r="C23" s="83">
        <v>22</v>
      </c>
      <c r="D23"/>
      <c r="E23" s="148" t="s">
        <v>214</v>
      </c>
      <c r="F23" s="83">
        <v>0</v>
      </c>
      <c r="G23" s="83">
        <v>1.07377517</v>
      </c>
      <c r="H23" s="83">
        <v>1.1000000000000001</v>
      </c>
      <c r="I23" s="83">
        <v>4.4000000000000004</v>
      </c>
      <c r="J23" s="83">
        <v>0.94999979999999995</v>
      </c>
      <c r="K23" s="83">
        <v>0.25</v>
      </c>
      <c r="L23" s="83">
        <v>0</v>
      </c>
      <c r="M23" s="83">
        <v>0.2</v>
      </c>
      <c r="N23" s="83">
        <v>0</v>
      </c>
    </row>
    <row r="24" spans="1:22" ht="15" customHeight="1" x14ac:dyDescent="0.15">
      <c r="A24" s="102" t="s">
        <v>60</v>
      </c>
      <c r="B24" s="103">
        <v>2</v>
      </c>
      <c r="C24" s="83">
        <v>23</v>
      </c>
      <c r="D24"/>
      <c r="E24" s="148" t="s">
        <v>215</v>
      </c>
      <c r="F24" s="83">
        <v>0</v>
      </c>
      <c r="G24" s="83">
        <v>3.3425464599999999</v>
      </c>
      <c r="H24" s="83">
        <v>0.27</v>
      </c>
      <c r="I24" s="83">
        <v>1.08</v>
      </c>
      <c r="J24" s="83">
        <v>0.83336759999999999</v>
      </c>
      <c r="K24" s="83">
        <v>0.25</v>
      </c>
      <c r="L24" s="83">
        <v>0</v>
      </c>
      <c r="M24" s="83">
        <v>0.2</v>
      </c>
      <c r="N24" s="83">
        <v>0</v>
      </c>
    </row>
    <row r="25" spans="1:22" ht="15" customHeight="1" thickBot="1" x14ac:dyDescent="0.2">
      <c r="A25" s="104" t="s">
        <v>44</v>
      </c>
      <c r="B25" s="105">
        <v>3</v>
      </c>
      <c r="C25" s="83">
        <v>24</v>
      </c>
      <c r="D25"/>
      <c r="E25" s="148" t="s">
        <v>216</v>
      </c>
      <c r="F25" s="83">
        <v>0</v>
      </c>
      <c r="G25" s="83">
        <v>3.7741911400000001</v>
      </c>
      <c r="H25" s="83">
        <v>0.28000000000000003</v>
      </c>
      <c r="I25" s="83">
        <v>1.1200000000000001</v>
      </c>
      <c r="J25" s="83">
        <v>0.68083700000000003</v>
      </c>
      <c r="K25" s="83">
        <v>0.25</v>
      </c>
      <c r="L25" s="83">
        <v>0</v>
      </c>
      <c r="M25" s="83">
        <v>0.2</v>
      </c>
      <c r="N25" s="83">
        <v>0</v>
      </c>
    </row>
    <row r="26" spans="1:22" ht="15" customHeight="1" x14ac:dyDescent="0.15">
      <c r="A26" s="106" t="s">
        <v>140</v>
      </c>
      <c r="C26" s="83">
        <v>25</v>
      </c>
      <c r="D26"/>
      <c r="E26" s="148" t="s">
        <v>217</v>
      </c>
      <c r="F26" s="83">
        <v>0</v>
      </c>
      <c r="G26" s="83">
        <v>0.53239816399999995</v>
      </c>
      <c r="H26" s="83">
        <v>1.03</v>
      </c>
      <c r="I26" s="83">
        <v>4.12</v>
      </c>
      <c r="J26" s="83">
        <v>0.95</v>
      </c>
      <c r="K26" s="83">
        <v>0.25</v>
      </c>
      <c r="L26" s="83">
        <v>0</v>
      </c>
      <c r="M26" s="83">
        <v>0.2</v>
      </c>
      <c r="N26" s="83">
        <v>0</v>
      </c>
    </row>
    <row r="27" spans="1:22" ht="15" customHeight="1" x14ac:dyDescent="0.15">
      <c r="C27" s="83">
        <v>26</v>
      </c>
      <c r="D27"/>
      <c r="E27" s="148" t="s">
        <v>218</v>
      </c>
      <c r="F27" s="83">
        <v>0</v>
      </c>
      <c r="G27" s="83">
        <v>0.24242976299999999</v>
      </c>
      <c r="H27" s="83">
        <v>0.78</v>
      </c>
      <c r="I27" s="83">
        <v>4.59</v>
      </c>
      <c r="J27" s="83">
        <v>0.91329675899999996</v>
      </c>
      <c r="K27" s="83">
        <v>0.16993463</v>
      </c>
      <c r="L27" s="83">
        <v>0</v>
      </c>
      <c r="M27" s="83">
        <v>0.2</v>
      </c>
      <c r="N27" s="83">
        <v>0</v>
      </c>
    </row>
    <row r="28" spans="1:22" ht="15" customHeight="1" x14ac:dyDescent="0.15">
      <c r="C28" s="83">
        <v>27</v>
      </c>
      <c r="D28"/>
      <c r="E28" s="148" t="s">
        <v>219</v>
      </c>
      <c r="F28" s="83">
        <v>0</v>
      </c>
      <c r="G28" s="83">
        <v>0.41073104700000002</v>
      </c>
      <c r="H28" s="83">
        <v>0.8</v>
      </c>
      <c r="I28" s="83">
        <v>6.8</v>
      </c>
      <c r="J28" s="83">
        <v>0.95</v>
      </c>
      <c r="K28" s="83">
        <v>0.117647059</v>
      </c>
      <c r="L28" s="83">
        <v>0</v>
      </c>
      <c r="M28" s="83">
        <v>0.2</v>
      </c>
      <c r="N28" s="83">
        <v>0</v>
      </c>
    </row>
    <row r="29" spans="1:22" customFormat="1" ht="15" customHeight="1" x14ac:dyDescent="0.15">
      <c r="C29" s="83">
        <v>28</v>
      </c>
      <c r="E29" s="148" t="s">
        <v>220</v>
      </c>
      <c r="F29" s="83">
        <v>0</v>
      </c>
      <c r="G29" s="83">
        <v>0.49784929999999999</v>
      </c>
      <c r="H29" s="83">
        <v>1.4</v>
      </c>
      <c r="I29" s="83">
        <v>7</v>
      </c>
      <c r="J29" s="83">
        <v>0.95</v>
      </c>
      <c r="K29" s="83">
        <v>0.2</v>
      </c>
      <c r="L29" s="83">
        <v>0</v>
      </c>
      <c r="M29" s="83">
        <v>0.2</v>
      </c>
      <c r="N29" s="83">
        <v>0</v>
      </c>
    </row>
    <row r="30" spans="1:22" customFormat="1" ht="15" customHeight="1" x14ac:dyDescent="0.15">
      <c r="C30" s="83">
        <v>29</v>
      </c>
      <c r="E30" s="148" t="s">
        <v>221</v>
      </c>
      <c r="F30" s="83">
        <v>0</v>
      </c>
      <c r="G30" s="83">
        <v>6.5387529999999999E-2</v>
      </c>
      <c r="H30" s="83">
        <v>0.4</v>
      </c>
      <c r="I30" s="83">
        <v>4.13</v>
      </c>
      <c r="J30" s="83">
        <v>0.9</v>
      </c>
      <c r="K30" s="83">
        <v>9.6852300000000002E-2</v>
      </c>
      <c r="L30" s="83">
        <v>0</v>
      </c>
      <c r="M30" s="83">
        <v>0.2</v>
      </c>
      <c r="N30" s="83">
        <v>0</v>
      </c>
    </row>
    <row r="31" spans="1:22" customFormat="1" ht="15" customHeight="1" x14ac:dyDescent="0.15">
      <c r="C31" s="83">
        <v>30</v>
      </c>
      <c r="E31" s="148" t="s">
        <v>222</v>
      </c>
      <c r="F31" s="83">
        <v>0</v>
      </c>
      <c r="G31" s="83">
        <v>0.34551546</v>
      </c>
      <c r="H31" s="83">
        <v>0.73</v>
      </c>
      <c r="I31" s="83">
        <v>4.92</v>
      </c>
      <c r="J31" s="83">
        <v>0.94999990000000001</v>
      </c>
      <c r="K31" s="83">
        <v>0.14837399100000001</v>
      </c>
      <c r="L31" s="83">
        <v>0</v>
      </c>
      <c r="M31" s="83">
        <v>0.2</v>
      </c>
      <c r="N31" s="83">
        <v>0</v>
      </c>
    </row>
    <row r="32" spans="1:22" customFormat="1" ht="15" customHeight="1" x14ac:dyDescent="0.15">
      <c r="C32" s="83">
        <v>31</v>
      </c>
      <c r="E32" s="148" t="s">
        <v>223</v>
      </c>
      <c r="F32" s="83">
        <v>0</v>
      </c>
      <c r="G32" s="83">
        <v>0.34138679999999999</v>
      </c>
      <c r="H32" s="83">
        <v>3.12</v>
      </c>
      <c r="I32" s="83">
        <v>10.4</v>
      </c>
      <c r="J32" s="83">
        <v>0.95000004800000004</v>
      </c>
      <c r="K32" s="83">
        <v>0.3</v>
      </c>
      <c r="L32" s="83">
        <v>0</v>
      </c>
      <c r="M32" s="83">
        <v>0.2</v>
      </c>
      <c r="N32" s="83">
        <v>0</v>
      </c>
    </row>
    <row r="33" spans="3:14" customFormat="1" ht="15" customHeight="1" x14ac:dyDescent="0.15">
      <c r="C33" s="83">
        <v>32</v>
      </c>
      <c r="E33" s="148" t="s">
        <v>224</v>
      </c>
      <c r="F33" s="83">
        <v>0</v>
      </c>
      <c r="G33" s="83">
        <v>0.12091206</v>
      </c>
      <c r="H33" s="83">
        <v>0.7</v>
      </c>
      <c r="I33" s="83">
        <v>3.4</v>
      </c>
      <c r="J33" s="83">
        <v>0.8</v>
      </c>
      <c r="K33" s="83">
        <v>0.205882341</v>
      </c>
      <c r="L33" s="83">
        <v>0</v>
      </c>
      <c r="M33" s="83">
        <v>0.2</v>
      </c>
      <c r="N33" s="83">
        <v>0</v>
      </c>
    </row>
    <row r="34" spans="3:14" customFormat="1" ht="15" customHeight="1" x14ac:dyDescent="0.15">
      <c r="C34" s="83">
        <v>33</v>
      </c>
      <c r="E34" s="148" t="s">
        <v>225</v>
      </c>
      <c r="F34" s="83">
        <v>0</v>
      </c>
      <c r="G34" s="83">
        <v>0.46986225199999998</v>
      </c>
      <c r="H34" s="83">
        <v>1.2</v>
      </c>
      <c r="I34" s="83">
        <v>8</v>
      </c>
      <c r="J34" s="83">
        <v>0.80000009999999999</v>
      </c>
      <c r="K34" s="83">
        <v>0.15</v>
      </c>
      <c r="L34" s="83">
        <v>0</v>
      </c>
      <c r="M34" s="83">
        <v>0.2</v>
      </c>
      <c r="N34" s="83">
        <v>0</v>
      </c>
    </row>
    <row r="35" spans="3:14" customFormat="1" ht="15" customHeight="1" x14ac:dyDescent="0.15">
      <c r="C35" s="83">
        <v>34</v>
      </c>
      <c r="E35" s="148" t="s">
        <v>226</v>
      </c>
      <c r="F35" s="83">
        <v>0</v>
      </c>
      <c r="G35" s="83">
        <v>1.7257450000000001</v>
      </c>
      <c r="H35" s="83">
        <v>3</v>
      </c>
      <c r="I35" s="83">
        <v>20</v>
      </c>
      <c r="J35" s="83">
        <v>0.95000004800000004</v>
      </c>
      <c r="K35" s="83">
        <v>0.15</v>
      </c>
      <c r="L35" s="83">
        <v>0</v>
      </c>
      <c r="M35" s="83">
        <v>0.2</v>
      </c>
      <c r="N35" s="83">
        <v>0</v>
      </c>
    </row>
    <row r="36" spans="3:14" customFormat="1" ht="15" customHeight="1" x14ac:dyDescent="0.15">
      <c r="C36" s="83">
        <v>35</v>
      </c>
      <c r="E36" s="148" t="s">
        <v>227</v>
      </c>
      <c r="F36" s="83">
        <v>0</v>
      </c>
      <c r="G36" s="83">
        <v>7.892112</v>
      </c>
      <c r="H36" s="83">
        <v>1.885</v>
      </c>
      <c r="I36" s="83">
        <v>12.5666656</v>
      </c>
      <c r="J36" s="83">
        <v>0.69999990000000001</v>
      </c>
      <c r="K36" s="83">
        <v>0.15</v>
      </c>
      <c r="L36" s="83">
        <v>0</v>
      </c>
      <c r="M36" s="83">
        <v>0.2</v>
      </c>
      <c r="N36" s="83">
        <v>0</v>
      </c>
    </row>
    <row r="37" spans="3:14" customFormat="1" ht="15" customHeight="1" x14ac:dyDescent="0.15">
      <c r="C37" s="83">
        <v>36</v>
      </c>
      <c r="E37" s="148" t="s">
        <v>228</v>
      </c>
      <c r="F37" s="83">
        <v>0</v>
      </c>
      <c r="G37" s="83">
        <v>19.452729999999999</v>
      </c>
      <c r="H37" s="83">
        <v>1.6</v>
      </c>
      <c r="I37" s="83">
        <v>8</v>
      </c>
      <c r="J37" s="83">
        <v>0.7</v>
      </c>
      <c r="K37" s="83">
        <v>0.2</v>
      </c>
      <c r="L37" s="83">
        <v>0</v>
      </c>
      <c r="M37" s="83">
        <v>0.3</v>
      </c>
      <c r="N37" s="83">
        <v>0</v>
      </c>
    </row>
    <row r="38" spans="3:14" customFormat="1" ht="15" customHeight="1" x14ac:dyDescent="0.15">
      <c r="C38" s="83">
        <v>37</v>
      </c>
      <c r="E38" s="148" t="s">
        <v>229</v>
      </c>
      <c r="F38" s="83">
        <v>0</v>
      </c>
      <c r="G38" s="83">
        <v>19.220018400000001</v>
      </c>
      <c r="H38" s="83">
        <v>2.8</v>
      </c>
      <c r="I38" s="83">
        <v>14</v>
      </c>
      <c r="J38" s="83">
        <v>0.8</v>
      </c>
      <c r="K38" s="83">
        <v>0.2</v>
      </c>
      <c r="L38" s="83">
        <v>0</v>
      </c>
      <c r="M38" s="83">
        <v>0.2</v>
      </c>
      <c r="N38" s="83">
        <v>0</v>
      </c>
    </row>
    <row r="39" spans="3:14" customFormat="1" ht="15" customHeight="1" x14ac:dyDescent="0.15">
      <c r="C39" s="83">
        <v>38</v>
      </c>
      <c r="E39" s="148" t="s">
        <v>230</v>
      </c>
      <c r="F39" s="83">
        <v>0</v>
      </c>
      <c r="G39" s="83">
        <v>6.2033705699999997</v>
      </c>
      <c r="H39" s="83">
        <v>10</v>
      </c>
      <c r="I39" s="83">
        <v>50</v>
      </c>
      <c r="J39" s="83">
        <v>0.90000009999999997</v>
      </c>
      <c r="K39" s="83">
        <v>0.2</v>
      </c>
      <c r="L39" s="83">
        <v>0</v>
      </c>
      <c r="M39" s="83">
        <v>0.4</v>
      </c>
      <c r="N39" s="83">
        <v>0</v>
      </c>
    </row>
    <row r="40" spans="3:14" customFormat="1" ht="15" customHeight="1" x14ac:dyDescent="0.15">
      <c r="C40" s="83">
        <v>39</v>
      </c>
      <c r="E40" s="148" t="s">
        <v>231</v>
      </c>
      <c r="F40" s="83">
        <v>0</v>
      </c>
      <c r="G40" s="83">
        <v>0.219675079</v>
      </c>
      <c r="H40" s="83">
        <v>20</v>
      </c>
      <c r="I40" s="83">
        <v>100</v>
      </c>
      <c r="J40" s="83">
        <v>0.90000009999999997</v>
      </c>
      <c r="K40" s="83">
        <v>0.2</v>
      </c>
      <c r="L40" s="83">
        <v>0</v>
      </c>
      <c r="M40" s="83">
        <v>0.2</v>
      </c>
      <c r="N40" s="83">
        <v>0</v>
      </c>
    </row>
    <row r="41" spans="3:14" customFormat="1" ht="15" customHeight="1" x14ac:dyDescent="0.15">
      <c r="C41" s="83">
        <v>40</v>
      </c>
      <c r="E41" s="148" t="s">
        <v>232</v>
      </c>
      <c r="F41" s="83">
        <v>0</v>
      </c>
      <c r="G41" s="83">
        <v>3.13</v>
      </c>
      <c r="H41" s="83">
        <v>10.5</v>
      </c>
      <c r="I41" s="83">
        <v>38</v>
      </c>
      <c r="J41" s="83">
        <v>0.56297430000000004</v>
      </c>
      <c r="K41" s="83">
        <v>0.27631577800000001</v>
      </c>
      <c r="L41" s="83">
        <v>0</v>
      </c>
      <c r="M41" s="83">
        <v>0.4</v>
      </c>
      <c r="N41" s="83">
        <v>0</v>
      </c>
    </row>
    <row r="42" spans="3:14" customFormat="1" ht="15" customHeight="1" x14ac:dyDescent="0.15">
      <c r="C42" s="83">
        <v>41</v>
      </c>
      <c r="E42" s="148" t="s">
        <v>233</v>
      </c>
      <c r="F42" s="83">
        <v>0</v>
      </c>
      <c r="G42" s="83">
        <v>4.9210000000000003</v>
      </c>
      <c r="H42" s="83">
        <v>16.45</v>
      </c>
      <c r="I42" s="83">
        <v>80</v>
      </c>
      <c r="J42" s="83">
        <v>0.76842606099999999</v>
      </c>
      <c r="K42" s="83">
        <v>0.205625013</v>
      </c>
      <c r="L42" s="83">
        <v>0</v>
      </c>
      <c r="M42" s="83">
        <v>0.4</v>
      </c>
      <c r="N42" s="83">
        <v>0</v>
      </c>
    </row>
    <row r="43" spans="3:14" customFormat="1" ht="15" customHeight="1" x14ac:dyDescent="0.15">
      <c r="C43" s="83">
        <v>42</v>
      </c>
      <c r="E43" s="148" t="s">
        <v>234</v>
      </c>
      <c r="F43" s="83">
        <v>0</v>
      </c>
      <c r="G43" s="83">
        <v>5.3170000000000002</v>
      </c>
      <c r="H43" s="83">
        <v>45.05</v>
      </c>
      <c r="I43" s="83">
        <v>316</v>
      </c>
      <c r="J43" s="83">
        <v>0.89672654900000004</v>
      </c>
      <c r="K43" s="83">
        <v>0.14256328300000001</v>
      </c>
      <c r="L43" s="83">
        <v>0</v>
      </c>
      <c r="M43" s="83">
        <v>0.4</v>
      </c>
      <c r="N43" s="83">
        <v>0</v>
      </c>
    </row>
    <row r="44" spans="3:14" customFormat="1" ht="15" customHeight="1" x14ac:dyDescent="0.15">
      <c r="C44" s="83">
        <v>43</v>
      </c>
      <c r="E44" s="148" t="s">
        <v>235</v>
      </c>
      <c r="F44" s="83">
        <v>0</v>
      </c>
      <c r="G44" s="83">
        <v>0.82399999999999995</v>
      </c>
      <c r="H44" s="83">
        <v>500</v>
      </c>
      <c r="I44" s="83">
        <v>1428.57141</v>
      </c>
      <c r="J44" s="83">
        <v>0.69474875899999999</v>
      </c>
      <c r="K44" s="83">
        <v>0.35</v>
      </c>
      <c r="L44" s="83">
        <v>0</v>
      </c>
      <c r="M44" s="83">
        <v>0.5</v>
      </c>
      <c r="N44" s="83">
        <v>0</v>
      </c>
    </row>
    <row r="45" spans="3:14" customFormat="1" ht="15" customHeight="1" x14ac:dyDescent="0.15">
      <c r="C45" s="83">
        <v>44</v>
      </c>
      <c r="E45" s="148" t="s">
        <v>236</v>
      </c>
      <c r="F45" s="83">
        <v>1</v>
      </c>
      <c r="G45" s="83">
        <v>9.5419999999999998</v>
      </c>
      <c r="H45" s="83">
        <v>119</v>
      </c>
      <c r="I45" s="83">
        <v>0</v>
      </c>
      <c r="J45" s="83">
        <v>0.69542519999999997</v>
      </c>
      <c r="K45" s="83">
        <v>0</v>
      </c>
      <c r="L45" s="83">
        <v>0</v>
      </c>
      <c r="M45" s="83">
        <v>0</v>
      </c>
      <c r="N45" s="83">
        <v>0</v>
      </c>
    </row>
    <row r="46" spans="3:14" customFormat="1" ht="15" customHeight="1" x14ac:dyDescent="0.15">
      <c r="C46" s="83">
        <v>45</v>
      </c>
      <c r="E46" s="148" t="s">
        <v>237</v>
      </c>
      <c r="F46" s="83">
        <v>1</v>
      </c>
      <c r="G46" s="83">
        <v>6.1269999999999998</v>
      </c>
      <c r="H46" s="83">
        <v>151</v>
      </c>
      <c r="I46" s="83">
        <v>0</v>
      </c>
      <c r="J46" s="83">
        <v>0.56216025400000003</v>
      </c>
      <c r="K46" s="83">
        <v>0</v>
      </c>
      <c r="L46" s="83">
        <v>0</v>
      </c>
      <c r="M46" s="83">
        <v>0</v>
      </c>
      <c r="N46" s="83">
        <v>0</v>
      </c>
    </row>
    <row r="47" spans="3:14" customFormat="1" ht="15" customHeight="1" x14ac:dyDescent="0.15">
      <c r="C47" s="83">
        <v>46</v>
      </c>
      <c r="E47" s="148" t="s">
        <v>238</v>
      </c>
      <c r="F47" s="83">
        <v>1</v>
      </c>
      <c r="G47" s="83">
        <v>0.63600000000000001</v>
      </c>
      <c r="H47" s="83">
        <v>4.5</v>
      </c>
      <c r="I47" s="83">
        <v>0</v>
      </c>
      <c r="J47" s="83">
        <v>0.10708639</v>
      </c>
      <c r="K47" s="83">
        <v>0</v>
      </c>
      <c r="L47" s="83">
        <v>0</v>
      </c>
      <c r="M47" s="83">
        <v>0</v>
      </c>
      <c r="N47" s="83">
        <v>0</v>
      </c>
    </row>
    <row r="48" spans="3:14" customFormat="1" ht="15" customHeight="1" x14ac:dyDescent="0.15">
      <c r="C48" s="83">
        <v>47</v>
      </c>
      <c r="E48" s="148" t="s">
        <v>239</v>
      </c>
      <c r="F48" s="83">
        <v>2</v>
      </c>
      <c r="G48" s="83">
        <v>1</v>
      </c>
      <c r="H48" s="83">
        <v>0</v>
      </c>
      <c r="I48" s="83">
        <v>0</v>
      </c>
      <c r="J48" s="83">
        <v>0</v>
      </c>
      <c r="K48" s="83">
        <v>0</v>
      </c>
      <c r="L48" s="83">
        <v>0</v>
      </c>
      <c r="M48" s="83">
        <v>0</v>
      </c>
      <c r="N48" s="83">
        <v>0</v>
      </c>
    </row>
    <row r="49" spans="3:14" customFormat="1" ht="15" customHeight="1" x14ac:dyDescent="0.15">
      <c r="C49" s="83">
        <v>48</v>
      </c>
      <c r="E49" s="148" t="s">
        <v>240</v>
      </c>
      <c r="F49" s="83">
        <v>2</v>
      </c>
      <c r="G49" s="83">
        <v>325.7</v>
      </c>
      <c r="H49" s="83">
        <v>0</v>
      </c>
      <c r="I49" s="83">
        <v>0</v>
      </c>
      <c r="J49" s="83">
        <v>0</v>
      </c>
      <c r="K49" s="83">
        <v>0</v>
      </c>
      <c r="L49" s="83">
        <v>0</v>
      </c>
      <c r="M49" s="83">
        <v>0</v>
      </c>
      <c r="N49" s="83">
        <v>0</v>
      </c>
    </row>
    <row r="50" spans="3:14" customFormat="1" ht="15" customHeight="1" x14ac:dyDescent="0.15">
      <c r="C50" s="83">
        <v>49</v>
      </c>
      <c r="E50" s="148" t="s">
        <v>241</v>
      </c>
      <c r="F50" s="83">
        <v>2</v>
      </c>
      <c r="G50" s="83">
        <v>5</v>
      </c>
      <c r="H50" s="83">
        <v>0</v>
      </c>
      <c r="I50" s="83">
        <v>0</v>
      </c>
      <c r="J50" s="83">
        <v>0</v>
      </c>
      <c r="K50" s="83">
        <v>0</v>
      </c>
      <c r="L50" s="83">
        <v>0</v>
      </c>
      <c r="M50" s="83">
        <v>0</v>
      </c>
      <c r="N50" s="83">
        <v>0</v>
      </c>
    </row>
    <row r="51" spans="3:14" customFormat="1" ht="15" customHeight="1" x14ac:dyDescent="0.15">
      <c r="C51" s="83">
        <v>50</v>
      </c>
      <c r="E51" s="148" t="s">
        <v>199</v>
      </c>
      <c r="F51" s="83">
        <v>3</v>
      </c>
      <c r="G51" s="83">
        <v>0</v>
      </c>
      <c r="H51" s="83">
        <v>0</v>
      </c>
      <c r="I51" s="83">
        <v>0</v>
      </c>
      <c r="J51" s="83">
        <v>0</v>
      </c>
      <c r="K51" s="83">
        <v>0</v>
      </c>
      <c r="L51" s="83">
        <v>0</v>
      </c>
      <c r="M51" s="83">
        <v>0</v>
      </c>
      <c r="N51" s="83">
        <v>0</v>
      </c>
    </row>
    <row r="52" spans="3:14" customFormat="1" ht="15" customHeight="1" x14ac:dyDescent="0.15">
      <c r="C52" s="83">
        <v>51</v>
      </c>
      <c r="E52" s="148" t="s">
        <v>200</v>
      </c>
      <c r="F52" s="83">
        <v>3</v>
      </c>
      <c r="G52" s="83">
        <v>0</v>
      </c>
      <c r="H52" s="83">
        <v>0</v>
      </c>
      <c r="I52" s="83">
        <v>0</v>
      </c>
      <c r="J52" s="83">
        <v>0</v>
      </c>
      <c r="K52" s="83">
        <v>0</v>
      </c>
      <c r="L52" s="83">
        <v>0</v>
      </c>
      <c r="M52" s="83">
        <v>0</v>
      </c>
      <c r="N52" s="83">
        <v>0</v>
      </c>
    </row>
    <row r="53" spans="3:14" customFormat="1" ht="15" customHeight="1" x14ac:dyDescent="0.15">
      <c r="C53" s="83">
        <v>52</v>
      </c>
      <c r="E53" s="148" t="s">
        <v>242</v>
      </c>
      <c r="F53" s="83">
        <v>3</v>
      </c>
      <c r="G53" s="83">
        <v>0</v>
      </c>
      <c r="H53" s="83">
        <v>0</v>
      </c>
      <c r="I53" s="83">
        <v>0</v>
      </c>
      <c r="J53" s="83">
        <v>0</v>
      </c>
      <c r="K53" s="83">
        <v>0</v>
      </c>
      <c r="L53" s="83">
        <v>0</v>
      </c>
      <c r="M53" s="83">
        <v>0</v>
      </c>
      <c r="N53" s="83">
        <v>0</v>
      </c>
    </row>
    <row r="54" spans="3:14" customFormat="1" ht="15" customHeight="1" x14ac:dyDescent="0.15">
      <c r="C54" s="83">
        <v>53</v>
      </c>
      <c r="E54" s="148" t="s">
        <v>202</v>
      </c>
      <c r="F54" s="83">
        <v>3</v>
      </c>
      <c r="G54" s="83">
        <v>0</v>
      </c>
      <c r="H54" s="83">
        <v>0</v>
      </c>
      <c r="I54" s="83">
        <v>0</v>
      </c>
      <c r="J54" s="83">
        <v>0</v>
      </c>
      <c r="K54" s="83">
        <v>0</v>
      </c>
      <c r="L54" s="83">
        <v>0</v>
      </c>
      <c r="M54" s="83">
        <v>0</v>
      </c>
      <c r="N54" s="83">
        <v>0</v>
      </c>
    </row>
    <row r="55" spans="3:14" customFormat="1" ht="15" customHeight="1" x14ac:dyDescent="0.15">
      <c r="C55" s="83">
        <v>54</v>
      </c>
      <c r="E55" s="148" t="s">
        <v>203</v>
      </c>
      <c r="F55" s="83">
        <v>3</v>
      </c>
      <c r="G55" s="83">
        <v>0</v>
      </c>
      <c r="H55" s="83">
        <v>0</v>
      </c>
      <c r="I55" s="83">
        <v>0</v>
      </c>
      <c r="J55" s="83">
        <v>0</v>
      </c>
      <c r="K55" s="83">
        <v>0</v>
      </c>
      <c r="L55" s="83">
        <v>0</v>
      </c>
      <c r="M55" s="83">
        <v>0</v>
      </c>
      <c r="N55" s="83">
        <v>0</v>
      </c>
    </row>
    <row r="56" spans="3:14" customFormat="1" ht="15" customHeight="1" x14ac:dyDescent="0.15">
      <c r="C56" s="83">
        <v>55</v>
      </c>
      <c r="E56" s="148" t="s">
        <v>204</v>
      </c>
      <c r="F56" s="83">
        <v>3</v>
      </c>
      <c r="G56" s="83">
        <v>0</v>
      </c>
      <c r="H56" s="83">
        <v>0</v>
      </c>
      <c r="I56" s="83">
        <v>0</v>
      </c>
      <c r="J56" s="83">
        <v>0</v>
      </c>
      <c r="K56" s="83">
        <v>0</v>
      </c>
      <c r="L56" s="83">
        <v>0</v>
      </c>
      <c r="M56" s="83">
        <v>0</v>
      </c>
      <c r="N56" s="83">
        <v>0</v>
      </c>
    </row>
    <row r="57" spans="3:14" customFormat="1" ht="15" customHeight="1" x14ac:dyDescent="0.15">
      <c r="C57" s="83">
        <v>56</v>
      </c>
      <c r="E57" s="148" t="s">
        <v>206</v>
      </c>
      <c r="F57" s="83">
        <v>3</v>
      </c>
      <c r="G57" s="83">
        <v>0</v>
      </c>
      <c r="H57" s="83">
        <v>0</v>
      </c>
      <c r="I57" s="83">
        <v>0</v>
      </c>
      <c r="J57" s="83">
        <v>0</v>
      </c>
      <c r="K57" s="83">
        <v>0</v>
      </c>
      <c r="L57" s="83">
        <v>0</v>
      </c>
      <c r="M57" s="83">
        <v>0</v>
      </c>
      <c r="N57" s="83">
        <v>0</v>
      </c>
    </row>
    <row r="58" spans="3:14" customFormat="1" ht="15" customHeight="1" x14ac:dyDescent="0.15">
      <c r="C58" s="83">
        <v>57</v>
      </c>
      <c r="E58" s="148" t="s">
        <v>207</v>
      </c>
      <c r="F58" s="83">
        <v>3</v>
      </c>
      <c r="G58" s="83">
        <v>0</v>
      </c>
      <c r="H58" s="83">
        <v>0</v>
      </c>
      <c r="I58" s="83">
        <v>0</v>
      </c>
      <c r="J58" s="83">
        <v>0</v>
      </c>
      <c r="K58" s="83">
        <v>0</v>
      </c>
      <c r="L58" s="83">
        <v>0</v>
      </c>
      <c r="M58" s="83">
        <v>0</v>
      </c>
      <c r="N58" s="83">
        <v>0</v>
      </c>
    </row>
    <row r="59" spans="3:14" customFormat="1" ht="15" customHeight="1" x14ac:dyDescent="0.15">
      <c r="C59" s="83">
        <v>58</v>
      </c>
      <c r="E59" s="148" t="s">
        <v>210</v>
      </c>
      <c r="F59" s="83">
        <v>3</v>
      </c>
      <c r="G59" s="83">
        <v>0</v>
      </c>
      <c r="H59" s="83">
        <v>0</v>
      </c>
      <c r="I59" s="83">
        <v>0</v>
      </c>
      <c r="J59" s="83">
        <v>0</v>
      </c>
      <c r="K59" s="83">
        <v>0</v>
      </c>
      <c r="L59" s="83">
        <v>0</v>
      </c>
      <c r="M59" s="83">
        <v>0</v>
      </c>
      <c r="N59" s="83">
        <v>0</v>
      </c>
    </row>
    <row r="60" spans="3:14" customFormat="1" ht="15" customHeight="1" x14ac:dyDescent="0.15">
      <c r="C60" s="83">
        <v>59</v>
      </c>
      <c r="E60" s="148" t="s">
        <v>209</v>
      </c>
      <c r="F60" s="83">
        <v>3</v>
      </c>
      <c r="G60" s="83">
        <v>0</v>
      </c>
      <c r="H60" s="83">
        <v>0</v>
      </c>
      <c r="I60" s="83">
        <v>0</v>
      </c>
      <c r="J60" s="83">
        <v>0</v>
      </c>
      <c r="K60" s="83">
        <v>0</v>
      </c>
      <c r="L60" s="83">
        <v>0</v>
      </c>
      <c r="M60" s="83">
        <v>0</v>
      </c>
      <c r="N60" s="83">
        <v>0</v>
      </c>
    </row>
    <row r="61" spans="3:14" customFormat="1" ht="15" customHeight="1" x14ac:dyDescent="0.15">
      <c r="C61" s="83">
        <v>60</v>
      </c>
      <c r="E61" s="148" t="s">
        <v>211</v>
      </c>
      <c r="F61" s="83">
        <v>3</v>
      </c>
      <c r="G61" s="83">
        <v>0</v>
      </c>
      <c r="H61" s="83">
        <v>0</v>
      </c>
      <c r="I61" s="83">
        <v>0</v>
      </c>
      <c r="J61" s="83">
        <v>0</v>
      </c>
      <c r="K61" s="83">
        <v>0</v>
      </c>
      <c r="L61" s="83">
        <v>0</v>
      </c>
      <c r="M61" s="83">
        <v>0</v>
      </c>
      <c r="N61" s="83">
        <v>0</v>
      </c>
    </row>
    <row r="62" spans="3:14" customFormat="1" ht="15" customHeight="1" x14ac:dyDescent="0.15">
      <c r="C62" s="83">
        <v>61</v>
      </c>
      <c r="E62" s="148" t="s">
        <v>208</v>
      </c>
      <c r="F62" s="83">
        <v>3</v>
      </c>
      <c r="G62" s="83">
        <v>0</v>
      </c>
      <c r="H62" s="83">
        <v>0</v>
      </c>
      <c r="I62" s="83">
        <v>0</v>
      </c>
      <c r="J62" s="83">
        <v>0</v>
      </c>
      <c r="K62" s="83">
        <v>0</v>
      </c>
      <c r="L62" s="83">
        <v>0</v>
      </c>
      <c r="M62" s="83">
        <v>0</v>
      </c>
      <c r="N62" s="83">
        <v>0</v>
      </c>
    </row>
    <row r="63" spans="3:14" customFormat="1" ht="15" customHeight="1" x14ac:dyDescent="0.15">
      <c r="C63" s="83">
        <v>62</v>
      </c>
      <c r="E63" s="148" t="s">
        <v>243</v>
      </c>
      <c r="F63" s="83">
        <v>3</v>
      </c>
      <c r="G63" s="83">
        <v>0</v>
      </c>
      <c r="H63" s="83">
        <v>0</v>
      </c>
      <c r="I63" s="83">
        <v>0</v>
      </c>
      <c r="J63" s="83">
        <v>0</v>
      </c>
      <c r="K63" s="83">
        <v>0</v>
      </c>
      <c r="L63" s="83">
        <v>0</v>
      </c>
      <c r="M63" s="83">
        <v>0</v>
      </c>
      <c r="N63" s="83">
        <v>0</v>
      </c>
    </row>
    <row r="64" spans="3:14" customFormat="1" ht="15" customHeight="1" x14ac:dyDescent="0.15">
      <c r="C64" s="83">
        <v>63</v>
      </c>
      <c r="E64" s="148" t="s">
        <v>216</v>
      </c>
      <c r="F64" s="83">
        <v>3</v>
      </c>
      <c r="G64" s="83">
        <v>0</v>
      </c>
      <c r="H64" s="83">
        <v>0</v>
      </c>
      <c r="I64" s="83">
        <v>0</v>
      </c>
      <c r="J64" s="83">
        <v>0</v>
      </c>
      <c r="K64" s="83">
        <v>0</v>
      </c>
      <c r="L64" s="83">
        <v>0</v>
      </c>
      <c r="M64" s="83">
        <v>0</v>
      </c>
      <c r="N64" s="83">
        <v>0</v>
      </c>
    </row>
    <row r="65" spans="3:14" customFormat="1" ht="15" customHeight="1" x14ac:dyDescent="0.15">
      <c r="C65" s="83">
        <v>64</v>
      </c>
      <c r="E65" s="148" t="s">
        <v>219</v>
      </c>
      <c r="F65" s="83">
        <v>3</v>
      </c>
      <c r="G65" s="83">
        <v>0</v>
      </c>
      <c r="H65" s="83">
        <v>0</v>
      </c>
      <c r="I65" s="83">
        <v>0</v>
      </c>
      <c r="J65" s="83">
        <v>0</v>
      </c>
      <c r="K65" s="83">
        <v>0</v>
      </c>
      <c r="L65" s="83">
        <v>0</v>
      </c>
      <c r="M65" s="83">
        <v>0</v>
      </c>
      <c r="N65" s="83">
        <v>0</v>
      </c>
    </row>
    <row r="66" spans="3:14" customFormat="1" ht="15" customHeight="1" x14ac:dyDescent="0.15">
      <c r="C66" s="83">
        <v>65</v>
      </c>
      <c r="E66" s="148" t="s">
        <v>224</v>
      </c>
      <c r="F66" s="83">
        <v>3</v>
      </c>
      <c r="G66" s="83">
        <v>0</v>
      </c>
      <c r="H66" s="83">
        <v>0</v>
      </c>
      <c r="I66" s="83">
        <v>0</v>
      </c>
      <c r="J66" s="83">
        <v>0</v>
      </c>
      <c r="K66" s="83">
        <v>0</v>
      </c>
      <c r="L66" s="83">
        <v>0</v>
      </c>
      <c r="M66" s="83">
        <v>0</v>
      </c>
      <c r="N66" s="83">
        <v>0</v>
      </c>
    </row>
    <row r="67" spans="3:14" customFormat="1" ht="15" customHeight="1" x14ac:dyDescent="0.15">
      <c r="C67" s="83">
        <v>66</v>
      </c>
      <c r="E67" s="148" t="s">
        <v>218</v>
      </c>
      <c r="F67" s="83">
        <v>3</v>
      </c>
      <c r="G67" s="83">
        <v>0</v>
      </c>
      <c r="H67" s="83">
        <v>0</v>
      </c>
      <c r="I67" s="83">
        <v>0</v>
      </c>
      <c r="J67" s="83">
        <v>0</v>
      </c>
      <c r="K67" s="83">
        <v>0</v>
      </c>
      <c r="L67" s="83">
        <v>0</v>
      </c>
      <c r="M67" s="83">
        <v>0</v>
      </c>
      <c r="N67" s="83">
        <v>0</v>
      </c>
    </row>
    <row r="68" spans="3:14" customFormat="1" ht="15" customHeight="1" x14ac:dyDescent="0.15">
      <c r="C68" s="83">
        <v>67</v>
      </c>
      <c r="E68" s="148" t="s">
        <v>244</v>
      </c>
      <c r="F68" s="83">
        <v>3</v>
      </c>
      <c r="G68" s="83">
        <v>0</v>
      </c>
      <c r="H68" s="83">
        <v>0</v>
      </c>
      <c r="I68" s="83">
        <v>0</v>
      </c>
      <c r="J68" s="83">
        <v>0</v>
      </c>
      <c r="K68" s="83">
        <v>0</v>
      </c>
      <c r="L68" s="83">
        <v>0</v>
      </c>
      <c r="M68" s="83">
        <v>0</v>
      </c>
      <c r="N68" s="83">
        <v>0</v>
      </c>
    </row>
    <row r="69" spans="3:14" customFormat="1" ht="15" customHeight="1" x14ac:dyDescent="0.15"/>
    <row r="70" spans="3:14" customFormat="1" ht="15" customHeight="1" x14ac:dyDescent="0.15"/>
    <row r="71" spans="3:14" customFormat="1" ht="15" customHeight="1" x14ac:dyDescent="0.15"/>
    <row r="72" spans="3:14" customFormat="1" ht="15" customHeight="1" x14ac:dyDescent="0.15"/>
    <row r="73" spans="3:14" customFormat="1" ht="15" customHeight="1" x14ac:dyDescent="0.15"/>
    <row r="74" spans="3:14" customFormat="1" ht="15" customHeight="1" x14ac:dyDescent="0.15"/>
    <row r="75" spans="3:14" customFormat="1" ht="15" customHeight="1" x14ac:dyDescent="0.15"/>
    <row r="76" spans="3:14" customFormat="1" ht="15" customHeight="1" x14ac:dyDescent="0.15"/>
    <row r="77" spans="3:14" customFormat="1" ht="15" customHeight="1" x14ac:dyDescent="0.15"/>
    <row r="78" spans="3:14" customFormat="1" ht="15" customHeight="1" x14ac:dyDescent="0.15"/>
    <row r="79" spans="3:14" customFormat="1" ht="15" customHeight="1" x14ac:dyDescent="0.15"/>
    <row r="80" spans="3:14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X373"/>
  <sheetViews>
    <sheetView workbookViewId="0">
      <pane xSplit="1" ySplit="1" topLeftCell="AH38" activePane="bottomRight" state="frozen"/>
      <selection pane="topRight" activeCell="B1" sqref="B1"/>
      <selection pane="bottomLeft" activeCell="A2" sqref="A2"/>
      <selection pane="bottomRight" activeCell="AZ48" sqref="AZ48"/>
    </sheetView>
  </sheetViews>
  <sheetFormatPr baseColWidth="10" defaultColWidth="8.83203125" defaultRowHeight="13" x14ac:dyDescent="0.15"/>
  <cols>
    <col min="1" max="1" width="37.5" style="144" bestFit="1" customWidth="1"/>
    <col min="2" max="4" width="13.83203125" style="144" bestFit="1" customWidth="1"/>
    <col min="5" max="5" width="14.83203125" style="144" bestFit="1" customWidth="1"/>
    <col min="6" max="7" width="15.83203125" style="144" bestFit="1" customWidth="1"/>
    <col min="8" max="9" width="14.83203125" style="144" bestFit="1" customWidth="1"/>
    <col min="10" max="11" width="15.83203125" style="144" bestFit="1" customWidth="1"/>
    <col min="12" max="12" width="13.83203125" style="144" bestFit="1" customWidth="1"/>
    <col min="13" max="13" width="15.83203125" style="144" bestFit="1" customWidth="1"/>
    <col min="14" max="17" width="14.83203125" style="144" bestFit="1" customWidth="1"/>
    <col min="18" max="18" width="9.83203125" style="144" bestFit="1" customWidth="1"/>
    <col min="19" max="19" width="5.83203125" style="144" bestFit="1" customWidth="1"/>
    <col min="20" max="20" width="4.83203125" style="144" bestFit="1" customWidth="1"/>
    <col min="21" max="21" width="15.83203125" style="144" bestFit="1" customWidth="1"/>
    <col min="22" max="23" width="14.83203125" style="144" bestFit="1" customWidth="1"/>
    <col min="24" max="24" width="13.83203125" style="144" bestFit="1" customWidth="1"/>
    <col min="25" max="25" width="14.83203125" style="144" bestFit="1" customWidth="1"/>
    <col min="26" max="26" width="4.83203125" style="144" bestFit="1" customWidth="1"/>
    <col min="27" max="27" width="5.83203125" style="144" bestFit="1" customWidth="1"/>
    <col min="28" max="28" width="4.83203125" style="144" bestFit="1" customWidth="1"/>
    <col min="29" max="29" width="15.83203125" style="144" bestFit="1" customWidth="1"/>
    <col min="30" max="31" width="14.83203125" style="144" customWidth="1"/>
    <col min="32" max="32" width="15.83203125" style="144" customWidth="1"/>
    <col min="33" max="33" width="13.83203125" style="144" customWidth="1"/>
    <col min="34" max="34" width="14.83203125" style="144" customWidth="1"/>
    <col min="35" max="35" width="13.83203125" style="144" customWidth="1"/>
    <col min="36" max="36" width="15.83203125" style="144" customWidth="1"/>
    <col min="37" max="44" width="4.83203125" style="144" customWidth="1"/>
    <col min="45" max="50" width="2.33203125" style="144" customWidth="1"/>
    <col min="51" max="16384" width="8.83203125" style="144"/>
  </cols>
  <sheetData>
    <row r="1" spans="1:50" x14ac:dyDescent="0.15">
      <c r="A1" s="143" t="s">
        <v>19</v>
      </c>
      <c r="B1" s="150" t="s">
        <v>193</v>
      </c>
      <c r="C1" s="150" t="s">
        <v>194</v>
      </c>
      <c r="D1" s="150" t="s">
        <v>195</v>
      </c>
      <c r="E1" s="150" t="s">
        <v>196</v>
      </c>
      <c r="F1" s="150" t="s">
        <v>197</v>
      </c>
      <c r="G1" s="150" t="s">
        <v>198</v>
      </c>
      <c r="H1" s="150" t="s">
        <v>199</v>
      </c>
      <c r="I1" s="150" t="s">
        <v>200</v>
      </c>
      <c r="J1" s="150" t="s">
        <v>201</v>
      </c>
      <c r="K1" s="150" t="s">
        <v>202</v>
      </c>
      <c r="L1" s="150" t="s">
        <v>203</v>
      </c>
      <c r="M1" s="150" t="s">
        <v>204</v>
      </c>
      <c r="N1" s="150" t="s">
        <v>205</v>
      </c>
      <c r="O1" s="150" t="s">
        <v>206</v>
      </c>
      <c r="P1" s="150" t="s">
        <v>207</v>
      </c>
      <c r="Q1" s="150" t="s">
        <v>208</v>
      </c>
      <c r="R1" s="150" t="s">
        <v>209</v>
      </c>
      <c r="S1" s="150" t="s">
        <v>210</v>
      </c>
      <c r="T1" s="150" t="s">
        <v>211</v>
      </c>
      <c r="U1" s="150" t="s">
        <v>212</v>
      </c>
      <c r="V1" s="150" t="s">
        <v>213</v>
      </c>
      <c r="W1" s="150" t="s">
        <v>214</v>
      </c>
      <c r="X1" s="150" t="s">
        <v>215</v>
      </c>
      <c r="Y1" s="150" t="s">
        <v>216</v>
      </c>
      <c r="Z1" s="150" t="s">
        <v>217</v>
      </c>
      <c r="AA1" s="150" t="s">
        <v>218</v>
      </c>
      <c r="AB1" s="150" t="s">
        <v>219</v>
      </c>
      <c r="AC1" s="150" t="s">
        <v>220</v>
      </c>
      <c r="AD1" s="150" t="s">
        <v>221</v>
      </c>
      <c r="AE1" s="150" t="s">
        <v>222</v>
      </c>
      <c r="AF1" s="150" t="s">
        <v>223</v>
      </c>
      <c r="AG1" s="150" t="s">
        <v>224</v>
      </c>
      <c r="AH1" s="150" t="s">
        <v>225</v>
      </c>
      <c r="AI1" s="150" t="s">
        <v>226</v>
      </c>
      <c r="AJ1" s="150" t="s">
        <v>227</v>
      </c>
      <c r="AK1" s="150" t="s">
        <v>228</v>
      </c>
      <c r="AL1" s="150" t="s">
        <v>229</v>
      </c>
      <c r="AM1" s="150" t="s">
        <v>230</v>
      </c>
      <c r="AN1" s="150" t="s">
        <v>231</v>
      </c>
      <c r="AO1" s="150" t="s">
        <v>232</v>
      </c>
      <c r="AP1" s="150" t="s">
        <v>233</v>
      </c>
      <c r="AQ1" s="150" t="s">
        <v>234</v>
      </c>
      <c r="AR1" s="150" t="s">
        <v>235</v>
      </c>
      <c r="AS1" s="150" t="s">
        <v>236</v>
      </c>
      <c r="AT1" s="150" t="s">
        <v>237</v>
      </c>
      <c r="AU1" s="150" t="s">
        <v>238</v>
      </c>
      <c r="AV1" s="150" t="s">
        <v>239</v>
      </c>
      <c r="AW1" s="150" t="s">
        <v>240</v>
      </c>
      <c r="AX1" s="150" t="s">
        <v>241</v>
      </c>
    </row>
    <row r="2" spans="1:50" customFormat="1" x14ac:dyDescent="0.15">
      <c r="A2" s="149" t="s">
        <v>193</v>
      </c>
      <c r="B2" s="144">
        <v>0</v>
      </c>
      <c r="C2" s="144">
        <v>0</v>
      </c>
      <c r="D2" s="144">
        <v>0</v>
      </c>
      <c r="E2" s="144">
        <v>0</v>
      </c>
      <c r="F2" s="144">
        <v>0</v>
      </c>
      <c r="G2" s="144">
        <v>0</v>
      </c>
      <c r="H2" s="144">
        <v>0</v>
      </c>
      <c r="I2" s="144">
        <v>0</v>
      </c>
      <c r="J2" s="144">
        <v>0</v>
      </c>
      <c r="K2" s="144">
        <v>0</v>
      </c>
      <c r="L2" s="144">
        <v>0</v>
      </c>
      <c r="M2" s="144">
        <v>0</v>
      </c>
      <c r="N2" s="144">
        <v>0</v>
      </c>
      <c r="O2" s="144">
        <v>0</v>
      </c>
      <c r="P2" s="144">
        <v>0</v>
      </c>
      <c r="Q2" s="144">
        <v>0</v>
      </c>
      <c r="R2" s="144">
        <v>0</v>
      </c>
      <c r="S2" s="144">
        <v>0</v>
      </c>
      <c r="T2" s="144">
        <v>0</v>
      </c>
      <c r="U2" s="144">
        <v>0</v>
      </c>
      <c r="V2" s="144">
        <v>0</v>
      </c>
      <c r="W2" s="144">
        <v>0</v>
      </c>
      <c r="X2" s="144">
        <v>0</v>
      </c>
      <c r="Y2" s="144">
        <v>0</v>
      </c>
      <c r="Z2" s="144">
        <v>0</v>
      </c>
      <c r="AA2" s="144">
        <v>0</v>
      </c>
      <c r="AB2" s="144">
        <v>0</v>
      </c>
      <c r="AC2" s="144">
        <v>0</v>
      </c>
      <c r="AD2" s="144">
        <v>0</v>
      </c>
      <c r="AE2" s="144">
        <v>0</v>
      </c>
      <c r="AF2" s="144">
        <v>0</v>
      </c>
      <c r="AG2" s="144">
        <v>0</v>
      </c>
      <c r="AH2" s="144">
        <v>0</v>
      </c>
      <c r="AI2" s="144">
        <v>0</v>
      </c>
      <c r="AJ2" s="144">
        <v>0</v>
      </c>
      <c r="AK2" s="144">
        <v>0</v>
      </c>
      <c r="AL2" s="144">
        <v>0</v>
      </c>
      <c r="AM2" s="144">
        <v>0</v>
      </c>
      <c r="AN2" s="144">
        <v>0</v>
      </c>
      <c r="AO2" s="144">
        <v>0</v>
      </c>
      <c r="AP2" s="144">
        <v>0</v>
      </c>
      <c r="AQ2" s="144">
        <v>0</v>
      </c>
      <c r="AR2" s="144">
        <v>0</v>
      </c>
      <c r="AS2" s="144">
        <v>0</v>
      </c>
      <c r="AT2" s="144">
        <v>0</v>
      </c>
      <c r="AU2" s="144">
        <v>0</v>
      </c>
      <c r="AV2" s="144">
        <v>0</v>
      </c>
      <c r="AW2" s="144">
        <v>0</v>
      </c>
      <c r="AX2" s="144">
        <v>0</v>
      </c>
    </row>
    <row r="3" spans="1:50" customFormat="1" x14ac:dyDescent="0.15">
      <c r="A3" s="149" t="s">
        <v>194</v>
      </c>
      <c r="B3" s="144">
        <v>0</v>
      </c>
      <c r="C3" s="144">
        <v>0</v>
      </c>
      <c r="D3" s="144">
        <v>0</v>
      </c>
      <c r="E3" s="144">
        <v>0</v>
      </c>
      <c r="F3" s="144">
        <v>0</v>
      </c>
      <c r="G3" s="144">
        <v>0</v>
      </c>
      <c r="H3" s="144">
        <v>0</v>
      </c>
      <c r="I3" s="144">
        <v>0</v>
      </c>
      <c r="J3" s="144">
        <v>0</v>
      </c>
      <c r="K3" s="144">
        <v>0</v>
      </c>
      <c r="L3" s="144">
        <v>0</v>
      </c>
      <c r="M3" s="144">
        <v>0</v>
      </c>
      <c r="N3" s="144">
        <v>0</v>
      </c>
      <c r="O3" s="144">
        <v>0</v>
      </c>
      <c r="P3" s="144">
        <v>0</v>
      </c>
      <c r="Q3" s="144">
        <v>0</v>
      </c>
      <c r="R3" s="144">
        <v>0</v>
      </c>
      <c r="S3" s="144">
        <v>0</v>
      </c>
      <c r="T3" s="144">
        <v>0</v>
      </c>
      <c r="U3" s="144">
        <v>0</v>
      </c>
      <c r="V3" s="144">
        <v>0</v>
      </c>
      <c r="W3" s="144">
        <v>0</v>
      </c>
      <c r="X3" s="144">
        <v>0</v>
      </c>
      <c r="Y3" s="144">
        <v>0</v>
      </c>
      <c r="Z3" s="144">
        <v>0</v>
      </c>
      <c r="AA3" s="144">
        <v>0</v>
      </c>
      <c r="AB3" s="144">
        <v>0</v>
      </c>
      <c r="AC3" s="144">
        <v>0</v>
      </c>
      <c r="AD3" s="144">
        <v>0</v>
      </c>
      <c r="AE3" s="144">
        <v>0</v>
      </c>
      <c r="AF3" s="144">
        <v>0</v>
      </c>
      <c r="AG3" s="144">
        <v>0</v>
      </c>
      <c r="AH3" s="144">
        <v>0</v>
      </c>
      <c r="AI3" s="144">
        <v>0</v>
      </c>
      <c r="AJ3" s="144">
        <v>0</v>
      </c>
      <c r="AK3" s="144">
        <v>0</v>
      </c>
      <c r="AL3" s="144">
        <v>0</v>
      </c>
      <c r="AM3" s="144">
        <v>0</v>
      </c>
      <c r="AN3" s="144">
        <v>0</v>
      </c>
      <c r="AO3" s="144">
        <v>0</v>
      </c>
      <c r="AP3" s="144">
        <v>0</v>
      </c>
      <c r="AQ3" s="144">
        <v>0</v>
      </c>
      <c r="AR3" s="144">
        <v>0</v>
      </c>
      <c r="AS3" s="144">
        <v>0</v>
      </c>
      <c r="AT3" s="144">
        <v>0</v>
      </c>
      <c r="AU3" s="144">
        <v>0</v>
      </c>
      <c r="AV3" s="144">
        <v>0</v>
      </c>
      <c r="AW3" s="144">
        <v>0</v>
      </c>
      <c r="AX3" s="144">
        <v>0</v>
      </c>
    </row>
    <row r="4" spans="1:50" customFormat="1" x14ac:dyDescent="0.15">
      <c r="A4" s="149" t="s">
        <v>195</v>
      </c>
      <c r="B4" s="144">
        <v>0</v>
      </c>
      <c r="C4" s="144">
        <v>0</v>
      </c>
      <c r="D4" s="144">
        <v>0</v>
      </c>
      <c r="E4" s="144">
        <v>0</v>
      </c>
      <c r="F4" s="144">
        <v>0</v>
      </c>
      <c r="G4" s="144">
        <v>0</v>
      </c>
      <c r="H4" s="144">
        <v>0</v>
      </c>
      <c r="I4" s="144">
        <v>0</v>
      </c>
      <c r="J4" s="144">
        <v>0</v>
      </c>
      <c r="K4" s="144">
        <v>0</v>
      </c>
      <c r="L4" s="144">
        <v>0</v>
      </c>
      <c r="M4" s="144">
        <v>0</v>
      </c>
      <c r="N4" s="144">
        <v>0</v>
      </c>
      <c r="O4" s="144">
        <v>0</v>
      </c>
      <c r="P4" s="144">
        <v>0</v>
      </c>
      <c r="Q4" s="144">
        <v>0</v>
      </c>
      <c r="R4" s="144">
        <v>0</v>
      </c>
      <c r="S4" s="144">
        <v>0</v>
      </c>
      <c r="T4" s="144">
        <v>0</v>
      </c>
      <c r="U4" s="144">
        <v>0</v>
      </c>
      <c r="V4" s="144">
        <v>0</v>
      </c>
      <c r="W4" s="144">
        <v>0</v>
      </c>
      <c r="X4" s="144">
        <v>0</v>
      </c>
      <c r="Y4" s="144">
        <v>0</v>
      </c>
      <c r="Z4" s="144">
        <v>0</v>
      </c>
      <c r="AA4" s="144">
        <v>0</v>
      </c>
      <c r="AB4" s="144">
        <v>0</v>
      </c>
      <c r="AC4" s="144">
        <v>0</v>
      </c>
      <c r="AD4" s="144">
        <v>0</v>
      </c>
      <c r="AE4" s="144">
        <v>0</v>
      </c>
      <c r="AF4" s="144">
        <v>0</v>
      </c>
      <c r="AG4" s="144">
        <v>0</v>
      </c>
      <c r="AH4" s="144">
        <v>0</v>
      </c>
      <c r="AI4" s="144">
        <v>0</v>
      </c>
      <c r="AJ4" s="144">
        <v>0</v>
      </c>
      <c r="AK4" s="144">
        <v>0</v>
      </c>
      <c r="AL4" s="144">
        <v>0</v>
      </c>
      <c r="AM4" s="144">
        <v>0</v>
      </c>
      <c r="AN4" s="144">
        <v>0</v>
      </c>
      <c r="AO4" s="144">
        <v>0</v>
      </c>
      <c r="AP4" s="144">
        <v>0</v>
      </c>
      <c r="AQ4" s="144">
        <v>0</v>
      </c>
      <c r="AR4" s="144">
        <v>0</v>
      </c>
      <c r="AS4" s="144">
        <v>0</v>
      </c>
      <c r="AT4" s="144">
        <v>0</v>
      </c>
      <c r="AU4" s="144">
        <v>0</v>
      </c>
      <c r="AV4" s="144">
        <v>0</v>
      </c>
      <c r="AW4" s="144">
        <v>0</v>
      </c>
      <c r="AX4" s="144">
        <v>0</v>
      </c>
    </row>
    <row r="5" spans="1:50" customFormat="1" x14ac:dyDescent="0.15">
      <c r="A5" s="149" t="s">
        <v>196</v>
      </c>
      <c r="B5" s="144">
        <v>0</v>
      </c>
      <c r="C5" s="144">
        <v>0</v>
      </c>
      <c r="D5" s="144">
        <v>0</v>
      </c>
      <c r="E5" s="144">
        <v>0</v>
      </c>
      <c r="F5" s="144">
        <v>0</v>
      </c>
      <c r="G5" s="144">
        <v>0</v>
      </c>
      <c r="H5" s="144">
        <v>0</v>
      </c>
      <c r="I5" s="144">
        <v>0</v>
      </c>
      <c r="J5" s="144">
        <v>0</v>
      </c>
      <c r="K5" s="144">
        <v>0</v>
      </c>
      <c r="L5" s="144">
        <v>0</v>
      </c>
      <c r="M5" s="144">
        <v>0</v>
      </c>
      <c r="N5" s="144">
        <v>0</v>
      </c>
      <c r="O5" s="144">
        <v>0</v>
      </c>
      <c r="P5" s="144">
        <v>0</v>
      </c>
      <c r="Q5" s="144">
        <v>0</v>
      </c>
      <c r="R5" s="144">
        <v>0</v>
      </c>
      <c r="S5" s="144">
        <v>0</v>
      </c>
      <c r="T5" s="144">
        <v>0</v>
      </c>
      <c r="U5" s="144">
        <v>0</v>
      </c>
      <c r="V5" s="144">
        <v>0</v>
      </c>
      <c r="W5" s="144">
        <v>0</v>
      </c>
      <c r="X5" s="144">
        <v>0</v>
      </c>
      <c r="Y5" s="144">
        <v>0</v>
      </c>
      <c r="Z5" s="144">
        <v>0</v>
      </c>
      <c r="AA5" s="144">
        <v>0</v>
      </c>
      <c r="AB5" s="144">
        <v>0</v>
      </c>
      <c r="AC5" s="144">
        <v>0</v>
      </c>
      <c r="AD5" s="144">
        <v>0</v>
      </c>
      <c r="AE5" s="144">
        <v>0</v>
      </c>
      <c r="AF5" s="144">
        <v>0</v>
      </c>
      <c r="AG5" s="144">
        <v>0</v>
      </c>
      <c r="AH5" s="144">
        <v>0</v>
      </c>
      <c r="AI5" s="144">
        <v>0</v>
      </c>
      <c r="AJ5" s="144">
        <v>0</v>
      </c>
      <c r="AK5" s="144">
        <v>0</v>
      </c>
      <c r="AL5" s="144">
        <v>0</v>
      </c>
      <c r="AM5" s="144">
        <v>0</v>
      </c>
      <c r="AN5" s="144">
        <v>0</v>
      </c>
      <c r="AO5" s="144">
        <v>0</v>
      </c>
      <c r="AP5" s="144">
        <v>0</v>
      </c>
      <c r="AQ5" s="144">
        <v>0</v>
      </c>
      <c r="AR5" s="144">
        <v>0</v>
      </c>
      <c r="AS5" s="144">
        <v>0</v>
      </c>
      <c r="AT5" s="144">
        <v>0</v>
      </c>
      <c r="AU5" s="144">
        <v>0</v>
      </c>
      <c r="AV5" s="144">
        <v>0</v>
      </c>
      <c r="AW5" s="144">
        <v>0</v>
      </c>
      <c r="AX5" s="144">
        <v>0</v>
      </c>
    </row>
    <row r="6" spans="1:50" customFormat="1" x14ac:dyDescent="0.15">
      <c r="A6" s="149" t="s">
        <v>197</v>
      </c>
      <c r="B6" s="144">
        <v>0</v>
      </c>
      <c r="C6" s="144">
        <v>0</v>
      </c>
      <c r="D6" s="144">
        <v>0</v>
      </c>
      <c r="E6" s="144">
        <v>5.1798467081933357E-3</v>
      </c>
      <c r="F6" s="144">
        <v>1.3699043961189416E-2</v>
      </c>
      <c r="G6" s="144">
        <v>0</v>
      </c>
      <c r="H6" s="144">
        <v>0</v>
      </c>
      <c r="I6" s="144">
        <v>0</v>
      </c>
      <c r="J6" s="144">
        <v>0</v>
      </c>
      <c r="K6" s="144">
        <v>0</v>
      </c>
      <c r="L6" s="144">
        <v>0</v>
      </c>
      <c r="M6" s="144">
        <v>0</v>
      </c>
      <c r="N6" s="144">
        <v>0</v>
      </c>
      <c r="O6" s="144">
        <v>0</v>
      </c>
      <c r="P6" s="144">
        <v>0</v>
      </c>
      <c r="Q6" s="144">
        <v>0</v>
      </c>
      <c r="R6" s="144">
        <v>0</v>
      </c>
      <c r="S6" s="144">
        <v>0</v>
      </c>
      <c r="T6" s="144">
        <v>0</v>
      </c>
      <c r="U6" s="144">
        <v>0</v>
      </c>
      <c r="V6" s="144">
        <v>0</v>
      </c>
      <c r="W6" s="144">
        <v>0</v>
      </c>
      <c r="X6" s="144">
        <v>0</v>
      </c>
      <c r="Y6" s="144">
        <v>0</v>
      </c>
      <c r="Z6" s="144">
        <v>0</v>
      </c>
      <c r="AA6" s="144">
        <v>0</v>
      </c>
      <c r="AB6" s="144">
        <v>0</v>
      </c>
      <c r="AC6" s="144">
        <v>0</v>
      </c>
      <c r="AD6" s="144">
        <v>0</v>
      </c>
      <c r="AE6" s="144">
        <v>0</v>
      </c>
      <c r="AF6" s="144">
        <v>0</v>
      </c>
      <c r="AG6" s="144">
        <v>0</v>
      </c>
      <c r="AH6" s="144">
        <v>0</v>
      </c>
      <c r="AI6" s="144">
        <v>0</v>
      </c>
      <c r="AJ6" s="144">
        <v>0</v>
      </c>
      <c r="AK6" s="144">
        <v>0</v>
      </c>
      <c r="AL6" s="144">
        <v>0</v>
      </c>
      <c r="AM6" s="144">
        <v>0</v>
      </c>
      <c r="AN6" s="144">
        <v>0</v>
      </c>
      <c r="AO6" s="144">
        <v>0</v>
      </c>
      <c r="AP6" s="144">
        <v>0</v>
      </c>
      <c r="AQ6" s="144">
        <v>0</v>
      </c>
      <c r="AR6" s="144">
        <v>0</v>
      </c>
      <c r="AS6" s="144">
        <v>0</v>
      </c>
      <c r="AT6" s="144">
        <v>0</v>
      </c>
      <c r="AU6" s="144">
        <v>0</v>
      </c>
      <c r="AV6" s="144">
        <v>0</v>
      </c>
      <c r="AW6" s="144">
        <v>0</v>
      </c>
      <c r="AX6" s="144">
        <v>0</v>
      </c>
    </row>
    <row r="7" spans="1:50" customFormat="1" x14ac:dyDescent="0.15">
      <c r="A7" s="149" t="s">
        <v>198</v>
      </c>
      <c r="B7" s="144">
        <v>0</v>
      </c>
      <c r="C7" s="144">
        <v>0</v>
      </c>
      <c r="D7" s="144">
        <v>0</v>
      </c>
      <c r="E7" s="144">
        <v>5.1798467081933357E-3</v>
      </c>
      <c r="F7" s="144">
        <v>3.0137893334617069E-2</v>
      </c>
      <c r="G7" s="144">
        <v>2.5891199216428748E-4</v>
      </c>
      <c r="H7" s="144">
        <v>2.8736644821638659E-2</v>
      </c>
      <c r="I7" s="144">
        <v>0</v>
      </c>
      <c r="J7" s="144">
        <v>4.2476259049102356E-2</v>
      </c>
      <c r="K7" s="144">
        <v>0</v>
      </c>
      <c r="L7" s="144">
        <v>0</v>
      </c>
      <c r="M7" s="144">
        <v>0</v>
      </c>
      <c r="N7" s="144">
        <v>0</v>
      </c>
      <c r="O7" s="144">
        <v>0</v>
      </c>
      <c r="P7" s="144">
        <v>0</v>
      </c>
      <c r="Q7" s="144">
        <v>0</v>
      </c>
      <c r="R7" s="144">
        <v>0</v>
      </c>
      <c r="S7" s="144">
        <v>0</v>
      </c>
      <c r="T7" s="144">
        <v>0</v>
      </c>
      <c r="U7" s="144">
        <v>0</v>
      </c>
      <c r="V7" s="144">
        <v>0</v>
      </c>
      <c r="W7" s="144">
        <v>0</v>
      </c>
      <c r="X7" s="144">
        <v>0</v>
      </c>
      <c r="Y7" s="144">
        <v>0</v>
      </c>
      <c r="Z7" s="144">
        <v>0</v>
      </c>
      <c r="AA7" s="144">
        <v>0</v>
      </c>
      <c r="AB7" s="144">
        <v>0</v>
      </c>
      <c r="AC7" s="144">
        <v>0</v>
      </c>
      <c r="AD7" s="144">
        <v>0</v>
      </c>
      <c r="AE7" s="144">
        <v>0</v>
      </c>
      <c r="AF7" s="144">
        <v>0</v>
      </c>
      <c r="AG7" s="144">
        <v>0</v>
      </c>
      <c r="AH7" s="144">
        <v>0</v>
      </c>
      <c r="AI7" s="144">
        <v>0</v>
      </c>
      <c r="AJ7" s="144">
        <v>0</v>
      </c>
      <c r="AK7" s="144">
        <v>0</v>
      </c>
      <c r="AL7" s="144">
        <v>0</v>
      </c>
      <c r="AM7" s="144">
        <v>0</v>
      </c>
      <c r="AN7" s="144">
        <v>0</v>
      </c>
      <c r="AO7" s="144">
        <v>0</v>
      </c>
      <c r="AP7" s="144">
        <v>0</v>
      </c>
      <c r="AQ7" s="144">
        <v>0</v>
      </c>
      <c r="AR7" s="144">
        <v>0</v>
      </c>
      <c r="AS7" s="144">
        <v>0</v>
      </c>
      <c r="AT7" s="144">
        <v>0</v>
      </c>
      <c r="AU7" s="144">
        <v>0</v>
      </c>
      <c r="AV7" s="144">
        <v>0</v>
      </c>
      <c r="AW7" s="144">
        <v>0</v>
      </c>
      <c r="AX7" s="144">
        <v>0</v>
      </c>
    </row>
    <row r="8" spans="1:50" customFormat="1" x14ac:dyDescent="0.15">
      <c r="A8" s="149" t="s">
        <v>199</v>
      </c>
      <c r="B8" s="144">
        <v>0</v>
      </c>
      <c r="C8" s="144">
        <v>0</v>
      </c>
      <c r="D8" s="144">
        <v>0</v>
      </c>
      <c r="E8" s="144">
        <v>2.9988182910615713E-2</v>
      </c>
      <c r="F8" s="144">
        <v>2.0029656396285192E-2</v>
      </c>
      <c r="G8" s="144">
        <v>5.0070378484670082E-3</v>
      </c>
      <c r="H8" s="144">
        <v>0</v>
      </c>
      <c r="I8" s="144">
        <v>0</v>
      </c>
      <c r="J8" s="144">
        <v>4.0006136373043682E-3</v>
      </c>
      <c r="K8" s="144">
        <v>0</v>
      </c>
      <c r="L8" s="144">
        <v>0</v>
      </c>
      <c r="M8" s="144">
        <v>0</v>
      </c>
      <c r="N8" s="144">
        <v>0</v>
      </c>
      <c r="O8" s="144">
        <v>0</v>
      </c>
      <c r="P8" s="144">
        <v>0</v>
      </c>
      <c r="Q8" s="144">
        <v>0</v>
      </c>
      <c r="R8" s="144">
        <v>0</v>
      </c>
      <c r="S8" s="144">
        <v>0</v>
      </c>
      <c r="T8" s="144">
        <v>0</v>
      </c>
      <c r="U8" s="144">
        <v>4.8440968306988162E-3</v>
      </c>
      <c r="V8" s="144">
        <v>0</v>
      </c>
      <c r="W8" s="144">
        <v>0</v>
      </c>
      <c r="X8" s="144">
        <v>0</v>
      </c>
      <c r="Y8" s="144">
        <v>0</v>
      </c>
      <c r="Z8" s="144">
        <v>0</v>
      </c>
      <c r="AA8" s="144">
        <v>0</v>
      </c>
      <c r="AB8" s="144">
        <v>0</v>
      </c>
      <c r="AC8" s="144">
        <v>0</v>
      </c>
      <c r="AD8" s="144">
        <v>0</v>
      </c>
      <c r="AE8" s="144">
        <v>0</v>
      </c>
      <c r="AF8" s="144">
        <v>0</v>
      </c>
      <c r="AG8" s="144">
        <v>0</v>
      </c>
      <c r="AH8" s="144">
        <v>0</v>
      </c>
      <c r="AI8" s="144">
        <v>0</v>
      </c>
      <c r="AJ8" s="144">
        <v>0</v>
      </c>
      <c r="AK8" s="144">
        <v>0</v>
      </c>
      <c r="AL8" s="144">
        <v>0</v>
      </c>
      <c r="AM8" s="144">
        <v>0</v>
      </c>
      <c r="AN8" s="144">
        <v>0</v>
      </c>
      <c r="AO8" s="144">
        <v>0</v>
      </c>
      <c r="AP8" s="144">
        <v>0</v>
      </c>
      <c r="AQ8" s="144">
        <v>0</v>
      </c>
      <c r="AR8" s="144">
        <v>0</v>
      </c>
      <c r="AS8" s="144">
        <v>0</v>
      </c>
      <c r="AT8" s="144">
        <v>0</v>
      </c>
      <c r="AU8" s="144">
        <v>0</v>
      </c>
      <c r="AV8" s="144">
        <v>0</v>
      </c>
      <c r="AW8" s="144">
        <v>0</v>
      </c>
      <c r="AX8" s="144">
        <v>0</v>
      </c>
    </row>
    <row r="9" spans="1:50" customFormat="1" x14ac:dyDescent="0.15">
      <c r="A9" s="149" t="s">
        <v>200</v>
      </c>
      <c r="B9" s="144">
        <v>0</v>
      </c>
      <c r="C9" s="144">
        <v>0</v>
      </c>
      <c r="D9" s="144">
        <v>0</v>
      </c>
      <c r="E9" s="144">
        <v>0</v>
      </c>
      <c r="F9" s="144">
        <v>2.6556895610729257E-3</v>
      </c>
      <c r="G9" s="144">
        <v>0</v>
      </c>
      <c r="H9" s="144">
        <v>2.0172822256278563E-3</v>
      </c>
      <c r="I9" s="144">
        <v>0</v>
      </c>
      <c r="J9" s="144">
        <v>0</v>
      </c>
      <c r="K9" s="144">
        <v>0</v>
      </c>
      <c r="L9" s="144">
        <v>0</v>
      </c>
      <c r="M9" s="144">
        <v>0</v>
      </c>
      <c r="N9" s="144">
        <v>0</v>
      </c>
      <c r="O9" s="144">
        <v>0</v>
      </c>
      <c r="P9" s="144">
        <v>0</v>
      </c>
      <c r="Q9" s="144">
        <v>0</v>
      </c>
      <c r="R9" s="144">
        <v>0</v>
      </c>
      <c r="S9" s="144">
        <v>0</v>
      </c>
      <c r="T9" s="144">
        <v>0</v>
      </c>
      <c r="U9" s="144">
        <v>0</v>
      </c>
      <c r="V9" s="144">
        <v>0</v>
      </c>
      <c r="W9" s="144">
        <v>0</v>
      </c>
      <c r="X9" s="144">
        <v>0</v>
      </c>
      <c r="Y9" s="144">
        <v>0</v>
      </c>
      <c r="Z9" s="144">
        <v>0</v>
      </c>
      <c r="AA9" s="144">
        <v>0</v>
      </c>
      <c r="AB9" s="144">
        <v>0</v>
      </c>
      <c r="AC9" s="144">
        <v>0</v>
      </c>
      <c r="AD9" s="144">
        <v>0</v>
      </c>
      <c r="AE9" s="144">
        <v>0</v>
      </c>
      <c r="AF9" s="144">
        <v>0</v>
      </c>
      <c r="AG9" s="144">
        <v>0</v>
      </c>
      <c r="AH9" s="144">
        <v>0</v>
      </c>
      <c r="AI9" s="144">
        <v>0</v>
      </c>
      <c r="AJ9" s="144">
        <v>0</v>
      </c>
      <c r="AK9" s="144">
        <v>0</v>
      </c>
      <c r="AL9" s="144">
        <v>0</v>
      </c>
      <c r="AM9" s="144">
        <v>0</v>
      </c>
      <c r="AN9" s="144">
        <v>0</v>
      </c>
      <c r="AO9" s="144">
        <v>0</v>
      </c>
      <c r="AP9" s="144">
        <v>0</v>
      </c>
      <c r="AQ9" s="144">
        <v>0</v>
      </c>
      <c r="AR9" s="144">
        <v>0</v>
      </c>
      <c r="AS9" s="144">
        <v>0</v>
      </c>
      <c r="AT9" s="144">
        <v>0</v>
      </c>
      <c r="AU9" s="144">
        <v>0</v>
      </c>
      <c r="AV9" s="144">
        <v>0</v>
      </c>
      <c r="AW9" s="144">
        <v>0</v>
      </c>
      <c r="AX9" s="144">
        <v>0</v>
      </c>
    </row>
    <row r="10" spans="1:50" customFormat="1" x14ac:dyDescent="0.15">
      <c r="A10" s="149" t="s">
        <v>201</v>
      </c>
      <c r="B10" s="144">
        <v>0</v>
      </c>
      <c r="C10" s="144">
        <v>0</v>
      </c>
      <c r="D10" s="144">
        <v>0</v>
      </c>
      <c r="E10" s="144">
        <v>3.5118875421578156E-3</v>
      </c>
      <c r="F10" s="144">
        <v>7.0134812633740641E-3</v>
      </c>
      <c r="G10" s="144">
        <v>0</v>
      </c>
      <c r="H10" s="144">
        <v>2.000669059487298E-3</v>
      </c>
      <c r="I10" s="144">
        <v>0</v>
      </c>
      <c r="J10" s="144">
        <v>0</v>
      </c>
      <c r="K10" s="144">
        <v>0</v>
      </c>
      <c r="L10" s="144">
        <v>0</v>
      </c>
      <c r="M10" s="144">
        <v>4.0041047987536922E-3</v>
      </c>
      <c r="N10" s="144">
        <v>0</v>
      </c>
      <c r="O10" s="144">
        <v>0</v>
      </c>
      <c r="P10" s="144">
        <v>0</v>
      </c>
      <c r="Q10" s="144">
        <v>0</v>
      </c>
      <c r="R10" s="144">
        <v>0</v>
      </c>
      <c r="S10" s="144">
        <v>0</v>
      </c>
      <c r="T10" s="144">
        <v>0</v>
      </c>
      <c r="U10" s="144">
        <v>4.9899158256024416E-3</v>
      </c>
      <c r="V10" s="144">
        <v>0</v>
      </c>
      <c r="W10" s="144">
        <v>0</v>
      </c>
      <c r="X10" s="144">
        <v>0</v>
      </c>
      <c r="Y10" s="144">
        <v>0</v>
      </c>
      <c r="Z10" s="144">
        <v>0</v>
      </c>
      <c r="AA10" s="144">
        <v>0</v>
      </c>
      <c r="AB10" s="144">
        <v>0</v>
      </c>
      <c r="AC10" s="144">
        <v>0</v>
      </c>
      <c r="AD10" s="144">
        <v>0</v>
      </c>
      <c r="AE10" s="144">
        <v>0</v>
      </c>
      <c r="AF10" s="144">
        <v>0</v>
      </c>
      <c r="AG10" s="144">
        <v>0</v>
      </c>
      <c r="AH10" s="144">
        <v>0</v>
      </c>
      <c r="AI10" s="144">
        <v>0</v>
      </c>
      <c r="AJ10" s="144">
        <v>0</v>
      </c>
      <c r="AK10" s="144">
        <v>0</v>
      </c>
      <c r="AL10" s="144">
        <v>0</v>
      </c>
      <c r="AM10" s="144">
        <v>0</v>
      </c>
      <c r="AN10" s="144">
        <v>0</v>
      </c>
      <c r="AO10" s="144">
        <v>0</v>
      </c>
      <c r="AP10" s="144">
        <v>0</v>
      </c>
      <c r="AQ10" s="144">
        <v>0</v>
      </c>
      <c r="AR10" s="144">
        <v>0</v>
      </c>
      <c r="AS10" s="144">
        <v>0</v>
      </c>
      <c r="AT10" s="144">
        <v>0</v>
      </c>
      <c r="AU10" s="144">
        <v>0</v>
      </c>
      <c r="AV10" s="144">
        <v>0</v>
      </c>
      <c r="AW10" s="144">
        <v>0</v>
      </c>
      <c r="AX10" s="144">
        <v>0</v>
      </c>
    </row>
    <row r="11" spans="1:50" customFormat="1" x14ac:dyDescent="0.15">
      <c r="A11" s="149" t="s">
        <v>202</v>
      </c>
      <c r="B11" s="144">
        <v>0</v>
      </c>
      <c r="C11" s="144">
        <v>0</v>
      </c>
      <c r="D11" s="144">
        <v>0</v>
      </c>
      <c r="E11" s="144">
        <v>0</v>
      </c>
      <c r="F11" s="144">
        <v>0</v>
      </c>
      <c r="G11" s="144">
        <v>2.2994723904087681E-3</v>
      </c>
      <c r="H11" s="144">
        <v>1.000096109655524E-3</v>
      </c>
      <c r="I11" s="144">
        <v>0</v>
      </c>
      <c r="J11" s="144">
        <v>5.2754025217320068E-4</v>
      </c>
      <c r="K11" s="144">
        <v>4.9996659643773804E-3</v>
      </c>
      <c r="L11" s="144">
        <v>0</v>
      </c>
      <c r="M11" s="144">
        <v>4.0284141775319034E-3</v>
      </c>
      <c r="N11" s="144">
        <v>9.6306566199742902E-5</v>
      </c>
      <c r="O11" s="144">
        <v>0</v>
      </c>
      <c r="P11" s="144">
        <v>0</v>
      </c>
      <c r="Q11" s="144">
        <v>0</v>
      </c>
      <c r="R11" s="144">
        <v>0</v>
      </c>
      <c r="S11" s="144">
        <v>0</v>
      </c>
      <c r="T11" s="144">
        <v>0</v>
      </c>
      <c r="U11" s="144">
        <v>1.4005284310515313E-3</v>
      </c>
      <c r="V11" s="144">
        <v>0</v>
      </c>
      <c r="W11" s="144">
        <v>0</v>
      </c>
      <c r="X11" s="144">
        <v>0</v>
      </c>
      <c r="Y11" s="144">
        <v>0</v>
      </c>
      <c r="Z11" s="144">
        <v>0</v>
      </c>
      <c r="AA11" s="144">
        <v>0</v>
      </c>
      <c r="AB11" s="144">
        <v>0</v>
      </c>
      <c r="AC11" s="144">
        <v>0</v>
      </c>
      <c r="AD11" s="144">
        <v>0</v>
      </c>
      <c r="AE11" s="144">
        <v>0</v>
      </c>
      <c r="AF11" s="144">
        <v>0</v>
      </c>
      <c r="AG11" s="144">
        <v>0</v>
      </c>
      <c r="AH11" s="144">
        <v>0</v>
      </c>
      <c r="AI11" s="144">
        <v>0</v>
      </c>
      <c r="AJ11" s="144">
        <v>0</v>
      </c>
      <c r="AK11" s="144">
        <v>0</v>
      </c>
      <c r="AL11" s="144">
        <v>0</v>
      </c>
      <c r="AM11" s="144">
        <v>0</v>
      </c>
      <c r="AN11" s="144">
        <v>0</v>
      </c>
      <c r="AO11" s="144">
        <v>0</v>
      </c>
      <c r="AP11" s="144">
        <v>0</v>
      </c>
      <c r="AQ11" s="144">
        <v>0</v>
      </c>
      <c r="AR11" s="144">
        <v>0</v>
      </c>
      <c r="AS11" s="144">
        <v>0</v>
      </c>
      <c r="AT11" s="144">
        <v>0</v>
      </c>
      <c r="AU11" s="144">
        <v>0</v>
      </c>
      <c r="AV11" s="144">
        <v>0</v>
      </c>
      <c r="AW11" s="144">
        <v>0</v>
      </c>
      <c r="AX11" s="144">
        <v>0</v>
      </c>
    </row>
    <row r="12" spans="1:50" customFormat="1" x14ac:dyDescent="0.15">
      <c r="A12" s="149" t="s">
        <v>203</v>
      </c>
      <c r="B12" s="144">
        <v>0</v>
      </c>
      <c r="C12" s="144">
        <v>0</v>
      </c>
      <c r="D12" s="144">
        <v>0</v>
      </c>
      <c r="E12" s="144">
        <v>6.645468625627525E-2</v>
      </c>
      <c r="F12" s="144">
        <v>1.3699044661189342E-3</v>
      </c>
      <c r="G12" s="144">
        <v>8.2851547492580786E-3</v>
      </c>
      <c r="H12" s="144">
        <v>1.0091279629938776E-2</v>
      </c>
      <c r="I12" s="144">
        <v>0</v>
      </c>
      <c r="J12" s="144">
        <v>3.2318890869969356E-2</v>
      </c>
      <c r="K12" s="144">
        <v>0</v>
      </c>
      <c r="L12" s="144">
        <v>1.0437130615066332E-2</v>
      </c>
      <c r="M12" s="144">
        <v>8.7600925597177467E-3</v>
      </c>
      <c r="N12" s="144">
        <v>1.6270845457952439E-2</v>
      </c>
      <c r="O12" s="144">
        <v>0</v>
      </c>
      <c r="P12" s="144">
        <v>1.7340180950762119E-2</v>
      </c>
      <c r="Q12" s="144">
        <v>0</v>
      </c>
      <c r="R12" s="144">
        <v>0</v>
      </c>
      <c r="S12" s="144">
        <v>0</v>
      </c>
      <c r="T12" s="144">
        <v>0</v>
      </c>
      <c r="U12" s="144">
        <v>0</v>
      </c>
      <c r="V12" s="144">
        <v>0</v>
      </c>
      <c r="W12" s="144">
        <v>0</v>
      </c>
      <c r="X12" s="144">
        <v>0</v>
      </c>
      <c r="Y12" s="144">
        <v>0</v>
      </c>
      <c r="Z12" s="144">
        <v>0</v>
      </c>
      <c r="AA12" s="144">
        <v>0</v>
      </c>
      <c r="AB12" s="144">
        <v>0</v>
      </c>
      <c r="AC12" s="144">
        <v>0</v>
      </c>
      <c r="AD12" s="144">
        <v>0</v>
      </c>
      <c r="AE12" s="144">
        <v>0</v>
      </c>
      <c r="AF12" s="144">
        <v>0</v>
      </c>
      <c r="AG12" s="144">
        <v>0</v>
      </c>
      <c r="AH12" s="144">
        <v>0</v>
      </c>
      <c r="AI12" s="144">
        <v>0</v>
      </c>
      <c r="AJ12" s="144">
        <v>0</v>
      </c>
      <c r="AK12" s="144">
        <v>0</v>
      </c>
      <c r="AL12" s="144">
        <v>0</v>
      </c>
      <c r="AM12" s="144">
        <v>0</v>
      </c>
      <c r="AN12" s="144">
        <v>0</v>
      </c>
      <c r="AO12" s="144">
        <v>0</v>
      </c>
      <c r="AP12" s="144">
        <v>0</v>
      </c>
      <c r="AQ12" s="144">
        <v>0</v>
      </c>
      <c r="AR12" s="144">
        <v>0</v>
      </c>
      <c r="AS12" s="144">
        <v>0</v>
      </c>
      <c r="AT12" s="144">
        <v>0</v>
      </c>
      <c r="AU12" s="144">
        <v>0</v>
      </c>
      <c r="AV12" s="144">
        <v>0</v>
      </c>
      <c r="AW12" s="144">
        <v>0</v>
      </c>
      <c r="AX12" s="144">
        <v>0</v>
      </c>
    </row>
    <row r="13" spans="1:50" customFormat="1" x14ac:dyDescent="0.15">
      <c r="A13" s="149" t="s">
        <v>204</v>
      </c>
      <c r="B13" s="144">
        <v>0</v>
      </c>
      <c r="C13" s="144">
        <v>0</v>
      </c>
      <c r="D13" s="144">
        <v>0</v>
      </c>
      <c r="E13" s="144">
        <v>3.2435369672753453E-3</v>
      </c>
      <c r="F13" s="144">
        <v>1.6539855062819023E-2</v>
      </c>
      <c r="G13" s="144">
        <v>2.0432920981618085E-3</v>
      </c>
      <c r="H13" s="144">
        <v>1.5001437544831344E-2</v>
      </c>
      <c r="I13" s="144">
        <v>0</v>
      </c>
      <c r="J13" s="144">
        <v>0</v>
      </c>
      <c r="K13" s="144">
        <v>0</v>
      </c>
      <c r="L13" s="144">
        <v>0</v>
      </c>
      <c r="M13" s="144">
        <v>2.5172975534806245E-2</v>
      </c>
      <c r="N13" s="144">
        <v>0</v>
      </c>
      <c r="O13" s="144">
        <v>0</v>
      </c>
      <c r="P13" s="144">
        <v>0</v>
      </c>
      <c r="Q13" s="144">
        <v>0</v>
      </c>
      <c r="R13" s="144">
        <v>0</v>
      </c>
      <c r="S13" s="144">
        <v>0</v>
      </c>
      <c r="T13" s="144">
        <v>0</v>
      </c>
      <c r="U13" s="144">
        <v>1.7278265996124604E-3</v>
      </c>
      <c r="V13" s="144">
        <v>0</v>
      </c>
      <c r="W13" s="144">
        <v>0</v>
      </c>
      <c r="X13" s="144">
        <v>0</v>
      </c>
      <c r="Y13" s="144">
        <v>0</v>
      </c>
      <c r="Z13" s="144">
        <v>0</v>
      </c>
      <c r="AA13" s="144">
        <v>0</v>
      </c>
      <c r="AB13" s="144">
        <v>0</v>
      </c>
      <c r="AC13" s="144">
        <v>0</v>
      </c>
      <c r="AD13" s="144">
        <v>0</v>
      </c>
      <c r="AE13" s="144">
        <v>0</v>
      </c>
      <c r="AF13" s="144">
        <v>0</v>
      </c>
      <c r="AG13" s="144">
        <v>0</v>
      </c>
      <c r="AH13" s="144">
        <v>0</v>
      </c>
      <c r="AI13" s="144">
        <v>0</v>
      </c>
      <c r="AJ13" s="144">
        <v>0</v>
      </c>
      <c r="AK13" s="144">
        <v>0</v>
      </c>
      <c r="AL13" s="144">
        <v>0</v>
      </c>
      <c r="AM13" s="144">
        <v>0</v>
      </c>
      <c r="AN13" s="144">
        <v>0</v>
      </c>
      <c r="AO13" s="144">
        <v>0</v>
      </c>
      <c r="AP13" s="144">
        <v>0</v>
      </c>
      <c r="AQ13" s="144">
        <v>0</v>
      </c>
      <c r="AR13" s="144">
        <v>0</v>
      </c>
      <c r="AS13" s="144">
        <v>0</v>
      </c>
      <c r="AT13" s="144">
        <v>0</v>
      </c>
      <c r="AU13" s="144">
        <v>0</v>
      </c>
      <c r="AV13" s="144">
        <v>0</v>
      </c>
      <c r="AW13" s="144">
        <v>0</v>
      </c>
      <c r="AX13" s="144">
        <v>0</v>
      </c>
    </row>
    <row r="14" spans="1:50" customFormat="1" x14ac:dyDescent="0.15">
      <c r="A14" s="149" t="s">
        <v>205</v>
      </c>
      <c r="B14" s="144">
        <v>0</v>
      </c>
      <c r="C14" s="144">
        <v>0</v>
      </c>
      <c r="D14" s="144">
        <v>0</v>
      </c>
      <c r="E14" s="144">
        <v>4.0537477716321192E-3</v>
      </c>
      <c r="F14" s="144">
        <v>0</v>
      </c>
      <c r="G14" s="144">
        <v>9.7288671455655678E-4</v>
      </c>
      <c r="H14" s="144">
        <v>8.0996439937904112E-3</v>
      </c>
      <c r="I14" s="144">
        <v>0</v>
      </c>
      <c r="J14" s="144">
        <v>0</v>
      </c>
      <c r="K14" s="144">
        <v>7.9175089435877498E-3</v>
      </c>
      <c r="L14" s="144">
        <v>0</v>
      </c>
      <c r="M14" s="144">
        <v>2.0138381887844923E-2</v>
      </c>
      <c r="N14" s="144">
        <v>1.785121039559124E-2</v>
      </c>
      <c r="O14" s="144">
        <v>0</v>
      </c>
      <c r="P14" s="144">
        <v>0</v>
      </c>
      <c r="Q14" s="144">
        <v>0</v>
      </c>
      <c r="R14" s="144">
        <v>0</v>
      </c>
      <c r="S14" s="144">
        <v>0</v>
      </c>
      <c r="T14" s="144">
        <v>0</v>
      </c>
      <c r="U14" s="144">
        <v>0</v>
      </c>
      <c r="V14" s="144">
        <v>0</v>
      </c>
      <c r="W14" s="144">
        <v>0</v>
      </c>
      <c r="X14" s="144">
        <v>0</v>
      </c>
      <c r="Y14" s="144">
        <v>0</v>
      </c>
      <c r="Z14" s="144">
        <v>0</v>
      </c>
      <c r="AA14" s="144">
        <v>0</v>
      </c>
      <c r="AB14" s="144">
        <v>0</v>
      </c>
      <c r="AC14" s="144">
        <v>0</v>
      </c>
      <c r="AD14" s="144">
        <v>0</v>
      </c>
      <c r="AE14" s="144">
        <v>0</v>
      </c>
      <c r="AF14" s="144">
        <v>0</v>
      </c>
      <c r="AG14" s="144">
        <v>0</v>
      </c>
      <c r="AH14" s="144">
        <v>0</v>
      </c>
      <c r="AI14" s="144">
        <v>0</v>
      </c>
      <c r="AJ14" s="144">
        <v>0</v>
      </c>
      <c r="AK14" s="144">
        <v>0</v>
      </c>
      <c r="AL14" s="144">
        <v>0</v>
      </c>
      <c r="AM14" s="144">
        <v>0</v>
      </c>
      <c r="AN14" s="144">
        <v>0</v>
      </c>
      <c r="AO14" s="144">
        <v>0</v>
      </c>
      <c r="AP14" s="144">
        <v>0</v>
      </c>
      <c r="AQ14" s="144">
        <v>0</v>
      </c>
      <c r="AR14" s="144">
        <v>0</v>
      </c>
      <c r="AS14" s="144">
        <v>0</v>
      </c>
      <c r="AT14" s="144">
        <v>0</v>
      </c>
      <c r="AU14" s="144">
        <v>0</v>
      </c>
      <c r="AV14" s="144">
        <v>0</v>
      </c>
      <c r="AW14" s="144">
        <v>0</v>
      </c>
      <c r="AX14" s="144">
        <v>0</v>
      </c>
    </row>
    <row r="15" spans="1:50" customFormat="1" x14ac:dyDescent="0.15">
      <c r="A15" s="149" t="s">
        <v>206</v>
      </c>
      <c r="B15" s="144">
        <v>0</v>
      </c>
      <c r="C15" s="144">
        <v>0</v>
      </c>
      <c r="D15" s="144">
        <v>0</v>
      </c>
      <c r="E15" s="144">
        <v>0</v>
      </c>
      <c r="F15" s="144">
        <v>1.001904894769929E-3</v>
      </c>
      <c r="G15" s="144">
        <v>5.0071513584635727E-3</v>
      </c>
      <c r="H15" s="144">
        <v>0</v>
      </c>
      <c r="I15" s="144">
        <v>0</v>
      </c>
      <c r="J15" s="144">
        <v>0</v>
      </c>
      <c r="K15" s="144">
        <v>0</v>
      </c>
      <c r="L15" s="144">
        <v>0</v>
      </c>
      <c r="M15" s="144">
        <v>8.0568279750638253E-2</v>
      </c>
      <c r="N15" s="144">
        <v>0</v>
      </c>
      <c r="O15" s="144">
        <v>0</v>
      </c>
      <c r="P15" s="144">
        <v>2.0000492396626993E-2</v>
      </c>
      <c r="Q15" s="144">
        <v>0</v>
      </c>
      <c r="R15" s="144">
        <v>0</v>
      </c>
      <c r="S15" s="144">
        <v>0</v>
      </c>
      <c r="T15" s="144">
        <v>0</v>
      </c>
      <c r="U15" s="144">
        <v>5.0021282551756174E-3</v>
      </c>
      <c r="V15" s="144">
        <v>0</v>
      </c>
      <c r="W15" s="144">
        <v>0</v>
      </c>
      <c r="X15" s="144">
        <v>0</v>
      </c>
      <c r="Y15" s="144">
        <v>0</v>
      </c>
      <c r="Z15" s="144">
        <v>0</v>
      </c>
      <c r="AA15" s="144">
        <v>0</v>
      </c>
      <c r="AB15" s="144">
        <v>0</v>
      </c>
      <c r="AC15" s="144">
        <v>0</v>
      </c>
      <c r="AD15" s="144">
        <v>4.9999920830002653E-2</v>
      </c>
      <c r="AE15" s="144">
        <v>0</v>
      </c>
      <c r="AF15" s="144">
        <v>0</v>
      </c>
      <c r="AG15" s="144">
        <v>0</v>
      </c>
      <c r="AH15" s="144">
        <v>0</v>
      </c>
      <c r="AI15" s="144">
        <v>0</v>
      </c>
      <c r="AJ15" s="144">
        <v>0</v>
      </c>
      <c r="AK15" s="144">
        <v>0</v>
      </c>
      <c r="AL15" s="144">
        <v>0</v>
      </c>
      <c r="AM15" s="144">
        <v>0</v>
      </c>
      <c r="AN15" s="144">
        <v>0</v>
      </c>
      <c r="AO15" s="144">
        <v>0</v>
      </c>
      <c r="AP15" s="144">
        <v>0</v>
      </c>
      <c r="AQ15" s="144">
        <v>0</v>
      </c>
      <c r="AR15" s="144">
        <v>0</v>
      </c>
      <c r="AS15" s="144">
        <v>0</v>
      </c>
      <c r="AT15" s="144">
        <v>0</v>
      </c>
      <c r="AU15" s="144">
        <v>0</v>
      </c>
      <c r="AV15" s="144">
        <v>0</v>
      </c>
      <c r="AW15" s="144">
        <v>0</v>
      </c>
      <c r="AX15" s="144">
        <v>0</v>
      </c>
    </row>
    <row r="16" spans="1:50" customFormat="1" x14ac:dyDescent="0.15">
      <c r="A16" s="149" t="s">
        <v>207</v>
      </c>
      <c r="B16" s="144">
        <v>0</v>
      </c>
      <c r="C16" s="144">
        <v>0</v>
      </c>
      <c r="D16" s="144">
        <v>0</v>
      </c>
      <c r="E16" s="144">
        <v>4.4495940493321194E-3</v>
      </c>
      <c r="F16" s="144">
        <v>4.1094495683845125E-3</v>
      </c>
      <c r="G16" s="144">
        <v>4.0398508777379537E-3</v>
      </c>
      <c r="H16" s="144">
        <v>3.0239714277203192E-2</v>
      </c>
      <c r="I16" s="144">
        <v>0.12590350120568281</v>
      </c>
      <c r="J16" s="144">
        <v>3.0010551779243375E-3</v>
      </c>
      <c r="K16" s="144">
        <v>4.4950595179727012E-4</v>
      </c>
      <c r="L16" s="144">
        <v>0</v>
      </c>
      <c r="M16" s="144">
        <v>7.0484336457457247E-2</v>
      </c>
      <c r="N16" s="144">
        <v>6.744530733860817E-3</v>
      </c>
      <c r="O16" s="144">
        <v>0</v>
      </c>
      <c r="P16" s="144">
        <v>0</v>
      </c>
      <c r="Q16" s="144">
        <v>0</v>
      </c>
      <c r="R16" s="144">
        <v>0</v>
      </c>
      <c r="S16" s="144">
        <v>0</v>
      </c>
      <c r="T16" s="144">
        <v>0</v>
      </c>
      <c r="U16" s="144">
        <v>2.4522042942954601E-2</v>
      </c>
      <c r="V16" s="144">
        <v>0</v>
      </c>
      <c r="W16" s="144">
        <v>0</v>
      </c>
      <c r="X16" s="144">
        <v>0</v>
      </c>
      <c r="Y16" s="144">
        <v>0</v>
      </c>
      <c r="Z16" s="144">
        <v>0</v>
      </c>
      <c r="AA16" s="144">
        <v>0</v>
      </c>
      <c r="AB16" s="144">
        <v>0</v>
      </c>
      <c r="AC16" s="144">
        <v>0</v>
      </c>
      <c r="AD16" s="144">
        <v>3.1098282761317361E-2</v>
      </c>
      <c r="AE16" s="144">
        <v>0</v>
      </c>
      <c r="AF16" s="144">
        <v>0</v>
      </c>
      <c r="AG16" s="144">
        <v>0</v>
      </c>
      <c r="AH16" s="144">
        <v>0</v>
      </c>
      <c r="AI16" s="144">
        <v>0</v>
      </c>
      <c r="AJ16" s="144">
        <v>0</v>
      </c>
      <c r="AK16" s="144">
        <v>0</v>
      </c>
      <c r="AL16" s="144">
        <v>0</v>
      </c>
      <c r="AM16" s="144">
        <v>0</v>
      </c>
      <c r="AN16" s="144">
        <v>0</v>
      </c>
      <c r="AO16" s="144">
        <v>0</v>
      </c>
      <c r="AP16" s="144">
        <v>0</v>
      </c>
      <c r="AQ16" s="144">
        <v>0</v>
      </c>
      <c r="AR16" s="144">
        <v>0</v>
      </c>
      <c r="AS16" s="144">
        <v>0</v>
      </c>
      <c r="AT16" s="144">
        <v>0</v>
      </c>
      <c r="AU16" s="144">
        <v>0</v>
      </c>
      <c r="AV16" s="144">
        <v>0</v>
      </c>
      <c r="AW16" s="144">
        <v>0</v>
      </c>
      <c r="AX16" s="144">
        <v>0</v>
      </c>
    </row>
    <row r="17" spans="1:50" customFormat="1" x14ac:dyDescent="0.15">
      <c r="A17" s="149" t="s">
        <v>208</v>
      </c>
      <c r="B17" s="144">
        <v>0</v>
      </c>
      <c r="C17" s="144">
        <v>0</v>
      </c>
      <c r="D17" s="144">
        <v>0</v>
      </c>
      <c r="E17" s="144">
        <v>0</v>
      </c>
      <c r="F17" s="144">
        <v>8.2194261367136735E-3</v>
      </c>
      <c r="G17" s="144">
        <v>8.2861537492278457E-3</v>
      </c>
      <c r="H17" s="144">
        <v>4.0345644912557271E-3</v>
      </c>
      <c r="I17" s="144">
        <v>0</v>
      </c>
      <c r="J17" s="144">
        <v>2.2161517990836781E-4</v>
      </c>
      <c r="K17" s="144">
        <v>0</v>
      </c>
      <c r="L17" s="144">
        <v>0</v>
      </c>
      <c r="M17" s="144">
        <v>5.9764376996242403E-4</v>
      </c>
      <c r="N17" s="144">
        <v>0</v>
      </c>
      <c r="O17" s="144">
        <v>0</v>
      </c>
      <c r="P17" s="144">
        <v>0</v>
      </c>
      <c r="Q17" s="144">
        <v>0</v>
      </c>
      <c r="R17" s="144">
        <v>0</v>
      </c>
      <c r="S17" s="144">
        <v>0</v>
      </c>
      <c r="T17" s="144">
        <v>0</v>
      </c>
      <c r="U17" s="144">
        <v>8.3515367081137912E-3</v>
      </c>
      <c r="V17" s="144">
        <v>0</v>
      </c>
      <c r="W17" s="144">
        <v>0</v>
      </c>
      <c r="X17" s="144">
        <v>0</v>
      </c>
      <c r="Y17" s="144">
        <v>0</v>
      </c>
      <c r="Z17" s="144">
        <v>0</v>
      </c>
      <c r="AA17" s="144">
        <v>0</v>
      </c>
      <c r="AB17" s="144">
        <v>0</v>
      </c>
      <c r="AC17" s="144">
        <v>0</v>
      </c>
      <c r="AD17" s="144">
        <v>0</v>
      </c>
      <c r="AE17" s="144">
        <v>0</v>
      </c>
      <c r="AF17" s="144">
        <v>0</v>
      </c>
      <c r="AG17" s="144">
        <v>0</v>
      </c>
      <c r="AH17" s="144">
        <v>0</v>
      </c>
      <c r="AI17" s="144">
        <v>0</v>
      </c>
      <c r="AJ17" s="144">
        <v>0</v>
      </c>
      <c r="AK17" s="144">
        <v>0</v>
      </c>
      <c r="AL17" s="144">
        <v>0</v>
      </c>
      <c r="AM17" s="144">
        <v>0</v>
      </c>
      <c r="AN17" s="144">
        <v>0</v>
      </c>
      <c r="AO17" s="144">
        <v>0</v>
      </c>
      <c r="AP17" s="144">
        <v>0</v>
      </c>
      <c r="AQ17" s="144">
        <v>0</v>
      </c>
      <c r="AR17" s="144">
        <v>0</v>
      </c>
      <c r="AS17" s="144">
        <v>0</v>
      </c>
      <c r="AT17" s="144">
        <v>0</v>
      </c>
      <c r="AU17" s="144">
        <v>0</v>
      </c>
      <c r="AV17" s="144">
        <v>0</v>
      </c>
      <c r="AW17" s="144">
        <v>0</v>
      </c>
      <c r="AX17" s="144">
        <v>0</v>
      </c>
    </row>
    <row r="18" spans="1:50" customFormat="1" x14ac:dyDescent="0.15">
      <c r="A18" s="149" t="s">
        <v>209</v>
      </c>
      <c r="B18" s="144">
        <v>0</v>
      </c>
      <c r="C18" s="144">
        <v>0</v>
      </c>
      <c r="D18" s="144">
        <v>0</v>
      </c>
      <c r="E18" s="144">
        <v>3.511298802190982E-3</v>
      </c>
      <c r="F18" s="144">
        <v>0</v>
      </c>
      <c r="G18" s="144">
        <v>1.0014075996934008E-3</v>
      </c>
      <c r="H18" s="144">
        <v>1.0000138096251043E-3</v>
      </c>
      <c r="I18" s="144">
        <v>0</v>
      </c>
      <c r="J18" s="144">
        <v>5.001758236540599E-3</v>
      </c>
      <c r="K18" s="144">
        <v>0</v>
      </c>
      <c r="L18" s="144">
        <v>0</v>
      </c>
      <c r="M18" s="144">
        <v>8.0583345949881025E-3</v>
      </c>
      <c r="N18" s="144">
        <v>0</v>
      </c>
      <c r="O18" s="144">
        <v>0</v>
      </c>
      <c r="P18" s="144">
        <v>0</v>
      </c>
      <c r="Q18" s="144">
        <v>1.299881043236855E-3</v>
      </c>
      <c r="R18" s="144">
        <v>0</v>
      </c>
      <c r="S18" s="144">
        <v>0</v>
      </c>
      <c r="T18" s="144">
        <v>0</v>
      </c>
      <c r="U18" s="144">
        <v>8.6974916960226654E-4</v>
      </c>
      <c r="V18" s="144">
        <v>0</v>
      </c>
      <c r="W18" s="144">
        <v>0</v>
      </c>
      <c r="X18" s="144">
        <v>0</v>
      </c>
      <c r="Y18" s="144">
        <v>0</v>
      </c>
      <c r="Z18" s="144">
        <v>0</v>
      </c>
      <c r="AA18" s="144">
        <v>0</v>
      </c>
      <c r="AB18" s="144">
        <v>0</v>
      </c>
      <c r="AC18" s="144">
        <v>0</v>
      </c>
      <c r="AD18" s="144">
        <v>0</v>
      </c>
      <c r="AE18" s="144">
        <v>0</v>
      </c>
      <c r="AF18" s="144">
        <v>0</v>
      </c>
      <c r="AG18" s="144">
        <v>0</v>
      </c>
      <c r="AH18" s="144">
        <v>0</v>
      </c>
      <c r="AI18" s="144">
        <v>0</v>
      </c>
      <c r="AJ18" s="144">
        <v>0</v>
      </c>
      <c r="AK18" s="144">
        <v>0</v>
      </c>
      <c r="AL18" s="144">
        <v>0</v>
      </c>
      <c r="AM18" s="144">
        <v>0</v>
      </c>
      <c r="AN18" s="144">
        <v>0</v>
      </c>
      <c r="AO18" s="144">
        <v>0</v>
      </c>
      <c r="AP18" s="144">
        <v>0</v>
      </c>
      <c r="AQ18" s="144">
        <v>0</v>
      </c>
      <c r="AR18" s="144">
        <v>0</v>
      </c>
      <c r="AS18" s="144">
        <v>0</v>
      </c>
      <c r="AT18" s="144">
        <v>0</v>
      </c>
      <c r="AU18" s="144">
        <v>0</v>
      </c>
      <c r="AV18" s="144">
        <v>0</v>
      </c>
      <c r="AW18" s="144">
        <v>0</v>
      </c>
      <c r="AX18" s="144">
        <v>0</v>
      </c>
    </row>
    <row r="19" spans="1:50" customFormat="1" x14ac:dyDescent="0.15">
      <c r="A19" s="149" t="s">
        <v>210</v>
      </c>
      <c r="B19" s="144">
        <v>0</v>
      </c>
      <c r="C19" s="144">
        <v>0</v>
      </c>
      <c r="D19" s="144">
        <v>0</v>
      </c>
      <c r="E19" s="144">
        <v>0</v>
      </c>
      <c r="F19" s="144">
        <v>0</v>
      </c>
      <c r="G19" s="144">
        <v>0</v>
      </c>
      <c r="H19" s="144">
        <v>1.0002600197161085E-3</v>
      </c>
      <c r="I19" s="144">
        <v>0</v>
      </c>
      <c r="J19" s="144">
        <v>0</v>
      </c>
      <c r="K19" s="144">
        <v>0</v>
      </c>
      <c r="L19" s="144">
        <v>0</v>
      </c>
      <c r="M19" s="144">
        <v>5.0345954769612303E-3</v>
      </c>
      <c r="N19" s="144">
        <v>0</v>
      </c>
      <c r="O19" s="144">
        <v>0</v>
      </c>
      <c r="P19" s="144">
        <v>0</v>
      </c>
      <c r="Q19" s="144">
        <v>0</v>
      </c>
      <c r="R19" s="144">
        <v>0</v>
      </c>
      <c r="S19" s="144">
        <v>0</v>
      </c>
      <c r="T19" s="144">
        <v>0</v>
      </c>
      <c r="U19" s="144">
        <v>0</v>
      </c>
      <c r="V19" s="144">
        <v>0</v>
      </c>
      <c r="W19" s="144">
        <v>0</v>
      </c>
      <c r="X19" s="144">
        <v>0</v>
      </c>
      <c r="Y19" s="144">
        <v>0</v>
      </c>
      <c r="Z19" s="144">
        <v>0</v>
      </c>
      <c r="AA19" s="144">
        <v>0</v>
      </c>
      <c r="AB19" s="144">
        <v>0</v>
      </c>
      <c r="AC19" s="144">
        <v>0</v>
      </c>
      <c r="AD19" s="144">
        <v>9.9999836660005469E-3</v>
      </c>
      <c r="AE19" s="144">
        <v>0</v>
      </c>
      <c r="AF19" s="144">
        <v>0</v>
      </c>
      <c r="AG19" s="144">
        <v>0</v>
      </c>
      <c r="AH19" s="144">
        <v>0</v>
      </c>
      <c r="AI19" s="144">
        <v>0</v>
      </c>
      <c r="AJ19" s="144">
        <v>0</v>
      </c>
      <c r="AK19" s="144">
        <v>0</v>
      </c>
      <c r="AL19" s="144">
        <v>0</v>
      </c>
      <c r="AM19" s="144">
        <v>0</v>
      </c>
      <c r="AN19" s="144">
        <v>0</v>
      </c>
      <c r="AO19" s="144">
        <v>0</v>
      </c>
      <c r="AP19" s="144">
        <v>0</v>
      </c>
      <c r="AQ19" s="144">
        <v>0</v>
      </c>
      <c r="AR19" s="144">
        <v>0</v>
      </c>
      <c r="AS19" s="144">
        <v>0</v>
      </c>
      <c r="AT19" s="144">
        <v>0</v>
      </c>
      <c r="AU19" s="144">
        <v>0</v>
      </c>
      <c r="AV19" s="144">
        <v>0</v>
      </c>
      <c r="AW19" s="144">
        <v>0</v>
      </c>
      <c r="AX19" s="144">
        <v>0</v>
      </c>
    </row>
    <row r="20" spans="1:50" customFormat="1" x14ac:dyDescent="0.15">
      <c r="A20" s="149" t="s">
        <v>211</v>
      </c>
      <c r="B20" s="144">
        <v>0</v>
      </c>
      <c r="C20" s="144">
        <v>0</v>
      </c>
      <c r="D20" s="144">
        <v>0</v>
      </c>
      <c r="E20" s="144">
        <v>4.9777081695808107E-4</v>
      </c>
      <c r="F20" s="144">
        <v>0</v>
      </c>
      <c r="G20" s="144">
        <v>9.0714827254606491E-4</v>
      </c>
      <c r="H20" s="144">
        <v>6.087050249895513E-4</v>
      </c>
      <c r="I20" s="144">
        <v>0</v>
      </c>
      <c r="J20" s="144">
        <v>1.800633056754607E-2</v>
      </c>
      <c r="K20" s="144">
        <v>0</v>
      </c>
      <c r="L20" s="144">
        <v>0</v>
      </c>
      <c r="M20" s="144">
        <v>2.0138381887844923E-2</v>
      </c>
      <c r="N20" s="144">
        <v>0</v>
      </c>
      <c r="O20" s="144">
        <v>0</v>
      </c>
      <c r="P20" s="144">
        <v>0</v>
      </c>
      <c r="Q20" s="144">
        <v>0</v>
      </c>
      <c r="R20" s="144">
        <v>0</v>
      </c>
      <c r="S20" s="144">
        <v>0</v>
      </c>
      <c r="T20" s="144">
        <v>0</v>
      </c>
      <c r="U20" s="144">
        <v>2.4509030943409369E-3</v>
      </c>
      <c r="V20" s="144">
        <v>0</v>
      </c>
      <c r="W20" s="144">
        <v>0</v>
      </c>
      <c r="X20" s="144">
        <v>0</v>
      </c>
      <c r="Y20" s="144">
        <v>0</v>
      </c>
      <c r="Z20" s="144">
        <v>0</v>
      </c>
      <c r="AA20" s="144">
        <v>0</v>
      </c>
      <c r="AB20" s="144">
        <v>0</v>
      </c>
      <c r="AC20" s="144">
        <v>1.7766292160814018E-4</v>
      </c>
      <c r="AD20" s="144">
        <v>0</v>
      </c>
      <c r="AE20" s="144">
        <v>0</v>
      </c>
      <c r="AF20" s="144">
        <v>0</v>
      </c>
      <c r="AG20" s="144">
        <v>0</v>
      </c>
      <c r="AH20" s="144">
        <v>0</v>
      </c>
      <c r="AI20" s="144">
        <v>0</v>
      </c>
      <c r="AJ20" s="144">
        <v>0</v>
      </c>
      <c r="AK20" s="144">
        <v>0</v>
      </c>
      <c r="AL20" s="144">
        <v>0</v>
      </c>
      <c r="AM20" s="144">
        <v>0</v>
      </c>
      <c r="AN20" s="144">
        <v>0</v>
      </c>
      <c r="AO20" s="144">
        <v>0</v>
      </c>
      <c r="AP20" s="144">
        <v>0</v>
      </c>
      <c r="AQ20" s="144">
        <v>0</v>
      </c>
      <c r="AR20" s="144">
        <v>0</v>
      </c>
      <c r="AS20" s="144">
        <v>0</v>
      </c>
      <c r="AT20" s="144">
        <v>0</v>
      </c>
      <c r="AU20" s="144">
        <v>0</v>
      </c>
      <c r="AV20" s="144">
        <v>0</v>
      </c>
      <c r="AW20" s="144">
        <v>0</v>
      </c>
      <c r="AX20" s="144">
        <v>0</v>
      </c>
    </row>
    <row r="21" spans="1:50" customFormat="1" x14ac:dyDescent="0.15">
      <c r="A21" s="149" t="s">
        <v>212</v>
      </c>
      <c r="B21" s="144">
        <v>0</v>
      </c>
      <c r="C21" s="144">
        <v>0</v>
      </c>
      <c r="D21" s="144">
        <v>0</v>
      </c>
      <c r="E21" s="144">
        <v>6.0849136572063891E-3</v>
      </c>
      <c r="F21" s="144">
        <v>7.5340152087023842E-3</v>
      </c>
      <c r="G21" s="144">
        <v>5.1782222732862822E-3</v>
      </c>
      <c r="H21" s="144">
        <v>3.56389080728532E-2</v>
      </c>
      <c r="I21" s="144">
        <v>0</v>
      </c>
      <c r="J21" s="144">
        <v>4.6180925813237269E-3</v>
      </c>
      <c r="K21" s="144">
        <v>9.8891259295399783E-3</v>
      </c>
      <c r="L21" s="144">
        <v>0</v>
      </c>
      <c r="M21" s="144">
        <v>0</v>
      </c>
      <c r="N21" s="144">
        <v>3.7883423205120124E-3</v>
      </c>
      <c r="O21" s="144">
        <v>0</v>
      </c>
      <c r="P21" s="144">
        <v>1.1559534533809278E-2</v>
      </c>
      <c r="Q21" s="144">
        <v>1.2932344337316286E-2</v>
      </c>
      <c r="R21" s="144">
        <v>0</v>
      </c>
      <c r="S21" s="144">
        <v>0</v>
      </c>
      <c r="T21" s="144">
        <v>0</v>
      </c>
      <c r="U21" s="144">
        <v>2.6866639061010965E-2</v>
      </c>
      <c r="V21" s="144">
        <v>0</v>
      </c>
      <c r="W21" s="144">
        <v>0</v>
      </c>
      <c r="X21" s="144">
        <v>0</v>
      </c>
      <c r="Y21" s="144">
        <v>0</v>
      </c>
      <c r="Z21" s="144">
        <v>0</v>
      </c>
      <c r="AA21" s="144">
        <v>0</v>
      </c>
      <c r="AB21" s="144">
        <v>0</v>
      </c>
      <c r="AC21" s="144">
        <v>0</v>
      </c>
      <c r="AD21" s="144">
        <v>0</v>
      </c>
      <c r="AE21" s="144">
        <v>0</v>
      </c>
      <c r="AF21" s="144">
        <v>0</v>
      </c>
      <c r="AG21" s="144">
        <v>0</v>
      </c>
      <c r="AH21" s="144">
        <v>0</v>
      </c>
      <c r="AI21" s="144">
        <v>0</v>
      </c>
      <c r="AJ21" s="144">
        <v>0</v>
      </c>
      <c r="AK21" s="144">
        <v>0</v>
      </c>
      <c r="AL21" s="144">
        <v>0</v>
      </c>
      <c r="AM21" s="144">
        <v>0</v>
      </c>
      <c r="AN21" s="144">
        <v>0</v>
      </c>
      <c r="AO21" s="144">
        <v>0</v>
      </c>
      <c r="AP21" s="144">
        <v>0</v>
      </c>
      <c r="AQ21" s="144">
        <v>0</v>
      </c>
      <c r="AR21" s="144">
        <v>0</v>
      </c>
      <c r="AS21" s="144">
        <v>0</v>
      </c>
      <c r="AT21" s="144">
        <v>0</v>
      </c>
      <c r="AU21" s="144">
        <v>0</v>
      </c>
      <c r="AV21" s="144">
        <v>0</v>
      </c>
      <c r="AW21" s="144">
        <v>0</v>
      </c>
      <c r="AX21" s="144">
        <v>0</v>
      </c>
    </row>
    <row r="22" spans="1:50" customFormat="1" x14ac:dyDescent="0.15">
      <c r="A22" s="149" t="s">
        <v>213</v>
      </c>
      <c r="B22" s="144">
        <v>5.9370170089055256E-2</v>
      </c>
      <c r="C22" s="144">
        <v>0</v>
      </c>
      <c r="D22" s="144">
        <v>0</v>
      </c>
      <c r="E22" s="144">
        <v>1.8992514230056708E-2</v>
      </c>
      <c r="F22" s="144">
        <v>1.2017793637771137E-2</v>
      </c>
      <c r="G22" s="144">
        <v>7.009852787853818E-2</v>
      </c>
      <c r="H22" s="144">
        <v>0.17135845533751226</v>
      </c>
      <c r="I22" s="144">
        <v>0</v>
      </c>
      <c r="J22" s="144">
        <v>5.000766546630505E-2</v>
      </c>
      <c r="K22" s="144">
        <v>2.0004223857469909E-2</v>
      </c>
      <c r="L22" s="144">
        <v>1.0018815926486326E-2</v>
      </c>
      <c r="M22" s="144">
        <v>1.6116669189976205E-2</v>
      </c>
      <c r="N22" s="144">
        <v>3.0012395015710895E-3</v>
      </c>
      <c r="O22" s="144">
        <v>4.999070171012833E-2</v>
      </c>
      <c r="P22" s="144">
        <v>2.1002848851586202E-2</v>
      </c>
      <c r="Q22" s="144">
        <v>0.25362656612003837</v>
      </c>
      <c r="R22" s="144">
        <v>0</v>
      </c>
      <c r="S22" s="144">
        <v>0</v>
      </c>
      <c r="T22" s="144">
        <v>0</v>
      </c>
      <c r="U22" s="144">
        <v>8.5833121800132389E-2</v>
      </c>
      <c r="V22" s="144">
        <v>0</v>
      </c>
      <c r="W22" s="144">
        <v>0</v>
      </c>
      <c r="X22" s="144">
        <v>0</v>
      </c>
      <c r="Y22" s="144">
        <v>0</v>
      </c>
      <c r="Z22" s="144">
        <v>0</v>
      </c>
      <c r="AA22" s="144">
        <v>0</v>
      </c>
      <c r="AB22" s="144">
        <v>0</v>
      </c>
      <c r="AC22" s="144">
        <v>0</v>
      </c>
      <c r="AD22" s="144">
        <v>1.1034049631462744E-2</v>
      </c>
      <c r="AE22" s="144">
        <v>0</v>
      </c>
      <c r="AF22" s="144">
        <v>0</v>
      </c>
      <c r="AG22" s="144">
        <v>0</v>
      </c>
      <c r="AH22" s="144">
        <v>0</v>
      </c>
      <c r="AI22" s="144">
        <v>0</v>
      </c>
      <c r="AJ22" s="144">
        <v>0</v>
      </c>
      <c r="AK22" s="144">
        <v>0</v>
      </c>
      <c r="AL22" s="144">
        <v>0</v>
      </c>
      <c r="AM22" s="144">
        <v>0</v>
      </c>
      <c r="AN22" s="144">
        <v>0</v>
      </c>
      <c r="AO22" s="144">
        <v>0</v>
      </c>
      <c r="AP22" s="144">
        <v>0</v>
      </c>
      <c r="AQ22" s="144">
        <v>0</v>
      </c>
      <c r="AR22" s="144">
        <v>0</v>
      </c>
      <c r="AS22" s="144">
        <v>0</v>
      </c>
      <c r="AT22" s="144">
        <v>0</v>
      </c>
      <c r="AU22" s="144">
        <v>0</v>
      </c>
      <c r="AV22" s="144">
        <v>0</v>
      </c>
      <c r="AW22" s="144">
        <v>0</v>
      </c>
      <c r="AX22" s="144">
        <v>0</v>
      </c>
    </row>
    <row r="23" spans="1:50" customFormat="1" x14ac:dyDescent="0.15">
      <c r="A23" s="149" t="s">
        <v>214</v>
      </c>
      <c r="B23" s="144">
        <v>0</v>
      </c>
      <c r="C23" s="144">
        <v>0</v>
      </c>
      <c r="D23" s="144">
        <v>8.6853804062244064E-2</v>
      </c>
      <c r="E23" s="144">
        <v>0.11548568449411396</v>
      </c>
      <c r="F23" s="144">
        <v>5.7153531897164558E-2</v>
      </c>
      <c r="G23" s="144">
        <v>8.0518407563190939E-2</v>
      </c>
      <c r="H23" s="144">
        <v>8.2750450586221547E-2</v>
      </c>
      <c r="I23" s="144">
        <v>0</v>
      </c>
      <c r="J23" s="144">
        <v>0.11541736553626165</v>
      </c>
      <c r="K23" s="144">
        <v>0.42365896398142994</v>
      </c>
      <c r="L23" s="144">
        <v>0.12632462055133786</v>
      </c>
      <c r="M23" s="144">
        <v>4.7812063596965673E-3</v>
      </c>
      <c r="N23" s="144">
        <v>2.2730049103072265E-2</v>
      </c>
      <c r="O23" s="144">
        <v>0.10317443157619285</v>
      </c>
      <c r="P23" s="144">
        <v>1.5028151623993553E-2</v>
      </c>
      <c r="Q23" s="144">
        <v>0.23940868217841765</v>
      </c>
      <c r="R23" s="144">
        <v>0</v>
      </c>
      <c r="S23" s="144">
        <v>0</v>
      </c>
      <c r="T23" s="144">
        <v>0</v>
      </c>
      <c r="U23" s="144">
        <v>0.11525354097188874</v>
      </c>
      <c r="V23" s="144">
        <v>0</v>
      </c>
      <c r="W23" s="144">
        <v>1.5809130426846522E-3</v>
      </c>
      <c r="X23" s="144">
        <v>1.0402080577115421E-2</v>
      </c>
      <c r="Y23" s="144">
        <v>2.0006633708233319E-2</v>
      </c>
      <c r="Z23" s="144">
        <v>0</v>
      </c>
      <c r="AA23" s="144">
        <v>0</v>
      </c>
      <c r="AB23" s="144">
        <v>0</v>
      </c>
      <c r="AC23" s="144">
        <v>1.0998711037648587E-2</v>
      </c>
      <c r="AD23" s="144">
        <v>3.0092871694898087E-2</v>
      </c>
      <c r="AE23" s="144">
        <v>3.0009188184117606E-2</v>
      </c>
      <c r="AF23" s="144">
        <v>2.5011904375536458E-2</v>
      </c>
      <c r="AG23" s="144">
        <v>0</v>
      </c>
      <c r="AH23" s="144">
        <v>0</v>
      </c>
      <c r="AI23" s="144">
        <v>0</v>
      </c>
      <c r="AJ23" s="144">
        <v>0</v>
      </c>
      <c r="AK23" s="144">
        <v>0</v>
      </c>
      <c r="AL23" s="144">
        <v>0</v>
      </c>
      <c r="AM23" s="144">
        <v>0</v>
      </c>
      <c r="AN23" s="144">
        <v>0</v>
      </c>
      <c r="AO23" s="144">
        <v>0</v>
      </c>
      <c r="AP23" s="144">
        <v>0</v>
      </c>
      <c r="AQ23" s="144">
        <v>0</v>
      </c>
      <c r="AR23" s="144">
        <v>0</v>
      </c>
      <c r="AS23" s="144">
        <v>0</v>
      </c>
      <c r="AT23" s="144">
        <v>0</v>
      </c>
      <c r="AU23" s="144">
        <v>0</v>
      </c>
      <c r="AV23" s="144">
        <v>0</v>
      </c>
      <c r="AW23" s="144">
        <v>0</v>
      </c>
      <c r="AX23" s="144">
        <v>0</v>
      </c>
    </row>
    <row r="24" spans="1:50" customFormat="1" x14ac:dyDescent="0.15">
      <c r="A24" s="149" t="s">
        <v>215</v>
      </c>
      <c r="B24" s="144">
        <v>0.18653725127980586</v>
      </c>
      <c r="C24" s="144">
        <v>0.14996884895059628</v>
      </c>
      <c r="D24" s="144">
        <v>0</v>
      </c>
      <c r="E24" s="144">
        <v>4.0686862107905626E-2</v>
      </c>
      <c r="F24" s="144">
        <v>5.6876277126284625E-2</v>
      </c>
      <c r="G24" s="144">
        <v>8.0112607575472065E-3</v>
      </c>
      <c r="H24" s="144">
        <v>6.7000924764881814E-2</v>
      </c>
      <c r="I24" s="144">
        <v>4.9921833077442605E-3</v>
      </c>
      <c r="J24" s="144">
        <v>4.0006131073044161E-2</v>
      </c>
      <c r="K24" s="144">
        <v>0</v>
      </c>
      <c r="L24" s="144">
        <v>0</v>
      </c>
      <c r="M24" s="144">
        <v>0.18127863688893567</v>
      </c>
      <c r="N24" s="144">
        <v>0.35006033018661942</v>
      </c>
      <c r="O24" s="144">
        <v>0</v>
      </c>
      <c r="P24" s="144">
        <v>0.13001763012886663</v>
      </c>
      <c r="Q24" s="144">
        <v>0</v>
      </c>
      <c r="R24" s="144">
        <v>0</v>
      </c>
      <c r="S24" s="144">
        <v>0</v>
      </c>
      <c r="T24" s="144">
        <v>0</v>
      </c>
      <c r="U24" s="144">
        <v>0</v>
      </c>
      <c r="V24" s="144">
        <v>0</v>
      </c>
      <c r="W24" s="144">
        <v>0</v>
      </c>
      <c r="X24" s="144">
        <v>0</v>
      </c>
      <c r="Y24" s="144">
        <v>0</v>
      </c>
      <c r="Z24" s="144">
        <v>0</v>
      </c>
      <c r="AA24" s="144">
        <v>0</v>
      </c>
      <c r="AB24" s="144">
        <v>0</v>
      </c>
      <c r="AC24" s="144">
        <v>0</v>
      </c>
      <c r="AD24" s="144">
        <v>0.15899973568940884</v>
      </c>
      <c r="AE24" s="144">
        <v>0</v>
      </c>
      <c r="AF24" s="144">
        <v>0</v>
      </c>
      <c r="AG24" s="144">
        <v>0</v>
      </c>
      <c r="AH24" s="144">
        <v>0</v>
      </c>
      <c r="AI24" s="144">
        <v>0</v>
      </c>
      <c r="AJ24" s="144">
        <v>0</v>
      </c>
      <c r="AK24" s="144">
        <v>0</v>
      </c>
      <c r="AL24" s="144">
        <v>0</v>
      </c>
      <c r="AM24" s="144">
        <v>0</v>
      </c>
      <c r="AN24" s="144">
        <v>0</v>
      </c>
      <c r="AO24" s="144">
        <v>0</v>
      </c>
      <c r="AP24" s="144">
        <v>0</v>
      </c>
      <c r="AQ24" s="144">
        <v>0</v>
      </c>
      <c r="AR24" s="144">
        <v>0</v>
      </c>
      <c r="AS24" s="144">
        <v>0</v>
      </c>
      <c r="AT24" s="144">
        <v>0</v>
      </c>
      <c r="AU24" s="144">
        <v>0</v>
      </c>
      <c r="AV24" s="144">
        <v>0</v>
      </c>
      <c r="AW24" s="144">
        <v>0</v>
      </c>
      <c r="AX24" s="144">
        <v>0</v>
      </c>
    </row>
    <row r="25" spans="1:50" customFormat="1" x14ac:dyDescent="0.15">
      <c r="A25" s="149" t="s">
        <v>216</v>
      </c>
      <c r="B25" s="144">
        <v>0.4536227296804341</v>
      </c>
      <c r="C25" s="144">
        <v>0.30693624418555371</v>
      </c>
      <c r="D25" s="144">
        <v>0.16012046230463234</v>
      </c>
      <c r="E25" s="144">
        <v>0.20491925245587389</v>
      </c>
      <c r="F25" s="144">
        <v>0.36495686166858088</v>
      </c>
      <c r="G25" s="144">
        <v>1.101548186662746E-2</v>
      </c>
      <c r="H25" s="144">
        <v>2.8798434844477488E-3</v>
      </c>
      <c r="I25" s="144">
        <v>0.38970128464983461</v>
      </c>
      <c r="J25" s="144">
        <v>6.0009194559566423E-2</v>
      </c>
      <c r="K25" s="144">
        <v>0</v>
      </c>
      <c r="L25" s="144">
        <v>0</v>
      </c>
      <c r="M25" s="144">
        <v>0.16620311764663129</v>
      </c>
      <c r="N25" s="144">
        <v>0</v>
      </c>
      <c r="O25" s="144">
        <v>0</v>
      </c>
      <c r="P25" s="144">
        <v>9.0012204935369187E-3</v>
      </c>
      <c r="Q25" s="144">
        <v>7.9992674045345324E-2</v>
      </c>
      <c r="R25" s="144">
        <v>0</v>
      </c>
      <c r="S25" s="144">
        <v>0</v>
      </c>
      <c r="T25" s="144">
        <v>0</v>
      </c>
      <c r="U25" s="144">
        <v>0</v>
      </c>
      <c r="V25" s="144">
        <v>0</v>
      </c>
      <c r="W25" s="144">
        <v>0</v>
      </c>
      <c r="X25" s="144">
        <v>0</v>
      </c>
      <c r="Y25" s="144">
        <v>0</v>
      </c>
      <c r="Z25" s="144">
        <v>0</v>
      </c>
      <c r="AA25" s="144">
        <v>0</v>
      </c>
      <c r="AB25" s="144">
        <v>0</v>
      </c>
      <c r="AC25" s="144">
        <v>0</v>
      </c>
      <c r="AD25" s="144">
        <v>7.9999867328004442E-3</v>
      </c>
      <c r="AE25" s="144">
        <v>0</v>
      </c>
      <c r="AF25" s="144">
        <v>0</v>
      </c>
      <c r="AG25" s="144">
        <v>0</v>
      </c>
      <c r="AH25" s="144">
        <v>0</v>
      </c>
      <c r="AI25" s="144">
        <v>0</v>
      </c>
      <c r="AJ25" s="144">
        <v>0</v>
      </c>
      <c r="AK25" s="144">
        <v>0</v>
      </c>
      <c r="AL25" s="144">
        <v>0</v>
      </c>
      <c r="AM25" s="144">
        <v>0</v>
      </c>
      <c r="AN25" s="144">
        <v>0</v>
      </c>
      <c r="AO25" s="144">
        <v>0</v>
      </c>
      <c r="AP25" s="144">
        <v>0</v>
      </c>
      <c r="AQ25" s="144">
        <v>0</v>
      </c>
      <c r="AR25" s="144">
        <v>0</v>
      </c>
      <c r="AS25" s="144">
        <v>0</v>
      </c>
      <c r="AT25" s="144">
        <v>0</v>
      </c>
      <c r="AU25" s="144">
        <v>0</v>
      </c>
      <c r="AV25" s="144">
        <v>0</v>
      </c>
      <c r="AW25" s="144">
        <v>0</v>
      </c>
      <c r="AX25" s="144">
        <v>0</v>
      </c>
    </row>
    <row r="26" spans="1:50" customFormat="1" x14ac:dyDescent="0.15">
      <c r="A26" s="149" t="s">
        <v>217</v>
      </c>
      <c r="B26" s="144">
        <v>0</v>
      </c>
      <c r="C26" s="144">
        <v>2.9993769790119255E-2</v>
      </c>
      <c r="D26" s="144">
        <v>0</v>
      </c>
      <c r="E26" s="144">
        <v>1.5364579934436389E-2</v>
      </c>
      <c r="F26" s="144">
        <v>4.1097132783568151E-3</v>
      </c>
      <c r="G26" s="144">
        <v>1.6664586495662961E-2</v>
      </c>
      <c r="H26" s="144">
        <v>2.2997054400171243E-3</v>
      </c>
      <c r="I26" s="144">
        <v>0</v>
      </c>
      <c r="J26" s="144">
        <v>3.6935872751393778E-3</v>
      </c>
      <c r="K26" s="144">
        <v>7.5854076459539715E-3</v>
      </c>
      <c r="L26" s="144">
        <v>0</v>
      </c>
      <c r="M26" s="144">
        <v>2.5172975534806245E-2</v>
      </c>
      <c r="N26" s="144">
        <v>0</v>
      </c>
      <c r="O26" s="144">
        <v>5.1587215888096428E-2</v>
      </c>
      <c r="P26" s="144">
        <v>6.1340055963275263E-2</v>
      </c>
      <c r="Q26" s="144">
        <v>2.5650928090544908E-2</v>
      </c>
      <c r="R26" s="144">
        <v>0</v>
      </c>
      <c r="S26" s="144">
        <v>0</v>
      </c>
      <c r="T26" s="144">
        <v>0</v>
      </c>
      <c r="U26" s="144">
        <v>0</v>
      </c>
      <c r="V26" s="144">
        <v>0</v>
      </c>
      <c r="W26" s="144">
        <v>0</v>
      </c>
      <c r="X26" s="144">
        <v>2.5905179943008599E-2</v>
      </c>
      <c r="Y26" s="144">
        <v>3.0994447956526391E-2</v>
      </c>
      <c r="Z26" s="144">
        <v>0</v>
      </c>
      <c r="AA26" s="144">
        <v>0</v>
      </c>
      <c r="AB26" s="144">
        <v>0</v>
      </c>
      <c r="AC26" s="144">
        <v>7.9772714773061997E-4</v>
      </c>
      <c r="AD26" s="144">
        <v>5.0135858325462336E-2</v>
      </c>
      <c r="AE26" s="144">
        <v>0</v>
      </c>
      <c r="AF26" s="144">
        <v>5.6066695461961672E-3</v>
      </c>
      <c r="AG26" s="144">
        <v>0</v>
      </c>
      <c r="AH26" s="144">
        <v>0</v>
      </c>
      <c r="AI26" s="144">
        <v>0</v>
      </c>
      <c r="AJ26" s="144">
        <v>0</v>
      </c>
      <c r="AK26" s="144">
        <v>0</v>
      </c>
      <c r="AL26" s="144">
        <v>0</v>
      </c>
      <c r="AM26" s="144">
        <v>0</v>
      </c>
      <c r="AN26" s="144">
        <v>0</v>
      </c>
      <c r="AO26" s="144">
        <v>0</v>
      </c>
      <c r="AP26" s="144">
        <v>0</v>
      </c>
      <c r="AQ26" s="144">
        <v>0</v>
      </c>
      <c r="AR26" s="144">
        <v>0</v>
      </c>
      <c r="AS26" s="144">
        <v>0</v>
      </c>
      <c r="AT26" s="144">
        <v>0</v>
      </c>
      <c r="AU26" s="144">
        <v>0</v>
      </c>
      <c r="AV26" s="144">
        <v>0</v>
      </c>
      <c r="AW26" s="144">
        <v>0</v>
      </c>
      <c r="AX26" s="144">
        <v>0</v>
      </c>
    </row>
    <row r="27" spans="1:50" customFormat="1" x14ac:dyDescent="0.15">
      <c r="A27" s="149" t="s">
        <v>218</v>
      </c>
      <c r="B27" s="144">
        <v>5.1115132976672702E-2</v>
      </c>
      <c r="C27" s="144">
        <v>2.9993769790119255E-2</v>
      </c>
      <c r="D27" s="144">
        <v>4.001246807711268E-2</v>
      </c>
      <c r="E27" s="144">
        <v>1.8986112330417363E-2</v>
      </c>
      <c r="F27" s="144">
        <v>0</v>
      </c>
      <c r="G27" s="144">
        <v>4.0367658778313184E-3</v>
      </c>
      <c r="H27" s="144">
        <v>1.425682446960746E-2</v>
      </c>
      <c r="I27" s="144">
        <v>9.9953886104723975E-3</v>
      </c>
      <c r="J27" s="144">
        <v>2.0007035286162184E-3</v>
      </c>
      <c r="K27" s="144">
        <v>0</v>
      </c>
      <c r="L27" s="144">
        <v>0</v>
      </c>
      <c r="M27" s="144">
        <v>3.0207568481767602E-2</v>
      </c>
      <c r="N27" s="144">
        <v>0</v>
      </c>
      <c r="O27" s="144">
        <v>0</v>
      </c>
      <c r="P27" s="144">
        <v>4.000098659325409E-3</v>
      </c>
      <c r="Q27" s="144">
        <v>0</v>
      </c>
      <c r="R27" s="144">
        <v>0</v>
      </c>
      <c r="S27" s="144">
        <v>0</v>
      </c>
      <c r="T27" s="144">
        <v>0</v>
      </c>
      <c r="U27" s="144">
        <v>0</v>
      </c>
      <c r="V27" s="144">
        <v>0</v>
      </c>
      <c r="W27" s="144">
        <v>0</v>
      </c>
      <c r="X27" s="144">
        <v>0</v>
      </c>
      <c r="Y27" s="144">
        <v>4.999995653503779E-3</v>
      </c>
      <c r="Z27" s="144">
        <v>0</v>
      </c>
      <c r="AA27" s="144">
        <v>0</v>
      </c>
      <c r="AB27" s="144">
        <v>0</v>
      </c>
      <c r="AC27" s="144">
        <v>1.3736161147018882E-4</v>
      </c>
      <c r="AD27" s="144">
        <v>5.1797742169955419E-2</v>
      </c>
      <c r="AE27" s="144">
        <v>0</v>
      </c>
      <c r="AF27" s="144">
        <v>0</v>
      </c>
      <c r="AG27" s="144">
        <v>0</v>
      </c>
      <c r="AH27" s="144">
        <v>0</v>
      </c>
      <c r="AI27" s="144">
        <v>0</v>
      </c>
      <c r="AJ27" s="144">
        <v>0</v>
      </c>
      <c r="AK27" s="144">
        <v>0</v>
      </c>
      <c r="AL27" s="144">
        <v>0</v>
      </c>
      <c r="AM27" s="144">
        <v>0</v>
      </c>
      <c r="AN27" s="144">
        <v>0</v>
      </c>
      <c r="AO27" s="144">
        <v>0</v>
      </c>
      <c r="AP27" s="144">
        <v>0</v>
      </c>
      <c r="AQ27" s="144">
        <v>0</v>
      </c>
      <c r="AR27" s="144">
        <v>0</v>
      </c>
      <c r="AS27" s="144">
        <v>0</v>
      </c>
      <c r="AT27" s="144">
        <v>0</v>
      </c>
      <c r="AU27" s="144">
        <v>0</v>
      </c>
      <c r="AV27" s="144">
        <v>0</v>
      </c>
      <c r="AW27" s="144">
        <v>0</v>
      </c>
      <c r="AX27" s="144">
        <v>0</v>
      </c>
    </row>
    <row r="28" spans="1:50" customFormat="1" x14ac:dyDescent="0.15">
      <c r="A28" s="149" t="s">
        <v>219</v>
      </c>
      <c r="B28" s="144">
        <v>0.11874034317811051</v>
      </c>
      <c r="C28" s="144">
        <v>0.11796707825599931</v>
      </c>
      <c r="D28" s="144">
        <v>0</v>
      </c>
      <c r="E28" s="144">
        <v>4.9496294011626273E-2</v>
      </c>
      <c r="F28" s="144">
        <v>3.9844085815175677E-3</v>
      </c>
      <c r="G28" s="144">
        <v>9.7537467048126117E-3</v>
      </c>
      <c r="H28" s="144">
        <v>1.0086411128139281E-3</v>
      </c>
      <c r="I28" s="144">
        <v>8.8958958633204327E-2</v>
      </c>
      <c r="J28" s="144">
        <v>9.2050551654696989E-3</v>
      </c>
      <c r="K28" s="144">
        <v>0</v>
      </c>
      <c r="L28" s="144">
        <v>0</v>
      </c>
      <c r="M28" s="144">
        <v>2.3352148826320994E-2</v>
      </c>
      <c r="N28" s="144">
        <v>2.2720013803468254E-2</v>
      </c>
      <c r="O28" s="144">
        <v>4.1570259426330428E-2</v>
      </c>
      <c r="P28" s="144">
        <v>5.7775847067849688E-3</v>
      </c>
      <c r="Q28" s="144">
        <v>0</v>
      </c>
      <c r="R28" s="144">
        <v>0</v>
      </c>
      <c r="S28" s="144">
        <v>0</v>
      </c>
      <c r="T28" s="144">
        <v>0</v>
      </c>
      <c r="U28" s="144">
        <v>8.5833137000131867E-3</v>
      </c>
      <c r="V28" s="144">
        <v>0</v>
      </c>
      <c r="W28" s="144">
        <v>0</v>
      </c>
      <c r="X28" s="144">
        <v>1.0202040877555508E-2</v>
      </c>
      <c r="Y28" s="144">
        <v>1.0998029939412575E-2</v>
      </c>
      <c r="Z28" s="144">
        <v>0</v>
      </c>
      <c r="AA28" s="144">
        <v>0</v>
      </c>
      <c r="AB28" s="144">
        <v>0</v>
      </c>
      <c r="AC28" s="144">
        <v>0</v>
      </c>
      <c r="AD28" s="144">
        <v>4.0108688660369804E-2</v>
      </c>
      <c r="AE28" s="144">
        <v>5.001531514019603E-3</v>
      </c>
      <c r="AF28" s="144">
        <v>5.00020483528342E-3</v>
      </c>
      <c r="AG28" s="144">
        <v>0</v>
      </c>
      <c r="AH28" s="144">
        <v>0</v>
      </c>
      <c r="AI28" s="144">
        <v>0</v>
      </c>
      <c r="AJ28" s="144">
        <v>0</v>
      </c>
      <c r="AK28" s="144">
        <v>0</v>
      </c>
      <c r="AL28" s="144">
        <v>0</v>
      </c>
      <c r="AM28" s="144">
        <v>0</v>
      </c>
      <c r="AN28" s="144">
        <v>0</v>
      </c>
      <c r="AO28" s="144">
        <v>0</v>
      </c>
      <c r="AP28" s="144">
        <v>0</v>
      </c>
      <c r="AQ28" s="144">
        <v>0</v>
      </c>
      <c r="AR28" s="144">
        <v>0</v>
      </c>
      <c r="AS28" s="144">
        <v>0</v>
      </c>
      <c r="AT28" s="144">
        <v>0</v>
      </c>
      <c r="AU28" s="144">
        <v>0</v>
      </c>
      <c r="AV28" s="144">
        <v>0</v>
      </c>
      <c r="AW28" s="144">
        <v>0</v>
      </c>
      <c r="AX28" s="144">
        <v>0</v>
      </c>
    </row>
    <row r="29" spans="1:50" customFormat="1" x14ac:dyDescent="0.15">
      <c r="A29" s="149" t="s">
        <v>220</v>
      </c>
      <c r="B29" s="144">
        <v>0</v>
      </c>
      <c r="C29" s="144">
        <v>0</v>
      </c>
      <c r="D29" s="144">
        <v>0</v>
      </c>
      <c r="E29" s="144">
        <v>8.9153104977559822E-2</v>
      </c>
      <c r="F29" s="144">
        <v>1.0019257547677383E-2</v>
      </c>
      <c r="G29" s="144">
        <v>7.7673320149294657E-3</v>
      </c>
      <c r="H29" s="144">
        <v>5.0399528628673772E-2</v>
      </c>
      <c r="I29" s="144">
        <v>5.5054084104706347E-3</v>
      </c>
      <c r="J29" s="144">
        <v>0.1684749847260579</v>
      </c>
      <c r="K29" s="144">
        <v>7.0797139495570385E-3</v>
      </c>
      <c r="L29" s="144">
        <v>0</v>
      </c>
      <c r="M29" s="144">
        <v>4.6720507651827281E-2</v>
      </c>
      <c r="N29" s="144">
        <v>2.7829627301842907E-2</v>
      </c>
      <c r="O29" s="144">
        <v>0</v>
      </c>
      <c r="P29" s="144">
        <v>0.2309556726632995</v>
      </c>
      <c r="Q29" s="144">
        <v>0</v>
      </c>
      <c r="R29" s="144">
        <v>0</v>
      </c>
      <c r="S29" s="144">
        <v>0</v>
      </c>
      <c r="T29" s="144">
        <v>0</v>
      </c>
      <c r="U29" s="144">
        <v>0</v>
      </c>
      <c r="V29" s="144">
        <v>0</v>
      </c>
      <c r="W29" s="144">
        <v>0</v>
      </c>
      <c r="X29" s="144">
        <v>0</v>
      </c>
      <c r="Y29" s="144">
        <v>0</v>
      </c>
      <c r="Z29" s="144">
        <v>0</v>
      </c>
      <c r="AA29" s="144">
        <v>0</v>
      </c>
      <c r="AB29" s="144">
        <v>0</v>
      </c>
      <c r="AC29" s="144">
        <v>0</v>
      </c>
      <c r="AD29" s="144">
        <v>5.0154778324830417E-3</v>
      </c>
      <c r="AE29" s="144">
        <v>0</v>
      </c>
      <c r="AF29" s="144">
        <v>0</v>
      </c>
      <c r="AG29" s="144">
        <v>0</v>
      </c>
      <c r="AH29" s="144">
        <v>0</v>
      </c>
      <c r="AI29" s="144">
        <v>0</v>
      </c>
      <c r="AJ29" s="144">
        <v>0</v>
      </c>
      <c r="AK29" s="144">
        <v>0</v>
      </c>
      <c r="AL29" s="144">
        <v>0</v>
      </c>
      <c r="AM29" s="144">
        <v>0</v>
      </c>
      <c r="AN29" s="144">
        <v>0</v>
      </c>
      <c r="AO29" s="144">
        <v>0</v>
      </c>
      <c r="AP29" s="144">
        <v>0</v>
      </c>
      <c r="AQ29" s="144">
        <v>0</v>
      </c>
      <c r="AR29" s="144">
        <v>0</v>
      </c>
      <c r="AS29" s="144">
        <v>0</v>
      </c>
      <c r="AT29" s="144">
        <v>0</v>
      </c>
      <c r="AU29" s="144">
        <v>0</v>
      </c>
      <c r="AV29" s="144">
        <v>0</v>
      </c>
      <c r="AW29" s="144">
        <v>0</v>
      </c>
      <c r="AX29" s="144">
        <v>0</v>
      </c>
    </row>
    <row r="30" spans="1:50" customFormat="1" x14ac:dyDescent="0.15">
      <c r="A30" s="149" t="s">
        <v>221</v>
      </c>
      <c r="B30" s="144">
        <v>0</v>
      </c>
      <c r="C30" s="144">
        <v>0</v>
      </c>
      <c r="D30" s="144">
        <v>0</v>
      </c>
      <c r="E30" s="144">
        <v>9.9960614368718795E-3</v>
      </c>
      <c r="F30" s="144">
        <v>0.11016309642956999</v>
      </c>
      <c r="G30" s="144">
        <v>8.285159749257927E-4</v>
      </c>
      <c r="H30" s="144">
        <v>0</v>
      </c>
      <c r="I30" s="144">
        <v>0</v>
      </c>
      <c r="J30" s="144">
        <v>0</v>
      </c>
      <c r="K30" s="144">
        <v>0</v>
      </c>
      <c r="L30" s="144">
        <v>0</v>
      </c>
      <c r="M30" s="144">
        <v>4.0291671474940579E-3</v>
      </c>
      <c r="N30" s="144">
        <v>0</v>
      </c>
      <c r="O30" s="144">
        <v>0</v>
      </c>
      <c r="P30" s="144">
        <v>0</v>
      </c>
      <c r="Q30" s="144">
        <v>0</v>
      </c>
      <c r="R30" s="144">
        <v>0</v>
      </c>
      <c r="S30" s="144">
        <v>0</v>
      </c>
      <c r="T30" s="144">
        <v>0</v>
      </c>
      <c r="U30" s="144">
        <v>0</v>
      </c>
      <c r="V30" s="144">
        <v>0</v>
      </c>
      <c r="W30" s="144">
        <v>0</v>
      </c>
      <c r="X30" s="144">
        <v>0</v>
      </c>
      <c r="Y30" s="144">
        <v>0</v>
      </c>
      <c r="Z30" s="144">
        <v>0</v>
      </c>
      <c r="AA30" s="144">
        <v>0</v>
      </c>
      <c r="AB30" s="144">
        <v>0</v>
      </c>
      <c r="AC30" s="144">
        <v>0</v>
      </c>
      <c r="AD30" s="144">
        <v>2.9999951798001613E-2</v>
      </c>
      <c r="AE30" s="144">
        <v>0</v>
      </c>
      <c r="AF30" s="144">
        <v>0</v>
      </c>
      <c r="AG30" s="144">
        <v>0</v>
      </c>
      <c r="AH30" s="144">
        <v>0</v>
      </c>
      <c r="AI30" s="144">
        <v>0</v>
      </c>
      <c r="AJ30" s="144">
        <v>0</v>
      </c>
      <c r="AK30" s="144">
        <v>0</v>
      </c>
      <c r="AL30" s="144">
        <v>0</v>
      </c>
      <c r="AM30" s="144">
        <v>0</v>
      </c>
      <c r="AN30" s="144">
        <v>0</v>
      </c>
      <c r="AO30" s="144">
        <v>0</v>
      </c>
      <c r="AP30" s="144">
        <v>0</v>
      </c>
      <c r="AQ30" s="144">
        <v>0</v>
      </c>
      <c r="AR30" s="144">
        <v>0</v>
      </c>
      <c r="AS30" s="144">
        <v>0</v>
      </c>
      <c r="AT30" s="144">
        <v>0</v>
      </c>
      <c r="AU30" s="144">
        <v>0</v>
      </c>
      <c r="AV30" s="144">
        <v>0</v>
      </c>
      <c r="AW30" s="144">
        <v>0</v>
      </c>
      <c r="AX30" s="144">
        <v>0</v>
      </c>
    </row>
    <row r="31" spans="1:50" customFormat="1" x14ac:dyDescent="0.15">
      <c r="A31" s="149" t="s">
        <v>222</v>
      </c>
      <c r="B31" s="144">
        <v>8.3118240124677362E-2</v>
      </c>
      <c r="C31" s="144">
        <v>7.9983386106984689E-2</v>
      </c>
      <c r="D31" s="144">
        <v>4.8252109789020385E-2</v>
      </c>
      <c r="E31" s="144">
        <v>3.9712147762816161E-2</v>
      </c>
      <c r="F31" s="144">
        <v>1.0269003821446531E-2</v>
      </c>
      <c r="G31" s="144">
        <v>5.1782222732862822E-3</v>
      </c>
      <c r="H31" s="144">
        <v>0</v>
      </c>
      <c r="I31" s="144">
        <v>3.41141864620816E-2</v>
      </c>
      <c r="J31" s="144">
        <v>0</v>
      </c>
      <c r="K31" s="144">
        <v>0</v>
      </c>
      <c r="L31" s="144">
        <v>0</v>
      </c>
      <c r="M31" s="144">
        <v>3.0489028467621423E-4</v>
      </c>
      <c r="N31" s="144">
        <v>6.761391733195482E-3</v>
      </c>
      <c r="O31" s="144">
        <v>0</v>
      </c>
      <c r="P31" s="144">
        <v>5.7800605369207191E-2</v>
      </c>
      <c r="Q31" s="144">
        <v>0</v>
      </c>
      <c r="R31" s="144">
        <v>0</v>
      </c>
      <c r="S31" s="144">
        <v>0</v>
      </c>
      <c r="T31" s="144">
        <v>0</v>
      </c>
      <c r="U31" s="144">
        <v>1.1573172695517615E-2</v>
      </c>
      <c r="V31" s="144">
        <v>0</v>
      </c>
      <c r="W31" s="144">
        <v>0</v>
      </c>
      <c r="X31" s="144">
        <v>0</v>
      </c>
      <c r="Y31" s="144">
        <v>0</v>
      </c>
      <c r="Z31" s="144">
        <v>0</v>
      </c>
      <c r="AA31" s="144">
        <v>0</v>
      </c>
      <c r="AB31" s="144">
        <v>0</v>
      </c>
      <c r="AC31" s="144">
        <v>0</v>
      </c>
      <c r="AD31" s="144">
        <v>7.02219134545881E-2</v>
      </c>
      <c r="AE31" s="144">
        <v>0</v>
      </c>
      <c r="AF31" s="144">
        <v>3.3640025277176353E-3</v>
      </c>
      <c r="AG31" s="144">
        <v>0</v>
      </c>
      <c r="AH31" s="144">
        <v>0</v>
      </c>
      <c r="AI31" s="144">
        <v>0</v>
      </c>
      <c r="AJ31" s="144">
        <v>0</v>
      </c>
      <c r="AK31" s="144">
        <v>0</v>
      </c>
      <c r="AL31" s="144">
        <v>0</v>
      </c>
      <c r="AM31" s="144">
        <v>0</v>
      </c>
      <c r="AN31" s="144">
        <v>0</v>
      </c>
      <c r="AO31" s="144">
        <v>0</v>
      </c>
      <c r="AP31" s="144">
        <v>0</v>
      </c>
      <c r="AQ31" s="144">
        <v>0</v>
      </c>
      <c r="AR31" s="144">
        <v>0</v>
      </c>
      <c r="AS31" s="144">
        <v>0</v>
      </c>
      <c r="AT31" s="144">
        <v>0</v>
      </c>
      <c r="AU31" s="144">
        <v>0</v>
      </c>
      <c r="AV31" s="144">
        <v>0</v>
      </c>
      <c r="AW31" s="144">
        <v>0</v>
      </c>
      <c r="AX31" s="144">
        <v>0</v>
      </c>
    </row>
    <row r="32" spans="1:50" customFormat="1" x14ac:dyDescent="0.15">
      <c r="A32" s="149" t="s">
        <v>223</v>
      </c>
      <c r="B32" s="144">
        <v>0</v>
      </c>
      <c r="C32" s="144">
        <v>0</v>
      </c>
      <c r="D32" s="144">
        <v>6.7020884029163744E-2</v>
      </c>
      <c r="E32" s="144">
        <v>0.22605237626533939</v>
      </c>
      <c r="F32" s="144">
        <v>0.17032738211051507</v>
      </c>
      <c r="G32" s="144">
        <v>0.14917158648547113</v>
      </c>
      <c r="H32" s="144">
        <v>3.1040048573022751E-2</v>
      </c>
      <c r="I32" s="144">
        <v>1.1010812143099399E-2</v>
      </c>
      <c r="J32" s="144">
        <v>6.4637780839938794E-3</v>
      </c>
      <c r="K32" s="144">
        <v>1.2361396711925048E-3</v>
      </c>
      <c r="L32" s="144">
        <v>0</v>
      </c>
      <c r="M32" s="144">
        <v>3.5869448197201531E-4</v>
      </c>
      <c r="N32" s="144">
        <v>0</v>
      </c>
      <c r="O32" s="144">
        <v>1.4029539806392353E-2</v>
      </c>
      <c r="P32" s="144">
        <v>3.4680361901524237E-2</v>
      </c>
      <c r="Q32" s="144">
        <v>7.7594084223896367E-2</v>
      </c>
      <c r="R32" s="144">
        <v>0</v>
      </c>
      <c r="S32" s="144">
        <v>0</v>
      </c>
      <c r="T32" s="144">
        <v>0</v>
      </c>
      <c r="U32" s="144">
        <v>4.0732628576394632E-3</v>
      </c>
      <c r="V32" s="144">
        <v>0</v>
      </c>
      <c r="W32" s="144">
        <v>0</v>
      </c>
      <c r="X32" s="144">
        <v>2.0404081755111016E-2</v>
      </c>
      <c r="Y32" s="144">
        <v>7.0023209128824301E-2</v>
      </c>
      <c r="Z32" s="144">
        <v>0</v>
      </c>
      <c r="AA32" s="144">
        <v>0</v>
      </c>
      <c r="AB32" s="144">
        <v>0</v>
      </c>
      <c r="AC32" s="144">
        <v>9.9988300342259955E-3</v>
      </c>
      <c r="AD32" s="144">
        <v>0.1504702219742946</v>
      </c>
      <c r="AE32" s="144">
        <v>3.6279398964376305E-3</v>
      </c>
      <c r="AF32" s="144">
        <v>1.6820008638588499E-2</v>
      </c>
      <c r="AG32" s="144">
        <v>0</v>
      </c>
      <c r="AH32" s="144">
        <v>0</v>
      </c>
      <c r="AI32" s="144">
        <v>0</v>
      </c>
      <c r="AJ32" s="144">
        <v>0</v>
      </c>
      <c r="AK32" s="144">
        <v>0</v>
      </c>
      <c r="AL32" s="144">
        <v>0</v>
      </c>
      <c r="AM32" s="144">
        <v>0</v>
      </c>
      <c r="AN32" s="144">
        <v>0</v>
      </c>
      <c r="AO32" s="144">
        <v>0</v>
      </c>
      <c r="AP32" s="144">
        <v>0</v>
      </c>
      <c r="AQ32" s="144">
        <v>0</v>
      </c>
      <c r="AR32" s="144">
        <v>0</v>
      </c>
      <c r="AS32" s="144">
        <v>0</v>
      </c>
      <c r="AT32" s="144">
        <v>0</v>
      </c>
      <c r="AU32" s="144">
        <v>0</v>
      </c>
      <c r="AV32" s="144">
        <v>0</v>
      </c>
      <c r="AW32" s="144">
        <v>0</v>
      </c>
      <c r="AX32" s="144">
        <v>0</v>
      </c>
    </row>
    <row r="33" spans="1:50" customFormat="1" x14ac:dyDescent="0.15">
      <c r="A33" s="149" t="s">
        <v>224</v>
      </c>
      <c r="B33" s="144">
        <v>0</v>
      </c>
      <c r="C33" s="144">
        <v>0</v>
      </c>
      <c r="D33" s="144">
        <v>0</v>
      </c>
      <c r="E33" s="144">
        <v>0</v>
      </c>
      <c r="F33" s="144">
        <v>0</v>
      </c>
      <c r="G33" s="144">
        <v>1.0359660686475231E-3</v>
      </c>
      <c r="H33" s="144">
        <v>3.4499706451781499E-2</v>
      </c>
      <c r="I33" s="144">
        <v>0</v>
      </c>
      <c r="J33" s="144">
        <v>0</v>
      </c>
      <c r="K33" s="144">
        <v>0</v>
      </c>
      <c r="L33" s="144">
        <v>0</v>
      </c>
      <c r="M33" s="144">
        <v>0</v>
      </c>
      <c r="N33" s="144">
        <v>0</v>
      </c>
      <c r="O33" s="144">
        <v>0</v>
      </c>
      <c r="P33" s="144">
        <v>0</v>
      </c>
      <c r="Q33" s="144">
        <v>0</v>
      </c>
      <c r="R33" s="144">
        <v>0</v>
      </c>
      <c r="S33" s="144">
        <v>0</v>
      </c>
      <c r="T33" s="144">
        <v>0</v>
      </c>
      <c r="U33" s="144">
        <v>6.1309387857236899E-3</v>
      </c>
      <c r="V33" s="144">
        <v>0</v>
      </c>
      <c r="W33" s="144">
        <v>0</v>
      </c>
      <c r="X33" s="144">
        <v>0</v>
      </c>
      <c r="Y33" s="144">
        <v>0</v>
      </c>
      <c r="Z33" s="144">
        <v>0</v>
      </c>
      <c r="AA33" s="144">
        <v>0</v>
      </c>
      <c r="AB33" s="144">
        <v>0</v>
      </c>
      <c r="AC33" s="144">
        <v>0</v>
      </c>
      <c r="AD33" s="144">
        <v>0</v>
      </c>
      <c r="AE33" s="144">
        <v>0</v>
      </c>
      <c r="AF33" s="144">
        <v>0</v>
      </c>
      <c r="AG33" s="144">
        <v>0</v>
      </c>
      <c r="AH33" s="144">
        <v>0</v>
      </c>
      <c r="AI33" s="144">
        <v>0</v>
      </c>
      <c r="AJ33" s="144">
        <v>0</v>
      </c>
      <c r="AK33" s="144">
        <v>0</v>
      </c>
      <c r="AL33" s="144">
        <v>0</v>
      </c>
      <c r="AM33" s="144">
        <v>0</v>
      </c>
      <c r="AN33" s="144">
        <v>0</v>
      </c>
      <c r="AO33" s="144">
        <v>0</v>
      </c>
      <c r="AP33" s="144">
        <v>0</v>
      </c>
      <c r="AQ33" s="144">
        <v>0</v>
      </c>
      <c r="AR33" s="144">
        <v>0</v>
      </c>
      <c r="AS33" s="144">
        <v>0</v>
      </c>
      <c r="AT33" s="144">
        <v>0</v>
      </c>
      <c r="AU33" s="144">
        <v>0</v>
      </c>
      <c r="AV33" s="144">
        <v>0</v>
      </c>
      <c r="AW33" s="144">
        <v>0</v>
      </c>
      <c r="AX33" s="144">
        <v>0</v>
      </c>
    </row>
    <row r="34" spans="1:50" customFormat="1" x14ac:dyDescent="0.15">
      <c r="A34" s="149" t="s">
        <v>225</v>
      </c>
      <c r="B34" s="144">
        <v>0</v>
      </c>
      <c r="C34" s="144">
        <v>0</v>
      </c>
      <c r="D34" s="144">
        <v>0</v>
      </c>
      <c r="E34" s="144">
        <v>0</v>
      </c>
      <c r="F34" s="144">
        <v>1.0019257547677383E-2</v>
      </c>
      <c r="G34" s="144">
        <v>1.0310503387962928E-2</v>
      </c>
      <c r="H34" s="144">
        <v>5.0399528628673772E-2</v>
      </c>
      <c r="I34" s="144">
        <v>2.6177499765981212E-2</v>
      </c>
      <c r="J34" s="144">
        <v>3.970606270024836E-2</v>
      </c>
      <c r="K34" s="144">
        <v>0</v>
      </c>
      <c r="L34" s="144">
        <v>3.012582017756511E-2</v>
      </c>
      <c r="M34" s="144">
        <v>0</v>
      </c>
      <c r="N34" s="144">
        <v>0</v>
      </c>
      <c r="O34" s="144">
        <v>0</v>
      </c>
      <c r="P34" s="144">
        <v>0</v>
      </c>
      <c r="Q34" s="144">
        <v>0</v>
      </c>
      <c r="R34" s="144">
        <v>0</v>
      </c>
      <c r="S34" s="144">
        <v>0</v>
      </c>
      <c r="T34" s="144">
        <v>0</v>
      </c>
      <c r="U34" s="144">
        <v>6.1309387857236899E-3</v>
      </c>
      <c r="V34" s="144">
        <v>0</v>
      </c>
      <c r="W34" s="144">
        <v>1.9995070539866905E-2</v>
      </c>
      <c r="X34" s="144">
        <v>1.0202040877555508E-2</v>
      </c>
      <c r="Y34" s="144">
        <v>0</v>
      </c>
      <c r="Z34" s="144">
        <v>0</v>
      </c>
      <c r="AA34" s="144">
        <v>0</v>
      </c>
      <c r="AB34" s="144">
        <v>0</v>
      </c>
      <c r="AC34" s="144">
        <v>2.000286006846979E-2</v>
      </c>
      <c r="AD34" s="144">
        <v>0</v>
      </c>
      <c r="AE34" s="144">
        <v>0</v>
      </c>
      <c r="AF34" s="144">
        <v>0</v>
      </c>
      <c r="AG34" s="144">
        <v>0</v>
      </c>
      <c r="AH34" s="144">
        <v>2.0993810733233458E-2</v>
      </c>
      <c r="AI34" s="144">
        <v>0</v>
      </c>
      <c r="AJ34" s="144">
        <v>0</v>
      </c>
      <c r="AK34" s="144">
        <v>0</v>
      </c>
      <c r="AL34" s="144">
        <v>0</v>
      </c>
      <c r="AM34" s="144">
        <v>0</v>
      </c>
      <c r="AN34" s="144">
        <v>0</v>
      </c>
      <c r="AO34" s="144">
        <v>0</v>
      </c>
      <c r="AP34" s="144">
        <v>0</v>
      </c>
      <c r="AQ34" s="144">
        <v>0</v>
      </c>
      <c r="AR34" s="144">
        <v>0</v>
      </c>
      <c r="AS34" s="144">
        <v>0</v>
      </c>
      <c r="AT34" s="144">
        <v>0</v>
      </c>
      <c r="AU34" s="144">
        <v>0</v>
      </c>
      <c r="AV34" s="144">
        <v>0</v>
      </c>
      <c r="AW34" s="144">
        <v>0</v>
      </c>
      <c r="AX34" s="144">
        <v>0</v>
      </c>
    </row>
    <row r="35" spans="1:50" customFormat="1" x14ac:dyDescent="0.15">
      <c r="A35" s="149" t="s">
        <v>226</v>
      </c>
      <c r="B35" s="144">
        <v>0</v>
      </c>
      <c r="C35" s="144">
        <v>0</v>
      </c>
      <c r="D35" s="144">
        <v>0</v>
      </c>
      <c r="E35" s="144">
        <v>0</v>
      </c>
      <c r="F35" s="144">
        <v>5.0096290538386615E-2</v>
      </c>
      <c r="G35" s="144">
        <v>0.27186809177218413</v>
      </c>
      <c r="H35" s="144">
        <v>6.5529034220841623E-2</v>
      </c>
      <c r="I35" s="144">
        <v>3.6648509447863763E-2</v>
      </c>
      <c r="J35" s="144">
        <v>0.21171628080580199</v>
      </c>
      <c r="K35" s="144">
        <v>9.9958809287793493E-2</v>
      </c>
      <c r="L35" s="144">
        <v>9.7065341850116157E-2</v>
      </c>
      <c r="M35" s="144">
        <v>2.0138381887844923E-2</v>
      </c>
      <c r="N35" s="144">
        <v>7.57701370101104E-2</v>
      </c>
      <c r="O35" s="144">
        <v>2.2982235682845152E-2</v>
      </c>
      <c r="P35" s="144">
        <v>0</v>
      </c>
      <c r="Q35" s="144">
        <v>0.27549795249193237</v>
      </c>
      <c r="R35" s="144">
        <v>0.10999349999999999</v>
      </c>
      <c r="S35" s="144">
        <v>0.15</v>
      </c>
      <c r="T35" s="144">
        <v>0</v>
      </c>
      <c r="U35" s="144">
        <v>0.20836544771762761</v>
      </c>
      <c r="V35" s="144">
        <v>0.17998680232182976</v>
      </c>
      <c r="W35" s="144">
        <v>0.16041270433114302</v>
      </c>
      <c r="X35" s="144">
        <v>3.6807361919023798E-2</v>
      </c>
      <c r="Y35" s="144">
        <v>0</v>
      </c>
      <c r="Z35" s="144">
        <v>0</v>
      </c>
      <c r="AA35" s="144">
        <v>0.05</v>
      </c>
      <c r="AB35" s="144">
        <v>0</v>
      </c>
      <c r="AC35" s="144">
        <v>0.36005140123245599</v>
      </c>
      <c r="AD35" s="144">
        <v>1.418265002629949E-2</v>
      </c>
      <c r="AE35" s="144">
        <v>3.3014245722582346E-2</v>
      </c>
      <c r="AF35" s="144">
        <v>0.12334669901631817</v>
      </c>
      <c r="AG35" s="144">
        <v>2.0002297080101067E-2</v>
      </c>
      <c r="AH35" s="144">
        <v>4.3452211778093539E-2</v>
      </c>
      <c r="AI35" s="144">
        <v>1.212077861394247E-2</v>
      </c>
      <c r="AJ35" s="144">
        <v>0</v>
      </c>
      <c r="AK35" s="144">
        <v>0</v>
      </c>
      <c r="AL35" s="144">
        <v>0</v>
      </c>
      <c r="AM35" s="144">
        <v>0</v>
      </c>
      <c r="AN35" s="144">
        <v>0</v>
      </c>
      <c r="AO35" s="144">
        <v>0</v>
      </c>
      <c r="AP35" s="144">
        <v>0</v>
      </c>
      <c r="AQ35" s="144">
        <v>0</v>
      </c>
      <c r="AR35" s="144">
        <v>0</v>
      </c>
      <c r="AS35" s="144">
        <v>0</v>
      </c>
      <c r="AT35" s="144">
        <v>0</v>
      </c>
      <c r="AU35" s="144">
        <v>0</v>
      </c>
      <c r="AV35" s="144">
        <v>0</v>
      </c>
      <c r="AW35" s="144">
        <v>0</v>
      </c>
      <c r="AX35" s="144">
        <v>0</v>
      </c>
    </row>
    <row r="36" spans="1:50" customFormat="1" x14ac:dyDescent="0.15">
      <c r="A36" s="149" t="s">
        <v>227</v>
      </c>
      <c r="B36" s="144">
        <v>0</v>
      </c>
      <c r="C36" s="144">
        <v>0</v>
      </c>
      <c r="D36" s="144">
        <v>0</v>
      </c>
      <c r="E36" s="144">
        <v>0</v>
      </c>
      <c r="F36" s="144">
        <v>7.0134812633740641E-3</v>
      </c>
      <c r="G36" s="144">
        <v>6.3408248081012794E-2</v>
      </c>
      <c r="H36" s="144">
        <v>3.0002875189662725E-2</v>
      </c>
      <c r="I36" s="144">
        <v>0.1209400531009038</v>
      </c>
      <c r="J36" s="144">
        <v>2.0007032986162392E-2</v>
      </c>
      <c r="K36" s="144">
        <v>0</v>
      </c>
      <c r="L36" s="144">
        <v>1.7071296933953595E-2</v>
      </c>
      <c r="M36" s="144">
        <v>2.0138381887844923E-2</v>
      </c>
      <c r="N36" s="144">
        <v>7.5766807010241802E-3</v>
      </c>
      <c r="O36" s="144">
        <v>9.994304862078595E-3</v>
      </c>
      <c r="P36" s="144">
        <v>1.1547782433164908E-3</v>
      </c>
      <c r="Q36" s="144">
        <v>3.3996887469271694E-2</v>
      </c>
      <c r="R36" s="144">
        <v>0</v>
      </c>
      <c r="S36" s="144">
        <v>0.1</v>
      </c>
      <c r="T36" s="144">
        <v>0</v>
      </c>
      <c r="U36" s="144">
        <v>1.226187267144755E-2</v>
      </c>
      <c r="V36" s="144">
        <v>6.9020910890369755E-2</v>
      </c>
      <c r="W36" s="144">
        <v>4.4988921214700876E-2</v>
      </c>
      <c r="X36" s="144">
        <v>1.0001999977995599E-2</v>
      </c>
      <c r="Y36" s="144">
        <v>0</v>
      </c>
      <c r="Z36" s="144">
        <v>0</v>
      </c>
      <c r="AA36" s="144">
        <v>0</v>
      </c>
      <c r="AB36" s="144">
        <v>0</v>
      </c>
      <c r="AC36" s="144">
        <v>0.10001428434234889</v>
      </c>
      <c r="AD36" s="144">
        <v>2.4492523781949709E-2</v>
      </c>
      <c r="AE36" s="144">
        <v>0</v>
      </c>
      <c r="AF36" s="144">
        <v>0.3151499974917592</v>
      </c>
      <c r="AG36" s="144">
        <v>0.2400275575612125</v>
      </c>
      <c r="AH36" s="144">
        <v>0.12796231327875399</v>
      </c>
      <c r="AI36" s="144">
        <v>0.10530199025235586</v>
      </c>
      <c r="AJ36" s="144">
        <v>4.0377129713322378E-2</v>
      </c>
      <c r="AK36" s="144">
        <v>0</v>
      </c>
      <c r="AL36" s="144">
        <v>0</v>
      </c>
      <c r="AM36" s="144">
        <v>0</v>
      </c>
      <c r="AN36" s="144">
        <v>0</v>
      </c>
      <c r="AO36" s="144">
        <v>0</v>
      </c>
      <c r="AP36" s="144">
        <v>0</v>
      </c>
      <c r="AQ36" s="144">
        <v>0</v>
      </c>
      <c r="AR36" s="144">
        <v>0</v>
      </c>
      <c r="AS36" s="144">
        <v>0</v>
      </c>
      <c r="AT36" s="144">
        <v>0</v>
      </c>
      <c r="AU36" s="144">
        <v>0</v>
      </c>
      <c r="AV36" s="144">
        <v>0</v>
      </c>
      <c r="AW36" s="144">
        <v>0</v>
      </c>
      <c r="AX36" s="144">
        <v>0</v>
      </c>
    </row>
    <row r="37" spans="1:50" customFormat="1" x14ac:dyDescent="0.15">
      <c r="A37" s="149" t="s">
        <v>228</v>
      </c>
      <c r="B37" s="144">
        <v>0</v>
      </c>
      <c r="C37" s="144">
        <v>0</v>
      </c>
      <c r="D37" s="144">
        <v>0</v>
      </c>
      <c r="E37" s="144">
        <v>0</v>
      </c>
      <c r="F37" s="144">
        <v>1.0019257547677383E-2</v>
      </c>
      <c r="G37" s="144">
        <v>0</v>
      </c>
      <c r="H37" s="144">
        <v>1.0086408828138429E-2</v>
      </c>
      <c r="I37" s="144">
        <v>2.6166448064702388E-2</v>
      </c>
      <c r="J37" s="144">
        <v>7.3189323364655955E-5</v>
      </c>
      <c r="K37" s="144">
        <v>0</v>
      </c>
      <c r="L37" s="144">
        <v>0</v>
      </c>
      <c r="M37" s="144">
        <v>2.0138381887844923E-2</v>
      </c>
      <c r="N37" s="144">
        <v>1.9699380922662432E-2</v>
      </c>
      <c r="O37" s="144">
        <v>0.13992029806909992</v>
      </c>
      <c r="P37" s="144">
        <v>5.0861935088759899E-2</v>
      </c>
      <c r="Q37" s="144">
        <v>0</v>
      </c>
      <c r="R37" s="144">
        <v>0.18904779999999999</v>
      </c>
      <c r="S37" s="144">
        <v>0.1</v>
      </c>
      <c r="T37" s="144">
        <v>0.25</v>
      </c>
      <c r="U37" s="144">
        <v>0.24523750542894918</v>
      </c>
      <c r="V37" s="144">
        <v>9.0033881161437068E-3</v>
      </c>
      <c r="W37" s="144">
        <v>4.6861591265262965E-2</v>
      </c>
      <c r="X37" s="144">
        <v>1.0202040877555508E-2</v>
      </c>
      <c r="Y37" s="144">
        <v>0</v>
      </c>
      <c r="Z37" s="144">
        <v>0</v>
      </c>
      <c r="AA37" s="144">
        <v>0</v>
      </c>
      <c r="AB37" s="144">
        <v>0.04</v>
      </c>
      <c r="AC37" s="144">
        <v>1.5998126954761587E-2</v>
      </c>
      <c r="AD37" s="144">
        <v>0</v>
      </c>
      <c r="AE37" s="144">
        <v>2.5913859131697397E-2</v>
      </c>
      <c r="AF37" s="144">
        <v>0.10657997337341696</v>
      </c>
      <c r="AG37" s="144">
        <v>0.21902514463710634</v>
      </c>
      <c r="AH37" s="144">
        <v>3.9988202387111864E-2</v>
      </c>
      <c r="AI37" s="144">
        <v>0</v>
      </c>
      <c r="AJ37" s="144">
        <v>0.20188569856661157</v>
      </c>
      <c r="AK37" s="144">
        <v>0</v>
      </c>
      <c r="AL37" s="144">
        <v>0</v>
      </c>
      <c r="AM37" s="144">
        <v>0</v>
      </c>
      <c r="AN37" s="144">
        <v>0</v>
      </c>
      <c r="AO37" s="144">
        <v>0</v>
      </c>
      <c r="AP37" s="144">
        <v>0</v>
      </c>
      <c r="AQ37" s="144">
        <v>0</v>
      </c>
      <c r="AR37" s="144">
        <v>0</v>
      </c>
      <c r="AS37" s="144">
        <v>0</v>
      </c>
      <c r="AT37" s="144">
        <v>0</v>
      </c>
      <c r="AU37" s="144">
        <v>0</v>
      </c>
      <c r="AV37" s="144">
        <v>0</v>
      </c>
      <c r="AW37" s="144">
        <v>0</v>
      </c>
      <c r="AX37" s="144">
        <v>0</v>
      </c>
    </row>
    <row r="38" spans="1:50" customFormat="1" x14ac:dyDescent="0.15">
      <c r="A38" s="149" t="s">
        <v>229</v>
      </c>
      <c r="B38" s="144">
        <v>0</v>
      </c>
      <c r="C38" s="144">
        <v>0</v>
      </c>
      <c r="D38" s="144">
        <v>0</v>
      </c>
      <c r="E38" s="144">
        <v>0</v>
      </c>
      <c r="F38" s="144">
        <v>0</v>
      </c>
      <c r="G38" s="144">
        <v>0.10581069079774527</v>
      </c>
      <c r="H38" s="144">
        <v>0</v>
      </c>
      <c r="I38" s="144">
        <v>0</v>
      </c>
      <c r="J38" s="144">
        <v>7.0024623651567627E-2</v>
      </c>
      <c r="K38" s="144">
        <v>0</v>
      </c>
      <c r="L38" s="144">
        <v>5.2185671875331158E-2</v>
      </c>
      <c r="M38" s="144">
        <v>0</v>
      </c>
      <c r="N38" s="144">
        <v>0</v>
      </c>
      <c r="O38" s="144">
        <v>0.39377566656589591</v>
      </c>
      <c r="P38" s="144">
        <v>2.8900302684603595E-2</v>
      </c>
      <c r="Q38" s="144">
        <v>0</v>
      </c>
      <c r="R38" s="144">
        <v>0.70095870000000005</v>
      </c>
      <c r="S38" s="144">
        <v>0.1</v>
      </c>
      <c r="T38" s="144">
        <v>0.75</v>
      </c>
      <c r="U38" s="144">
        <v>7.8476007257263544E-2</v>
      </c>
      <c r="V38" s="144">
        <v>0.3089772499858065</v>
      </c>
      <c r="W38" s="144">
        <v>0.37478811011927898</v>
      </c>
      <c r="X38" s="144">
        <v>3.0706141032446486E-2</v>
      </c>
      <c r="Y38" s="144">
        <v>0</v>
      </c>
      <c r="Z38" s="144">
        <v>0</v>
      </c>
      <c r="AA38" s="144">
        <v>0</v>
      </c>
      <c r="AB38" s="144">
        <v>0.05</v>
      </c>
      <c r="AC38" s="144">
        <v>7.0816410242404565E-2</v>
      </c>
      <c r="AD38" s="144">
        <v>4.9160488358039697E-2</v>
      </c>
      <c r="AE38" s="144">
        <v>0.12319449457688952</v>
      </c>
      <c r="AF38" s="144">
        <v>0.10204859174018699</v>
      </c>
      <c r="AG38" s="144">
        <v>0.20002297480101086</v>
      </c>
      <c r="AH38" s="144">
        <v>0.14121971147880258</v>
      </c>
      <c r="AI38" s="144">
        <v>0.4121517810737223</v>
      </c>
      <c r="AJ38" s="144">
        <v>0.23391269833921985</v>
      </c>
      <c r="AK38" s="144">
        <v>0</v>
      </c>
      <c r="AL38" s="144">
        <v>0</v>
      </c>
      <c r="AM38" s="144">
        <v>0</v>
      </c>
      <c r="AN38" s="144">
        <v>0</v>
      </c>
      <c r="AO38" s="144">
        <v>0</v>
      </c>
      <c r="AP38" s="144">
        <v>0</v>
      </c>
      <c r="AQ38" s="144">
        <v>0</v>
      </c>
      <c r="AR38" s="144">
        <v>0</v>
      </c>
      <c r="AS38" s="144">
        <v>0</v>
      </c>
      <c r="AT38" s="144">
        <v>0</v>
      </c>
      <c r="AU38" s="144">
        <v>0</v>
      </c>
      <c r="AV38" s="144">
        <v>0</v>
      </c>
      <c r="AW38" s="144">
        <v>0</v>
      </c>
      <c r="AX38" s="144">
        <v>0</v>
      </c>
    </row>
    <row r="39" spans="1:50" x14ac:dyDescent="0.15">
      <c r="A39" s="149" t="s">
        <v>230</v>
      </c>
      <c r="B39" s="144">
        <v>0</v>
      </c>
      <c r="C39" s="144">
        <v>0</v>
      </c>
      <c r="D39" s="144">
        <v>0</v>
      </c>
      <c r="E39" s="144">
        <v>0</v>
      </c>
      <c r="F39" s="144">
        <v>0</v>
      </c>
      <c r="G39" s="144">
        <v>0</v>
      </c>
      <c r="H39" s="144">
        <v>0</v>
      </c>
      <c r="I39" s="144">
        <v>0</v>
      </c>
      <c r="J39" s="144">
        <v>0</v>
      </c>
      <c r="K39" s="144">
        <v>0</v>
      </c>
      <c r="L39" s="144">
        <v>0</v>
      </c>
      <c r="M39" s="144">
        <v>0</v>
      </c>
      <c r="N39" s="144">
        <v>0</v>
      </c>
      <c r="O39" s="144">
        <v>0</v>
      </c>
      <c r="P39" s="144">
        <v>0</v>
      </c>
      <c r="Q39" s="144">
        <v>0</v>
      </c>
      <c r="R39" s="144">
        <v>0</v>
      </c>
      <c r="S39" s="144">
        <v>0</v>
      </c>
      <c r="T39" s="144">
        <v>0</v>
      </c>
      <c r="U39" s="144">
        <v>0</v>
      </c>
      <c r="V39" s="144">
        <v>0</v>
      </c>
      <c r="W39" s="144">
        <v>0</v>
      </c>
      <c r="X39" s="144">
        <v>0</v>
      </c>
      <c r="Y39" s="144">
        <v>0</v>
      </c>
      <c r="Z39" s="144">
        <v>0</v>
      </c>
      <c r="AA39" s="144">
        <v>0</v>
      </c>
      <c r="AB39" s="144">
        <v>0</v>
      </c>
      <c r="AC39" s="144">
        <v>0</v>
      </c>
      <c r="AD39" s="144">
        <v>0</v>
      </c>
      <c r="AE39" s="144">
        <v>0</v>
      </c>
      <c r="AF39" s="144">
        <v>1.0000409690566838E-2</v>
      </c>
      <c r="AG39" s="144">
        <v>3.0003444720151564E-2</v>
      </c>
      <c r="AH39" s="144">
        <v>0</v>
      </c>
      <c r="AI39" s="144">
        <v>0.10530199025235586</v>
      </c>
      <c r="AJ39" s="144">
        <v>0.21197989849494273</v>
      </c>
      <c r="AK39" s="144">
        <v>0.2</v>
      </c>
      <c r="AL39" s="144">
        <v>0</v>
      </c>
      <c r="AM39" s="144">
        <v>0</v>
      </c>
      <c r="AN39" s="144">
        <v>0</v>
      </c>
      <c r="AO39" s="144">
        <v>0</v>
      </c>
      <c r="AP39" s="144">
        <v>0</v>
      </c>
      <c r="AQ39" s="144">
        <v>0</v>
      </c>
      <c r="AR39" s="144">
        <v>0</v>
      </c>
      <c r="AS39" s="144">
        <v>0</v>
      </c>
      <c r="AT39" s="144">
        <v>0</v>
      </c>
      <c r="AU39" s="144">
        <v>0</v>
      </c>
      <c r="AV39" s="144">
        <v>0</v>
      </c>
      <c r="AW39" s="144">
        <v>0</v>
      </c>
      <c r="AX39" s="144">
        <v>0</v>
      </c>
    </row>
    <row r="40" spans="1:50" x14ac:dyDescent="0.15">
      <c r="A40" s="149" t="s">
        <v>231</v>
      </c>
      <c r="B40" s="144">
        <v>0</v>
      </c>
      <c r="C40" s="144">
        <v>0</v>
      </c>
      <c r="D40" s="144">
        <v>0</v>
      </c>
      <c r="E40" s="144">
        <v>0</v>
      </c>
      <c r="F40" s="144">
        <v>0</v>
      </c>
      <c r="G40" s="144">
        <v>0</v>
      </c>
      <c r="H40" s="144">
        <v>0</v>
      </c>
      <c r="I40" s="144">
        <v>0</v>
      </c>
      <c r="J40" s="144">
        <v>0</v>
      </c>
      <c r="K40" s="144">
        <v>2.9997997686264269E-3</v>
      </c>
      <c r="L40" s="144">
        <v>0</v>
      </c>
      <c r="M40" s="144">
        <v>1.9852193902228733E-2</v>
      </c>
      <c r="N40" s="144">
        <v>3.7883425505120027E-2</v>
      </c>
      <c r="O40" s="144">
        <v>0</v>
      </c>
      <c r="P40" s="144">
        <v>0</v>
      </c>
      <c r="Q40" s="144">
        <v>0</v>
      </c>
      <c r="R40" s="144">
        <v>0</v>
      </c>
      <c r="S40" s="144">
        <v>0</v>
      </c>
      <c r="T40" s="144">
        <v>0</v>
      </c>
      <c r="U40" s="144">
        <v>0</v>
      </c>
      <c r="V40" s="144">
        <v>0</v>
      </c>
      <c r="W40" s="144">
        <v>0</v>
      </c>
      <c r="X40" s="144">
        <v>0</v>
      </c>
      <c r="Y40" s="144">
        <v>0</v>
      </c>
      <c r="Z40" s="144">
        <v>0</v>
      </c>
      <c r="AA40" s="144">
        <v>0.02</v>
      </c>
      <c r="AB40" s="144">
        <v>0</v>
      </c>
      <c r="AC40" s="144">
        <v>0</v>
      </c>
      <c r="AD40" s="144">
        <v>0</v>
      </c>
      <c r="AE40" s="144">
        <v>0</v>
      </c>
      <c r="AF40" s="144">
        <v>0.25242633556861238</v>
      </c>
      <c r="AG40" s="144">
        <v>4.0004594160202134E-2</v>
      </c>
      <c r="AH40" s="144">
        <v>0</v>
      </c>
      <c r="AI40" s="144">
        <v>0</v>
      </c>
      <c r="AJ40" s="144">
        <v>3.028284978499177E-2</v>
      </c>
      <c r="AK40" s="144">
        <v>0</v>
      </c>
      <c r="AL40" s="144">
        <v>0</v>
      </c>
      <c r="AM40" s="144">
        <v>0</v>
      </c>
      <c r="AN40" s="144">
        <v>0</v>
      </c>
      <c r="AO40" s="144">
        <v>0</v>
      </c>
      <c r="AP40" s="144">
        <v>0</v>
      </c>
      <c r="AQ40" s="144">
        <v>0</v>
      </c>
      <c r="AR40" s="144">
        <v>0</v>
      </c>
      <c r="AS40" s="144">
        <v>0</v>
      </c>
      <c r="AT40" s="144">
        <v>0</v>
      </c>
      <c r="AU40" s="144">
        <v>0</v>
      </c>
      <c r="AV40" s="144">
        <v>0</v>
      </c>
      <c r="AW40" s="144">
        <v>0</v>
      </c>
      <c r="AX40" s="144">
        <v>0</v>
      </c>
    </row>
    <row r="41" spans="1:50" x14ac:dyDescent="0.15">
      <c r="A41" s="149" t="s">
        <v>232</v>
      </c>
      <c r="B41" s="144">
        <v>0</v>
      </c>
      <c r="C41" s="144">
        <v>8.5198437653165676E-2</v>
      </c>
      <c r="D41" s="144">
        <v>0.44333351785216363</v>
      </c>
      <c r="E41" s="144">
        <v>1.7999698985986957E-2</v>
      </c>
      <c r="F41" s="144">
        <v>0</v>
      </c>
      <c r="G41" s="144">
        <v>7.8109787636085407E-2</v>
      </c>
      <c r="H41" s="144">
        <v>5.6018734605644688E-2</v>
      </c>
      <c r="I41" s="144">
        <v>9.1929538151293677E-2</v>
      </c>
      <c r="J41" s="144">
        <v>5.3008123194283559E-2</v>
      </c>
      <c r="K41" s="144">
        <v>0.20317658655236684</v>
      </c>
      <c r="L41" s="144">
        <v>0.58663958398473937</v>
      </c>
      <c r="M41" s="144">
        <v>0.13394477326793569</v>
      </c>
      <c r="N41" s="144">
        <v>0.23003966192263495</v>
      </c>
      <c r="O41" s="144">
        <v>7.0015279033789166E-2</v>
      </c>
      <c r="P41" s="144">
        <v>0.14500356495054545</v>
      </c>
      <c r="Q41" s="144">
        <v>0</v>
      </c>
      <c r="R41" s="144">
        <v>0</v>
      </c>
      <c r="S41" s="144">
        <v>0.41099999999999998</v>
      </c>
      <c r="T41" s="144">
        <v>0</v>
      </c>
      <c r="U41" s="144">
        <v>8.8037456923090882E-2</v>
      </c>
      <c r="V41" s="144">
        <v>0.33484003331943646</v>
      </c>
      <c r="W41" s="144">
        <v>3.3604080907310187E-2</v>
      </c>
      <c r="X41" s="144">
        <v>0.23404679948509699</v>
      </c>
      <c r="Y41" s="144">
        <v>0.2400796112987939</v>
      </c>
      <c r="Z41" s="144">
        <v>0.05</v>
      </c>
      <c r="AA41" s="144">
        <v>0.184</v>
      </c>
      <c r="AB41" s="144">
        <v>0.21</v>
      </c>
      <c r="AC41" s="144">
        <v>0.31799334408849123</v>
      </c>
      <c r="AD41" s="144">
        <v>0.10999982432600587</v>
      </c>
      <c r="AE41" s="144">
        <v>0.41212627827521631</v>
      </c>
      <c r="AF41" s="144">
        <v>3.3645623476723237E-2</v>
      </c>
      <c r="AG41" s="144">
        <v>5.0005742200252647E-2</v>
      </c>
      <c r="AH41" s="144">
        <v>0.48883742150354992</v>
      </c>
      <c r="AI41" s="144">
        <v>9.5034993525251535E-2</v>
      </c>
      <c r="AJ41" s="144">
        <v>6.056569956998354E-2</v>
      </c>
      <c r="AK41" s="144">
        <v>0</v>
      </c>
      <c r="AL41" s="144">
        <v>0</v>
      </c>
      <c r="AM41" s="144">
        <v>0</v>
      </c>
      <c r="AN41" s="144">
        <v>0</v>
      </c>
      <c r="AO41" s="144">
        <v>0</v>
      </c>
      <c r="AP41" s="144">
        <v>0</v>
      </c>
      <c r="AQ41" s="144">
        <v>0</v>
      </c>
      <c r="AR41" s="144">
        <v>0</v>
      </c>
      <c r="AS41" s="144">
        <v>0</v>
      </c>
      <c r="AT41" s="144">
        <v>0</v>
      </c>
      <c r="AU41" s="144">
        <v>0</v>
      </c>
      <c r="AV41" s="144">
        <v>0</v>
      </c>
      <c r="AW41" s="144">
        <v>0</v>
      </c>
      <c r="AX41" s="144">
        <v>0</v>
      </c>
    </row>
    <row r="42" spans="1:50" x14ac:dyDescent="0.15">
      <c r="A42" s="149" t="s">
        <v>233</v>
      </c>
      <c r="B42" s="144">
        <v>0</v>
      </c>
      <c r="C42" s="144">
        <v>0</v>
      </c>
      <c r="D42" s="144">
        <v>0.15440675388566319</v>
      </c>
      <c r="E42" s="144">
        <v>0</v>
      </c>
      <c r="F42" s="144">
        <v>0</v>
      </c>
      <c r="G42" s="144">
        <v>5.9101035911366263E-2</v>
      </c>
      <c r="H42" s="144">
        <v>0</v>
      </c>
      <c r="I42" s="144">
        <v>2.7956228046665081E-2</v>
      </c>
      <c r="J42" s="144">
        <v>4.0014066372324741E-2</v>
      </c>
      <c r="K42" s="144">
        <v>0.2110445484963076</v>
      </c>
      <c r="L42" s="144">
        <v>7.0131718085404082E-2</v>
      </c>
      <c r="M42" s="144">
        <v>4.0276763775689846E-2</v>
      </c>
      <c r="N42" s="144">
        <v>0.13602345663251442</v>
      </c>
      <c r="O42" s="144">
        <v>5.2990145268736008E-2</v>
      </c>
      <c r="P42" s="144">
        <v>7.0001723838194516E-2</v>
      </c>
      <c r="Q42" s="144">
        <v>0</v>
      </c>
      <c r="R42" s="144">
        <v>0</v>
      </c>
      <c r="S42" s="144">
        <v>0.13900000000000001</v>
      </c>
      <c r="T42" s="144">
        <v>0</v>
      </c>
      <c r="U42" s="144">
        <v>4.9018053486819028E-2</v>
      </c>
      <c r="V42" s="144">
        <v>9.8171615366413847E-2</v>
      </c>
      <c r="W42" s="144">
        <v>0.19283920520665854</v>
      </c>
      <c r="X42" s="144">
        <v>0.60112023267753545</v>
      </c>
      <c r="Y42" s="144">
        <v>0.60389177503688007</v>
      </c>
      <c r="Z42" s="144">
        <v>0.95</v>
      </c>
      <c r="AA42" s="144">
        <v>0.65</v>
      </c>
      <c r="AB42" s="144">
        <v>0.5</v>
      </c>
      <c r="AC42" s="144">
        <v>9.3013280318384461E-2</v>
      </c>
      <c r="AD42" s="144">
        <v>7.0999887628603764E-2</v>
      </c>
      <c r="AE42" s="144">
        <v>0.36711246269903947</v>
      </c>
      <c r="AF42" s="144">
        <v>9.9957971909401763E-4</v>
      </c>
      <c r="AG42" s="144">
        <v>0</v>
      </c>
      <c r="AH42" s="144">
        <v>3.258916163356998E-2</v>
      </c>
      <c r="AI42" s="144">
        <v>2.0007368057947686E-2</v>
      </c>
      <c r="AJ42" s="144">
        <v>0.1110370992116366</v>
      </c>
      <c r="AK42" s="144">
        <v>0</v>
      </c>
      <c r="AL42" s="144">
        <v>0</v>
      </c>
      <c r="AM42" s="144">
        <v>0</v>
      </c>
      <c r="AN42" s="144">
        <v>0.05</v>
      </c>
      <c r="AO42" s="144">
        <v>0.25</v>
      </c>
      <c r="AP42" s="144">
        <v>0.02</v>
      </c>
      <c r="AQ42" s="144">
        <v>0</v>
      </c>
      <c r="AR42" s="144">
        <v>0</v>
      </c>
      <c r="AS42" s="144">
        <v>0</v>
      </c>
      <c r="AT42" s="144">
        <v>0</v>
      </c>
      <c r="AU42" s="144">
        <v>0</v>
      </c>
      <c r="AV42" s="144">
        <v>0</v>
      </c>
      <c r="AW42" s="144">
        <v>0</v>
      </c>
      <c r="AX42" s="144">
        <v>0</v>
      </c>
    </row>
    <row r="43" spans="1:50" x14ac:dyDescent="0.15">
      <c r="A43" s="149" t="s">
        <v>234</v>
      </c>
      <c r="B43" s="144">
        <v>0</v>
      </c>
      <c r="C43" s="144">
        <v>0</v>
      </c>
      <c r="D43" s="144">
        <v>0</v>
      </c>
      <c r="E43" s="144">
        <v>0</v>
      </c>
      <c r="F43" s="144">
        <v>0</v>
      </c>
      <c r="G43" s="144">
        <v>0</v>
      </c>
      <c r="H43" s="144">
        <v>0</v>
      </c>
      <c r="I43" s="144">
        <v>0</v>
      </c>
      <c r="J43" s="144">
        <v>0</v>
      </c>
      <c r="K43" s="144">
        <v>0</v>
      </c>
      <c r="L43" s="144">
        <v>0</v>
      </c>
      <c r="M43" s="144">
        <v>0</v>
      </c>
      <c r="N43" s="144">
        <v>1.5153370202048013E-2</v>
      </c>
      <c r="O43" s="144">
        <v>0</v>
      </c>
      <c r="P43" s="144">
        <v>4.6220685134280163E-3</v>
      </c>
      <c r="Q43" s="144">
        <v>0</v>
      </c>
      <c r="R43" s="144">
        <v>0</v>
      </c>
      <c r="S43" s="144">
        <v>0</v>
      </c>
      <c r="T43" s="144">
        <v>0</v>
      </c>
      <c r="U43" s="144">
        <v>0</v>
      </c>
      <c r="V43" s="144">
        <v>0</v>
      </c>
      <c r="W43" s="144">
        <v>0</v>
      </c>
      <c r="X43" s="144">
        <v>0</v>
      </c>
      <c r="Y43" s="144">
        <v>1.9006297277825778E-2</v>
      </c>
      <c r="Z43" s="144">
        <v>0</v>
      </c>
      <c r="AA43" s="144">
        <v>9.6000000000000002E-2</v>
      </c>
      <c r="AB43" s="144">
        <v>0.2</v>
      </c>
      <c r="AC43" s="144">
        <v>0</v>
      </c>
      <c r="AD43" s="144">
        <v>0</v>
      </c>
      <c r="AE43" s="144">
        <v>0</v>
      </c>
      <c r="AF43" s="144">
        <v>0</v>
      </c>
      <c r="AG43" s="144">
        <v>0</v>
      </c>
      <c r="AH43" s="144">
        <v>0</v>
      </c>
      <c r="AI43" s="144">
        <v>0</v>
      </c>
      <c r="AJ43" s="144">
        <v>0</v>
      </c>
      <c r="AK43" s="144">
        <v>0</v>
      </c>
      <c r="AL43" s="144">
        <v>0</v>
      </c>
      <c r="AM43" s="144">
        <v>0</v>
      </c>
      <c r="AN43" s="144">
        <v>0.05</v>
      </c>
      <c r="AO43" s="144">
        <v>0.25</v>
      </c>
      <c r="AP43" s="144">
        <v>0.38</v>
      </c>
      <c r="AQ43" s="144">
        <v>2.0000000000000004E-2</v>
      </c>
      <c r="AR43" s="144">
        <v>0</v>
      </c>
      <c r="AS43" s="144">
        <v>0</v>
      </c>
      <c r="AT43" s="144">
        <v>0</v>
      </c>
      <c r="AU43" s="144">
        <v>0</v>
      </c>
      <c r="AV43" s="144">
        <v>0</v>
      </c>
      <c r="AW43" s="144">
        <v>0</v>
      </c>
      <c r="AX43" s="144">
        <v>0</v>
      </c>
    </row>
    <row r="44" spans="1:50" x14ac:dyDescent="0.15">
      <c r="A44" s="149" t="s">
        <v>235</v>
      </c>
      <c r="B44" s="144">
        <v>0</v>
      </c>
      <c r="C44" s="144">
        <v>0</v>
      </c>
      <c r="D44" s="144">
        <v>0</v>
      </c>
      <c r="E44" s="144">
        <v>0</v>
      </c>
      <c r="F44" s="144">
        <v>0</v>
      </c>
      <c r="G44" s="144">
        <v>0</v>
      </c>
      <c r="H44" s="144">
        <v>0</v>
      </c>
      <c r="I44" s="144">
        <v>0</v>
      </c>
      <c r="J44" s="144">
        <v>0</v>
      </c>
      <c r="K44" s="144">
        <v>0</v>
      </c>
      <c r="L44" s="144">
        <v>0</v>
      </c>
      <c r="M44" s="144">
        <v>0</v>
      </c>
      <c r="N44" s="144">
        <v>0</v>
      </c>
      <c r="O44" s="144">
        <v>0</v>
      </c>
      <c r="P44" s="144">
        <v>0</v>
      </c>
      <c r="Q44" s="144">
        <v>0</v>
      </c>
      <c r="R44" s="144">
        <v>0</v>
      </c>
      <c r="S44" s="144">
        <v>0</v>
      </c>
      <c r="T44" s="144">
        <v>0</v>
      </c>
      <c r="U44" s="144">
        <v>0</v>
      </c>
      <c r="V44" s="144">
        <v>0</v>
      </c>
      <c r="W44" s="144">
        <v>0</v>
      </c>
      <c r="X44" s="144">
        <v>0</v>
      </c>
      <c r="Y44" s="144">
        <v>0</v>
      </c>
      <c r="Z44" s="144">
        <v>0</v>
      </c>
      <c r="AA44" s="144">
        <v>0</v>
      </c>
      <c r="AB44" s="144">
        <v>0</v>
      </c>
      <c r="AC44" s="144">
        <v>0</v>
      </c>
      <c r="AD44" s="144">
        <v>0</v>
      </c>
      <c r="AE44" s="144">
        <v>0</v>
      </c>
      <c r="AF44" s="144">
        <v>0</v>
      </c>
      <c r="AG44" s="144">
        <v>0</v>
      </c>
      <c r="AH44" s="144">
        <v>0</v>
      </c>
      <c r="AI44" s="144">
        <v>0</v>
      </c>
      <c r="AJ44" s="144">
        <v>0</v>
      </c>
      <c r="AK44" s="144">
        <v>0.15</v>
      </c>
      <c r="AL44" s="144">
        <v>0.05</v>
      </c>
      <c r="AM44" s="144">
        <v>0.1</v>
      </c>
      <c r="AN44" s="144">
        <v>0</v>
      </c>
      <c r="AO44" s="144">
        <v>0</v>
      </c>
      <c r="AP44" s="144">
        <v>0</v>
      </c>
      <c r="AQ44" s="144">
        <v>0.13000000000000003</v>
      </c>
      <c r="AR44" s="144">
        <v>0</v>
      </c>
      <c r="AS44" s="144">
        <v>0</v>
      </c>
      <c r="AT44" s="144">
        <v>0</v>
      </c>
      <c r="AU44" s="144">
        <v>0</v>
      </c>
      <c r="AV44" s="144">
        <v>0</v>
      </c>
      <c r="AW44" s="144">
        <v>0</v>
      </c>
      <c r="AX44" s="144">
        <v>0</v>
      </c>
    </row>
    <row r="45" spans="1:50" x14ac:dyDescent="0.15">
      <c r="A45" s="149" t="s">
        <v>236</v>
      </c>
      <c r="B45" s="144">
        <v>0</v>
      </c>
      <c r="C45" s="144">
        <v>0</v>
      </c>
      <c r="D45" s="144">
        <v>0</v>
      </c>
      <c r="E45" s="144">
        <v>0</v>
      </c>
      <c r="F45" s="144">
        <v>0</v>
      </c>
      <c r="G45" s="144">
        <v>0</v>
      </c>
      <c r="H45" s="144">
        <v>0</v>
      </c>
      <c r="I45" s="144">
        <v>0</v>
      </c>
      <c r="J45" s="144">
        <v>0</v>
      </c>
      <c r="K45" s="144">
        <v>0</v>
      </c>
      <c r="L45" s="144">
        <v>0</v>
      </c>
      <c r="M45" s="144">
        <v>0</v>
      </c>
      <c r="N45" s="144">
        <v>0</v>
      </c>
      <c r="O45" s="144">
        <v>0</v>
      </c>
      <c r="P45" s="144">
        <v>0</v>
      </c>
      <c r="Q45" s="144">
        <v>0</v>
      </c>
      <c r="R45" s="144">
        <v>0</v>
      </c>
      <c r="S45" s="144">
        <v>0</v>
      </c>
      <c r="T45" s="144">
        <v>0</v>
      </c>
      <c r="U45" s="144">
        <v>0</v>
      </c>
      <c r="V45" s="144">
        <v>0</v>
      </c>
      <c r="W45" s="144">
        <v>0.12492940337309388</v>
      </c>
      <c r="X45" s="144">
        <v>0</v>
      </c>
      <c r="Y45" s="144">
        <v>0</v>
      </c>
      <c r="Z45" s="144">
        <v>0</v>
      </c>
      <c r="AA45" s="144">
        <v>0</v>
      </c>
      <c r="AB45" s="144">
        <v>0</v>
      </c>
      <c r="AC45" s="144">
        <v>0</v>
      </c>
      <c r="AD45" s="144">
        <v>0</v>
      </c>
      <c r="AE45" s="144">
        <v>0</v>
      </c>
      <c r="AF45" s="144">
        <v>0</v>
      </c>
      <c r="AG45" s="144">
        <v>4.5005171980227555E-2</v>
      </c>
      <c r="AH45" s="144">
        <v>0</v>
      </c>
      <c r="AI45" s="144">
        <v>0</v>
      </c>
      <c r="AJ45" s="144">
        <v>0</v>
      </c>
      <c r="AK45" s="144">
        <v>0</v>
      </c>
      <c r="AL45" s="144">
        <v>0.55000000000000004</v>
      </c>
      <c r="AM45" s="144">
        <v>0.05</v>
      </c>
      <c r="AN45" s="144">
        <v>0.9</v>
      </c>
      <c r="AO45" s="144">
        <v>0.5</v>
      </c>
      <c r="AP45" s="144">
        <v>0.15</v>
      </c>
      <c r="AQ45" s="144">
        <v>0.29000000000000004</v>
      </c>
      <c r="AR45" s="144">
        <v>0</v>
      </c>
      <c r="AS45" s="144">
        <v>0</v>
      </c>
      <c r="AT45" s="144">
        <v>0</v>
      </c>
      <c r="AU45" s="144">
        <v>0</v>
      </c>
      <c r="AV45" s="144">
        <v>0</v>
      </c>
      <c r="AW45" s="144">
        <v>0</v>
      </c>
      <c r="AX45" s="144">
        <v>0</v>
      </c>
    </row>
    <row r="46" spans="1:50" x14ac:dyDescent="0.15">
      <c r="A46" s="149" t="s">
        <v>237</v>
      </c>
      <c r="B46" s="144">
        <v>0</v>
      </c>
      <c r="C46" s="144">
        <v>0</v>
      </c>
      <c r="D46" s="144">
        <v>0</v>
      </c>
      <c r="E46" s="144">
        <v>0</v>
      </c>
      <c r="F46" s="144">
        <v>0</v>
      </c>
      <c r="G46" s="144">
        <v>0</v>
      </c>
      <c r="H46" s="144">
        <v>0</v>
      </c>
      <c r="I46" s="144">
        <v>0</v>
      </c>
      <c r="J46" s="144">
        <v>0</v>
      </c>
      <c r="K46" s="144">
        <v>0</v>
      </c>
      <c r="L46" s="144">
        <v>0</v>
      </c>
      <c r="M46" s="144">
        <v>0</v>
      </c>
      <c r="N46" s="144">
        <v>0</v>
      </c>
      <c r="O46" s="144">
        <v>0</v>
      </c>
      <c r="P46" s="144">
        <v>0</v>
      </c>
      <c r="Q46" s="144">
        <v>0</v>
      </c>
      <c r="R46" s="144">
        <v>0</v>
      </c>
      <c r="S46" s="144">
        <v>0</v>
      </c>
      <c r="T46" s="144">
        <v>0</v>
      </c>
      <c r="U46" s="144">
        <v>0</v>
      </c>
      <c r="V46" s="144">
        <v>0</v>
      </c>
      <c r="W46" s="144">
        <v>0</v>
      </c>
      <c r="X46" s="144">
        <v>0</v>
      </c>
      <c r="Y46" s="144">
        <v>0</v>
      </c>
      <c r="Z46" s="144">
        <v>0</v>
      </c>
      <c r="AA46" s="144">
        <v>0</v>
      </c>
      <c r="AB46" s="144">
        <v>0</v>
      </c>
      <c r="AC46" s="144">
        <v>0</v>
      </c>
      <c r="AD46" s="144">
        <v>0</v>
      </c>
      <c r="AE46" s="144">
        <v>0</v>
      </c>
      <c r="AF46" s="144">
        <v>0</v>
      </c>
      <c r="AG46" s="144">
        <v>0</v>
      </c>
      <c r="AH46" s="144">
        <v>0</v>
      </c>
      <c r="AI46" s="144">
        <v>0</v>
      </c>
      <c r="AJ46" s="144">
        <v>0</v>
      </c>
      <c r="AK46" s="144">
        <v>0</v>
      </c>
      <c r="AL46" s="144">
        <v>0.1</v>
      </c>
      <c r="AM46" s="144">
        <v>0.05</v>
      </c>
      <c r="AN46" s="144">
        <v>0</v>
      </c>
      <c r="AO46" s="144">
        <v>0</v>
      </c>
      <c r="AP46" s="144">
        <v>0.3</v>
      </c>
      <c r="AQ46" s="144">
        <v>0.20000000000000004</v>
      </c>
      <c r="AR46" s="144">
        <v>0.02</v>
      </c>
      <c r="AS46" s="144">
        <v>0</v>
      </c>
      <c r="AT46" s="144">
        <v>0</v>
      </c>
      <c r="AU46" s="144">
        <v>0</v>
      </c>
      <c r="AV46" s="144">
        <v>0</v>
      </c>
      <c r="AW46" s="144">
        <v>0</v>
      </c>
      <c r="AX46" s="144">
        <v>0</v>
      </c>
    </row>
    <row r="47" spans="1:50" x14ac:dyDescent="0.15">
      <c r="A47" s="149" t="s">
        <v>238</v>
      </c>
      <c r="B47" s="144">
        <v>0</v>
      </c>
      <c r="C47" s="144">
        <v>0</v>
      </c>
      <c r="D47" s="144">
        <v>0</v>
      </c>
      <c r="E47" s="144">
        <v>0</v>
      </c>
      <c r="F47" s="144">
        <v>0</v>
      </c>
      <c r="G47" s="144">
        <v>0</v>
      </c>
      <c r="H47" s="144">
        <v>0</v>
      </c>
      <c r="I47" s="144">
        <v>0</v>
      </c>
      <c r="J47" s="144">
        <v>0</v>
      </c>
      <c r="K47" s="144">
        <v>0</v>
      </c>
      <c r="L47" s="144">
        <v>0</v>
      </c>
      <c r="M47" s="144">
        <v>0</v>
      </c>
      <c r="N47" s="144">
        <v>0</v>
      </c>
      <c r="O47" s="144">
        <v>0</v>
      </c>
      <c r="P47" s="144">
        <v>0</v>
      </c>
      <c r="Q47" s="144">
        <v>0</v>
      </c>
      <c r="R47" s="144">
        <v>0</v>
      </c>
      <c r="S47" s="144">
        <v>0</v>
      </c>
      <c r="T47" s="144">
        <v>0</v>
      </c>
      <c r="U47" s="144">
        <v>0</v>
      </c>
      <c r="V47" s="144">
        <v>0</v>
      </c>
      <c r="W47" s="144">
        <v>0</v>
      </c>
      <c r="X47" s="144">
        <v>0</v>
      </c>
      <c r="Y47" s="144">
        <v>0</v>
      </c>
      <c r="Z47" s="144">
        <v>0</v>
      </c>
      <c r="AA47" s="144">
        <v>0</v>
      </c>
      <c r="AB47" s="144">
        <v>0</v>
      </c>
      <c r="AC47" s="144">
        <v>0</v>
      </c>
      <c r="AD47" s="144">
        <v>1.4189941326055961E-2</v>
      </c>
      <c r="AE47" s="144">
        <v>0</v>
      </c>
      <c r="AF47" s="144">
        <v>0</v>
      </c>
      <c r="AG47" s="144">
        <v>0</v>
      </c>
      <c r="AH47" s="144">
        <v>3.8976640848149488E-2</v>
      </c>
      <c r="AI47" s="144">
        <v>0</v>
      </c>
      <c r="AJ47" s="144">
        <v>0</v>
      </c>
      <c r="AK47" s="144">
        <v>0</v>
      </c>
      <c r="AL47" s="144">
        <v>0</v>
      </c>
      <c r="AM47" s="144">
        <v>0</v>
      </c>
      <c r="AN47" s="144">
        <v>0</v>
      </c>
      <c r="AO47" s="144">
        <v>0</v>
      </c>
      <c r="AP47" s="144">
        <v>0</v>
      </c>
      <c r="AQ47" s="144">
        <v>0</v>
      </c>
      <c r="AR47" s="144">
        <v>0</v>
      </c>
      <c r="AS47" s="144">
        <v>0</v>
      </c>
      <c r="AT47" s="144">
        <v>0</v>
      </c>
      <c r="AU47" s="144">
        <v>0</v>
      </c>
      <c r="AV47" s="144">
        <v>0</v>
      </c>
      <c r="AW47" s="144">
        <v>0</v>
      </c>
      <c r="AX47" s="144">
        <v>0</v>
      </c>
    </row>
    <row r="48" spans="1:50" x14ac:dyDescent="0.15">
      <c r="A48" s="149" t="s">
        <v>239</v>
      </c>
      <c r="B48" s="144">
        <v>4.7496132671244196E-2</v>
      </c>
      <c r="C48" s="144">
        <v>0.19995846526746172</v>
      </c>
      <c r="D48" s="144">
        <v>0</v>
      </c>
      <c r="E48" s="144">
        <v>0</v>
      </c>
      <c r="F48" s="144">
        <v>0</v>
      </c>
      <c r="G48" s="144">
        <v>0</v>
      </c>
      <c r="H48" s="144">
        <v>0</v>
      </c>
      <c r="I48" s="144">
        <v>0</v>
      </c>
      <c r="J48" s="144">
        <v>0</v>
      </c>
      <c r="K48" s="144">
        <v>0</v>
      </c>
      <c r="L48" s="144">
        <v>0</v>
      </c>
      <c r="M48" s="144">
        <v>0</v>
      </c>
      <c r="N48" s="144">
        <v>0</v>
      </c>
      <c r="O48" s="144">
        <v>0</v>
      </c>
      <c r="P48" s="144">
        <v>0</v>
      </c>
      <c r="Q48" s="144">
        <v>0</v>
      </c>
      <c r="R48" s="144">
        <v>0</v>
      </c>
      <c r="S48" s="144">
        <v>0</v>
      </c>
      <c r="T48" s="144">
        <v>0</v>
      </c>
      <c r="U48" s="144">
        <v>0</v>
      </c>
      <c r="V48" s="144">
        <v>0</v>
      </c>
      <c r="W48" s="144">
        <v>0</v>
      </c>
      <c r="X48" s="144">
        <v>0</v>
      </c>
      <c r="Y48" s="144">
        <v>0</v>
      </c>
      <c r="Z48" s="144">
        <v>0</v>
      </c>
      <c r="AA48" s="144">
        <v>0</v>
      </c>
      <c r="AB48" s="144">
        <v>0</v>
      </c>
      <c r="AC48" s="144">
        <v>0</v>
      </c>
      <c r="AD48" s="144">
        <v>0</v>
      </c>
      <c r="AE48" s="144">
        <v>0</v>
      </c>
      <c r="AF48" s="144">
        <v>0</v>
      </c>
      <c r="AG48" s="144">
        <v>9.9983164399259222E-3</v>
      </c>
      <c r="AH48" s="144">
        <v>4.9985262383889263E-3</v>
      </c>
      <c r="AI48" s="144">
        <v>0</v>
      </c>
      <c r="AJ48" s="144">
        <v>9.9962709290264771E-4</v>
      </c>
      <c r="AK48" s="144">
        <v>0</v>
      </c>
      <c r="AL48" s="144">
        <v>0</v>
      </c>
      <c r="AM48" s="144">
        <v>0</v>
      </c>
      <c r="AN48" s="144">
        <v>0</v>
      </c>
      <c r="AO48" s="144">
        <v>0</v>
      </c>
      <c r="AP48" s="144">
        <v>0</v>
      </c>
      <c r="AQ48" s="144">
        <v>0</v>
      </c>
      <c r="AR48" s="144">
        <v>0</v>
      </c>
      <c r="AS48" s="144">
        <v>0</v>
      </c>
      <c r="AT48" s="144">
        <v>0</v>
      </c>
      <c r="AU48" s="144">
        <v>0</v>
      </c>
      <c r="AV48" s="144">
        <v>0</v>
      </c>
      <c r="AW48" s="144">
        <v>0</v>
      </c>
      <c r="AX48" s="144">
        <v>0</v>
      </c>
    </row>
    <row r="49" spans="1:50" x14ac:dyDescent="0.15">
      <c r="A49" s="149" t="s">
        <v>240</v>
      </c>
      <c r="B49" s="144">
        <v>0</v>
      </c>
      <c r="C49" s="144">
        <v>0</v>
      </c>
      <c r="D49" s="144">
        <v>0</v>
      </c>
      <c r="E49" s="144">
        <v>0</v>
      </c>
      <c r="F49" s="144">
        <v>6.6406820025291708E-4</v>
      </c>
      <c r="G49" s="144">
        <v>4.0245525282009429E-3</v>
      </c>
      <c r="H49" s="144">
        <v>0</v>
      </c>
      <c r="I49" s="144">
        <v>0</v>
      </c>
      <c r="J49" s="144">
        <v>0</v>
      </c>
      <c r="K49" s="144">
        <v>0</v>
      </c>
      <c r="L49" s="144">
        <v>0</v>
      </c>
      <c r="M49" s="144">
        <v>0</v>
      </c>
      <c r="N49" s="144">
        <v>0</v>
      </c>
      <c r="O49" s="144">
        <v>4.996992211041508E-2</v>
      </c>
      <c r="P49" s="144">
        <v>8.0951188438553645E-2</v>
      </c>
      <c r="Q49" s="144">
        <v>0</v>
      </c>
      <c r="R49" s="144">
        <v>0</v>
      </c>
      <c r="S49" s="144">
        <v>0</v>
      </c>
      <c r="T49" s="144">
        <v>0</v>
      </c>
      <c r="U49" s="144">
        <v>0</v>
      </c>
      <c r="V49" s="144">
        <v>0</v>
      </c>
      <c r="W49" s="144">
        <v>0</v>
      </c>
      <c r="X49" s="144">
        <v>0</v>
      </c>
      <c r="Y49" s="144">
        <v>0</v>
      </c>
      <c r="Z49" s="144">
        <v>0</v>
      </c>
      <c r="AA49" s="144">
        <v>0</v>
      </c>
      <c r="AB49" s="144">
        <v>0</v>
      </c>
      <c r="AC49" s="144">
        <v>0</v>
      </c>
      <c r="AD49" s="144">
        <v>0</v>
      </c>
      <c r="AE49" s="144">
        <v>0</v>
      </c>
      <c r="AF49" s="144">
        <v>0</v>
      </c>
      <c r="AG49" s="144">
        <v>0.14590475641980927</v>
      </c>
      <c r="AH49" s="144">
        <v>6.0982000120346103E-2</v>
      </c>
      <c r="AI49" s="144">
        <v>0.25008109822442415</v>
      </c>
      <c r="AJ49" s="144">
        <v>0.10895929922638897</v>
      </c>
      <c r="AK49" s="144">
        <v>0.65</v>
      </c>
      <c r="AL49" s="144">
        <v>0.3</v>
      </c>
      <c r="AM49" s="144">
        <v>0.8</v>
      </c>
      <c r="AN49" s="144">
        <v>0</v>
      </c>
      <c r="AO49" s="144">
        <v>0</v>
      </c>
      <c r="AP49" s="144">
        <v>0.15</v>
      </c>
      <c r="AQ49" s="144">
        <v>0.36000000000000004</v>
      </c>
      <c r="AR49" s="144">
        <v>0.98</v>
      </c>
      <c r="AS49" s="144">
        <v>0</v>
      </c>
      <c r="AT49" s="144">
        <v>0</v>
      </c>
      <c r="AU49" s="144">
        <v>0</v>
      </c>
      <c r="AV49" s="144">
        <v>0</v>
      </c>
      <c r="AW49" s="144">
        <v>0</v>
      </c>
      <c r="AX49" s="144">
        <v>0</v>
      </c>
    </row>
    <row r="50" spans="1:50" x14ac:dyDescent="0.15">
      <c r="A50" s="149" t="s">
        <v>241</v>
      </c>
      <c r="B50" s="144">
        <v>0</v>
      </c>
      <c r="C50" s="144">
        <v>0</v>
      </c>
      <c r="D50" s="144">
        <v>0</v>
      </c>
      <c r="E50" s="144">
        <v>0</v>
      </c>
      <c r="F50" s="144">
        <v>0</v>
      </c>
      <c r="G50" s="144">
        <v>0</v>
      </c>
      <c r="H50" s="144">
        <v>0</v>
      </c>
      <c r="I50" s="144">
        <v>0</v>
      </c>
      <c r="J50" s="144">
        <v>0</v>
      </c>
      <c r="K50" s="144">
        <v>0</v>
      </c>
      <c r="L50" s="144">
        <v>0</v>
      </c>
      <c r="M50" s="144">
        <v>0</v>
      </c>
      <c r="N50" s="144">
        <v>0</v>
      </c>
      <c r="O50" s="144">
        <v>0</v>
      </c>
      <c r="P50" s="144">
        <v>0</v>
      </c>
      <c r="Q50" s="144">
        <v>0</v>
      </c>
      <c r="R50" s="144">
        <v>0</v>
      </c>
      <c r="S50" s="144">
        <v>0</v>
      </c>
      <c r="T50" s="144">
        <v>0</v>
      </c>
      <c r="U50" s="144">
        <v>0</v>
      </c>
      <c r="V50" s="144">
        <v>0</v>
      </c>
      <c r="W50" s="144">
        <v>0</v>
      </c>
      <c r="X50" s="144">
        <v>0</v>
      </c>
      <c r="Y50" s="144">
        <v>0</v>
      </c>
      <c r="Z50" s="144">
        <v>0</v>
      </c>
      <c r="AA50" s="144">
        <v>0</v>
      </c>
      <c r="AB50" s="144">
        <v>0</v>
      </c>
      <c r="AC50" s="144">
        <v>0</v>
      </c>
      <c r="AD50" s="144">
        <v>0</v>
      </c>
      <c r="AE50" s="144">
        <v>0</v>
      </c>
      <c r="AF50" s="144">
        <v>0</v>
      </c>
      <c r="AG50" s="144">
        <v>0</v>
      </c>
      <c r="AH50" s="144">
        <v>0</v>
      </c>
      <c r="AI50" s="144">
        <v>0</v>
      </c>
      <c r="AJ50" s="144">
        <v>0</v>
      </c>
      <c r="AK50" s="144">
        <v>0</v>
      </c>
      <c r="AL50" s="144">
        <v>0</v>
      </c>
      <c r="AM50" s="144">
        <v>0</v>
      </c>
      <c r="AN50" s="144">
        <v>0</v>
      </c>
      <c r="AO50" s="144">
        <v>0</v>
      </c>
      <c r="AP50" s="144">
        <v>0</v>
      </c>
      <c r="AQ50" s="144">
        <v>0</v>
      </c>
      <c r="AR50" s="144">
        <v>0</v>
      </c>
      <c r="AS50" s="144">
        <v>0</v>
      </c>
      <c r="AT50" s="144">
        <v>0</v>
      </c>
      <c r="AU50" s="144">
        <v>0</v>
      </c>
      <c r="AV50" s="144">
        <v>0</v>
      </c>
      <c r="AW50" s="144">
        <v>0</v>
      </c>
      <c r="AX50" s="144">
        <v>0</v>
      </c>
    </row>
    <row r="51" spans="1:50" x14ac:dyDescent="0.15">
      <c r="A51" s="149" t="s">
        <v>245</v>
      </c>
      <c r="B51" s="144">
        <v>0</v>
      </c>
      <c r="C51" s="144">
        <v>0</v>
      </c>
      <c r="D51" s="144">
        <v>0</v>
      </c>
      <c r="E51" s="144">
        <v>2.0999998816965067E-2</v>
      </c>
      <c r="F51" s="144">
        <v>9.9999989497001132E-3</v>
      </c>
      <c r="G51" s="144">
        <v>0</v>
      </c>
      <c r="H51" s="144">
        <v>0.19100007059744609</v>
      </c>
      <c r="I51" s="144">
        <v>0</v>
      </c>
      <c r="J51" s="144">
        <v>0</v>
      </c>
      <c r="K51" s="144">
        <v>0</v>
      </c>
      <c r="L51" s="144">
        <v>0</v>
      </c>
      <c r="M51" s="144">
        <v>0</v>
      </c>
      <c r="N51" s="144">
        <v>0</v>
      </c>
      <c r="O51" s="144">
        <v>0</v>
      </c>
      <c r="P51" s="144">
        <v>0</v>
      </c>
      <c r="Q51" s="144">
        <v>0</v>
      </c>
      <c r="R51" s="144">
        <v>0</v>
      </c>
      <c r="S51" s="144">
        <v>0</v>
      </c>
      <c r="T51" s="144">
        <v>0</v>
      </c>
      <c r="U51" s="144">
        <v>0</v>
      </c>
      <c r="V51" s="144">
        <v>0</v>
      </c>
      <c r="W51" s="144">
        <v>0</v>
      </c>
      <c r="X51" s="144">
        <v>0</v>
      </c>
      <c r="Y51" s="144">
        <v>0</v>
      </c>
      <c r="Z51" s="144">
        <v>0</v>
      </c>
      <c r="AA51" s="144">
        <v>0</v>
      </c>
      <c r="AB51" s="144">
        <v>0</v>
      </c>
      <c r="AC51" s="144">
        <v>0</v>
      </c>
      <c r="AD51" s="144">
        <v>1.9999999332000026E-2</v>
      </c>
      <c r="AE51" s="144">
        <v>0</v>
      </c>
      <c r="AF51" s="144">
        <v>0</v>
      </c>
      <c r="AG51" s="144">
        <v>0</v>
      </c>
      <c r="AH51" s="144">
        <v>0</v>
      </c>
      <c r="AI51" s="144">
        <v>0</v>
      </c>
      <c r="AJ51" s="144">
        <v>0</v>
      </c>
      <c r="AK51" s="144">
        <v>0</v>
      </c>
      <c r="AL51" s="144">
        <v>0</v>
      </c>
      <c r="AM51" s="144">
        <v>0</v>
      </c>
      <c r="AN51" s="144">
        <v>0</v>
      </c>
      <c r="AO51" s="144">
        <v>0</v>
      </c>
      <c r="AP51" s="144">
        <v>0</v>
      </c>
      <c r="AQ51" s="144">
        <v>0</v>
      </c>
      <c r="AR51" s="144">
        <v>0</v>
      </c>
      <c r="AS51" s="144">
        <v>0</v>
      </c>
      <c r="AT51" s="144">
        <v>0</v>
      </c>
      <c r="AU51" s="144">
        <v>0</v>
      </c>
      <c r="AV51" s="144">
        <v>0</v>
      </c>
      <c r="AW51" s="144">
        <v>0</v>
      </c>
      <c r="AX51" s="144">
        <v>0</v>
      </c>
    </row>
    <row r="53" spans="1:50" x14ac:dyDescent="0.15">
      <c r="A53" s="256" t="s">
        <v>267</v>
      </c>
      <c r="B53" s="144">
        <f>SUM(B2:B51)</f>
        <v>1</v>
      </c>
      <c r="C53" s="144">
        <f t="shared" ref="C53:AX53" si="0">SUM(C2:C51)</f>
        <v>0.99999999999999989</v>
      </c>
      <c r="D53" s="144">
        <f t="shared" si="0"/>
        <v>1</v>
      </c>
      <c r="E53" s="144">
        <f t="shared" si="0"/>
        <v>0.99999999999999989</v>
      </c>
      <c r="F53" s="144">
        <f t="shared" si="0"/>
        <v>1.0000000000000004</v>
      </c>
      <c r="G53" s="144">
        <f t="shared" si="0"/>
        <v>1.0000000000000002</v>
      </c>
      <c r="H53" s="144">
        <f t="shared" si="0"/>
        <v>0.99999999999999989</v>
      </c>
      <c r="I53" s="144">
        <f t="shared" si="0"/>
        <v>1</v>
      </c>
      <c r="J53" s="144">
        <f t="shared" si="0"/>
        <v>1</v>
      </c>
      <c r="K53" s="144">
        <f t="shared" si="0"/>
        <v>1</v>
      </c>
      <c r="L53" s="144">
        <f t="shared" si="0"/>
        <v>1</v>
      </c>
      <c r="M53" s="144">
        <f t="shared" si="0"/>
        <v>0.99999999999999989</v>
      </c>
      <c r="N53" s="144">
        <f t="shared" si="0"/>
        <v>0.99999999999999989</v>
      </c>
      <c r="O53" s="144">
        <f t="shared" si="0"/>
        <v>1.0000000000000002</v>
      </c>
      <c r="P53" s="144">
        <f t="shared" si="0"/>
        <v>0.99999999999999989</v>
      </c>
      <c r="Q53" s="144">
        <f t="shared" si="0"/>
        <v>0.99999999999999967</v>
      </c>
      <c r="R53" s="144">
        <f t="shared" si="0"/>
        <v>1</v>
      </c>
      <c r="S53" s="144">
        <f t="shared" si="0"/>
        <v>1</v>
      </c>
      <c r="T53" s="144">
        <f t="shared" si="0"/>
        <v>1</v>
      </c>
      <c r="U53" s="144">
        <f t="shared" si="0"/>
        <v>0.99999999999999989</v>
      </c>
      <c r="V53" s="144">
        <f t="shared" si="0"/>
        <v>1</v>
      </c>
      <c r="W53" s="144">
        <f t="shared" si="0"/>
        <v>1</v>
      </c>
      <c r="X53" s="144">
        <f t="shared" si="0"/>
        <v>0.99999999999999989</v>
      </c>
      <c r="Y53" s="144">
        <f t="shared" si="0"/>
        <v>1.0000000000000002</v>
      </c>
      <c r="Z53" s="144">
        <f t="shared" si="0"/>
        <v>1</v>
      </c>
      <c r="AA53" s="144">
        <f t="shared" si="0"/>
        <v>1</v>
      </c>
      <c r="AB53" s="144">
        <f t="shared" si="0"/>
        <v>1</v>
      </c>
      <c r="AC53" s="144">
        <f t="shared" si="0"/>
        <v>1</v>
      </c>
      <c r="AD53" s="144">
        <f t="shared" si="0"/>
        <v>1</v>
      </c>
      <c r="AE53" s="144">
        <f t="shared" si="0"/>
        <v>0.99999999999999978</v>
      </c>
      <c r="AF53" s="144">
        <f t="shared" si="0"/>
        <v>1</v>
      </c>
      <c r="AG53" s="144">
        <f t="shared" si="0"/>
        <v>0.99999999999999989</v>
      </c>
      <c r="AH53" s="144">
        <f t="shared" si="0"/>
        <v>0.99999999999999978</v>
      </c>
      <c r="AI53" s="144">
        <f t="shared" si="0"/>
        <v>0.99999999999999989</v>
      </c>
      <c r="AJ53" s="144">
        <f t="shared" si="0"/>
        <v>1.0000000000000002</v>
      </c>
      <c r="AK53" s="144">
        <f t="shared" si="0"/>
        <v>1</v>
      </c>
      <c r="AL53" s="144">
        <f t="shared" si="0"/>
        <v>1</v>
      </c>
      <c r="AM53" s="144">
        <f t="shared" si="0"/>
        <v>1</v>
      </c>
      <c r="AN53" s="144">
        <f t="shared" si="0"/>
        <v>1</v>
      </c>
      <c r="AO53" s="144">
        <f t="shared" si="0"/>
        <v>1</v>
      </c>
      <c r="AP53" s="144">
        <f t="shared" si="0"/>
        <v>1</v>
      </c>
      <c r="AQ53" s="144">
        <f t="shared" si="0"/>
        <v>1.0000000000000002</v>
      </c>
      <c r="AR53" s="144">
        <f t="shared" si="0"/>
        <v>1</v>
      </c>
      <c r="AS53" s="144">
        <f t="shared" si="0"/>
        <v>0</v>
      </c>
      <c r="AT53" s="144">
        <f t="shared" si="0"/>
        <v>0</v>
      </c>
      <c r="AU53" s="144">
        <f t="shared" si="0"/>
        <v>0</v>
      </c>
      <c r="AV53" s="144">
        <f t="shared" si="0"/>
        <v>0</v>
      </c>
      <c r="AW53" s="144">
        <f t="shared" si="0"/>
        <v>0</v>
      </c>
      <c r="AX53" s="144">
        <f t="shared" si="0"/>
        <v>0</v>
      </c>
    </row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tabSelected="1" workbookViewId="0">
      <pane xSplit="2" ySplit="1" topLeftCell="C38" activePane="bottomRight" state="frozen"/>
      <selection pane="topRight" activeCell="C1" sqref="C1"/>
      <selection pane="bottomLeft" activeCell="A2" sqref="A2"/>
      <selection pane="bottomRight" activeCell="J54" sqref="J54"/>
    </sheetView>
  </sheetViews>
  <sheetFormatPr baseColWidth="10" defaultColWidth="8.83203125" defaultRowHeight="13" x14ac:dyDescent="0.15"/>
  <cols>
    <col min="1" max="1" width="3.33203125" customWidth="1"/>
    <col min="2" max="2" width="37.5" customWidth="1"/>
    <col min="3" max="3" width="7.6640625" style="113" bestFit="1" customWidth="1"/>
    <col min="4" max="4" width="7" style="113" bestFit="1" customWidth="1"/>
    <col min="5" max="5" width="20.33203125" style="112" bestFit="1" customWidth="1"/>
    <col min="6" max="6" width="6" style="112" bestFit="1" customWidth="1"/>
    <col min="7" max="7" width="4.33203125" style="113" bestFit="1" customWidth="1"/>
    <col min="8" max="8" width="8.83203125" style="113"/>
  </cols>
  <sheetData>
    <row r="1" spans="1:8" ht="70" x14ac:dyDescent="0.15">
      <c r="A1" s="5" t="s">
        <v>20</v>
      </c>
      <c r="B1" s="1" t="s">
        <v>0</v>
      </c>
      <c r="C1" s="152" t="s">
        <v>239</v>
      </c>
      <c r="D1" s="152" t="s">
        <v>240</v>
      </c>
      <c r="E1" s="152" t="s">
        <v>241</v>
      </c>
      <c r="F1" s="152" t="s">
        <v>246</v>
      </c>
      <c r="G1" s="152" t="s">
        <v>247</v>
      </c>
      <c r="H1"/>
    </row>
    <row r="2" spans="1:8" x14ac:dyDescent="0.15">
      <c r="A2">
        <v>1</v>
      </c>
      <c r="B2" s="151" t="s">
        <v>193</v>
      </c>
      <c r="C2" s="113">
        <v>0</v>
      </c>
      <c r="D2" s="113">
        <v>1</v>
      </c>
      <c r="E2" s="112">
        <v>0</v>
      </c>
      <c r="F2" s="112">
        <v>0</v>
      </c>
      <c r="G2" s="113">
        <v>1</v>
      </c>
      <c r="H2"/>
    </row>
    <row r="3" spans="1:8" x14ac:dyDescent="0.15">
      <c r="A3">
        <v>2</v>
      </c>
      <c r="B3" s="151" t="s">
        <v>194</v>
      </c>
      <c r="C3" s="113">
        <v>0</v>
      </c>
      <c r="D3" s="113">
        <v>1</v>
      </c>
      <c r="E3" s="112">
        <v>0</v>
      </c>
      <c r="F3" s="112">
        <v>0</v>
      </c>
      <c r="G3" s="113">
        <v>1</v>
      </c>
      <c r="H3"/>
    </row>
    <row r="4" spans="1:8" x14ac:dyDescent="0.15">
      <c r="A4">
        <v>3</v>
      </c>
      <c r="B4" s="151" t="s">
        <v>195</v>
      </c>
      <c r="C4" s="113">
        <v>0</v>
      </c>
      <c r="D4" s="113">
        <v>1</v>
      </c>
      <c r="E4" s="112">
        <v>0</v>
      </c>
      <c r="F4" s="112">
        <v>0</v>
      </c>
      <c r="G4" s="113">
        <v>1</v>
      </c>
      <c r="H4"/>
    </row>
    <row r="5" spans="1:8" x14ac:dyDescent="0.15">
      <c r="A5">
        <v>4</v>
      </c>
      <c r="B5" s="151" t="s">
        <v>196</v>
      </c>
      <c r="C5" s="113">
        <v>0</v>
      </c>
      <c r="D5" s="113">
        <v>1</v>
      </c>
      <c r="E5" s="112">
        <v>0</v>
      </c>
      <c r="F5" s="112">
        <v>0</v>
      </c>
      <c r="G5" s="113">
        <v>1</v>
      </c>
      <c r="H5"/>
    </row>
    <row r="6" spans="1:8" x14ac:dyDescent="0.15">
      <c r="A6">
        <v>5</v>
      </c>
      <c r="B6" s="151" t="s">
        <v>197</v>
      </c>
      <c r="C6" s="257">
        <v>0.01</v>
      </c>
      <c r="D6" s="257">
        <v>0.99</v>
      </c>
      <c r="E6" s="112">
        <v>0</v>
      </c>
      <c r="F6" s="112">
        <v>0</v>
      </c>
      <c r="G6" s="113">
        <v>1</v>
      </c>
      <c r="H6" s="61" t="s">
        <v>268</v>
      </c>
    </row>
    <row r="7" spans="1:8" x14ac:dyDescent="0.15">
      <c r="A7">
        <v>6</v>
      </c>
      <c r="B7" s="151" t="s">
        <v>198</v>
      </c>
      <c r="C7" s="257">
        <v>0.01</v>
      </c>
      <c r="D7" s="257">
        <v>0.99</v>
      </c>
      <c r="E7" s="112">
        <v>0</v>
      </c>
      <c r="F7" s="112">
        <v>0</v>
      </c>
      <c r="G7" s="113">
        <v>1</v>
      </c>
      <c r="H7" s="61" t="s">
        <v>268</v>
      </c>
    </row>
    <row r="8" spans="1:8" x14ac:dyDescent="0.15">
      <c r="A8">
        <v>7</v>
      </c>
      <c r="B8" s="151" t="s">
        <v>199</v>
      </c>
      <c r="C8" s="257">
        <v>0.01</v>
      </c>
      <c r="D8" s="257">
        <v>0.99</v>
      </c>
      <c r="E8" s="112">
        <v>0</v>
      </c>
      <c r="F8" s="112">
        <v>0</v>
      </c>
      <c r="G8" s="113">
        <v>1</v>
      </c>
      <c r="H8" s="61" t="s">
        <v>268</v>
      </c>
    </row>
    <row r="9" spans="1:8" x14ac:dyDescent="0.15">
      <c r="A9">
        <v>8</v>
      </c>
      <c r="B9" s="151" t="s">
        <v>200</v>
      </c>
      <c r="C9" s="257">
        <v>0.01</v>
      </c>
      <c r="D9" s="257">
        <v>0.99</v>
      </c>
      <c r="E9" s="112">
        <v>0</v>
      </c>
      <c r="F9" s="112">
        <v>0</v>
      </c>
      <c r="G9" s="113">
        <v>1</v>
      </c>
      <c r="H9" s="61" t="s">
        <v>268</v>
      </c>
    </row>
    <row r="10" spans="1:8" x14ac:dyDescent="0.15">
      <c r="A10">
        <v>9</v>
      </c>
      <c r="B10" s="151" t="s">
        <v>201</v>
      </c>
      <c r="C10" s="257">
        <v>0.01</v>
      </c>
      <c r="D10" s="257">
        <v>0.99</v>
      </c>
      <c r="E10" s="112">
        <v>0</v>
      </c>
      <c r="F10" s="112">
        <v>0</v>
      </c>
      <c r="G10" s="113">
        <v>1</v>
      </c>
      <c r="H10" s="61" t="s">
        <v>268</v>
      </c>
    </row>
    <row r="11" spans="1:8" x14ac:dyDescent="0.15">
      <c r="A11">
        <v>10</v>
      </c>
      <c r="B11" s="151" t="s">
        <v>202</v>
      </c>
      <c r="C11" s="257">
        <v>0.01</v>
      </c>
      <c r="D11" s="257">
        <v>0.99</v>
      </c>
      <c r="E11" s="112">
        <v>0</v>
      </c>
      <c r="F11" s="112">
        <v>0</v>
      </c>
      <c r="G11" s="113">
        <v>1</v>
      </c>
      <c r="H11" s="61" t="s">
        <v>268</v>
      </c>
    </row>
    <row r="12" spans="1:8" x14ac:dyDescent="0.15">
      <c r="A12">
        <v>11</v>
      </c>
      <c r="B12" s="151" t="s">
        <v>203</v>
      </c>
      <c r="C12" s="257">
        <v>0.01</v>
      </c>
      <c r="D12" s="257">
        <v>0.99</v>
      </c>
      <c r="E12" s="112">
        <v>0</v>
      </c>
      <c r="F12" s="112">
        <v>0</v>
      </c>
      <c r="G12" s="113">
        <v>1</v>
      </c>
      <c r="H12" s="61" t="s">
        <v>268</v>
      </c>
    </row>
    <row r="13" spans="1:8" x14ac:dyDescent="0.15">
      <c r="A13">
        <v>12</v>
      </c>
      <c r="B13" s="151" t="s">
        <v>204</v>
      </c>
      <c r="C13" s="257">
        <v>0.01</v>
      </c>
      <c r="D13" s="257">
        <v>0.99</v>
      </c>
      <c r="E13" s="112">
        <v>0</v>
      </c>
      <c r="F13" s="112">
        <v>0</v>
      </c>
      <c r="G13" s="113">
        <v>1</v>
      </c>
      <c r="H13" s="61" t="s">
        <v>268</v>
      </c>
    </row>
    <row r="14" spans="1:8" x14ac:dyDescent="0.15">
      <c r="A14">
        <v>13</v>
      </c>
      <c r="B14" s="151" t="s">
        <v>205</v>
      </c>
      <c r="C14" s="257">
        <v>0.01</v>
      </c>
      <c r="D14" s="257">
        <v>0.99</v>
      </c>
      <c r="E14" s="112">
        <v>0</v>
      </c>
      <c r="F14" s="112">
        <v>0</v>
      </c>
      <c r="G14" s="113">
        <v>1</v>
      </c>
      <c r="H14" s="61" t="s">
        <v>268</v>
      </c>
    </row>
    <row r="15" spans="1:8" x14ac:dyDescent="0.15">
      <c r="A15">
        <v>14</v>
      </c>
      <c r="B15" s="151" t="s">
        <v>206</v>
      </c>
      <c r="C15" s="257">
        <v>0.01</v>
      </c>
      <c r="D15" s="257">
        <v>0.99</v>
      </c>
      <c r="E15" s="112">
        <v>0</v>
      </c>
      <c r="F15" s="112">
        <v>0</v>
      </c>
      <c r="G15" s="113">
        <v>1</v>
      </c>
      <c r="H15" s="61" t="s">
        <v>268</v>
      </c>
    </row>
    <row r="16" spans="1:8" x14ac:dyDescent="0.15">
      <c r="A16">
        <v>15</v>
      </c>
      <c r="B16" s="151" t="s">
        <v>207</v>
      </c>
      <c r="C16" s="257">
        <v>0.01</v>
      </c>
      <c r="D16" s="257">
        <v>0.99</v>
      </c>
      <c r="E16" s="112">
        <v>0</v>
      </c>
      <c r="F16" s="112">
        <v>0</v>
      </c>
      <c r="G16" s="113">
        <v>1</v>
      </c>
      <c r="H16" s="61" t="s">
        <v>268</v>
      </c>
    </row>
    <row r="17" spans="1:8" ht="15" customHeight="1" x14ac:dyDescent="0.15">
      <c r="A17">
        <v>16</v>
      </c>
      <c r="B17" s="151" t="s">
        <v>208</v>
      </c>
      <c r="C17" s="257">
        <v>0.01</v>
      </c>
      <c r="D17" s="257">
        <v>0.99</v>
      </c>
      <c r="E17" s="112">
        <v>0</v>
      </c>
      <c r="F17" s="112">
        <v>0</v>
      </c>
      <c r="G17" s="113">
        <v>1</v>
      </c>
      <c r="H17" s="61" t="s">
        <v>268</v>
      </c>
    </row>
    <row r="18" spans="1:8" ht="15" customHeight="1" x14ac:dyDescent="0.15">
      <c r="A18">
        <v>17</v>
      </c>
      <c r="B18" s="151" t="s">
        <v>209</v>
      </c>
      <c r="C18" s="257">
        <v>0.01</v>
      </c>
      <c r="D18" s="257">
        <v>0.99</v>
      </c>
      <c r="E18" s="112">
        <v>0</v>
      </c>
      <c r="F18" s="112">
        <v>0</v>
      </c>
      <c r="G18" s="113">
        <v>1</v>
      </c>
      <c r="H18" s="61" t="s">
        <v>268</v>
      </c>
    </row>
    <row r="19" spans="1:8" ht="15" customHeight="1" x14ac:dyDescent="0.15">
      <c r="A19">
        <v>18</v>
      </c>
      <c r="B19" s="151" t="s">
        <v>210</v>
      </c>
      <c r="C19" s="257">
        <v>0.01</v>
      </c>
      <c r="D19" s="257">
        <v>0.99</v>
      </c>
      <c r="E19" s="112">
        <v>0</v>
      </c>
      <c r="F19" s="112">
        <v>0</v>
      </c>
      <c r="G19" s="113">
        <v>1</v>
      </c>
      <c r="H19" s="61" t="s">
        <v>268</v>
      </c>
    </row>
    <row r="20" spans="1:8" ht="15" customHeight="1" x14ac:dyDescent="0.15">
      <c r="A20">
        <v>19</v>
      </c>
      <c r="B20" s="151" t="s">
        <v>211</v>
      </c>
      <c r="C20" s="257">
        <v>0.01</v>
      </c>
      <c r="D20" s="257">
        <v>0.99</v>
      </c>
      <c r="E20" s="112">
        <v>0</v>
      </c>
      <c r="F20" s="112">
        <v>0</v>
      </c>
      <c r="G20" s="113">
        <v>1</v>
      </c>
      <c r="H20" s="61" t="s">
        <v>268</v>
      </c>
    </row>
    <row r="21" spans="1:8" ht="15" customHeight="1" x14ac:dyDescent="0.15">
      <c r="A21">
        <v>20</v>
      </c>
      <c r="B21" s="151" t="s">
        <v>212</v>
      </c>
      <c r="C21" s="257">
        <v>0.01</v>
      </c>
      <c r="D21" s="257">
        <v>0.99</v>
      </c>
      <c r="E21" s="112">
        <v>0</v>
      </c>
      <c r="F21" s="112">
        <v>0</v>
      </c>
      <c r="G21" s="113">
        <v>1</v>
      </c>
      <c r="H21" s="61" t="s">
        <v>268</v>
      </c>
    </row>
    <row r="22" spans="1:8" ht="15" customHeight="1" x14ac:dyDescent="0.15">
      <c r="A22">
        <v>21</v>
      </c>
      <c r="B22" s="151" t="s">
        <v>213</v>
      </c>
      <c r="C22" s="257">
        <v>0.01</v>
      </c>
      <c r="D22" s="257">
        <v>0.99</v>
      </c>
      <c r="E22" s="112">
        <v>0</v>
      </c>
      <c r="F22" s="112">
        <v>0</v>
      </c>
      <c r="G22" s="113">
        <v>1</v>
      </c>
      <c r="H22" s="61" t="s">
        <v>268</v>
      </c>
    </row>
    <row r="23" spans="1:8" ht="15" customHeight="1" x14ac:dyDescent="0.15">
      <c r="A23">
        <v>22</v>
      </c>
      <c r="B23" s="151" t="s">
        <v>214</v>
      </c>
      <c r="C23" s="257">
        <v>0.01</v>
      </c>
      <c r="D23" s="257">
        <v>0.99</v>
      </c>
      <c r="E23" s="112">
        <v>0</v>
      </c>
      <c r="F23" s="112">
        <v>0</v>
      </c>
      <c r="G23" s="113">
        <v>1</v>
      </c>
      <c r="H23" s="61" t="s">
        <v>268</v>
      </c>
    </row>
    <row r="24" spans="1:8" ht="15" customHeight="1" x14ac:dyDescent="0.15">
      <c r="A24">
        <v>23</v>
      </c>
      <c r="B24" s="151" t="s">
        <v>215</v>
      </c>
      <c r="C24" s="257">
        <v>0.01</v>
      </c>
      <c r="D24" s="257">
        <v>0.99</v>
      </c>
      <c r="E24" s="112">
        <v>0</v>
      </c>
      <c r="F24" s="112">
        <v>0</v>
      </c>
      <c r="G24" s="113">
        <v>1</v>
      </c>
      <c r="H24" s="61" t="s">
        <v>268</v>
      </c>
    </row>
    <row r="25" spans="1:8" ht="15" customHeight="1" x14ac:dyDescent="0.15">
      <c r="A25">
        <v>24</v>
      </c>
      <c r="B25" s="151" t="s">
        <v>216</v>
      </c>
      <c r="C25" s="257">
        <v>0.01</v>
      </c>
      <c r="D25" s="257">
        <v>0.99</v>
      </c>
      <c r="E25" s="112">
        <v>0</v>
      </c>
      <c r="F25" s="112">
        <v>0</v>
      </c>
      <c r="G25" s="113">
        <v>1</v>
      </c>
      <c r="H25" s="61" t="s">
        <v>268</v>
      </c>
    </row>
    <row r="26" spans="1:8" ht="15" customHeight="1" x14ac:dyDescent="0.15">
      <c r="A26">
        <v>25</v>
      </c>
      <c r="B26" s="151" t="s">
        <v>217</v>
      </c>
      <c r="C26" s="257">
        <v>0.01</v>
      </c>
      <c r="D26" s="257">
        <v>0.99</v>
      </c>
      <c r="E26" s="112">
        <v>0</v>
      </c>
      <c r="F26" s="112">
        <v>0</v>
      </c>
      <c r="G26" s="113">
        <v>1</v>
      </c>
      <c r="H26" s="61" t="s">
        <v>268</v>
      </c>
    </row>
    <row r="27" spans="1:8" ht="15" customHeight="1" x14ac:dyDescent="0.15">
      <c r="A27">
        <v>26</v>
      </c>
      <c r="B27" s="151" t="s">
        <v>218</v>
      </c>
      <c r="C27" s="257">
        <v>0.01</v>
      </c>
      <c r="D27" s="257">
        <v>0.99</v>
      </c>
      <c r="E27" s="112">
        <v>0</v>
      </c>
      <c r="F27" s="112">
        <v>0</v>
      </c>
      <c r="G27" s="113">
        <v>1</v>
      </c>
      <c r="H27" s="61" t="s">
        <v>268</v>
      </c>
    </row>
    <row r="28" spans="1:8" ht="15" customHeight="1" x14ac:dyDescent="0.15">
      <c r="A28">
        <v>27</v>
      </c>
      <c r="B28" s="151" t="s">
        <v>219</v>
      </c>
      <c r="C28" s="257">
        <v>0.01</v>
      </c>
      <c r="D28" s="257">
        <v>0.99</v>
      </c>
      <c r="E28" s="112">
        <v>0</v>
      </c>
      <c r="F28" s="112">
        <v>0</v>
      </c>
      <c r="G28" s="113">
        <v>1</v>
      </c>
      <c r="H28" s="61" t="s">
        <v>268</v>
      </c>
    </row>
    <row r="29" spans="1:8" ht="15" customHeight="1" x14ac:dyDescent="0.15">
      <c r="A29">
        <v>28</v>
      </c>
      <c r="B29" s="151" t="s">
        <v>220</v>
      </c>
      <c r="C29" s="257">
        <v>0.01</v>
      </c>
      <c r="D29" s="257">
        <v>0.99</v>
      </c>
      <c r="E29" s="112">
        <v>0</v>
      </c>
      <c r="F29" s="112">
        <v>0</v>
      </c>
      <c r="G29" s="113">
        <v>1</v>
      </c>
      <c r="H29" s="61" t="s">
        <v>268</v>
      </c>
    </row>
    <row r="30" spans="1:8" ht="15" customHeight="1" x14ac:dyDescent="0.15">
      <c r="A30">
        <v>29</v>
      </c>
      <c r="B30" s="151" t="s">
        <v>221</v>
      </c>
      <c r="C30" s="257">
        <v>0.01</v>
      </c>
      <c r="D30" s="257">
        <v>0.99</v>
      </c>
      <c r="E30" s="112">
        <v>0</v>
      </c>
      <c r="F30" s="112">
        <v>0</v>
      </c>
      <c r="G30" s="113">
        <v>1</v>
      </c>
      <c r="H30" s="61" t="s">
        <v>268</v>
      </c>
    </row>
    <row r="31" spans="1:8" ht="15" customHeight="1" x14ac:dyDescent="0.15">
      <c r="A31">
        <v>30</v>
      </c>
      <c r="B31" s="151" t="s">
        <v>222</v>
      </c>
      <c r="C31" s="257">
        <v>0.01</v>
      </c>
      <c r="D31" s="257">
        <v>0.99</v>
      </c>
      <c r="E31" s="112">
        <v>0</v>
      </c>
      <c r="F31" s="112">
        <v>0</v>
      </c>
      <c r="G31" s="113">
        <v>1</v>
      </c>
      <c r="H31" s="61" t="s">
        <v>268</v>
      </c>
    </row>
    <row r="32" spans="1:8" ht="15" customHeight="1" x14ac:dyDescent="0.15">
      <c r="A32">
        <v>31</v>
      </c>
      <c r="B32" s="151" t="s">
        <v>223</v>
      </c>
      <c r="C32" s="113">
        <v>0</v>
      </c>
      <c r="D32" s="113">
        <v>1</v>
      </c>
      <c r="E32" s="112">
        <v>0</v>
      </c>
      <c r="F32" s="112">
        <v>0</v>
      </c>
      <c r="G32" s="113">
        <v>1</v>
      </c>
    </row>
    <row r="33" spans="1:8" ht="15" customHeight="1" x14ac:dyDescent="0.15">
      <c r="A33">
        <v>32</v>
      </c>
      <c r="B33" s="151" t="s">
        <v>224</v>
      </c>
      <c r="C33" s="113">
        <v>0</v>
      </c>
      <c r="D33" s="113">
        <v>1</v>
      </c>
      <c r="E33" s="112">
        <v>0</v>
      </c>
      <c r="F33" s="112">
        <v>0</v>
      </c>
      <c r="G33" s="113">
        <v>1</v>
      </c>
    </row>
    <row r="34" spans="1:8" ht="15" customHeight="1" x14ac:dyDescent="0.15">
      <c r="A34">
        <v>33</v>
      </c>
      <c r="B34" s="151" t="s">
        <v>225</v>
      </c>
      <c r="C34" s="113">
        <v>0</v>
      </c>
      <c r="D34" s="113">
        <v>1</v>
      </c>
      <c r="E34" s="112">
        <v>0</v>
      </c>
      <c r="F34" s="112">
        <v>0</v>
      </c>
      <c r="G34" s="113">
        <v>1</v>
      </c>
    </row>
    <row r="35" spans="1:8" ht="15" customHeight="1" x14ac:dyDescent="0.15">
      <c r="A35">
        <v>34</v>
      </c>
      <c r="B35" s="151" t="s">
        <v>226</v>
      </c>
      <c r="C35" s="113">
        <v>0</v>
      </c>
      <c r="D35" s="113">
        <v>1</v>
      </c>
      <c r="E35" s="112">
        <v>0</v>
      </c>
      <c r="F35" s="112">
        <v>0</v>
      </c>
      <c r="G35" s="113">
        <v>1</v>
      </c>
    </row>
    <row r="36" spans="1:8" ht="15" customHeight="1" x14ac:dyDescent="0.15">
      <c r="A36">
        <v>35</v>
      </c>
      <c r="B36" s="151" t="s">
        <v>227</v>
      </c>
      <c r="C36" s="113">
        <v>0</v>
      </c>
      <c r="D36" s="113">
        <v>1</v>
      </c>
      <c r="E36" s="113">
        <v>0</v>
      </c>
      <c r="F36" s="113">
        <v>0</v>
      </c>
      <c r="G36" s="113">
        <v>1</v>
      </c>
      <c r="H36"/>
    </row>
    <row r="37" spans="1:8" ht="15" customHeight="1" x14ac:dyDescent="0.15">
      <c r="A37">
        <v>36</v>
      </c>
      <c r="B37" s="151" t="s">
        <v>228</v>
      </c>
      <c r="C37" s="113">
        <v>0</v>
      </c>
      <c r="D37" s="113">
        <v>1</v>
      </c>
      <c r="E37" s="113">
        <v>0</v>
      </c>
      <c r="F37" s="113">
        <v>0</v>
      </c>
      <c r="G37" s="113">
        <v>1</v>
      </c>
      <c r="H37"/>
    </row>
    <row r="38" spans="1:8" ht="15" customHeight="1" x14ac:dyDescent="0.15">
      <c r="A38">
        <v>37</v>
      </c>
      <c r="B38" s="151" t="s">
        <v>229</v>
      </c>
      <c r="C38" s="113">
        <v>0</v>
      </c>
      <c r="D38" s="113">
        <v>1</v>
      </c>
      <c r="E38" s="113">
        <v>0</v>
      </c>
      <c r="F38" s="113">
        <v>0</v>
      </c>
      <c r="G38" s="113">
        <v>1</v>
      </c>
      <c r="H38"/>
    </row>
    <row r="39" spans="1:8" ht="15" customHeight="1" x14ac:dyDescent="0.15">
      <c r="A39">
        <v>38</v>
      </c>
      <c r="B39" s="151" t="s">
        <v>230</v>
      </c>
      <c r="C39" s="113">
        <v>0</v>
      </c>
      <c r="D39" s="113">
        <v>1</v>
      </c>
      <c r="E39" s="113">
        <v>0</v>
      </c>
      <c r="F39" s="113">
        <v>0</v>
      </c>
      <c r="G39" s="113">
        <v>1</v>
      </c>
      <c r="H39"/>
    </row>
    <row r="40" spans="1:8" ht="15" customHeight="1" x14ac:dyDescent="0.15">
      <c r="A40">
        <v>39</v>
      </c>
      <c r="B40" s="151" t="s">
        <v>231</v>
      </c>
      <c r="C40" s="113">
        <v>0</v>
      </c>
      <c r="D40" s="113">
        <v>1</v>
      </c>
      <c r="E40" s="113">
        <v>0</v>
      </c>
      <c r="F40" s="113">
        <v>0</v>
      </c>
      <c r="G40" s="113">
        <v>1</v>
      </c>
      <c r="H40"/>
    </row>
    <row r="41" spans="1:8" ht="15" customHeight="1" x14ac:dyDescent="0.15">
      <c r="A41">
        <v>40</v>
      </c>
      <c r="B41" s="151" t="s">
        <v>232</v>
      </c>
      <c r="C41" s="113">
        <v>0</v>
      </c>
      <c r="D41" s="113">
        <v>1</v>
      </c>
      <c r="E41" s="113">
        <v>0</v>
      </c>
      <c r="F41" s="113">
        <v>0</v>
      </c>
      <c r="G41" s="113">
        <v>1</v>
      </c>
      <c r="H41"/>
    </row>
    <row r="42" spans="1:8" ht="15" customHeight="1" x14ac:dyDescent="0.15">
      <c r="A42">
        <v>41</v>
      </c>
      <c r="B42" s="151" t="s">
        <v>233</v>
      </c>
      <c r="C42" s="113">
        <v>0</v>
      </c>
      <c r="D42" s="113">
        <v>1</v>
      </c>
      <c r="E42" s="113">
        <v>0</v>
      </c>
      <c r="F42" s="113">
        <v>0</v>
      </c>
      <c r="G42" s="113">
        <v>1</v>
      </c>
      <c r="H42"/>
    </row>
    <row r="43" spans="1:8" ht="15" customHeight="1" x14ac:dyDescent="0.15">
      <c r="A43">
        <v>42</v>
      </c>
      <c r="B43" s="151" t="s">
        <v>234</v>
      </c>
      <c r="C43" s="113">
        <v>0</v>
      </c>
      <c r="D43" s="113">
        <v>1</v>
      </c>
      <c r="E43" s="113">
        <v>0</v>
      </c>
      <c r="F43" s="113">
        <v>0</v>
      </c>
      <c r="G43" s="113">
        <v>1</v>
      </c>
      <c r="H43"/>
    </row>
    <row r="44" spans="1:8" ht="15" customHeight="1" x14ac:dyDescent="0.15">
      <c r="A44">
        <v>43</v>
      </c>
      <c r="B44" s="151" t="s">
        <v>235</v>
      </c>
      <c r="C44" s="113">
        <v>0</v>
      </c>
      <c r="D44" s="113">
        <v>1</v>
      </c>
      <c r="E44" s="112">
        <v>0</v>
      </c>
      <c r="F44" s="112">
        <v>0</v>
      </c>
      <c r="G44" s="113">
        <v>1</v>
      </c>
      <c r="H44"/>
    </row>
    <row r="45" spans="1:8" ht="15" customHeight="1" x14ac:dyDescent="0.15">
      <c r="A45">
        <v>44</v>
      </c>
      <c r="B45" s="151" t="s">
        <v>236</v>
      </c>
      <c r="C45" s="113">
        <v>0</v>
      </c>
      <c r="D45" s="113">
        <v>1</v>
      </c>
      <c r="E45" s="112">
        <v>0</v>
      </c>
      <c r="F45" s="112">
        <v>0</v>
      </c>
      <c r="G45" s="113">
        <v>1</v>
      </c>
      <c r="H45"/>
    </row>
    <row r="46" spans="1:8" ht="15" customHeight="1" x14ac:dyDescent="0.15">
      <c r="A46">
        <v>45</v>
      </c>
      <c r="B46" s="151" t="s">
        <v>237</v>
      </c>
      <c r="C46" s="113">
        <v>0</v>
      </c>
      <c r="D46" s="113">
        <v>1</v>
      </c>
      <c r="E46" s="113">
        <v>0</v>
      </c>
      <c r="F46" s="113">
        <v>0</v>
      </c>
      <c r="G46" s="113">
        <v>1</v>
      </c>
      <c r="H46"/>
    </row>
    <row r="47" spans="1:8" ht="15" customHeight="1" x14ac:dyDescent="0.15">
      <c r="A47">
        <v>46</v>
      </c>
      <c r="B47" s="151" t="s">
        <v>238</v>
      </c>
      <c r="C47" s="113">
        <v>0</v>
      </c>
      <c r="D47" s="113">
        <v>1</v>
      </c>
      <c r="E47" s="112">
        <v>0</v>
      </c>
      <c r="F47" s="112">
        <v>0</v>
      </c>
      <c r="G47" s="113">
        <v>1</v>
      </c>
      <c r="H47"/>
    </row>
    <row r="48" spans="1:8" ht="15" customHeight="1" x14ac:dyDescent="0.15">
      <c r="A48">
        <v>47</v>
      </c>
      <c r="B48" s="151" t="s">
        <v>239</v>
      </c>
      <c r="C48" s="113">
        <v>0</v>
      </c>
      <c r="D48" s="113">
        <v>0</v>
      </c>
      <c r="E48" s="112">
        <v>0</v>
      </c>
      <c r="F48" s="112">
        <v>1</v>
      </c>
      <c r="G48" s="113">
        <v>1</v>
      </c>
      <c r="H48"/>
    </row>
    <row r="49" spans="1:8" ht="15" customHeight="1" x14ac:dyDescent="0.15">
      <c r="A49">
        <v>48</v>
      </c>
      <c r="B49" s="151" t="s">
        <v>240</v>
      </c>
      <c r="C49" s="113">
        <v>0</v>
      </c>
      <c r="D49" s="113">
        <v>0</v>
      </c>
      <c r="E49" s="112">
        <v>1</v>
      </c>
      <c r="F49" s="112">
        <v>0</v>
      </c>
      <c r="G49" s="113">
        <v>1</v>
      </c>
      <c r="H49"/>
    </row>
    <row r="50" spans="1:8" ht="15" customHeight="1" x14ac:dyDescent="0.15">
      <c r="A50">
        <v>49</v>
      </c>
      <c r="B50" s="151" t="s">
        <v>241</v>
      </c>
      <c r="C50" s="113">
        <v>0</v>
      </c>
      <c r="D50" s="113">
        <v>0</v>
      </c>
      <c r="E50" s="112">
        <v>0</v>
      </c>
      <c r="F50" s="112">
        <v>1</v>
      </c>
      <c r="G50" s="113">
        <v>1</v>
      </c>
      <c r="H50"/>
    </row>
    <row r="51" spans="1:8" ht="15" customHeight="1" x14ac:dyDescent="0.15">
      <c r="A51">
        <v>50</v>
      </c>
      <c r="B51" s="151" t="s">
        <v>199</v>
      </c>
      <c r="C51" s="113">
        <v>1</v>
      </c>
      <c r="D51" s="113">
        <v>0</v>
      </c>
      <c r="E51" s="112">
        <v>0</v>
      </c>
      <c r="F51" s="112">
        <v>0</v>
      </c>
      <c r="G51" s="113">
        <v>1</v>
      </c>
      <c r="H51"/>
    </row>
    <row r="52" spans="1:8" ht="15" customHeight="1" x14ac:dyDescent="0.15">
      <c r="A52">
        <v>51</v>
      </c>
      <c r="B52" s="151" t="s">
        <v>200</v>
      </c>
      <c r="C52" s="113">
        <v>1</v>
      </c>
      <c r="D52" s="113">
        <v>0</v>
      </c>
      <c r="E52" s="112">
        <v>0</v>
      </c>
      <c r="F52" s="112">
        <v>0</v>
      </c>
      <c r="G52" s="113">
        <v>1</v>
      </c>
      <c r="H52"/>
    </row>
    <row r="53" spans="1:8" ht="15" customHeight="1" x14ac:dyDescent="0.15">
      <c r="A53">
        <v>52</v>
      </c>
      <c r="B53" s="151" t="s">
        <v>242</v>
      </c>
      <c r="C53" s="113">
        <v>1</v>
      </c>
      <c r="D53" s="113">
        <v>0</v>
      </c>
      <c r="E53" s="112">
        <v>0</v>
      </c>
      <c r="F53" s="112">
        <v>0</v>
      </c>
      <c r="G53" s="113">
        <v>1</v>
      </c>
      <c r="H53"/>
    </row>
    <row r="54" spans="1:8" ht="15" customHeight="1" x14ac:dyDescent="0.15">
      <c r="A54">
        <v>53</v>
      </c>
      <c r="B54" s="151" t="s">
        <v>202</v>
      </c>
      <c r="C54" s="113">
        <v>1</v>
      </c>
      <c r="D54" s="113">
        <v>0</v>
      </c>
      <c r="E54" s="112">
        <v>0</v>
      </c>
      <c r="F54" s="112">
        <v>0</v>
      </c>
      <c r="G54" s="113">
        <v>1</v>
      </c>
      <c r="H54"/>
    </row>
    <row r="55" spans="1:8" ht="15" customHeight="1" x14ac:dyDescent="0.15">
      <c r="A55">
        <v>54</v>
      </c>
      <c r="B55" s="151" t="s">
        <v>203</v>
      </c>
      <c r="C55" s="113">
        <v>1</v>
      </c>
      <c r="D55" s="113">
        <v>0</v>
      </c>
      <c r="E55" s="112">
        <v>0</v>
      </c>
      <c r="F55" s="112">
        <v>0</v>
      </c>
      <c r="G55" s="113">
        <v>1</v>
      </c>
      <c r="H55"/>
    </row>
    <row r="56" spans="1:8" ht="15" customHeight="1" x14ac:dyDescent="0.15">
      <c r="A56">
        <v>55</v>
      </c>
      <c r="B56" s="151" t="s">
        <v>204</v>
      </c>
      <c r="C56" s="113">
        <v>1</v>
      </c>
      <c r="D56" s="113">
        <v>0</v>
      </c>
      <c r="E56" s="112">
        <v>0</v>
      </c>
      <c r="F56" s="112">
        <v>0</v>
      </c>
      <c r="G56" s="113">
        <v>1</v>
      </c>
      <c r="H56"/>
    </row>
    <row r="57" spans="1:8" ht="15" customHeight="1" x14ac:dyDescent="0.15">
      <c r="A57">
        <v>56</v>
      </c>
      <c r="B57" s="151" t="s">
        <v>206</v>
      </c>
      <c r="C57" s="113">
        <v>1</v>
      </c>
      <c r="D57" s="113">
        <v>0</v>
      </c>
      <c r="E57" s="112">
        <v>0</v>
      </c>
      <c r="F57" s="112">
        <v>0</v>
      </c>
      <c r="G57" s="113">
        <v>1</v>
      </c>
      <c r="H57"/>
    </row>
    <row r="58" spans="1:8" ht="15" customHeight="1" x14ac:dyDescent="0.15">
      <c r="A58">
        <v>57</v>
      </c>
      <c r="B58" s="151" t="s">
        <v>207</v>
      </c>
      <c r="C58" s="113">
        <v>1</v>
      </c>
      <c r="D58" s="113">
        <v>0</v>
      </c>
      <c r="E58" s="112">
        <v>0</v>
      </c>
      <c r="F58" s="112">
        <v>0</v>
      </c>
      <c r="G58" s="113">
        <v>1</v>
      </c>
      <c r="H58"/>
    </row>
    <row r="59" spans="1:8" ht="15" customHeight="1" x14ac:dyDescent="0.15">
      <c r="A59">
        <v>58</v>
      </c>
      <c r="B59" s="151" t="s">
        <v>210</v>
      </c>
      <c r="C59" s="113">
        <v>1</v>
      </c>
      <c r="D59" s="113">
        <v>0</v>
      </c>
      <c r="E59" s="112">
        <v>0</v>
      </c>
      <c r="F59" s="112">
        <v>0</v>
      </c>
      <c r="G59" s="113">
        <v>1</v>
      </c>
      <c r="H59"/>
    </row>
    <row r="60" spans="1:8" ht="15" customHeight="1" x14ac:dyDescent="0.15">
      <c r="A60">
        <v>59</v>
      </c>
      <c r="B60" s="151" t="s">
        <v>209</v>
      </c>
      <c r="C60" s="113">
        <v>1</v>
      </c>
      <c r="D60" s="113">
        <v>0</v>
      </c>
      <c r="E60" s="112">
        <v>0</v>
      </c>
      <c r="F60" s="112">
        <v>0</v>
      </c>
      <c r="G60" s="113">
        <v>1</v>
      </c>
      <c r="H60"/>
    </row>
    <row r="61" spans="1:8" ht="15" customHeight="1" x14ac:dyDescent="0.15">
      <c r="A61">
        <v>60</v>
      </c>
      <c r="B61" s="151" t="s">
        <v>211</v>
      </c>
      <c r="C61" s="113">
        <v>1</v>
      </c>
      <c r="D61" s="113">
        <v>0</v>
      </c>
      <c r="E61" s="112">
        <v>0</v>
      </c>
      <c r="F61" s="112">
        <v>0</v>
      </c>
      <c r="G61" s="113">
        <v>1</v>
      </c>
      <c r="H61"/>
    </row>
    <row r="62" spans="1:8" ht="15" customHeight="1" x14ac:dyDescent="0.15">
      <c r="A62">
        <v>61</v>
      </c>
      <c r="B62" s="151" t="s">
        <v>208</v>
      </c>
      <c r="C62" s="113">
        <v>1</v>
      </c>
      <c r="D62" s="113">
        <v>0</v>
      </c>
      <c r="E62" s="112">
        <v>0</v>
      </c>
      <c r="F62" s="112">
        <v>0</v>
      </c>
      <c r="G62" s="113">
        <v>1</v>
      </c>
      <c r="H62"/>
    </row>
    <row r="63" spans="1:8" ht="15" customHeight="1" x14ac:dyDescent="0.15">
      <c r="A63">
        <v>62</v>
      </c>
      <c r="B63" s="151" t="s">
        <v>243</v>
      </c>
      <c r="C63" s="113">
        <v>1</v>
      </c>
      <c r="D63" s="113">
        <v>0</v>
      </c>
      <c r="E63" s="112">
        <v>0</v>
      </c>
      <c r="F63" s="112">
        <v>0</v>
      </c>
      <c r="G63" s="113">
        <v>1</v>
      </c>
      <c r="H63"/>
    </row>
    <row r="64" spans="1:8" ht="15" customHeight="1" x14ac:dyDescent="0.15">
      <c r="A64">
        <v>63</v>
      </c>
      <c r="B64" s="151" t="s">
        <v>216</v>
      </c>
      <c r="C64" s="113">
        <v>1</v>
      </c>
      <c r="D64" s="113">
        <v>0</v>
      </c>
      <c r="E64" s="112">
        <v>0</v>
      </c>
      <c r="F64" s="112">
        <v>0</v>
      </c>
      <c r="G64" s="113">
        <v>1</v>
      </c>
      <c r="H64"/>
    </row>
    <row r="65" spans="1:8" ht="15" customHeight="1" x14ac:dyDescent="0.15">
      <c r="A65">
        <v>64</v>
      </c>
      <c r="B65" s="151" t="s">
        <v>219</v>
      </c>
      <c r="C65" s="113">
        <v>1</v>
      </c>
      <c r="D65" s="113">
        <v>0</v>
      </c>
      <c r="E65" s="112">
        <v>0</v>
      </c>
      <c r="F65" s="112">
        <v>0</v>
      </c>
      <c r="G65" s="113">
        <v>1</v>
      </c>
      <c r="H65"/>
    </row>
    <row r="66" spans="1:8" ht="15" customHeight="1" x14ac:dyDescent="0.15">
      <c r="A66">
        <v>65</v>
      </c>
      <c r="B66" s="151" t="s">
        <v>224</v>
      </c>
      <c r="C66" s="113">
        <v>1</v>
      </c>
      <c r="D66" s="113">
        <v>0</v>
      </c>
      <c r="E66" s="112">
        <v>0</v>
      </c>
      <c r="F66" s="112">
        <v>0</v>
      </c>
      <c r="G66" s="113">
        <v>1</v>
      </c>
      <c r="H66"/>
    </row>
    <row r="67" spans="1:8" ht="15" customHeight="1" x14ac:dyDescent="0.15">
      <c r="A67">
        <v>66</v>
      </c>
      <c r="B67" s="151" t="s">
        <v>218</v>
      </c>
      <c r="C67" s="113">
        <v>1</v>
      </c>
      <c r="D67" s="113">
        <v>0</v>
      </c>
      <c r="E67" s="112">
        <v>0</v>
      </c>
      <c r="F67" s="112">
        <v>0</v>
      </c>
      <c r="G67" s="113">
        <v>1</v>
      </c>
      <c r="H67"/>
    </row>
    <row r="68" spans="1:8" ht="15" customHeight="1" x14ac:dyDescent="0.15">
      <c r="A68">
        <v>67</v>
      </c>
      <c r="B68" s="151" t="s">
        <v>244</v>
      </c>
      <c r="C68" s="113">
        <v>1</v>
      </c>
      <c r="D68" s="113">
        <v>0</v>
      </c>
      <c r="E68" s="112">
        <v>0</v>
      </c>
      <c r="F68" s="112">
        <v>0</v>
      </c>
      <c r="G68" s="113">
        <v>1</v>
      </c>
      <c r="H68"/>
    </row>
    <row r="69" spans="1:8" ht="15" customHeight="1" x14ac:dyDescent="0.15">
      <c r="C69"/>
      <c r="D69"/>
      <c r="E69"/>
      <c r="F69"/>
      <c r="G69"/>
      <c r="H69"/>
    </row>
    <row r="70" spans="1:8" ht="15" customHeight="1" x14ac:dyDescent="0.15">
      <c r="C70"/>
      <c r="D70"/>
      <c r="E70"/>
      <c r="F70"/>
      <c r="G70"/>
      <c r="H70"/>
    </row>
    <row r="71" spans="1:8" ht="15" customHeight="1" x14ac:dyDescent="0.15">
      <c r="C71"/>
      <c r="D71"/>
      <c r="E71"/>
      <c r="F71"/>
      <c r="G71"/>
      <c r="H71"/>
    </row>
    <row r="72" spans="1:8" ht="15" customHeight="1" x14ac:dyDescent="0.15">
      <c r="C72"/>
      <c r="D72"/>
      <c r="E72"/>
      <c r="F72"/>
      <c r="G72"/>
      <c r="H72"/>
    </row>
    <row r="73" spans="1:8" ht="15" customHeight="1" x14ac:dyDescent="0.15">
      <c r="C73"/>
      <c r="D73"/>
      <c r="E73"/>
      <c r="F73"/>
      <c r="G73"/>
      <c r="H73"/>
    </row>
    <row r="74" spans="1:8" ht="15" customHeight="1" x14ac:dyDescent="0.15">
      <c r="C74"/>
      <c r="D74"/>
      <c r="E74"/>
      <c r="F74"/>
      <c r="G74"/>
      <c r="H74"/>
    </row>
    <row r="75" spans="1:8" ht="15" customHeight="1" x14ac:dyDescent="0.15">
      <c r="C75"/>
      <c r="D75"/>
      <c r="E75"/>
      <c r="F75"/>
      <c r="G75"/>
      <c r="H75"/>
    </row>
    <row r="76" spans="1:8" ht="15" customHeight="1" x14ac:dyDescent="0.15">
      <c r="C76"/>
      <c r="D76"/>
      <c r="E76"/>
      <c r="F76"/>
      <c r="G76"/>
      <c r="H76"/>
    </row>
    <row r="77" spans="1:8" ht="15" customHeight="1" x14ac:dyDescent="0.15">
      <c r="C77"/>
      <c r="D77"/>
      <c r="E77"/>
      <c r="F77"/>
      <c r="G77"/>
      <c r="H77"/>
    </row>
    <row r="78" spans="1:8" ht="15" customHeight="1" x14ac:dyDescent="0.15">
      <c r="C78"/>
      <c r="D78"/>
      <c r="E78"/>
      <c r="F78"/>
      <c r="G78"/>
      <c r="H78"/>
    </row>
    <row r="79" spans="1:8" ht="15" customHeight="1" x14ac:dyDescent="0.15">
      <c r="C79"/>
      <c r="D79"/>
      <c r="E79"/>
      <c r="F79"/>
      <c r="G79"/>
      <c r="H79"/>
    </row>
    <row r="80" spans="1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U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37.5" bestFit="1" customWidth="1"/>
    <col min="3" max="3" width="10.83203125" bestFit="1" customWidth="1"/>
    <col min="4" max="4" width="11.83203125" bestFit="1" customWidth="1"/>
    <col min="5" max="5" width="12.83203125" bestFit="1" customWidth="1"/>
    <col min="6" max="7" width="11.83203125" customWidth="1"/>
    <col min="8" max="8" width="12.83203125" customWidth="1"/>
    <col min="9" max="9" width="7.83203125" customWidth="1"/>
    <col min="10" max="10" width="12.83203125" customWidth="1"/>
    <col min="11" max="11" width="2.33203125" customWidth="1"/>
    <col min="12" max="13" width="12.83203125" customWidth="1"/>
    <col min="14" max="14" width="10.83203125" customWidth="1"/>
    <col min="15" max="15" width="9.83203125" customWidth="1"/>
    <col min="16" max="16" width="11.83203125" customWidth="1"/>
    <col min="17" max="17" width="12.83203125" customWidth="1"/>
    <col min="18" max="18" width="10.83203125" customWidth="1"/>
    <col min="19" max="21" width="12.83203125" customWidth="1"/>
  </cols>
  <sheetData>
    <row r="1" spans="1:21" s="114" customFormat="1" ht="112" x14ac:dyDescent="0.15">
      <c r="A1" s="5" t="s">
        <v>21</v>
      </c>
      <c r="B1" s="3" t="s">
        <v>0</v>
      </c>
      <c r="C1" s="154" t="s">
        <v>199</v>
      </c>
      <c r="D1" s="154" t="s">
        <v>200</v>
      </c>
      <c r="E1" s="154" t="s">
        <v>242</v>
      </c>
      <c r="F1" s="154" t="s">
        <v>202</v>
      </c>
      <c r="G1" s="154" t="s">
        <v>203</v>
      </c>
      <c r="H1" s="154" t="s">
        <v>204</v>
      </c>
      <c r="I1" s="154" t="s">
        <v>206</v>
      </c>
      <c r="J1" s="154" t="s">
        <v>207</v>
      </c>
      <c r="K1" s="154" t="s">
        <v>210</v>
      </c>
      <c r="L1" s="154" t="s">
        <v>209</v>
      </c>
      <c r="M1" s="154" t="s">
        <v>211</v>
      </c>
      <c r="N1" s="154" t="s">
        <v>208</v>
      </c>
      <c r="O1" s="154" t="s">
        <v>243</v>
      </c>
      <c r="P1" s="154" t="s">
        <v>216</v>
      </c>
      <c r="Q1" s="154" t="s">
        <v>219</v>
      </c>
      <c r="R1" s="154" t="s">
        <v>224</v>
      </c>
      <c r="S1" s="154" t="s">
        <v>218</v>
      </c>
      <c r="T1" s="154" t="s">
        <v>244</v>
      </c>
      <c r="U1" s="154" t="s">
        <v>248</v>
      </c>
    </row>
    <row r="2" spans="1:21" ht="15" customHeight="1" x14ac:dyDescent="0.15">
      <c r="A2">
        <v>1</v>
      </c>
      <c r="B2" s="153" t="s">
        <v>193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</row>
    <row r="3" spans="1:21" ht="15" customHeight="1" x14ac:dyDescent="0.15">
      <c r="A3">
        <v>2</v>
      </c>
      <c r="B3" s="153" t="s">
        <v>194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</row>
    <row r="4" spans="1:21" ht="15" customHeight="1" x14ac:dyDescent="0.15">
      <c r="A4">
        <v>3</v>
      </c>
      <c r="B4" s="153" t="s">
        <v>195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</row>
    <row r="5" spans="1:21" ht="15" customHeight="1" x14ac:dyDescent="0.15">
      <c r="A5">
        <v>4</v>
      </c>
      <c r="B5" s="153" t="s">
        <v>196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</row>
    <row r="6" spans="1:21" ht="15" customHeight="1" x14ac:dyDescent="0.15">
      <c r="A6">
        <v>5</v>
      </c>
      <c r="B6" s="153" t="s">
        <v>197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7.5744500000000004E-4</v>
      </c>
      <c r="U6">
        <v>7.5744500000000004E-4</v>
      </c>
    </row>
    <row r="7" spans="1:21" ht="15" customHeight="1" x14ac:dyDescent="0.15">
      <c r="A7">
        <v>6</v>
      </c>
      <c r="B7" s="153" t="s">
        <v>198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5.9361532299999999E-2</v>
      </c>
      <c r="U7">
        <v>5.9361532299999999E-2</v>
      </c>
    </row>
    <row r="8" spans="1:21" ht="15" customHeight="1" x14ac:dyDescent="0.15">
      <c r="A8">
        <v>7</v>
      </c>
      <c r="B8" s="153" t="s">
        <v>199</v>
      </c>
      <c r="C8">
        <v>9.2665250000000005E-2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9.2665250000000005E-2</v>
      </c>
    </row>
    <row r="9" spans="1:21" ht="15" customHeight="1" x14ac:dyDescent="0.15">
      <c r="A9">
        <v>8</v>
      </c>
      <c r="B9" s="153" t="s">
        <v>200</v>
      </c>
      <c r="C9">
        <v>0</v>
      </c>
      <c r="D9">
        <v>4.0304970000000001E-3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4.0304970000000001E-3</v>
      </c>
    </row>
    <row r="10" spans="1:21" ht="15" customHeight="1" x14ac:dyDescent="0.15">
      <c r="A10">
        <v>9</v>
      </c>
      <c r="B10" s="153" t="s">
        <v>201</v>
      </c>
      <c r="C10">
        <v>0</v>
      </c>
      <c r="D10">
        <v>0</v>
      </c>
      <c r="E10">
        <v>2.93535646E-2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2.93535646E-2</v>
      </c>
    </row>
    <row r="11" spans="1:21" ht="15" customHeight="1" x14ac:dyDescent="0.15">
      <c r="A11">
        <v>10</v>
      </c>
      <c r="B11" s="153" t="s">
        <v>202</v>
      </c>
      <c r="C11">
        <v>0</v>
      </c>
      <c r="D11">
        <v>0</v>
      </c>
      <c r="E11">
        <v>0</v>
      </c>
      <c r="F11">
        <v>1.76644E-4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1.76644E-4</v>
      </c>
    </row>
    <row r="12" spans="1:21" ht="15" customHeight="1" x14ac:dyDescent="0.15">
      <c r="A12">
        <v>11</v>
      </c>
      <c r="B12" s="153" t="s">
        <v>203</v>
      </c>
      <c r="C12">
        <v>0</v>
      </c>
      <c r="D12">
        <v>0</v>
      </c>
      <c r="E12">
        <v>0</v>
      </c>
      <c r="F12">
        <v>0</v>
      </c>
      <c r="G12">
        <v>1.4695380000000001E-3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1.4695380000000001E-3</v>
      </c>
    </row>
    <row r="13" spans="1:21" ht="15" customHeight="1" x14ac:dyDescent="0.15">
      <c r="A13">
        <v>12</v>
      </c>
      <c r="B13" s="153" t="s">
        <v>204</v>
      </c>
      <c r="C13">
        <v>0</v>
      </c>
      <c r="D13">
        <v>0</v>
      </c>
      <c r="E13">
        <v>0</v>
      </c>
      <c r="F13">
        <v>0</v>
      </c>
      <c r="G13">
        <v>0</v>
      </c>
      <c r="H13">
        <v>6.7505374600000001E-2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6.7505374600000001E-2</v>
      </c>
    </row>
    <row r="14" spans="1:21" ht="15" customHeight="1" x14ac:dyDescent="0.15">
      <c r="A14">
        <v>13</v>
      </c>
      <c r="B14" s="153" t="s">
        <v>205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</row>
    <row r="15" spans="1:21" ht="15" customHeight="1" x14ac:dyDescent="0.15">
      <c r="A15">
        <v>14</v>
      </c>
      <c r="B15" s="153" t="s">
        <v>206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2.496E-2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2.496E-2</v>
      </c>
    </row>
    <row r="16" spans="1:21" ht="15" customHeight="1" x14ac:dyDescent="0.15">
      <c r="A16">
        <v>15</v>
      </c>
      <c r="B16" s="153" t="s">
        <v>207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4.3564952900000002E-2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4.3564952900000002E-2</v>
      </c>
    </row>
    <row r="17" spans="1:21" ht="15" customHeight="1" x14ac:dyDescent="0.15">
      <c r="A17">
        <v>16</v>
      </c>
      <c r="B17" s="153" t="s">
        <v>208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4.3626860000000003E-2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4.3626860000000003E-2</v>
      </c>
    </row>
    <row r="18" spans="1:21" ht="15" customHeight="1" x14ac:dyDescent="0.15">
      <c r="A18">
        <v>17</v>
      </c>
      <c r="B18" s="153" t="s">
        <v>209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1.15335118E-2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1.15335118E-2</v>
      </c>
    </row>
    <row r="19" spans="1:21" ht="15" customHeight="1" x14ac:dyDescent="0.15">
      <c r="A19">
        <v>18</v>
      </c>
      <c r="B19" s="153" t="s">
        <v>210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</row>
    <row r="20" spans="1:21" ht="15" customHeight="1" x14ac:dyDescent="0.15">
      <c r="A20">
        <v>19</v>
      </c>
      <c r="B20" s="153" t="s">
        <v>211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1.15275215E-2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1.15275215E-2</v>
      </c>
    </row>
    <row r="21" spans="1:21" ht="15" customHeight="1" x14ac:dyDescent="0.15">
      <c r="A21">
        <v>20</v>
      </c>
      <c r="B21" s="153" t="s">
        <v>212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6.18994E-2</v>
      </c>
      <c r="U21">
        <v>6.18994E-2</v>
      </c>
    </row>
    <row r="22" spans="1:21" ht="15" customHeight="1" x14ac:dyDescent="0.15">
      <c r="A22">
        <v>21</v>
      </c>
      <c r="B22" s="153" t="s">
        <v>213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1.88596826E-2</v>
      </c>
      <c r="U22">
        <v>1.88596826E-2</v>
      </c>
    </row>
    <row r="23" spans="1:21" ht="15" customHeight="1" x14ac:dyDescent="0.15">
      <c r="A23">
        <v>22</v>
      </c>
      <c r="B23" s="153" t="s">
        <v>214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1.5923560000000001E-3</v>
      </c>
      <c r="U23">
        <v>1.5923560000000001E-3</v>
      </c>
    </row>
    <row r="24" spans="1:21" ht="15" customHeight="1" x14ac:dyDescent="0.15">
      <c r="A24">
        <v>23</v>
      </c>
      <c r="B24" s="153" t="s">
        <v>215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0.1123075</v>
      </c>
      <c r="P24">
        <v>0</v>
      </c>
      <c r="Q24">
        <v>0</v>
      </c>
      <c r="R24">
        <v>0</v>
      </c>
      <c r="S24">
        <v>0</v>
      </c>
      <c r="T24">
        <v>0</v>
      </c>
      <c r="U24">
        <v>0.1123075</v>
      </c>
    </row>
    <row r="25" spans="1:21" ht="15" customHeight="1" x14ac:dyDescent="0.15">
      <c r="A25">
        <v>24</v>
      </c>
      <c r="B25" s="153" t="s">
        <v>216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0.21716712399999999</v>
      </c>
      <c r="Q25">
        <v>0</v>
      </c>
      <c r="R25">
        <v>0</v>
      </c>
      <c r="S25">
        <v>0</v>
      </c>
      <c r="T25">
        <v>0</v>
      </c>
      <c r="U25">
        <v>0.21716712399999999</v>
      </c>
    </row>
    <row r="26" spans="1:21" ht="15" customHeight="1" x14ac:dyDescent="0.15">
      <c r="A26">
        <v>25</v>
      </c>
      <c r="B26" s="153" t="s">
        <v>217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1.6540054200000001E-2</v>
      </c>
      <c r="U26">
        <v>1.6540054200000001E-2</v>
      </c>
    </row>
    <row r="27" spans="1:21" ht="15" customHeight="1" x14ac:dyDescent="0.15">
      <c r="A27">
        <v>26</v>
      </c>
      <c r="B27" s="153" t="s">
        <v>218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5.6507125499999998E-2</v>
      </c>
      <c r="T27">
        <v>0</v>
      </c>
      <c r="U27">
        <v>5.6507125499999998E-2</v>
      </c>
    </row>
    <row r="28" spans="1:21" ht="15" customHeight="1" x14ac:dyDescent="0.15">
      <c r="A28">
        <v>27</v>
      </c>
      <c r="B28" s="153" t="s">
        <v>219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1.9493412200000001E-2</v>
      </c>
      <c r="R28">
        <v>0</v>
      </c>
      <c r="S28">
        <v>0</v>
      </c>
      <c r="T28">
        <v>0</v>
      </c>
      <c r="U28">
        <v>1.9493412200000001E-2</v>
      </c>
    </row>
    <row r="29" spans="1:21" ht="15" customHeight="1" x14ac:dyDescent="0.15">
      <c r="A29">
        <v>28</v>
      </c>
      <c r="B29" s="153" t="s">
        <v>220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1.5975205199999998E-2</v>
      </c>
      <c r="U29">
        <v>1.5975205199999998E-2</v>
      </c>
    </row>
    <row r="30" spans="1:21" ht="15" customHeight="1" x14ac:dyDescent="0.15">
      <c r="A30">
        <v>29</v>
      </c>
      <c r="B30" s="153" t="s">
        <v>221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3.9382499999999999E-4</v>
      </c>
      <c r="U30">
        <v>3.9382499999999999E-4</v>
      </c>
    </row>
    <row r="31" spans="1:21" ht="15" customHeight="1" x14ac:dyDescent="0.15">
      <c r="A31">
        <v>30</v>
      </c>
      <c r="B31" s="153" t="s">
        <v>222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4.0755710000000001E-3</v>
      </c>
      <c r="U31">
        <v>4.0755710000000001E-3</v>
      </c>
    </row>
    <row r="32" spans="1:21" ht="15" customHeight="1" x14ac:dyDescent="0.15">
      <c r="A32">
        <v>31</v>
      </c>
      <c r="B32" s="153" t="s">
        <v>223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5.4332629999999998E-3</v>
      </c>
      <c r="U32">
        <v>5.4332629999999998E-3</v>
      </c>
    </row>
    <row r="33" spans="1:21" ht="15" customHeight="1" x14ac:dyDescent="0.15">
      <c r="A33">
        <v>32</v>
      </c>
      <c r="B33" s="153" t="s">
        <v>224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2.0261459999999998E-2</v>
      </c>
      <c r="S33">
        <v>0</v>
      </c>
      <c r="T33">
        <v>0</v>
      </c>
      <c r="U33">
        <v>2.0261459999999998E-2</v>
      </c>
    </row>
    <row r="34" spans="1:21" ht="15" customHeight="1" x14ac:dyDescent="0.15">
      <c r="A34">
        <v>33</v>
      </c>
      <c r="B34" s="153" t="s">
        <v>225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5.6836832300000001E-2</v>
      </c>
      <c r="U34">
        <v>5.6836832300000001E-2</v>
      </c>
    </row>
    <row r="35" spans="1:21" ht="15" customHeight="1" x14ac:dyDescent="0.15">
      <c r="A35">
        <v>34</v>
      </c>
      <c r="B35" s="153" t="s">
        <v>226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7.3713399999999997E-4</v>
      </c>
      <c r="U35">
        <v>7.3713399999999997E-4</v>
      </c>
    </row>
    <row r="36" spans="1:21" ht="15" customHeight="1" x14ac:dyDescent="0.15">
      <c r="A36">
        <v>35</v>
      </c>
      <c r="B36" s="153" t="s">
        <v>227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1.7278624699999998E-2</v>
      </c>
      <c r="U36">
        <v>1.7278624699999998E-2</v>
      </c>
    </row>
    <row r="37" spans="1:21" ht="15" customHeight="1" x14ac:dyDescent="0.15">
      <c r="A37">
        <v>36</v>
      </c>
      <c r="B37" s="153" t="s">
        <v>228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5.4383590000000002E-3</v>
      </c>
      <c r="U37">
        <v>5.4383590000000002E-3</v>
      </c>
    </row>
    <row r="38" spans="1:21" ht="15" customHeight="1" x14ac:dyDescent="0.15">
      <c r="A38">
        <v>37</v>
      </c>
      <c r="B38" s="153" t="s">
        <v>229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4.92253676E-2</v>
      </c>
      <c r="U38">
        <v>4.92253676E-2</v>
      </c>
    </row>
    <row r="39" spans="1:21" ht="15" customHeight="1" x14ac:dyDescent="0.15">
      <c r="A39">
        <v>38</v>
      </c>
      <c r="B39" s="153" t="s">
        <v>230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</row>
    <row r="40" spans="1:21" ht="15" customHeight="1" x14ac:dyDescent="0.15">
      <c r="A40">
        <v>39</v>
      </c>
      <c r="B40" s="153" t="s">
        <v>231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</row>
    <row r="41" spans="1:21" ht="15" customHeight="1" x14ac:dyDescent="0.15">
      <c r="A41">
        <v>40</v>
      </c>
      <c r="B41" s="153" t="s">
        <v>232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</row>
    <row r="42" spans="1:21" ht="15" customHeight="1" x14ac:dyDescent="0.15">
      <c r="A42">
        <v>41</v>
      </c>
      <c r="B42" s="153" t="s">
        <v>233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</row>
    <row r="43" spans="1:21" ht="15" customHeight="1" x14ac:dyDescent="0.15">
      <c r="A43">
        <v>42</v>
      </c>
      <c r="B43" s="153" t="s">
        <v>234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</row>
    <row r="44" spans="1:21" ht="15" customHeight="1" x14ac:dyDescent="0.15">
      <c r="A44">
        <v>43</v>
      </c>
      <c r="B44" s="153" t="s">
        <v>235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</row>
    <row r="45" spans="1:21" ht="15" customHeight="1" x14ac:dyDescent="0.15">
      <c r="A45">
        <v>44</v>
      </c>
      <c r="B45" s="153" t="s">
        <v>236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</row>
    <row r="46" spans="1:21" ht="15" customHeight="1" x14ac:dyDescent="0.15">
      <c r="A46">
        <v>45</v>
      </c>
      <c r="B46" s="153" t="s">
        <v>237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</row>
    <row r="47" spans="1:21" ht="15" customHeight="1" x14ac:dyDescent="0.15">
      <c r="A47">
        <v>46</v>
      </c>
      <c r="B47" s="153" t="s">
        <v>238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0.14875620000000001</v>
      </c>
      <c r="U47">
        <v>0.14875620000000001</v>
      </c>
    </row>
    <row r="48" spans="1:21" ht="15" customHeight="1" x14ac:dyDescent="0.15">
      <c r="A48">
        <v>47</v>
      </c>
      <c r="B48" s="153" t="s">
        <v>239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</row>
    <row r="49" spans="1:21" ht="15" customHeight="1" x14ac:dyDescent="0.15">
      <c r="A49">
        <v>48</v>
      </c>
      <c r="B49" s="153" t="s">
        <v>240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</row>
    <row r="50" spans="1:21" x14ac:dyDescent="0.15">
      <c r="A50">
        <v>49</v>
      </c>
      <c r="B50" s="153" t="s">
        <v>241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</row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U50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37.5" bestFit="1" customWidth="1"/>
    <col min="3" max="3" width="12.83203125" bestFit="1" customWidth="1"/>
    <col min="4" max="4" width="11.83203125" bestFit="1" customWidth="1"/>
    <col min="5" max="5" width="2.33203125" bestFit="1" customWidth="1"/>
    <col min="6" max="7" width="11.83203125" customWidth="1"/>
    <col min="8" max="8" width="6.83203125" customWidth="1"/>
    <col min="9" max="9" width="11.83203125" customWidth="1"/>
    <col min="10" max="10" width="12.83203125" customWidth="1"/>
    <col min="11" max="11" width="11.5" customWidth="1"/>
    <col min="12" max="13" width="11.83203125" customWidth="1"/>
    <col min="14" max="14" width="10.83203125" customWidth="1"/>
    <col min="15" max="15" width="12.83203125" customWidth="1"/>
    <col min="16" max="16" width="11.83203125" customWidth="1"/>
    <col min="17" max="17" width="2.33203125" customWidth="1"/>
    <col min="18" max="20" width="11.83203125" customWidth="1"/>
    <col min="21" max="21" width="12.83203125" customWidth="1"/>
  </cols>
  <sheetData>
    <row r="1" spans="1:21" s="114" customFormat="1" ht="112" x14ac:dyDescent="0.15">
      <c r="A1" s="5" t="s">
        <v>22</v>
      </c>
      <c r="B1" s="3" t="s">
        <v>0</v>
      </c>
      <c r="C1" s="156" t="s">
        <v>199</v>
      </c>
      <c r="D1" s="156" t="s">
        <v>200</v>
      </c>
      <c r="E1" s="156" t="s">
        <v>242</v>
      </c>
      <c r="F1" s="156" t="s">
        <v>202</v>
      </c>
      <c r="G1" s="156" t="s">
        <v>203</v>
      </c>
      <c r="H1" s="156" t="s">
        <v>204</v>
      </c>
      <c r="I1" s="156" t="s">
        <v>206</v>
      </c>
      <c r="J1" s="156" t="s">
        <v>207</v>
      </c>
      <c r="K1" s="156" t="s">
        <v>210</v>
      </c>
      <c r="L1" s="156" t="s">
        <v>209</v>
      </c>
      <c r="M1" s="156" t="s">
        <v>211</v>
      </c>
      <c r="N1" s="156" t="s">
        <v>208</v>
      </c>
      <c r="O1" s="156" t="s">
        <v>243</v>
      </c>
      <c r="P1" s="156" t="s">
        <v>216</v>
      </c>
      <c r="Q1" s="156" t="s">
        <v>219</v>
      </c>
      <c r="R1" s="156" t="s">
        <v>224</v>
      </c>
      <c r="S1" s="156" t="s">
        <v>218</v>
      </c>
      <c r="T1" s="156" t="s">
        <v>244</v>
      </c>
      <c r="U1" s="156" t="s">
        <v>248</v>
      </c>
    </row>
    <row r="2" spans="1:21" x14ac:dyDescent="0.15">
      <c r="A2">
        <v>1</v>
      </c>
      <c r="B2" s="155" t="s">
        <v>193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</row>
    <row r="3" spans="1:21" x14ac:dyDescent="0.15">
      <c r="A3">
        <v>2</v>
      </c>
      <c r="B3" s="155" t="s">
        <v>194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</row>
    <row r="4" spans="1:21" x14ac:dyDescent="0.15">
      <c r="A4">
        <v>3</v>
      </c>
      <c r="B4" s="155" t="s">
        <v>195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</row>
    <row r="5" spans="1:21" x14ac:dyDescent="0.15">
      <c r="A5">
        <v>4</v>
      </c>
      <c r="B5" s="155" t="s">
        <v>196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</row>
    <row r="6" spans="1:21" x14ac:dyDescent="0.15">
      <c r="A6">
        <v>5</v>
      </c>
      <c r="B6" s="155" t="s">
        <v>197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</row>
    <row r="7" spans="1:21" x14ac:dyDescent="0.15">
      <c r="A7">
        <v>6</v>
      </c>
      <c r="B7" s="155" t="s">
        <v>198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8.9042300000000008E-3</v>
      </c>
      <c r="U7">
        <v>8.9042300000000008E-3</v>
      </c>
    </row>
    <row r="8" spans="1:21" x14ac:dyDescent="0.15">
      <c r="A8">
        <v>7</v>
      </c>
      <c r="B8" s="155" t="s">
        <v>199</v>
      </c>
      <c r="C8">
        <v>2.1586485200000002E-2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2.1586485200000002E-2</v>
      </c>
    </row>
    <row r="9" spans="1:21" x14ac:dyDescent="0.15">
      <c r="A9">
        <v>8</v>
      </c>
      <c r="B9" s="155" t="s">
        <v>200</v>
      </c>
      <c r="C9">
        <v>0</v>
      </c>
      <c r="D9">
        <v>6.0457499999999999E-4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6.0457499999999999E-4</v>
      </c>
    </row>
    <row r="10" spans="1:21" x14ac:dyDescent="0.15">
      <c r="A10">
        <v>9</v>
      </c>
      <c r="B10" s="155" t="s">
        <v>201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</row>
    <row r="11" spans="1:21" x14ac:dyDescent="0.15">
      <c r="A11">
        <v>10</v>
      </c>
      <c r="B11" s="155" t="s">
        <v>202</v>
      </c>
      <c r="C11">
        <v>0</v>
      </c>
      <c r="D11">
        <v>0</v>
      </c>
      <c r="E11">
        <v>0</v>
      </c>
      <c r="F11">
        <v>2.64966E-4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2.64966E-4</v>
      </c>
    </row>
    <row r="12" spans="1:21" x14ac:dyDescent="0.15">
      <c r="A12">
        <v>11</v>
      </c>
      <c r="B12" s="155" t="s">
        <v>203</v>
      </c>
      <c r="C12">
        <v>0</v>
      </c>
      <c r="D12">
        <v>0</v>
      </c>
      <c r="E12">
        <v>0</v>
      </c>
      <c r="F12">
        <v>0</v>
      </c>
      <c r="G12">
        <v>2.2043099999999999E-4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2.2043099999999999E-4</v>
      </c>
    </row>
    <row r="13" spans="1:21" x14ac:dyDescent="0.15">
      <c r="A13">
        <v>12</v>
      </c>
      <c r="B13" s="155" t="s">
        <v>204</v>
      </c>
      <c r="C13">
        <v>0</v>
      </c>
      <c r="D13">
        <v>0</v>
      </c>
      <c r="E13">
        <v>0</v>
      </c>
      <c r="F13">
        <v>0</v>
      </c>
      <c r="G13">
        <v>0</v>
      </c>
      <c r="H13">
        <v>3.0000000000000001E-3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3.0000000000000001E-3</v>
      </c>
    </row>
    <row r="14" spans="1:21" x14ac:dyDescent="0.15">
      <c r="A14">
        <v>13</v>
      </c>
      <c r="B14" s="155" t="s">
        <v>205</v>
      </c>
      <c r="C14">
        <v>0</v>
      </c>
      <c r="D14">
        <v>0</v>
      </c>
      <c r="E14">
        <v>0</v>
      </c>
      <c r="F14">
        <v>0</v>
      </c>
      <c r="G14">
        <v>0</v>
      </c>
      <c r="H14">
        <v>6.7000000000000002E-3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6.7000000000000002E-3</v>
      </c>
    </row>
    <row r="15" spans="1:21" x14ac:dyDescent="0.15">
      <c r="A15">
        <v>14</v>
      </c>
      <c r="B15" s="155" t="s">
        <v>206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6.3758139999999996E-3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6.3758139999999996E-3</v>
      </c>
    </row>
    <row r="16" spans="1:21" x14ac:dyDescent="0.15">
      <c r="A16">
        <v>15</v>
      </c>
      <c r="B16" s="155" t="s">
        <v>207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1.47545543E-2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1.47545543E-2</v>
      </c>
    </row>
    <row r="17" spans="1:21" x14ac:dyDescent="0.15">
      <c r="A17">
        <v>16</v>
      </c>
      <c r="B17" s="155" t="s">
        <v>208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4.9098299999999996E-3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4.9098299999999996E-3</v>
      </c>
    </row>
    <row r="18" spans="1:21" x14ac:dyDescent="0.15">
      <c r="A18">
        <v>17</v>
      </c>
      <c r="B18" s="155" t="s">
        <v>209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1.7300270000000001E-3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1.7300270000000001E-3</v>
      </c>
    </row>
    <row r="19" spans="1:21" x14ac:dyDescent="0.15">
      <c r="A19">
        <v>18</v>
      </c>
      <c r="B19" s="155" t="s">
        <v>210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4.13152E-5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4.13152E-5</v>
      </c>
    </row>
    <row r="20" spans="1:21" x14ac:dyDescent="0.15">
      <c r="A20">
        <v>19</v>
      </c>
      <c r="B20" s="155" t="s">
        <v>211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1.7291279999999999E-3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1.7291279999999999E-3</v>
      </c>
    </row>
    <row r="21" spans="1:21" x14ac:dyDescent="0.15">
      <c r="A21">
        <v>20</v>
      </c>
      <c r="B21" s="155" t="s">
        <v>212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9.2849100000000004E-3</v>
      </c>
      <c r="U21">
        <v>9.2849100000000004E-3</v>
      </c>
    </row>
    <row r="22" spans="1:21" x14ac:dyDescent="0.15">
      <c r="A22">
        <v>21</v>
      </c>
      <c r="B22" s="155" t="s">
        <v>213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2.828952E-3</v>
      </c>
      <c r="U22">
        <v>2.828952E-3</v>
      </c>
    </row>
    <row r="23" spans="1:21" x14ac:dyDescent="0.15">
      <c r="A23">
        <v>22</v>
      </c>
      <c r="B23" s="155" t="s">
        <v>214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2.38853E-4</v>
      </c>
      <c r="U23">
        <v>2.38853E-4</v>
      </c>
    </row>
    <row r="24" spans="1:21" x14ac:dyDescent="0.15">
      <c r="A24">
        <v>23</v>
      </c>
      <c r="B24" s="155" t="s">
        <v>215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1.6846124099999998E-2</v>
      </c>
      <c r="P24">
        <v>0</v>
      </c>
      <c r="Q24">
        <v>0</v>
      </c>
      <c r="R24">
        <v>0</v>
      </c>
      <c r="S24">
        <v>0</v>
      </c>
      <c r="T24">
        <v>0</v>
      </c>
      <c r="U24">
        <v>1.6846124099999998E-2</v>
      </c>
    </row>
    <row r="25" spans="1:21" x14ac:dyDescent="0.15">
      <c r="A25">
        <v>24</v>
      </c>
      <c r="B25" s="155" t="s">
        <v>216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1.4330496999999999E-2</v>
      </c>
      <c r="Q25">
        <v>0</v>
      </c>
      <c r="R25">
        <v>0</v>
      </c>
      <c r="S25">
        <v>0</v>
      </c>
      <c r="T25">
        <v>0</v>
      </c>
      <c r="U25">
        <v>1.4330496999999999E-2</v>
      </c>
    </row>
    <row r="26" spans="1:21" x14ac:dyDescent="0.15">
      <c r="A26">
        <v>25</v>
      </c>
      <c r="B26" s="155" t="s">
        <v>217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</row>
    <row r="27" spans="1:21" x14ac:dyDescent="0.15">
      <c r="A27">
        <v>26</v>
      </c>
      <c r="B27" s="155" t="s">
        <v>218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5.0856419999999996E-3</v>
      </c>
      <c r="T27">
        <v>0</v>
      </c>
      <c r="U27">
        <v>5.0856419999999996E-3</v>
      </c>
    </row>
    <row r="28" spans="1:21" x14ac:dyDescent="0.15">
      <c r="A28">
        <v>27</v>
      </c>
      <c r="B28" s="155" t="s">
        <v>219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</row>
    <row r="29" spans="1:21" x14ac:dyDescent="0.15">
      <c r="A29">
        <v>28</v>
      </c>
      <c r="B29" s="155" t="s">
        <v>220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6.3900839999999999E-3</v>
      </c>
      <c r="U29">
        <v>6.3900839999999999E-3</v>
      </c>
    </row>
    <row r="30" spans="1:21" x14ac:dyDescent="0.15">
      <c r="A30">
        <v>29</v>
      </c>
      <c r="B30" s="155" t="s">
        <v>221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</row>
    <row r="31" spans="1:21" x14ac:dyDescent="0.15">
      <c r="A31">
        <v>30</v>
      </c>
      <c r="B31" s="155" t="s">
        <v>222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6.1133599999999998E-4</v>
      </c>
      <c r="U31">
        <v>6.1133599999999998E-4</v>
      </c>
    </row>
    <row r="32" spans="1:21" x14ac:dyDescent="0.15">
      <c r="A32">
        <v>31</v>
      </c>
      <c r="B32" s="155" t="s">
        <v>223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8.1498900000000001E-4</v>
      </c>
      <c r="U32">
        <v>8.1498900000000001E-4</v>
      </c>
    </row>
    <row r="33" spans="1:21" x14ac:dyDescent="0.15">
      <c r="A33">
        <v>32</v>
      </c>
      <c r="B33" s="155" t="s">
        <v>224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3.0392190000000001E-3</v>
      </c>
      <c r="S33">
        <v>0</v>
      </c>
      <c r="T33">
        <v>0</v>
      </c>
      <c r="U33">
        <v>3.0392190000000001E-3</v>
      </c>
    </row>
    <row r="34" spans="1:21" x14ac:dyDescent="0.15">
      <c r="A34">
        <v>33</v>
      </c>
      <c r="B34" s="155" t="s">
        <v>225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8.5255250000000008E-3</v>
      </c>
      <c r="U34">
        <v>8.5255250000000008E-3</v>
      </c>
    </row>
    <row r="35" spans="1:21" x14ac:dyDescent="0.15">
      <c r="A35">
        <v>34</v>
      </c>
      <c r="B35" s="155" t="s">
        <v>226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1.1056999999999999E-4</v>
      </c>
      <c r="U35">
        <v>1.1056999999999999E-4</v>
      </c>
    </row>
    <row r="36" spans="1:21" x14ac:dyDescent="0.15">
      <c r="A36">
        <v>35</v>
      </c>
      <c r="B36" s="155" t="s">
        <v>227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2.5917929999999998E-3</v>
      </c>
      <c r="U36">
        <v>2.5917929999999998E-3</v>
      </c>
    </row>
    <row r="37" spans="1:21" x14ac:dyDescent="0.15">
      <c r="A37">
        <v>36</v>
      </c>
      <c r="B37" s="155" t="s">
        <v>228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8.1575400000000002E-4</v>
      </c>
      <c r="U37">
        <v>8.1575400000000002E-4</v>
      </c>
    </row>
    <row r="38" spans="1:21" x14ac:dyDescent="0.15">
      <c r="A38">
        <v>37</v>
      </c>
      <c r="B38" s="155" t="s">
        <v>229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7.3838059999999997E-3</v>
      </c>
      <c r="U38">
        <v>7.3838059999999997E-3</v>
      </c>
    </row>
    <row r="39" spans="1:21" x14ac:dyDescent="0.15">
      <c r="A39">
        <v>38</v>
      </c>
      <c r="B39" s="155" t="s">
        <v>230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</row>
    <row r="40" spans="1:21" x14ac:dyDescent="0.15">
      <c r="A40">
        <v>39</v>
      </c>
      <c r="B40" s="155" t="s">
        <v>231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</row>
    <row r="41" spans="1:21" x14ac:dyDescent="0.15">
      <c r="A41">
        <v>40</v>
      </c>
      <c r="B41" s="155" t="s">
        <v>232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</row>
    <row r="42" spans="1:21" x14ac:dyDescent="0.15">
      <c r="A42">
        <v>41</v>
      </c>
      <c r="B42" s="155" t="s">
        <v>233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</row>
    <row r="43" spans="1:21" x14ac:dyDescent="0.15">
      <c r="A43">
        <v>42</v>
      </c>
      <c r="B43" s="155" t="s">
        <v>234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</row>
    <row r="44" spans="1:21" x14ac:dyDescent="0.15">
      <c r="A44">
        <v>43</v>
      </c>
      <c r="B44" s="155" t="s">
        <v>235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</row>
    <row r="45" spans="1:21" x14ac:dyDescent="0.15">
      <c r="A45">
        <v>44</v>
      </c>
      <c r="B45" s="155" t="s">
        <v>236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</row>
    <row r="46" spans="1:21" x14ac:dyDescent="0.15">
      <c r="A46">
        <v>45</v>
      </c>
      <c r="B46" s="155" t="s">
        <v>237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</row>
    <row r="47" spans="1:21" x14ac:dyDescent="0.15">
      <c r="A47">
        <v>46</v>
      </c>
      <c r="B47" s="155" t="s">
        <v>238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7.3838059999999997E-3</v>
      </c>
      <c r="U47">
        <v>7.3838059999999997E-3</v>
      </c>
    </row>
    <row r="48" spans="1:21" x14ac:dyDescent="0.15">
      <c r="A48">
        <v>47</v>
      </c>
      <c r="B48" s="155" t="s">
        <v>239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</row>
    <row r="49" spans="1:21" x14ac:dyDescent="0.15">
      <c r="A49">
        <v>48</v>
      </c>
      <c r="B49" s="155" t="s">
        <v>240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</row>
    <row r="50" spans="1:21" x14ac:dyDescent="0.15">
      <c r="A50">
        <v>49</v>
      </c>
      <c r="B50" s="155" t="s">
        <v>241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37.5" bestFit="1" customWidth="1"/>
    <col min="6" max="6" width="4.83203125" bestFit="1" customWidth="1"/>
    <col min="7" max="9" width="3.83203125" bestFit="1" customWidth="1"/>
    <col min="10" max="11" width="4.83203125" style="113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5" customFormat="1" ht="14" thickBot="1" x14ac:dyDescent="0.2">
      <c r="D1" s="116" t="s">
        <v>8</v>
      </c>
      <c r="E1" s="116" t="s">
        <v>0</v>
      </c>
      <c r="F1" s="117" t="s">
        <v>99</v>
      </c>
      <c r="G1" s="118" t="s">
        <v>84</v>
      </c>
      <c r="H1" s="118" t="s">
        <v>85</v>
      </c>
      <c r="I1" s="118" t="s">
        <v>86</v>
      </c>
      <c r="J1" s="118" t="s">
        <v>87</v>
      </c>
      <c r="K1" s="118" t="s">
        <v>88</v>
      </c>
      <c r="L1" s="119" t="s">
        <v>89</v>
      </c>
      <c r="M1" s="119" t="s">
        <v>93</v>
      </c>
      <c r="N1" s="119" t="s">
        <v>92</v>
      </c>
      <c r="O1" s="119" t="s">
        <v>90</v>
      </c>
      <c r="P1" s="119" t="s">
        <v>91</v>
      </c>
      <c r="Q1" s="120" t="s">
        <v>94</v>
      </c>
      <c r="R1" s="120" t="s">
        <v>95</v>
      </c>
      <c r="S1" s="120" t="s">
        <v>96</v>
      </c>
      <c r="T1" s="120" t="s">
        <v>97</v>
      </c>
      <c r="U1" s="120" t="s">
        <v>98</v>
      </c>
      <c r="V1" s="118" t="s">
        <v>100</v>
      </c>
      <c r="W1" s="118" t="s">
        <v>101</v>
      </c>
      <c r="X1" s="118" t="s">
        <v>102</v>
      </c>
      <c r="Y1" s="118" t="s">
        <v>134</v>
      </c>
      <c r="Z1" s="119" t="s">
        <v>103</v>
      </c>
      <c r="AA1" s="119" t="s">
        <v>104</v>
      </c>
      <c r="AB1" s="119" t="s">
        <v>105</v>
      </c>
      <c r="AC1" s="121" t="s">
        <v>135</v>
      </c>
      <c r="AD1" s="120" t="s">
        <v>106</v>
      </c>
      <c r="AE1" s="120" t="s">
        <v>107</v>
      </c>
      <c r="AF1" s="120" t="s">
        <v>108</v>
      </c>
      <c r="AG1" s="120" t="s">
        <v>136</v>
      </c>
      <c r="AH1" s="118" t="s">
        <v>109</v>
      </c>
      <c r="AI1" s="118" t="s">
        <v>111</v>
      </c>
      <c r="AJ1" s="118" t="s">
        <v>110</v>
      </c>
      <c r="AK1" s="119" t="s">
        <v>115</v>
      </c>
      <c r="AL1" s="119" t="s">
        <v>116</v>
      </c>
      <c r="AM1" s="119" t="s">
        <v>117</v>
      </c>
      <c r="AN1" s="120" t="s">
        <v>112</v>
      </c>
      <c r="AO1" s="120" t="s">
        <v>113</v>
      </c>
      <c r="AP1" s="120" t="s">
        <v>114</v>
      </c>
    </row>
    <row r="2" spans="1:42" x14ac:dyDescent="0.15">
      <c r="A2" s="122" t="s">
        <v>74</v>
      </c>
      <c r="B2" s="123">
        <v>1</v>
      </c>
      <c r="D2">
        <v>1</v>
      </c>
      <c r="E2" s="157" t="s">
        <v>193</v>
      </c>
      <c r="F2">
        <v>0.98</v>
      </c>
      <c r="G2">
        <v>0.8</v>
      </c>
      <c r="H2">
        <v>0.8</v>
      </c>
      <c r="I2">
        <v>0.8</v>
      </c>
      <c r="J2" s="113">
        <v>0.25</v>
      </c>
      <c r="K2" s="113">
        <v>0.05</v>
      </c>
    </row>
    <row r="3" spans="1:42" x14ac:dyDescent="0.15">
      <c r="A3" s="122" t="s">
        <v>75</v>
      </c>
      <c r="B3" s="124">
        <v>1</v>
      </c>
      <c r="D3">
        <v>2</v>
      </c>
      <c r="E3" s="157" t="s">
        <v>194</v>
      </c>
      <c r="F3">
        <v>0.98</v>
      </c>
      <c r="G3">
        <v>0.8</v>
      </c>
      <c r="H3">
        <v>0.8</v>
      </c>
      <c r="I3">
        <v>0.8</v>
      </c>
      <c r="J3" s="113">
        <v>0.25</v>
      </c>
      <c r="K3" s="113">
        <v>0.05</v>
      </c>
    </row>
    <row r="4" spans="1:42" x14ac:dyDescent="0.15">
      <c r="A4" s="122" t="s">
        <v>76</v>
      </c>
      <c r="B4" s="124">
        <v>1</v>
      </c>
      <c r="D4">
        <v>3</v>
      </c>
      <c r="E4" s="157" t="s">
        <v>195</v>
      </c>
      <c r="F4">
        <v>0.98</v>
      </c>
      <c r="G4">
        <v>0.8</v>
      </c>
      <c r="H4">
        <v>0.8</v>
      </c>
      <c r="I4">
        <v>0.8</v>
      </c>
      <c r="J4" s="113">
        <v>0.25</v>
      </c>
      <c r="K4" s="113">
        <v>0.05</v>
      </c>
    </row>
    <row r="5" spans="1:42" x14ac:dyDescent="0.15">
      <c r="A5" s="122" t="s">
        <v>77</v>
      </c>
      <c r="B5" s="124">
        <v>1</v>
      </c>
      <c r="D5">
        <v>4</v>
      </c>
      <c r="E5" s="157" t="s">
        <v>196</v>
      </c>
      <c r="F5">
        <v>0.98</v>
      </c>
      <c r="G5">
        <v>0.8</v>
      </c>
      <c r="H5">
        <v>0.8</v>
      </c>
      <c r="I5">
        <v>0.8</v>
      </c>
      <c r="J5" s="113">
        <v>0.25</v>
      </c>
      <c r="K5" s="113">
        <v>0.05</v>
      </c>
    </row>
    <row r="6" spans="1:42" x14ac:dyDescent="0.15">
      <c r="A6" s="122" t="s">
        <v>78</v>
      </c>
      <c r="B6" s="124">
        <v>1</v>
      </c>
      <c r="D6">
        <v>5</v>
      </c>
      <c r="E6" s="157" t="s">
        <v>197</v>
      </c>
      <c r="F6">
        <v>0.98</v>
      </c>
      <c r="G6">
        <v>0.8</v>
      </c>
      <c r="H6">
        <v>0.8</v>
      </c>
      <c r="I6">
        <v>0.8</v>
      </c>
      <c r="J6" s="113">
        <v>0.25</v>
      </c>
      <c r="K6" s="113">
        <v>0.05</v>
      </c>
    </row>
    <row r="7" spans="1:42" x14ac:dyDescent="0.15">
      <c r="A7" s="122" t="s">
        <v>79</v>
      </c>
      <c r="B7" s="124">
        <v>1</v>
      </c>
      <c r="D7">
        <v>6</v>
      </c>
      <c r="E7" s="157" t="s">
        <v>198</v>
      </c>
      <c r="F7">
        <v>0.98</v>
      </c>
      <c r="G7">
        <v>0.8</v>
      </c>
      <c r="H7">
        <v>0.8</v>
      </c>
      <c r="I7">
        <v>0.8</v>
      </c>
      <c r="J7" s="113">
        <v>0.25</v>
      </c>
      <c r="K7" s="113">
        <v>0.05</v>
      </c>
    </row>
    <row r="8" spans="1:42" x14ac:dyDescent="0.15">
      <c r="A8" s="122" t="s">
        <v>80</v>
      </c>
      <c r="B8" s="124">
        <v>1</v>
      </c>
      <c r="D8">
        <v>7</v>
      </c>
      <c r="E8" s="157" t="s">
        <v>199</v>
      </c>
      <c r="F8">
        <v>0.98</v>
      </c>
      <c r="G8">
        <v>0.8</v>
      </c>
      <c r="H8">
        <v>0.8</v>
      </c>
      <c r="I8">
        <v>0.8</v>
      </c>
      <c r="J8" s="113">
        <v>0.25</v>
      </c>
      <c r="K8" s="113">
        <v>0.05</v>
      </c>
    </row>
    <row r="9" spans="1:42" x14ac:dyDescent="0.15">
      <c r="A9" s="122" t="s">
        <v>81</v>
      </c>
      <c r="B9" s="124">
        <v>0.1</v>
      </c>
      <c r="C9" s="61" t="s">
        <v>150</v>
      </c>
      <c r="D9">
        <v>8</v>
      </c>
      <c r="E9" s="157" t="s">
        <v>200</v>
      </c>
      <c r="F9">
        <v>0.98</v>
      </c>
      <c r="G9">
        <v>0.8</v>
      </c>
      <c r="H9">
        <v>0.8</v>
      </c>
      <c r="I9">
        <v>0.8</v>
      </c>
      <c r="J9" s="113">
        <v>0.25</v>
      </c>
      <c r="K9" s="113">
        <v>0.05</v>
      </c>
    </row>
    <row r="10" spans="1:42" ht="14" thickBot="1" x14ac:dyDescent="0.2">
      <c r="A10" s="122" t="s">
        <v>149</v>
      </c>
      <c r="B10" s="125">
        <f>1/3</f>
        <v>0.33333333333333331</v>
      </c>
      <c r="C10" s="61" t="s">
        <v>150</v>
      </c>
      <c r="D10">
        <v>9</v>
      </c>
      <c r="E10" s="157" t="s">
        <v>201</v>
      </c>
      <c r="F10">
        <v>0.98</v>
      </c>
      <c r="G10">
        <v>0.8</v>
      </c>
      <c r="H10">
        <v>0.8</v>
      </c>
      <c r="I10">
        <v>0.8</v>
      </c>
      <c r="J10" s="113">
        <v>0.25</v>
      </c>
      <c r="K10" s="113">
        <v>0.05</v>
      </c>
    </row>
    <row r="11" spans="1:42" x14ac:dyDescent="0.15">
      <c r="D11">
        <v>10</v>
      </c>
      <c r="E11" s="157" t="s">
        <v>202</v>
      </c>
      <c r="F11">
        <v>0.98</v>
      </c>
      <c r="G11">
        <v>0.8</v>
      </c>
      <c r="H11">
        <v>0.8</v>
      </c>
      <c r="I11">
        <v>0.8</v>
      </c>
      <c r="J11" s="113">
        <v>0.25</v>
      </c>
      <c r="K11" s="113">
        <v>0.05</v>
      </c>
    </row>
    <row r="12" spans="1:42" x14ac:dyDescent="0.15">
      <c r="D12">
        <v>11</v>
      </c>
      <c r="E12" s="157" t="s">
        <v>203</v>
      </c>
      <c r="F12">
        <v>0.98</v>
      </c>
      <c r="G12">
        <v>0.8</v>
      </c>
      <c r="H12">
        <v>0.8</v>
      </c>
      <c r="I12">
        <v>0.8</v>
      </c>
      <c r="J12" s="113">
        <v>0.25</v>
      </c>
      <c r="K12" s="113">
        <v>0.05</v>
      </c>
    </row>
    <row r="13" spans="1:42" x14ac:dyDescent="0.15">
      <c r="D13">
        <v>12</v>
      </c>
      <c r="E13" s="157" t="s">
        <v>204</v>
      </c>
      <c r="F13">
        <v>0.98</v>
      </c>
      <c r="G13">
        <v>0.8</v>
      </c>
      <c r="H13">
        <v>0.8</v>
      </c>
      <c r="I13">
        <v>0.8</v>
      </c>
      <c r="J13" s="113">
        <v>0.25</v>
      </c>
      <c r="K13" s="113">
        <v>0.05</v>
      </c>
    </row>
    <row r="14" spans="1:42" x14ac:dyDescent="0.15">
      <c r="D14">
        <v>13</v>
      </c>
      <c r="E14" s="157" t="s">
        <v>205</v>
      </c>
      <c r="F14">
        <v>0.98</v>
      </c>
      <c r="G14">
        <v>0.8</v>
      </c>
      <c r="H14">
        <v>0.8</v>
      </c>
      <c r="I14">
        <v>0.8</v>
      </c>
      <c r="J14" s="113">
        <v>0.25</v>
      </c>
      <c r="K14" s="113">
        <v>0.05</v>
      </c>
    </row>
    <row r="15" spans="1:42" x14ac:dyDescent="0.15">
      <c r="D15">
        <v>14</v>
      </c>
      <c r="E15" s="157" t="s">
        <v>206</v>
      </c>
      <c r="F15">
        <v>0.98</v>
      </c>
      <c r="G15">
        <v>0.8</v>
      </c>
      <c r="H15">
        <v>0.8</v>
      </c>
      <c r="I15">
        <v>0.8</v>
      </c>
      <c r="J15" s="113">
        <v>0.25</v>
      </c>
      <c r="K15" s="113">
        <v>0.05</v>
      </c>
    </row>
    <row r="16" spans="1:42" x14ac:dyDescent="0.15">
      <c r="D16">
        <v>15</v>
      </c>
      <c r="E16" s="157" t="s">
        <v>207</v>
      </c>
      <c r="F16">
        <v>0.98</v>
      </c>
      <c r="G16">
        <v>0.8</v>
      </c>
      <c r="H16">
        <v>0.8</v>
      </c>
      <c r="I16">
        <v>0.8</v>
      </c>
      <c r="J16" s="113">
        <v>0.25</v>
      </c>
      <c r="K16" s="113">
        <v>0.05</v>
      </c>
    </row>
    <row r="17" spans="4:33" ht="15" customHeight="1" x14ac:dyDescent="0.15">
      <c r="D17">
        <v>16</v>
      </c>
      <c r="E17" s="157" t="s">
        <v>208</v>
      </c>
      <c r="F17">
        <v>0.98</v>
      </c>
      <c r="G17">
        <v>0.8</v>
      </c>
      <c r="H17">
        <v>0.8</v>
      </c>
      <c r="I17">
        <v>0.8</v>
      </c>
      <c r="J17" s="113">
        <v>0.25</v>
      </c>
      <c r="K17" s="113">
        <v>0.05</v>
      </c>
    </row>
    <row r="18" spans="4:33" ht="15" customHeight="1" x14ac:dyDescent="0.15">
      <c r="D18">
        <v>17</v>
      </c>
      <c r="E18" s="157" t="s">
        <v>209</v>
      </c>
      <c r="F18">
        <v>0.98</v>
      </c>
      <c r="G18">
        <v>0.8</v>
      </c>
      <c r="H18">
        <v>0.8</v>
      </c>
      <c r="I18">
        <v>0.8</v>
      </c>
      <c r="J18" s="113">
        <v>0.25</v>
      </c>
      <c r="K18" s="113">
        <v>0.05</v>
      </c>
    </row>
    <row r="19" spans="4:33" ht="15" customHeight="1" x14ac:dyDescent="0.15">
      <c r="D19">
        <v>18</v>
      </c>
      <c r="E19" s="157" t="s">
        <v>210</v>
      </c>
      <c r="F19">
        <v>0.98</v>
      </c>
      <c r="G19">
        <v>0.8</v>
      </c>
      <c r="H19">
        <v>0.8</v>
      </c>
      <c r="I19">
        <v>0.8</v>
      </c>
      <c r="J19" s="113">
        <v>0.25</v>
      </c>
      <c r="K19" s="113">
        <v>0.05</v>
      </c>
    </row>
    <row r="20" spans="4:33" ht="15" customHeight="1" x14ac:dyDescent="0.15">
      <c r="D20">
        <v>19</v>
      </c>
      <c r="E20" s="157" t="s">
        <v>211</v>
      </c>
      <c r="F20">
        <v>0.98</v>
      </c>
      <c r="G20">
        <v>0.8</v>
      </c>
      <c r="H20">
        <v>0.8</v>
      </c>
      <c r="I20">
        <v>0.8</v>
      </c>
      <c r="J20" s="113">
        <v>0.25</v>
      </c>
      <c r="K20" s="113">
        <v>0.05</v>
      </c>
    </row>
    <row r="21" spans="4:33" ht="15" customHeight="1" x14ac:dyDescent="0.15">
      <c r="D21">
        <v>20</v>
      </c>
      <c r="E21" s="157" t="s">
        <v>212</v>
      </c>
      <c r="F21">
        <v>0.98</v>
      </c>
      <c r="G21">
        <v>0.8</v>
      </c>
      <c r="H21">
        <v>0.8</v>
      </c>
      <c r="I21">
        <v>0.8</v>
      </c>
      <c r="J21" s="113">
        <v>0.25</v>
      </c>
      <c r="K21" s="113">
        <v>0.05</v>
      </c>
    </row>
    <row r="22" spans="4:33" ht="15" customHeight="1" x14ac:dyDescent="0.15">
      <c r="D22">
        <v>21</v>
      </c>
      <c r="E22" s="157" t="s">
        <v>213</v>
      </c>
      <c r="F22">
        <v>0.98</v>
      </c>
      <c r="G22">
        <v>0.8</v>
      </c>
      <c r="H22">
        <v>0.8</v>
      </c>
      <c r="I22">
        <v>0.8</v>
      </c>
      <c r="J22" s="113">
        <v>0.25</v>
      </c>
      <c r="K22" s="113">
        <v>0.05</v>
      </c>
    </row>
    <row r="23" spans="4:33" ht="15" customHeight="1" x14ac:dyDescent="0.15">
      <c r="D23">
        <v>22</v>
      </c>
      <c r="E23" s="157" t="s">
        <v>214</v>
      </c>
      <c r="F23">
        <v>0.98</v>
      </c>
      <c r="G23">
        <v>0.8</v>
      </c>
      <c r="H23">
        <v>0.8</v>
      </c>
      <c r="I23">
        <v>0.8</v>
      </c>
      <c r="J23" s="113">
        <v>0.25</v>
      </c>
      <c r="K23" s="113">
        <v>0.05</v>
      </c>
    </row>
    <row r="24" spans="4:33" ht="15" customHeight="1" x14ac:dyDescent="0.15">
      <c r="D24">
        <v>23</v>
      </c>
      <c r="E24" s="157" t="s">
        <v>215</v>
      </c>
      <c r="F24">
        <v>0.98</v>
      </c>
      <c r="G24">
        <v>0.8</v>
      </c>
      <c r="H24">
        <v>0.8</v>
      </c>
      <c r="I24">
        <v>0.8</v>
      </c>
      <c r="J24" s="113">
        <v>0.25</v>
      </c>
      <c r="K24" s="113">
        <v>0.05</v>
      </c>
    </row>
    <row r="25" spans="4:33" ht="15" customHeight="1" x14ac:dyDescent="0.15">
      <c r="D25">
        <v>24</v>
      </c>
      <c r="E25" s="157" t="s">
        <v>216</v>
      </c>
      <c r="F25">
        <v>0.98</v>
      </c>
      <c r="G25">
        <v>0.8</v>
      </c>
      <c r="H25">
        <v>0.8</v>
      </c>
      <c r="I25">
        <v>0.8</v>
      </c>
      <c r="J25" s="113">
        <v>0.25</v>
      </c>
      <c r="K25" s="113">
        <v>0.05</v>
      </c>
    </row>
    <row r="26" spans="4:33" ht="15" customHeight="1" x14ac:dyDescent="0.15">
      <c r="D26">
        <v>25</v>
      </c>
      <c r="E26" s="157" t="s">
        <v>217</v>
      </c>
      <c r="F26">
        <v>0.98</v>
      </c>
      <c r="G26">
        <v>0.8</v>
      </c>
      <c r="H26">
        <v>0.8</v>
      </c>
      <c r="I26">
        <v>0.8</v>
      </c>
      <c r="J26" s="113">
        <v>0.25</v>
      </c>
      <c r="K26" s="113">
        <v>0.05</v>
      </c>
    </row>
    <row r="27" spans="4:33" ht="15" customHeight="1" x14ac:dyDescent="0.15">
      <c r="D27">
        <v>26</v>
      </c>
      <c r="E27" s="157" t="s">
        <v>218</v>
      </c>
      <c r="F27">
        <v>0.98</v>
      </c>
      <c r="G27">
        <v>0.8</v>
      </c>
      <c r="H27">
        <v>0.8</v>
      </c>
      <c r="I27">
        <v>0.8</v>
      </c>
      <c r="J27" s="113">
        <v>0.25</v>
      </c>
      <c r="K27" s="113">
        <v>0.05</v>
      </c>
    </row>
    <row r="28" spans="4:33" ht="15" customHeight="1" x14ac:dyDescent="0.15">
      <c r="D28">
        <v>27</v>
      </c>
      <c r="E28" s="157" t="s">
        <v>219</v>
      </c>
      <c r="F28">
        <v>0.98</v>
      </c>
      <c r="G28">
        <v>0.8</v>
      </c>
      <c r="H28">
        <v>0.8</v>
      </c>
      <c r="I28">
        <v>0.8</v>
      </c>
      <c r="J28" s="113">
        <v>0.25</v>
      </c>
      <c r="K28" s="113">
        <v>0.05</v>
      </c>
    </row>
    <row r="29" spans="4:33" ht="15" customHeight="1" x14ac:dyDescent="0.15">
      <c r="D29">
        <v>28</v>
      </c>
      <c r="E29" s="157" t="s">
        <v>220</v>
      </c>
      <c r="F29">
        <v>0.98</v>
      </c>
      <c r="G29">
        <v>0.8</v>
      </c>
      <c r="H29">
        <v>0.8</v>
      </c>
      <c r="I29">
        <v>0.8</v>
      </c>
      <c r="J29" s="113">
        <v>0.25</v>
      </c>
      <c r="K29" s="113">
        <v>0.05</v>
      </c>
      <c r="Y29"/>
      <c r="AC29"/>
      <c r="AG29"/>
    </row>
    <row r="30" spans="4:33" ht="15" customHeight="1" x14ac:dyDescent="0.15">
      <c r="D30">
        <v>29</v>
      </c>
      <c r="E30" s="157" t="s">
        <v>221</v>
      </c>
      <c r="F30">
        <v>0.98</v>
      </c>
      <c r="G30">
        <v>0.8</v>
      </c>
      <c r="H30">
        <v>0.8</v>
      </c>
      <c r="I30">
        <v>0.8</v>
      </c>
      <c r="J30" s="113">
        <v>0.25</v>
      </c>
      <c r="K30" s="113">
        <v>0.05</v>
      </c>
      <c r="Y30"/>
      <c r="AC30"/>
      <c r="AG30"/>
    </row>
    <row r="31" spans="4:33" ht="15" customHeight="1" x14ac:dyDescent="0.15">
      <c r="D31">
        <v>30</v>
      </c>
      <c r="E31" s="157" t="s">
        <v>222</v>
      </c>
      <c r="F31">
        <v>0.98</v>
      </c>
      <c r="G31">
        <v>0.8</v>
      </c>
      <c r="H31">
        <v>0.8</v>
      </c>
      <c r="I31">
        <v>0.8</v>
      </c>
      <c r="J31" s="113">
        <v>0.25</v>
      </c>
      <c r="K31" s="113">
        <v>0.05</v>
      </c>
      <c r="Y31"/>
      <c r="AC31"/>
      <c r="AG31"/>
    </row>
    <row r="32" spans="4:33" ht="15" customHeight="1" x14ac:dyDescent="0.15">
      <c r="D32">
        <v>31</v>
      </c>
      <c r="E32" s="157" t="s">
        <v>223</v>
      </c>
      <c r="F32">
        <v>0.98</v>
      </c>
      <c r="G32">
        <v>0.8</v>
      </c>
      <c r="H32">
        <v>0.8</v>
      </c>
      <c r="I32">
        <v>0.8</v>
      </c>
      <c r="J32" s="113">
        <v>0.25</v>
      </c>
      <c r="K32" s="113">
        <v>0.05</v>
      </c>
      <c r="Y32"/>
      <c r="AC32"/>
      <c r="AG32"/>
    </row>
    <row r="33" spans="4:33" ht="15" customHeight="1" x14ac:dyDescent="0.15">
      <c r="D33">
        <v>32</v>
      </c>
      <c r="E33" s="157" t="s">
        <v>224</v>
      </c>
      <c r="F33">
        <v>0.98</v>
      </c>
      <c r="G33">
        <v>0.8</v>
      </c>
      <c r="H33">
        <v>0.8</v>
      </c>
      <c r="I33">
        <v>0.8</v>
      </c>
      <c r="J33" s="113">
        <v>0.25</v>
      </c>
      <c r="K33" s="113">
        <v>0.05</v>
      </c>
      <c r="Y33"/>
      <c r="AC33"/>
      <c r="AG33"/>
    </row>
    <row r="34" spans="4:33" ht="15" customHeight="1" x14ac:dyDescent="0.15">
      <c r="D34">
        <v>33</v>
      </c>
      <c r="E34" s="157" t="s">
        <v>225</v>
      </c>
      <c r="F34">
        <v>0.98</v>
      </c>
      <c r="G34">
        <v>0.8</v>
      </c>
      <c r="H34">
        <v>0.8</v>
      </c>
      <c r="I34">
        <v>0.8</v>
      </c>
      <c r="J34" s="113">
        <v>0.25</v>
      </c>
      <c r="K34" s="113">
        <v>0.05</v>
      </c>
      <c r="Y34"/>
      <c r="AC34"/>
      <c r="AG34"/>
    </row>
    <row r="35" spans="4:33" ht="15" customHeight="1" x14ac:dyDescent="0.15">
      <c r="D35">
        <v>34</v>
      </c>
      <c r="E35" s="157" t="s">
        <v>226</v>
      </c>
      <c r="F35">
        <v>0.98</v>
      </c>
      <c r="G35">
        <v>0.8</v>
      </c>
      <c r="H35">
        <v>0.8</v>
      </c>
      <c r="I35">
        <v>0.8</v>
      </c>
      <c r="J35" s="113">
        <v>0.25</v>
      </c>
      <c r="K35" s="113">
        <v>0.05</v>
      </c>
      <c r="Y35"/>
      <c r="AC35"/>
      <c r="AG35"/>
    </row>
    <row r="36" spans="4:33" ht="15" customHeight="1" x14ac:dyDescent="0.15">
      <c r="D36">
        <v>35</v>
      </c>
      <c r="E36" s="157" t="s">
        <v>227</v>
      </c>
      <c r="F36">
        <v>0.98</v>
      </c>
      <c r="G36">
        <v>0.8</v>
      </c>
      <c r="H36">
        <v>0.8</v>
      </c>
      <c r="I36">
        <v>0.8</v>
      </c>
      <c r="J36" s="113">
        <v>0.25</v>
      </c>
      <c r="K36" s="113">
        <v>0.05</v>
      </c>
      <c r="Y36"/>
      <c r="AC36"/>
      <c r="AG36"/>
    </row>
    <row r="37" spans="4:33" ht="15" customHeight="1" x14ac:dyDescent="0.15">
      <c r="D37">
        <v>36</v>
      </c>
      <c r="E37" s="157" t="s">
        <v>228</v>
      </c>
      <c r="F37">
        <v>0.98</v>
      </c>
      <c r="G37">
        <v>0.8</v>
      </c>
      <c r="H37">
        <v>0.8</v>
      </c>
      <c r="I37">
        <v>0.8</v>
      </c>
      <c r="J37" s="113">
        <v>0.25</v>
      </c>
      <c r="K37" s="113">
        <v>0.05</v>
      </c>
      <c r="Y37"/>
      <c r="AC37"/>
      <c r="AG37"/>
    </row>
    <row r="38" spans="4:33" ht="15" customHeight="1" x14ac:dyDescent="0.15">
      <c r="D38">
        <v>37</v>
      </c>
      <c r="E38" s="157" t="s">
        <v>229</v>
      </c>
      <c r="F38">
        <v>0.98</v>
      </c>
      <c r="G38">
        <v>0.8</v>
      </c>
      <c r="H38">
        <v>0.8</v>
      </c>
      <c r="I38">
        <v>0.8</v>
      </c>
      <c r="J38" s="113">
        <v>0.25</v>
      </c>
      <c r="K38" s="113">
        <v>0.05</v>
      </c>
      <c r="Y38"/>
      <c r="AC38"/>
      <c r="AG38"/>
    </row>
    <row r="39" spans="4:33" ht="15" customHeight="1" x14ac:dyDescent="0.15">
      <c r="D39">
        <v>38</v>
      </c>
      <c r="E39" s="157" t="s">
        <v>230</v>
      </c>
      <c r="F39">
        <v>0.98</v>
      </c>
      <c r="G39">
        <v>0.8</v>
      </c>
      <c r="H39">
        <v>0.8</v>
      </c>
      <c r="I39">
        <v>0.8</v>
      </c>
      <c r="J39" s="113">
        <v>0.25</v>
      </c>
      <c r="K39" s="113">
        <v>0.05</v>
      </c>
    </row>
    <row r="40" spans="4:33" ht="15" customHeight="1" x14ac:dyDescent="0.15">
      <c r="D40">
        <v>39</v>
      </c>
      <c r="E40" s="157" t="s">
        <v>231</v>
      </c>
      <c r="F40">
        <v>0.98</v>
      </c>
      <c r="G40">
        <v>0.8</v>
      </c>
      <c r="H40">
        <v>0.8</v>
      </c>
      <c r="I40">
        <v>0.8</v>
      </c>
      <c r="J40" s="113">
        <v>0.25</v>
      </c>
      <c r="K40" s="113">
        <v>0.05</v>
      </c>
      <c r="Y40"/>
      <c r="AC40"/>
      <c r="AG40"/>
    </row>
    <row r="41" spans="4:33" ht="15" customHeight="1" x14ac:dyDescent="0.15">
      <c r="D41">
        <v>40</v>
      </c>
      <c r="E41" s="157" t="s">
        <v>232</v>
      </c>
      <c r="F41">
        <v>0.98</v>
      </c>
      <c r="G41">
        <v>0.8</v>
      </c>
      <c r="H41">
        <v>0.8</v>
      </c>
      <c r="I41">
        <v>0.8</v>
      </c>
      <c r="J41" s="113">
        <v>0.25</v>
      </c>
      <c r="K41" s="113">
        <v>0.05</v>
      </c>
      <c r="Y41"/>
      <c r="AC41"/>
      <c r="AG41"/>
    </row>
    <row r="42" spans="4:33" ht="15" customHeight="1" x14ac:dyDescent="0.15">
      <c r="D42">
        <v>41</v>
      </c>
      <c r="E42" s="157" t="s">
        <v>233</v>
      </c>
      <c r="F42">
        <v>0.98</v>
      </c>
      <c r="G42">
        <v>0.8</v>
      </c>
      <c r="H42">
        <v>0.8</v>
      </c>
      <c r="I42">
        <v>0.8</v>
      </c>
      <c r="J42" s="113">
        <v>0.25</v>
      </c>
      <c r="K42" s="113">
        <v>0.05</v>
      </c>
      <c r="Y42"/>
      <c r="AC42"/>
      <c r="AG42"/>
    </row>
    <row r="43" spans="4:33" ht="15" customHeight="1" x14ac:dyDescent="0.15">
      <c r="D43">
        <v>42</v>
      </c>
      <c r="E43" s="157" t="s">
        <v>234</v>
      </c>
      <c r="F43">
        <v>0.98</v>
      </c>
      <c r="G43">
        <v>0.8</v>
      </c>
      <c r="H43">
        <v>0.8</v>
      </c>
      <c r="I43">
        <v>0.8</v>
      </c>
      <c r="J43" s="113">
        <v>0.25</v>
      </c>
      <c r="K43" s="113">
        <v>0.05</v>
      </c>
      <c r="Y43"/>
      <c r="AC43"/>
      <c r="AG43"/>
    </row>
    <row r="44" spans="4:33" ht="15" customHeight="1" x14ac:dyDescent="0.15">
      <c r="D44">
        <v>43</v>
      </c>
      <c r="E44" s="157" t="s">
        <v>235</v>
      </c>
      <c r="F44">
        <v>0.98</v>
      </c>
      <c r="G44">
        <v>0.8</v>
      </c>
      <c r="H44">
        <v>0.8</v>
      </c>
      <c r="I44">
        <v>0.8</v>
      </c>
      <c r="J44" s="113">
        <v>0.25</v>
      </c>
      <c r="K44" s="113">
        <v>0.05</v>
      </c>
      <c r="Y44"/>
      <c r="AC44"/>
      <c r="AG44"/>
    </row>
    <row r="45" spans="4:33" ht="15" customHeight="1" x14ac:dyDescent="0.15">
      <c r="D45">
        <v>44</v>
      </c>
      <c r="E45" s="157" t="s">
        <v>236</v>
      </c>
      <c r="F45">
        <v>0.98</v>
      </c>
      <c r="G45">
        <v>0.8</v>
      </c>
      <c r="H45">
        <v>0.8</v>
      </c>
      <c r="I45">
        <v>0</v>
      </c>
      <c r="J45" s="113">
        <v>0</v>
      </c>
      <c r="K45" s="113">
        <v>0</v>
      </c>
      <c r="Y45"/>
      <c r="AC45"/>
      <c r="AG45"/>
    </row>
    <row r="46" spans="4:33" ht="15" customHeight="1" x14ac:dyDescent="0.15">
      <c r="D46">
        <v>45</v>
      </c>
      <c r="E46" s="157" t="s">
        <v>237</v>
      </c>
      <c r="F46">
        <v>0.98</v>
      </c>
      <c r="G46">
        <v>0.8</v>
      </c>
      <c r="H46">
        <v>0.8</v>
      </c>
      <c r="I46">
        <v>0</v>
      </c>
      <c r="J46" s="113">
        <v>0</v>
      </c>
      <c r="K46" s="113">
        <v>0</v>
      </c>
      <c r="Y46"/>
      <c r="AC46"/>
      <c r="AG46"/>
    </row>
    <row r="47" spans="4:33" ht="15" customHeight="1" x14ac:dyDescent="0.15">
      <c r="D47">
        <v>46</v>
      </c>
      <c r="E47" s="157" t="s">
        <v>238</v>
      </c>
      <c r="F47">
        <v>0.98</v>
      </c>
      <c r="G47">
        <v>0.8</v>
      </c>
      <c r="H47">
        <v>0.8</v>
      </c>
      <c r="I47">
        <v>0</v>
      </c>
      <c r="J47" s="113">
        <v>0</v>
      </c>
      <c r="K47" s="113">
        <v>0</v>
      </c>
      <c r="Y47"/>
      <c r="AC47"/>
      <c r="AG47"/>
    </row>
    <row r="48" spans="4:33" ht="15" customHeight="1" x14ac:dyDescent="0.15">
      <c r="D48">
        <v>47</v>
      </c>
      <c r="E48" s="157" t="s">
        <v>239</v>
      </c>
      <c r="F48">
        <v>0.98</v>
      </c>
      <c r="G48">
        <v>0.8</v>
      </c>
      <c r="H48">
        <v>0</v>
      </c>
      <c r="I48">
        <v>0</v>
      </c>
      <c r="J48" s="113">
        <v>0</v>
      </c>
      <c r="K48" s="113">
        <v>0</v>
      </c>
      <c r="Y48"/>
      <c r="AC48"/>
      <c r="AG48"/>
    </row>
    <row r="49" spans="4:33" ht="15" customHeight="1" x14ac:dyDescent="0.15">
      <c r="D49">
        <v>48</v>
      </c>
      <c r="E49" s="157" t="s">
        <v>240</v>
      </c>
      <c r="F49">
        <v>0.98</v>
      </c>
      <c r="G49">
        <v>0.8</v>
      </c>
      <c r="H49">
        <v>0</v>
      </c>
      <c r="I49">
        <v>0</v>
      </c>
      <c r="J49" s="113">
        <v>0</v>
      </c>
      <c r="K49" s="113">
        <v>0</v>
      </c>
      <c r="Y49"/>
      <c r="AC49"/>
      <c r="AG49"/>
    </row>
    <row r="50" spans="4:33" ht="15" customHeight="1" x14ac:dyDescent="0.15">
      <c r="D50">
        <v>49</v>
      </c>
      <c r="E50" s="157" t="s">
        <v>241</v>
      </c>
      <c r="F50">
        <v>0.98</v>
      </c>
      <c r="G50">
        <v>0.8</v>
      </c>
      <c r="H50">
        <v>0</v>
      </c>
      <c r="I50">
        <v>0</v>
      </c>
      <c r="J50" s="113">
        <v>0</v>
      </c>
      <c r="K50" s="113">
        <v>0</v>
      </c>
      <c r="Y50"/>
      <c r="AC50"/>
      <c r="AG50"/>
    </row>
    <row r="51" spans="4:33" ht="15" customHeight="1" x14ac:dyDescent="0.15">
      <c r="J51"/>
      <c r="K51"/>
      <c r="Y51"/>
      <c r="AC51"/>
      <c r="AG51"/>
    </row>
    <row r="52" spans="4:33" ht="15" customHeight="1" x14ac:dyDescent="0.15">
      <c r="J52"/>
      <c r="K52"/>
      <c r="Y52"/>
      <c r="AC52"/>
      <c r="AG52"/>
    </row>
    <row r="53" spans="4:33" ht="15" customHeight="1" x14ac:dyDescent="0.15">
      <c r="J53"/>
      <c r="K53"/>
      <c r="Y53"/>
      <c r="AC53"/>
      <c r="AG53"/>
    </row>
    <row r="54" spans="4:33" ht="15" customHeight="1" x14ac:dyDescent="0.15">
      <c r="J54"/>
      <c r="K54"/>
      <c r="Y54"/>
      <c r="AC54"/>
      <c r="AG54"/>
    </row>
    <row r="55" spans="4:33" ht="15" customHeight="1" x14ac:dyDescent="0.15">
      <c r="J55"/>
      <c r="K55"/>
      <c r="Y55"/>
      <c r="AC55"/>
      <c r="AG55"/>
    </row>
    <row r="56" spans="4:33" ht="15" customHeight="1" x14ac:dyDescent="0.15">
      <c r="J56"/>
      <c r="K56"/>
      <c r="Y56"/>
      <c r="AC56"/>
      <c r="AG56"/>
    </row>
    <row r="57" spans="4:33" ht="15" customHeight="1" x14ac:dyDescent="0.15">
      <c r="J57"/>
      <c r="K57"/>
      <c r="Y57"/>
      <c r="AC57"/>
      <c r="AG57"/>
    </row>
    <row r="58" spans="4:33" ht="15" customHeight="1" x14ac:dyDescent="0.15">
      <c r="J58"/>
      <c r="K58"/>
      <c r="Y58"/>
      <c r="AC58"/>
      <c r="AG58"/>
    </row>
    <row r="59" spans="4:33" ht="15" customHeight="1" x14ac:dyDescent="0.15">
      <c r="J59"/>
      <c r="K59"/>
      <c r="Y59"/>
      <c r="AC59"/>
      <c r="AG59"/>
    </row>
    <row r="60" spans="4:33" ht="15" customHeight="1" x14ac:dyDescent="0.15">
      <c r="J60"/>
      <c r="K60"/>
      <c r="Y60"/>
      <c r="AC60"/>
      <c r="AG60"/>
    </row>
    <row r="61" spans="4:33" ht="15" customHeight="1" x14ac:dyDescent="0.15">
      <c r="J61"/>
      <c r="K61"/>
      <c r="Y61"/>
      <c r="AC61"/>
      <c r="AG61"/>
    </row>
    <row r="62" spans="4:33" ht="15" customHeight="1" x14ac:dyDescent="0.15">
      <c r="J62"/>
      <c r="K62"/>
      <c r="Y62"/>
      <c r="AC62"/>
      <c r="AG62"/>
    </row>
    <row r="63" spans="4:33" ht="15" customHeight="1" x14ac:dyDescent="0.15">
      <c r="J63"/>
      <c r="K63"/>
      <c r="Y63"/>
      <c r="AC63"/>
      <c r="AG63"/>
    </row>
    <row r="64" spans="4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X51"/>
  <sheetViews>
    <sheetView workbookViewId="0">
      <selection activeCell="A3" sqref="A3"/>
    </sheetView>
  </sheetViews>
  <sheetFormatPr baseColWidth="10" defaultRowHeight="13" x14ac:dyDescent="0.15"/>
  <cols>
    <col min="1" max="1" width="37.5" style="111" bestFit="1" customWidth="1"/>
    <col min="2" max="44" width="3.83203125" style="111" customWidth="1"/>
    <col min="45" max="50" width="2.33203125" style="111" customWidth="1"/>
    <col min="51" max="16384" width="10.83203125" style="111"/>
  </cols>
  <sheetData>
    <row r="1" spans="1:50" x14ac:dyDescent="0.15">
      <c r="A1" s="63" t="s">
        <v>118</v>
      </c>
      <c r="B1" s="159" t="s">
        <v>193</v>
      </c>
      <c r="C1" s="159" t="s">
        <v>194</v>
      </c>
      <c r="D1" s="159" t="s">
        <v>195</v>
      </c>
      <c r="E1" s="159" t="s">
        <v>196</v>
      </c>
      <c r="F1" s="159" t="s">
        <v>197</v>
      </c>
      <c r="G1" s="159" t="s">
        <v>198</v>
      </c>
      <c r="H1" s="159" t="s">
        <v>199</v>
      </c>
      <c r="I1" s="159" t="s">
        <v>200</v>
      </c>
      <c r="J1" s="159" t="s">
        <v>201</v>
      </c>
      <c r="K1" s="159" t="s">
        <v>202</v>
      </c>
      <c r="L1" s="159" t="s">
        <v>203</v>
      </c>
      <c r="M1" s="159" t="s">
        <v>204</v>
      </c>
      <c r="N1" s="159" t="s">
        <v>205</v>
      </c>
      <c r="O1" s="159" t="s">
        <v>206</v>
      </c>
      <c r="P1" s="159" t="s">
        <v>207</v>
      </c>
      <c r="Q1" s="159" t="s">
        <v>208</v>
      </c>
      <c r="R1" s="159" t="s">
        <v>209</v>
      </c>
      <c r="S1" s="159" t="s">
        <v>210</v>
      </c>
      <c r="T1" s="159" t="s">
        <v>211</v>
      </c>
      <c r="U1" s="159" t="s">
        <v>212</v>
      </c>
      <c r="V1" s="159" t="s">
        <v>213</v>
      </c>
      <c r="W1" s="159" t="s">
        <v>214</v>
      </c>
      <c r="X1" s="159" t="s">
        <v>215</v>
      </c>
      <c r="Y1" s="159" t="s">
        <v>216</v>
      </c>
      <c r="Z1" s="159" t="s">
        <v>217</v>
      </c>
      <c r="AA1" s="159" t="s">
        <v>218</v>
      </c>
      <c r="AB1" s="159" t="s">
        <v>219</v>
      </c>
      <c r="AC1" s="159" t="s">
        <v>220</v>
      </c>
      <c r="AD1" s="159" t="s">
        <v>221</v>
      </c>
      <c r="AE1" s="159" t="s">
        <v>222</v>
      </c>
      <c r="AF1" s="159" t="s">
        <v>223</v>
      </c>
      <c r="AG1" s="159" t="s">
        <v>224</v>
      </c>
      <c r="AH1" s="159" t="s">
        <v>225</v>
      </c>
      <c r="AI1" s="159" t="s">
        <v>226</v>
      </c>
      <c r="AJ1" s="159" t="s">
        <v>227</v>
      </c>
      <c r="AK1" s="159" t="s">
        <v>228</v>
      </c>
      <c r="AL1" s="159" t="s">
        <v>229</v>
      </c>
      <c r="AM1" s="159" t="s">
        <v>230</v>
      </c>
      <c r="AN1" s="159" t="s">
        <v>231</v>
      </c>
      <c r="AO1" s="159" t="s">
        <v>232</v>
      </c>
      <c r="AP1" s="159" t="s">
        <v>233</v>
      </c>
      <c r="AQ1" s="159" t="s">
        <v>234</v>
      </c>
      <c r="AR1" s="159" t="s">
        <v>235</v>
      </c>
      <c r="AS1" s="159" t="s">
        <v>236</v>
      </c>
      <c r="AT1" s="159" t="s">
        <v>237</v>
      </c>
      <c r="AU1" s="159" t="s">
        <v>238</v>
      </c>
      <c r="AV1" s="159" t="s">
        <v>239</v>
      </c>
      <c r="AW1" s="159" t="s">
        <v>240</v>
      </c>
      <c r="AX1" s="159" t="s">
        <v>241</v>
      </c>
    </row>
    <row r="2" spans="1:50" customFormat="1" x14ac:dyDescent="0.15">
      <c r="A2" s="158" t="s">
        <v>193</v>
      </c>
      <c r="B2" s="111">
        <v>0</v>
      </c>
      <c r="C2" s="111">
        <v>0</v>
      </c>
      <c r="D2" s="111">
        <v>0</v>
      </c>
      <c r="E2" s="111">
        <v>0</v>
      </c>
      <c r="F2" s="111">
        <v>0</v>
      </c>
      <c r="G2" s="111">
        <v>0</v>
      </c>
      <c r="H2" s="111">
        <v>0</v>
      </c>
      <c r="I2" s="111">
        <v>0</v>
      </c>
      <c r="J2" s="111">
        <v>0</v>
      </c>
      <c r="K2" s="111">
        <v>0</v>
      </c>
      <c r="L2" s="111">
        <v>0</v>
      </c>
      <c r="M2" s="111">
        <v>0</v>
      </c>
      <c r="N2" s="111">
        <v>0</v>
      </c>
      <c r="O2" s="111">
        <v>0</v>
      </c>
      <c r="P2" s="111">
        <v>0</v>
      </c>
      <c r="Q2" s="111">
        <v>0</v>
      </c>
      <c r="R2" s="111">
        <v>0</v>
      </c>
      <c r="S2" s="111">
        <v>0</v>
      </c>
      <c r="T2" s="111">
        <v>0</v>
      </c>
      <c r="U2" s="111">
        <v>0</v>
      </c>
      <c r="V2" s="111">
        <v>0</v>
      </c>
      <c r="W2" s="111">
        <v>0</v>
      </c>
      <c r="X2" s="111">
        <v>0</v>
      </c>
      <c r="Y2" s="111">
        <v>0</v>
      </c>
      <c r="Z2" s="111">
        <v>0</v>
      </c>
      <c r="AA2" s="111">
        <v>0</v>
      </c>
      <c r="AB2" s="111">
        <v>0</v>
      </c>
      <c r="AC2" s="111">
        <v>0</v>
      </c>
      <c r="AD2" s="111">
        <v>0</v>
      </c>
      <c r="AE2" s="111">
        <v>0</v>
      </c>
      <c r="AF2" s="111">
        <v>0</v>
      </c>
      <c r="AG2" s="111">
        <v>0</v>
      </c>
      <c r="AH2" s="111">
        <v>0</v>
      </c>
      <c r="AI2" s="111">
        <v>0</v>
      </c>
      <c r="AJ2" s="111">
        <v>0</v>
      </c>
      <c r="AK2" s="111">
        <v>0</v>
      </c>
      <c r="AL2" s="111">
        <v>0</v>
      </c>
      <c r="AM2" s="111">
        <v>0</v>
      </c>
      <c r="AN2" s="111">
        <v>0</v>
      </c>
      <c r="AO2" s="111">
        <v>0</v>
      </c>
      <c r="AP2" s="111">
        <v>0</v>
      </c>
      <c r="AQ2" s="111">
        <v>0</v>
      </c>
      <c r="AR2" s="111">
        <v>0</v>
      </c>
      <c r="AS2" s="111">
        <v>0</v>
      </c>
      <c r="AT2" s="111">
        <v>0</v>
      </c>
      <c r="AU2" s="111">
        <v>0</v>
      </c>
      <c r="AV2" s="111">
        <v>0</v>
      </c>
      <c r="AW2" s="111">
        <v>0</v>
      </c>
      <c r="AX2" s="111">
        <v>0</v>
      </c>
    </row>
    <row r="3" spans="1:50" customFormat="1" x14ac:dyDescent="0.15">
      <c r="A3" s="158" t="s">
        <v>194</v>
      </c>
      <c r="B3" s="111">
        <v>0</v>
      </c>
      <c r="C3" s="111">
        <v>0</v>
      </c>
      <c r="D3" s="111">
        <v>0</v>
      </c>
      <c r="E3" s="111">
        <v>0</v>
      </c>
      <c r="F3" s="111">
        <v>0</v>
      </c>
      <c r="G3" s="111">
        <v>0</v>
      </c>
      <c r="H3" s="111">
        <v>0</v>
      </c>
      <c r="I3" s="111">
        <v>0</v>
      </c>
      <c r="J3" s="111">
        <v>0</v>
      </c>
      <c r="K3" s="111">
        <v>0</v>
      </c>
      <c r="L3" s="111">
        <v>0</v>
      </c>
      <c r="M3" s="111">
        <v>0</v>
      </c>
      <c r="N3" s="111">
        <v>0</v>
      </c>
      <c r="O3" s="111">
        <v>0</v>
      </c>
      <c r="P3" s="111">
        <v>0</v>
      </c>
      <c r="Q3" s="111">
        <v>0</v>
      </c>
      <c r="R3" s="111">
        <v>0</v>
      </c>
      <c r="S3" s="111">
        <v>0</v>
      </c>
      <c r="T3" s="111">
        <v>0</v>
      </c>
      <c r="U3" s="111">
        <v>0</v>
      </c>
      <c r="V3" s="111">
        <v>0</v>
      </c>
      <c r="W3" s="111">
        <v>0</v>
      </c>
      <c r="X3" s="111">
        <v>0</v>
      </c>
      <c r="Y3" s="111">
        <v>0</v>
      </c>
      <c r="Z3" s="111">
        <v>0</v>
      </c>
      <c r="AA3" s="111">
        <v>0</v>
      </c>
      <c r="AB3" s="111">
        <v>0</v>
      </c>
      <c r="AC3" s="111">
        <v>0</v>
      </c>
      <c r="AD3" s="111">
        <v>0</v>
      </c>
      <c r="AE3" s="111">
        <v>0</v>
      </c>
      <c r="AF3" s="111">
        <v>0</v>
      </c>
      <c r="AG3" s="111">
        <v>0</v>
      </c>
      <c r="AH3" s="111">
        <v>0</v>
      </c>
      <c r="AI3" s="111">
        <v>0</v>
      </c>
      <c r="AJ3" s="111">
        <v>0</v>
      </c>
      <c r="AK3" s="111">
        <v>0</v>
      </c>
      <c r="AL3" s="111">
        <v>0</v>
      </c>
      <c r="AM3" s="111">
        <v>0</v>
      </c>
      <c r="AN3" s="111">
        <v>0</v>
      </c>
      <c r="AO3" s="111">
        <v>0</v>
      </c>
      <c r="AP3" s="111">
        <v>0</v>
      </c>
      <c r="AQ3" s="111">
        <v>0</v>
      </c>
      <c r="AR3" s="111">
        <v>0</v>
      </c>
      <c r="AS3" s="111">
        <v>0</v>
      </c>
      <c r="AT3" s="111">
        <v>0</v>
      </c>
      <c r="AU3" s="111">
        <v>0</v>
      </c>
      <c r="AV3" s="111">
        <v>0</v>
      </c>
      <c r="AW3" s="111">
        <v>0</v>
      </c>
      <c r="AX3" s="111">
        <v>0</v>
      </c>
    </row>
    <row r="4" spans="1:50" customFormat="1" x14ac:dyDescent="0.15">
      <c r="A4" s="158" t="s">
        <v>195</v>
      </c>
      <c r="B4" s="111">
        <v>0</v>
      </c>
      <c r="C4" s="111">
        <v>0</v>
      </c>
      <c r="D4" s="111">
        <v>0</v>
      </c>
      <c r="E4" s="111">
        <v>0</v>
      </c>
      <c r="F4" s="111">
        <v>0</v>
      </c>
      <c r="G4" s="111">
        <v>0</v>
      </c>
      <c r="H4" s="111">
        <v>0</v>
      </c>
      <c r="I4" s="111">
        <v>0</v>
      </c>
      <c r="J4" s="111">
        <v>0</v>
      </c>
      <c r="K4" s="111">
        <v>0</v>
      </c>
      <c r="L4" s="111">
        <v>0</v>
      </c>
      <c r="M4" s="111">
        <v>0</v>
      </c>
      <c r="N4" s="111">
        <v>0</v>
      </c>
      <c r="O4" s="111">
        <v>0</v>
      </c>
      <c r="P4" s="111">
        <v>0</v>
      </c>
      <c r="Q4" s="111">
        <v>0</v>
      </c>
      <c r="R4" s="111">
        <v>0</v>
      </c>
      <c r="S4" s="111">
        <v>0</v>
      </c>
      <c r="T4" s="111">
        <v>0</v>
      </c>
      <c r="U4" s="111">
        <v>0</v>
      </c>
      <c r="V4" s="111">
        <v>0</v>
      </c>
      <c r="W4" s="111">
        <v>0</v>
      </c>
      <c r="X4" s="111">
        <v>0</v>
      </c>
      <c r="Y4" s="111">
        <v>0</v>
      </c>
      <c r="Z4" s="111">
        <v>0</v>
      </c>
      <c r="AA4" s="111">
        <v>0</v>
      </c>
      <c r="AB4" s="111">
        <v>0</v>
      </c>
      <c r="AC4" s="111">
        <v>0</v>
      </c>
      <c r="AD4" s="111">
        <v>0</v>
      </c>
      <c r="AE4" s="111">
        <v>0</v>
      </c>
      <c r="AF4" s="111">
        <v>0</v>
      </c>
      <c r="AG4" s="111">
        <v>0</v>
      </c>
      <c r="AH4" s="111">
        <v>0</v>
      </c>
      <c r="AI4" s="111">
        <v>0</v>
      </c>
      <c r="AJ4" s="111">
        <v>0</v>
      </c>
      <c r="AK4" s="111">
        <v>0</v>
      </c>
      <c r="AL4" s="111">
        <v>0</v>
      </c>
      <c r="AM4" s="111">
        <v>0</v>
      </c>
      <c r="AN4" s="111">
        <v>0</v>
      </c>
      <c r="AO4" s="111">
        <v>0</v>
      </c>
      <c r="AP4" s="111">
        <v>0</v>
      </c>
      <c r="AQ4" s="111">
        <v>0</v>
      </c>
      <c r="AR4" s="111">
        <v>0</v>
      </c>
      <c r="AS4" s="111">
        <v>0</v>
      </c>
      <c r="AT4" s="111">
        <v>0</v>
      </c>
      <c r="AU4" s="111">
        <v>0</v>
      </c>
      <c r="AV4" s="111">
        <v>0</v>
      </c>
      <c r="AW4" s="111">
        <v>0</v>
      </c>
      <c r="AX4" s="111">
        <v>0</v>
      </c>
    </row>
    <row r="5" spans="1:50" customFormat="1" x14ac:dyDescent="0.15">
      <c r="A5" s="158" t="s">
        <v>196</v>
      </c>
      <c r="B5" s="111">
        <v>0</v>
      </c>
      <c r="C5" s="111">
        <v>0</v>
      </c>
      <c r="D5" s="111">
        <v>0</v>
      </c>
      <c r="E5" s="111">
        <v>0</v>
      </c>
      <c r="F5" s="111">
        <v>0</v>
      </c>
      <c r="G5" s="111">
        <v>0</v>
      </c>
      <c r="H5" s="111">
        <v>0</v>
      </c>
      <c r="I5" s="111">
        <v>0</v>
      </c>
      <c r="J5" s="111">
        <v>0</v>
      </c>
      <c r="K5" s="111">
        <v>0</v>
      </c>
      <c r="L5" s="111">
        <v>0</v>
      </c>
      <c r="M5" s="111">
        <v>0</v>
      </c>
      <c r="N5" s="111">
        <v>0</v>
      </c>
      <c r="O5" s="111">
        <v>0</v>
      </c>
      <c r="P5" s="111">
        <v>0</v>
      </c>
      <c r="Q5" s="111">
        <v>0</v>
      </c>
      <c r="R5" s="111">
        <v>0</v>
      </c>
      <c r="S5" s="111">
        <v>0</v>
      </c>
      <c r="T5" s="111">
        <v>0</v>
      </c>
      <c r="U5" s="111">
        <v>0</v>
      </c>
      <c r="V5" s="111">
        <v>0</v>
      </c>
      <c r="W5" s="111">
        <v>0</v>
      </c>
      <c r="X5" s="111">
        <v>0</v>
      </c>
      <c r="Y5" s="111">
        <v>0</v>
      </c>
      <c r="Z5" s="111">
        <v>0</v>
      </c>
      <c r="AA5" s="111">
        <v>0</v>
      </c>
      <c r="AB5" s="111">
        <v>0</v>
      </c>
      <c r="AC5" s="111">
        <v>0</v>
      </c>
      <c r="AD5" s="111">
        <v>0</v>
      </c>
      <c r="AE5" s="111">
        <v>0</v>
      </c>
      <c r="AF5" s="111">
        <v>0</v>
      </c>
      <c r="AG5" s="111">
        <v>0</v>
      </c>
      <c r="AH5" s="111">
        <v>0</v>
      </c>
      <c r="AI5" s="111">
        <v>0</v>
      </c>
      <c r="AJ5" s="111">
        <v>0</v>
      </c>
      <c r="AK5" s="111">
        <v>0</v>
      </c>
      <c r="AL5" s="111">
        <v>0</v>
      </c>
      <c r="AM5" s="111">
        <v>0</v>
      </c>
      <c r="AN5" s="111">
        <v>0</v>
      </c>
      <c r="AO5" s="111">
        <v>0</v>
      </c>
      <c r="AP5" s="111">
        <v>0</v>
      </c>
      <c r="AQ5" s="111">
        <v>0</v>
      </c>
      <c r="AR5" s="111">
        <v>0</v>
      </c>
      <c r="AS5" s="111">
        <v>0</v>
      </c>
      <c r="AT5" s="111">
        <v>0</v>
      </c>
      <c r="AU5" s="111">
        <v>0</v>
      </c>
      <c r="AV5" s="111">
        <v>0</v>
      </c>
      <c r="AW5" s="111">
        <v>0</v>
      </c>
      <c r="AX5" s="111">
        <v>0</v>
      </c>
    </row>
    <row r="6" spans="1:50" customFormat="1" x14ac:dyDescent="0.15">
      <c r="A6" s="158" t="s">
        <v>197</v>
      </c>
      <c r="B6" s="111">
        <v>0</v>
      </c>
      <c r="C6" s="111">
        <v>0</v>
      </c>
      <c r="D6" s="111">
        <v>0</v>
      </c>
      <c r="E6" s="111">
        <v>0.8</v>
      </c>
      <c r="F6" s="111">
        <v>0.8</v>
      </c>
      <c r="G6" s="111">
        <v>0</v>
      </c>
      <c r="H6" s="111">
        <v>0</v>
      </c>
      <c r="I6" s="111">
        <v>0</v>
      </c>
      <c r="J6" s="111">
        <v>0</v>
      </c>
      <c r="K6" s="111">
        <v>0</v>
      </c>
      <c r="L6" s="111">
        <v>0</v>
      </c>
      <c r="M6" s="111">
        <v>0</v>
      </c>
      <c r="N6" s="111">
        <v>0</v>
      </c>
      <c r="O6" s="111">
        <v>0</v>
      </c>
      <c r="P6" s="111">
        <v>0</v>
      </c>
      <c r="Q6" s="111">
        <v>0</v>
      </c>
      <c r="R6" s="111">
        <v>0</v>
      </c>
      <c r="S6" s="111">
        <v>0</v>
      </c>
      <c r="T6" s="111">
        <v>0</v>
      </c>
      <c r="U6" s="111">
        <v>0</v>
      </c>
      <c r="V6" s="111">
        <v>0</v>
      </c>
      <c r="W6" s="111">
        <v>0</v>
      </c>
      <c r="X6" s="111">
        <v>0</v>
      </c>
      <c r="Y6" s="111">
        <v>0</v>
      </c>
      <c r="Z6" s="111">
        <v>0</v>
      </c>
      <c r="AA6" s="111">
        <v>0</v>
      </c>
      <c r="AB6" s="111">
        <v>0</v>
      </c>
      <c r="AC6" s="111">
        <v>0</v>
      </c>
      <c r="AD6" s="111">
        <v>0</v>
      </c>
      <c r="AE6" s="111">
        <v>0</v>
      </c>
      <c r="AF6" s="111">
        <v>0</v>
      </c>
      <c r="AG6" s="111">
        <v>0</v>
      </c>
      <c r="AH6" s="111">
        <v>0</v>
      </c>
      <c r="AI6" s="111">
        <v>0</v>
      </c>
      <c r="AJ6" s="111">
        <v>0</v>
      </c>
      <c r="AK6" s="111">
        <v>0</v>
      </c>
      <c r="AL6" s="111">
        <v>0</v>
      </c>
      <c r="AM6" s="111">
        <v>0</v>
      </c>
      <c r="AN6" s="111">
        <v>0</v>
      </c>
      <c r="AO6" s="111">
        <v>0</v>
      </c>
      <c r="AP6" s="111">
        <v>0</v>
      </c>
      <c r="AQ6" s="111">
        <v>0</v>
      </c>
      <c r="AR6" s="111">
        <v>0</v>
      </c>
      <c r="AS6" s="111">
        <v>0</v>
      </c>
      <c r="AT6" s="111">
        <v>0</v>
      </c>
      <c r="AU6" s="111">
        <v>0</v>
      </c>
      <c r="AV6" s="111">
        <v>0</v>
      </c>
      <c r="AW6" s="111">
        <v>0</v>
      </c>
      <c r="AX6" s="111">
        <v>0</v>
      </c>
    </row>
    <row r="7" spans="1:50" customFormat="1" x14ac:dyDescent="0.15">
      <c r="A7" s="158" t="s">
        <v>198</v>
      </c>
      <c r="B7" s="111">
        <v>0</v>
      </c>
      <c r="C7" s="111">
        <v>0</v>
      </c>
      <c r="D7" s="111">
        <v>0</v>
      </c>
      <c r="E7" s="111">
        <v>0.8</v>
      </c>
      <c r="F7" s="111">
        <v>0.8</v>
      </c>
      <c r="G7" s="111">
        <v>0.8</v>
      </c>
      <c r="H7" s="111">
        <v>0.8</v>
      </c>
      <c r="I7" s="111">
        <v>0</v>
      </c>
      <c r="J7" s="111">
        <v>0.8</v>
      </c>
      <c r="K7" s="111">
        <v>0</v>
      </c>
      <c r="L7" s="111">
        <v>0</v>
      </c>
      <c r="M7" s="111">
        <v>0</v>
      </c>
      <c r="N7" s="111">
        <v>0</v>
      </c>
      <c r="O7" s="111">
        <v>0</v>
      </c>
      <c r="P7" s="111">
        <v>0</v>
      </c>
      <c r="Q7" s="111">
        <v>0</v>
      </c>
      <c r="R7" s="111">
        <v>0</v>
      </c>
      <c r="S7" s="111">
        <v>0</v>
      </c>
      <c r="T7" s="111">
        <v>0</v>
      </c>
      <c r="U7" s="111">
        <v>0</v>
      </c>
      <c r="V7" s="111">
        <v>0</v>
      </c>
      <c r="W7" s="111">
        <v>0</v>
      </c>
      <c r="X7" s="111">
        <v>0</v>
      </c>
      <c r="Y7" s="111">
        <v>0</v>
      </c>
      <c r="Z7" s="111">
        <v>0</v>
      </c>
      <c r="AA7" s="111">
        <v>0</v>
      </c>
      <c r="AB7" s="111">
        <v>0</v>
      </c>
      <c r="AC7" s="111">
        <v>0</v>
      </c>
      <c r="AD7" s="111">
        <v>0</v>
      </c>
      <c r="AE7" s="111">
        <v>0</v>
      </c>
      <c r="AF7" s="111">
        <v>0</v>
      </c>
      <c r="AG7" s="111">
        <v>0</v>
      </c>
      <c r="AH7" s="111">
        <v>0</v>
      </c>
      <c r="AI7" s="111">
        <v>0</v>
      </c>
      <c r="AJ7" s="111">
        <v>0</v>
      </c>
      <c r="AK7" s="111">
        <v>0</v>
      </c>
      <c r="AL7" s="111">
        <v>0</v>
      </c>
      <c r="AM7" s="111">
        <v>0</v>
      </c>
      <c r="AN7" s="111">
        <v>0</v>
      </c>
      <c r="AO7" s="111">
        <v>0</v>
      </c>
      <c r="AP7" s="111">
        <v>0</v>
      </c>
      <c r="AQ7" s="111">
        <v>0</v>
      </c>
      <c r="AR7" s="111">
        <v>0</v>
      </c>
      <c r="AS7" s="111">
        <v>0</v>
      </c>
      <c r="AT7" s="111">
        <v>0</v>
      </c>
      <c r="AU7" s="111">
        <v>0</v>
      </c>
      <c r="AV7" s="111">
        <v>0</v>
      </c>
      <c r="AW7" s="111">
        <v>0</v>
      </c>
      <c r="AX7" s="111">
        <v>0</v>
      </c>
    </row>
    <row r="8" spans="1:50" customFormat="1" x14ac:dyDescent="0.15">
      <c r="A8" s="158" t="s">
        <v>199</v>
      </c>
      <c r="B8" s="111">
        <v>0</v>
      </c>
      <c r="C8" s="111">
        <v>0</v>
      </c>
      <c r="D8" s="111">
        <v>0</v>
      </c>
      <c r="E8" s="111">
        <v>0.8</v>
      </c>
      <c r="F8" s="111">
        <v>0.8</v>
      </c>
      <c r="G8" s="111">
        <v>0.8</v>
      </c>
      <c r="H8" s="111">
        <v>0</v>
      </c>
      <c r="I8" s="111">
        <v>0</v>
      </c>
      <c r="J8" s="111">
        <v>0.8</v>
      </c>
      <c r="K8" s="111">
        <v>0</v>
      </c>
      <c r="L8" s="111">
        <v>0</v>
      </c>
      <c r="M8" s="111">
        <v>0</v>
      </c>
      <c r="N8" s="111">
        <v>0</v>
      </c>
      <c r="O8" s="111">
        <v>0</v>
      </c>
      <c r="P8" s="111">
        <v>0</v>
      </c>
      <c r="Q8" s="111">
        <v>0</v>
      </c>
      <c r="R8" s="111">
        <v>0</v>
      </c>
      <c r="S8" s="111">
        <v>0</v>
      </c>
      <c r="T8" s="111">
        <v>0</v>
      </c>
      <c r="U8" s="111">
        <v>0.8</v>
      </c>
      <c r="V8" s="111">
        <v>0</v>
      </c>
      <c r="W8" s="111">
        <v>0</v>
      </c>
      <c r="X8" s="111">
        <v>0</v>
      </c>
      <c r="Y8" s="111">
        <v>0</v>
      </c>
      <c r="Z8" s="111">
        <v>0</v>
      </c>
      <c r="AA8" s="111">
        <v>0</v>
      </c>
      <c r="AB8" s="111">
        <v>0</v>
      </c>
      <c r="AC8" s="111">
        <v>0</v>
      </c>
      <c r="AD8" s="111">
        <v>0</v>
      </c>
      <c r="AE8" s="111">
        <v>0</v>
      </c>
      <c r="AF8" s="111">
        <v>0</v>
      </c>
      <c r="AG8" s="111">
        <v>0</v>
      </c>
      <c r="AH8" s="111">
        <v>0</v>
      </c>
      <c r="AI8" s="111">
        <v>0</v>
      </c>
      <c r="AJ8" s="111">
        <v>0</v>
      </c>
      <c r="AK8" s="111">
        <v>0</v>
      </c>
      <c r="AL8" s="111">
        <v>0</v>
      </c>
      <c r="AM8" s="111">
        <v>0</v>
      </c>
      <c r="AN8" s="111">
        <v>0</v>
      </c>
      <c r="AO8" s="111">
        <v>0</v>
      </c>
      <c r="AP8" s="111">
        <v>0</v>
      </c>
      <c r="AQ8" s="111">
        <v>0</v>
      </c>
      <c r="AR8" s="111">
        <v>0</v>
      </c>
      <c r="AS8" s="111">
        <v>0</v>
      </c>
      <c r="AT8" s="111">
        <v>0</v>
      </c>
      <c r="AU8" s="111">
        <v>0</v>
      </c>
      <c r="AV8" s="111">
        <v>0</v>
      </c>
      <c r="AW8" s="111">
        <v>0</v>
      </c>
      <c r="AX8" s="111">
        <v>0</v>
      </c>
    </row>
    <row r="9" spans="1:50" customFormat="1" x14ac:dyDescent="0.15">
      <c r="A9" s="158" t="s">
        <v>200</v>
      </c>
      <c r="B9" s="111">
        <v>0</v>
      </c>
      <c r="C9" s="111">
        <v>0</v>
      </c>
      <c r="D9" s="111">
        <v>0</v>
      </c>
      <c r="E9" s="111">
        <v>0</v>
      </c>
      <c r="F9" s="111">
        <v>0.8</v>
      </c>
      <c r="G9" s="111">
        <v>0</v>
      </c>
      <c r="H9" s="111">
        <v>0.8</v>
      </c>
      <c r="I9" s="111">
        <v>0</v>
      </c>
      <c r="J9" s="111">
        <v>0</v>
      </c>
      <c r="K9" s="111">
        <v>0</v>
      </c>
      <c r="L9" s="111">
        <v>0</v>
      </c>
      <c r="M9" s="111">
        <v>0</v>
      </c>
      <c r="N9" s="111">
        <v>0</v>
      </c>
      <c r="O9" s="111">
        <v>0</v>
      </c>
      <c r="P9" s="111">
        <v>0</v>
      </c>
      <c r="Q9" s="111">
        <v>0</v>
      </c>
      <c r="R9" s="111">
        <v>0</v>
      </c>
      <c r="S9" s="111">
        <v>0</v>
      </c>
      <c r="T9" s="111">
        <v>0</v>
      </c>
      <c r="U9" s="111">
        <v>0</v>
      </c>
      <c r="V9" s="111">
        <v>0</v>
      </c>
      <c r="W9" s="111">
        <v>0</v>
      </c>
      <c r="X9" s="111">
        <v>0</v>
      </c>
      <c r="Y9" s="111">
        <v>0</v>
      </c>
      <c r="Z9" s="111">
        <v>0</v>
      </c>
      <c r="AA9" s="111">
        <v>0</v>
      </c>
      <c r="AB9" s="111">
        <v>0</v>
      </c>
      <c r="AC9" s="111">
        <v>0</v>
      </c>
      <c r="AD9" s="111">
        <v>0</v>
      </c>
      <c r="AE9" s="111">
        <v>0</v>
      </c>
      <c r="AF9" s="111">
        <v>0</v>
      </c>
      <c r="AG9" s="111">
        <v>0</v>
      </c>
      <c r="AH9" s="111">
        <v>0</v>
      </c>
      <c r="AI9" s="111">
        <v>0</v>
      </c>
      <c r="AJ9" s="111">
        <v>0</v>
      </c>
      <c r="AK9" s="111">
        <v>0</v>
      </c>
      <c r="AL9" s="111">
        <v>0</v>
      </c>
      <c r="AM9" s="111">
        <v>0</v>
      </c>
      <c r="AN9" s="111">
        <v>0</v>
      </c>
      <c r="AO9" s="111">
        <v>0</v>
      </c>
      <c r="AP9" s="111">
        <v>0</v>
      </c>
      <c r="AQ9" s="111">
        <v>0</v>
      </c>
      <c r="AR9" s="111">
        <v>0</v>
      </c>
      <c r="AS9" s="111">
        <v>0</v>
      </c>
      <c r="AT9" s="111">
        <v>0</v>
      </c>
      <c r="AU9" s="111">
        <v>0</v>
      </c>
      <c r="AV9" s="111">
        <v>0</v>
      </c>
      <c r="AW9" s="111">
        <v>0</v>
      </c>
      <c r="AX9" s="111">
        <v>0</v>
      </c>
    </row>
    <row r="10" spans="1:50" customFormat="1" x14ac:dyDescent="0.15">
      <c r="A10" s="158" t="s">
        <v>201</v>
      </c>
      <c r="B10" s="111">
        <v>0</v>
      </c>
      <c r="C10" s="111">
        <v>0</v>
      </c>
      <c r="D10" s="111">
        <v>0</v>
      </c>
      <c r="E10" s="111">
        <v>0.8</v>
      </c>
      <c r="F10" s="111">
        <v>0.8</v>
      </c>
      <c r="G10" s="111">
        <v>0</v>
      </c>
      <c r="H10" s="111">
        <v>0.8</v>
      </c>
      <c r="I10" s="111">
        <v>0</v>
      </c>
      <c r="J10" s="111">
        <v>0</v>
      </c>
      <c r="K10" s="111">
        <v>0</v>
      </c>
      <c r="L10" s="111">
        <v>0</v>
      </c>
      <c r="M10" s="111">
        <v>0.8</v>
      </c>
      <c r="N10" s="111">
        <v>0</v>
      </c>
      <c r="O10" s="111">
        <v>0</v>
      </c>
      <c r="P10" s="111">
        <v>0</v>
      </c>
      <c r="Q10" s="111">
        <v>0</v>
      </c>
      <c r="R10" s="111">
        <v>0</v>
      </c>
      <c r="S10" s="111">
        <v>0</v>
      </c>
      <c r="T10" s="111">
        <v>0</v>
      </c>
      <c r="U10" s="111">
        <v>0.8</v>
      </c>
      <c r="V10" s="111">
        <v>0</v>
      </c>
      <c r="W10" s="111">
        <v>0</v>
      </c>
      <c r="X10" s="111">
        <v>0</v>
      </c>
      <c r="Y10" s="111">
        <v>0</v>
      </c>
      <c r="Z10" s="111">
        <v>0</v>
      </c>
      <c r="AA10" s="111">
        <v>0</v>
      </c>
      <c r="AB10" s="111">
        <v>0</v>
      </c>
      <c r="AC10" s="111">
        <v>0</v>
      </c>
      <c r="AD10" s="111">
        <v>0</v>
      </c>
      <c r="AE10" s="111">
        <v>0</v>
      </c>
      <c r="AF10" s="111">
        <v>0</v>
      </c>
      <c r="AG10" s="111">
        <v>0</v>
      </c>
      <c r="AH10" s="111">
        <v>0</v>
      </c>
      <c r="AI10" s="111">
        <v>0</v>
      </c>
      <c r="AJ10" s="111">
        <v>0</v>
      </c>
      <c r="AK10" s="111">
        <v>0</v>
      </c>
      <c r="AL10" s="111">
        <v>0</v>
      </c>
      <c r="AM10" s="111">
        <v>0</v>
      </c>
      <c r="AN10" s="111">
        <v>0</v>
      </c>
      <c r="AO10" s="111">
        <v>0</v>
      </c>
      <c r="AP10" s="111">
        <v>0</v>
      </c>
      <c r="AQ10" s="111">
        <v>0</v>
      </c>
      <c r="AR10" s="111">
        <v>0</v>
      </c>
      <c r="AS10" s="111">
        <v>0</v>
      </c>
      <c r="AT10" s="111">
        <v>0</v>
      </c>
      <c r="AU10" s="111">
        <v>0</v>
      </c>
      <c r="AV10" s="111">
        <v>0</v>
      </c>
      <c r="AW10" s="111">
        <v>0</v>
      </c>
      <c r="AX10" s="111">
        <v>0</v>
      </c>
    </row>
    <row r="11" spans="1:50" customFormat="1" x14ac:dyDescent="0.15">
      <c r="A11" s="158" t="s">
        <v>202</v>
      </c>
      <c r="B11" s="111">
        <v>0</v>
      </c>
      <c r="C11" s="111">
        <v>0</v>
      </c>
      <c r="D11" s="111">
        <v>0</v>
      </c>
      <c r="E11" s="111">
        <v>0</v>
      </c>
      <c r="F11" s="111">
        <v>0</v>
      </c>
      <c r="G11" s="111">
        <v>0.8</v>
      </c>
      <c r="H11" s="111">
        <v>0.8</v>
      </c>
      <c r="I11" s="111">
        <v>0</v>
      </c>
      <c r="J11" s="111">
        <v>0.8</v>
      </c>
      <c r="K11" s="111">
        <v>0.8</v>
      </c>
      <c r="L11" s="111">
        <v>0</v>
      </c>
      <c r="M11" s="111">
        <v>0.8</v>
      </c>
      <c r="N11" s="111">
        <v>0.8</v>
      </c>
      <c r="O11" s="111">
        <v>0</v>
      </c>
      <c r="P11" s="111">
        <v>0</v>
      </c>
      <c r="Q11" s="111">
        <v>0</v>
      </c>
      <c r="R11" s="111">
        <v>0</v>
      </c>
      <c r="S11" s="111">
        <v>0</v>
      </c>
      <c r="T11" s="111">
        <v>0</v>
      </c>
      <c r="U11" s="111">
        <v>0.8</v>
      </c>
      <c r="V11" s="111">
        <v>0</v>
      </c>
      <c r="W11" s="111">
        <v>0</v>
      </c>
      <c r="X11" s="111">
        <v>0</v>
      </c>
      <c r="Y11" s="111">
        <v>0</v>
      </c>
      <c r="Z11" s="111">
        <v>0</v>
      </c>
      <c r="AA11" s="111">
        <v>0</v>
      </c>
      <c r="AB11" s="111">
        <v>0</v>
      </c>
      <c r="AC11" s="111">
        <v>0</v>
      </c>
      <c r="AD11" s="111">
        <v>0</v>
      </c>
      <c r="AE11" s="111">
        <v>0</v>
      </c>
      <c r="AF11" s="111">
        <v>0</v>
      </c>
      <c r="AG11" s="111">
        <v>0</v>
      </c>
      <c r="AH11" s="111">
        <v>0</v>
      </c>
      <c r="AI11" s="111">
        <v>0</v>
      </c>
      <c r="AJ11" s="111">
        <v>0</v>
      </c>
      <c r="AK11" s="111">
        <v>0</v>
      </c>
      <c r="AL11" s="111">
        <v>0</v>
      </c>
      <c r="AM11" s="111">
        <v>0</v>
      </c>
      <c r="AN11" s="111">
        <v>0</v>
      </c>
      <c r="AO11" s="111">
        <v>0</v>
      </c>
      <c r="AP11" s="111">
        <v>0</v>
      </c>
      <c r="AQ11" s="111">
        <v>0</v>
      </c>
      <c r="AR11" s="111">
        <v>0</v>
      </c>
      <c r="AS11" s="111">
        <v>0</v>
      </c>
      <c r="AT11" s="111">
        <v>0</v>
      </c>
      <c r="AU11" s="111">
        <v>0</v>
      </c>
      <c r="AV11" s="111">
        <v>0</v>
      </c>
      <c r="AW11" s="111">
        <v>0</v>
      </c>
      <c r="AX11" s="111">
        <v>0</v>
      </c>
    </row>
    <row r="12" spans="1:50" customFormat="1" x14ac:dyDescent="0.15">
      <c r="A12" s="158" t="s">
        <v>203</v>
      </c>
      <c r="B12" s="111">
        <v>0</v>
      </c>
      <c r="C12" s="111">
        <v>0</v>
      </c>
      <c r="D12" s="111">
        <v>0</v>
      </c>
      <c r="E12" s="111">
        <v>0.8</v>
      </c>
      <c r="F12" s="111">
        <v>0.8</v>
      </c>
      <c r="G12" s="111">
        <v>0.8</v>
      </c>
      <c r="H12" s="111">
        <v>0.8</v>
      </c>
      <c r="I12" s="111">
        <v>0</v>
      </c>
      <c r="J12" s="111">
        <v>0.8</v>
      </c>
      <c r="K12" s="111">
        <v>0</v>
      </c>
      <c r="L12" s="111">
        <v>0.8</v>
      </c>
      <c r="M12" s="111">
        <v>0.8</v>
      </c>
      <c r="N12" s="111">
        <v>0.8</v>
      </c>
      <c r="O12" s="111">
        <v>0</v>
      </c>
      <c r="P12" s="111">
        <v>0.8</v>
      </c>
      <c r="Q12" s="111">
        <v>0</v>
      </c>
      <c r="R12" s="111">
        <v>0</v>
      </c>
      <c r="S12" s="111">
        <v>0</v>
      </c>
      <c r="T12" s="111">
        <v>0</v>
      </c>
      <c r="U12" s="111">
        <v>0</v>
      </c>
      <c r="V12" s="111">
        <v>0</v>
      </c>
      <c r="W12" s="111">
        <v>0</v>
      </c>
      <c r="X12" s="111">
        <v>0</v>
      </c>
      <c r="Y12" s="111">
        <v>0</v>
      </c>
      <c r="Z12" s="111">
        <v>0</v>
      </c>
      <c r="AA12" s="111">
        <v>0</v>
      </c>
      <c r="AB12" s="111">
        <v>0</v>
      </c>
      <c r="AC12" s="111">
        <v>0</v>
      </c>
      <c r="AD12" s="111">
        <v>0</v>
      </c>
      <c r="AE12" s="111">
        <v>0</v>
      </c>
      <c r="AF12" s="111">
        <v>0</v>
      </c>
      <c r="AG12" s="111">
        <v>0</v>
      </c>
      <c r="AH12" s="111">
        <v>0</v>
      </c>
      <c r="AI12" s="111">
        <v>0</v>
      </c>
      <c r="AJ12" s="111">
        <v>0</v>
      </c>
      <c r="AK12" s="111">
        <v>0</v>
      </c>
      <c r="AL12" s="111">
        <v>0</v>
      </c>
      <c r="AM12" s="111">
        <v>0</v>
      </c>
      <c r="AN12" s="111">
        <v>0</v>
      </c>
      <c r="AO12" s="111">
        <v>0</v>
      </c>
      <c r="AP12" s="111">
        <v>0</v>
      </c>
      <c r="AQ12" s="111">
        <v>0</v>
      </c>
      <c r="AR12" s="111">
        <v>0</v>
      </c>
      <c r="AS12" s="111">
        <v>0</v>
      </c>
      <c r="AT12" s="111">
        <v>0</v>
      </c>
      <c r="AU12" s="111">
        <v>0</v>
      </c>
      <c r="AV12" s="111">
        <v>0</v>
      </c>
      <c r="AW12" s="111">
        <v>0</v>
      </c>
      <c r="AX12" s="111">
        <v>0</v>
      </c>
    </row>
    <row r="13" spans="1:50" customFormat="1" x14ac:dyDescent="0.15">
      <c r="A13" s="158" t="s">
        <v>204</v>
      </c>
      <c r="B13" s="111">
        <v>0</v>
      </c>
      <c r="C13" s="111">
        <v>0</v>
      </c>
      <c r="D13" s="111">
        <v>0</v>
      </c>
      <c r="E13" s="111">
        <v>0.8</v>
      </c>
      <c r="F13" s="111">
        <v>0.8</v>
      </c>
      <c r="G13" s="111">
        <v>0.8</v>
      </c>
      <c r="H13" s="111">
        <v>0.8</v>
      </c>
      <c r="I13" s="111">
        <v>0</v>
      </c>
      <c r="J13" s="111">
        <v>0</v>
      </c>
      <c r="K13" s="111">
        <v>0</v>
      </c>
      <c r="L13" s="111">
        <v>0</v>
      </c>
      <c r="M13" s="111">
        <v>0.8</v>
      </c>
      <c r="N13" s="111">
        <v>0</v>
      </c>
      <c r="O13" s="111">
        <v>0</v>
      </c>
      <c r="P13" s="111">
        <v>0</v>
      </c>
      <c r="Q13" s="111">
        <v>0</v>
      </c>
      <c r="R13" s="111">
        <v>0</v>
      </c>
      <c r="S13" s="111">
        <v>0</v>
      </c>
      <c r="T13" s="111">
        <v>0</v>
      </c>
      <c r="U13" s="111">
        <v>0.8</v>
      </c>
      <c r="V13" s="111">
        <v>0</v>
      </c>
      <c r="W13" s="111">
        <v>0</v>
      </c>
      <c r="X13" s="111">
        <v>0</v>
      </c>
      <c r="Y13" s="111">
        <v>0</v>
      </c>
      <c r="Z13" s="111">
        <v>0</v>
      </c>
      <c r="AA13" s="111">
        <v>0</v>
      </c>
      <c r="AB13" s="111">
        <v>0</v>
      </c>
      <c r="AC13" s="111">
        <v>0</v>
      </c>
      <c r="AD13" s="111">
        <v>0</v>
      </c>
      <c r="AE13" s="111">
        <v>0</v>
      </c>
      <c r="AF13" s="111">
        <v>0</v>
      </c>
      <c r="AG13" s="111">
        <v>0</v>
      </c>
      <c r="AH13" s="111">
        <v>0</v>
      </c>
      <c r="AI13" s="111">
        <v>0</v>
      </c>
      <c r="AJ13" s="111">
        <v>0</v>
      </c>
      <c r="AK13" s="111">
        <v>0</v>
      </c>
      <c r="AL13" s="111">
        <v>0</v>
      </c>
      <c r="AM13" s="111">
        <v>0</v>
      </c>
      <c r="AN13" s="111">
        <v>0</v>
      </c>
      <c r="AO13" s="111">
        <v>0</v>
      </c>
      <c r="AP13" s="111">
        <v>0</v>
      </c>
      <c r="AQ13" s="111">
        <v>0</v>
      </c>
      <c r="AR13" s="111">
        <v>0</v>
      </c>
      <c r="AS13" s="111">
        <v>0</v>
      </c>
      <c r="AT13" s="111">
        <v>0</v>
      </c>
      <c r="AU13" s="111">
        <v>0</v>
      </c>
      <c r="AV13" s="111">
        <v>0</v>
      </c>
      <c r="AW13" s="111">
        <v>0</v>
      </c>
      <c r="AX13" s="111">
        <v>0</v>
      </c>
    </row>
    <row r="14" spans="1:50" customFormat="1" x14ac:dyDescent="0.15">
      <c r="A14" s="158" t="s">
        <v>205</v>
      </c>
      <c r="B14" s="111">
        <v>0</v>
      </c>
      <c r="C14" s="111">
        <v>0</v>
      </c>
      <c r="D14" s="111">
        <v>0</v>
      </c>
      <c r="E14" s="111">
        <v>0.8</v>
      </c>
      <c r="F14" s="111">
        <v>0</v>
      </c>
      <c r="G14" s="111">
        <v>0.8</v>
      </c>
      <c r="H14" s="111">
        <v>0.8</v>
      </c>
      <c r="I14" s="111">
        <v>0</v>
      </c>
      <c r="J14" s="111">
        <v>0</v>
      </c>
      <c r="K14" s="111">
        <v>0.8</v>
      </c>
      <c r="L14" s="111">
        <v>0</v>
      </c>
      <c r="M14" s="111">
        <v>0.8</v>
      </c>
      <c r="N14" s="111">
        <v>0.8</v>
      </c>
      <c r="O14" s="111">
        <v>0</v>
      </c>
      <c r="P14" s="111">
        <v>0</v>
      </c>
      <c r="Q14" s="111">
        <v>0</v>
      </c>
      <c r="R14" s="111">
        <v>0</v>
      </c>
      <c r="S14" s="111">
        <v>0</v>
      </c>
      <c r="T14" s="111">
        <v>0</v>
      </c>
      <c r="U14" s="111">
        <v>0</v>
      </c>
      <c r="V14" s="111">
        <v>0</v>
      </c>
      <c r="W14" s="111">
        <v>0</v>
      </c>
      <c r="X14" s="111">
        <v>0</v>
      </c>
      <c r="Y14" s="111">
        <v>0</v>
      </c>
      <c r="Z14" s="111">
        <v>0</v>
      </c>
      <c r="AA14" s="111">
        <v>0</v>
      </c>
      <c r="AB14" s="111">
        <v>0</v>
      </c>
      <c r="AC14" s="111">
        <v>0</v>
      </c>
      <c r="AD14" s="111">
        <v>0</v>
      </c>
      <c r="AE14" s="111">
        <v>0</v>
      </c>
      <c r="AF14" s="111">
        <v>0</v>
      </c>
      <c r="AG14" s="111">
        <v>0</v>
      </c>
      <c r="AH14" s="111">
        <v>0</v>
      </c>
      <c r="AI14" s="111">
        <v>0</v>
      </c>
      <c r="AJ14" s="111">
        <v>0</v>
      </c>
      <c r="AK14" s="111">
        <v>0</v>
      </c>
      <c r="AL14" s="111">
        <v>0</v>
      </c>
      <c r="AM14" s="111">
        <v>0</v>
      </c>
      <c r="AN14" s="111">
        <v>0</v>
      </c>
      <c r="AO14" s="111">
        <v>0</v>
      </c>
      <c r="AP14" s="111">
        <v>0</v>
      </c>
      <c r="AQ14" s="111">
        <v>0</v>
      </c>
      <c r="AR14" s="111">
        <v>0</v>
      </c>
      <c r="AS14" s="111">
        <v>0</v>
      </c>
      <c r="AT14" s="111">
        <v>0</v>
      </c>
      <c r="AU14" s="111">
        <v>0</v>
      </c>
      <c r="AV14" s="111">
        <v>0</v>
      </c>
      <c r="AW14" s="111">
        <v>0</v>
      </c>
      <c r="AX14" s="111">
        <v>0</v>
      </c>
    </row>
    <row r="15" spans="1:50" customFormat="1" x14ac:dyDescent="0.15">
      <c r="A15" s="158" t="s">
        <v>206</v>
      </c>
      <c r="B15" s="111">
        <v>0</v>
      </c>
      <c r="C15" s="111">
        <v>0</v>
      </c>
      <c r="D15" s="111">
        <v>0</v>
      </c>
      <c r="E15" s="111">
        <v>0</v>
      </c>
      <c r="F15" s="111">
        <v>0.8</v>
      </c>
      <c r="G15" s="111">
        <v>0.8</v>
      </c>
      <c r="H15" s="111">
        <v>0</v>
      </c>
      <c r="I15" s="111">
        <v>0</v>
      </c>
      <c r="J15" s="111">
        <v>0</v>
      </c>
      <c r="K15" s="111">
        <v>0</v>
      </c>
      <c r="L15" s="111">
        <v>0</v>
      </c>
      <c r="M15" s="111">
        <v>0.8</v>
      </c>
      <c r="N15" s="111">
        <v>0</v>
      </c>
      <c r="O15" s="111">
        <v>0</v>
      </c>
      <c r="P15" s="111">
        <v>0.8</v>
      </c>
      <c r="Q15" s="111">
        <v>0</v>
      </c>
      <c r="R15" s="111">
        <v>0</v>
      </c>
      <c r="S15" s="111">
        <v>0</v>
      </c>
      <c r="T15" s="111">
        <v>0</v>
      </c>
      <c r="U15" s="111">
        <v>0.8</v>
      </c>
      <c r="V15" s="111">
        <v>0</v>
      </c>
      <c r="W15" s="111">
        <v>0</v>
      </c>
      <c r="X15" s="111">
        <v>0</v>
      </c>
      <c r="Y15" s="111">
        <v>0</v>
      </c>
      <c r="Z15" s="111">
        <v>0</v>
      </c>
      <c r="AA15" s="111">
        <v>0</v>
      </c>
      <c r="AB15" s="111">
        <v>0</v>
      </c>
      <c r="AC15" s="111">
        <v>0</v>
      </c>
      <c r="AD15" s="111">
        <v>0.8</v>
      </c>
      <c r="AE15" s="111">
        <v>0</v>
      </c>
      <c r="AF15" s="111">
        <v>0</v>
      </c>
      <c r="AG15" s="111">
        <v>0</v>
      </c>
      <c r="AH15" s="111">
        <v>0</v>
      </c>
      <c r="AI15" s="111">
        <v>0</v>
      </c>
      <c r="AJ15" s="111">
        <v>0</v>
      </c>
      <c r="AK15" s="111">
        <v>0</v>
      </c>
      <c r="AL15" s="111">
        <v>0</v>
      </c>
      <c r="AM15" s="111">
        <v>0</v>
      </c>
      <c r="AN15" s="111">
        <v>0</v>
      </c>
      <c r="AO15" s="111">
        <v>0</v>
      </c>
      <c r="AP15" s="111">
        <v>0</v>
      </c>
      <c r="AQ15" s="111">
        <v>0</v>
      </c>
      <c r="AR15" s="111">
        <v>0</v>
      </c>
      <c r="AS15" s="111">
        <v>0</v>
      </c>
      <c r="AT15" s="111">
        <v>0</v>
      </c>
      <c r="AU15" s="111">
        <v>0</v>
      </c>
      <c r="AV15" s="111">
        <v>0</v>
      </c>
      <c r="AW15" s="111">
        <v>0</v>
      </c>
      <c r="AX15" s="111">
        <v>0</v>
      </c>
    </row>
    <row r="16" spans="1:50" customFormat="1" x14ac:dyDescent="0.15">
      <c r="A16" s="158" t="s">
        <v>207</v>
      </c>
      <c r="B16" s="111">
        <v>0</v>
      </c>
      <c r="C16" s="111">
        <v>0</v>
      </c>
      <c r="D16" s="111">
        <v>0</v>
      </c>
      <c r="E16" s="111">
        <v>0.8</v>
      </c>
      <c r="F16" s="111">
        <v>0.8</v>
      </c>
      <c r="G16" s="111">
        <v>0.8</v>
      </c>
      <c r="H16" s="111">
        <v>0.8</v>
      </c>
      <c r="I16" s="111">
        <v>0.8</v>
      </c>
      <c r="J16" s="111">
        <v>0.8</v>
      </c>
      <c r="K16" s="111">
        <v>0.8</v>
      </c>
      <c r="L16" s="111">
        <v>0</v>
      </c>
      <c r="M16" s="111">
        <v>0.8</v>
      </c>
      <c r="N16" s="111">
        <v>0.8</v>
      </c>
      <c r="O16" s="111">
        <v>0</v>
      </c>
      <c r="P16" s="111">
        <v>0</v>
      </c>
      <c r="Q16" s="111">
        <v>0</v>
      </c>
      <c r="R16" s="111">
        <v>0</v>
      </c>
      <c r="S16" s="111">
        <v>0</v>
      </c>
      <c r="T16" s="111">
        <v>0</v>
      </c>
      <c r="U16" s="111">
        <v>0.8</v>
      </c>
      <c r="V16" s="111">
        <v>0</v>
      </c>
      <c r="W16" s="111">
        <v>0</v>
      </c>
      <c r="X16" s="111">
        <v>0</v>
      </c>
      <c r="Y16" s="111">
        <v>0</v>
      </c>
      <c r="Z16" s="111">
        <v>0</v>
      </c>
      <c r="AA16" s="111">
        <v>0</v>
      </c>
      <c r="AB16" s="111">
        <v>0</v>
      </c>
      <c r="AC16" s="111">
        <v>0</v>
      </c>
      <c r="AD16" s="111">
        <v>0.8</v>
      </c>
      <c r="AE16" s="111">
        <v>0</v>
      </c>
      <c r="AF16" s="111">
        <v>0</v>
      </c>
      <c r="AG16" s="111">
        <v>0</v>
      </c>
      <c r="AH16" s="111">
        <v>0</v>
      </c>
      <c r="AI16" s="111">
        <v>0</v>
      </c>
      <c r="AJ16" s="111">
        <v>0</v>
      </c>
      <c r="AK16" s="111">
        <v>0</v>
      </c>
      <c r="AL16" s="111">
        <v>0</v>
      </c>
      <c r="AM16" s="111">
        <v>0</v>
      </c>
      <c r="AN16" s="111">
        <v>0</v>
      </c>
      <c r="AO16" s="111">
        <v>0</v>
      </c>
      <c r="AP16" s="111">
        <v>0</v>
      </c>
      <c r="AQ16" s="111">
        <v>0</v>
      </c>
      <c r="AR16" s="111">
        <v>0</v>
      </c>
      <c r="AS16" s="111">
        <v>0</v>
      </c>
      <c r="AT16" s="111">
        <v>0</v>
      </c>
      <c r="AU16" s="111">
        <v>0</v>
      </c>
      <c r="AV16" s="111">
        <v>0</v>
      </c>
      <c r="AW16" s="111">
        <v>0</v>
      </c>
      <c r="AX16" s="111">
        <v>0</v>
      </c>
    </row>
    <row r="17" spans="1:50" customFormat="1" x14ac:dyDescent="0.15">
      <c r="A17" s="158" t="s">
        <v>208</v>
      </c>
      <c r="B17" s="111">
        <v>0</v>
      </c>
      <c r="C17" s="111">
        <v>0</v>
      </c>
      <c r="D17" s="111">
        <v>0</v>
      </c>
      <c r="E17" s="111">
        <v>0</v>
      </c>
      <c r="F17" s="111">
        <v>0.8</v>
      </c>
      <c r="G17" s="111">
        <v>0.8</v>
      </c>
      <c r="H17" s="111">
        <v>0.8</v>
      </c>
      <c r="I17" s="111">
        <v>0</v>
      </c>
      <c r="J17" s="111">
        <v>0.8</v>
      </c>
      <c r="K17" s="111">
        <v>0</v>
      </c>
      <c r="L17" s="111">
        <v>0</v>
      </c>
      <c r="M17" s="111">
        <v>0.8</v>
      </c>
      <c r="N17" s="111">
        <v>0</v>
      </c>
      <c r="O17" s="111">
        <v>0</v>
      </c>
      <c r="P17" s="111">
        <v>0</v>
      </c>
      <c r="Q17" s="111">
        <v>0</v>
      </c>
      <c r="R17" s="111">
        <v>0</v>
      </c>
      <c r="S17" s="111">
        <v>0</v>
      </c>
      <c r="T17" s="111">
        <v>0</v>
      </c>
      <c r="U17" s="111">
        <v>0.8</v>
      </c>
      <c r="V17" s="111">
        <v>0</v>
      </c>
      <c r="W17" s="111">
        <v>0</v>
      </c>
      <c r="X17" s="111">
        <v>0</v>
      </c>
      <c r="Y17" s="111">
        <v>0</v>
      </c>
      <c r="Z17" s="111">
        <v>0</v>
      </c>
      <c r="AA17" s="111">
        <v>0</v>
      </c>
      <c r="AB17" s="111">
        <v>0</v>
      </c>
      <c r="AC17" s="111">
        <v>0</v>
      </c>
      <c r="AD17" s="111">
        <v>0</v>
      </c>
      <c r="AE17" s="111">
        <v>0</v>
      </c>
      <c r="AF17" s="111">
        <v>0</v>
      </c>
      <c r="AG17" s="111">
        <v>0</v>
      </c>
      <c r="AH17" s="111">
        <v>0</v>
      </c>
      <c r="AI17" s="111">
        <v>0</v>
      </c>
      <c r="AJ17" s="111">
        <v>0</v>
      </c>
      <c r="AK17" s="111">
        <v>0</v>
      </c>
      <c r="AL17" s="111">
        <v>0</v>
      </c>
      <c r="AM17" s="111">
        <v>0</v>
      </c>
      <c r="AN17" s="111">
        <v>0</v>
      </c>
      <c r="AO17" s="111">
        <v>0</v>
      </c>
      <c r="AP17" s="111">
        <v>0</v>
      </c>
      <c r="AQ17" s="111">
        <v>0</v>
      </c>
      <c r="AR17" s="111">
        <v>0</v>
      </c>
      <c r="AS17" s="111">
        <v>0</v>
      </c>
      <c r="AT17" s="111">
        <v>0</v>
      </c>
      <c r="AU17" s="111">
        <v>0</v>
      </c>
      <c r="AV17" s="111">
        <v>0</v>
      </c>
      <c r="AW17" s="111">
        <v>0</v>
      </c>
      <c r="AX17" s="111">
        <v>0</v>
      </c>
    </row>
    <row r="18" spans="1:50" customFormat="1" x14ac:dyDescent="0.15">
      <c r="A18" s="158" t="s">
        <v>209</v>
      </c>
      <c r="B18" s="111">
        <v>0</v>
      </c>
      <c r="C18" s="111">
        <v>0</v>
      </c>
      <c r="D18" s="111">
        <v>0</v>
      </c>
      <c r="E18" s="111">
        <v>0.8</v>
      </c>
      <c r="F18" s="111">
        <v>0</v>
      </c>
      <c r="G18" s="111">
        <v>0.8</v>
      </c>
      <c r="H18" s="111">
        <v>0.8</v>
      </c>
      <c r="I18" s="111">
        <v>0</v>
      </c>
      <c r="J18" s="111">
        <v>0.8</v>
      </c>
      <c r="K18" s="111">
        <v>0</v>
      </c>
      <c r="L18" s="111">
        <v>0</v>
      </c>
      <c r="M18" s="111">
        <v>0.8</v>
      </c>
      <c r="N18" s="111">
        <v>0</v>
      </c>
      <c r="O18" s="111">
        <v>0</v>
      </c>
      <c r="P18" s="111">
        <v>0</v>
      </c>
      <c r="Q18" s="111">
        <v>0.8</v>
      </c>
      <c r="R18" s="111">
        <v>0</v>
      </c>
      <c r="S18" s="111">
        <v>0</v>
      </c>
      <c r="T18" s="111">
        <v>0</v>
      </c>
      <c r="U18" s="111">
        <v>0.8</v>
      </c>
      <c r="V18" s="111">
        <v>0</v>
      </c>
      <c r="W18" s="111">
        <v>0</v>
      </c>
      <c r="X18" s="111">
        <v>0</v>
      </c>
      <c r="Y18" s="111">
        <v>0</v>
      </c>
      <c r="Z18" s="111">
        <v>0</v>
      </c>
      <c r="AA18" s="111">
        <v>0</v>
      </c>
      <c r="AB18" s="111">
        <v>0</v>
      </c>
      <c r="AC18" s="111">
        <v>0</v>
      </c>
      <c r="AD18" s="111">
        <v>0</v>
      </c>
      <c r="AE18" s="111">
        <v>0</v>
      </c>
      <c r="AF18" s="111">
        <v>0</v>
      </c>
      <c r="AG18" s="111">
        <v>0</v>
      </c>
      <c r="AH18" s="111">
        <v>0</v>
      </c>
      <c r="AI18" s="111">
        <v>0</v>
      </c>
      <c r="AJ18" s="111">
        <v>0</v>
      </c>
      <c r="AK18" s="111">
        <v>0</v>
      </c>
      <c r="AL18" s="111">
        <v>0</v>
      </c>
      <c r="AM18" s="111">
        <v>0</v>
      </c>
      <c r="AN18" s="111">
        <v>0</v>
      </c>
      <c r="AO18" s="111">
        <v>0</v>
      </c>
      <c r="AP18" s="111">
        <v>0</v>
      </c>
      <c r="AQ18" s="111">
        <v>0</v>
      </c>
      <c r="AR18" s="111">
        <v>0</v>
      </c>
      <c r="AS18" s="111">
        <v>0</v>
      </c>
      <c r="AT18" s="111">
        <v>0</v>
      </c>
      <c r="AU18" s="111">
        <v>0</v>
      </c>
      <c r="AV18" s="111">
        <v>0</v>
      </c>
      <c r="AW18" s="111">
        <v>0</v>
      </c>
      <c r="AX18" s="111">
        <v>0</v>
      </c>
    </row>
    <row r="19" spans="1:50" customFormat="1" x14ac:dyDescent="0.15">
      <c r="A19" s="158" t="s">
        <v>210</v>
      </c>
      <c r="B19" s="111">
        <v>0</v>
      </c>
      <c r="C19" s="111">
        <v>0</v>
      </c>
      <c r="D19" s="111">
        <v>0</v>
      </c>
      <c r="E19" s="111">
        <v>0</v>
      </c>
      <c r="F19" s="111">
        <v>0</v>
      </c>
      <c r="G19" s="111">
        <v>0</v>
      </c>
      <c r="H19" s="111">
        <v>0.8</v>
      </c>
      <c r="I19" s="111">
        <v>0</v>
      </c>
      <c r="J19" s="111">
        <v>0</v>
      </c>
      <c r="K19" s="111">
        <v>0</v>
      </c>
      <c r="L19" s="111">
        <v>0</v>
      </c>
      <c r="M19" s="111">
        <v>0.8</v>
      </c>
      <c r="N19" s="111">
        <v>0</v>
      </c>
      <c r="O19" s="111">
        <v>0</v>
      </c>
      <c r="P19" s="111">
        <v>0</v>
      </c>
      <c r="Q19" s="111">
        <v>0</v>
      </c>
      <c r="R19" s="111">
        <v>0</v>
      </c>
      <c r="S19" s="111">
        <v>0</v>
      </c>
      <c r="T19" s="111">
        <v>0</v>
      </c>
      <c r="U19" s="111">
        <v>0</v>
      </c>
      <c r="V19" s="111">
        <v>0</v>
      </c>
      <c r="W19" s="111">
        <v>0</v>
      </c>
      <c r="X19" s="111">
        <v>0</v>
      </c>
      <c r="Y19" s="111">
        <v>0</v>
      </c>
      <c r="Z19" s="111">
        <v>0</v>
      </c>
      <c r="AA19" s="111">
        <v>0</v>
      </c>
      <c r="AB19" s="111">
        <v>0</v>
      </c>
      <c r="AC19" s="111">
        <v>0</v>
      </c>
      <c r="AD19" s="111">
        <v>0.8</v>
      </c>
      <c r="AE19" s="111">
        <v>0</v>
      </c>
      <c r="AF19" s="111">
        <v>0</v>
      </c>
      <c r="AG19" s="111">
        <v>0</v>
      </c>
      <c r="AH19" s="111">
        <v>0</v>
      </c>
      <c r="AI19" s="111">
        <v>0</v>
      </c>
      <c r="AJ19" s="111">
        <v>0</v>
      </c>
      <c r="AK19" s="111">
        <v>0</v>
      </c>
      <c r="AL19" s="111">
        <v>0</v>
      </c>
      <c r="AM19" s="111">
        <v>0</v>
      </c>
      <c r="AN19" s="111">
        <v>0</v>
      </c>
      <c r="AO19" s="111">
        <v>0</v>
      </c>
      <c r="AP19" s="111">
        <v>0</v>
      </c>
      <c r="AQ19" s="111">
        <v>0</v>
      </c>
      <c r="AR19" s="111">
        <v>0</v>
      </c>
      <c r="AS19" s="111">
        <v>0</v>
      </c>
      <c r="AT19" s="111">
        <v>0</v>
      </c>
      <c r="AU19" s="111">
        <v>0</v>
      </c>
      <c r="AV19" s="111">
        <v>0</v>
      </c>
      <c r="AW19" s="111">
        <v>0</v>
      </c>
      <c r="AX19" s="111">
        <v>0</v>
      </c>
    </row>
    <row r="20" spans="1:50" customFormat="1" x14ac:dyDescent="0.15">
      <c r="A20" s="158" t="s">
        <v>211</v>
      </c>
      <c r="B20" s="111">
        <v>0</v>
      </c>
      <c r="C20" s="111">
        <v>0</v>
      </c>
      <c r="D20" s="111">
        <v>0</v>
      </c>
      <c r="E20" s="111">
        <v>0.8</v>
      </c>
      <c r="F20" s="111">
        <v>0</v>
      </c>
      <c r="G20" s="111">
        <v>0.8</v>
      </c>
      <c r="H20" s="111">
        <v>0.8</v>
      </c>
      <c r="I20" s="111">
        <v>0</v>
      </c>
      <c r="J20" s="111">
        <v>0.8</v>
      </c>
      <c r="K20" s="111">
        <v>0</v>
      </c>
      <c r="L20" s="111">
        <v>0</v>
      </c>
      <c r="M20" s="111">
        <v>0.8</v>
      </c>
      <c r="N20" s="111">
        <v>0</v>
      </c>
      <c r="O20" s="111">
        <v>0</v>
      </c>
      <c r="P20" s="111">
        <v>0</v>
      </c>
      <c r="Q20" s="111">
        <v>0</v>
      </c>
      <c r="R20" s="111">
        <v>0</v>
      </c>
      <c r="S20" s="111">
        <v>0</v>
      </c>
      <c r="T20" s="111">
        <v>0</v>
      </c>
      <c r="U20" s="111">
        <v>0.8</v>
      </c>
      <c r="V20" s="111">
        <v>0</v>
      </c>
      <c r="W20" s="111">
        <v>0</v>
      </c>
      <c r="X20" s="111">
        <v>0</v>
      </c>
      <c r="Y20" s="111">
        <v>0</v>
      </c>
      <c r="Z20" s="111">
        <v>0</v>
      </c>
      <c r="AA20" s="111">
        <v>0</v>
      </c>
      <c r="AB20" s="111">
        <v>0</v>
      </c>
      <c r="AC20" s="111">
        <v>0.8</v>
      </c>
      <c r="AD20" s="111">
        <v>0</v>
      </c>
      <c r="AE20" s="111">
        <v>0</v>
      </c>
      <c r="AF20" s="111">
        <v>0</v>
      </c>
      <c r="AG20" s="111">
        <v>0</v>
      </c>
      <c r="AH20" s="111">
        <v>0</v>
      </c>
      <c r="AI20" s="111">
        <v>0</v>
      </c>
      <c r="AJ20" s="111">
        <v>0</v>
      </c>
      <c r="AK20" s="111">
        <v>0</v>
      </c>
      <c r="AL20" s="111">
        <v>0</v>
      </c>
      <c r="AM20" s="111">
        <v>0</v>
      </c>
      <c r="AN20" s="111">
        <v>0</v>
      </c>
      <c r="AO20" s="111">
        <v>0</v>
      </c>
      <c r="AP20" s="111">
        <v>0</v>
      </c>
      <c r="AQ20" s="111">
        <v>0</v>
      </c>
      <c r="AR20" s="111">
        <v>0</v>
      </c>
      <c r="AS20" s="111">
        <v>0</v>
      </c>
      <c r="AT20" s="111">
        <v>0</v>
      </c>
      <c r="AU20" s="111">
        <v>0</v>
      </c>
      <c r="AV20" s="111">
        <v>0</v>
      </c>
      <c r="AW20" s="111">
        <v>0</v>
      </c>
      <c r="AX20" s="111">
        <v>0</v>
      </c>
    </row>
    <row r="21" spans="1:50" customFormat="1" x14ac:dyDescent="0.15">
      <c r="A21" s="158" t="s">
        <v>212</v>
      </c>
      <c r="B21" s="111">
        <v>0</v>
      </c>
      <c r="C21" s="111">
        <v>0</v>
      </c>
      <c r="D21" s="111">
        <v>0</v>
      </c>
      <c r="E21" s="111">
        <v>0.8</v>
      </c>
      <c r="F21" s="111">
        <v>0.8</v>
      </c>
      <c r="G21" s="111">
        <v>0.8</v>
      </c>
      <c r="H21" s="111">
        <v>0.8</v>
      </c>
      <c r="I21" s="111">
        <v>0</v>
      </c>
      <c r="J21" s="111">
        <v>0.8</v>
      </c>
      <c r="K21" s="111">
        <v>0.8</v>
      </c>
      <c r="L21" s="111">
        <v>0</v>
      </c>
      <c r="M21" s="111">
        <v>0</v>
      </c>
      <c r="N21" s="111">
        <v>0.8</v>
      </c>
      <c r="O21" s="111">
        <v>0</v>
      </c>
      <c r="P21" s="111">
        <v>0.8</v>
      </c>
      <c r="Q21" s="111">
        <v>0.8</v>
      </c>
      <c r="R21" s="111">
        <v>0</v>
      </c>
      <c r="S21" s="111">
        <v>0</v>
      </c>
      <c r="T21" s="111">
        <v>0</v>
      </c>
      <c r="U21" s="111">
        <v>0.8</v>
      </c>
      <c r="V21" s="111">
        <v>0</v>
      </c>
      <c r="W21" s="111">
        <v>0</v>
      </c>
      <c r="X21" s="111">
        <v>0</v>
      </c>
      <c r="Y21" s="111">
        <v>0</v>
      </c>
      <c r="Z21" s="111">
        <v>0</v>
      </c>
      <c r="AA21" s="111">
        <v>0</v>
      </c>
      <c r="AB21" s="111">
        <v>0</v>
      </c>
      <c r="AC21" s="111">
        <v>0</v>
      </c>
      <c r="AD21" s="111">
        <v>0</v>
      </c>
      <c r="AE21" s="111">
        <v>0</v>
      </c>
      <c r="AF21" s="111">
        <v>0</v>
      </c>
      <c r="AG21" s="111">
        <v>0</v>
      </c>
      <c r="AH21" s="111">
        <v>0</v>
      </c>
      <c r="AI21" s="111">
        <v>0</v>
      </c>
      <c r="AJ21" s="111">
        <v>0</v>
      </c>
      <c r="AK21" s="111">
        <v>0</v>
      </c>
      <c r="AL21" s="111">
        <v>0</v>
      </c>
      <c r="AM21" s="111">
        <v>0</v>
      </c>
      <c r="AN21" s="111">
        <v>0</v>
      </c>
      <c r="AO21" s="111">
        <v>0</v>
      </c>
      <c r="AP21" s="111">
        <v>0</v>
      </c>
      <c r="AQ21" s="111">
        <v>0</v>
      </c>
      <c r="AR21" s="111">
        <v>0</v>
      </c>
      <c r="AS21" s="111">
        <v>0</v>
      </c>
      <c r="AT21" s="111">
        <v>0</v>
      </c>
      <c r="AU21" s="111">
        <v>0</v>
      </c>
      <c r="AV21" s="111">
        <v>0</v>
      </c>
      <c r="AW21" s="111">
        <v>0</v>
      </c>
      <c r="AX21" s="111">
        <v>0</v>
      </c>
    </row>
    <row r="22" spans="1:50" customFormat="1" x14ac:dyDescent="0.15">
      <c r="A22" s="158" t="s">
        <v>213</v>
      </c>
      <c r="B22" s="111">
        <v>0.8</v>
      </c>
      <c r="C22" s="111">
        <v>0</v>
      </c>
      <c r="D22" s="111">
        <v>0</v>
      </c>
      <c r="E22" s="111">
        <v>0.8</v>
      </c>
      <c r="F22" s="111">
        <v>0.8</v>
      </c>
      <c r="G22" s="111">
        <v>0.8</v>
      </c>
      <c r="H22" s="111">
        <v>0.8</v>
      </c>
      <c r="I22" s="111">
        <v>0</v>
      </c>
      <c r="J22" s="111">
        <v>0.8</v>
      </c>
      <c r="K22" s="111">
        <v>0.8</v>
      </c>
      <c r="L22" s="111">
        <v>0.8</v>
      </c>
      <c r="M22" s="111">
        <v>0.8</v>
      </c>
      <c r="N22" s="111">
        <v>0.8</v>
      </c>
      <c r="O22" s="111">
        <v>0.8</v>
      </c>
      <c r="P22" s="111">
        <v>0.8</v>
      </c>
      <c r="Q22" s="111">
        <v>0.8</v>
      </c>
      <c r="R22" s="111">
        <v>0</v>
      </c>
      <c r="S22" s="111">
        <v>0</v>
      </c>
      <c r="T22" s="111">
        <v>0</v>
      </c>
      <c r="U22" s="111">
        <v>0.8</v>
      </c>
      <c r="V22" s="111">
        <v>0</v>
      </c>
      <c r="W22" s="111">
        <v>0</v>
      </c>
      <c r="X22" s="111">
        <v>0</v>
      </c>
      <c r="Y22" s="111">
        <v>0</v>
      </c>
      <c r="Z22" s="111">
        <v>0</v>
      </c>
      <c r="AA22" s="111">
        <v>0</v>
      </c>
      <c r="AB22" s="111">
        <v>0</v>
      </c>
      <c r="AC22" s="111">
        <v>0</v>
      </c>
      <c r="AD22" s="111">
        <v>0.8</v>
      </c>
      <c r="AE22" s="111">
        <v>0</v>
      </c>
      <c r="AF22" s="111">
        <v>0</v>
      </c>
      <c r="AG22" s="111">
        <v>0</v>
      </c>
      <c r="AH22" s="111">
        <v>0</v>
      </c>
      <c r="AI22" s="111">
        <v>0</v>
      </c>
      <c r="AJ22" s="111">
        <v>0</v>
      </c>
      <c r="AK22" s="111">
        <v>0</v>
      </c>
      <c r="AL22" s="111">
        <v>0</v>
      </c>
      <c r="AM22" s="111">
        <v>0</v>
      </c>
      <c r="AN22" s="111">
        <v>0</v>
      </c>
      <c r="AO22" s="111">
        <v>0</v>
      </c>
      <c r="AP22" s="111">
        <v>0</v>
      </c>
      <c r="AQ22" s="111">
        <v>0</v>
      </c>
      <c r="AR22" s="111">
        <v>0</v>
      </c>
      <c r="AS22" s="111">
        <v>0</v>
      </c>
      <c r="AT22" s="111">
        <v>0</v>
      </c>
      <c r="AU22" s="111">
        <v>0</v>
      </c>
      <c r="AV22" s="111">
        <v>0</v>
      </c>
      <c r="AW22" s="111">
        <v>0</v>
      </c>
      <c r="AX22" s="111">
        <v>0</v>
      </c>
    </row>
    <row r="23" spans="1:50" customFormat="1" x14ac:dyDescent="0.15">
      <c r="A23" s="158" t="s">
        <v>214</v>
      </c>
      <c r="B23" s="111">
        <v>0</v>
      </c>
      <c r="C23" s="111">
        <v>0</v>
      </c>
      <c r="D23" s="111">
        <v>0.8</v>
      </c>
      <c r="E23" s="111">
        <v>0.8</v>
      </c>
      <c r="F23" s="111">
        <v>0.8</v>
      </c>
      <c r="G23" s="111">
        <v>0.8</v>
      </c>
      <c r="H23" s="111">
        <v>0.8</v>
      </c>
      <c r="I23" s="111">
        <v>0</v>
      </c>
      <c r="J23" s="111">
        <v>0.8</v>
      </c>
      <c r="K23" s="111">
        <v>0.8</v>
      </c>
      <c r="L23" s="111">
        <v>0.8</v>
      </c>
      <c r="M23" s="111">
        <v>0.8</v>
      </c>
      <c r="N23" s="111">
        <v>0.8</v>
      </c>
      <c r="O23" s="111">
        <v>0.8</v>
      </c>
      <c r="P23" s="111">
        <v>0.8</v>
      </c>
      <c r="Q23" s="111">
        <v>0.8</v>
      </c>
      <c r="R23" s="111">
        <v>0</v>
      </c>
      <c r="S23" s="111">
        <v>0</v>
      </c>
      <c r="T23" s="111">
        <v>0</v>
      </c>
      <c r="U23" s="111">
        <v>0.8</v>
      </c>
      <c r="V23" s="111">
        <v>0</v>
      </c>
      <c r="W23" s="111">
        <v>0.8</v>
      </c>
      <c r="X23" s="111">
        <v>0.8</v>
      </c>
      <c r="Y23" s="111">
        <v>0.8</v>
      </c>
      <c r="Z23" s="111">
        <v>0</v>
      </c>
      <c r="AA23" s="111">
        <v>0</v>
      </c>
      <c r="AB23" s="111">
        <v>0</v>
      </c>
      <c r="AC23" s="111">
        <v>0.8</v>
      </c>
      <c r="AD23" s="111">
        <v>0.8</v>
      </c>
      <c r="AE23" s="111">
        <v>0.8</v>
      </c>
      <c r="AF23" s="111">
        <v>0.8</v>
      </c>
      <c r="AG23" s="111">
        <v>0</v>
      </c>
      <c r="AH23" s="111">
        <v>0</v>
      </c>
      <c r="AI23" s="111">
        <v>0</v>
      </c>
      <c r="AJ23" s="111">
        <v>0</v>
      </c>
      <c r="AK23" s="111">
        <v>0</v>
      </c>
      <c r="AL23" s="111">
        <v>0</v>
      </c>
      <c r="AM23" s="111">
        <v>0</v>
      </c>
      <c r="AN23" s="111">
        <v>0</v>
      </c>
      <c r="AO23" s="111">
        <v>0</v>
      </c>
      <c r="AP23" s="111">
        <v>0</v>
      </c>
      <c r="AQ23" s="111">
        <v>0</v>
      </c>
      <c r="AR23" s="111">
        <v>0</v>
      </c>
      <c r="AS23" s="111">
        <v>0</v>
      </c>
      <c r="AT23" s="111">
        <v>0</v>
      </c>
      <c r="AU23" s="111">
        <v>0</v>
      </c>
      <c r="AV23" s="111">
        <v>0</v>
      </c>
      <c r="AW23" s="111">
        <v>0</v>
      </c>
      <c r="AX23" s="111">
        <v>0</v>
      </c>
    </row>
    <row r="24" spans="1:50" customFormat="1" x14ac:dyDescent="0.15">
      <c r="A24" s="158" t="s">
        <v>215</v>
      </c>
      <c r="B24" s="111">
        <v>0.8</v>
      </c>
      <c r="C24" s="111">
        <v>0.8</v>
      </c>
      <c r="D24" s="111">
        <v>0</v>
      </c>
      <c r="E24" s="111">
        <v>0.8</v>
      </c>
      <c r="F24" s="111">
        <v>0.8</v>
      </c>
      <c r="G24" s="111">
        <v>0.8</v>
      </c>
      <c r="H24" s="111">
        <v>0.8</v>
      </c>
      <c r="I24" s="111">
        <v>0.8</v>
      </c>
      <c r="J24" s="111">
        <v>0.8</v>
      </c>
      <c r="K24" s="111">
        <v>0</v>
      </c>
      <c r="L24" s="111">
        <v>0</v>
      </c>
      <c r="M24" s="111">
        <v>0.8</v>
      </c>
      <c r="N24" s="111">
        <v>0.8</v>
      </c>
      <c r="O24" s="111">
        <v>0</v>
      </c>
      <c r="P24" s="111">
        <v>0.8</v>
      </c>
      <c r="Q24" s="111">
        <v>0</v>
      </c>
      <c r="R24" s="111">
        <v>0</v>
      </c>
      <c r="S24" s="111">
        <v>0</v>
      </c>
      <c r="T24" s="111">
        <v>0</v>
      </c>
      <c r="U24" s="111">
        <v>0</v>
      </c>
      <c r="V24" s="111">
        <v>0</v>
      </c>
      <c r="W24" s="111">
        <v>0</v>
      </c>
      <c r="X24" s="111">
        <v>0</v>
      </c>
      <c r="Y24" s="111">
        <v>0</v>
      </c>
      <c r="Z24" s="111">
        <v>0</v>
      </c>
      <c r="AA24" s="111">
        <v>0</v>
      </c>
      <c r="AB24" s="111">
        <v>0</v>
      </c>
      <c r="AC24" s="111">
        <v>0</v>
      </c>
      <c r="AD24" s="111">
        <v>0.8</v>
      </c>
      <c r="AE24" s="111">
        <v>0</v>
      </c>
      <c r="AF24" s="111">
        <v>0</v>
      </c>
      <c r="AG24" s="111">
        <v>0</v>
      </c>
      <c r="AH24" s="111">
        <v>0</v>
      </c>
      <c r="AI24" s="111">
        <v>0</v>
      </c>
      <c r="AJ24" s="111">
        <v>0</v>
      </c>
      <c r="AK24" s="111">
        <v>0</v>
      </c>
      <c r="AL24" s="111">
        <v>0</v>
      </c>
      <c r="AM24" s="111">
        <v>0</v>
      </c>
      <c r="AN24" s="111">
        <v>0</v>
      </c>
      <c r="AO24" s="111">
        <v>0</v>
      </c>
      <c r="AP24" s="111">
        <v>0</v>
      </c>
      <c r="AQ24" s="111">
        <v>0</v>
      </c>
      <c r="AR24" s="111">
        <v>0</v>
      </c>
      <c r="AS24" s="111">
        <v>0</v>
      </c>
      <c r="AT24" s="111">
        <v>0</v>
      </c>
      <c r="AU24" s="111">
        <v>0</v>
      </c>
      <c r="AV24" s="111">
        <v>0</v>
      </c>
      <c r="AW24" s="111">
        <v>0</v>
      </c>
      <c r="AX24" s="111">
        <v>0</v>
      </c>
    </row>
    <row r="25" spans="1:50" customFormat="1" x14ac:dyDescent="0.15">
      <c r="A25" s="158" t="s">
        <v>216</v>
      </c>
      <c r="B25" s="111">
        <v>0.8</v>
      </c>
      <c r="C25" s="111">
        <v>0.8</v>
      </c>
      <c r="D25" s="111">
        <v>0.8</v>
      </c>
      <c r="E25" s="111">
        <v>0.8</v>
      </c>
      <c r="F25" s="111">
        <v>0.8</v>
      </c>
      <c r="G25" s="111">
        <v>0.8</v>
      </c>
      <c r="H25" s="111">
        <v>0.8</v>
      </c>
      <c r="I25" s="111">
        <v>0.8</v>
      </c>
      <c r="J25" s="111">
        <v>0.8</v>
      </c>
      <c r="K25" s="111">
        <v>0</v>
      </c>
      <c r="L25" s="111">
        <v>0</v>
      </c>
      <c r="M25" s="111">
        <v>0.8</v>
      </c>
      <c r="N25" s="111">
        <v>0</v>
      </c>
      <c r="O25" s="111">
        <v>0</v>
      </c>
      <c r="P25" s="111">
        <v>0.8</v>
      </c>
      <c r="Q25" s="111">
        <v>0.8</v>
      </c>
      <c r="R25" s="111">
        <v>0</v>
      </c>
      <c r="S25" s="111">
        <v>0</v>
      </c>
      <c r="T25" s="111">
        <v>0</v>
      </c>
      <c r="U25" s="111">
        <v>0</v>
      </c>
      <c r="V25" s="111">
        <v>0</v>
      </c>
      <c r="W25" s="111">
        <v>0</v>
      </c>
      <c r="X25" s="111">
        <v>0</v>
      </c>
      <c r="Y25" s="111">
        <v>0</v>
      </c>
      <c r="Z25" s="111">
        <v>0</v>
      </c>
      <c r="AA25" s="111">
        <v>0</v>
      </c>
      <c r="AB25" s="111">
        <v>0</v>
      </c>
      <c r="AC25" s="111">
        <v>0</v>
      </c>
      <c r="AD25" s="111">
        <v>0.8</v>
      </c>
      <c r="AE25" s="111">
        <v>0</v>
      </c>
      <c r="AF25" s="111">
        <v>0</v>
      </c>
      <c r="AG25" s="111">
        <v>0</v>
      </c>
      <c r="AH25" s="111">
        <v>0</v>
      </c>
      <c r="AI25" s="111">
        <v>0</v>
      </c>
      <c r="AJ25" s="111">
        <v>0</v>
      </c>
      <c r="AK25" s="111">
        <v>0</v>
      </c>
      <c r="AL25" s="111">
        <v>0</v>
      </c>
      <c r="AM25" s="111">
        <v>0</v>
      </c>
      <c r="AN25" s="111">
        <v>0</v>
      </c>
      <c r="AO25" s="111">
        <v>0</v>
      </c>
      <c r="AP25" s="111">
        <v>0</v>
      </c>
      <c r="AQ25" s="111">
        <v>0</v>
      </c>
      <c r="AR25" s="111">
        <v>0</v>
      </c>
      <c r="AS25" s="111">
        <v>0</v>
      </c>
      <c r="AT25" s="111">
        <v>0</v>
      </c>
      <c r="AU25" s="111">
        <v>0</v>
      </c>
      <c r="AV25" s="111">
        <v>0</v>
      </c>
      <c r="AW25" s="111">
        <v>0</v>
      </c>
      <c r="AX25" s="111">
        <v>0</v>
      </c>
    </row>
    <row r="26" spans="1:50" customFormat="1" x14ac:dyDescent="0.15">
      <c r="A26" s="158" t="s">
        <v>217</v>
      </c>
      <c r="B26" s="111">
        <v>0</v>
      </c>
      <c r="C26" s="111">
        <v>0.8</v>
      </c>
      <c r="D26" s="111">
        <v>0</v>
      </c>
      <c r="E26" s="111">
        <v>0.8</v>
      </c>
      <c r="F26" s="111">
        <v>0.8</v>
      </c>
      <c r="G26" s="111">
        <v>0.8</v>
      </c>
      <c r="H26" s="111">
        <v>0.8</v>
      </c>
      <c r="I26" s="111">
        <v>0</v>
      </c>
      <c r="J26" s="111">
        <v>0.8</v>
      </c>
      <c r="K26" s="111">
        <v>0.8</v>
      </c>
      <c r="L26" s="111">
        <v>0</v>
      </c>
      <c r="M26" s="111">
        <v>0.8</v>
      </c>
      <c r="N26" s="111">
        <v>0</v>
      </c>
      <c r="O26" s="111">
        <v>0.8</v>
      </c>
      <c r="P26" s="111">
        <v>0.8</v>
      </c>
      <c r="Q26" s="111">
        <v>0.8</v>
      </c>
      <c r="R26" s="111">
        <v>0</v>
      </c>
      <c r="S26" s="111">
        <v>0</v>
      </c>
      <c r="T26" s="111">
        <v>0</v>
      </c>
      <c r="U26" s="111">
        <v>0</v>
      </c>
      <c r="V26" s="111">
        <v>0</v>
      </c>
      <c r="W26" s="111">
        <v>0</v>
      </c>
      <c r="X26" s="111">
        <v>0.8</v>
      </c>
      <c r="Y26" s="111">
        <v>0.8</v>
      </c>
      <c r="Z26" s="111">
        <v>0</v>
      </c>
      <c r="AA26" s="111">
        <v>0</v>
      </c>
      <c r="AB26" s="111">
        <v>0</v>
      </c>
      <c r="AC26" s="111">
        <v>0.8</v>
      </c>
      <c r="AD26" s="111">
        <v>0.8</v>
      </c>
      <c r="AE26" s="111">
        <v>0</v>
      </c>
      <c r="AF26" s="111">
        <v>0.8</v>
      </c>
      <c r="AG26" s="111">
        <v>0</v>
      </c>
      <c r="AH26" s="111">
        <v>0</v>
      </c>
      <c r="AI26" s="111">
        <v>0</v>
      </c>
      <c r="AJ26" s="111">
        <v>0</v>
      </c>
      <c r="AK26" s="111">
        <v>0</v>
      </c>
      <c r="AL26" s="111">
        <v>0</v>
      </c>
      <c r="AM26" s="111">
        <v>0</v>
      </c>
      <c r="AN26" s="111">
        <v>0</v>
      </c>
      <c r="AO26" s="111">
        <v>0</v>
      </c>
      <c r="AP26" s="111">
        <v>0</v>
      </c>
      <c r="AQ26" s="111">
        <v>0</v>
      </c>
      <c r="AR26" s="111">
        <v>0</v>
      </c>
      <c r="AS26" s="111">
        <v>0</v>
      </c>
      <c r="AT26" s="111">
        <v>0</v>
      </c>
      <c r="AU26" s="111">
        <v>0</v>
      </c>
      <c r="AV26" s="111">
        <v>0</v>
      </c>
      <c r="AW26" s="111">
        <v>0</v>
      </c>
      <c r="AX26" s="111">
        <v>0</v>
      </c>
    </row>
    <row r="27" spans="1:50" customFormat="1" x14ac:dyDescent="0.15">
      <c r="A27" s="158" t="s">
        <v>218</v>
      </c>
      <c r="B27" s="111">
        <v>0.8</v>
      </c>
      <c r="C27" s="111">
        <v>0.8</v>
      </c>
      <c r="D27" s="111">
        <v>0.8</v>
      </c>
      <c r="E27" s="111">
        <v>0.8</v>
      </c>
      <c r="F27" s="111">
        <v>0</v>
      </c>
      <c r="G27" s="111">
        <v>0.8</v>
      </c>
      <c r="H27" s="111">
        <v>0.8</v>
      </c>
      <c r="I27" s="111">
        <v>0.8</v>
      </c>
      <c r="J27" s="111">
        <v>0.8</v>
      </c>
      <c r="K27" s="111">
        <v>0</v>
      </c>
      <c r="L27" s="111">
        <v>0</v>
      </c>
      <c r="M27" s="111">
        <v>0.8</v>
      </c>
      <c r="N27" s="111">
        <v>0</v>
      </c>
      <c r="O27" s="111">
        <v>0</v>
      </c>
      <c r="P27" s="111">
        <v>0.8</v>
      </c>
      <c r="Q27" s="111">
        <v>0</v>
      </c>
      <c r="R27" s="111">
        <v>0</v>
      </c>
      <c r="S27" s="111">
        <v>0</v>
      </c>
      <c r="T27" s="111">
        <v>0</v>
      </c>
      <c r="U27" s="111">
        <v>0</v>
      </c>
      <c r="V27" s="111">
        <v>0</v>
      </c>
      <c r="W27" s="111">
        <v>0</v>
      </c>
      <c r="X27" s="111">
        <v>0</v>
      </c>
      <c r="Y27" s="111">
        <v>0.8</v>
      </c>
      <c r="Z27" s="111">
        <v>0</v>
      </c>
      <c r="AA27" s="111">
        <v>0</v>
      </c>
      <c r="AB27" s="111">
        <v>0</v>
      </c>
      <c r="AC27" s="111">
        <v>0.8</v>
      </c>
      <c r="AD27" s="111">
        <v>0.8</v>
      </c>
      <c r="AE27" s="111">
        <v>0</v>
      </c>
      <c r="AF27" s="111">
        <v>0</v>
      </c>
      <c r="AG27" s="111">
        <v>0</v>
      </c>
      <c r="AH27" s="111">
        <v>0</v>
      </c>
      <c r="AI27" s="111">
        <v>0</v>
      </c>
      <c r="AJ27" s="111">
        <v>0</v>
      </c>
      <c r="AK27" s="111">
        <v>0</v>
      </c>
      <c r="AL27" s="111">
        <v>0</v>
      </c>
      <c r="AM27" s="111">
        <v>0</v>
      </c>
      <c r="AN27" s="111">
        <v>0</v>
      </c>
      <c r="AO27" s="111">
        <v>0</v>
      </c>
      <c r="AP27" s="111">
        <v>0</v>
      </c>
      <c r="AQ27" s="111">
        <v>0</v>
      </c>
      <c r="AR27" s="111">
        <v>0</v>
      </c>
      <c r="AS27" s="111">
        <v>0</v>
      </c>
      <c r="AT27" s="111">
        <v>0</v>
      </c>
      <c r="AU27" s="111">
        <v>0</v>
      </c>
      <c r="AV27" s="111">
        <v>0</v>
      </c>
      <c r="AW27" s="111">
        <v>0</v>
      </c>
      <c r="AX27" s="111">
        <v>0</v>
      </c>
    </row>
    <row r="28" spans="1:50" customFormat="1" x14ac:dyDescent="0.15">
      <c r="A28" s="158" t="s">
        <v>219</v>
      </c>
      <c r="B28" s="111">
        <v>0.8</v>
      </c>
      <c r="C28" s="111">
        <v>0.8</v>
      </c>
      <c r="D28" s="111">
        <v>0</v>
      </c>
      <c r="E28" s="111">
        <v>0.8</v>
      </c>
      <c r="F28" s="111">
        <v>0.8</v>
      </c>
      <c r="G28" s="111">
        <v>0.8</v>
      </c>
      <c r="H28" s="111">
        <v>0.8</v>
      </c>
      <c r="I28" s="111">
        <v>0.8</v>
      </c>
      <c r="J28" s="111">
        <v>0.8</v>
      </c>
      <c r="K28" s="111">
        <v>0</v>
      </c>
      <c r="L28" s="111">
        <v>0</v>
      </c>
      <c r="M28" s="111">
        <v>0.8</v>
      </c>
      <c r="N28" s="111">
        <v>0.8</v>
      </c>
      <c r="O28" s="111">
        <v>0.8</v>
      </c>
      <c r="P28" s="111">
        <v>0.8</v>
      </c>
      <c r="Q28" s="111">
        <v>0</v>
      </c>
      <c r="R28" s="111">
        <v>0</v>
      </c>
      <c r="S28" s="111">
        <v>0</v>
      </c>
      <c r="T28" s="111">
        <v>0</v>
      </c>
      <c r="U28" s="111">
        <v>0.8</v>
      </c>
      <c r="V28" s="111">
        <v>0</v>
      </c>
      <c r="W28" s="111">
        <v>0</v>
      </c>
      <c r="X28" s="111">
        <v>0.8</v>
      </c>
      <c r="Y28" s="111">
        <v>0.8</v>
      </c>
      <c r="Z28" s="111">
        <v>0</v>
      </c>
      <c r="AA28" s="111">
        <v>0</v>
      </c>
      <c r="AB28" s="111">
        <v>0</v>
      </c>
      <c r="AC28" s="111">
        <v>0</v>
      </c>
      <c r="AD28" s="111">
        <v>0.8</v>
      </c>
      <c r="AE28" s="111">
        <v>0.8</v>
      </c>
      <c r="AF28" s="111">
        <v>0.8</v>
      </c>
      <c r="AG28" s="111">
        <v>0</v>
      </c>
      <c r="AH28" s="111">
        <v>0</v>
      </c>
      <c r="AI28" s="111">
        <v>0</v>
      </c>
      <c r="AJ28" s="111">
        <v>0</v>
      </c>
      <c r="AK28" s="111">
        <v>0</v>
      </c>
      <c r="AL28" s="111">
        <v>0</v>
      </c>
      <c r="AM28" s="111">
        <v>0</v>
      </c>
      <c r="AN28" s="111">
        <v>0</v>
      </c>
      <c r="AO28" s="111">
        <v>0</v>
      </c>
      <c r="AP28" s="111">
        <v>0</v>
      </c>
      <c r="AQ28" s="111">
        <v>0</v>
      </c>
      <c r="AR28" s="111">
        <v>0</v>
      </c>
      <c r="AS28" s="111">
        <v>0</v>
      </c>
      <c r="AT28" s="111">
        <v>0</v>
      </c>
      <c r="AU28" s="111">
        <v>0</v>
      </c>
      <c r="AV28" s="111">
        <v>0</v>
      </c>
      <c r="AW28" s="111">
        <v>0</v>
      </c>
      <c r="AX28" s="111">
        <v>0</v>
      </c>
    </row>
    <row r="29" spans="1:50" customFormat="1" x14ac:dyDescent="0.15">
      <c r="A29" s="158" t="s">
        <v>220</v>
      </c>
      <c r="B29" s="111">
        <v>0</v>
      </c>
      <c r="C29" s="111">
        <v>0</v>
      </c>
      <c r="D29" s="111">
        <v>0</v>
      </c>
      <c r="E29" s="111">
        <v>0.8</v>
      </c>
      <c r="F29" s="111">
        <v>0.8</v>
      </c>
      <c r="G29" s="111">
        <v>0.8</v>
      </c>
      <c r="H29" s="111">
        <v>0.8</v>
      </c>
      <c r="I29" s="111">
        <v>0.8</v>
      </c>
      <c r="J29" s="111">
        <v>0.8</v>
      </c>
      <c r="K29" s="111">
        <v>0.8</v>
      </c>
      <c r="L29" s="111">
        <v>0</v>
      </c>
      <c r="M29" s="111">
        <v>0.8</v>
      </c>
      <c r="N29" s="111">
        <v>0.8</v>
      </c>
      <c r="O29" s="111">
        <v>0</v>
      </c>
      <c r="P29" s="111">
        <v>0.8</v>
      </c>
      <c r="Q29" s="111">
        <v>0</v>
      </c>
      <c r="R29" s="111">
        <v>0</v>
      </c>
      <c r="S29" s="111">
        <v>0</v>
      </c>
      <c r="T29" s="111">
        <v>0</v>
      </c>
      <c r="U29" s="111">
        <v>0</v>
      </c>
      <c r="V29" s="111">
        <v>0</v>
      </c>
      <c r="W29" s="111">
        <v>0</v>
      </c>
      <c r="X29" s="111">
        <v>0</v>
      </c>
      <c r="Y29" s="111">
        <v>0</v>
      </c>
      <c r="Z29" s="111">
        <v>0</v>
      </c>
      <c r="AA29" s="111">
        <v>0</v>
      </c>
      <c r="AB29" s="111">
        <v>0</v>
      </c>
      <c r="AC29" s="111">
        <v>0</v>
      </c>
      <c r="AD29" s="111">
        <v>0.8</v>
      </c>
      <c r="AE29" s="111">
        <v>0</v>
      </c>
      <c r="AF29" s="111">
        <v>0</v>
      </c>
      <c r="AG29" s="111">
        <v>0</v>
      </c>
      <c r="AH29" s="111">
        <v>0</v>
      </c>
      <c r="AI29" s="111">
        <v>0</v>
      </c>
      <c r="AJ29" s="111">
        <v>0</v>
      </c>
      <c r="AK29" s="111">
        <v>0</v>
      </c>
      <c r="AL29" s="111">
        <v>0</v>
      </c>
      <c r="AM29" s="111">
        <v>0</v>
      </c>
      <c r="AN29" s="111">
        <v>0</v>
      </c>
      <c r="AO29" s="111">
        <v>0</v>
      </c>
      <c r="AP29" s="111">
        <v>0</v>
      </c>
      <c r="AQ29" s="111">
        <v>0</v>
      </c>
      <c r="AR29" s="111">
        <v>0</v>
      </c>
      <c r="AS29" s="111">
        <v>0</v>
      </c>
      <c r="AT29" s="111">
        <v>0</v>
      </c>
      <c r="AU29" s="111">
        <v>0</v>
      </c>
      <c r="AV29" s="111">
        <v>0</v>
      </c>
      <c r="AW29" s="111">
        <v>0</v>
      </c>
      <c r="AX29" s="111">
        <v>0</v>
      </c>
    </row>
    <row r="30" spans="1:50" customFormat="1" x14ac:dyDescent="0.15">
      <c r="A30" s="158" t="s">
        <v>221</v>
      </c>
      <c r="B30" s="111">
        <v>0</v>
      </c>
      <c r="C30" s="111">
        <v>0</v>
      </c>
      <c r="D30" s="111">
        <v>0</v>
      </c>
      <c r="E30" s="111">
        <v>0.8</v>
      </c>
      <c r="F30" s="111">
        <v>0.8</v>
      </c>
      <c r="G30" s="111">
        <v>0.8</v>
      </c>
      <c r="H30" s="111">
        <v>0</v>
      </c>
      <c r="I30" s="111">
        <v>0</v>
      </c>
      <c r="J30" s="111">
        <v>0</v>
      </c>
      <c r="K30" s="111">
        <v>0</v>
      </c>
      <c r="L30" s="111">
        <v>0</v>
      </c>
      <c r="M30" s="111">
        <v>0.8</v>
      </c>
      <c r="N30" s="111">
        <v>0</v>
      </c>
      <c r="O30" s="111">
        <v>0</v>
      </c>
      <c r="P30" s="111">
        <v>0</v>
      </c>
      <c r="Q30" s="111">
        <v>0</v>
      </c>
      <c r="R30" s="111">
        <v>0</v>
      </c>
      <c r="S30" s="111">
        <v>0</v>
      </c>
      <c r="T30" s="111">
        <v>0</v>
      </c>
      <c r="U30" s="111">
        <v>0</v>
      </c>
      <c r="V30" s="111">
        <v>0</v>
      </c>
      <c r="W30" s="111">
        <v>0</v>
      </c>
      <c r="X30" s="111">
        <v>0</v>
      </c>
      <c r="Y30" s="111">
        <v>0</v>
      </c>
      <c r="Z30" s="111">
        <v>0</v>
      </c>
      <c r="AA30" s="111">
        <v>0</v>
      </c>
      <c r="AB30" s="111">
        <v>0</v>
      </c>
      <c r="AC30" s="111">
        <v>0</v>
      </c>
      <c r="AD30" s="111">
        <v>0.8</v>
      </c>
      <c r="AE30" s="111">
        <v>0</v>
      </c>
      <c r="AF30" s="111">
        <v>0</v>
      </c>
      <c r="AG30" s="111">
        <v>0</v>
      </c>
      <c r="AH30" s="111">
        <v>0</v>
      </c>
      <c r="AI30" s="111">
        <v>0</v>
      </c>
      <c r="AJ30" s="111">
        <v>0</v>
      </c>
      <c r="AK30" s="111">
        <v>0</v>
      </c>
      <c r="AL30" s="111">
        <v>0</v>
      </c>
      <c r="AM30" s="111">
        <v>0</v>
      </c>
      <c r="AN30" s="111">
        <v>0</v>
      </c>
      <c r="AO30" s="111">
        <v>0</v>
      </c>
      <c r="AP30" s="111">
        <v>0</v>
      </c>
      <c r="AQ30" s="111">
        <v>0</v>
      </c>
      <c r="AR30" s="111">
        <v>0</v>
      </c>
      <c r="AS30" s="111">
        <v>0</v>
      </c>
      <c r="AT30" s="111">
        <v>0</v>
      </c>
      <c r="AU30" s="111">
        <v>0</v>
      </c>
      <c r="AV30" s="111">
        <v>0</v>
      </c>
      <c r="AW30" s="111">
        <v>0</v>
      </c>
      <c r="AX30" s="111">
        <v>0</v>
      </c>
    </row>
    <row r="31" spans="1:50" customFormat="1" x14ac:dyDescent="0.15">
      <c r="A31" s="158" t="s">
        <v>222</v>
      </c>
      <c r="B31" s="111">
        <v>0.8</v>
      </c>
      <c r="C31" s="111">
        <v>0.8</v>
      </c>
      <c r="D31" s="111">
        <v>0.8</v>
      </c>
      <c r="E31" s="111">
        <v>0.8</v>
      </c>
      <c r="F31" s="111">
        <v>0.8</v>
      </c>
      <c r="G31" s="111">
        <v>0.8</v>
      </c>
      <c r="H31" s="111">
        <v>0</v>
      </c>
      <c r="I31" s="111">
        <v>0.8</v>
      </c>
      <c r="J31" s="111">
        <v>0</v>
      </c>
      <c r="K31" s="111">
        <v>0</v>
      </c>
      <c r="L31" s="111">
        <v>0</v>
      </c>
      <c r="M31" s="111">
        <v>0.8</v>
      </c>
      <c r="N31" s="111">
        <v>0.8</v>
      </c>
      <c r="O31" s="111">
        <v>0</v>
      </c>
      <c r="P31" s="111">
        <v>0.8</v>
      </c>
      <c r="Q31" s="111">
        <v>0</v>
      </c>
      <c r="R31" s="111">
        <v>0</v>
      </c>
      <c r="S31" s="111">
        <v>0</v>
      </c>
      <c r="T31" s="111">
        <v>0</v>
      </c>
      <c r="U31" s="111">
        <v>0.8</v>
      </c>
      <c r="V31" s="111">
        <v>0</v>
      </c>
      <c r="W31" s="111">
        <v>0</v>
      </c>
      <c r="X31" s="111">
        <v>0</v>
      </c>
      <c r="Y31" s="111">
        <v>0</v>
      </c>
      <c r="Z31" s="111">
        <v>0</v>
      </c>
      <c r="AA31" s="111">
        <v>0</v>
      </c>
      <c r="AB31" s="111">
        <v>0</v>
      </c>
      <c r="AC31" s="111">
        <v>0</v>
      </c>
      <c r="AD31" s="111">
        <v>0.8</v>
      </c>
      <c r="AE31" s="111">
        <v>0</v>
      </c>
      <c r="AF31" s="111">
        <v>0.8</v>
      </c>
      <c r="AG31" s="111">
        <v>0</v>
      </c>
      <c r="AH31" s="111">
        <v>0</v>
      </c>
      <c r="AI31" s="111">
        <v>0</v>
      </c>
      <c r="AJ31" s="111">
        <v>0</v>
      </c>
      <c r="AK31" s="111">
        <v>0</v>
      </c>
      <c r="AL31" s="111">
        <v>0</v>
      </c>
      <c r="AM31" s="111">
        <v>0</v>
      </c>
      <c r="AN31" s="111">
        <v>0</v>
      </c>
      <c r="AO31" s="111">
        <v>0</v>
      </c>
      <c r="AP31" s="111">
        <v>0</v>
      </c>
      <c r="AQ31" s="111">
        <v>0</v>
      </c>
      <c r="AR31" s="111">
        <v>0</v>
      </c>
      <c r="AS31" s="111">
        <v>0</v>
      </c>
      <c r="AT31" s="111">
        <v>0</v>
      </c>
      <c r="AU31" s="111">
        <v>0</v>
      </c>
      <c r="AV31" s="111">
        <v>0</v>
      </c>
      <c r="AW31" s="111">
        <v>0</v>
      </c>
      <c r="AX31" s="111">
        <v>0</v>
      </c>
    </row>
    <row r="32" spans="1:50" customFormat="1" x14ac:dyDescent="0.15">
      <c r="A32" s="158" t="s">
        <v>223</v>
      </c>
      <c r="B32" s="111">
        <v>0</v>
      </c>
      <c r="C32" s="111">
        <v>0</v>
      </c>
      <c r="D32" s="111">
        <v>0.8</v>
      </c>
      <c r="E32" s="111">
        <v>0.8</v>
      </c>
      <c r="F32" s="111">
        <v>0.8</v>
      </c>
      <c r="G32" s="111">
        <v>0.8</v>
      </c>
      <c r="H32" s="111">
        <v>0.8</v>
      </c>
      <c r="I32" s="111">
        <v>0.8</v>
      </c>
      <c r="J32" s="111">
        <v>0.8</v>
      </c>
      <c r="K32" s="111">
        <v>0.8</v>
      </c>
      <c r="L32" s="111">
        <v>0</v>
      </c>
      <c r="M32" s="111">
        <v>0.8</v>
      </c>
      <c r="N32" s="111">
        <v>0</v>
      </c>
      <c r="O32" s="111">
        <v>0.8</v>
      </c>
      <c r="P32" s="111">
        <v>0.8</v>
      </c>
      <c r="Q32" s="111">
        <v>0.8</v>
      </c>
      <c r="R32" s="111">
        <v>0</v>
      </c>
      <c r="S32" s="111">
        <v>0</v>
      </c>
      <c r="T32" s="111">
        <v>0</v>
      </c>
      <c r="U32" s="111">
        <v>0.8</v>
      </c>
      <c r="V32" s="111">
        <v>0</v>
      </c>
      <c r="W32" s="111">
        <v>0</v>
      </c>
      <c r="X32" s="111">
        <v>0.8</v>
      </c>
      <c r="Y32" s="111">
        <v>0.8</v>
      </c>
      <c r="Z32" s="111">
        <v>0</v>
      </c>
      <c r="AA32" s="111">
        <v>0</v>
      </c>
      <c r="AB32" s="111">
        <v>0</v>
      </c>
      <c r="AC32" s="111">
        <v>0.8</v>
      </c>
      <c r="AD32" s="111">
        <v>0.8</v>
      </c>
      <c r="AE32" s="111">
        <v>0.8</v>
      </c>
      <c r="AF32" s="111">
        <v>0.8</v>
      </c>
      <c r="AG32" s="111">
        <v>0</v>
      </c>
      <c r="AH32" s="111">
        <v>0</v>
      </c>
      <c r="AI32" s="111">
        <v>0</v>
      </c>
      <c r="AJ32" s="111">
        <v>0</v>
      </c>
      <c r="AK32" s="111">
        <v>0</v>
      </c>
      <c r="AL32" s="111">
        <v>0</v>
      </c>
      <c r="AM32" s="111">
        <v>0</v>
      </c>
      <c r="AN32" s="111">
        <v>0</v>
      </c>
      <c r="AO32" s="111">
        <v>0</v>
      </c>
      <c r="AP32" s="111">
        <v>0</v>
      </c>
      <c r="AQ32" s="111">
        <v>0</v>
      </c>
      <c r="AR32" s="111">
        <v>0</v>
      </c>
      <c r="AS32" s="111">
        <v>0</v>
      </c>
      <c r="AT32" s="111">
        <v>0</v>
      </c>
      <c r="AU32" s="111">
        <v>0</v>
      </c>
      <c r="AV32" s="111">
        <v>0</v>
      </c>
      <c r="AW32" s="111">
        <v>0</v>
      </c>
      <c r="AX32" s="111">
        <v>0</v>
      </c>
    </row>
    <row r="33" spans="1:50" x14ac:dyDescent="0.15">
      <c r="A33" s="158" t="s">
        <v>224</v>
      </c>
      <c r="B33" s="111">
        <v>0</v>
      </c>
      <c r="C33" s="111">
        <v>0</v>
      </c>
      <c r="D33" s="111">
        <v>0</v>
      </c>
      <c r="E33" s="111">
        <v>0</v>
      </c>
      <c r="F33" s="111">
        <v>0</v>
      </c>
      <c r="G33" s="111">
        <v>0.8</v>
      </c>
      <c r="H33" s="111">
        <v>0.8</v>
      </c>
      <c r="I33" s="111">
        <v>0</v>
      </c>
      <c r="J33" s="111">
        <v>0</v>
      </c>
      <c r="K33" s="111">
        <v>0</v>
      </c>
      <c r="L33" s="111">
        <v>0</v>
      </c>
      <c r="M33" s="111">
        <v>0</v>
      </c>
      <c r="N33" s="111">
        <v>0</v>
      </c>
      <c r="O33" s="111">
        <v>0</v>
      </c>
      <c r="P33" s="111">
        <v>0</v>
      </c>
      <c r="Q33" s="111">
        <v>0</v>
      </c>
      <c r="R33" s="111">
        <v>0</v>
      </c>
      <c r="S33" s="111">
        <v>0</v>
      </c>
      <c r="T33" s="111">
        <v>0</v>
      </c>
      <c r="U33" s="111">
        <v>0.8</v>
      </c>
      <c r="V33" s="111">
        <v>0</v>
      </c>
      <c r="W33" s="111">
        <v>0</v>
      </c>
      <c r="X33" s="111">
        <v>0</v>
      </c>
      <c r="Y33" s="111">
        <v>0</v>
      </c>
      <c r="Z33" s="111">
        <v>0</v>
      </c>
      <c r="AA33" s="111">
        <v>0</v>
      </c>
      <c r="AB33" s="111">
        <v>0</v>
      </c>
      <c r="AC33" s="111">
        <v>0</v>
      </c>
      <c r="AD33" s="111">
        <v>0</v>
      </c>
      <c r="AE33" s="111">
        <v>0</v>
      </c>
      <c r="AF33" s="111">
        <v>0</v>
      </c>
      <c r="AG33" s="111">
        <v>0</v>
      </c>
      <c r="AH33" s="111">
        <v>0</v>
      </c>
      <c r="AI33" s="111">
        <v>0</v>
      </c>
      <c r="AJ33" s="111">
        <v>0</v>
      </c>
      <c r="AK33" s="111">
        <v>0</v>
      </c>
      <c r="AL33" s="111">
        <v>0</v>
      </c>
      <c r="AM33" s="111">
        <v>0</v>
      </c>
      <c r="AN33" s="111">
        <v>0</v>
      </c>
      <c r="AO33" s="111">
        <v>0</v>
      </c>
      <c r="AP33" s="111">
        <v>0</v>
      </c>
      <c r="AQ33" s="111">
        <v>0</v>
      </c>
      <c r="AR33" s="111">
        <v>0</v>
      </c>
      <c r="AS33" s="111">
        <v>0</v>
      </c>
      <c r="AT33" s="111">
        <v>0</v>
      </c>
      <c r="AU33" s="111">
        <v>0</v>
      </c>
      <c r="AV33" s="111">
        <v>0</v>
      </c>
      <c r="AW33" s="111">
        <v>0</v>
      </c>
      <c r="AX33" s="111">
        <v>0</v>
      </c>
    </row>
    <row r="34" spans="1:50" x14ac:dyDescent="0.15">
      <c r="A34" s="158" t="s">
        <v>225</v>
      </c>
      <c r="B34" s="111">
        <v>0</v>
      </c>
      <c r="C34" s="111">
        <v>0</v>
      </c>
      <c r="D34" s="111">
        <v>0</v>
      </c>
      <c r="E34" s="111">
        <v>0</v>
      </c>
      <c r="F34" s="111">
        <v>0.8</v>
      </c>
      <c r="G34" s="111">
        <v>0.8</v>
      </c>
      <c r="H34" s="111">
        <v>0.8</v>
      </c>
      <c r="I34" s="111">
        <v>0.8</v>
      </c>
      <c r="J34" s="111">
        <v>0.8</v>
      </c>
      <c r="K34" s="111">
        <v>0</v>
      </c>
      <c r="L34" s="111">
        <v>0.8</v>
      </c>
      <c r="M34" s="111">
        <v>0</v>
      </c>
      <c r="N34" s="111">
        <v>0</v>
      </c>
      <c r="O34" s="111">
        <v>0</v>
      </c>
      <c r="P34" s="111">
        <v>0</v>
      </c>
      <c r="Q34" s="111">
        <v>0</v>
      </c>
      <c r="R34" s="111">
        <v>0</v>
      </c>
      <c r="S34" s="111">
        <v>0</v>
      </c>
      <c r="T34" s="111">
        <v>0</v>
      </c>
      <c r="U34" s="111">
        <v>0.8</v>
      </c>
      <c r="V34" s="111">
        <v>0</v>
      </c>
      <c r="W34" s="111">
        <v>0.8</v>
      </c>
      <c r="X34" s="111">
        <v>0.8</v>
      </c>
      <c r="Y34" s="111">
        <v>0</v>
      </c>
      <c r="Z34" s="111">
        <v>0</v>
      </c>
      <c r="AA34" s="111">
        <v>0</v>
      </c>
      <c r="AB34" s="111">
        <v>0</v>
      </c>
      <c r="AC34" s="111">
        <v>0.8</v>
      </c>
      <c r="AD34" s="111">
        <v>0</v>
      </c>
      <c r="AE34" s="111">
        <v>0</v>
      </c>
      <c r="AF34" s="111">
        <v>0</v>
      </c>
      <c r="AG34" s="111">
        <v>0</v>
      </c>
      <c r="AH34" s="111">
        <v>0.8</v>
      </c>
      <c r="AI34" s="111">
        <v>0</v>
      </c>
      <c r="AJ34" s="111">
        <v>0</v>
      </c>
      <c r="AK34" s="111">
        <v>0</v>
      </c>
      <c r="AL34" s="111">
        <v>0</v>
      </c>
      <c r="AM34" s="111">
        <v>0</v>
      </c>
      <c r="AN34" s="111">
        <v>0</v>
      </c>
      <c r="AO34" s="111">
        <v>0</v>
      </c>
      <c r="AP34" s="111">
        <v>0</v>
      </c>
      <c r="AQ34" s="111">
        <v>0</v>
      </c>
      <c r="AR34" s="111">
        <v>0</v>
      </c>
      <c r="AS34" s="111">
        <v>0</v>
      </c>
      <c r="AT34" s="111">
        <v>0</v>
      </c>
      <c r="AU34" s="111">
        <v>0</v>
      </c>
      <c r="AV34" s="111">
        <v>0</v>
      </c>
      <c r="AW34" s="111">
        <v>0</v>
      </c>
      <c r="AX34" s="111">
        <v>0</v>
      </c>
    </row>
    <row r="35" spans="1:50" x14ac:dyDescent="0.15">
      <c r="A35" s="158" t="s">
        <v>226</v>
      </c>
      <c r="B35" s="111">
        <v>0</v>
      </c>
      <c r="C35" s="111">
        <v>0</v>
      </c>
      <c r="D35" s="111">
        <v>0</v>
      </c>
      <c r="E35" s="111">
        <v>0</v>
      </c>
      <c r="F35" s="111">
        <v>0.8</v>
      </c>
      <c r="G35" s="111">
        <v>0.8</v>
      </c>
      <c r="H35" s="111">
        <v>0.8</v>
      </c>
      <c r="I35" s="111">
        <v>0.8</v>
      </c>
      <c r="J35" s="111">
        <v>0.8</v>
      </c>
      <c r="K35" s="111">
        <v>0.8</v>
      </c>
      <c r="L35" s="111">
        <v>0.8</v>
      </c>
      <c r="M35" s="111">
        <v>0.8</v>
      </c>
      <c r="N35" s="111">
        <v>0.8</v>
      </c>
      <c r="O35" s="111">
        <v>0.8</v>
      </c>
      <c r="P35" s="111">
        <v>0</v>
      </c>
      <c r="Q35" s="111">
        <v>0.8</v>
      </c>
      <c r="R35" s="111">
        <v>0.8</v>
      </c>
      <c r="S35" s="111">
        <v>0.8</v>
      </c>
      <c r="T35" s="111">
        <v>0</v>
      </c>
      <c r="U35" s="111">
        <v>0.8</v>
      </c>
      <c r="V35" s="111">
        <v>0.8</v>
      </c>
      <c r="W35" s="111">
        <v>0.8</v>
      </c>
      <c r="X35" s="111">
        <v>0.8</v>
      </c>
      <c r="Y35" s="111">
        <v>0</v>
      </c>
      <c r="Z35" s="111">
        <v>0</v>
      </c>
      <c r="AA35" s="111">
        <v>0.8</v>
      </c>
      <c r="AB35" s="111">
        <v>0</v>
      </c>
      <c r="AC35" s="111">
        <v>0.8</v>
      </c>
      <c r="AD35" s="111">
        <v>0.8</v>
      </c>
      <c r="AE35" s="111">
        <v>0.8</v>
      </c>
      <c r="AF35" s="111">
        <v>0.8</v>
      </c>
      <c r="AG35" s="111">
        <v>0.8</v>
      </c>
      <c r="AH35" s="111">
        <v>0.8</v>
      </c>
      <c r="AI35" s="111">
        <v>0.8</v>
      </c>
      <c r="AJ35" s="111">
        <v>0</v>
      </c>
      <c r="AK35" s="111">
        <v>0</v>
      </c>
      <c r="AL35" s="111">
        <v>0</v>
      </c>
      <c r="AM35" s="111">
        <v>0</v>
      </c>
      <c r="AN35" s="111">
        <v>0</v>
      </c>
      <c r="AO35" s="111">
        <v>0</v>
      </c>
      <c r="AP35" s="111">
        <v>0</v>
      </c>
      <c r="AQ35" s="111">
        <v>0</v>
      </c>
      <c r="AR35" s="111">
        <v>0</v>
      </c>
      <c r="AS35" s="111">
        <v>0</v>
      </c>
      <c r="AT35" s="111">
        <v>0</v>
      </c>
      <c r="AU35" s="111">
        <v>0</v>
      </c>
      <c r="AV35" s="111">
        <v>0</v>
      </c>
      <c r="AW35" s="111">
        <v>0</v>
      </c>
      <c r="AX35" s="111">
        <v>0</v>
      </c>
    </row>
    <row r="36" spans="1:50" x14ac:dyDescent="0.15">
      <c r="A36" s="158" t="s">
        <v>227</v>
      </c>
      <c r="B36" s="111">
        <v>0</v>
      </c>
      <c r="C36" s="111">
        <v>0</v>
      </c>
      <c r="D36" s="111">
        <v>0</v>
      </c>
      <c r="E36" s="111">
        <v>0</v>
      </c>
      <c r="F36" s="111">
        <v>0.8</v>
      </c>
      <c r="G36" s="111">
        <v>0.8</v>
      </c>
      <c r="H36" s="111">
        <v>0.8</v>
      </c>
      <c r="I36" s="111">
        <v>0.8</v>
      </c>
      <c r="J36" s="111">
        <v>0.8</v>
      </c>
      <c r="K36" s="111">
        <v>0</v>
      </c>
      <c r="L36" s="111">
        <v>0.8</v>
      </c>
      <c r="M36" s="111">
        <v>0.8</v>
      </c>
      <c r="N36" s="111">
        <v>0.8</v>
      </c>
      <c r="O36" s="111">
        <v>0.8</v>
      </c>
      <c r="P36" s="111">
        <v>0.8</v>
      </c>
      <c r="Q36" s="111">
        <v>0.8</v>
      </c>
      <c r="R36" s="111">
        <v>0</v>
      </c>
      <c r="S36" s="111">
        <v>0.8</v>
      </c>
      <c r="T36" s="111">
        <v>0</v>
      </c>
      <c r="U36" s="111">
        <v>0.8</v>
      </c>
      <c r="V36" s="111">
        <v>0.8</v>
      </c>
      <c r="W36" s="111">
        <v>0.8</v>
      </c>
      <c r="X36" s="111">
        <v>0.8</v>
      </c>
      <c r="Y36" s="111">
        <v>0</v>
      </c>
      <c r="Z36" s="111">
        <v>0</v>
      </c>
      <c r="AA36" s="111">
        <v>0</v>
      </c>
      <c r="AB36" s="111">
        <v>0</v>
      </c>
      <c r="AC36" s="111">
        <v>0.8</v>
      </c>
      <c r="AD36" s="111">
        <v>0.8</v>
      </c>
      <c r="AE36" s="111">
        <v>0</v>
      </c>
      <c r="AF36" s="111">
        <v>0.8</v>
      </c>
      <c r="AG36" s="111">
        <v>0.8</v>
      </c>
      <c r="AH36" s="111">
        <v>0.8</v>
      </c>
      <c r="AI36" s="111">
        <v>0.8</v>
      </c>
      <c r="AJ36" s="111">
        <v>0.8</v>
      </c>
      <c r="AK36" s="111">
        <v>0</v>
      </c>
      <c r="AL36" s="111">
        <v>0</v>
      </c>
      <c r="AM36" s="111">
        <v>0</v>
      </c>
      <c r="AN36" s="111">
        <v>0</v>
      </c>
      <c r="AO36" s="111">
        <v>0</v>
      </c>
      <c r="AP36" s="111">
        <v>0</v>
      </c>
      <c r="AQ36" s="111">
        <v>0</v>
      </c>
      <c r="AR36" s="111">
        <v>0</v>
      </c>
      <c r="AS36" s="111">
        <v>0</v>
      </c>
      <c r="AT36" s="111">
        <v>0</v>
      </c>
      <c r="AU36" s="111">
        <v>0</v>
      </c>
      <c r="AV36" s="111">
        <v>0</v>
      </c>
      <c r="AW36" s="111">
        <v>0</v>
      </c>
      <c r="AX36" s="111">
        <v>0</v>
      </c>
    </row>
    <row r="37" spans="1:50" x14ac:dyDescent="0.15">
      <c r="A37" s="158" t="s">
        <v>228</v>
      </c>
      <c r="B37" s="111">
        <v>0</v>
      </c>
      <c r="C37" s="111">
        <v>0</v>
      </c>
      <c r="D37" s="111">
        <v>0</v>
      </c>
      <c r="E37" s="111">
        <v>0</v>
      </c>
      <c r="F37" s="111">
        <v>0.8</v>
      </c>
      <c r="G37" s="111">
        <v>0</v>
      </c>
      <c r="H37" s="111">
        <v>0.8</v>
      </c>
      <c r="I37" s="111">
        <v>0.8</v>
      </c>
      <c r="J37" s="111">
        <v>0.8</v>
      </c>
      <c r="K37" s="111">
        <v>0</v>
      </c>
      <c r="L37" s="111">
        <v>0</v>
      </c>
      <c r="M37" s="111">
        <v>0.8</v>
      </c>
      <c r="N37" s="111">
        <v>0.8</v>
      </c>
      <c r="O37" s="111">
        <v>0.8</v>
      </c>
      <c r="P37" s="111">
        <v>0.8</v>
      </c>
      <c r="Q37" s="111">
        <v>0</v>
      </c>
      <c r="R37" s="111">
        <v>0.8</v>
      </c>
      <c r="S37" s="111">
        <v>0.8</v>
      </c>
      <c r="T37" s="111">
        <v>0.8</v>
      </c>
      <c r="U37" s="111">
        <v>0.8</v>
      </c>
      <c r="V37" s="111">
        <v>0.8</v>
      </c>
      <c r="W37" s="111">
        <v>0.8</v>
      </c>
      <c r="X37" s="111">
        <v>0.8</v>
      </c>
      <c r="Y37" s="111">
        <v>0</v>
      </c>
      <c r="Z37" s="111">
        <v>0</v>
      </c>
      <c r="AA37" s="111">
        <v>0</v>
      </c>
      <c r="AB37" s="111">
        <v>0.8</v>
      </c>
      <c r="AC37" s="111">
        <v>0.8</v>
      </c>
      <c r="AD37" s="111">
        <v>0</v>
      </c>
      <c r="AE37" s="111">
        <v>0.8</v>
      </c>
      <c r="AF37" s="111">
        <v>0.8</v>
      </c>
      <c r="AG37" s="111">
        <v>0.8</v>
      </c>
      <c r="AH37" s="111">
        <v>0.8</v>
      </c>
      <c r="AI37" s="111">
        <v>0</v>
      </c>
      <c r="AJ37" s="111">
        <v>0.8</v>
      </c>
      <c r="AK37" s="111">
        <v>0</v>
      </c>
      <c r="AL37" s="111">
        <v>0</v>
      </c>
      <c r="AM37" s="111">
        <v>0</v>
      </c>
      <c r="AN37" s="111">
        <v>0</v>
      </c>
      <c r="AO37" s="111">
        <v>0</v>
      </c>
      <c r="AP37" s="111">
        <v>0</v>
      </c>
      <c r="AQ37" s="111">
        <v>0</v>
      </c>
      <c r="AR37" s="111">
        <v>0</v>
      </c>
      <c r="AS37" s="111">
        <v>0</v>
      </c>
      <c r="AT37" s="111">
        <v>0</v>
      </c>
      <c r="AU37" s="111">
        <v>0</v>
      </c>
      <c r="AV37" s="111">
        <v>0</v>
      </c>
      <c r="AW37" s="111">
        <v>0</v>
      </c>
      <c r="AX37" s="111">
        <v>0</v>
      </c>
    </row>
    <row r="38" spans="1:50" x14ac:dyDescent="0.15">
      <c r="A38" s="158" t="s">
        <v>229</v>
      </c>
      <c r="B38" s="111">
        <v>0</v>
      </c>
      <c r="C38" s="111">
        <v>0</v>
      </c>
      <c r="D38" s="111">
        <v>0</v>
      </c>
      <c r="E38" s="111">
        <v>0</v>
      </c>
      <c r="F38" s="111">
        <v>0</v>
      </c>
      <c r="G38" s="111">
        <v>0.8</v>
      </c>
      <c r="H38" s="111">
        <v>0</v>
      </c>
      <c r="I38" s="111">
        <v>0</v>
      </c>
      <c r="J38" s="111">
        <v>0.8</v>
      </c>
      <c r="K38" s="111">
        <v>0</v>
      </c>
      <c r="L38" s="111">
        <v>0.8</v>
      </c>
      <c r="M38" s="111">
        <v>0</v>
      </c>
      <c r="N38" s="111">
        <v>0</v>
      </c>
      <c r="O38" s="111">
        <v>0.8</v>
      </c>
      <c r="P38" s="111">
        <v>0.8</v>
      </c>
      <c r="Q38" s="111">
        <v>0</v>
      </c>
      <c r="R38" s="111">
        <v>0.8</v>
      </c>
      <c r="S38" s="111">
        <v>0.8</v>
      </c>
      <c r="T38" s="111">
        <v>0.8</v>
      </c>
      <c r="U38" s="111">
        <v>0.8</v>
      </c>
      <c r="V38" s="111">
        <v>0.8</v>
      </c>
      <c r="W38" s="111">
        <v>0.8</v>
      </c>
      <c r="X38" s="111">
        <v>0.8</v>
      </c>
      <c r="Y38" s="111">
        <v>0</v>
      </c>
      <c r="Z38" s="111">
        <v>0</v>
      </c>
      <c r="AA38" s="111">
        <v>0</v>
      </c>
      <c r="AB38" s="111">
        <v>0.8</v>
      </c>
      <c r="AC38" s="111">
        <v>0.8</v>
      </c>
      <c r="AD38" s="111">
        <v>0.8</v>
      </c>
      <c r="AE38" s="111">
        <v>0.8</v>
      </c>
      <c r="AF38" s="111">
        <v>0.8</v>
      </c>
      <c r="AG38" s="111">
        <v>0.8</v>
      </c>
      <c r="AH38" s="111">
        <v>0.8</v>
      </c>
      <c r="AI38" s="111">
        <v>0.8</v>
      </c>
      <c r="AJ38" s="111">
        <v>0.8</v>
      </c>
      <c r="AK38" s="111">
        <v>0</v>
      </c>
      <c r="AL38" s="111">
        <v>0</v>
      </c>
      <c r="AM38" s="111">
        <v>0</v>
      </c>
      <c r="AN38" s="111">
        <v>0</v>
      </c>
      <c r="AO38" s="111">
        <v>0</v>
      </c>
      <c r="AP38" s="111">
        <v>0</v>
      </c>
      <c r="AQ38" s="111">
        <v>0</v>
      </c>
      <c r="AR38" s="111">
        <v>0</v>
      </c>
      <c r="AS38" s="111">
        <v>0</v>
      </c>
      <c r="AT38" s="111">
        <v>0</v>
      </c>
      <c r="AU38" s="111">
        <v>0</v>
      </c>
      <c r="AV38" s="111">
        <v>0</v>
      </c>
      <c r="AW38" s="111">
        <v>0</v>
      </c>
      <c r="AX38" s="111">
        <v>0</v>
      </c>
    </row>
    <row r="39" spans="1:50" x14ac:dyDescent="0.15">
      <c r="A39" s="158" t="s">
        <v>230</v>
      </c>
      <c r="B39" s="111">
        <v>0</v>
      </c>
      <c r="C39" s="111">
        <v>0</v>
      </c>
      <c r="D39" s="111">
        <v>0</v>
      </c>
      <c r="E39" s="111">
        <v>0</v>
      </c>
      <c r="F39" s="111">
        <v>0</v>
      </c>
      <c r="G39" s="111">
        <v>0</v>
      </c>
      <c r="H39" s="111">
        <v>0</v>
      </c>
      <c r="I39" s="111">
        <v>0</v>
      </c>
      <c r="J39" s="111">
        <v>0</v>
      </c>
      <c r="K39" s="111">
        <v>0</v>
      </c>
      <c r="L39" s="111">
        <v>0</v>
      </c>
      <c r="M39" s="111">
        <v>0</v>
      </c>
      <c r="N39" s="111">
        <v>0</v>
      </c>
      <c r="O39" s="111">
        <v>0</v>
      </c>
      <c r="P39" s="111">
        <v>0</v>
      </c>
      <c r="Q39" s="111">
        <v>0</v>
      </c>
      <c r="R39" s="111">
        <v>0</v>
      </c>
      <c r="S39" s="111">
        <v>0</v>
      </c>
      <c r="T39" s="111">
        <v>0</v>
      </c>
      <c r="U39" s="111">
        <v>0</v>
      </c>
      <c r="V39" s="111">
        <v>0</v>
      </c>
      <c r="W39" s="111">
        <v>0</v>
      </c>
      <c r="X39" s="111">
        <v>0</v>
      </c>
      <c r="Y39" s="111">
        <v>0</v>
      </c>
      <c r="Z39" s="111">
        <v>0</v>
      </c>
      <c r="AA39" s="111">
        <v>0</v>
      </c>
      <c r="AB39" s="111">
        <v>0</v>
      </c>
      <c r="AC39" s="111">
        <v>0</v>
      </c>
      <c r="AD39" s="111">
        <v>0</v>
      </c>
      <c r="AE39" s="111">
        <v>0</v>
      </c>
      <c r="AF39" s="111">
        <v>0.8</v>
      </c>
      <c r="AG39" s="111">
        <v>0.8</v>
      </c>
      <c r="AH39" s="111">
        <v>0</v>
      </c>
      <c r="AI39" s="111">
        <v>0.8</v>
      </c>
      <c r="AJ39" s="111">
        <v>0.8</v>
      </c>
      <c r="AK39" s="111">
        <v>0.8</v>
      </c>
      <c r="AL39" s="111">
        <v>0</v>
      </c>
      <c r="AM39" s="111">
        <v>0</v>
      </c>
      <c r="AN39" s="111">
        <v>0</v>
      </c>
      <c r="AO39" s="111">
        <v>0</v>
      </c>
      <c r="AP39" s="111">
        <v>0</v>
      </c>
      <c r="AQ39" s="111">
        <v>0</v>
      </c>
      <c r="AR39" s="111">
        <v>0</v>
      </c>
      <c r="AS39" s="111">
        <v>0</v>
      </c>
      <c r="AT39" s="111">
        <v>0</v>
      </c>
      <c r="AU39" s="111">
        <v>0</v>
      </c>
      <c r="AV39" s="111">
        <v>0</v>
      </c>
      <c r="AW39" s="111">
        <v>0</v>
      </c>
      <c r="AX39" s="111">
        <v>0</v>
      </c>
    </row>
    <row r="40" spans="1:50" x14ac:dyDescent="0.15">
      <c r="A40" s="158" t="s">
        <v>231</v>
      </c>
      <c r="B40" s="111">
        <v>0</v>
      </c>
      <c r="C40" s="111">
        <v>0</v>
      </c>
      <c r="D40" s="111">
        <v>0</v>
      </c>
      <c r="E40" s="111">
        <v>0</v>
      </c>
      <c r="F40" s="111">
        <v>0</v>
      </c>
      <c r="G40" s="111">
        <v>0</v>
      </c>
      <c r="H40" s="111">
        <v>0</v>
      </c>
      <c r="I40" s="111">
        <v>0</v>
      </c>
      <c r="J40" s="111">
        <v>0</v>
      </c>
      <c r="K40" s="111">
        <v>0.8</v>
      </c>
      <c r="L40" s="111">
        <v>0</v>
      </c>
      <c r="M40" s="111">
        <v>0.8</v>
      </c>
      <c r="N40" s="111">
        <v>0.8</v>
      </c>
      <c r="O40" s="111">
        <v>0</v>
      </c>
      <c r="P40" s="111">
        <v>0</v>
      </c>
      <c r="Q40" s="111">
        <v>0</v>
      </c>
      <c r="R40" s="111">
        <v>0</v>
      </c>
      <c r="S40" s="111">
        <v>0</v>
      </c>
      <c r="T40" s="111">
        <v>0</v>
      </c>
      <c r="U40" s="111">
        <v>0</v>
      </c>
      <c r="V40" s="111">
        <v>0</v>
      </c>
      <c r="W40" s="111">
        <v>0</v>
      </c>
      <c r="X40" s="111">
        <v>0</v>
      </c>
      <c r="Y40" s="111">
        <v>0</v>
      </c>
      <c r="Z40" s="111">
        <v>0</v>
      </c>
      <c r="AA40" s="111">
        <v>0.8</v>
      </c>
      <c r="AB40" s="111">
        <v>0</v>
      </c>
      <c r="AC40" s="111">
        <v>0</v>
      </c>
      <c r="AD40" s="111">
        <v>0</v>
      </c>
      <c r="AE40" s="111">
        <v>0</v>
      </c>
      <c r="AF40" s="111">
        <v>0.8</v>
      </c>
      <c r="AG40" s="111">
        <v>0.8</v>
      </c>
      <c r="AH40" s="111">
        <v>0</v>
      </c>
      <c r="AI40" s="111">
        <v>0</v>
      </c>
      <c r="AJ40" s="111">
        <v>0.8</v>
      </c>
      <c r="AK40" s="111">
        <v>0</v>
      </c>
      <c r="AL40" s="111">
        <v>0</v>
      </c>
      <c r="AM40" s="111">
        <v>0</v>
      </c>
      <c r="AN40" s="111">
        <v>0</v>
      </c>
      <c r="AO40" s="111">
        <v>0</v>
      </c>
      <c r="AP40" s="111">
        <v>0</v>
      </c>
      <c r="AQ40" s="111">
        <v>0</v>
      </c>
      <c r="AR40" s="111">
        <v>0</v>
      </c>
      <c r="AS40" s="111">
        <v>0</v>
      </c>
      <c r="AT40" s="111">
        <v>0</v>
      </c>
      <c r="AU40" s="111">
        <v>0</v>
      </c>
      <c r="AV40" s="111">
        <v>0</v>
      </c>
      <c r="AW40" s="111">
        <v>0</v>
      </c>
      <c r="AX40" s="111">
        <v>0</v>
      </c>
    </row>
    <row r="41" spans="1:50" x14ac:dyDescent="0.15">
      <c r="A41" s="158" t="s">
        <v>232</v>
      </c>
      <c r="B41" s="111">
        <v>0</v>
      </c>
      <c r="C41" s="111">
        <v>0.8</v>
      </c>
      <c r="D41" s="111">
        <v>0.8</v>
      </c>
      <c r="E41" s="111">
        <v>0.8</v>
      </c>
      <c r="F41" s="111">
        <v>0</v>
      </c>
      <c r="G41" s="111">
        <v>0.8</v>
      </c>
      <c r="H41" s="111">
        <v>0.8</v>
      </c>
      <c r="I41" s="111">
        <v>0.8</v>
      </c>
      <c r="J41" s="111">
        <v>0.8</v>
      </c>
      <c r="K41" s="111">
        <v>0.8</v>
      </c>
      <c r="L41" s="111">
        <v>0.8</v>
      </c>
      <c r="M41" s="111">
        <v>0.8</v>
      </c>
      <c r="N41" s="111">
        <v>0.8</v>
      </c>
      <c r="O41" s="111">
        <v>0.8</v>
      </c>
      <c r="P41" s="111">
        <v>0.8</v>
      </c>
      <c r="Q41" s="111">
        <v>0</v>
      </c>
      <c r="R41" s="111">
        <v>0</v>
      </c>
      <c r="S41" s="111">
        <v>0.8</v>
      </c>
      <c r="T41" s="111">
        <v>0</v>
      </c>
      <c r="U41" s="111">
        <v>0.8</v>
      </c>
      <c r="V41" s="111">
        <v>0.8</v>
      </c>
      <c r="W41" s="111">
        <v>0.8</v>
      </c>
      <c r="X41" s="111">
        <v>0.8</v>
      </c>
      <c r="Y41" s="111">
        <v>0.8</v>
      </c>
      <c r="Z41" s="111">
        <v>0.8</v>
      </c>
      <c r="AA41" s="111">
        <v>0.8</v>
      </c>
      <c r="AB41" s="111">
        <v>0.8</v>
      </c>
      <c r="AC41" s="111">
        <v>0.8</v>
      </c>
      <c r="AD41" s="111">
        <v>0.8</v>
      </c>
      <c r="AE41" s="111">
        <v>0.8</v>
      </c>
      <c r="AF41" s="111">
        <v>0.8</v>
      </c>
      <c r="AG41" s="111">
        <v>0.8</v>
      </c>
      <c r="AH41" s="111">
        <v>0.8</v>
      </c>
      <c r="AI41" s="111">
        <v>0.8</v>
      </c>
      <c r="AJ41" s="111">
        <v>0.8</v>
      </c>
      <c r="AK41" s="111">
        <v>0</v>
      </c>
      <c r="AL41" s="111">
        <v>0</v>
      </c>
      <c r="AM41" s="111">
        <v>0</v>
      </c>
      <c r="AN41" s="111">
        <v>0</v>
      </c>
      <c r="AO41" s="111">
        <v>0</v>
      </c>
      <c r="AP41" s="111">
        <v>0</v>
      </c>
      <c r="AQ41" s="111">
        <v>0</v>
      </c>
      <c r="AR41" s="111">
        <v>0</v>
      </c>
      <c r="AS41" s="111">
        <v>0</v>
      </c>
      <c r="AT41" s="111">
        <v>0</v>
      </c>
      <c r="AU41" s="111">
        <v>0</v>
      </c>
      <c r="AV41" s="111">
        <v>0</v>
      </c>
      <c r="AW41" s="111">
        <v>0</v>
      </c>
      <c r="AX41" s="111">
        <v>0</v>
      </c>
    </row>
    <row r="42" spans="1:50" x14ac:dyDescent="0.15">
      <c r="A42" s="158" t="s">
        <v>233</v>
      </c>
      <c r="B42" s="111">
        <v>0</v>
      </c>
      <c r="C42" s="111">
        <v>0</v>
      </c>
      <c r="D42" s="111">
        <v>0.8</v>
      </c>
      <c r="E42" s="111">
        <v>0</v>
      </c>
      <c r="F42" s="111">
        <v>0</v>
      </c>
      <c r="G42" s="111">
        <v>0.8</v>
      </c>
      <c r="H42" s="111">
        <v>0</v>
      </c>
      <c r="I42" s="111">
        <v>0.8</v>
      </c>
      <c r="J42" s="111">
        <v>0.8</v>
      </c>
      <c r="K42" s="111">
        <v>0.8</v>
      </c>
      <c r="L42" s="111">
        <v>0.8</v>
      </c>
      <c r="M42" s="111">
        <v>0.8</v>
      </c>
      <c r="N42" s="111">
        <v>0.8</v>
      </c>
      <c r="O42" s="111">
        <v>0.8</v>
      </c>
      <c r="P42" s="111">
        <v>0.8</v>
      </c>
      <c r="Q42" s="111">
        <v>0</v>
      </c>
      <c r="R42" s="111">
        <v>0</v>
      </c>
      <c r="S42" s="111">
        <v>0.8</v>
      </c>
      <c r="T42" s="111">
        <v>0</v>
      </c>
      <c r="U42" s="111">
        <v>0.8</v>
      </c>
      <c r="V42" s="111">
        <v>0.8</v>
      </c>
      <c r="W42" s="111">
        <v>0.8</v>
      </c>
      <c r="X42" s="111">
        <v>0.8</v>
      </c>
      <c r="Y42" s="111">
        <v>0.8</v>
      </c>
      <c r="Z42" s="111">
        <v>0.8</v>
      </c>
      <c r="AA42" s="111">
        <v>0.8</v>
      </c>
      <c r="AB42" s="111">
        <v>0.8</v>
      </c>
      <c r="AC42" s="111">
        <v>0.8</v>
      </c>
      <c r="AD42" s="111">
        <v>0.8</v>
      </c>
      <c r="AE42" s="111">
        <v>0.8</v>
      </c>
      <c r="AF42" s="111">
        <v>0.8</v>
      </c>
      <c r="AG42" s="111">
        <v>0</v>
      </c>
      <c r="AH42" s="111">
        <v>0.8</v>
      </c>
      <c r="AI42" s="111">
        <v>0.8</v>
      </c>
      <c r="AJ42" s="111">
        <v>0.8</v>
      </c>
      <c r="AK42" s="111">
        <v>0</v>
      </c>
      <c r="AL42" s="111">
        <v>0</v>
      </c>
      <c r="AM42" s="111">
        <v>0</v>
      </c>
      <c r="AN42" s="111">
        <v>0.8</v>
      </c>
      <c r="AO42" s="111">
        <v>0.8</v>
      </c>
      <c r="AP42" s="111">
        <v>0.8</v>
      </c>
      <c r="AQ42" s="111">
        <v>0</v>
      </c>
      <c r="AR42" s="111">
        <v>0</v>
      </c>
      <c r="AS42" s="111">
        <v>0</v>
      </c>
      <c r="AT42" s="111">
        <v>0</v>
      </c>
      <c r="AU42" s="111">
        <v>0</v>
      </c>
      <c r="AV42" s="111">
        <v>0</v>
      </c>
      <c r="AW42" s="111">
        <v>0</v>
      </c>
      <c r="AX42" s="111">
        <v>0</v>
      </c>
    </row>
    <row r="43" spans="1:50" x14ac:dyDescent="0.15">
      <c r="A43" s="158" t="s">
        <v>234</v>
      </c>
      <c r="B43" s="111">
        <v>0</v>
      </c>
      <c r="C43" s="111">
        <v>0</v>
      </c>
      <c r="D43" s="111">
        <v>0</v>
      </c>
      <c r="E43" s="111">
        <v>0</v>
      </c>
      <c r="F43" s="111">
        <v>0</v>
      </c>
      <c r="G43" s="111">
        <v>0</v>
      </c>
      <c r="H43" s="111">
        <v>0</v>
      </c>
      <c r="I43" s="111">
        <v>0</v>
      </c>
      <c r="J43" s="111">
        <v>0</v>
      </c>
      <c r="K43" s="111">
        <v>0</v>
      </c>
      <c r="L43" s="111">
        <v>0</v>
      </c>
      <c r="M43" s="111">
        <v>0</v>
      </c>
      <c r="N43" s="111">
        <v>0.8</v>
      </c>
      <c r="O43" s="111">
        <v>0</v>
      </c>
      <c r="P43" s="111">
        <v>0.8</v>
      </c>
      <c r="Q43" s="111">
        <v>0</v>
      </c>
      <c r="R43" s="111">
        <v>0</v>
      </c>
      <c r="S43" s="111">
        <v>0</v>
      </c>
      <c r="T43" s="111">
        <v>0</v>
      </c>
      <c r="U43" s="111">
        <v>0</v>
      </c>
      <c r="V43" s="111">
        <v>0</v>
      </c>
      <c r="W43" s="111">
        <v>0</v>
      </c>
      <c r="X43" s="111">
        <v>0</v>
      </c>
      <c r="Y43" s="111">
        <v>0.8</v>
      </c>
      <c r="Z43" s="111">
        <v>0</v>
      </c>
      <c r="AA43" s="111">
        <v>0.8</v>
      </c>
      <c r="AB43" s="111">
        <v>0.8</v>
      </c>
      <c r="AC43" s="111">
        <v>0</v>
      </c>
      <c r="AD43" s="111">
        <v>0</v>
      </c>
      <c r="AE43" s="111">
        <v>0</v>
      </c>
      <c r="AF43" s="111">
        <v>0</v>
      </c>
      <c r="AG43" s="111">
        <v>0</v>
      </c>
      <c r="AH43" s="111">
        <v>0</v>
      </c>
      <c r="AI43" s="111">
        <v>0</v>
      </c>
      <c r="AJ43" s="111">
        <v>0</v>
      </c>
      <c r="AK43" s="111">
        <v>0</v>
      </c>
      <c r="AL43" s="111">
        <v>0</v>
      </c>
      <c r="AM43" s="111">
        <v>0</v>
      </c>
      <c r="AN43" s="111">
        <v>0.8</v>
      </c>
      <c r="AO43" s="111">
        <v>0.8</v>
      </c>
      <c r="AP43" s="111">
        <v>0.8</v>
      </c>
      <c r="AQ43" s="111">
        <v>0.8</v>
      </c>
      <c r="AR43" s="111">
        <v>0</v>
      </c>
      <c r="AS43" s="111">
        <v>0</v>
      </c>
      <c r="AT43" s="111">
        <v>0</v>
      </c>
      <c r="AU43" s="111">
        <v>0</v>
      </c>
      <c r="AV43" s="111">
        <v>0</v>
      </c>
      <c r="AW43" s="111">
        <v>0</v>
      </c>
      <c r="AX43" s="111">
        <v>0</v>
      </c>
    </row>
    <row r="44" spans="1:50" x14ac:dyDescent="0.15">
      <c r="A44" s="158" t="s">
        <v>235</v>
      </c>
      <c r="B44" s="111">
        <v>0</v>
      </c>
      <c r="C44" s="111">
        <v>0</v>
      </c>
      <c r="D44" s="111">
        <v>0</v>
      </c>
      <c r="E44" s="111">
        <v>0</v>
      </c>
      <c r="F44" s="111">
        <v>0</v>
      </c>
      <c r="G44" s="111">
        <v>0</v>
      </c>
      <c r="H44" s="111">
        <v>0</v>
      </c>
      <c r="I44" s="111">
        <v>0</v>
      </c>
      <c r="J44" s="111">
        <v>0</v>
      </c>
      <c r="K44" s="111">
        <v>0</v>
      </c>
      <c r="L44" s="111">
        <v>0</v>
      </c>
      <c r="M44" s="111">
        <v>0</v>
      </c>
      <c r="N44" s="111">
        <v>0</v>
      </c>
      <c r="O44" s="111">
        <v>0</v>
      </c>
      <c r="P44" s="111">
        <v>0</v>
      </c>
      <c r="Q44" s="111">
        <v>0</v>
      </c>
      <c r="R44" s="111">
        <v>0</v>
      </c>
      <c r="S44" s="111">
        <v>0</v>
      </c>
      <c r="T44" s="111">
        <v>0</v>
      </c>
      <c r="U44" s="111">
        <v>0</v>
      </c>
      <c r="V44" s="111">
        <v>0</v>
      </c>
      <c r="W44" s="111">
        <v>0</v>
      </c>
      <c r="X44" s="111">
        <v>0</v>
      </c>
      <c r="Y44" s="111">
        <v>0</v>
      </c>
      <c r="Z44" s="111">
        <v>0</v>
      </c>
      <c r="AA44" s="111">
        <v>0</v>
      </c>
      <c r="AB44" s="111">
        <v>0</v>
      </c>
      <c r="AC44" s="111">
        <v>0</v>
      </c>
      <c r="AD44" s="111">
        <v>0</v>
      </c>
      <c r="AE44" s="111">
        <v>0</v>
      </c>
      <c r="AF44" s="111">
        <v>0</v>
      </c>
      <c r="AG44" s="111">
        <v>0</v>
      </c>
      <c r="AH44" s="111">
        <v>0</v>
      </c>
      <c r="AI44" s="111">
        <v>0</v>
      </c>
      <c r="AJ44" s="111">
        <v>0</v>
      </c>
      <c r="AK44" s="111">
        <v>0.8</v>
      </c>
      <c r="AL44" s="111">
        <v>0.8</v>
      </c>
      <c r="AM44" s="111">
        <v>0.8</v>
      </c>
      <c r="AN44" s="111">
        <v>0</v>
      </c>
      <c r="AO44" s="111">
        <v>0</v>
      </c>
      <c r="AP44" s="111">
        <v>0</v>
      </c>
      <c r="AQ44" s="111">
        <v>0.8</v>
      </c>
      <c r="AR44" s="111">
        <v>0</v>
      </c>
      <c r="AS44" s="111">
        <v>0</v>
      </c>
      <c r="AT44" s="111">
        <v>0</v>
      </c>
      <c r="AU44" s="111">
        <v>0</v>
      </c>
      <c r="AV44" s="111">
        <v>0</v>
      </c>
      <c r="AW44" s="111">
        <v>0</v>
      </c>
      <c r="AX44" s="111">
        <v>0</v>
      </c>
    </row>
    <row r="45" spans="1:50" x14ac:dyDescent="0.15">
      <c r="A45" s="158" t="s">
        <v>236</v>
      </c>
      <c r="B45" s="111">
        <v>0</v>
      </c>
      <c r="C45" s="111">
        <v>0</v>
      </c>
      <c r="D45" s="111">
        <v>0</v>
      </c>
      <c r="E45" s="111">
        <v>0</v>
      </c>
      <c r="F45" s="111">
        <v>0</v>
      </c>
      <c r="G45" s="111">
        <v>0</v>
      </c>
      <c r="H45" s="111">
        <v>0</v>
      </c>
      <c r="I45" s="111">
        <v>0</v>
      </c>
      <c r="J45" s="111">
        <v>0</v>
      </c>
      <c r="K45" s="111">
        <v>0</v>
      </c>
      <c r="L45" s="111">
        <v>0</v>
      </c>
      <c r="M45" s="111">
        <v>0</v>
      </c>
      <c r="N45" s="111">
        <v>0</v>
      </c>
      <c r="O45" s="111">
        <v>0</v>
      </c>
      <c r="P45" s="111">
        <v>0</v>
      </c>
      <c r="Q45" s="111">
        <v>0</v>
      </c>
      <c r="R45" s="111">
        <v>0</v>
      </c>
      <c r="S45" s="111">
        <v>0</v>
      </c>
      <c r="T45" s="111">
        <v>0</v>
      </c>
      <c r="U45" s="111">
        <v>0</v>
      </c>
      <c r="V45" s="111">
        <v>0</v>
      </c>
      <c r="W45" s="111">
        <v>0.8</v>
      </c>
      <c r="X45" s="111">
        <v>0</v>
      </c>
      <c r="Y45" s="111">
        <v>0</v>
      </c>
      <c r="Z45" s="111">
        <v>0</v>
      </c>
      <c r="AA45" s="111">
        <v>0</v>
      </c>
      <c r="AB45" s="111">
        <v>0</v>
      </c>
      <c r="AC45" s="111">
        <v>0</v>
      </c>
      <c r="AD45" s="111">
        <v>0</v>
      </c>
      <c r="AE45" s="111">
        <v>0</v>
      </c>
      <c r="AF45" s="111">
        <v>0</v>
      </c>
      <c r="AG45" s="111">
        <v>0.8</v>
      </c>
      <c r="AH45" s="111">
        <v>0</v>
      </c>
      <c r="AI45" s="111">
        <v>0</v>
      </c>
      <c r="AJ45" s="111">
        <v>0</v>
      </c>
      <c r="AK45" s="111">
        <v>0</v>
      </c>
      <c r="AL45" s="111">
        <v>0.8</v>
      </c>
      <c r="AM45" s="111">
        <v>0.8</v>
      </c>
      <c r="AN45" s="111">
        <v>0.8</v>
      </c>
      <c r="AO45" s="111">
        <v>0.8</v>
      </c>
      <c r="AP45" s="111">
        <v>0.8</v>
      </c>
      <c r="AQ45" s="111">
        <v>0.8</v>
      </c>
      <c r="AR45" s="111">
        <v>0</v>
      </c>
      <c r="AS45" s="111">
        <v>0</v>
      </c>
      <c r="AT45" s="111">
        <v>0</v>
      </c>
      <c r="AU45" s="111">
        <v>0</v>
      </c>
      <c r="AV45" s="111">
        <v>0</v>
      </c>
      <c r="AW45" s="111">
        <v>0</v>
      </c>
      <c r="AX45" s="111">
        <v>0</v>
      </c>
    </row>
    <row r="46" spans="1:50" x14ac:dyDescent="0.15">
      <c r="A46" s="158" t="s">
        <v>237</v>
      </c>
      <c r="B46" s="111">
        <v>0</v>
      </c>
      <c r="C46" s="111">
        <v>0</v>
      </c>
      <c r="D46" s="111">
        <v>0</v>
      </c>
      <c r="E46" s="111">
        <v>0</v>
      </c>
      <c r="F46" s="111">
        <v>0</v>
      </c>
      <c r="G46" s="111">
        <v>0</v>
      </c>
      <c r="H46" s="111">
        <v>0</v>
      </c>
      <c r="I46" s="111">
        <v>0</v>
      </c>
      <c r="J46" s="111">
        <v>0</v>
      </c>
      <c r="K46" s="111">
        <v>0</v>
      </c>
      <c r="L46" s="111">
        <v>0</v>
      </c>
      <c r="M46" s="111">
        <v>0</v>
      </c>
      <c r="N46" s="111">
        <v>0</v>
      </c>
      <c r="O46" s="111">
        <v>0</v>
      </c>
      <c r="P46" s="111">
        <v>0</v>
      </c>
      <c r="Q46" s="111">
        <v>0</v>
      </c>
      <c r="R46" s="111">
        <v>0</v>
      </c>
      <c r="S46" s="111">
        <v>0</v>
      </c>
      <c r="T46" s="111">
        <v>0</v>
      </c>
      <c r="U46" s="111">
        <v>0</v>
      </c>
      <c r="V46" s="111">
        <v>0</v>
      </c>
      <c r="W46" s="111">
        <v>0</v>
      </c>
      <c r="X46" s="111">
        <v>0</v>
      </c>
      <c r="Y46" s="111">
        <v>0</v>
      </c>
      <c r="Z46" s="111">
        <v>0</v>
      </c>
      <c r="AA46" s="111">
        <v>0</v>
      </c>
      <c r="AB46" s="111">
        <v>0</v>
      </c>
      <c r="AC46" s="111">
        <v>0</v>
      </c>
      <c r="AD46" s="111">
        <v>0</v>
      </c>
      <c r="AE46" s="111">
        <v>0</v>
      </c>
      <c r="AF46" s="111">
        <v>0</v>
      </c>
      <c r="AG46" s="111">
        <v>0</v>
      </c>
      <c r="AH46" s="111">
        <v>0</v>
      </c>
      <c r="AI46" s="111">
        <v>0</v>
      </c>
      <c r="AJ46" s="111">
        <v>0</v>
      </c>
      <c r="AK46" s="111">
        <v>0</v>
      </c>
      <c r="AL46" s="111">
        <v>0.8</v>
      </c>
      <c r="AM46" s="111">
        <v>0.8</v>
      </c>
      <c r="AN46" s="111">
        <v>0</v>
      </c>
      <c r="AO46" s="111">
        <v>0</v>
      </c>
      <c r="AP46" s="111">
        <v>0.8</v>
      </c>
      <c r="AQ46" s="111">
        <v>0.8</v>
      </c>
      <c r="AR46" s="111">
        <v>0.8</v>
      </c>
      <c r="AS46" s="111">
        <v>0</v>
      </c>
      <c r="AT46" s="111">
        <v>0</v>
      </c>
      <c r="AU46" s="111">
        <v>0</v>
      </c>
      <c r="AV46" s="111">
        <v>0</v>
      </c>
      <c r="AW46" s="111">
        <v>0</v>
      </c>
      <c r="AX46" s="111">
        <v>0</v>
      </c>
    </row>
    <row r="47" spans="1:50" x14ac:dyDescent="0.15">
      <c r="A47" s="158" t="s">
        <v>238</v>
      </c>
      <c r="B47" s="111">
        <v>0</v>
      </c>
      <c r="C47" s="111">
        <v>0</v>
      </c>
      <c r="D47" s="111">
        <v>0</v>
      </c>
      <c r="E47" s="111">
        <v>0</v>
      </c>
      <c r="F47" s="111">
        <v>0</v>
      </c>
      <c r="G47" s="111">
        <v>0</v>
      </c>
      <c r="H47" s="111">
        <v>0</v>
      </c>
      <c r="I47" s="111">
        <v>0</v>
      </c>
      <c r="J47" s="111">
        <v>0</v>
      </c>
      <c r="K47" s="111">
        <v>0</v>
      </c>
      <c r="L47" s="111">
        <v>0</v>
      </c>
      <c r="M47" s="111">
        <v>0</v>
      </c>
      <c r="N47" s="111">
        <v>0</v>
      </c>
      <c r="O47" s="111">
        <v>0</v>
      </c>
      <c r="P47" s="111">
        <v>0</v>
      </c>
      <c r="Q47" s="111">
        <v>0</v>
      </c>
      <c r="R47" s="111">
        <v>0</v>
      </c>
      <c r="S47" s="111">
        <v>0</v>
      </c>
      <c r="T47" s="111">
        <v>0</v>
      </c>
      <c r="U47" s="111">
        <v>0</v>
      </c>
      <c r="V47" s="111">
        <v>0</v>
      </c>
      <c r="W47" s="111">
        <v>0</v>
      </c>
      <c r="X47" s="111">
        <v>0</v>
      </c>
      <c r="Y47" s="111">
        <v>0</v>
      </c>
      <c r="Z47" s="111">
        <v>0</v>
      </c>
      <c r="AA47" s="111">
        <v>0</v>
      </c>
      <c r="AB47" s="111">
        <v>0</v>
      </c>
      <c r="AC47" s="111">
        <v>0</v>
      </c>
      <c r="AD47" s="111">
        <v>0.8</v>
      </c>
      <c r="AE47" s="111">
        <v>0</v>
      </c>
      <c r="AF47" s="111">
        <v>0</v>
      </c>
      <c r="AG47" s="111">
        <v>0</v>
      </c>
      <c r="AH47" s="111">
        <v>0.8</v>
      </c>
      <c r="AI47" s="111">
        <v>0</v>
      </c>
      <c r="AJ47" s="111">
        <v>0</v>
      </c>
      <c r="AK47" s="111">
        <v>0</v>
      </c>
      <c r="AL47" s="111">
        <v>0</v>
      </c>
      <c r="AM47" s="111">
        <v>0</v>
      </c>
      <c r="AN47" s="111">
        <v>0</v>
      </c>
      <c r="AO47" s="111">
        <v>0</v>
      </c>
      <c r="AP47" s="111">
        <v>0</v>
      </c>
      <c r="AQ47" s="111">
        <v>0</v>
      </c>
      <c r="AR47" s="111">
        <v>0</v>
      </c>
      <c r="AS47" s="111">
        <v>0</v>
      </c>
      <c r="AT47" s="111">
        <v>0</v>
      </c>
      <c r="AU47" s="111">
        <v>0</v>
      </c>
      <c r="AV47" s="111">
        <v>0</v>
      </c>
      <c r="AW47" s="111">
        <v>0</v>
      </c>
      <c r="AX47" s="111">
        <v>0</v>
      </c>
    </row>
    <row r="48" spans="1:50" x14ac:dyDescent="0.15">
      <c r="A48" s="158" t="s">
        <v>239</v>
      </c>
      <c r="B48" s="111">
        <v>0.8</v>
      </c>
      <c r="C48" s="111">
        <v>0.8</v>
      </c>
      <c r="D48" s="111">
        <v>0</v>
      </c>
      <c r="E48" s="111">
        <v>0</v>
      </c>
      <c r="F48" s="111">
        <v>0</v>
      </c>
      <c r="G48" s="111">
        <v>0</v>
      </c>
      <c r="H48" s="111">
        <v>0</v>
      </c>
      <c r="I48" s="111">
        <v>0</v>
      </c>
      <c r="J48" s="111">
        <v>0</v>
      </c>
      <c r="K48" s="111">
        <v>0</v>
      </c>
      <c r="L48" s="111">
        <v>0</v>
      </c>
      <c r="M48" s="111">
        <v>0</v>
      </c>
      <c r="N48" s="111">
        <v>0</v>
      </c>
      <c r="O48" s="111">
        <v>0</v>
      </c>
      <c r="P48" s="111">
        <v>0</v>
      </c>
      <c r="Q48" s="111">
        <v>0</v>
      </c>
      <c r="R48" s="111">
        <v>0</v>
      </c>
      <c r="S48" s="111">
        <v>0</v>
      </c>
      <c r="T48" s="111">
        <v>0</v>
      </c>
      <c r="U48" s="111">
        <v>0</v>
      </c>
      <c r="V48" s="111">
        <v>0</v>
      </c>
      <c r="W48" s="111">
        <v>0</v>
      </c>
      <c r="X48" s="111">
        <v>0</v>
      </c>
      <c r="Y48" s="111">
        <v>0</v>
      </c>
      <c r="Z48" s="111">
        <v>0</v>
      </c>
      <c r="AA48" s="111">
        <v>0</v>
      </c>
      <c r="AB48" s="111">
        <v>0</v>
      </c>
      <c r="AC48" s="111">
        <v>0</v>
      </c>
      <c r="AD48" s="111">
        <v>0</v>
      </c>
      <c r="AE48" s="111">
        <v>0</v>
      </c>
      <c r="AF48" s="111">
        <v>0</v>
      </c>
      <c r="AG48" s="111">
        <v>0.8</v>
      </c>
      <c r="AH48" s="111">
        <v>0.8</v>
      </c>
      <c r="AI48" s="111">
        <v>0</v>
      </c>
      <c r="AJ48" s="111">
        <v>0.8</v>
      </c>
      <c r="AK48" s="111">
        <v>0</v>
      </c>
      <c r="AL48" s="111">
        <v>0</v>
      </c>
      <c r="AM48" s="111">
        <v>0</v>
      </c>
      <c r="AN48" s="111">
        <v>0</v>
      </c>
      <c r="AO48" s="111">
        <v>0</v>
      </c>
      <c r="AP48" s="111">
        <v>0</v>
      </c>
      <c r="AQ48" s="111">
        <v>0</v>
      </c>
      <c r="AR48" s="111">
        <v>0</v>
      </c>
      <c r="AS48" s="111">
        <v>0</v>
      </c>
      <c r="AT48" s="111">
        <v>0</v>
      </c>
      <c r="AU48" s="111">
        <v>0</v>
      </c>
      <c r="AV48" s="111">
        <v>0</v>
      </c>
      <c r="AW48" s="111">
        <v>0</v>
      </c>
      <c r="AX48" s="111">
        <v>0</v>
      </c>
    </row>
    <row r="49" spans="1:50" x14ac:dyDescent="0.15">
      <c r="A49" s="158" t="s">
        <v>240</v>
      </c>
      <c r="B49" s="111">
        <v>0</v>
      </c>
      <c r="C49" s="111">
        <v>0</v>
      </c>
      <c r="D49" s="111">
        <v>0</v>
      </c>
      <c r="E49" s="111">
        <v>0</v>
      </c>
      <c r="F49" s="111">
        <v>0.8</v>
      </c>
      <c r="G49" s="111">
        <v>0.8</v>
      </c>
      <c r="H49" s="111">
        <v>0</v>
      </c>
      <c r="I49" s="111">
        <v>0</v>
      </c>
      <c r="J49" s="111">
        <v>0</v>
      </c>
      <c r="K49" s="111">
        <v>0</v>
      </c>
      <c r="L49" s="111">
        <v>0</v>
      </c>
      <c r="M49" s="111">
        <v>0</v>
      </c>
      <c r="N49" s="111">
        <v>0</v>
      </c>
      <c r="O49" s="111">
        <v>0.8</v>
      </c>
      <c r="P49" s="111">
        <v>0.8</v>
      </c>
      <c r="Q49" s="111">
        <v>0</v>
      </c>
      <c r="R49" s="111">
        <v>0</v>
      </c>
      <c r="S49" s="111">
        <v>0</v>
      </c>
      <c r="T49" s="111">
        <v>0</v>
      </c>
      <c r="U49" s="111">
        <v>0</v>
      </c>
      <c r="V49" s="111">
        <v>0</v>
      </c>
      <c r="W49" s="111">
        <v>0</v>
      </c>
      <c r="X49" s="111">
        <v>0</v>
      </c>
      <c r="Y49" s="111">
        <v>0</v>
      </c>
      <c r="Z49" s="111">
        <v>0</v>
      </c>
      <c r="AA49" s="111">
        <v>0</v>
      </c>
      <c r="AB49" s="111">
        <v>0</v>
      </c>
      <c r="AC49" s="111">
        <v>0</v>
      </c>
      <c r="AD49" s="111">
        <v>0</v>
      </c>
      <c r="AE49" s="111">
        <v>0</v>
      </c>
      <c r="AF49" s="111">
        <v>0</v>
      </c>
      <c r="AG49" s="111">
        <v>0.8</v>
      </c>
      <c r="AH49" s="111">
        <v>0.8</v>
      </c>
      <c r="AI49" s="111">
        <v>0.8</v>
      </c>
      <c r="AJ49" s="111">
        <v>0.8</v>
      </c>
      <c r="AK49" s="111">
        <v>0.8</v>
      </c>
      <c r="AL49" s="111">
        <v>0.8</v>
      </c>
      <c r="AM49" s="111">
        <v>0.8</v>
      </c>
      <c r="AN49" s="111">
        <v>0</v>
      </c>
      <c r="AO49" s="111">
        <v>0</v>
      </c>
      <c r="AP49" s="111">
        <v>0.8</v>
      </c>
      <c r="AQ49" s="111">
        <v>0.8</v>
      </c>
      <c r="AR49" s="111">
        <v>0.8</v>
      </c>
      <c r="AS49" s="111">
        <v>0</v>
      </c>
      <c r="AT49" s="111">
        <v>0</v>
      </c>
      <c r="AU49" s="111">
        <v>0</v>
      </c>
      <c r="AV49" s="111">
        <v>0</v>
      </c>
      <c r="AW49" s="111">
        <v>0</v>
      </c>
      <c r="AX49" s="111">
        <v>0</v>
      </c>
    </row>
    <row r="50" spans="1:50" x14ac:dyDescent="0.15">
      <c r="A50" s="158" t="s">
        <v>241</v>
      </c>
      <c r="B50" s="111">
        <v>0</v>
      </c>
      <c r="C50" s="111">
        <v>0</v>
      </c>
      <c r="D50" s="111">
        <v>0</v>
      </c>
      <c r="E50" s="111">
        <v>0</v>
      </c>
      <c r="F50" s="111">
        <v>0</v>
      </c>
      <c r="G50" s="111">
        <v>0</v>
      </c>
      <c r="H50" s="111">
        <v>0</v>
      </c>
      <c r="I50" s="111">
        <v>0</v>
      </c>
      <c r="J50" s="111">
        <v>0</v>
      </c>
      <c r="K50" s="111">
        <v>0</v>
      </c>
      <c r="L50" s="111">
        <v>0</v>
      </c>
      <c r="M50" s="111">
        <v>0</v>
      </c>
      <c r="N50" s="111">
        <v>0</v>
      </c>
      <c r="O50" s="111">
        <v>0</v>
      </c>
      <c r="P50" s="111">
        <v>0</v>
      </c>
      <c r="Q50" s="111">
        <v>0</v>
      </c>
      <c r="R50" s="111">
        <v>0</v>
      </c>
      <c r="S50" s="111">
        <v>0</v>
      </c>
      <c r="T50" s="111">
        <v>0</v>
      </c>
      <c r="U50" s="111">
        <v>0</v>
      </c>
      <c r="V50" s="111">
        <v>0</v>
      </c>
      <c r="W50" s="111">
        <v>0</v>
      </c>
      <c r="X50" s="111">
        <v>0</v>
      </c>
      <c r="Y50" s="111">
        <v>0</v>
      </c>
      <c r="Z50" s="111">
        <v>0</v>
      </c>
      <c r="AA50" s="111">
        <v>0</v>
      </c>
      <c r="AB50" s="111">
        <v>0</v>
      </c>
      <c r="AC50" s="111">
        <v>0</v>
      </c>
      <c r="AD50" s="111">
        <v>0</v>
      </c>
      <c r="AE50" s="111">
        <v>0</v>
      </c>
      <c r="AF50" s="111">
        <v>0</v>
      </c>
      <c r="AG50" s="111">
        <v>0</v>
      </c>
      <c r="AH50" s="111">
        <v>0</v>
      </c>
      <c r="AI50" s="111">
        <v>0</v>
      </c>
      <c r="AJ50" s="111">
        <v>0</v>
      </c>
      <c r="AK50" s="111">
        <v>0</v>
      </c>
      <c r="AL50" s="111">
        <v>0</v>
      </c>
      <c r="AM50" s="111">
        <v>0</v>
      </c>
      <c r="AN50" s="111">
        <v>0</v>
      </c>
      <c r="AO50" s="111">
        <v>0</v>
      </c>
      <c r="AP50" s="111">
        <v>0</v>
      </c>
      <c r="AQ50" s="111">
        <v>0</v>
      </c>
      <c r="AR50" s="111">
        <v>0</v>
      </c>
      <c r="AS50" s="111">
        <v>0</v>
      </c>
      <c r="AT50" s="111">
        <v>0</v>
      </c>
      <c r="AU50" s="111">
        <v>0</v>
      </c>
      <c r="AV50" s="111">
        <v>0</v>
      </c>
      <c r="AW50" s="111">
        <v>0</v>
      </c>
      <c r="AX50" s="111">
        <v>0</v>
      </c>
    </row>
    <row r="51" spans="1:50" x14ac:dyDescent="0.15">
      <c r="A51" s="158" t="s">
        <v>245</v>
      </c>
      <c r="B51" s="111">
        <v>0</v>
      </c>
      <c r="C51" s="111">
        <v>0</v>
      </c>
      <c r="D51" s="111">
        <v>0</v>
      </c>
      <c r="E51" s="111">
        <v>0.8</v>
      </c>
      <c r="F51" s="111">
        <v>0.8</v>
      </c>
      <c r="G51" s="111">
        <v>0</v>
      </c>
      <c r="H51" s="111">
        <v>0.8</v>
      </c>
      <c r="I51" s="111">
        <v>0</v>
      </c>
      <c r="J51" s="111">
        <v>0</v>
      </c>
      <c r="K51" s="111">
        <v>0</v>
      </c>
      <c r="L51" s="111">
        <v>0</v>
      </c>
      <c r="M51" s="111">
        <v>0</v>
      </c>
      <c r="N51" s="111">
        <v>0</v>
      </c>
      <c r="O51" s="111">
        <v>0</v>
      </c>
      <c r="P51" s="111">
        <v>0</v>
      </c>
      <c r="Q51" s="111">
        <v>0</v>
      </c>
      <c r="R51" s="111">
        <v>0</v>
      </c>
      <c r="S51" s="111">
        <v>0</v>
      </c>
      <c r="T51" s="111">
        <v>0</v>
      </c>
      <c r="U51" s="111">
        <v>0</v>
      </c>
      <c r="V51" s="111">
        <v>0</v>
      </c>
      <c r="W51" s="111">
        <v>0</v>
      </c>
      <c r="X51" s="111">
        <v>0</v>
      </c>
      <c r="Y51" s="111">
        <v>0</v>
      </c>
      <c r="Z51" s="111">
        <v>0</v>
      </c>
      <c r="AA51" s="111">
        <v>0</v>
      </c>
      <c r="AB51" s="111">
        <v>0</v>
      </c>
      <c r="AC51" s="111">
        <v>0</v>
      </c>
      <c r="AD51" s="111">
        <v>0.8</v>
      </c>
      <c r="AE51" s="111">
        <v>0</v>
      </c>
      <c r="AF51" s="111">
        <v>0</v>
      </c>
      <c r="AG51" s="111">
        <v>0</v>
      </c>
      <c r="AH51" s="111">
        <v>0</v>
      </c>
      <c r="AI51" s="111">
        <v>0</v>
      </c>
      <c r="AJ51" s="111">
        <v>0</v>
      </c>
      <c r="AK51" s="111">
        <v>0</v>
      </c>
      <c r="AL51" s="111">
        <v>0</v>
      </c>
      <c r="AM51" s="111">
        <v>0</v>
      </c>
      <c r="AN51" s="111">
        <v>0</v>
      </c>
      <c r="AO51" s="111">
        <v>0</v>
      </c>
      <c r="AP51" s="111">
        <v>0</v>
      </c>
      <c r="AQ51" s="111">
        <v>0</v>
      </c>
      <c r="AR51" s="111">
        <v>0</v>
      </c>
      <c r="AS51" s="111">
        <v>0</v>
      </c>
      <c r="AT51" s="111">
        <v>0</v>
      </c>
      <c r="AU51" s="111">
        <v>0</v>
      </c>
      <c r="AV51" s="111">
        <v>0</v>
      </c>
      <c r="AW51" s="111">
        <v>0</v>
      </c>
      <c r="AX51" s="111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X51"/>
  <sheetViews>
    <sheetView workbookViewId="0">
      <selection activeCell="A3" sqref="A3"/>
    </sheetView>
  </sheetViews>
  <sheetFormatPr baseColWidth="10" defaultRowHeight="13" x14ac:dyDescent="0.15"/>
  <cols>
    <col min="1" max="1" width="37.5" style="111" bestFit="1" customWidth="1"/>
    <col min="2" max="50" width="2.33203125" style="111" customWidth="1"/>
    <col min="51" max="16384" width="10.83203125" style="111"/>
  </cols>
  <sheetData>
    <row r="1" spans="1:50" x14ac:dyDescent="0.15">
      <c r="A1" s="63" t="s">
        <v>139</v>
      </c>
      <c r="B1" s="161" t="s">
        <v>193</v>
      </c>
      <c r="C1" s="161" t="s">
        <v>194</v>
      </c>
      <c r="D1" s="161" t="s">
        <v>195</v>
      </c>
      <c r="E1" s="161" t="s">
        <v>196</v>
      </c>
      <c r="F1" s="161" t="s">
        <v>197</v>
      </c>
      <c r="G1" s="161" t="s">
        <v>198</v>
      </c>
      <c r="H1" s="161" t="s">
        <v>199</v>
      </c>
      <c r="I1" s="161" t="s">
        <v>200</v>
      </c>
      <c r="J1" s="161" t="s">
        <v>201</v>
      </c>
      <c r="K1" s="161" t="s">
        <v>202</v>
      </c>
      <c r="L1" s="161" t="s">
        <v>203</v>
      </c>
      <c r="M1" s="161" t="s">
        <v>204</v>
      </c>
      <c r="N1" s="161" t="s">
        <v>205</v>
      </c>
      <c r="O1" s="161" t="s">
        <v>206</v>
      </c>
      <c r="P1" s="161" t="s">
        <v>207</v>
      </c>
      <c r="Q1" s="161" t="s">
        <v>208</v>
      </c>
      <c r="R1" s="161" t="s">
        <v>209</v>
      </c>
      <c r="S1" s="161" t="s">
        <v>210</v>
      </c>
      <c r="T1" s="161" t="s">
        <v>211</v>
      </c>
      <c r="U1" s="161" t="s">
        <v>212</v>
      </c>
      <c r="V1" s="161" t="s">
        <v>213</v>
      </c>
      <c r="W1" s="161" t="s">
        <v>214</v>
      </c>
      <c r="X1" s="161" t="s">
        <v>215</v>
      </c>
      <c r="Y1" s="161" t="s">
        <v>216</v>
      </c>
      <c r="Z1" s="161" t="s">
        <v>217</v>
      </c>
      <c r="AA1" s="161" t="s">
        <v>218</v>
      </c>
      <c r="AB1" s="161" t="s">
        <v>219</v>
      </c>
      <c r="AC1" s="161" t="s">
        <v>220</v>
      </c>
      <c r="AD1" s="161" t="s">
        <v>221</v>
      </c>
      <c r="AE1" s="161" t="s">
        <v>222</v>
      </c>
      <c r="AF1" s="161" t="s">
        <v>223</v>
      </c>
      <c r="AG1" s="161" t="s">
        <v>224</v>
      </c>
      <c r="AH1" s="161" t="s">
        <v>225</v>
      </c>
      <c r="AI1" s="161" t="s">
        <v>226</v>
      </c>
      <c r="AJ1" s="161" t="s">
        <v>227</v>
      </c>
      <c r="AK1" s="161" t="s">
        <v>228</v>
      </c>
      <c r="AL1" s="161" t="s">
        <v>229</v>
      </c>
      <c r="AM1" s="161" t="s">
        <v>230</v>
      </c>
      <c r="AN1" s="161" t="s">
        <v>231</v>
      </c>
      <c r="AO1" s="161" t="s">
        <v>232</v>
      </c>
      <c r="AP1" s="161" t="s">
        <v>233</v>
      </c>
      <c r="AQ1" s="161" t="s">
        <v>234</v>
      </c>
      <c r="AR1" s="161" t="s">
        <v>235</v>
      </c>
      <c r="AS1" s="161" t="s">
        <v>236</v>
      </c>
      <c r="AT1" s="161" t="s">
        <v>237</v>
      </c>
      <c r="AU1" s="161" t="s">
        <v>238</v>
      </c>
      <c r="AV1" s="161" t="s">
        <v>239</v>
      </c>
      <c r="AW1" s="161" t="s">
        <v>240</v>
      </c>
      <c r="AX1" s="161" t="s">
        <v>241</v>
      </c>
    </row>
    <row r="2" spans="1:50" customFormat="1" x14ac:dyDescent="0.15">
      <c r="A2" s="160" t="s">
        <v>193</v>
      </c>
      <c r="B2" s="111">
        <v>0</v>
      </c>
      <c r="C2" s="111">
        <v>0</v>
      </c>
      <c r="D2" s="111">
        <v>0</v>
      </c>
      <c r="E2" s="111">
        <v>0</v>
      </c>
      <c r="F2" s="111">
        <v>0</v>
      </c>
      <c r="G2" s="111">
        <v>0</v>
      </c>
      <c r="H2" s="111">
        <v>0</v>
      </c>
      <c r="I2" s="111">
        <v>0</v>
      </c>
      <c r="J2" s="111">
        <v>0</v>
      </c>
      <c r="K2" s="111">
        <v>0</v>
      </c>
      <c r="L2" s="111">
        <v>0</v>
      </c>
      <c r="M2" s="111">
        <v>0</v>
      </c>
      <c r="N2" s="111">
        <v>0</v>
      </c>
      <c r="O2" s="111">
        <v>0</v>
      </c>
      <c r="P2" s="111">
        <v>0</v>
      </c>
      <c r="Q2" s="111">
        <v>0</v>
      </c>
      <c r="R2" s="111">
        <v>0</v>
      </c>
      <c r="S2" s="111">
        <v>0</v>
      </c>
      <c r="T2" s="111">
        <v>0</v>
      </c>
      <c r="U2" s="111">
        <v>0</v>
      </c>
      <c r="V2" s="111">
        <v>0</v>
      </c>
      <c r="W2" s="111">
        <v>0</v>
      </c>
      <c r="X2" s="111">
        <v>0</v>
      </c>
      <c r="Y2" s="111">
        <v>0</v>
      </c>
      <c r="Z2" s="111">
        <v>0</v>
      </c>
      <c r="AA2" s="111">
        <v>0</v>
      </c>
      <c r="AB2" s="111">
        <v>0</v>
      </c>
      <c r="AC2" s="111">
        <v>0</v>
      </c>
      <c r="AD2" s="111">
        <v>0</v>
      </c>
      <c r="AE2" s="111">
        <v>0</v>
      </c>
      <c r="AF2" s="111">
        <v>0</v>
      </c>
      <c r="AG2" s="111">
        <v>0</v>
      </c>
      <c r="AH2" s="111">
        <v>0</v>
      </c>
      <c r="AI2" s="111">
        <v>0</v>
      </c>
      <c r="AJ2" s="111">
        <v>0</v>
      </c>
      <c r="AK2" s="111">
        <v>0</v>
      </c>
      <c r="AL2" s="111">
        <v>0</v>
      </c>
      <c r="AM2" s="111">
        <v>0</v>
      </c>
      <c r="AN2" s="111">
        <v>0</v>
      </c>
      <c r="AO2" s="111">
        <v>0</v>
      </c>
      <c r="AP2" s="111">
        <v>0</v>
      </c>
      <c r="AQ2" s="111">
        <v>0</v>
      </c>
      <c r="AR2" s="111">
        <v>0</v>
      </c>
      <c r="AS2" s="111">
        <v>0</v>
      </c>
      <c r="AT2" s="111">
        <v>0</v>
      </c>
      <c r="AU2" s="111">
        <v>0</v>
      </c>
      <c r="AV2" s="111">
        <v>0</v>
      </c>
      <c r="AW2" s="111">
        <v>0</v>
      </c>
      <c r="AX2" s="111">
        <v>0</v>
      </c>
    </row>
    <row r="3" spans="1:50" customFormat="1" x14ac:dyDescent="0.15">
      <c r="A3" s="160" t="s">
        <v>194</v>
      </c>
      <c r="B3" s="111">
        <v>0</v>
      </c>
      <c r="C3" s="111">
        <v>0</v>
      </c>
      <c r="D3" s="111">
        <v>0</v>
      </c>
      <c r="E3" s="111">
        <v>0</v>
      </c>
      <c r="F3" s="111">
        <v>0</v>
      </c>
      <c r="G3" s="111">
        <v>0</v>
      </c>
      <c r="H3" s="111">
        <v>0</v>
      </c>
      <c r="I3" s="111">
        <v>0</v>
      </c>
      <c r="J3" s="111">
        <v>0</v>
      </c>
      <c r="K3" s="111">
        <v>0</v>
      </c>
      <c r="L3" s="111">
        <v>0</v>
      </c>
      <c r="M3" s="111">
        <v>0</v>
      </c>
      <c r="N3" s="111">
        <v>0</v>
      </c>
      <c r="O3" s="111">
        <v>0</v>
      </c>
      <c r="P3" s="111">
        <v>0</v>
      </c>
      <c r="Q3" s="111">
        <v>0</v>
      </c>
      <c r="R3" s="111">
        <v>0</v>
      </c>
      <c r="S3" s="111">
        <v>0</v>
      </c>
      <c r="T3" s="111">
        <v>0</v>
      </c>
      <c r="U3" s="111">
        <v>0</v>
      </c>
      <c r="V3" s="111">
        <v>0</v>
      </c>
      <c r="W3" s="111">
        <v>0</v>
      </c>
      <c r="X3" s="111">
        <v>0</v>
      </c>
      <c r="Y3" s="111">
        <v>0</v>
      </c>
      <c r="Z3" s="111">
        <v>0</v>
      </c>
      <c r="AA3" s="111">
        <v>0</v>
      </c>
      <c r="AB3" s="111">
        <v>0</v>
      </c>
      <c r="AC3" s="111">
        <v>0</v>
      </c>
      <c r="AD3" s="111">
        <v>0</v>
      </c>
      <c r="AE3" s="111">
        <v>0</v>
      </c>
      <c r="AF3" s="111">
        <v>0</v>
      </c>
      <c r="AG3" s="111">
        <v>0</v>
      </c>
      <c r="AH3" s="111">
        <v>0</v>
      </c>
      <c r="AI3" s="111">
        <v>0</v>
      </c>
      <c r="AJ3" s="111">
        <v>0</v>
      </c>
      <c r="AK3" s="111">
        <v>0</v>
      </c>
      <c r="AL3" s="111">
        <v>0</v>
      </c>
      <c r="AM3" s="111">
        <v>0</v>
      </c>
      <c r="AN3" s="111">
        <v>0</v>
      </c>
      <c r="AO3" s="111">
        <v>0</v>
      </c>
      <c r="AP3" s="111">
        <v>0</v>
      </c>
      <c r="AQ3" s="111">
        <v>0</v>
      </c>
      <c r="AR3" s="111">
        <v>0</v>
      </c>
      <c r="AS3" s="111">
        <v>0</v>
      </c>
      <c r="AT3" s="111">
        <v>0</v>
      </c>
      <c r="AU3" s="111">
        <v>0</v>
      </c>
      <c r="AV3" s="111">
        <v>0</v>
      </c>
      <c r="AW3" s="111">
        <v>0</v>
      </c>
      <c r="AX3" s="111">
        <v>0</v>
      </c>
    </row>
    <row r="4" spans="1:50" customFormat="1" x14ac:dyDescent="0.15">
      <c r="A4" s="160" t="s">
        <v>195</v>
      </c>
      <c r="B4" s="111">
        <v>0</v>
      </c>
      <c r="C4" s="111">
        <v>0</v>
      </c>
      <c r="D4" s="111">
        <v>0</v>
      </c>
      <c r="E4" s="111">
        <v>0</v>
      </c>
      <c r="F4" s="111">
        <v>0</v>
      </c>
      <c r="G4" s="111">
        <v>0</v>
      </c>
      <c r="H4" s="111">
        <v>0</v>
      </c>
      <c r="I4" s="111">
        <v>0</v>
      </c>
      <c r="J4" s="111">
        <v>0</v>
      </c>
      <c r="K4" s="111">
        <v>0</v>
      </c>
      <c r="L4" s="111">
        <v>0</v>
      </c>
      <c r="M4" s="111">
        <v>0</v>
      </c>
      <c r="N4" s="111">
        <v>0</v>
      </c>
      <c r="O4" s="111">
        <v>0</v>
      </c>
      <c r="P4" s="111">
        <v>0</v>
      </c>
      <c r="Q4" s="111">
        <v>0</v>
      </c>
      <c r="R4" s="111">
        <v>0</v>
      </c>
      <c r="S4" s="111">
        <v>0</v>
      </c>
      <c r="T4" s="111">
        <v>0</v>
      </c>
      <c r="U4" s="111">
        <v>0</v>
      </c>
      <c r="V4" s="111">
        <v>0</v>
      </c>
      <c r="W4" s="111">
        <v>0</v>
      </c>
      <c r="X4" s="111">
        <v>0</v>
      </c>
      <c r="Y4" s="111">
        <v>0</v>
      </c>
      <c r="Z4" s="111">
        <v>0</v>
      </c>
      <c r="AA4" s="111">
        <v>0</v>
      </c>
      <c r="AB4" s="111">
        <v>0</v>
      </c>
      <c r="AC4" s="111">
        <v>0</v>
      </c>
      <c r="AD4" s="111">
        <v>0</v>
      </c>
      <c r="AE4" s="111">
        <v>0</v>
      </c>
      <c r="AF4" s="111">
        <v>0</v>
      </c>
      <c r="AG4" s="111">
        <v>0</v>
      </c>
      <c r="AH4" s="111">
        <v>0</v>
      </c>
      <c r="AI4" s="111">
        <v>0</v>
      </c>
      <c r="AJ4" s="111">
        <v>0</v>
      </c>
      <c r="AK4" s="111">
        <v>0</v>
      </c>
      <c r="AL4" s="111">
        <v>0</v>
      </c>
      <c r="AM4" s="111">
        <v>0</v>
      </c>
      <c r="AN4" s="111">
        <v>0</v>
      </c>
      <c r="AO4" s="111">
        <v>0</v>
      </c>
      <c r="AP4" s="111">
        <v>0</v>
      </c>
      <c r="AQ4" s="111">
        <v>0</v>
      </c>
      <c r="AR4" s="111">
        <v>0</v>
      </c>
      <c r="AS4" s="111">
        <v>0</v>
      </c>
      <c r="AT4" s="111">
        <v>0</v>
      </c>
      <c r="AU4" s="111">
        <v>0</v>
      </c>
      <c r="AV4" s="111">
        <v>0</v>
      </c>
      <c r="AW4" s="111">
        <v>0</v>
      </c>
      <c r="AX4" s="111">
        <v>0</v>
      </c>
    </row>
    <row r="5" spans="1:50" customFormat="1" x14ac:dyDescent="0.15">
      <c r="A5" s="160" t="s">
        <v>196</v>
      </c>
      <c r="B5" s="111">
        <v>0</v>
      </c>
      <c r="C5" s="111">
        <v>0</v>
      </c>
      <c r="D5" s="111">
        <v>0</v>
      </c>
      <c r="E5" s="111">
        <v>0</v>
      </c>
      <c r="F5" s="111">
        <v>0</v>
      </c>
      <c r="G5" s="111">
        <v>0</v>
      </c>
      <c r="H5" s="111">
        <v>0</v>
      </c>
      <c r="I5" s="111">
        <v>0</v>
      </c>
      <c r="J5" s="111">
        <v>0</v>
      </c>
      <c r="K5" s="111">
        <v>0</v>
      </c>
      <c r="L5" s="111">
        <v>0</v>
      </c>
      <c r="M5" s="111">
        <v>0</v>
      </c>
      <c r="N5" s="111">
        <v>0</v>
      </c>
      <c r="O5" s="111">
        <v>0</v>
      </c>
      <c r="P5" s="111">
        <v>0</v>
      </c>
      <c r="Q5" s="111">
        <v>0</v>
      </c>
      <c r="R5" s="111">
        <v>0</v>
      </c>
      <c r="S5" s="111">
        <v>0</v>
      </c>
      <c r="T5" s="111">
        <v>0</v>
      </c>
      <c r="U5" s="111">
        <v>0</v>
      </c>
      <c r="V5" s="111">
        <v>0</v>
      </c>
      <c r="W5" s="111">
        <v>0</v>
      </c>
      <c r="X5" s="111">
        <v>0</v>
      </c>
      <c r="Y5" s="111">
        <v>0</v>
      </c>
      <c r="Z5" s="111">
        <v>0</v>
      </c>
      <c r="AA5" s="111">
        <v>0</v>
      </c>
      <c r="AB5" s="111">
        <v>0</v>
      </c>
      <c r="AC5" s="111">
        <v>0</v>
      </c>
      <c r="AD5" s="111">
        <v>0</v>
      </c>
      <c r="AE5" s="111">
        <v>0</v>
      </c>
      <c r="AF5" s="111">
        <v>0</v>
      </c>
      <c r="AG5" s="111">
        <v>0</v>
      </c>
      <c r="AH5" s="111">
        <v>0</v>
      </c>
      <c r="AI5" s="111">
        <v>0</v>
      </c>
      <c r="AJ5" s="111">
        <v>0</v>
      </c>
      <c r="AK5" s="111">
        <v>0</v>
      </c>
      <c r="AL5" s="111">
        <v>0</v>
      </c>
      <c r="AM5" s="111">
        <v>0</v>
      </c>
      <c r="AN5" s="111">
        <v>0</v>
      </c>
      <c r="AO5" s="111">
        <v>0</v>
      </c>
      <c r="AP5" s="111">
        <v>0</v>
      </c>
      <c r="AQ5" s="111">
        <v>0</v>
      </c>
      <c r="AR5" s="111">
        <v>0</v>
      </c>
      <c r="AS5" s="111">
        <v>0</v>
      </c>
      <c r="AT5" s="111">
        <v>0</v>
      </c>
      <c r="AU5" s="111">
        <v>0</v>
      </c>
      <c r="AV5" s="111">
        <v>0</v>
      </c>
      <c r="AW5" s="111">
        <v>0</v>
      </c>
      <c r="AX5" s="111">
        <v>0</v>
      </c>
    </row>
    <row r="6" spans="1:50" customFormat="1" x14ac:dyDescent="0.15">
      <c r="A6" s="160" t="s">
        <v>197</v>
      </c>
      <c r="B6" s="111">
        <v>0</v>
      </c>
      <c r="C6" s="111">
        <v>0</v>
      </c>
      <c r="D6" s="111">
        <v>0</v>
      </c>
      <c r="E6" s="111">
        <v>1</v>
      </c>
      <c r="F6" s="111">
        <v>1</v>
      </c>
      <c r="G6" s="111">
        <v>0</v>
      </c>
      <c r="H6" s="111">
        <v>0</v>
      </c>
      <c r="I6" s="111">
        <v>0</v>
      </c>
      <c r="J6" s="111">
        <v>0</v>
      </c>
      <c r="K6" s="111">
        <v>0</v>
      </c>
      <c r="L6" s="111">
        <v>0</v>
      </c>
      <c r="M6" s="111">
        <v>0</v>
      </c>
      <c r="N6" s="111">
        <v>0</v>
      </c>
      <c r="O6" s="111">
        <v>0</v>
      </c>
      <c r="P6" s="111">
        <v>0</v>
      </c>
      <c r="Q6" s="111">
        <v>0</v>
      </c>
      <c r="R6" s="111">
        <v>0</v>
      </c>
      <c r="S6" s="111">
        <v>0</v>
      </c>
      <c r="T6" s="111">
        <v>0</v>
      </c>
      <c r="U6" s="111">
        <v>0</v>
      </c>
      <c r="V6" s="111">
        <v>0</v>
      </c>
      <c r="W6" s="111">
        <v>0</v>
      </c>
      <c r="X6" s="111">
        <v>0</v>
      </c>
      <c r="Y6" s="111">
        <v>0</v>
      </c>
      <c r="Z6" s="111">
        <v>0</v>
      </c>
      <c r="AA6" s="111">
        <v>0</v>
      </c>
      <c r="AB6" s="111">
        <v>0</v>
      </c>
      <c r="AC6" s="111">
        <v>0</v>
      </c>
      <c r="AD6" s="111">
        <v>0</v>
      </c>
      <c r="AE6" s="111">
        <v>0</v>
      </c>
      <c r="AF6" s="111">
        <v>0</v>
      </c>
      <c r="AG6" s="111">
        <v>0</v>
      </c>
      <c r="AH6" s="111">
        <v>0</v>
      </c>
      <c r="AI6" s="111">
        <v>0</v>
      </c>
      <c r="AJ6" s="111">
        <v>0</v>
      </c>
      <c r="AK6" s="111">
        <v>0</v>
      </c>
      <c r="AL6" s="111">
        <v>0</v>
      </c>
      <c r="AM6" s="111">
        <v>0</v>
      </c>
      <c r="AN6" s="111">
        <v>0</v>
      </c>
      <c r="AO6" s="111">
        <v>0</v>
      </c>
      <c r="AP6" s="111">
        <v>0</v>
      </c>
      <c r="AQ6" s="111">
        <v>0</v>
      </c>
      <c r="AR6" s="111">
        <v>0</v>
      </c>
      <c r="AS6" s="111">
        <v>0</v>
      </c>
      <c r="AT6" s="111">
        <v>0</v>
      </c>
      <c r="AU6" s="111">
        <v>0</v>
      </c>
      <c r="AV6" s="111">
        <v>0</v>
      </c>
      <c r="AW6" s="111">
        <v>0</v>
      </c>
      <c r="AX6" s="111">
        <v>0</v>
      </c>
    </row>
    <row r="7" spans="1:50" customFormat="1" x14ac:dyDescent="0.15">
      <c r="A7" s="160" t="s">
        <v>198</v>
      </c>
      <c r="B7" s="111">
        <v>0</v>
      </c>
      <c r="C7" s="111">
        <v>0</v>
      </c>
      <c r="D7" s="111">
        <v>0</v>
      </c>
      <c r="E7" s="111">
        <v>1</v>
      </c>
      <c r="F7" s="111">
        <v>1</v>
      </c>
      <c r="G7" s="111">
        <v>1</v>
      </c>
      <c r="H7" s="111">
        <v>1</v>
      </c>
      <c r="I7" s="111">
        <v>0</v>
      </c>
      <c r="J7" s="111">
        <v>1</v>
      </c>
      <c r="K7" s="111">
        <v>0</v>
      </c>
      <c r="L7" s="111">
        <v>0</v>
      </c>
      <c r="M7" s="111">
        <v>0</v>
      </c>
      <c r="N7" s="111">
        <v>0</v>
      </c>
      <c r="O7" s="111">
        <v>0</v>
      </c>
      <c r="P7" s="111">
        <v>0</v>
      </c>
      <c r="Q7" s="111">
        <v>0</v>
      </c>
      <c r="R7" s="111">
        <v>0</v>
      </c>
      <c r="S7" s="111">
        <v>0</v>
      </c>
      <c r="T7" s="111">
        <v>0</v>
      </c>
      <c r="U7" s="111">
        <v>0</v>
      </c>
      <c r="V7" s="111">
        <v>0</v>
      </c>
      <c r="W7" s="111">
        <v>0</v>
      </c>
      <c r="X7" s="111">
        <v>0</v>
      </c>
      <c r="Y7" s="111">
        <v>0</v>
      </c>
      <c r="Z7" s="111">
        <v>0</v>
      </c>
      <c r="AA7" s="111">
        <v>0</v>
      </c>
      <c r="AB7" s="111">
        <v>0</v>
      </c>
      <c r="AC7" s="111">
        <v>0</v>
      </c>
      <c r="AD7" s="111">
        <v>0</v>
      </c>
      <c r="AE7" s="111">
        <v>0</v>
      </c>
      <c r="AF7" s="111">
        <v>0</v>
      </c>
      <c r="AG7" s="111">
        <v>0</v>
      </c>
      <c r="AH7" s="111">
        <v>0</v>
      </c>
      <c r="AI7" s="111">
        <v>0</v>
      </c>
      <c r="AJ7" s="111">
        <v>0</v>
      </c>
      <c r="AK7" s="111">
        <v>0</v>
      </c>
      <c r="AL7" s="111">
        <v>0</v>
      </c>
      <c r="AM7" s="111">
        <v>0</v>
      </c>
      <c r="AN7" s="111">
        <v>0</v>
      </c>
      <c r="AO7" s="111">
        <v>0</v>
      </c>
      <c r="AP7" s="111">
        <v>0</v>
      </c>
      <c r="AQ7" s="111">
        <v>0</v>
      </c>
      <c r="AR7" s="111">
        <v>0</v>
      </c>
      <c r="AS7" s="111">
        <v>0</v>
      </c>
      <c r="AT7" s="111">
        <v>0</v>
      </c>
      <c r="AU7" s="111">
        <v>0</v>
      </c>
      <c r="AV7" s="111">
        <v>0</v>
      </c>
      <c r="AW7" s="111">
        <v>0</v>
      </c>
      <c r="AX7" s="111">
        <v>0</v>
      </c>
    </row>
    <row r="8" spans="1:50" customFormat="1" x14ac:dyDescent="0.15">
      <c r="A8" s="160" t="s">
        <v>199</v>
      </c>
      <c r="B8" s="111">
        <v>0</v>
      </c>
      <c r="C8" s="111">
        <v>0</v>
      </c>
      <c r="D8" s="111">
        <v>0</v>
      </c>
      <c r="E8" s="111">
        <v>1</v>
      </c>
      <c r="F8" s="111">
        <v>1</v>
      </c>
      <c r="G8" s="111">
        <v>1</v>
      </c>
      <c r="H8" s="111">
        <v>0</v>
      </c>
      <c r="I8" s="111">
        <v>0</v>
      </c>
      <c r="J8" s="111">
        <v>1</v>
      </c>
      <c r="K8" s="111">
        <v>0</v>
      </c>
      <c r="L8" s="111">
        <v>0</v>
      </c>
      <c r="M8" s="111">
        <v>0</v>
      </c>
      <c r="N8" s="111">
        <v>0</v>
      </c>
      <c r="O8" s="111">
        <v>0</v>
      </c>
      <c r="P8" s="111">
        <v>0</v>
      </c>
      <c r="Q8" s="111">
        <v>0</v>
      </c>
      <c r="R8" s="111">
        <v>0</v>
      </c>
      <c r="S8" s="111">
        <v>0</v>
      </c>
      <c r="T8" s="111">
        <v>0</v>
      </c>
      <c r="U8" s="111">
        <v>1</v>
      </c>
      <c r="V8" s="111">
        <v>0</v>
      </c>
      <c r="W8" s="111">
        <v>0</v>
      </c>
      <c r="X8" s="111">
        <v>0</v>
      </c>
      <c r="Y8" s="111">
        <v>0</v>
      </c>
      <c r="Z8" s="111">
        <v>0</v>
      </c>
      <c r="AA8" s="111">
        <v>0</v>
      </c>
      <c r="AB8" s="111">
        <v>0</v>
      </c>
      <c r="AC8" s="111">
        <v>0</v>
      </c>
      <c r="AD8" s="111">
        <v>0</v>
      </c>
      <c r="AE8" s="111">
        <v>0</v>
      </c>
      <c r="AF8" s="111">
        <v>0</v>
      </c>
      <c r="AG8" s="111">
        <v>0</v>
      </c>
      <c r="AH8" s="111">
        <v>0</v>
      </c>
      <c r="AI8" s="111">
        <v>0</v>
      </c>
      <c r="AJ8" s="111">
        <v>0</v>
      </c>
      <c r="AK8" s="111">
        <v>0</v>
      </c>
      <c r="AL8" s="111">
        <v>0</v>
      </c>
      <c r="AM8" s="111">
        <v>0</v>
      </c>
      <c r="AN8" s="111">
        <v>0</v>
      </c>
      <c r="AO8" s="111">
        <v>0</v>
      </c>
      <c r="AP8" s="111">
        <v>0</v>
      </c>
      <c r="AQ8" s="111">
        <v>0</v>
      </c>
      <c r="AR8" s="111">
        <v>0</v>
      </c>
      <c r="AS8" s="111">
        <v>0</v>
      </c>
      <c r="AT8" s="111">
        <v>0</v>
      </c>
      <c r="AU8" s="111">
        <v>0</v>
      </c>
      <c r="AV8" s="111">
        <v>0</v>
      </c>
      <c r="AW8" s="111">
        <v>0</v>
      </c>
      <c r="AX8" s="111">
        <v>0</v>
      </c>
    </row>
    <row r="9" spans="1:50" customFormat="1" x14ac:dyDescent="0.15">
      <c r="A9" s="160" t="s">
        <v>200</v>
      </c>
      <c r="B9" s="111">
        <v>0</v>
      </c>
      <c r="C9" s="111">
        <v>0</v>
      </c>
      <c r="D9" s="111">
        <v>0</v>
      </c>
      <c r="E9" s="111">
        <v>0</v>
      </c>
      <c r="F9" s="111">
        <v>1</v>
      </c>
      <c r="G9" s="111">
        <v>0</v>
      </c>
      <c r="H9" s="111">
        <v>1</v>
      </c>
      <c r="I9" s="111">
        <v>0</v>
      </c>
      <c r="J9" s="111">
        <v>0</v>
      </c>
      <c r="K9" s="111">
        <v>0</v>
      </c>
      <c r="L9" s="111">
        <v>0</v>
      </c>
      <c r="M9" s="111">
        <v>0</v>
      </c>
      <c r="N9" s="111">
        <v>0</v>
      </c>
      <c r="O9" s="111">
        <v>0</v>
      </c>
      <c r="P9" s="111">
        <v>0</v>
      </c>
      <c r="Q9" s="111">
        <v>0</v>
      </c>
      <c r="R9" s="111">
        <v>0</v>
      </c>
      <c r="S9" s="111">
        <v>0</v>
      </c>
      <c r="T9" s="111">
        <v>0</v>
      </c>
      <c r="U9" s="111">
        <v>0</v>
      </c>
      <c r="V9" s="111">
        <v>0</v>
      </c>
      <c r="W9" s="111">
        <v>0</v>
      </c>
      <c r="X9" s="111">
        <v>0</v>
      </c>
      <c r="Y9" s="111">
        <v>0</v>
      </c>
      <c r="Z9" s="111">
        <v>0</v>
      </c>
      <c r="AA9" s="111">
        <v>0</v>
      </c>
      <c r="AB9" s="111">
        <v>0</v>
      </c>
      <c r="AC9" s="111">
        <v>0</v>
      </c>
      <c r="AD9" s="111">
        <v>0</v>
      </c>
      <c r="AE9" s="111">
        <v>0</v>
      </c>
      <c r="AF9" s="111">
        <v>0</v>
      </c>
      <c r="AG9" s="111">
        <v>0</v>
      </c>
      <c r="AH9" s="111">
        <v>0</v>
      </c>
      <c r="AI9" s="111">
        <v>0</v>
      </c>
      <c r="AJ9" s="111">
        <v>0</v>
      </c>
      <c r="AK9" s="111">
        <v>0</v>
      </c>
      <c r="AL9" s="111">
        <v>0</v>
      </c>
      <c r="AM9" s="111">
        <v>0</v>
      </c>
      <c r="AN9" s="111">
        <v>0</v>
      </c>
      <c r="AO9" s="111">
        <v>0</v>
      </c>
      <c r="AP9" s="111">
        <v>0</v>
      </c>
      <c r="AQ9" s="111">
        <v>0</v>
      </c>
      <c r="AR9" s="111">
        <v>0</v>
      </c>
      <c r="AS9" s="111">
        <v>0</v>
      </c>
      <c r="AT9" s="111">
        <v>0</v>
      </c>
      <c r="AU9" s="111">
        <v>0</v>
      </c>
      <c r="AV9" s="111">
        <v>0</v>
      </c>
      <c r="AW9" s="111">
        <v>0</v>
      </c>
      <c r="AX9" s="111">
        <v>0</v>
      </c>
    </row>
    <row r="10" spans="1:50" customFormat="1" x14ac:dyDescent="0.15">
      <c r="A10" s="160" t="s">
        <v>201</v>
      </c>
      <c r="B10" s="111">
        <v>0</v>
      </c>
      <c r="C10" s="111">
        <v>0</v>
      </c>
      <c r="D10" s="111">
        <v>0</v>
      </c>
      <c r="E10" s="111">
        <v>1</v>
      </c>
      <c r="F10" s="111">
        <v>1</v>
      </c>
      <c r="G10" s="111">
        <v>0</v>
      </c>
      <c r="H10" s="111">
        <v>1</v>
      </c>
      <c r="I10" s="111">
        <v>0</v>
      </c>
      <c r="J10" s="111">
        <v>0</v>
      </c>
      <c r="K10" s="111">
        <v>0</v>
      </c>
      <c r="L10" s="111">
        <v>0</v>
      </c>
      <c r="M10" s="111">
        <v>1</v>
      </c>
      <c r="N10" s="111">
        <v>0</v>
      </c>
      <c r="O10" s="111">
        <v>0</v>
      </c>
      <c r="P10" s="111">
        <v>0</v>
      </c>
      <c r="Q10" s="111">
        <v>0</v>
      </c>
      <c r="R10" s="111">
        <v>0</v>
      </c>
      <c r="S10" s="111">
        <v>0</v>
      </c>
      <c r="T10" s="111">
        <v>0</v>
      </c>
      <c r="U10" s="111">
        <v>1</v>
      </c>
      <c r="V10" s="111">
        <v>0</v>
      </c>
      <c r="W10" s="111">
        <v>0</v>
      </c>
      <c r="X10" s="111">
        <v>0</v>
      </c>
      <c r="Y10" s="111">
        <v>0</v>
      </c>
      <c r="Z10" s="111">
        <v>0</v>
      </c>
      <c r="AA10" s="111">
        <v>0</v>
      </c>
      <c r="AB10" s="111">
        <v>0</v>
      </c>
      <c r="AC10" s="111">
        <v>0</v>
      </c>
      <c r="AD10" s="111">
        <v>0</v>
      </c>
      <c r="AE10" s="111">
        <v>0</v>
      </c>
      <c r="AF10" s="111">
        <v>0</v>
      </c>
      <c r="AG10" s="111">
        <v>0</v>
      </c>
      <c r="AH10" s="111">
        <v>0</v>
      </c>
      <c r="AI10" s="111">
        <v>0</v>
      </c>
      <c r="AJ10" s="111">
        <v>0</v>
      </c>
      <c r="AK10" s="111">
        <v>0</v>
      </c>
      <c r="AL10" s="111">
        <v>0</v>
      </c>
      <c r="AM10" s="111">
        <v>0</v>
      </c>
      <c r="AN10" s="111">
        <v>0</v>
      </c>
      <c r="AO10" s="111">
        <v>0</v>
      </c>
      <c r="AP10" s="111">
        <v>0</v>
      </c>
      <c r="AQ10" s="111">
        <v>0</v>
      </c>
      <c r="AR10" s="111">
        <v>0</v>
      </c>
      <c r="AS10" s="111">
        <v>0</v>
      </c>
      <c r="AT10" s="111">
        <v>0</v>
      </c>
      <c r="AU10" s="111">
        <v>0</v>
      </c>
      <c r="AV10" s="111">
        <v>0</v>
      </c>
      <c r="AW10" s="111">
        <v>0</v>
      </c>
      <c r="AX10" s="111">
        <v>0</v>
      </c>
    </row>
    <row r="11" spans="1:50" customFormat="1" x14ac:dyDescent="0.15">
      <c r="A11" s="160" t="s">
        <v>202</v>
      </c>
      <c r="B11" s="111">
        <v>0</v>
      </c>
      <c r="C11" s="111">
        <v>0</v>
      </c>
      <c r="D11" s="111">
        <v>0</v>
      </c>
      <c r="E11" s="111">
        <v>0</v>
      </c>
      <c r="F11" s="111">
        <v>0</v>
      </c>
      <c r="G11" s="111">
        <v>1</v>
      </c>
      <c r="H11" s="111">
        <v>1</v>
      </c>
      <c r="I11" s="111">
        <v>0</v>
      </c>
      <c r="J11" s="111">
        <v>1</v>
      </c>
      <c r="K11" s="111">
        <v>1</v>
      </c>
      <c r="L11" s="111">
        <v>0</v>
      </c>
      <c r="M11" s="111">
        <v>1</v>
      </c>
      <c r="N11" s="111">
        <v>1</v>
      </c>
      <c r="O11" s="111">
        <v>0</v>
      </c>
      <c r="P11" s="111">
        <v>0</v>
      </c>
      <c r="Q11" s="111">
        <v>0</v>
      </c>
      <c r="R11" s="111">
        <v>0</v>
      </c>
      <c r="S11" s="111">
        <v>0</v>
      </c>
      <c r="T11" s="111">
        <v>0</v>
      </c>
      <c r="U11" s="111">
        <v>1</v>
      </c>
      <c r="V11" s="111">
        <v>0</v>
      </c>
      <c r="W11" s="111">
        <v>0</v>
      </c>
      <c r="X11" s="111">
        <v>0</v>
      </c>
      <c r="Y11" s="111">
        <v>0</v>
      </c>
      <c r="Z11" s="111">
        <v>0</v>
      </c>
      <c r="AA11" s="111">
        <v>0</v>
      </c>
      <c r="AB11" s="111">
        <v>0</v>
      </c>
      <c r="AC11" s="111">
        <v>0</v>
      </c>
      <c r="AD11" s="111">
        <v>0</v>
      </c>
      <c r="AE11" s="111">
        <v>0</v>
      </c>
      <c r="AF11" s="111">
        <v>0</v>
      </c>
      <c r="AG11" s="111">
        <v>0</v>
      </c>
      <c r="AH11" s="111">
        <v>0</v>
      </c>
      <c r="AI11" s="111">
        <v>0</v>
      </c>
      <c r="AJ11" s="111">
        <v>0</v>
      </c>
      <c r="AK11" s="111">
        <v>0</v>
      </c>
      <c r="AL11" s="111">
        <v>0</v>
      </c>
      <c r="AM11" s="111">
        <v>0</v>
      </c>
      <c r="AN11" s="111">
        <v>0</v>
      </c>
      <c r="AO11" s="111">
        <v>0</v>
      </c>
      <c r="AP11" s="111">
        <v>0</v>
      </c>
      <c r="AQ11" s="111">
        <v>0</v>
      </c>
      <c r="AR11" s="111">
        <v>0</v>
      </c>
      <c r="AS11" s="111">
        <v>0</v>
      </c>
      <c r="AT11" s="111">
        <v>0</v>
      </c>
      <c r="AU11" s="111">
        <v>0</v>
      </c>
      <c r="AV11" s="111">
        <v>0</v>
      </c>
      <c r="AW11" s="111">
        <v>0</v>
      </c>
      <c r="AX11" s="111">
        <v>0</v>
      </c>
    </row>
    <row r="12" spans="1:50" customFormat="1" x14ac:dyDescent="0.15">
      <c r="A12" s="160" t="s">
        <v>203</v>
      </c>
      <c r="B12" s="111">
        <v>0</v>
      </c>
      <c r="C12" s="111">
        <v>0</v>
      </c>
      <c r="D12" s="111">
        <v>0</v>
      </c>
      <c r="E12" s="111">
        <v>1</v>
      </c>
      <c r="F12" s="111">
        <v>1</v>
      </c>
      <c r="G12" s="111">
        <v>1</v>
      </c>
      <c r="H12" s="111">
        <v>1</v>
      </c>
      <c r="I12" s="111">
        <v>0</v>
      </c>
      <c r="J12" s="111">
        <v>1</v>
      </c>
      <c r="K12" s="111">
        <v>0</v>
      </c>
      <c r="L12" s="111">
        <v>1</v>
      </c>
      <c r="M12" s="111">
        <v>1</v>
      </c>
      <c r="N12" s="111">
        <v>1</v>
      </c>
      <c r="O12" s="111">
        <v>0</v>
      </c>
      <c r="P12" s="111">
        <v>1</v>
      </c>
      <c r="Q12" s="111">
        <v>0</v>
      </c>
      <c r="R12" s="111">
        <v>0</v>
      </c>
      <c r="S12" s="111">
        <v>0</v>
      </c>
      <c r="T12" s="111">
        <v>0</v>
      </c>
      <c r="U12" s="111">
        <v>0</v>
      </c>
      <c r="V12" s="111">
        <v>0</v>
      </c>
      <c r="W12" s="111">
        <v>0</v>
      </c>
      <c r="X12" s="111">
        <v>0</v>
      </c>
      <c r="Y12" s="111">
        <v>0</v>
      </c>
      <c r="Z12" s="111">
        <v>0</v>
      </c>
      <c r="AA12" s="111">
        <v>0</v>
      </c>
      <c r="AB12" s="111">
        <v>0</v>
      </c>
      <c r="AC12" s="111">
        <v>0</v>
      </c>
      <c r="AD12" s="111">
        <v>0</v>
      </c>
      <c r="AE12" s="111">
        <v>0</v>
      </c>
      <c r="AF12" s="111">
        <v>0</v>
      </c>
      <c r="AG12" s="111">
        <v>0</v>
      </c>
      <c r="AH12" s="111">
        <v>0</v>
      </c>
      <c r="AI12" s="111">
        <v>0</v>
      </c>
      <c r="AJ12" s="111">
        <v>0</v>
      </c>
      <c r="AK12" s="111">
        <v>0</v>
      </c>
      <c r="AL12" s="111">
        <v>0</v>
      </c>
      <c r="AM12" s="111">
        <v>0</v>
      </c>
      <c r="AN12" s="111">
        <v>0</v>
      </c>
      <c r="AO12" s="111">
        <v>0</v>
      </c>
      <c r="AP12" s="111">
        <v>0</v>
      </c>
      <c r="AQ12" s="111">
        <v>0</v>
      </c>
      <c r="AR12" s="111">
        <v>0</v>
      </c>
      <c r="AS12" s="111">
        <v>0</v>
      </c>
      <c r="AT12" s="111">
        <v>0</v>
      </c>
      <c r="AU12" s="111">
        <v>0</v>
      </c>
      <c r="AV12" s="111">
        <v>0</v>
      </c>
      <c r="AW12" s="111">
        <v>0</v>
      </c>
      <c r="AX12" s="111">
        <v>0</v>
      </c>
    </row>
    <row r="13" spans="1:50" customFormat="1" x14ac:dyDescent="0.15">
      <c r="A13" s="160" t="s">
        <v>204</v>
      </c>
      <c r="B13" s="111">
        <v>0</v>
      </c>
      <c r="C13" s="111">
        <v>0</v>
      </c>
      <c r="D13" s="111">
        <v>0</v>
      </c>
      <c r="E13" s="111">
        <v>1</v>
      </c>
      <c r="F13" s="111">
        <v>1</v>
      </c>
      <c r="G13" s="111">
        <v>1</v>
      </c>
      <c r="H13" s="111">
        <v>1</v>
      </c>
      <c r="I13" s="111">
        <v>0</v>
      </c>
      <c r="J13" s="111">
        <v>0</v>
      </c>
      <c r="K13" s="111">
        <v>0</v>
      </c>
      <c r="L13" s="111">
        <v>0</v>
      </c>
      <c r="M13" s="111">
        <v>1</v>
      </c>
      <c r="N13" s="111">
        <v>0</v>
      </c>
      <c r="O13" s="111">
        <v>0</v>
      </c>
      <c r="P13" s="111">
        <v>0</v>
      </c>
      <c r="Q13" s="111">
        <v>0</v>
      </c>
      <c r="R13" s="111">
        <v>0</v>
      </c>
      <c r="S13" s="111">
        <v>0</v>
      </c>
      <c r="T13" s="111">
        <v>0</v>
      </c>
      <c r="U13" s="111">
        <v>1</v>
      </c>
      <c r="V13" s="111">
        <v>0</v>
      </c>
      <c r="W13" s="111">
        <v>0</v>
      </c>
      <c r="X13" s="111">
        <v>0</v>
      </c>
      <c r="Y13" s="111">
        <v>0</v>
      </c>
      <c r="Z13" s="111">
        <v>0</v>
      </c>
      <c r="AA13" s="111">
        <v>0</v>
      </c>
      <c r="AB13" s="111">
        <v>0</v>
      </c>
      <c r="AC13" s="111">
        <v>0</v>
      </c>
      <c r="AD13" s="111">
        <v>0</v>
      </c>
      <c r="AE13" s="111">
        <v>0</v>
      </c>
      <c r="AF13" s="111">
        <v>0</v>
      </c>
      <c r="AG13" s="111">
        <v>0</v>
      </c>
      <c r="AH13" s="111">
        <v>0</v>
      </c>
      <c r="AI13" s="111">
        <v>0</v>
      </c>
      <c r="AJ13" s="111">
        <v>0</v>
      </c>
      <c r="AK13" s="111">
        <v>0</v>
      </c>
      <c r="AL13" s="111">
        <v>0</v>
      </c>
      <c r="AM13" s="111">
        <v>0</v>
      </c>
      <c r="AN13" s="111">
        <v>0</v>
      </c>
      <c r="AO13" s="111">
        <v>0</v>
      </c>
      <c r="AP13" s="111">
        <v>0</v>
      </c>
      <c r="AQ13" s="111">
        <v>0</v>
      </c>
      <c r="AR13" s="111">
        <v>0</v>
      </c>
      <c r="AS13" s="111">
        <v>0</v>
      </c>
      <c r="AT13" s="111">
        <v>0</v>
      </c>
      <c r="AU13" s="111">
        <v>0</v>
      </c>
      <c r="AV13" s="111">
        <v>0</v>
      </c>
      <c r="AW13" s="111">
        <v>0</v>
      </c>
      <c r="AX13" s="111">
        <v>0</v>
      </c>
    </row>
    <row r="14" spans="1:50" customFormat="1" x14ac:dyDescent="0.15">
      <c r="A14" s="160" t="s">
        <v>205</v>
      </c>
      <c r="B14" s="111">
        <v>0</v>
      </c>
      <c r="C14" s="111">
        <v>0</v>
      </c>
      <c r="D14" s="111">
        <v>0</v>
      </c>
      <c r="E14" s="111">
        <v>1</v>
      </c>
      <c r="F14" s="111">
        <v>0</v>
      </c>
      <c r="G14" s="111">
        <v>1</v>
      </c>
      <c r="H14" s="111">
        <v>1</v>
      </c>
      <c r="I14" s="111">
        <v>0</v>
      </c>
      <c r="J14" s="111">
        <v>0</v>
      </c>
      <c r="K14" s="111">
        <v>1</v>
      </c>
      <c r="L14" s="111">
        <v>0</v>
      </c>
      <c r="M14" s="111">
        <v>1</v>
      </c>
      <c r="N14" s="111">
        <v>1</v>
      </c>
      <c r="O14" s="111">
        <v>0</v>
      </c>
      <c r="P14" s="111">
        <v>0</v>
      </c>
      <c r="Q14" s="111">
        <v>0</v>
      </c>
      <c r="R14" s="111">
        <v>0</v>
      </c>
      <c r="S14" s="111">
        <v>0</v>
      </c>
      <c r="T14" s="111">
        <v>0</v>
      </c>
      <c r="U14" s="111">
        <v>0</v>
      </c>
      <c r="V14" s="111">
        <v>0</v>
      </c>
      <c r="W14" s="111">
        <v>0</v>
      </c>
      <c r="X14" s="111">
        <v>0</v>
      </c>
      <c r="Y14" s="111">
        <v>0</v>
      </c>
      <c r="Z14" s="111">
        <v>0</v>
      </c>
      <c r="AA14" s="111">
        <v>0</v>
      </c>
      <c r="AB14" s="111">
        <v>0</v>
      </c>
      <c r="AC14" s="111">
        <v>0</v>
      </c>
      <c r="AD14" s="111">
        <v>0</v>
      </c>
      <c r="AE14" s="111">
        <v>0</v>
      </c>
      <c r="AF14" s="111">
        <v>0</v>
      </c>
      <c r="AG14" s="111">
        <v>0</v>
      </c>
      <c r="AH14" s="111">
        <v>0</v>
      </c>
      <c r="AI14" s="111">
        <v>0</v>
      </c>
      <c r="AJ14" s="111">
        <v>0</v>
      </c>
      <c r="AK14" s="111">
        <v>0</v>
      </c>
      <c r="AL14" s="111">
        <v>0</v>
      </c>
      <c r="AM14" s="111">
        <v>0</v>
      </c>
      <c r="AN14" s="111">
        <v>0</v>
      </c>
      <c r="AO14" s="111">
        <v>0</v>
      </c>
      <c r="AP14" s="111">
        <v>0</v>
      </c>
      <c r="AQ14" s="111">
        <v>0</v>
      </c>
      <c r="AR14" s="111">
        <v>0</v>
      </c>
      <c r="AS14" s="111">
        <v>0</v>
      </c>
      <c r="AT14" s="111">
        <v>0</v>
      </c>
      <c r="AU14" s="111">
        <v>0</v>
      </c>
      <c r="AV14" s="111">
        <v>0</v>
      </c>
      <c r="AW14" s="111">
        <v>0</v>
      </c>
      <c r="AX14" s="111">
        <v>0</v>
      </c>
    </row>
    <row r="15" spans="1:50" customFormat="1" x14ac:dyDescent="0.15">
      <c r="A15" s="160" t="s">
        <v>206</v>
      </c>
      <c r="B15" s="111">
        <v>0</v>
      </c>
      <c r="C15" s="111">
        <v>0</v>
      </c>
      <c r="D15" s="111">
        <v>0</v>
      </c>
      <c r="E15" s="111">
        <v>0</v>
      </c>
      <c r="F15" s="111">
        <v>1</v>
      </c>
      <c r="G15" s="111">
        <v>1</v>
      </c>
      <c r="H15" s="111">
        <v>0</v>
      </c>
      <c r="I15" s="111">
        <v>0</v>
      </c>
      <c r="J15" s="111">
        <v>0</v>
      </c>
      <c r="K15" s="111">
        <v>0</v>
      </c>
      <c r="L15" s="111">
        <v>0</v>
      </c>
      <c r="M15" s="111">
        <v>1</v>
      </c>
      <c r="N15" s="111">
        <v>0</v>
      </c>
      <c r="O15" s="111">
        <v>0</v>
      </c>
      <c r="P15" s="111">
        <v>1</v>
      </c>
      <c r="Q15" s="111">
        <v>0</v>
      </c>
      <c r="R15" s="111">
        <v>0</v>
      </c>
      <c r="S15" s="111">
        <v>0</v>
      </c>
      <c r="T15" s="111">
        <v>0</v>
      </c>
      <c r="U15" s="111">
        <v>1</v>
      </c>
      <c r="V15" s="111">
        <v>0</v>
      </c>
      <c r="W15" s="111">
        <v>0</v>
      </c>
      <c r="X15" s="111">
        <v>0</v>
      </c>
      <c r="Y15" s="111">
        <v>0</v>
      </c>
      <c r="Z15" s="111">
        <v>0</v>
      </c>
      <c r="AA15" s="111">
        <v>0</v>
      </c>
      <c r="AB15" s="111">
        <v>0</v>
      </c>
      <c r="AC15" s="111">
        <v>0</v>
      </c>
      <c r="AD15" s="111">
        <v>1</v>
      </c>
      <c r="AE15" s="111">
        <v>0</v>
      </c>
      <c r="AF15" s="111">
        <v>0</v>
      </c>
      <c r="AG15" s="111">
        <v>0</v>
      </c>
      <c r="AH15" s="111">
        <v>0</v>
      </c>
      <c r="AI15" s="111">
        <v>0</v>
      </c>
      <c r="AJ15" s="111">
        <v>0</v>
      </c>
      <c r="AK15" s="111">
        <v>0</v>
      </c>
      <c r="AL15" s="111">
        <v>0</v>
      </c>
      <c r="AM15" s="111">
        <v>0</v>
      </c>
      <c r="AN15" s="111">
        <v>0</v>
      </c>
      <c r="AO15" s="111">
        <v>0</v>
      </c>
      <c r="AP15" s="111">
        <v>0</v>
      </c>
      <c r="AQ15" s="111">
        <v>0</v>
      </c>
      <c r="AR15" s="111">
        <v>0</v>
      </c>
      <c r="AS15" s="111">
        <v>0</v>
      </c>
      <c r="AT15" s="111">
        <v>0</v>
      </c>
      <c r="AU15" s="111">
        <v>0</v>
      </c>
      <c r="AV15" s="111">
        <v>0</v>
      </c>
      <c r="AW15" s="111">
        <v>0</v>
      </c>
      <c r="AX15" s="111">
        <v>0</v>
      </c>
    </row>
    <row r="16" spans="1:50" customFormat="1" x14ac:dyDescent="0.15">
      <c r="A16" s="160" t="s">
        <v>207</v>
      </c>
      <c r="B16" s="111">
        <v>0</v>
      </c>
      <c r="C16" s="111">
        <v>0</v>
      </c>
      <c r="D16" s="111">
        <v>0</v>
      </c>
      <c r="E16" s="111">
        <v>1</v>
      </c>
      <c r="F16" s="111">
        <v>1</v>
      </c>
      <c r="G16" s="111">
        <v>1</v>
      </c>
      <c r="H16" s="111">
        <v>1</v>
      </c>
      <c r="I16" s="111">
        <v>1</v>
      </c>
      <c r="J16" s="111">
        <v>1</v>
      </c>
      <c r="K16" s="111">
        <v>1</v>
      </c>
      <c r="L16" s="111">
        <v>0</v>
      </c>
      <c r="M16" s="111">
        <v>1</v>
      </c>
      <c r="N16" s="111">
        <v>1</v>
      </c>
      <c r="O16" s="111">
        <v>0</v>
      </c>
      <c r="P16" s="111">
        <v>0</v>
      </c>
      <c r="Q16" s="111">
        <v>0</v>
      </c>
      <c r="R16" s="111">
        <v>0</v>
      </c>
      <c r="S16" s="111">
        <v>0</v>
      </c>
      <c r="T16" s="111">
        <v>0</v>
      </c>
      <c r="U16" s="111">
        <v>1</v>
      </c>
      <c r="V16" s="111">
        <v>0</v>
      </c>
      <c r="W16" s="111">
        <v>0</v>
      </c>
      <c r="X16" s="111">
        <v>0</v>
      </c>
      <c r="Y16" s="111">
        <v>0</v>
      </c>
      <c r="Z16" s="111">
        <v>0</v>
      </c>
      <c r="AA16" s="111">
        <v>0</v>
      </c>
      <c r="AB16" s="111">
        <v>0</v>
      </c>
      <c r="AC16" s="111">
        <v>0</v>
      </c>
      <c r="AD16" s="111">
        <v>1</v>
      </c>
      <c r="AE16" s="111">
        <v>0</v>
      </c>
      <c r="AF16" s="111">
        <v>0</v>
      </c>
      <c r="AG16" s="111">
        <v>0</v>
      </c>
      <c r="AH16" s="111">
        <v>0</v>
      </c>
      <c r="AI16" s="111">
        <v>0</v>
      </c>
      <c r="AJ16" s="111">
        <v>0</v>
      </c>
      <c r="AK16" s="111">
        <v>0</v>
      </c>
      <c r="AL16" s="111">
        <v>0</v>
      </c>
      <c r="AM16" s="111">
        <v>0</v>
      </c>
      <c r="AN16" s="111">
        <v>0</v>
      </c>
      <c r="AO16" s="111">
        <v>0</v>
      </c>
      <c r="AP16" s="111">
        <v>0</v>
      </c>
      <c r="AQ16" s="111">
        <v>0</v>
      </c>
      <c r="AR16" s="111">
        <v>0</v>
      </c>
      <c r="AS16" s="111">
        <v>0</v>
      </c>
      <c r="AT16" s="111">
        <v>0</v>
      </c>
      <c r="AU16" s="111">
        <v>0</v>
      </c>
      <c r="AV16" s="111">
        <v>0</v>
      </c>
      <c r="AW16" s="111">
        <v>0</v>
      </c>
      <c r="AX16" s="111">
        <v>0</v>
      </c>
    </row>
    <row r="17" spans="1:50" customFormat="1" x14ac:dyDescent="0.15">
      <c r="A17" s="160" t="s">
        <v>208</v>
      </c>
      <c r="B17" s="111">
        <v>0</v>
      </c>
      <c r="C17" s="111">
        <v>0</v>
      </c>
      <c r="D17" s="111">
        <v>0</v>
      </c>
      <c r="E17" s="111">
        <v>0</v>
      </c>
      <c r="F17" s="111">
        <v>1</v>
      </c>
      <c r="G17" s="111">
        <v>1</v>
      </c>
      <c r="H17" s="111">
        <v>1</v>
      </c>
      <c r="I17" s="111">
        <v>0</v>
      </c>
      <c r="J17" s="111">
        <v>1</v>
      </c>
      <c r="K17" s="111">
        <v>0</v>
      </c>
      <c r="L17" s="111">
        <v>0</v>
      </c>
      <c r="M17" s="111">
        <v>1</v>
      </c>
      <c r="N17" s="111">
        <v>0</v>
      </c>
      <c r="O17" s="111">
        <v>0</v>
      </c>
      <c r="P17" s="111">
        <v>0</v>
      </c>
      <c r="Q17" s="111">
        <v>0</v>
      </c>
      <c r="R17" s="111">
        <v>0</v>
      </c>
      <c r="S17" s="111">
        <v>0</v>
      </c>
      <c r="T17" s="111">
        <v>0</v>
      </c>
      <c r="U17" s="111">
        <v>1</v>
      </c>
      <c r="V17" s="111">
        <v>0</v>
      </c>
      <c r="W17" s="111">
        <v>0</v>
      </c>
      <c r="X17" s="111">
        <v>0</v>
      </c>
      <c r="Y17" s="111">
        <v>0</v>
      </c>
      <c r="Z17" s="111">
        <v>0</v>
      </c>
      <c r="AA17" s="111">
        <v>0</v>
      </c>
      <c r="AB17" s="111">
        <v>0</v>
      </c>
      <c r="AC17" s="111">
        <v>0</v>
      </c>
      <c r="AD17" s="111">
        <v>0</v>
      </c>
      <c r="AE17" s="111">
        <v>0</v>
      </c>
      <c r="AF17" s="111">
        <v>0</v>
      </c>
      <c r="AG17" s="111">
        <v>0</v>
      </c>
      <c r="AH17" s="111">
        <v>0</v>
      </c>
      <c r="AI17" s="111">
        <v>0</v>
      </c>
      <c r="AJ17" s="111">
        <v>0</v>
      </c>
      <c r="AK17" s="111">
        <v>0</v>
      </c>
      <c r="AL17" s="111">
        <v>0</v>
      </c>
      <c r="AM17" s="111">
        <v>0</v>
      </c>
      <c r="AN17" s="111">
        <v>0</v>
      </c>
      <c r="AO17" s="111">
        <v>0</v>
      </c>
      <c r="AP17" s="111">
        <v>0</v>
      </c>
      <c r="AQ17" s="111">
        <v>0</v>
      </c>
      <c r="AR17" s="111">
        <v>0</v>
      </c>
      <c r="AS17" s="111">
        <v>0</v>
      </c>
      <c r="AT17" s="111">
        <v>0</v>
      </c>
      <c r="AU17" s="111">
        <v>0</v>
      </c>
      <c r="AV17" s="111">
        <v>0</v>
      </c>
      <c r="AW17" s="111">
        <v>0</v>
      </c>
      <c r="AX17" s="111">
        <v>0</v>
      </c>
    </row>
    <row r="18" spans="1:50" customFormat="1" x14ac:dyDescent="0.15">
      <c r="A18" s="160" t="s">
        <v>209</v>
      </c>
      <c r="B18" s="111">
        <v>0</v>
      </c>
      <c r="C18" s="111">
        <v>0</v>
      </c>
      <c r="D18" s="111">
        <v>0</v>
      </c>
      <c r="E18" s="111">
        <v>1</v>
      </c>
      <c r="F18" s="111">
        <v>0</v>
      </c>
      <c r="G18" s="111">
        <v>1</v>
      </c>
      <c r="H18" s="111">
        <v>1</v>
      </c>
      <c r="I18" s="111">
        <v>0</v>
      </c>
      <c r="J18" s="111">
        <v>1</v>
      </c>
      <c r="K18" s="111">
        <v>0</v>
      </c>
      <c r="L18" s="111">
        <v>0</v>
      </c>
      <c r="M18" s="111">
        <v>1</v>
      </c>
      <c r="N18" s="111">
        <v>0</v>
      </c>
      <c r="O18" s="111">
        <v>0</v>
      </c>
      <c r="P18" s="111">
        <v>0</v>
      </c>
      <c r="Q18" s="111">
        <v>1</v>
      </c>
      <c r="R18" s="111">
        <v>0</v>
      </c>
      <c r="S18" s="111">
        <v>0</v>
      </c>
      <c r="T18" s="111">
        <v>0</v>
      </c>
      <c r="U18" s="111">
        <v>1</v>
      </c>
      <c r="V18" s="111">
        <v>0</v>
      </c>
      <c r="W18" s="111">
        <v>0</v>
      </c>
      <c r="X18" s="111">
        <v>0</v>
      </c>
      <c r="Y18" s="111">
        <v>0</v>
      </c>
      <c r="Z18" s="111">
        <v>0</v>
      </c>
      <c r="AA18" s="111">
        <v>0</v>
      </c>
      <c r="AB18" s="111">
        <v>0</v>
      </c>
      <c r="AC18" s="111">
        <v>0</v>
      </c>
      <c r="AD18" s="111">
        <v>0</v>
      </c>
      <c r="AE18" s="111">
        <v>0</v>
      </c>
      <c r="AF18" s="111">
        <v>0</v>
      </c>
      <c r="AG18" s="111">
        <v>0</v>
      </c>
      <c r="AH18" s="111">
        <v>0</v>
      </c>
      <c r="AI18" s="111">
        <v>0</v>
      </c>
      <c r="AJ18" s="111">
        <v>0</v>
      </c>
      <c r="AK18" s="111">
        <v>0</v>
      </c>
      <c r="AL18" s="111">
        <v>0</v>
      </c>
      <c r="AM18" s="111">
        <v>0</v>
      </c>
      <c r="AN18" s="111">
        <v>0</v>
      </c>
      <c r="AO18" s="111">
        <v>0</v>
      </c>
      <c r="AP18" s="111">
        <v>0</v>
      </c>
      <c r="AQ18" s="111">
        <v>0</v>
      </c>
      <c r="AR18" s="111">
        <v>0</v>
      </c>
      <c r="AS18" s="111">
        <v>0</v>
      </c>
      <c r="AT18" s="111">
        <v>0</v>
      </c>
      <c r="AU18" s="111">
        <v>0</v>
      </c>
      <c r="AV18" s="111">
        <v>0</v>
      </c>
      <c r="AW18" s="111">
        <v>0</v>
      </c>
      <c r="AX18" s="111">
        <v>0</v>
      </c>
    </row>
    <row r="19" spans="1:50" customFormat="1" x14ac:dyDescent="0.15">
      <c r="A19" s="160" t="s">
        <v>210</v>
      </c>
      <c r="B19" s="111">
        <v>0</v>
      </c>
      <c r="C19" s="111">
        <v>0</v>
      </c>
      <c r="D19" s="111">
        <v>0</v>
      </c>
      <c r="E19" s="111">
        <v>0</v>
      </c>
      <c r="F19" s="111">
        <v>0</v>
      </c>
      <c r="G19" s="111">
        <v>0</v>
      </c>
      <c r="H19" s="111">
        <v>1</v>
      </c>
      <c r="I19" s="111">
        <v>0</v>
      </c>
      <c r="J19" s="111">
        <v>0</v>
      </c>
      <c r="K19" s="111">
        <v>0</v>
      </c>
      <c r="L19" s="111">
        <v>0</v>
      </c>
      <c r="M19" s="111">
        <v>1</v>
      </c>
      <c r="N19" s="111">
        <v>0</v>
      </c>
      <c r="O19" s="111">
        <v>0</v>
      </c>
      <c r="P19" s="111">
        <v>0</v>
      </c>
      <c r="Q19" s="111">
        <v>0</v>
      </c>
      <c r="R19" s="111">
        <v>0</v>
      </c>
      <c r="S19" s="111">
        <v>0</v>
      </c>
      <c r="T19" s="111">
        <v>0</v>
      </c>
      <c r="U19" s="111">
        <v>0</v>
      </c>
      <c r="V19" s="111">
        <v>0</v>
      </c>
      <c r="W19" s="111">
        <v>0</v>
      </c>
      <c r="X19" s="111">
        <v>0</v>
      </c>
      <c r="Y19" s="111">
        <v>0</v>
      </c>
      <c r="Z19" s="111">
        <v>0</v>
      </c>
      <c r="AA19" s="111">
        <v>0</v>
      </c>
      <c r="AB19" s="111">
        <v>0</v>
      </c>
      <c r="AC19" s="111">
        <v>0</v>
      </c>
      <c r="AD19" s="111">
        <v>1</v>
      </c>
      <c r="AE19" s="111">
        <v>0</v>
      </c>
      <c r="AF19" s="111">
        <v>0</v>
      </c>
      <c r="AG19" s="111">
        <v>0</v>
      </c>
      <c r="AH19" s="111">
        <v>0</v>
      </c>
      <c r="AI19" s="111">
        <v>0</v>
      </c>
      <c r="AJ19" s="111">
        <v>0</v>
      </c>
      <c r="AK19" s="111">
        <v>0</v>
      </c>
      <c r="AL19" s="111">
        <v>0</v>
      </c>
      <c r="AM19" s="111">
        <v>0</v>
      </c>
      <c r="AN19" s="111">
        <v>0</v>
      </c>
      <c r="AO19" s="111">
        <v>0</v>
      </c>
      <c r="AP19" s="111">
        <v>0</v>
      </c>
      <c r="AQ19" s="111">
        <v>0</v>
      </c>
      <c r="AR19" s="111">
        <v>0</v>
      </c>
      <c r="AS19" s="111">
        <v>0</v>
      </c>
      <c r="AT19" s="111">
        <v>0</v>
      </c>
      <c r="AU19" s="111">
        <v>0</v>
      </c>
      <c r="AV19" s="111">
        <v>0</v>
      </c>
      <c r="AW19" s="111">
        <v>0</v>
      </c>
      <c r="AX19" s="111">
        <v>0</v>
      </c>
    </row>
    <row r="20" spans="1:50" customFormat="1" x14ac:dyDescent="0.15">
      <c r="A20" s="160" t="s">
        <v>211</v>
      </c>
      <c r="B20" s="111">
        <v>0</v>
      </c>
      <c r="C20" s="111">
        <v>0</v>
      </c>
      <c r="D20" s="111">
        <v>0</v>
      </c>
      <c r="E20" s="111">
        <v>1</v>
      </c>
      <c r="F20" s="111">
        <v>0</v>
      </c>
      <c r="G20" s="111">
        <v>1</v>
      </c>
      <c r="H20" s="111">
        <v>1</v>
      </c>
      <c r="I20" s="111">
        <v>0</v>
      </c>
      <c r="J20" s="111">
        <v>1</v>
      </c>
      <c r="K20" s="111">
        <v>0</v>
      </c>
      <c r="L20" s="111">
        <v>0</v>
      </c>
      <c r="M20" s="111">
        <v>1</v>
      </c>
      <c r="N20" s="111">
        <v>0</v>
      </c>
      <c r="O20" s="111">
        <v>0</v>
      </c>
      <c r="P20" s="111">
        <v>0</v>
      </c>
      <c r="Q20" s="111">
        <v>0</v>
      </c>
      <c r="R20" s="111">
        <v>0</v>
      </c>
      <c r="S20" s="111">
        <v>0</v>
      </c>
      <c r="T20" s="111">
        <v>0</v>
      </c>
      <c r="U20" s="111">
        <v>1</v>
      </c>
      <c r="V20" s="111">
        <v>0</v>
      </c>
      <c r="W20" s="111">
        <v>0</v>
      </c>
      <c r="X20" s="111">
        <v>0</v>
      </c>
      <c r="Y20" s="111">
        <v>0</v>
      </c>
      <c r="Z20" s="111">
        <v>0</v>
      </c>
      <c r="AA20" s="111">
        <v>0</v>
      </c>
      <c r="AB20" s="111">
        <v>0</v>
      </c>
      <c r="AC20" s="111">
        <v>1</v>
      </c>
      <c r="AD20" s="111">
        <v>0</v>
      </c>
      <c r="AE20" s="111">
        <v>0</v>
      </c>
      <c r="AF20" s="111">
        <v>0</v>
      </c>
      <c r="AG20" s="111">
        <v>0</v>
      </c>
      <c r="AH20" s="111">
        <v>0</v>
      </c>
      <c r="AI20" s="111">
        <v>0</v>
      </c>
      <c r="AJ20" s="111">
        <v>0</v>
      </c>
      <c r="AK20" s="111">
        <v>0</v>
      </c>
      <c r="AL20" s="111">
        <v>0</v>
      </c>
      <c r="AM20" s="111">
        <v>0</v>
      </c>
      <c r="AN20" s="111">
        <v>0</v>
      </c>
      <c r="AO20" s="111">
        <v>0</v>
      </c>
      <c r="AP20" s="111">
        <v>0</v>
      </c>
      <c r="AQ20" s="111">
        <v>0</v>
      </c>
      <c r="AR20" s="111">
        <v>0</v>
      </c>
      <c r="AS20" s="111">
        <v>0</v>
      </c>
      <c r="AT20" s="111">
        <v>0</v>
      </c>
      <c r="AU20" s="111">
        <v>0</v>
      </c>
      <c r="AV20" s="111">
        <v>0</v>
      </c>
      <c r="AW20" s="111">
        <v>0</v>
      </c>
      <c r="AX20" s="111">
        <v>0</v>
      </c>
    </row>
    <row r="21" spans="1:50" customFormat="1" x14ac:dyDescent="0.15">
      <c r="A21" s="160" t="s">
        <v>212</v>
      </c>
      <c r="B21" s="111">
        <v>0</v>
      </c>
      <c r="C21" s="111">
        <v>0</v>
      </c>
      <c r="D21" s="111">
        <v>0</v>
      </c>
      <c r="E21" s="111">
        <v>1</v>
      </c>
      <c r="F21" s="111">
        <v>1</v>
      </c>
      <c r="G21" s="111">
        <v>1</v>
      </c>
      <c r="H21" s="111">
        <v>1</v>
      </c>
      <c r="I21" s="111">
        <v>0</v>
      </c>
      <c r="J21" s="111">
        <v>1</v>
      </c>
      <c r="K21" s="111">
        <v>1</v>
      </c>
      <c r="L21" s="111">
        <v>0</v>
      </c>
      <c r="M21" s="111">
        <v>0</v>
      </c>
      <c r="N21" s="111">
        <v>1</v>
      </c>
      <c r="O21" s="111">
        <v>0</v>
      </c>
      <c r="P21" s="111">
        <v>1</v>
      </c>
      <c r="Q21" s="111">
        <v>1</v>
      </c>
      <c r="R21" s="111">
        <v>0</v>
      </c>
      <c r="S21" s="111">
        <v>0</v>
      </c>
      <c r="T21" s="111">
        <v>0</v>
      </c>
      <c r="U21" s="111">
        <v>1</v>
      </c>
      <c r="V21" s="111">
        <v>0</v>
      </c>
      <c r="W21" s="111">
        <v>0</v>
      </c>
      <c r="X21" s="111">
        <v>0</v>
      </c>
      <c r="Y21" s="111">
        <v>0</v>
      </c>
      <c r="Z21" s="111">
        <v>0</v>
      </c>
      <c r="AA21" s="111">
        <v>0</v>
      </c>
      <c r="AB21" s="111">
        <v>0</v>
      </c>
      <c r="AC21" s="111">
        <v>0</v>
      </c>
      <c r="AD21" s="111">
        <v>0</v>
      </c>
      <c r="AE21" s="111">
        <v>0</v>
      </c>
      <c r="AF21" s="111">
        <v>0</v>
      </c>
      <c r="AG21" s="111">
        <v>0</v>
      </c>
      <c r="AH21" s="111">
        <v>0</v>
      </c>
      <c r="AI21" s="111">
        <v>0</v>
      </c>
      <c r="AJ21" s="111">
        <v>0</v>
      </c>
      <c r="AK21" s="111">
        <v>0</v>
      </c>
      <c r="AL21" s="111">
        <v>0</v>
      </c>
      <c r="AM21" s="111">
        <v>0</v>
      </c>
      <c r="AN21" s="111">
        <v>0</v>
      </c>
      <c r="AO21" s="111">
        <v>0</v>
      </c>
      <c r="AP21" s="111">
        <v>0</v>
      </c>
      <c r="AQ21" s="111">
        <v>0</v>
      </c>
      <c r="AR21" s="111">
        <v>0</v>
      </c>
      <c r="AS21" s="111">
        <v>0</v>
      </c>
      <c r="AT21" s="111">
        <v>0</v>
      </c>
      <c r="AU21" s="111">
        <v>0</v>
      </c>
      <c r="AV21" s="111">
        <v>0</v>
      </c>
      <c r="AW21" s="111">
        <v>0</v>
      </c>
      <c r="AX21" s="111">
        <v>0</v>
      </c>
    </row>
    <row r="22" spans="1:50" customFormat="1" x14ac:dyDescent="0.15">
      <c r="A22" s="160" t="s">
        <v>213</v>
      </c>
      <c r="B22" s="111">
        <v>1</v>
      </c>
      <c r="C22" s="111">
        <v>0</v>
      </c>
      <c r="D22" s="111">
        <v>0</v>
      </c>
      <c r="E22" s="111">
        <v>1</v>
      </c>
      <c r="F22" s="111">
        <v>1</v>
      </c>
      <c r="G22" s="111">
        <v>1</v>
      </c>
      <c r="H22" s="111">
        <v>1</v>
      </c>
      <c r="I22" s="111">
        <v>0</v>
      </c>
      <c r="J22" s="111">
        <v>1</v>
      </c>
      <c r="K22" s="111">
        <v>1</v>
      </c>
      <c r="L22" s="111">
        <v>1</v>
      </c>
      <c r="M22" s="111">
        <v>1</v>
      </c>
      <c r="N22" s="111">
        <v>1</v>
      </c>
      <c r="O22" s="111">
        <v>1</v>
      </c>
      <c r="P22" s="111">
        <v>1</v>
      </c>
      <c r="Q22" s="111">
        <v>1</v>
      </c>
      <c r="R22" s="111">
        <v>0</v>
      </c>
      <c r="S22" s="111">
        <v>0</v>
      </c>
      <c r="T22" s="111">
        <v>0</v>
      </c>
      <c r="U22" s="111">
        <v>1</v>
      </c>
      <c r="V22" s="111">
        <v>0</v>
      </c>
      <c r="W22" s="111">
        <v>0</v>
      </c>
      <c r="X22" s="111">
        <v>0</v>
      </c>
      <c r="Y22" s="111">
        <v>0</v>
      </c>
      <c r="Z22" s="111">
        <v>0</v>
      </c>
      <c r="AA22" s="111">
        <v>0</v>
      </c>
      <c r="AB22" s="111">
        <v>0</v>
      </c>
      <c r="AC22" s="111">
        <v>0</v>
      </c>
      <c r="AD22" s="111">
        <v>1</v>
      </c>
      <c r="AE22" s="111">
        <v>0</v>
      </c>
      <c r="AF22" s="111">
        <v>0</v>
      </c>
      <c r="AG22" s="111">
        <v>0</v>
      </c>
      <c r="AH22" s="111">
        <v>0</v>
      </c>
      <c r="AI22" s="111">
        <v>0</v>
      </c>
      <c r="AJ22" s="111">
        <v>0</v>
      </c>
      <c r="AK22" s="111">
        <v>0</v>
      </c>
      <c r="AL22" s="111">
        <v>0</v>
      </c>
      <c r="AM22" s="111">
        <v>0</v>
      </c>
      <c r="AN22" s="111">
        <v>0</v>
      </c>
      <c r="AO22" s="111">
        <v>0</v>
      </c>
      <c r="AP22" s="111">
        <v>0</v>
      </c>
      <c r="AQ22" s="111">
        <v>0</v>
      </c>
      <c r="AR22" s="111">
        <v>0</v>
      </c>
      <c r="AS22" s="111">
        <v>0</v>
      </c>
      <c r="AT22" s="111">
        <v>0</v>
      </c>
      <c r="AU22" s="111">
        <v>0</v>
      </c>
      <c r="AV22" s="111">
        <v>0</v>
      </c>
      <c r="AW22" s="111">
        <v>0</v>
      </c>
      <c r="AX22" s="111">
        <v>0</v>
      </c>
    </row>
    <row r="23" spans="1:50" customFormat="1" x14ac:dyDescent="0.15">
      <c r="A23" s="160" t="s">
        <v>214</v>
      </c>
      <c r="B23" s="111">
        <v>0</v>
      </c>
      <c r="C23" s="111">
        <v>0</v>
      </c>
      <c r="D23" s="111">
        <v>1</v>
      </c>
      <c r="E23" s="111">
        <v>1</v>
      </c>
      <c r="F23" s="111">
        <v>1</v>
      </c>
      <c r="G23" s="111">
        <v>1</v>
      </c>
      <c r="H23" s="111">
        <v>1</v>
      </c>
      <c r="I23" s="111">
        <v>0</v>
      </c>
      <c r="J23" s="111">
        <v>1</v>
      </c>
      <c r="K23" s="111">
        <v>1</v>
      </c>
      <c r="L23" s="111">
        <v>1</v>
      </c>
      <c r="M23" s="111">
        <v>1</v>
      </c>
      <c r="N23" s="111">
        <v>1</v>
      </c>
      <c r="O23" s="111">
        <v>1</v>
      </c>
      <c r="P23" s="111">
        <v>1</v>
      </c>
      <c r="Q23" s="111">
        <v>1</v>
      </c>
      <c r="R23" s="111">
        <v>0</v>
      </c>
      <c r="S23" s="111">
        <v>0</v>
      </c>
      <c r="T23" s="111">
        <v>0</v>
      </c>
      <c r="U23" s="111">
        <v>1</v>
      </c>
      <c r="V23" s="111">
        <v>0</v>
      </c>
      <c r="W23" s="111">
        <v>1</v>
      </c>
      <c r="X23" s="111">
        <v>1</v>
      </c>
      <c r="Y23" s="111">
        <v>1</v>
      </c>
      <c r="Z23" s="111">
        <v>0</v>
      </c>
      <c r="AA23" s="111">
        <v>0</v>
      </c>
      <c r="AB23" s="111">
        <v>0</v>
      </c>
      <c r="AC23" s="111">
        <v>1</v>
      </c>
      <c r="AD23" s="111">
        <v>1</v>
      </c>
      <c r="AE23" s="111">
        <v>1</v>
      </c>
      <c r="AF23" s="111">
        <v>1</v>
      </c>
      <c r="AG23" s="111">
        <v>0</v>
      </c>
      <c r="AH23" s="111">
        <v>0</v>
      </c>
      <c r="AI23" s="111">
        <v>0</v>
      </c>
      <c r="AJ23" s="111">
        <v>0</v>
      </c>
      <c r="AK23" s="111">
        <v>0</v>
      </c>
      <c r="AL23" s="111">
        <v>0</v>
      </c>
      <c r="AM23" s="111">
        <v>0</v>
      </c>
      <c r="AN23" s="111">
        <v>0</v>
      </c>
      <c r="AO23" s="111">
        <v>0</v>
      </c>
      <c r="AP23" s="111">
        <v>0</v>
      </c>
      <c r="AQ23" s="111">
        <v>0</v>
      </c>
      <c r="AR23" s="111">
        <v>0</v>
      </c>
      <c r="AS23" s="111">
        <v>0</v>
      </c>
      <c r="AT23" s="111">
        <v>0</v>
      </c>
      <c r="AU23" s="111">
        <v>0</v>
      </c>
      <c r="AV23" s="111">
        <v>0</v>
      </c>
      <c r="AW23" s="111">
        <v>0</v>
      </c>
      <c r="AX23" s="111">
        <v>0</v>
      </c>
    </row>
    <row r="24" spans="1:50" customFormat="1" x14ac:dyDescent="0.15">
      <c r="A24" s="160" t="s">
        <v>215</v>
      </c>
      <c r="B24" s="111">
        <v>1</v>
      </c>
      <c r="C24" s="111">
        <v>1</v>
      </c>
      <c r="D24" s="111">
        <v>0</v>
      </c>
      <c r="E24" s="111">
        <v>1</v>
      </c>
      <c r="F24" s="111">
        <v>1</v>
      </c>
      <c r="G24" s="111">
        <v>1</v>
      </c>
      <c r="H24" s="111">
        <v>1</v>
      </c>
      <c r="I24" s="111">
        <v>1</v>
      </c>
      <c r="J24" s="111">
        <v>1</v>
      </c>
      <c r="K24" s="111">
        <v>0</v>
      </c>
      <c r="L24" s="111">
        <v>0</v>
      </c>
      <c r="M24" s="111">
        <v>1</v>
      </c>
      <c r="N24" s="111">
        <v>1</v>
      </c>
      <c r="O24" s="111">
        <v>0</v>
      </c>
      <c r="P24" s="111">
        <v>1</v>
      </c>
      <c r="Q24" s="111">
        <v>0</v>
      </c>
      <c r="R24" s="111">
        <v>0</v>
      </c>
      <c r="S24" s="111">
        <v>0</v>
      </c>
      <c r="T24" s="111">
        <v>0</v>
      </c>
      <c r="U24" s="111">
        <v>0</v>
      </c>
      <c r="V24" s="111">
        <v>0</v>
      </c>
      <c r="W24" s="111">
        <v>0</v>
      </c>
      <c r="X24" s="111">
        <v>0</v>
      </c>
      <c r="Y24" s="111">
        <v>0</v>
      </c>
      <c r="Z24" s="111">
        <v>0</v>
      </c>
      <c r="AA24" s="111">
        <v>0</v>
      </c>
      <c r="AB24" s="111">
        <v>0</v>
      </c>
      <c r="AC24" s="111">
        <v>0</v>
      </c>
      <c r="AD24" s="111">
        <v>1</v>
      </c>
      <c r="AE24" s="111">
        <v>0</v>
      </c>
      <c r="AF24" s="111">
        <v>0</v>
      </c>
      <c r="AG24" s="111">
        <v>0</v>
      </c>
      <c r="AH24" s="111">
        <v>0</v>
      </c>
      <c r="AI24" s="111">
        <v>0</v>
      </c>
      <c r="AJ24" s="111">
        <v>0</v>
      </c>
      <c r="AK24" s="111">
        <v>0</v>
      </c>
      <c r="AL24" s="111">
        <v>0</v>
      </c>
      <c r="AM24" s="111">
        <v>0</v>
      </c>
      <c r="AN24" s="111">
        <v>0</v>
      </c>
      <c r="AO24" s="111">
        <v>0</v>
      </c>
      <c r="AP24" s="111">
        <v>0</v>
      </c>
      <c r="AQ24" s="111">
        <v>0</v>
      </c>
      <c r="AR24" s="111">
        <v>0</v>
      </c>
      <c r="AS24" s="111">
        <v>0</v>
      </c>
      <c r="AT24" s="111">
        <v>0</v>
      </c>
      <c r="AU24" s="111">
        <v>0</v>
      </c>
      <c r="AV24" s="111">
        <v>0</v>
      </c>
      <c r="AW24" s="111">
        <v>0</v>
      </c>
      <c r="AX24" s="111">
        <v>0</v>
      </c>
    </row>
    <row r="25" spans="1:50" customFormat="1" x14ac:dyDescent="0.15">
      <c r="A25" s="160" t="s">
        <v>216</v>
      </c>
      <c r="B25" s="111">
        <v>1</v>
      </c>
      <c r="C25" s="111">
        <v>1</v>
      </c>
      <c r="D25" s="111">
        <v>1</v>
      </c>
      <c r="E25" s="111">
        <v>1</v>
      </c>
      <c r="F25" s="111">
        <v>1</v>
      </c>
      <c r="G25" s="111">
        <v>1</v>
      </c>
      <c r="H25" s="111">
        <v>1</v>
      </c>
      <c r="I25" s="111">
        <v>1</v>
      </c>
      <c r="J25" s="111">
        <v>1</v>
      </c>
      <c r="K25" s="111">
        <v>0</v>
      </c>
      <c r="L25" s="111">
        <v>0</v>
      </c>
      <c r="M25" s="111">
        <v>1</v>
      </c>
      <c r="N25" s="111">
        <v>0</v>
      </c>
      <c r="O25" s="111">
        <v>0</v>
      </c>
      <c r="P25" s="111">
        <v>1</v>
      </c>
      <c r="Q25" s="111">
        <v>1</v>
      </c>
      <c r="R25" s="111">
        <v>0</v>
      </c>
      <c r="S25" s="111">
        <v>0</v>
      </c>
      <c r="T25" s="111">
        <v>0</v>
      </c>
      <c r="U25" s="111">
        <v>0</v>
      </c>
      <c r="V25" s="111">
        <v>0</v>
      </c>
      <c r="W25" s="111">
        <v>0</v>
      </c>
      <c r="X25" s="111">
        <v>0</v>
      </c>
      <c r="Y25" s="111">
        <v>0</v>
      </c>
      <c r="Z25" s="111">
        <v>0</v>
      </c>
      <c r="AA25" s="111">
        <v>0</v>
      </c>
      <c r="AB25" s="111">
        <v>0</v>
      </c>
      <c r="AC25" s="111">
        <v>0</v>
      </c>
      <c r="AD25" s="111">
        <v>1</v>
      </c>
      <c r="AE25" s="111">
        <v>0</v>
      </c>
      <c r="AF25" s="111">
        <v>0</v>
      </c>
      <c r="AG25" s="111">
        <v>0</v>
      </c>
      <c r="AH25" s="111">
        <v>0</v>
      </c>
      <c r="AI25" s="111">
        <v>0</v>
      </c>
      <c r="AJ25" s="111">
        <v>0</v>
      </c>
      <c r="AK25" s="111">
        <v>0</v>
      </c>
      <c r="AL25" s="111">
        <v>0</v>
      </c>
      <c r="AM25" s="111">
        <v>0</v>
      </c>
      <c r="AN25" s="111">
        <v>0</v>
      </c>
      <c r="AO25" s="111">
        <v>0</v>
      </c>
      <c r="AP25" s="111">
        <v>0</v>
      </c>
      <c r="AQ25" s="111">
        <v>0</v>
      </c>
      <c r="AR25" s="111">
        <v>0</v>
      </c>
      <c r="AS25" s="111">
        <v>0</v>
      </c>
      <c r="AT25" s="111">
        <v>0</v>
      </c>
      <c r="AU25" s="111">
        <v>0</v>
      </c>
      <c r="AV25" s="111">
        <v>0</v>
      </c>
      <c r="AW25" s="111">
        <v>0</v>
      </c>
      <c r="AX25" s="111">
        <v>0</v>
      </c>
    </row>
    <row r="26" spans="1:50" customFormat="1" x14ac:dyDescent="0.15">
      <c r="A26" s="160" t="s">
        <v>217</v>
      </c>
      <c r="B26" s="111">
        <v>0</v>
      </c>
      <c r="C26" s="111">
        <v>1</v>
      </c>
      <c r="D26" s="111">
        <v>0</v>
      </c>
      <c r="E26" s="111">
        <v>1</v>
      </c>
      <c r="F26" s="111">
        <v>1</v>
      </c>
      <c r="G26" s="111">
        <v>1</v>
      </c>
      <c r="H26" s="111">
        <v>1</v>
      </c>
      <c r="I26" s="111">
        <v>0</v>
      </c>
      <c r="J26" s="111">
        <v>1</v>
      </c>
      <c r="K26" s="111">
        <v>1</v>
      </c>
      <c r="L26" s="111">
        <v>0</v>
      </c>
      <c r="M26" s="111">
        <v>1</v>
      </c>
      <c r="N26" s="111">
        <v>0</v>
      </c>
      <c r="O26" s="111">
        <v>1</v>
      </c>
      <c r="P26" s="111">
        <v>1</v>
      </c>
      <c r="Q26" s="111">
        <v>1</v>
      </c>
      <c r="R26" s="111">
        <v>0</v>
      </c>
      <c r="S26" s="111">
        <v>0</v>
      </c>
      <c r="T26" s="111">
        <v>0</v>
      </c>
      <c r="U26" s="111">
        <v>0</v>
      </c>
      <c r="V26" s="111">
        <v>0</v>
      </c>
      <c r="W26" s="111">
        <v>0</v>
      </c>
      <c r="X26" s="111">
        <v>1</v>
      </c>
      <c r="Y26" s="111">
        <v>1</v>
      </c>
      <c r="Z26" s="111">
        <v>0</v>
      </c>
      <c r="AA26" s="111">
        <v>0</v>
      </c>
      <c r="AB26" s="111">
        <v>0</v>
      </c>
      <c r="AC26" s="111">
        <v>1</v>
      </c>
      <c r="AD26" s="111">
        <v>1</v>
      </c>
      <c r="AE26" s="111">
        <v>0</v>
      </c>
      <c r="AF26" s="111">
        <v>1</v>
      </c>
      <c r="AG26" s="111">
        <v>0</v>
      </c>
      <c r="AH26" s="111">
        <v>0</v>
      </c>
      <c r="AI26" s="111">
        <v>0</v>
      </c>
      <c r="AJ26" s="111">
        <v>0</v>
      </c>
      <c r="AK26" s="111">
        <v>0</v>
      </c>
      <c r="AL26" s="111">
        <v>0</v>
      </c>
      <c r="AM26" s="111">
        <v>0</v>
      </c>
      <c r="AN26" s="111">
        <v>0</v>
      </c>
      <c r="AO26" s="111">
        <v>0</v>
      </c>
      <c r="AP26" s="111">
        <v>0</v>
      </c>
      <c r="AQ26" s="111">
        <v>0</v>
      </c>
      <c r="AR26" s="111">
        <v>0</v>
      </c>
      <c r="AS26" s="111">
        <v>0</v>
      </c>
      <c r="AT26" s="111">
        <v>0</v>
      </c>
      <c r="AU26" s="111">
        <v>0</v>
      </c>
      <c r="AV26" s="111">
        <v>0</v>
      </c>
      <c r="AW26" s="111">
        <v>0</v>
      </c>
      <c r="AX26" s="111">
        <v>0</v>
      </c>
    </row>
    <row r="27" spans="1:50" customFormat="1" x14ac:dyDescent="0.15">
      <c r="A27" s="160" t="s">
        <v>218</v>
      </c>
      <c r="B27" s="111">
        <v>1</v>
      </c>
      <c r="C27" s="111">
        <v>1</v>
      </c>
      <c r="D27" s="111">
        <v>1</v>
      </c>
      <c r="E27" s="111">
        <v>1</v>
      </c>
      <c r="F27" s="111">
        <v>0</v>
      </c>
      <c r="G27" s="111">
        <v>1</v>
      </c>
      <c r="H27" s="111">
        <v>1</v>
      </c>
      <c r="I27" s="111">
        <v>1</v>
      </c>
      <c r="J27" s="111">
        <v>1</v>
      </c>
      <c r="K27" s="111">
        <v>0</v>
      </c>
      <c r="L27" s="111">
        <v>0</v>
      </c>
      <c r="M27" s="111">
        <v>1</v>
      </c>
      <c r="N27" s="111">
        <v>0</v>
      </c>
      <c r="O27" s="111">
        <v>0</v>
      </c>
      <c r="P27" s="111">
        <v>1</v>
      </c>
      <c r="Q27" s="111">
        <v>0</v>
      </c>
      <c r="R27" s="111">
        <v>0</v>
      </c>
      <c r="S27" s="111">
        <v>0</v>
      </c>
      <c r="T27" s="111">
        <v>0</v>
      </c>
      <c r="U27" s="111">
        <v>0</v>
      </c>
      <c r="V27" s="111">
        <v>0</v>
      </c>
      <c r="W27" s="111">
        <v>0</v>
      </c>
      <c r="X27" s="111">
        <v>0</v>
      </c>
      <c r="Y27" s="111">
        <v>1</v>
      </c>
      <c r="Z27" s="111">
        <v>0</v>
      </c>
      <c r="AA27" s="111">
        <v>0</v>
      </c>
      <c r="AB27" s="111">
        <v>0</v>
      </c>
      <c r="AC27" s="111">
        <v>1</v>
      </c>
      <c r="AD27" s="111">
        <v>1</v>
      </c>
      <c r="AE27" s="111">
        <v>0</v>
      </c>
      <c r="AF27" s="111">
        <v>0</v>
      </c>
      <c r="AG27" s="111">
        <v>0</v>
      </c>
      <c r="AH27" s="111">
        <v>0</v>
      </c>
      <c r="AI27" s="111">
        <v>0</v>
      </c>
      <c r="AJ27" s="111">
        <v>0</v>
      </c>
      <c r="AK27" s="111">
        <v>0</v>
      </c>
      <c r="AL27" s="111">
        <v>0</v>
      </c>
      <c r="AM27" s="111">
        <v>0</v>
      </c>
      <c r="AN27" s="111">
        <v>0</v>
      </c>
      <c r="AO27" s="111">
        <v>0</v>
      </c>
      <c r="AP27" s="111">
        <v>0</v>
      </c>
      <c r="AQ27" s="111">
        <v>0</v>
      </c>
      <c r="AR27" s="111">
        <v>0</v>
      </c>
      <c r="AS27" s="111">
        <v>0</v>
      </c>
      <c r="AT27" s="111">
        <v>0</v>
      </c>
      <c r="AU27" s="111">
        <v>0</v>
      </c>
      <c r="AV27" s="111">
        <v>0</v>
      </c>
      <c r="AW27" s="111">
        <v>0</v>
      </c>
      <c r="AX27" s="111">
        <v>0</v>
      </c>
    </row>
    <row r="28" spans="1:50" customFormat="1" x14ac:dyDescent="0.15">
      <c r="A28" s="160" t="s">
        <v>219</v>
      </c>
      <c r="B28" s="111">
        <v>1</v>
      </c>
      <c r="C28" s="111">
        <v>1</v>
      </c>
      <c r="D28" s="111">
        <v>0</v>
      </c>
      <c r="E28" s="111">
        <v>1</v>
      </c>
      <c r="F28" s="111">
        <v>1</v>
      </c>
      <c r="G28" s="111">
        <v>1</v>
      </c>
      <c r="H28" s="111">
        <v>1</v>
      </c>
      <c r="I28" s="111">
        <v>1</v>
      </c>
      <c r="J28" s="111">
        <v>1</v>
      </c>
      <c r="K28" s="111">
        <v>0</v>
      </c>
      <c r="L28" s="111">
        <v>0</v>
      </c>
      <c r="M28" s="111">
        <v>1</v>
      </c>
      <c r="N28" s="111">
        <v>1</v>
      </c>
      <c r="O28" s="111">
        <v>1</v>
      </c>
      <c r="P28" s="111">
        <v>1</v>
      </c>
      <c r="Q28" s="111">
        <v>0</v>
      </c>
      <c r="R28" s="111">
        <v>0</v>
      </c>
      <c r="S28" s="111">
        <v>0</v>
      </c>
      <c r="T28" s="111">
        <v>0</v>
      </c>
      <c r="U28" s="111">
        <v>1</v>
      </c>
      <c r="V28" s="111">
        <v>0</v>
      </c>
      <c r="W28" s="111">
        <v>0</v>
      </c>
      <c r="X28" s="111">
        <v>1</v>
      </c>
      <c r="Y28" s="111">
        <v>1</v>
      </c>
      <c r="Z28" s="111">
        <v>0</v>
      </c>
      <c r="AA28" s="111">
        <v>0</v>
      </c>
      <c r="AB28" s="111">
        <v>0</v>
      </c>
      <c r="AC28" s="111">
        <v>0</v>
      </c>
      <c r="AD28" s="111">
        <v>1</v>
      </c>
      <c r="AE28" s="111">
        <v>1</v>
      </c>
      <c r="AF28" s="111">
        <v>1</v>
      </c>
      <c r="AG28" s="111">
        <v>0</v>
      </c>
      <c r="AH28" s="111">
        <v>0</v>
      </c>
      <c r="AI28" s="111">
        <v>0</v>
      </c>
      <c r="AJ28" s="111">
        <v>0</v>
      </c>
      <c r="AK28" s="111">
        <v>0</v>
      </c>
      <c r="AL28" s="111">
        <v>0</v>
      </c>
      <c r="AM28" s="111">
        <v>0</v>
      </c>
      <c r="AN28" s="111">
        <v>0</v>
      </c>
      <c r="AO28" s="111">
        <v>0</v>
      </c>
      <c r="AP28" s="111">
        <v>0</v>
      </c>
      <c r="AQ28" s="111">
        <v>0</v>
      </c>
      <c r="AR28" s="111">
        <v>0</v>
      </c>
      <c r="AS28" s="111">
        <v>0</v>
      </c>
      <c r="AT28" s="111">
        <v>0</v>
      </c>
      <c r="AU28" s="111">
        <v>0</v>
      </c>
      <c r="AV28" s="111">
        <v>0</v>
      </c>
      <c r="AW28" s="111">
        <v>0</v>
      </c>
      <c r="AX28" s="111">
        <v>0</v>
      </c>
    </row>
    <row r="29" spans="1:50" customFormat="1" x14ac:dyDescent="0.15">
      <c r="A29" s="160" t="s">
        <v>220</v>
      </c>
      <c r="B29" s="111">
        <v>0</v>
      </c>
      <c r="C29" s="111">
        <v>0</v>
      </c>
      <c r="D29" s="111">
        <v>0</v>
      </c>
      <c r="E29" s="111">
        <v>1</v>
      </c>
      <c r="F29" s="111">
        <v>1</v>
      </c>
      <c r="G29" s="111">
        <v>1</v>
      </c>
      <c r="H29" s="111">
        <v>1</v>
      </c>
      <c r="I29" s="111">
        <v>1</v>
      </c>
      <c r="J29" s="111">
        <v>1</v>
      </c>
      <c r="K29" s="111">
        <v>1</v>
      </c>
      <c r="L29" s="111">
        <v>0</v>
      </c>
      <c r="M29" s="111">
        <v>1</v>
      </c>
      <c r="N29" s="111">
        <v>1</v>
      </c>
      <c r="O29" s="111">
        <v>0</v>
      </c>
      <c r="P29" s="111">
        <v>1</v>
      </c>
      <c r="Q29" s="111">
        <v>0</v>
      </c>
      <c r="R29" s="111">
        <v>0</v>
      </c>
      <c r="S29" s="111">
        <v>0</v>
      </c>
      <c r="T29" s="111">
        <v>0</v>
      </c>
      <c r="U29" s="111">
        <v>0</v>
      </c>
      <c r="V29" s="111">
        <v>0</v>
      </c>
      <c r="W29" s="111">
        <v>0</v>
      </c>
      <c r="X29" s="111">
        <v>0</v>
      </c>
      <c r="Y29" s="111">
        <v>0</v>
      </c>
      <c r="Z29" s="111">
        <v>0</v>
      </c>
      <c r="AA29" s="111">
        <v>0</v>
      </c>
      <c r="AB29" s="111">
        <v>0</v>
      </c>
      <c r="AC29" s="111">
        <v>0</v>
      </c>
      <c r="AD29" s="111">
        <v>1</v>
      </c>
      <c r="AE29" s="111">
        <v>0</v>
      </c>
      <c r="AF29" s="111">
        <v>0</v>
      </c>
      <c r="AG29" s="111">
        <v>0</v>
      </c>
      <c r="AH29" s="111">
        <v>0</v>
      </c>
      <c r="AI29" s="111">
        <v>0</v>
      </c>
      <c r="AJ29" s="111">
        <v>0</v>
      </c>
      <c r="AK29" s="111">
        <v>0</v>
      </c>
      <c r="AL29" s="111">
        <v>0</v>
      </c>
      <c r="AM29" s="111">
        <v>0</v>
      </c>
      <c r="AN29" s="111">
        <v>0</v>
      </c>
      <c r="AO29" s="111">
        <v>0</v>
      </c>
      <c r="AP29" s="111">
        <v>0</v>
      </c>
      <c r="AQ29" s="111">
        <v>0</v>
      </c>
      <c r="AR29" s="111">
        <v>0</v>
      </c>
      <c r="AS29" s="111">
        <v>0</v>
      </c>
      <c r="AT29" s="111">
        <v>0</v>
      </c>
      <c r="AU29" s="111">
        <v>0</v>
      </c>
      <c r="AV29" s="111">
        <v>0</v>
      </c>
      <c r="AW29" s="111">
        <v>0</v>
      </c>
      <c r="AX29" s="111">
        <v>0</v>
      </c>
    </row>
    <row r="30" spans="1:50" customFormat="1" x14ac:dyDescent="0.15">
      <c r="A30" s="160" t="s">
        <v>221</v>
      </c>
      <c r="B30" s="111">
        <v>0</v>
      </c>
      <c r="C30" s="111">
        <v>0</v>
      </c>
      <c r="D30" s="111">
        <v>0</v>
      </c>
      <c r="E30" s="111">
        <v>1</v>
      </c>
      <c r="F30" s="111">
        <v>1</v>
      </c>
      <c r="G30" s="111">
        <v>1</v>
      </c>
      <c r="H30" s="111">
        <v>0</v>
      </c>
      <c r="I30" s="111">
        <v>0</v>
      </c>
      <c r="J30" s="111">
        <v>0</v>
      </c>
      <c r="K30" s="111">
        <v>0</v>
      </c>
      <c r="L30" s="111">
        <v>0</v>
      </c>
      <c r="M30" s="111">
        <v>1</v>
      </c>
      <c r="N30" s="111">
        <v>0</v>
      </c>
      <c r="O30" s="111">
        <v>0</v>
      </c>
      <c r="P30" s="111">
        <v>0</v>
      </c>
      <c r="Q30" s="111">
        <v>0</v>
      </c>
      <c r="R30" s="111">
        <v>0</v>
      </c>
      <c r="S30" s="111">
        <v>0</v>
      </c>
      <c r="T30" s="111">
        <v>0</v>
      </c>
      <c r="U30" s="111">
        <v>0</v>
      </c>
      <c r="V30" s="111">
        <v>0</v>
      </c>
      <c r="W30" s="111">
        <v>0</v>
      </c>
      <c r="X30" s="111">
        <v>0</v>
      </c>
      <c r="Y30" s="111">
        <v>0</v>
      </c>
      <c r="Z30" s="111">
        <v>0</v>
      </c>
      <c r="AA30" s="111">
        <v>0</v>
      </c>
      <c r="AB30" s="111">
        <v>0</v>
      </c>
      <c r="AC30" s="111">
        <v>0</v>
      </c>
      <c r="AD30" s="111">
        <v>1</v>
      </c>
      <c r="AE30" s="111">
        <v>0</v>
      </c>
      <c r="AF30" s="111">
        <v>0</v>
      </c>
      <c r="AG30" s="111">
        <v>0</v>
      </c>
      <c r="AH30" s="111">
        <v>0</v>
      </c>
      <c r="AI30" s="111">
        <v>0</v>
      </c>
      <c r="AJ30" s="111">
        <v>0</v>
      </c>
      <c r="AK30" s="111">
        <v>0</v>
      </c>
      <c r="AL30" s="111">
        <v>0</v>
      </c>
      <c r="AM30" s="111">
        <v>0</v>
      </c>
      <c r="AN30" s="111">
        <v>0</v>
      </c>
      <c r="AO30" s="111">
        <v>0</v>
      </c>
      <c r="AP30" s="111">
        <v>0</v>
      </c>
      <c r="AQ30" s="111">
        <v>0</v>
      </c>
      <c r="AR30" s="111">
        <v>0</v>
      </c>
      <c r="AS30" s="111">
        <v>0</v>
      </c>
      <c r="AT30" s="111">
        <v>0</v>
      </c>
      <c r="AU30" s="111">
        <v>0</v>
      </c>
      <c r="AV30" s="111">
        <v>0</v>
      </c>
      <c r="AW30" s="111">
        <v>0</v>
      </c>
      <c r="AX30" s="111">
        <v>0</v>
      </c>
    </row>
    <row r="31" spans="1:50" customFormat="1" x14ac:dyDescent="0.15">
      <c r="A31" s="160" t="s">
        <v>222</v>
      </c>
      <c r="B31" s="111">
        <v>1</v>
      </c>
      <c r="C31" s="111">
        <v>1</v>
      </c>
      <c r="D31" s="111">
        <v>1</v>
      </c>
      <c r="E31" s="111">
        <v>1</v>
      </c>
      <c r="F31" s="111">
        <v>1</v>
      </c>
      <c r="G31" s="111">
        <v>1</v>
      </c>
      <c r="H31" s="111">
        <v>0</v>
      </c>
      <c r="I31" s="111">
        <v>1</v>
      </c>
      <c r="J31" s="111">
        <v>0</v>
      </c>
      <c r="K31" s="111">
        <v>0</v>
      </c>
      <c r="L31" s="111">
        <v>0</v>
      </c>
      <c r="M31" s="111">
        <v>1</v>
      </c>
      <c r="N31" s="111">
        <v>1</v>
      </c>
      <c r="O31" s="111">
        <v>0</v>
      </c>
      <c r="P31" s="111">
        <v>1</v>
      </c>
      <c r="Q31" s="111">
        <v>0</v>
      </c>
      <c r="R31" s="111">
        <v>0</v>
      </c>
      <c r="S31" s="111">
        <v>0</v>
      </c>
      <c r="T31" s="111">
        <v>0</v>
      </c>
      <c r="U31" s="111">
        <v>1</v>
      </c>
      <c r="V31" s="111">
        <v>0</v>
      </c>
      <c r="W31" s="111">
        <v>0</v>
      </c>
      <c r="X31" s="111">
        <v>0</v>
      </c>
      <c r="Y31" s="111">
        <v>0</v>
      </c>
      <c r="Z31" s="111">
        <v>0</v>
      </c>
      <c r="AA31" s="111">
        <v>0</v>
      </c>
      <c r="AB31" s="111">
        <v>0</v>
      </c>
      <c r="AC31" s="111">
        <v>0</v>
      </c>
      <c r="AD31" s="111">
        <v>1</v>
      </c>
      <c r="AE31" s="111">
        <v>0</v>
      </c>
      <c r="AF31" s="111">
        <v>1</v>
      </c>
      <c r="AG31" s="111">
        <v>0</v>
      </c>
      <c r="AH31" s="111">
        <v>0</v>
      </c>
      <c r="AI31" s="111">
        <v>0</v>
      </c>
      <c r="AJ31" s="111">
        <v>0</v>
      </c>
      <c r="AK31" s="111">
        <v>0</v>
      </c>
      <c r="AL31" s="111">
        <v>0</v>
      </c>
      <c r="AM31" s="111">
        <v>0</v>
      </c>
      <c r="AN31" s="111">
        <v>0</v>
      </c>
      <c r="AO31" s="111">
        <v>0</v>
      </c>
      <c r="AP31" s="111">
        <v>0</v>
      </c>
      <c r="AQ31" s="111">
        <v>0</v>
      </c>
      <c r="AR31" s="111">
        <v>0</v>
      </c>
      <c r="AS31" s="111">
        <v>0</v>
      </c>
      <c r="AT31" s="111">
        <v>0</v>
      </c>
      <c r="AU31" s="111">
        <v>0</v>
      </c>
      <c r="AV31" s="111">
        <v>0</v>
      </c>
      <c r="AW31" s="111">
        <v>0</v>
      </c>
      <c r="AX31" s="111">
        <v>0</v>
      </c>
    </row>
    <row r="32" spans="1:50" x14ac:dyDescent="0.15">
      <c r="A32" s="160" t="s">
        <v>223</v>
      </c>
      <c r="B32" s="111">
        <v>0</v>
      </c>
      <c r="C32" s="111">
        <v>0</v>
      </c>
      <c r="D32" s="111">
        <v>1</v>
      </c>
      <c r="E32" s="111">
        <v>1</v>
      </c>
      <c r="F32" s="111">
        <v>1</v>
      </c>
      <c r="G32" s="111">
        <v>1</v>
      </c>
      <c r="H32" s="111">
        <v>1</v>
      </c>
      <c r="I32" s="111">
        <v>1</v>
      </c>
      <c r="J32" s="111">
        <v>1</v>
      </c>
      <c r="K32" s="111">
        <v>1</v>
      </c>
      <c r="L32" s="111">
        <v>0</v>
      </c>
      <c r="M32" s="111">
        <v>1</v>
      </c>
      <c r="N32" s="111">
        <v>0</v>
      </c>
      <c r="O32" s="111">
        <v>1</v>
      </c>
      <c r="P32" s="111">
        <v>1</v>
      </c>
      <c r="Q32" s="111">
        <v>1</v>
      </c>
      <c r="R32" s="111">
        <v>0</v>
      </c>
      <c r="S32" s="111">
        <v>0</v>
      </c>
      <c r="T32" s="111">
        <v>0</v>
      </c>
      <c r="U32" s="111">
        <v>1</v>
      </c>
      <c r="V32" s="111">
        <v>0</v>
      </c>
      <c r="W32" s="111">
        <v>0</v>
      </c>
      <c r="X32" s="111">
        <v>1</v>
      </c>
      <c r="Y32" s="111">
        <v>1</v>
      </c>
      <c r="Z32" s="111">
        <v>0</v>
      </c>
      <c r="AA32" s="111">
        <v>0</v>
      </c>
      <c r="AB32" s="111">
        <v>0</v>
      </c>
      <c r="AC32" s="111">
        <v>1</v>
      </c>
      <c r="AD32" s="111">
        <v>1</v>
      </c>
      <c r="AE32" s="111">
        <v>1</v>
      </c>
      <c r="AF32" s="111">
        <v>1</v>
      </c>
      <c r="AG32" s="111">
        <v>0</v>
      </c>
      <c r="AH32" s="111">
        <v>0</v>
      </c>
      <c r="AI32" s="111">
        <v>0</v>
      </c>
      <c r="AJ32" s="111">
        <v>0</v>
      </c>
      <c r="AK32" s="111">
        <v>0</v>
      </c>
      <c r="AL32" s="111">
        <v>0</v>
      </c>
      <c r="AM32" s="111">
        <v>0</v>
      </c>
      <c r="AN32" s="111">
        <v>0</v>
      </c>
      <c r="AO32" s="111">
        <v>0</v>
      </c>
      <c r="AP32" s="111">
        <v>0</v>
      </c>
      <c r="AQ32" s="111">
        <v>0</v>
      </c>
      <c r="AR32" s="111">
        <v>0</v>
      </c>
      <c r="AS32" s="111">
        <v>0</v>
      </c>
      <c r="AT32" s="111">
        <v>0</v>
      </c>
      <c r="AU32" s="111">
        <v>0</v>
      </c>
      <c r="AV32" s="111">
        <v>0</v>
      </c>
      <c r="AW32" s="111">
        <v>0</v>
      </c>
      <c r="AX32" s="111">
        <v>0</v>
      </c>
    </row>
    <row r="33" spans="1:50" x14ac:dyDescent="0.15">
      <c r="A33" s="160" t="s">
        <v>224</v>
      </c>
      <c r="B33" s="111">
        <v>0</v>
      </c>
      <c r="C33" s="111">
        <v>0</v>
      </c>
      <c r="D33" s="111">
        <v>0</v>
      </c>
      <c r="E33" s="111">
        <v>0</v>
      </c>
      <c r="F33" s="111">
        <v>0</v>
      </c>
      <c r="G33" s="111">
        <v>1</v>
      </c>
      <c r="H33" s="111">
        <v>1</v>
      </c>
      <c r="I33" s="111">
        <v>0</v>
      </c>
      <c r="J33" s="111">
        <v>0</v>
      </c>
      <c r="K33" s="111">
        <v>0</v>
      </c>
      <c r="L33" s="111">
        <v>0</v>
      </c>
      <c r="M33" s="111">
        <v>0</v>
      </c>
      <c r="N33" s="111">
        <v>0</v>
      </c>
      <c r="O33" s="111">
        <v>0</v>
      </c>
      <c r="P33" s="111">
        <v>0</v>
      </c>
      <c r="Q33" s="111">
        <v>0</v>
      </c>
      <c r="R33" s="111">
        <v>0</v>
      </c>
      <c r="S33" s="111">
        <v>0</v>
      </c>
      <c r="T33" s="111">
        <v>0</v>
      </c>
      <c r="U33" s="111">
        <v>1</v>
      </c>
      <c r="V33" s="111">
        <v>0</v>
      </c>
      <c r="W33" s="111">
        <v>0</v>
      </c>
      <c r="X33" s="111">
        <v>0</v>
      </c>
      <c r="Y33" s="111">
        <v>0</v>
      </c>
      <c r="Z33" s="111">
        <v>0</v>
      </c>
      <c r="AA33" s="111">
        <v>0</v>
      </c>
      <c r="AB33" s="111">
        <v>0</v>
      </c>
      <c r="AC33" s="111">
        <v>0</v>
      </c>
      <c r="AD33" s="111">
        <v>0</v>
      </c>
      <c r="AE33" s="111">
        <v>0</v>
      </c>
      <c r="AF33" s="111">
        <v>0</v>
      </c>
      <c r="AG33" s="111">
        <v>0</v>
      </c>
      <c r="AH33" s="111">
        <v>0</v>
      </c>
      <c r="AI33" s="111">
        <v>0</v>
      </c>
      <c r="AJ33" s="111">
        <v>0</v>
      </c>
      <c r="AK33" s="111">
        <v>0</v>
      </c>
      <c r="AL33" s="111">
        <v>0</v>
      </c>
      <c r="AM33" s="111">
        <v>0</v>
      </c>
      <c r="AN33" s="111">
        <v>0</v>
      </c>
      <c r="AO33" s="111">
        <v>0</v>
      </c>
      <c r="AP33" s="111">
        <v>0</v>
      </c>
      <c r="AQ33" s="111">
        <v>0</v>
      </c>
      <c r="AR33" s="111">
        <v>0</v>
      </c>
      <c r="AS33" s="111">
        <v>0</v>
      </c>
      <c r="AT33" s="111">
        <v>0</v>
      </c>
      <c r="AU33" s="111">
        <v>0</v>
      </c>
      <c r="AV33" s="111">
        <v>0</v>
      </c>
      <c r="AW33" s="111">
        <v>0</v>
      </c>
      <c r="AX33" s="111">
        <v>0</v>
      </c>
    </row>
    <row r="34" spans="1:50" x14ac:dyDescent="0.15">
      <c r="A34" s="160" t="s">
        <v>225</v>
      </c>
      <c r="B34" s="111">
        <v>0</v>
      </c>
      <c r="C34" s="111">
        <v>0</v>
      </c>
      <c r="D34" s="111">
        <v>0</v>
      </c>
      <c r="E34" s="111">
        <v>0</v>
      </c>
      <c r="F34" s="111">
        <v>1</v>
      </c>
      <c r="G34" s="111">
        <v>1</v>
      </c>
      <c r="H34" s="111">
        <v>1</v>
      </c>
      <c r="I34" s="111">
        <v>1</v>
      </c>
      <c r="J34" s="111">
        <v>1</v>
      </c>
      <c r="K34" s="111">
        <v>0</v>
      </c>
      <c r="L34" s="111">
        <v>1</v>
      </c>
      <c r="M34" s="111">
        <v>0</v>
      </c>
      <c r="N34" s="111">
        <v>0</v>
      </c>
      <c r="O34" s="111">
        <v>0</v>
      </c>
      <c r="P34" s="111">
        <v>0</v>
      </c>
      <c r="Q34" s="111">
        <v>0</v>
      </c>
      <c r="R34" s="111">
        <v>0</v>
      </c>
      <c r="S34" s="111">
        <v>0</v>
      </c>
      <c r="T34" s="111">
        <v>0</v>
      </c>
      <c r="U34" s="111">
        <v>1</v>
      </c>
      <c r="V34" s="111">
        <v>0</v>
      </c>
      <c r="W34" s="111">
        <v>1</v>
      </c>
      <c r="X34" s="111">
        <v>1</v>
      </c>
      <c r="Y34" s="111">
        <v>0</v>
      </c>
      <c r="Z34" s="111">
        <v>0</v>
      </c>
      <c r="AA34" s="111">
        <v>0</v>
      </c>
      <c r="AB34" s="111">
        <v>0</v>
      </c>
      <c r="AC34" s="111">
        <v>1</v>
      </c>
      <c r="AD34" s="111">
        <v>0</v>
      </c>
      <c r="AE34" s="111">
        <v>0</v>
      </c>
      <c r="AF34" s="111">
        <v>0</v>
      </c>
      <c r="AG34" s="111">
        <v>0</v>
      </c>
      <c r="AH34" s="111">
        <v>1</v>
      </c>
      <c r="AI34" s="111">
        <v>0</v>
      </c>
      <c r="AJ34" s="111">
        <v>0</v>
      </c>
      <c r="AK34" s="111">
        <v>0</v>
      </c>
      <c r="AL34" s="111">
        <v>0</v>
      </c>
      <c r="AM34" s="111">
        <v>0</v>
      </c>
      <c r="AN34" s="111">
        <v>0</v>
      </c>
      <c r="AO34" s="111">
        <v>0</v>
      </c>
      <c r="AP34" s="111">
        <v>0</v>
      </c>
      <c r="AQ34" s="111">
        <v>0</v>
      </c>
      <c r="AR34" s="111">
        <v>0</v>
      </c>
      <c r="AS34" s="111">
        <v>0</v>
      </c>
      <c r="AT34" s="111">
        <v>0</v>
      </c>
      <c r="AU34" s="111">
        <v>0</v>
      </c>
      <c r="AV34" s="111">
        <v>0</v>
      </c>
      <c r="AW34" s="111">
        <v>0</v>
      </c>
      <c r="AX34" s="111">
        <v>0</v>
      </c>
    </row>
    <row r="35" spans="1:50" x14ac:dyDescent="0.15">
      <c r="A35" s="160" t="s">
        <v>226</v>
      </c>
      <c r="B35" s="111">
        <v>0</v>
      </c>
      <c r="C35" s="111">
        <v>0</v>
      </c>
      <c r="D35" s="111">
        <v>0</v>
      </c>
      <c r="E35" s="111">
        <v>0</v>
      </c>
      <c r="F35" s="111">
        <v>1</v>
      </c>
      <c r="G35" s="111">
        <v>1</v>
      </c>
      <c r="H35" s="111">
        <v>1</v>
      </c>
      <c r="I35" s="111">
        <v>1</v>
      </c>
      <c r="J35" s="111">
        <v>1</v>
      </c>
      <c r="K35" s="111">
        <v>1</v>
      </c>
      <c r="L35" s="111">
        <v>1</v>
      </c>
      <c r="M35" s="111">
        <v>1</v>
      </c>
      <c r="N35" s="111">
        <v>1</v>
      </c>
      <c r="O35" s="111">
        <v>1</v>
      </c>
      <c r="P35" s="111">
        <v>0</v>
      </c>
      <c r="Q35" s="111">
        <v>1</v>
      </c>
      <c r="R35" s="111">
        <v>1</v>
      </c>
      <c r="S35" s="111">
        <v>1</v>
      </c>
      <c r="T35" s="111">
        <v>0</v>
      </c>
      <c r="U35" s="111">
        <v>1</v>
      </c>
      <c r="V35" s="111">
        <v>1</v>
      </c>
      <c r="W35" s="111">
        <v>1</v>
      </c>
      <c r="X35" s="111">
        <v>1</v>
      </c>
      <c r="Y35" s="111">
        <v>0</v>
      </c>
      <c r="Z35" s="111">
        <v>0</v>
      </c>
      <c r="AA35" s="111">
        <v>1</v>
      </c>
      <c r="AB35" s="111">
        <v>0</v>
      </c>
      <c r="AC35" s="111">
        <v>1</v>
      </c>
      <c r="AD35" s="111">
        <v>1</v>
      </c>
      <c r="AE35" s="111">
        <v>1</v>
      </c>
      <c r="AF35" s="111">
        <v>1</v>
      </c>
      <c r="AG35" s="111">
        <v>1</v>
      </c>
      <c r="AH35" s="111">
        <v>1</v>
      </c>
      <c r="AI35" s="111">
        <v>1</v>
      </c>
      <c r="AJ35" s="111">
        <v>0</v>
      </c>
      <c r="AK35" s="111">
        <v>0</v>
      </c>
      <c r="AL35" s="111">
        <v>0</v>
      </c>
      <c r="AM35" s="111">
        <v>0</v>
      </c>
      <c r="AN35" s="111">
        <v>0</v>
      </c>
      <c r="AO35" s="111">
        <v>0</v>
      </c>
      <c r="AP35" s="111">
        <v>0</v>
      </c>
      <c r="AQ35" s="111">
        <v>0</v>
      </c>
      <c r="AR35" s="111">
        <v>0</v>
      </c>
      <c r="AS35" s="111">
        <v>0</v>
      </c>
      <c r="AT35" s="111">
        <v>0</v>
      </c>
      <c r="AU35" s="111">
        <v>0</v>
      </c>
      <c r="AV35" s="111">
        <v>0</v>
      </c>
      <c r="AW35" s="111">
        <v>0</v>
      </c>
      <c r="AX35" s="111">
        <v>0</v>
      </c>
    </row>
    <row r="36" spans="1:50" x14ac:dyDescent="0.15">
      <c r="A36" s="160" t="s">
        <v>227</v>
      </c>
      <c r="B36" s="111">
        <v>0</v>
      </c>
      <c r="C36" s="111">
        <v>0</v>
      </c>
      <c r="D36" s="111">
        <v>0</v>
      </c>
      <c r="E36" s="111">
        <v>0</v>
      </c>
      <c r="F36" s="111">
        <v>1</v>
      </c>
      <c r="G36" s="111">
        <v>1</v>
      </c>
      <c r="H36" s="111">
        <v>1</v>
      </c>
      <c r="I36" s="111">
        <v>1</v>
      </c>
      <c r="J36" s="111">
        <v>1</v>
      </c>
      <c r="K36" s="111">
        <v>0</v>
      </c>
      <c r="L36" s="111">
        <v>1</v>
      </c>
      <c r="M36" s="111">
        <v>1</v>
      </c>
      <c r="N36" s="111">
        <v>1</v>
      </c>
      <c r="O36" s="111">
        <v>1</v>
      </c>
      <c r="P36" s="111">
        <v>1</v>
      </c>
      <c r="Q36" s="111">
        <v>1</v>
      </c>
      <c r="R36" s="111">
        <v>0</v>
      </c>
      <c r="S36" s="111">
        <v>1</v>
      </c>
      <c r="T36" s="111">
        <v>0</v>
      </c>
      <c r="U36" s="111">
        <v>1</v>
      </c>
      <c r="V36" s="111">
        <v>1</v>
      </c>
      <c r="W36" s="111">
        <v>1</v>
      </c>
      <c r="X36" s="111">
        <v>1</v>
      </c>
      <c r="Y36" s="111">
        <v>0</v>
      </c>
      <c r="Z36" s="111">
        <v>0</v>
      </c>
      <c r="AA36" s="111">
        <v>0</v>
      </c>
      <c r="AB36" s="111">
        <v>0</v>
      </c>
      <c r="AC36" s="111">
        <v>1</v>
      </c>
      <c r="AD36" s="111">
        <v>1</v>
      </c>
      <c r="AE36" s="111">
        <v>0</v>
      </c>
      <c r="AF36" s="111">
        <v>1</v>
      </c>
      <c r="AG36" s="111">
        <v>1</v>
      </c>
      <c r="AH36" s="111">
        <v>1</v>
      </c>
      <c r="AI36" s="111">
        <v>1</v>
      </c>
      <c r="AJ36" s="111">
        <v>1</v>
      </c>
      <c r="AK36" s="111">
        <v>0</v>
      </c>
      <c r="AL36" s="111">
        <v>0</v>
      </c>
      <c r="AM36" s="111">
        <v>0</v>
      </c>
      <c r="AN36" s="111">
        <v>0</v>
      </c>
      <c r="AO36" s="111">
        <v>0</v>
      </c>
      <c r="AP36" s="111">
        <v>0</v>
      </c>
      <c r="AQ36" s="111">
        <v>0</v>
      </c>
      <c r="AR36" s="111">
        <v>0</v>
      </c>
      <c r="AS36" s="111">
        <v>0</v>
      </c>
      <c r="AT36" s="111">
        <v>0</v>
      </c>
      <c r="AU36" s="111">
        <v>0</v>
      </c>
      <c r="AV36" s="111">
        <v>0</v>
      </c>
      <c r="AW36" s="111">
        <v>0</v>
      </c>
      <c r="AX36" s="111">
        <v>0</v>
      </c>
    </row>
    <row r="37" spans="1:50" x14ac:dyDescent="0.15">
      <c r="A37" s="160" t="s">
        <v>228</v>
      </c>
      <c r="B37" s="111">
        <v>0</v>
      </c>
      <c r="C37" s="111">
        <v>0</v>
      </c>
      <c r="D37" s="111">
        <v>0</v>
      </c>
      <c r="E37" s="111">
        <v>0</v>
      </c>
      <c r="F37" s="111">
        <v>1</v>
      </c>
      <c r="G37" s="111">
        <v>0</v>
      </c>
      <c r="H37" s="111">
        <v>1</v>
      </c>
      <c r="I37" s="111">
        <v>1</v>
      </c>
      <c r="J37" s="111">
        <v>1</v>
      </c>
      <c r="K37" s="111">
        <v>0</v>
      </c>
      <c r="L37" s="111">
        <v>0</v>
      </c>
      <c r="M37" s="111">
        <v>1</v>
      </c>
      <c r="N37" s="111">
        <v>1</v>
      </c>
      <c r="O37" s="111">
        <v>1</v>
      </c>
      <c r="P37" s="111">
        <v>1</v>
      </c>
      <c r="Q37" s="111">
        <v>0</v>
      </c>
      <c r="R37" s="111">
        <v>1</v>
      </c>
      <c r="S37" s="111">
        <v>1</v>
      </c>
      <c r="T37" s="111">
        <v>1</v>
      </c>
      <c r="U37" s="111">
        <v>1</v>
      </c>
      <c r="V37" s="111">
        <v>1</v>
      </c>
      <c r="W37" s="111">
        <v>1</v>
      </c>
      <c r="X37" s="111">
        <v>1</v>
      </c>
      <c r="Y37" s="111">
        <v>0</v>
      </c>
      <c r="Z37" s="111">
        <v>0</v>
      </c>
      <c r="AA37" s="111">
        <v>0</v>
      </c>
      <c r="AB37" s="111">
        <v>1</v>
      </c>
      <c r="AC37" s="111">
        <v>1</v>
      </c>
      <c r="AD37" s="111">
        <v>0</v>
      </c>
      <c r="AE37" s="111">
        <v>1</v>
      </c>
      <c r="AF37" s="111">
        <v>1</v>
      </c>
      <c r="AG37" s="111">
        <v>1</v>
      </c>
      <c r="AH37" s="111">
        <v>1</v>
      </c>
      <c r="AI37" s="111">
        <v>0</v>
      </c>
      <c r="AJ37" s="111">
        <v>1</v>
      </c>
      <c r="AK37" s="111">
        <v>0</v>
      </c>
      <c r="AL37" s="111">
        <v>0</v>
      </c>
      <c r="AM37" s="111">
        <v>0</v>
      </c>
      <c r="AN37" s="111">
        <v>0</v>
      </c>
      <c r="AO37" s="111">
        <v>0</v>
      </c>
      <c r="AP37" s="111">
        <v>0</v>
      </c>
      <c r="AQ37" s="111">
        <v>0</v>
      </c>
      <c r="AR37" s="111">
        <v>0</v>
      </c>
      <c r="AS37" s="111">
        <v>0</v>
      </c>
      <c r="AT37" s="111">
        <v>0</v>
      </c>
      <c r="AU37" s="111">
        <v>0</v>
      </c>
      <c r="AV37" s="111">
        <v>0</v>
      </c>
      <c r="AW37" s="111">
        <v>0</v>
      </c>
      <c r="AX37" s="111">
        <v>0</v>
      </c>
    </row>
    <row r="38" spans="1:50" x14ac:dyDescent="0.15">
      <c r="A38" s="160" t="s">
        <v>229</v>
      </c>
      <c r="B38" s="111">
        <v>0</v>
      </c>
      <c r="C38" s="111">
        <v>0</v>
      </c>
      <c r="D38" s="111">
        <v>0</v>
      </c>
      <c r="E38" s="111">
        <v>0</v>
      </c>
      <c r="F38" s="111">
        <v>0</v>
      </c>
      <c r="G38" s="111">
        <v>1</v>
      </c>
      <c r="H38" s="111">
        <v>0</v>
      </c>
      <c r="I38" s="111">
        <v>0</v>
      </c>
      <c r="J38" s="111">
        <v>1</v>
      </c>
      <c r="K38" s="111">
        <v>0</v>
      </c>
      <c r="L38" s="111">
        <v>1</v>
      </c>
      <c r="M38" s="111">
        <v>0</v>
      </c>
      <c r="N38" s="111">
        <v>0</v>
      </c>
      <c r="O38" s="111">
        <v>1</v>
      </c>
      <c r="P38" s="111">
        <v>1</v>
      </c>
      <c r="Q38" s="111">
        <v>0</v>
      </c>
      <c r="R38" s="111">
        <v>1</v>
      </c>
      <c r="S38" s="111">
        <v>1</v>
      </c>
      <c r="T38" s="111">
        <v>1</v>
      </c>
      <c r="U38" s="111">
        <v>1</v>
      </c>
      <c r="V38" s="111">
        <v>1</v>
      </c>
      <c r="W38" s="111">
        <v>1</v>
      </c>
      <c r="X38" s="111">
        <v>1</v>
      </c>
      <c r="Y38" s="111">
        <v>0</v>
      </c>
      <c r="Z38" s="111">
        <v>0</v>
      </c>
      <c r="AA38" s="111">
        <v>0</v>
      </c>
      <c r="AB38" s="111">
        <v>1</v>
      </c>
      <c r="AC38" s="111">
        <v>1</v>
      </c>
      <c r="AD38" s="111">
        <v>1</v>
      </c>
      <c r="AE38" s="111">
        <v>1</v>
      </c>
      <c r="AF38" s="111">
        <v>1</v>
      </c>
      <c r="AG38" s="111">
        <v>1</v>
      </c>
      <c r="AH38" s="111">
        <v>1</v>
      </c>
      <c r="AI38" s="111">
        <v>1</v>
      </c>
      <c r="AJ38" s="111">
        <v>1</v>
      </c>
      <c r="AK38" s="111">
        <v>0</v>
      </c>
      <c r="AL38" s="111">
        <v>0</v>
      </c>
      <c r="AM38" s="111">
        <v>0</v>
      </c>
      <c r="AN38" s="111">
        <v>0</v>
      </c>
      <c r="AO38" s="111">
        <v>0</v>
      </c>
      <c r="AP38" s="111">
        <v>0</v>
      </c>
      <c r="AQ38" s="111">
        <v>0</v>
      </c>
      <c r="AR38" s="111">
        <v>0</v>
      </c>
      <c r="AS38" s="111">
        <v>0</v>
      </c>
      <c r="AT38" s="111">
        <v>0</v>
      </c>
      <c r="AU38" s="111">
        <v>0</v>
      </c>
      <c r="AV38" s="111">
        <v>0</v>
      </c>
      <c r="AW38" s="111">
        <v>0</v>
      </c>
      <c r="AX38" s="111">
        <v>0</v>
      </c>
    </row>
    <row r="39" spans="1:50" x14ac:dyDescent="0.15">
      <c r="A39" s="160" t="s">
        <v>230</v>
      </c>
      <c r="B39" s="111">
        <v>0</v>
      </c>
      <c r="C39" s="111">
        <v>0</v>
      </c>
      <c r="D39" s="111">
        <v>0</v>
      </c>
      <c r="E39" s="111">
        <v>0</v>
      </c>
      <c r="F39" s="111">
        <v>0</v>
      </c>
      <c r="G39" s="111">
        <v>0</v>
      </c>
      <c r="H39" s="111">
        <v>0</v>
      </c>
      <c r="I39" s="111">
        <v>0</v>
      </c>
      <c r="J39" s="111">
        <v>0</v>
      </c>
      <c r="K39" s="111">
        <v>0</v>
      </c>
      <c r="L39" s="111">
        <v>0</v>
      </c>
      <c r="M39" s="111">
        <v>0</v>
      </c>
      <c r="N39" s="111">
        <v>0</v>
      </c>
      <c r="O39" s="111">
        <v>0</v>
      </c>
      <c r="P39" s="111">
        <v>0</v>
      </c>
      <c r="Q39" s="111">
        <v>0</v>
      </c>
      <c r="R39" s="111">
        <v>0</v>
      </c>
      <c r="S39" s="111">
        <v>0</v>
      </c>
      <c r="T39" s="111">
        <v>0</v>
      </c>
      <c r="U39" s="111">
        <v>0</v>
      </c>
      <c r="V39" s="111">
        <v>0</v>
      </c>
      <c r="W39" s="111">
        <v>0</v>
      </c>
      <c r="X39" s="111">
        <v>0</v>
      </c>
      <c r="Y39" s="111">
        <v>0</v>
      </c>
      <c r="Z39" s="111">
        <v>0</v>
      </c>
      <c r="AA39" s="111">
        <v>0</v>
      </c>
      <c r="AB39" s="111">
        <v>0</v>
      </c>
      <c r="AC39" s="111">
        <v>0</v>
      </c>
      <c r="AD39" s="111">
        <v>0</v>
      </c>
      <c r="AE39" s="111">
        <v>0</v>
      </c>
      <c r="AF39" s="111">
        <v>1</v>
      </c>
      <c r="AG39" s="111">
        <v>1</v>
      </c>
      <c r="AH39" s="111">
        <v>0</v>
      </c>
      <c r="AI39" s="111">
        <v>1</v>
      </c>
      <c r="AJ39" s="111">
        <v>1</v>
      </c>
      <c r="AK39" s="111">
        <v>1</v>
      </c>
      <c r="AL39" s="111">
        <v>0</v>
      </c>
      <c r="AM39" s="111">
        <v>0</v>
      </c>
      <c r="AN39" s="111">
        <v>0</v>
      </c>
      <c r="AO39" s="111">
        <v>0</v>
      </c>
      <c r="AP39" s="111">
        <v>0</v>
      </c>
      <c r="AQ39" s="111">
        <v>0</v>
      </c>
      <c r="AR39" s="111">
        <v>0</v>
      </c>
      <c r="AS39" s="111">
        <v>0</v>
      </c>
      <c r="AT39" s="111">
        <v>0</v>
      </c>
      <c r="AU39" s="111">
        <v>0</v>
      </c>
      <c r="AV39" s="111">
        <v>0</v>
      </c>
      <c r="AW39" s="111">
        <v>0</v>
      </c>
      <c r="AX39" s="111">
        <v>0</v>
      </c>
    </row>
    <row r="40" spans="1:50" x14ac:dyDescent="0.15">
      <c r="A40" s="160" t="s">
        <v>231</v>
      </c>
      <c r="B40" s="111">
        <v>0</v>
      </c>
      <c r="C40" s="111">
        <v>0</v>
      </c>
      <c r="D40" s="111">
        <v>0</v>
      </c>
      <c r="E40" s="111">
        <v>0</v>
      </c>
      <c r="F40" s="111">
        <v>0</v>
      </c>
      <c r="G40" s="111">
        <v>0</v>
      </c>
      <c r="H40" s="111">
        <v>0</v>
      </c>
      <c r="I40" s="111">
        <v>0</v>
      </c>
      <c r="J40" s="111">
        <v>0</v>
      </c>
      <c r="K40" s="111">
        <v>1</v>
      </c>
      <c r="L40" s="111">
        <v>0</v>
      </c>
      <c r="M40" s="111">
        <v>1</v>
      </c>
      <c r="N40" s="111">
        <v>1</v>
      </c>
      <c r="O40" s="111">
        <v>0</v>
      </c>
      <c r="P40" s="111">
        <v>0</v>
      </c>
      <c r="Q40" s="111">
        <v>0</v>
      </c>
      <c r="R40" s="111">
        <v>0</v>
      </c>
      <c r="S40" s="111">
        <v>0</v>
      </c>
      <c r="T40" s="111">
        <v>0</v>
      </c>
      <c r="U40" s="111">
        <v>0</v>
      </c>
      <c r="V40" s="111">
        <v>0</v>
      </c>
      <c r="W40" s="111">
        <v>0</v>
      </c>
      <c r="X40" s="111">
        <v>0</v>
      </c>
      <c r="Y40" s="111">
        <v>0</v>
      </c>
      <c r="Z40" s="111">
        <v>0</v>
      </c>
      <c r="AA40" s="111">
        <v>1</v>
      </c>
      <c r="AB40" s="111">
        <v>0</v>
      </c>
      <c r="AC40" s="111">
        <v>0</v>
      </c>
      <c r="AD40" s="111">
        <v>0</v>
      </c>
      <c r="AE40" s="111">
        <v>0</v>
      </c>
      <c r="AF40" s="111">
        <v>1</v>
      </c>
      <c r="AG40" s="111">
        <v>1</v>
      </c>
      <c r="AH40" s="111">
        <v>0</v>
      </c>
      <c r="AI40" s="111">
        <v>0</v>
      </c>
      <c r="AJ40" s="111">
        <v>1</v>
      </c>
      <c r="AK40" s="111">
        <v>0</v>
      </c>
      <c r="AL40" s="111">
        <v>0</v>
      </c>
      <c r="AM40" s="111">
        <v>0</v>
      </c>
      <c r="AN40" s="111">
        <v>0</v>
      </c>
      <c r="AO40" s="111">
        <v>0</v>
      </c>
      <c r="AP40" s="111">
        <v>0</v>
      </c>
      <c r="AQ40" s="111">
        <v>0</v>
      </c>
      <c r="AR40" s="111">
        <v>0</v>
      </c>
      <c r="AS40" s="111">
        <v>0</v>
      </c>
      <c r="AT40" s="111">
        <v>0</v>
      </c>
      <c r="AU40" s="111">
        <v>0</v>
      </c>
      <c r="AV40" s="111">
        <v>0</v>
      </c>
      <c r="AW40" s="111">
        <v>0</v>
      </c>
      <c r="AX40" s="111">
        <v>0</v>
      </c>
    </row>
    <row r="41" spans="1:50" x14ac:dyDescent="0.15">
      <c r="A41" s="160" t="s">
        <v>232</v>
      </c>
      <c r="B41" s="111">
        <v>0</v>
      </c>
      <c r="C41" s="111">
        <v>1</v>
      </c>
      <c r="D41" s="111">
        <v>1</v>
      </c>
      <c r="E41" s="111">
        <v>1</v>
      </c>
      <c r="F41" s="111">
        <v>0</v>
      </c>
      <c r="G41" s="111">
        <v>1</v>
      </c>
      <c r="H41" s="111">
        <v>1</v>
      </c>
      <c r="I41" s="111">
        <v>1</v>
      </c>
      <c r="J41" s="111">
        <v>1</v>
      </c>
      <c r="K41" s="111">
        <v>1</v>
      </c>
      <c r="L41" s="111">
        <v>1</v>
      </c>
      <c r="M41" s="111">
        <v>1</v>
      </c>
      <c r="N41" s="111">
        <v>1</v>
      </c>
      <c r="O41" s="111">
        <v>1</v>
      </c>
      <c r="P41" s="111">
        <v>1</v>
      </c>
      <c r="Q41" s="111">
        <v>0</v>
      </c>
      <c r="R41" s="111">
        <v>0</v>
      </c>
      <c r="S41" s="111">
        <v>1</v>
      </c>
      <c r="T41" s="111">
        <v>0</v>
      </c>
      <c r="U41" s="111">
        <v>1</v>
      </c>
      <c r="V41" s="111">
        <v>1</v>
      </c>
      <c r="W41" s="111">
        <v>1</v>
      </c>
      <c r="X41" s="111">
        <v>1</v>
      </c>
      <c r="Y41" s="111">
        <v>1</v>
      </c>
      <c r="Z41" s="111">
        <v>1</v>
      </c>
      <c r="AA41" s="111">
        <v>1</v>
      </c>
      <c r="AB41" s="111">
        <v>1</v>
      </c>
      <c r="AC41" s="111">
        <v>1</v>
      </c>
      <c r="AD41" s="111">
        <v>1</v>
      </c>
      <c r="AE41" s="111">
        <v>1</v>
      </c>
      <c r="AF41" s="111">
        <v>1</v>
      </c>
      <c r="AG41" s="111">
        <v>1</v>
      </c>
      <c r="AH41" s="111">
        <v>1</v>
      </c>
      <c r="AI41" s="111">
        <v>1</v>
      </c>
      <c r="AJ41" s="111">
        <v>1</v>
      </c>
      <c r="AK41" s="111">
        <v>0</v>
      </c>
      <c r="AL41" s="111">
        <v>0</v>
      </c>
      <c r="AM41" s="111">
        <v>0</v>
      </c>
      <c r="AN41" s="111">
        <v>0</v>
      </c>
      <c r="AO41" s="111">
        <v>0</v>
      </c>
      <c r="AP41" s="111">
        <v>0</v>
      </c>
      <c r="AQ41" s="111">
        <v>0</v>
      </c>
      <c r="AR41" s="111">
        <v>0</v>
      </c>
      <c r="AS41" s="111">
        <v>0</v>
      </c>
      <c r="AT41" s="111">
        <v>0</v>
      </c>
      <c r="AU41" s="111">
        <v>0</v>
      </c>
      <c r="AV41" s="111">
        <v>0</v>
      </c>
      <c r="AW41" s="111">
        <v>0</v>
      </c>
      <c r="AX41" s="111">
        <v>0</v>
      </c>
    </row>
    <row r="42" spans="1:50" x14ac:dyDescent="0.15">
      <c r="A42" s="160" t="s">
        <v>233</v>
      </c>
      <c r="B42" s="111">
        <v>0</v>
      </c>
      <c r="C42" s="111">
        <v>0</v>
      </c>
      <c r="D42" s="111">
        <v>1</v>
      </c>
      <c r="E42" s="111">
        <v>0</v>
      </c>
      <c r="F42" s="111">
        <v>0</v>
      </c>
      <c r="G42" s="111">
        <v>1</v>
      </c>
      <c r="H42" s="111">
        <v>0</v>
      </c>
      <c r="I42" s="111">
        <v>1</v>
      </c>
      <c r="J42" s="111">
        <v>1</v>
      </c>
      <c r="K42" s="111">
        <v>1</v>
      </c>
      <c r="L42" s="111">
        <v>1</v>
      </c>
      <c r="M42" s="111">
        <v>1</v>
      </c>
      <c r="N42" s="111">
        <v>1</v>
      </c>
      <c r="O42" s="111">
        <v>1</v>
      </c>
      <c r="P42" s="111">
        <v>1</v>
      </c>
      <c r="Q42" s="111">
        <v>0</v>
      </c>
      <c r="R42" s="111">
        <v>0</v>
      </c>
      <c r="S42" s="111">
        <v>1</v>
      </c>
      <c r="T42" s="111">
        <v>0</v>
      </c>
      <c r="U42" s="111">
        <v>1</v>
      </c>
      <c r="V42" s="111">
        <v>1</v>
      </c>
      <c r="W42" s="111">
        <v>1</v>
      </c>
      <c r="X42" s="111">
        <v>1</v>
      </c>
      <c r="Y42" s="111">
        <v>1</v>
      </c>
      <c r="Z42" s="111">
        <v>1</v>
      </c>
      <c r="AA42" s="111">
        <v>1</v>
      </c>
      <c r="AB42" s="111">
        <v>1</v>
      </c>
      <c r="AC42" s="111">
        <v>1</v>
      </c>
      <c r="AD42" s="111">
        <v>1</v>
      </c>
      <c r="AE42" s="111">
        <v>1</v>
      </c>
      <c r="AF42" s="111">
        <v>1</v>
      </c>
      <c r="AG42" s="111">
        <v>0</v>
      </c>
      <c r="AH42" s="111">
        <v>1</v>
      </c>
      <c r="AI42" s="111">
        <v>1</v>
      </c>
      <c r="AJ42" s="111">
        <v>1</v>
      </c>
      <c r="AK42" s="111">
        <v>0</v>
      </c>
      <c r="AL42" s="111">
        <v>0</v>
      </c>
      <c r="AM42" s="111">
        <v>0</v>
      </c>
      <c r="AN42" s="111">
        <v>1</v>
      </c>
      <c r="AO42" s="111">
        <v>1</v>
      </c>
      <c r="AP42" s="111">
        <v>1</v>
      </c>
      <c r="AQ42" s="111">
        <v>0</v>
      </c>
      <c r="AR42" s="111">
        <v>0</v>
      </c>
      <c r="AS42" s="111">
        <v>0</v>
      </c>
      <c r="AT42" s="111">
        <v>0</v>
      </c>
      <c r="AU42" s="111">
        <v>0</v>
      </c>
      <c r="AV42" s="111">
        <v>0</v>
      </c>
      <c r="AW42" s="111">
        <v>0</v>
      </c>
      <c r="AX42" s="111">
        <v>0</v>
      </c>
    </row>
    <row r="43" spans="1:50" x14ac:dyDescent="0.15">
      <c r="A43" s="160" t="s">
        <v>234</v>
      </c>
      <c r="B43" s="111">
        <v>0</v>
      </c>
      <c r="C43" s="111">
        <v>0</v>
      </c>
      <c r="D43" s="111">
        <v>0</v>
      </c>
      <c r="E43" s="111">
        <v>0</v>
      </c>
      <c r="F43" s="111">
        <v>0</v>
      </c>
      <c r="G43" s="111">
        <v>0</v>
      </c>
      <c r="H43" s="111">
        <v>0</v>
      </c>
      <c r="I43" s="111">
        <v>0</v>
      </c>
      <c r="J43" s="111">
        <v>0</v>
      </c>
      <c r="K43" s="111">
        <v>0</v>
      </c>
      <c r="L43" s="111">
        <v>0</v>
      </c>
      <c r="M43" s="111">
        <v>0</v>
      </c>
      <c r="N43" s="111">
        <v>1</v>
      </c>
      <c r="O43" s="111">
        <v>0</v>
      </c>
      <c r="P43" s="111">
        <v>1</v>
      </c>
      <c r="Q43" s="111">
        <v>0</v>
      </c>
      <c r="R43" s="111">
        <v>0</v>
      </c>
      <c r="S43" s="111">
        <v>0</v>
      </c>
      <c r="T43" s="111">
        <v>0</v>
      </c>
      <c r="U43" s="111">
        <v>0</v>
      </c>
      <c r="V43" s="111">
        <v>0</v>
      </c>
      <c r="W43" s="111">
        <v>0</v>
      </c>
      <c r="X43" s="111">
        <v>0</v>
      </c>
      <c r="Y43" s="111">
        <v>1</v>
      </c>
      <c r="Z43" s="111">
        <v>0</v>
      </c>
      <c r="AA43" s="111">
        <v>1</v>
      </c>
      <c r="AB43" s="111">
        <v>1</v>
      </c>
      <c r="AC43" s="111">
        <v>0</v>
      </c>
      <c r="AD43" s="111">
        <v>0</v>
      </c>
      <c r="AE43" s="111">
        <v>0</v>
      </c>
      <c r="AF43" s="111">
        <v>0</v>
      </c>
      <c r="AG43" s="111">
        <v>0</v>
      </c>
      <c r="AH43" s="111">
        <v>0</v>
      </c>
      <c r="AI43" s="111">
        <v>0</v>
      </c>
      <c r="AJ43" s="111">
        <v>0</v>
      </c>
      <c r="AK43" s="111">
        <v>0</v>
      </c>
      <c r="AL43" s="111">
        <v>0</v>
      </c>
      <c r="AM43" s="111">
        <v>0</v>
      </c>
      <c r="AN43" s="111">
        <v>1</v>
      </c>
      <c r="AO43" s="111">
        <v>1</v>
      </c>
      <c r="AP43" s="111">
        <v>1</v>
      </c>
      <c r="AQ43" s="111">
        <v>1</v>
      </c>
      <c r="AR43" s="111">
        <v>0</v>
      </c>
      <c r="AS43" s="111">
        <v>0</v>
      </c>
      <c r="AT43" s="111">
        <v>0</v>
      </c>
      <c r="AU43" s="111">
        <v>0</v>
      </c>
      <c r="AV43" s="111">
        <v>0</v>
      </c>
      <c r="AW43" s="111">
        <v>0</v>
      </c>
      <c r="AX43" s="111">
        <v>0</v>
      </c>
    </row>
    <row r="44" spans="1:50" x14ac:dyDescent="0.15">
      <c r="A44" s="160" t="s">
        <v>235</v>
      </c>
      <c r="B44" s="111">
        <v>0</v>
      </c>
      <c r="C44" s="111">
        <v>0</v>
      </c>
      <c r="D44" s="111">
        <v>0</v>
      </c>
      <c r="E44" s="111">
        <v>0</v>
      </c>
      <c r="F44" s="111">
        <v>0</v>
      </c>
      <c r="G44" s="111">
        <v>0</v>
      </c>
      <c r="H44" s="111">
        <v>0</v>
      </c>
      <c r="I44" s="111">
        <v>0</v>
      </c>
      <c r="J44" s="111">
        <v>0</v>
      </c>
      <c r="K44" s="111">
        <v>0</v>
      </c>
      <c r="L44" s="111">
        <v>0</v>
      </c>
      <c r="M44" s="111">
        <v>0</v>
      </c>
      <c r="N44" s="111">
        <v>0</v>
      </c>
      <c r="O44" s="111">
        <v>0</v>
      </c>
      <c r="P44" s="111">
        <v>0</v>
      </c>
      <c r="Q44" s="111">
        <v>0</v>
      </c>
      <c r="R44" s="111">
        <v>0</v>
      </c>
      <c r="S44" s="111">
        <v>0</v>
      </c>
      <c r="T44" s="111">
        <v>0</v>
      </c>
      <c r="U44" s="111">
        <v>0</v>
      </c>
      <c r="V44" s="111">
        <v>0</v>
      </c>
      <c r="W44" s="111">
        <v>0</v>
      </c>
      <c r="X44" s="111">
        <v>0</v>
      </c>
      <c r="Y44" s="111">
        <v>0</v>
      </c>
      <c r="Z44" s="111">
        <v>0</v>
      </c>
      <c r="AA44" s="111">
        <v>0</v>
      </c>
      <c r="AB44" s="111">
        <v>0</v>
      </c>
      <c r="AC44" s="111">
        <v>0</v>
      </c>
      <c r="AD44" s="111">
        <v>0</v>
      </c>
      <c r="AE44" s="111">
        <v>0</v>
      </c>
      <c r="AF44" s="111">
        <v>0</v>
      </c>
      <c r="AG44" s="111">
        <v>0</v>
      </c>
      <c r="AH44" s="111">
        <v>0</v>
      </c>
      <c r="AI44" s="111">
        <v>0</v>
      </c>
      <c r="AJ44" s="111">
        <v>0</v>
      </c>
      <c r="AK44" s="111">
        <v>1</v>
      </c>
      <c r="AL44" s="111">
        <v>1</v>
      </c>
      <c r="AM44" s="111">
        <v>1</v>
      </c>
      <c r="AN44" s="111">
        <v>0</v>
      </c>
      <c r="AO44" s="111">
        <v>0</v>
      </c>
      <c r="AP44" s="111">
        <v>0</v>
      </c>
      <c r="AQ44" s="111">
        <v>1</v>
      </c>
      <c r="AR44" s="111">
        <v>0</v>
      </c>
      <c r="AS44" s="111">
        <v>0</v>
      </c>
      <c r="AT44" s="111">
        <v>0</v>
      </c>
      <c r="AU44" s="111">
        <v>0</v>
      </c>
      <c r="AV44" s="111">
        <v>0</v>
      </c>
      <c r="AW44" s="111">
        <v>0</v>
      </c>
      <c r="AX44" s="111">
        <v>0</v>
      </c>
    </row>
    <row r="45" spans="1:50" x14ac:dyDescent="0.15">
      <c r="A45" s="160" t="s">
        <v>236</v>
      </c>
      <c r="B45" s="111">
        <v>0</v>
      </c>
      <c r="C45" s="111">
        <v>0</v>
      </c>
      <c r="D45" s="111">
        <v>0</v>
      </c>
      <c r="E45" s="111">
        <v>0</v>
      </c>
      <c r="F45" s="111">
        <v>0</v>
      </c>
      <c r="G45" s="111">
        <v>0</v>
      </c>
      <c r="H45" s="111">
        <v>0</v>
      </c>
      <c r="I45" s="111">
        <v>0</v>
      </c>
      <c r="J45" s="111">
        <v>0</v>
      </c>
      <c r="K45" s="111">
        <v>0</v>
      </c>
      <c r="L45" s="111">
        <v>0</v>
      </c>
      <c r="M45" s="111">
        <v>0</v>
      </c>
      <c r="N45" s="111">
        <v>0</v>
      </c>
      <c r="O45" s="111">
        <v>0</v>
      </c>
      <c r="P45" s="111">
        <v>0</v>
      </c>
      <c r="Q45" s="111">
        <v>0</v>
      </c>
      <c r="R45" s="111">
        <v>0</v>
      </c>
      <c r="S45" s="111">
        <v>0</v>
      </c>
      <c r="T45" s="111">
        <v>0</v>
      </c>
      <c r="U45" s="111">
        <v>0</v>
      </c>
      <c r="V45" s="111">
        <v>0</v>
      </c>
      <c r="W45" s="111">
        <v>1</v>
      </c>
      <c r="X45" s="111">
        <v>0</v>
      </c>
      <c r="Y45" s="111">
        <v>0</v>
      </c>
      <c r="Z45" s="111">
        <v>0</v>
      </c>
      <c r="AA45" s="111">
        <v>0</v>
      </c>
      <c r="AB45" s="111">
        <v>0</v>
      </c>
      <c r="AC45" s="111">
        <v>0</v>
      </c>
      <c r="AD45" s="111">
        <v>0</v>
      </c>
      <c r="AE45" s="111">
        <v>0</v>
      </c>
      <c r="AF45" s="111">
        <v>0</v>
      </c>
      <c r="AG45" s="111">
        <v>1</v>
      </c>
      <c r="AH45" s="111">
        <v>0</v>
      </c>
      <c r="AI45" s="111">
        <v>0</v>
      </c>
      <c r="AJ45" s="111">
        <v>0</v>
      </c>
      <c r="AK45" s="111">
        <v>0</v>
      </c>
      <c r="AL45" s="111">
        <v>1</v>
      </c>
      <c r="AM45" s="111">
        <v>1</v>
      </c>
      <c r="AN45" s="111">
        <v>1</v>
      </c>
      <c r="AO45" s="111">
        <v>1</v>
      </c>
      <c r="AP45" s="111">
        <v>1</v>
      </c>
      <c r="AQ45" s="111">
        <v>1</v>
      </c>
      <c r="AR45" s="111">
        <v>0</v>
      </c>
      <c r="AS45" s="111">
        <v>0</v>
      </c>
      <c r="AT45" s="111">
        <v>0</v>
      </c>
      <c r="AU45" s="111">
        <v>0</v>
      </c>
      <c r="AV45" s="111">
        <v>0</v>
      </c>
      <c r="AW45" s="111">
        <v>0</v>
      </c>
      <c r="AX45" s="111">
        <v>0</v>
      </c>
    </row>
    <row r="46" spans="1:50" x14ac:dyDescent="0.15">
      <c r="A46" s="160" t="s">
        <v>237</v>
      </c>
      <c r="B46" s="111">
        <v>0</v>
      </c>
      <c r="C46" s="111">
        <v>0</v>
      </c>
      <c r="D46" s="111">
        <v>0</v>
      </c>
      <c r="E46" s="111">
        <v>0</v>
      </c>
      <c r="F46" s="111">
        <v>0</v>
      </c>
      <c r="G46" s="111">
        <v>0</v>
      </c>
      <c r="H46" s="111">
        <v>0</v>
      </c>
      <c r="I46" s="111">
        <v>0</v>
      </c>
      <c r="J46" s="111">
        <v>0</v>
      </c>
      <c r="K46" s="111">
        <v>0</v>
      </c>
      <c r="L46" s="111">
        <v>0</v>
      </c>
      <c r="M46" s="111">
        <v>0</v>
      </c>
      <c r="N46" s="111">
        <v>0</v>
      </c>
      <c r="O46" s="111">
        <v>0</v>
      </c>
      <c r="P46" s="111">
        <v>0</v>
      </c>
      <c r="Q46" s="111">
        <v>0</v>
      </c>
      <c r="R46" s="111">
        <v>0</v>
      </c>
      <c r="S46" s="111">
        <v>0</v>
      </c>
      <c r="T46" s="111">
        <v>0</v>
      </c>
      <c r="U46" s="111">
        <v>0</v>
      </c>
      <c r="V46" s="111">
        <v>0</v>
      </c>
      <c r="W46" s="111">
        <v>0</v>
      </c>
      <c r="X46" s="111">
        <v>0</v>
      </c>
      <c r="Y46" s="111">
        <v>0</v>
      </c>
      <c r="Z46" s="111">
        <v>0</v>
      </c>
      <c r="AA46" s="111">
        <v>0</v>
      </c>
      <c r="AB46" s="111">
        <v>0</v>
      </c>
      <c r="AC46" s="111">
        <v>0</v>
      </c>
      <c r="AD46" s="111">
        <v>0</v>
      </c>
      <c r="AE46" s="111">
        <v>0</v>
      </c>
      <c r="AF46" s="111">
        <v>0</v>
      </c>
      <c r="AG46" s="111">
        <v>0</v>
      </c>
      <c r="AH46" s="111">
        <v>0</v>
      </c>
      <c r="AI46" s="111">
        <v>0</v>
      </c>
      <c r="AJ46" s="111">
        <v>0</v>
      </c>
      <c r="AK46" s="111">
        <v>0</v>
      </c>
      <c r="AL46" s="111">
        <v>1</v>
      </c>
      <c r="AM46" s="111">
        <v>1</v>
      </c>
      <c r="AN46" s="111">
        <v>0</v>
      </c>
      <c r="AO46" s="111">
        <v>0</v>
      </c>
      <c r="AP46" s="111">
        <v>1</v>
      </c>
      <c r="AQ46" s="111">
        <v>1</v>
      </c>
      <c r="AR46" s="111">
        <v>1</v>
      </c>
      <c r="AS46" s="111">
        <v>0</v>
      </c>
      <c r="AT46" s="111">
        <v>0</v>
      </c>
      <c r="AU46" s="111">
        <v>0</v>
      </c>
      <c r="AV46" s="111">
        <v>0</v>
      </c>
      <c r="AW46" s="111">
        <v>0</v>
      </c>
      <c r="AX46" s="111">
        <v>0</v>
      </c>
    </row>
    <row r="47" spans="1:50" x14ac:dyDescent="0.15">
      <c r="A47" s="160" t="s">
        <v>238</v>
      </c>
      <c r="B47" s="111">
        <v>0</v>
      </c>
      <c r="C47" s="111">
        <v>0</v>
      </c>
      <c r="D47" s="111">
        <v>0</v>
      </c>
      <c r="E47" s="111">
        <v>0</v>
      </c>
      <c r="F47" s="111">
        <v>0</v>
      </c>
      <c r="G47" s="111">
        <v>0</v>
      </c>
      <c r="H47" s="111">
        <v>0</v>
      </c>
      <c r="I47" s="111">
        <v>0</v>
      </c>
      <c r="J47" s="111">
        <v>0</v>
      </c>
      <c r="K47" s="111">
        <v>0</v>
      </c>
      <c r="L47" s="111">
        <v>0</v>
      </c>
      <c r="M47" s="111">
        <v>0</v>
      </c>
      <c r="N47" s="111">
        <v>0</v>
      </c>
      <c r="O47" s="111">
        <v>0</v>
      </c>
      <c r="P47" s="111">
        <v>0</v>
      </c>
      <c r="Q47" s="111">
        <v>0</v>
      </c>
      <c r="R47" s="111">
        <v>0</v>
      </c>
      <c r="S47" s="111">
        <v>0</v>
      </c>
      <c r="T47" s="111">
        <v>0</v>
      </c>
      <c r="U47" s="111">
        <v>0</v>
      </c>
      <c r="V47" s="111">
        <v>0</v>
      </c>
      <c r="W47" s="111">
        <v>0</v>
      </c>
      <c r="X47" s="111">
        <v>0</v>
      </c>
      <c r="Y47" s="111">
        <v>0</v>
      </c>
      <c r="Z47" s="111">
        <v>0</v>
      </c>
      <c r="AA47" s="111">
        <v>0</v>
      </c>
      <c r="AB47" s="111">
        <v>0</v>
      </c>
      <c r="AC47" s="111">
        <v>0</v>
      </c>
      <c r="AD47" s="111">
        <v>1</v>
      </c>
      <c r="AE47" s="111">
        <v>0</v>
      </c>
      <c r="AF47" s="111">
        <v>0</v>
      </c>
      <c r="AG47" s="111">
        <v>0</v>
      </c>
      <c r="AH47" s="111">
        <v>1</v>
      </c>
      <c r="AI47" s="111">
        <v>0</v>
      </c>
      <c r="AJ47" s="111">
        <v>0</v>
      </c>
      <c r="AK47" s="111">
        <v>0</v>
      </c>
      <c r="AL47" s="111">
        <v>0</v>
      </c>
      <c r="AM47" s="111">
        <v>0</v>
      </c>
      <c r="AN47" s="111">
        <v>0</v>
      </c>
      <c r="AO47" s="111">
        <v>0</v>
      </c>
      <c r="AP47" s="111">
        <v>0</v>
      </c>
      <c r="AQ47" s="111">
        <v>0</v>
      </c>
      <c r="AR47" s="111">
        <v>0</v>
      </c>
      <c r="AS47" s="111">
        <v>0</v>
      </c>
      <c r="AT47" s="111">
        <v>0</v>
      </c>
      <c r="AU47" s="111">
        <v>0</v>
      </c>
      <c r="AV47" s="111">
        <v>0</v>
      </c>
      <c r="AW47" s="111">
        <v>0</v>
      </c>
      <c r="AX47" s="111">
        <v>0</v>
      </c>
    </row>
    <row r="48" spans="1:50" x14ac:dyDescent="0.15">
      <c r="A48" s="160" t="s">
        <v>239</v>
      </c>
      <c r="B48" s="111">
        <v>1</v>
      </c>
      <c r="C48" s="111">
        <v>1</v>
      </c>
      <c r="D48" s="111">
        <v>0</v>
      </c>
      <c r="E48" s="111">
        <v>0</v>
      </c>
      <c r="F48" s="111">
        <v>0</v>
      </c>
      <c r="G48" s="111">
        <v>0</v>
      </c>
      <c r="H48" s="111">
        <v>0</v>
      </c>
      <c r="I48" s="111">
        <v>0</v>
      </c>
      <c r="J48" s="111">
        <v>0</v>
      </c>
      <c r="K48" s="111">
        <v>0</v>
      </c>
      <c r="L48" s="111">
        <v>0</v>
      </c>
      <c r="M48" s="111">
        <v>0</v>
      </c>
      <c r="N48" s="111">
        <v>0</v>
      </c>
      <c r="O48" s="111">
        <v>0</v>
      </c>
      <c r="P48" s="111">
        <v>0</v>
      </c>
      <c r="Q48" s="111">
        <v>0</v>
      </c>
      <c r="R48" s="111">
        <v>0</v>
      </c>
      <c r="S48" s="111">
        <v>0</v>
      </c>
      <c r="T48" s="111">
        <v>0</v>
      </c>
      <c r="U48" s="111">
        <v>0</v>
      </c>
      <c r="V48" s="111">
        <v>0</v>
      </c>
      <c r="W48" s="111">
        <v>0</v>
      </c>
      <c r="X48" s="111">
        <v>0</v>
      </c>
      <c r="Y48" s="111">
        <v>0</v>
      </c>
      <c r="Z48" s="111">
        <v>0</v>
      </c>
      <c r="AA48" s="111">
        <v>0</v>
      </c>
      <c r="AB48" s="111">
        <v>0</v>
      </c>
      <c r="AC48" s="111">
        <v>0</v>
      </c>
      <c r="AD48" s="111">
        <v>0</v>
      </c>
      <c r="AE48" s="111">
        <v>0</v>
      </c>
      <c r="AF48" s="111">
        <v>0</v>
      </c>
      <c r="AG48" s="111">
        <v>1</v>
      </c>
      <c r="AH48" s="111">
        <v>1</v>
      </c>
      <c r="AI48" s="111">
        <v>0</v>
      </c>
      <c r="AJ48" s="111">
        <v>1</v>
      </c>
      <c r="AK48" s="111">
        <v>0</v>
      </c>
      <c r="AL48" s="111">
        <v>0</v>
      </c>
      <c r="AM48" s="111">
        <v>0</v>
      </c>
      <c r="AN48" s="111">
        <v>0</v>
      </c>
      <c r="AO48" s="111">
        <v>0</v>
      </c>
      <c r="AP48" s="111">
        <v>0</v>
      </c>
      <c r="AQ48" s="111">
        <v>0</v>
      </c>
      <c r="AR48" s="111">
        <v>0</v>
      </c>
      <c r="AS48" s="111">
        <v>0</v>
      </c>
      <c r="AT48" s="111">
        <v>0</v>
      </c>
      <c r="AU48" s="111">
        <v>0</v>
      </c>
      <c r="AV48" s="111">
        <v>0</v>
      </c>
      <c r="AW48" s="111">
        <v>0</v>
      </c>
      <c r="AX48" s="111">
        <v>0</v>
      </c>
    </row>
    <row r="49" spans="1:50" x14ac:dyDescent="0.15">
      <c r="A49" s="160" t="s">
        <v>240</v>
      </c>
      <c r="B49" s="111">
        <v>0</v>
      </c>
      <c r="C49" s="111">
        <v>0</v>
      </c>
      <c r="D49" s="111">
        <v>0</v>
      </c>
      <c r="E49" s="111">
        <v>0</v>
      </c>
      <c r="F49" s="111">
        <v>1</v>
      </c>
      <c r="G49" s="111">
        <v>1</v>
      </c>
      <c r="H49" s="111">
        <v>0</v>
      </c>
      <c r="I49" s="111">
        <v>0</v>
      </c>
      <c r="J49" s="111">
        <v>0</v>
      </c>
      <c r="K49" s="111">
        <v>0</v>
      </c>
      <c r="L49" s="111">
        <v>0</v>
      </c>
      <c r="M49" s="111">
        <v>0</v>
      </c>
      <c r="N49" s="111">
        <v>0</v>
      </c>
      <c r="O49" s="111">
        <v>1</v>
      </c>
      <c r="P49" s="111">
        <v>1</v>
      </c>
      <c r="Q49" s="111">
        <v>0</v>
      </c>
      <c r="R49" s="111">
        <v>0</v>
      </c>
      <c r="S49" s="111">
        <v>0</v>
      </c>
      <c r="T49" s="111">
        <v>0</v>
      </c>
      <c r="U49" s="111">
        <v>0</v>
      </c>
      <c r="V49" s="111">
        <v>0</v>
      </c>
      <c r="W49" s="111">
        <v>0</v>
      </c>
      <c r="X49" s="111">
        <v>0</v>
      </c>
      <c r="Y49" s="111">
        <v>0</v>
      </c>
      <c r="Z49" s="111">
        <v>0</v>
      </c>
      <c r="AA49" s="111">
        <v>0</v>
      </c>
      <c r="AB49" s="111">
        <v>0</v>
      </c>
      <c r="AC49" s="111">
        <v>0</v>
      </c>
      <c r="AD49" s="111">
        <v>0</v>
      </c>
      <c r="AE49" s="111">
        <v>0</v>
      </c>
      <c r="AF49" s="111">
        <v>0</v>
      </c>
      <c r="AG49" s="111">
        <v>1</v>
      </c>
      <c r="AH49" s="111">
        <v>1</v>
      </c>
      <c r="AI49" s="111">
        <v>1</v>
      </c>
      <c r="AJ49" s="111">
        <v>1</v>
      </c>
      <c r="AK49" s="111">
        <v>1</v>
      </c>
      <c r="AL49" s="111">
        <v>1</v>
      </c>
      <c r="AM49" s="111">
        <v>1</v>
      </c>
      <c r="AN49" s="111">
        <v>0</v>
      </c>
      <c r="AO49" s="111">
        <v>0</v>
      </c>
      <c r="AP49" s="111">
        <v>1</v>
      </c>
      <c r="AQ49" s="111">
        <v>1</v>
      </c>
      <c r="AR49" s="111">
        <v>1</v>
      </c>
      <c r="AS49" s="111">
        <v>0</v>
      </c>
      <c r="AT49" s="111">
        <v>0</v>
      </c>
      <c r="AU49" s="111">
        <v>0</v>
      </c>
      <c r="AV49" s="111">
        <v>0</v>
      </c>
      <c r="AW49" s="111">
        <v>0</v>
      </c>
      <c r="AX49" s="111">
        <v>0</v>
      </c>
    </row>
    <row r="50" spans="1:50" x14ac:dyDescent="0.15">
      <c r="A50" s="160" t="s">
        <v>241</v>
      </c>
      <c r="B50" s="111">
        <v>0</v>
      </c>
      <c r="C50" s="111">
        <v>0</v>
      </c>
      <c r="D50" s="111">
        <v>0</v>
      </c>
      <c r="E50" s="111">
        <v>0</v>
      </c>
      <c r="F50" s="111">
        <v>0</v>
      </c>
      <c r="G50" s="111">
        <v>0</v>
      </c>
      <c r="H50" s="111">
        <v>0</v>
      </c>
      <c r="I50" s="111">
        <v>0</v>
      </c>
      <c r="J50" s="111">
        <v>0</v>
      </c>
      <c r="K50" s="111">
        <v>0</v>
      </c>
      <c r="L50" s="111">
        <v>0</v>
      </c>
      <c r="M50" s="111">
        <v>0</v>
      </c>
      <c r="N50" s="111">
        <v>0</v>
      </c>
      <c r="O50" s="111">
        <v>0</v>
      </c>
      <c r="P50" s="111">
        <v>0</v>
      </c>
      <c r="Q50" s="111">
        <v>0</v>
      </c>
      <c r="R50" s="111">
        <v>0</v>
      </c>
      <c r="S50" s="111">
        <v>0</v>
      </c>
      <c r="T50" s="111">
        <v>0</v>
      </c>
      <c r="U50" s="111">
        <v>0</v>
      </c>
      <c r="V50" s="111">
        <v>0</v>
      </c>
      <c r="W50" s="111">
        <v>0</v>
      </c>
      <c r="X50" s="111">
        <v>0</v>
      </c>
      <c r="Y50" s="111">
        <v>0</v>
      </c>
      <c r="Z50" s="111">
        <v>0</v>
      </c>
      <c r="AA50" s="111">
        <v>0</v>
      </c>
      <c r="AB50" s="111">
        <v>0</v>
      </c>
      <c r="AC50" s="111">
        <v>0</v>
      </c>
      <c r="AD50" s="111">
        <v>0</v>
      </c>
      <c r="AE50" s="111">
        <v>0</v>
      </c>
      <c r="AF50" s="111">
        <v>0</v>
      </c>
      <c r="AG50" s="111">
        <v>0</v>
      </c>
      <c r="AH50" s="111">
        <v>0</v>
      </c>
      <c r="AI50" s="111">
        <v>0</v>
      </c>
      <c r="AJ50" s="111">
        <v>0</v>
      </c>
      <c r="AK50" s="111">
        <v>0</v>
      </c>
      <c r="AL50" s="111">
        <v>0</v>
      </c>
      <c r="AM50" s="111">
        <v>0</v>
      </c>
      <c r="AN50" s="111">
        <v>0</v>
      </c>
      <c r="AO50" s="111">
        <v>0</v>
      </c>
      <c r="AP50" s="111">
        <v>0</v>
      </c>
      <c r="AQ50" s="111">
        <v>0</v>
      </c>
      <c r="AR50" s="111">
        <v>0</v>
      </c>
      <c r="AS50" s="111">
        <v>0</v>
      </c>
      <c r="AT50" s="111">
        <v>0</v>
      </c>
      <c r="AU50" s="111">
        <v>0</v>
      </c>
      <c r="AV50" s="111">
        <v>0</v>
      </c>
      <c r="AW50" s="111">
        <v>0</v>
      </c>
      <c r="AX50" s="111">
        <v>0</v>
      </c>
    </row>
    <row r="51" spans="1:50" x14ac:dyDescent="0.15">
      <c r="A51" s="160" t="s">
        <v>245</v>
      </c>
      <c r="B51" s="111">
        <v>0</v>
      </c>
      <c r="C51" s="111">
        <v>0</v>
      </c>
      <c r="D51" s="111">
        <v>0</v>
      </c>
      <c r="E51" s="111">
        <v>1</v>
      </c>
      <c r="F51" s="111">
        <v>1</v>
      </c>
      <c r="G51" s="111">
        <v>0</v>
      </c>
      <c r="H51" s="111">
        <v>1</v>
      </c>
      <c r="I51" s="111">
        <v>0</v>
      </c>
      <c r="J51" s="111">
        <v>0</v>
      </c>
      <c r="K51" s="111">
        <v>0</v>
      </c>
      <c r="L51" s="111">
        <v>0</v>
      </c>
      <c r="M51" s="111">
        <v>0</v>
      </c>
      <c r="N51" s="111">
        <v>0</v>
      </c>
      <c r="O51" s="111">
        <v>0</v>
      </c>
      <c r="P51" s="111">
        <v>0</v>
      </c>
      <c r="Q51" s="111">
        <v>0</v>
      </c>
      <c r="R51" s="111">
        <v>0</v>
      </c>
      <c r="S51" s="111">
        <v>0</v>
      </c>
      <c r="T51" s="111">
        <v>0</v>
      </c>
      <c r="U51" s="111">
        <v>0</v>
      </c>
      <c r="V51" s="111">
        <v>0</v>
      </c>
      <c r="W51" s="111">
        <v>0</v>
      </c>
      <c r="X51" s="111">
        <v>0</v>
      </c>
      <c r="Y51" s="111">
        <v>0</v>
      </c>
      <c r="Z51" s="111">
        <v>0</v>
      </c>
      <c r="AA51" s="111">
        <v>0</v>
      </c>
      <c r="AB51" s="111">
        <v>0</v>
      </c>
      <c r="AC51" s="111">
        <v>0</v>
      </c>
      <c r="AD51" s="111">
        <v>1</v>
      </c>
      <c r="AE51" s="111">
        <v>0</v>
      </c>
      <c r="AF51" s="111">
        <v>0</v>
      </c>
      <c r="AG51" s="111">
        <v>0</v>
      </c>
      <c r="AH51" s="111">
        <v>0</v>
      </c>
      <c r="AI51" s="111">
        <v>0</v>
      </c>
      <c r="AJ51" s="111">
        <v>0</v>
      </c>
      <c r="AK51" s="111">
        <v>0</v>
      </c>
      <c r="AL51" s="111">
        <v>0</v>
      </c>
      <c r="AM51" s="111">
        <v>0</v>
      </c>
      <c r="AN51" s="111">
        <v>0</v>
      </c>
      <c r="AO51" s="111">
        <v>0</v>
      </c>
      <c r="AP51" s="111">
        <v>0</v>
      </c>
      <c r="AQ51" s="111">
        <v>0</v>
      </c>
      <c r="AR51" s="111">
        <v>0</v>
      </c>
      <c r="AS51" s="111">
        <v>0</v>
      </c>
      <c r="AT51" s="111">
        <v>0</v>
      </c>
      <c r="AU51" s="111">
        <v>0</v>
      </c>
      <c r="AV51" s="111">
        <v>0</v>
      </c>
      <c r="AW51" s="111">
        <v>0</v>
      </c>
      <c r="AX51" s="111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T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37.5" bestFit="1" customWidth="1"/>
    <col min="3" max="4" width="3.83203125" bestFit="1" customWidth="1"/>
    <col min="5" max="20" width="3.83203125" customWidth="1"/>
  </cols>
  <sheetData>
    <row r="1" spans="1:20" ht="112" x14ac:dyDescent="0.15">
      <c r="A1" s="5" t="s">
        <v>83</v>
      </c>
      <c r="B1" s="3" t="s">
        <v>0</v>
      </c>
      <c r="C1" s="163" t="s">
        <v>199</v>
      </c>
      <c r="D1" s="163" t="s">
        <v>200</v>
      </c>
      <c r="E1" s="163" t="s">
        <v>242</v>
      </c>
      <c r="F1" s="163" t="s">
        <v>202</v>
      </c>
      <c r="G1" s="163" t="s">
        <v>203</v>
      </c>
      <c r="H1" s="163" t="s">
        <v>204</v>
      </c>
      <c r="I1" s="163" t="s">
        <v>206</v>
      </c>
      <c r="J1" s="163" t="s">
        <v>207</v>
      </c>
      <c r="K1" s="163" t="s">
        <v>210</v>
      </c>
      <c r="L1" s="163" t="s">
        <v>209</v>
      </c>
      <c r="M1" s="163" t="s">
        <v>211</v>
      </c>
      <c r="N1" s="163" t="s">
        <v>208</v>
      </c>
      <c r="O1" s="163" t="s">
        <v>243</v>
      </c>
      <c r="P1" s="163" t="s">
        <v>216</v>
      </c>
      <c r="Q1" s="163" t="s">
        <v>219</v>
      </c>
      <c r="R1" s="163" t="s">
        <v>224</v>
      </c>
      <c r="S1" s="163" t="s">
        <v>218</v>
      </c>
      <c r="T1" s="163" t="s">
        <v>244</v>
      </c>
    </row>
    <row r="2" spans="1:20" x14ac:dyDescent="0.15">
      <c r="A2">
        <v>1</v>
      </c>
      <c r="B2" s="162" t="s">
        <v>193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</row>
    <row r="3" spans="1:20" x14ac:dyDescent="0.15">
      <c r="A3">
        <v>2</v>
      </c>
      <c r="B3" s="162" t="s">
        <v>194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</row>
    <row r="4" spans="1:20" x14ac:dyDescent="0.15">
      <c r="A4">
        <v>3</v>
      </c>
      <c r="B4" s="162" t="s">
        <v>195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15">
      <c r="A5">
        <v>4</v>
      </c>
      <c r="B5" s="162" t="s">
        <v>196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15">
      <c r="A6">
        <v>5</v>
      </c>
      <c r="B6" s="162" t="s">
        <v>197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0.8</v>
      </c>
    </row>
    <row r="7" spans="1:20" x14ac:dyDescent="0.15">
      <c r="A7">
        <v>6</v>
      </c>
      <c r="B7" s="162" t="s">
        <v>198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0.8</v>
      </c>
    </row>
    <row r="8" spans="1:20" x14ac:dyDescent="0.15">
      <c r="A8">
        <v>7</v>
      </c>
      <c r="B8" s="162" t="s">
        <v>199</v>
      </c>
      <c r="C8">
        <v>0.8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</row>
    <row r="9" spans="1:20" x14ac:dyDescent="0.15">
      <c r="A9">
        <v>8</v>
      </c>
      <c r="B9" s="162" t="s">
        <v>200</v>
      </c>
      <c r="C9">
        <v>0</v>
      </c>
      <c r="D9">
        <v>0.8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</row>
    <row r="10" spans="1:20" x14ac:dyDescent="0.15">
      <c r="A10">
        <v>9</v>
      </c>
      <c r="B10" s="162" t="s">
        <v>201</v>
      </c>
      <c r="C10">
        <v>0</v>
      </c>
      <c r="D10">
        <v>0</v>
      </c>
      <c r="E10">
        <v>0.8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</row>
    <row r="11" spans="1:20" x14ac:dyDescent="0.15">
      <c r="A11">
        <v>10</v>
      </c>
      <c r="B11" s="162" t="s">
        <v>202</v>
      </c>
      <c r="C11">
        <v>0</v>
      </c>
      <c r="D11">
        <v>0</v>
      </c>
      <c r="E11">
        <v>0</v>
      </c>
      <c r="F11">
        <v>0.8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</row>
    <row r="12" spans="1:20" x14ac:dyDescent="0.15">
      <c r="A12">
        <v>11</v>
      </c>
      <c r="B12" s="162" t="s">
        <v>203</v>
      </c>
      <c r="C12">
        <v>0</v>
      </c>
      <c r="D12">
        <v>0</v>
      </c>
      <c r="E12">
        <v>0</v>
      </c>
      <c r="F12">
        <v>0</v>
      </c>
      <c r="G12">
        <v>0.8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</row>
    <row r="13" spans="1:20" x14ac:dyDescent="0.15">
      <c r="A13">
        <v>12</v>
      </c>
      <c r="B13" s="162" t="s">
        <v>204</v>
      </c>
      <c r="C13">
        <v>0</v>
      </c>
      <c r="D13">
        <v>0</v>
      </c>
      <c r="E13">
        <v>0</v>
      </c>
      <c r="F13">
        <v>0</v>
      </c>
      <c r="G13">
        <v>0</v>
      </c>
      <c r="H13">
        <v>0.8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</row>
    <row r="14" spans="1:20" x14ac:dyDescent="0.15">
      <c r="A14">
        <v>13</v>
      </c>
      <c r="B14" s="162" t="s">
        <v>205</v>
      </c>
      <c r="C14">
        <v>0</v>
      </c>
      <c r="D14">
        <v>0</v>
      </c>
      <c r="E14">
        <v>0</v>
      </c>
      <c r="F14">
        <v>0</v>
      </c>
      <c r="G14">
        <v>0</v>
      </c>
      <c r="H14">
        <v>0.8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</row>
    <row r="15" spans="1:20" x14ac:dyDescent="0.15">
      <c r="A15">
        <v>14</v>
      </c>
      <c r="B15" s="162" t="s">
        <v>206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0.8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</row>
    <row r="16" spans="1:20" x14ac:dyDescent="0.15">
      <c r="A16">
        <v>15</v>
      </c>
      <c r="B16" s="162" t="s">
        <v>207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0.8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</row>
    <row r="17" spans="1:20" x14ac:dyDescent="0.15">
      <c r="A17">
        <v>16</v>
      </c>
      <c r="B17" s="162" t="s">
        <v>208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0.8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</row>
    <row r="18" spans="1:20" x14ac:dyDescent="0.15">
      <c r="A18">
        <v>17</v>
      </c>
      <c r="B18" s="162" t="s">
        <v>209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0.8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</row>
    <row r="19" spans="1:20" x14ac:dyDescent="0.15">
      <c r="A19">
        <v>18</v>
      </c>
      <c r="B19" s="162" t="s">
        <v>210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0.8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</row>
    <row r="20" spans="1:20" x14ac:dyDescent="0.15">
      <c r="A20">
        <v>19</v>
      </c>
      <c r="B20" s="162" t="s">
        <v>211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0.8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</row>
    <row r="21" spans="1:20" x14ac:dyDescent="0.15">
      <c r="A21">
        <v>20</v>
      </c>
      <c r="B21" s="162" t="s">
        <v>212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0.8</v>
      </c>
    </row>
    <row r="22" spans="1:20" x14ac:dyDescent="0.15">
      <c r="A22">
        <v>21</v>
      </c>
      <c r="B22" s="162" t="s">
        <v>213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0.8</v>
      </c>
    </row>
    <row r="23" spans="1:20" x14ac:dyDescent="0.15">
      <c r="A23">
        <v>22</v>
      </c>
      <c r="B23" s="162" t="s">
        <v>214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0.8</v>
      </c>
    </row>
    <row r="24" spans="1:20" x14ac:dyDescent="0.15">
      <c r="A24">
        <v>23</v>
      </c>
      <c r="B24" s="162" t="s">
        <v>215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0.8</v>
      </c>
      <c r="P24">
        <v>0</v>
      </c>
      <c r="Q24">
        <v>0</v>
      </c>
      <c r="R24">
        <v>0</v>
      </c>
      <c r="S24">
        <v>0</v>
      </c>
      <c r="T24">
        <v>0</v>
      </c>
    </row>
    <row r="25" spans="1:20" x14ac:dyDescent="0.15">
      <c r="A25">
        <v>24</v>
      </c>
      <c r="B25" s="162" t="s">
        <v>216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0.8</v>
      </c>
      <c r="Q25">
        <v>0</v>
      </c>
      <c r="R25">
        <v>0</v>
      </c>
      <c r="S25">
        <v>0</v>
      </c>
      <c r="T25">
        <v>0</v>
      </c>
    </row>
    <row r="26" spans="1:20" x14ac:dyDescent="0.15">
      <c r="A26">
        <v>25</v>
      </c>
      <c r="B26" s="162" t="s">
        <v>217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0.8</v>
      </c>
    </row>
    <row r="27" spans="1:20" x14ac:dyDescent="0.15">
      <c r="A27">
        <v>26</v>
      </c>
      <c r="B27" s="162" t="s">
        <v>218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0.8</v>
      </c>
      <c r="T27">
        <v>0</v>
      </c>
    </row>
    <row r="28" spans="1:20" x14ac:dyDescent="0.15">
      <c r="A28">
        <v>27</v>
      </c>
      <c r="B28" s="162" t="s">
        <v>219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0.8</v>
      </c>
      <c r="R28">
        <v>0</v>
      </c>
      <c r="S28">
        <v>0</v>
      </c>
      <c r="T28">
        <v>0</v>
      </c>
    </row>
    <row r="29" spans="1:20" x14ac:dyDescent="0.15">
      <c r="A29">
        <v>28</v>
      </c>
      <c r="B29" s="162" t="s">
        <v>220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0.8</v>
      </c>
    </row>
    <row r="30" spans="1:20" x14ac:dyDescent="0.15">
      <c r="A30">
        <v>29</v>
      </c>
      <c r="B30" s="162" t="s">
        <v>221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0.8</v>
      </c>
    </row>
    <row r="31" spans="1:20" x14ac:dyDescent="0.15">
      <c r="A31">
        <v>30</v>
      </c>
      <c r="B31" s="162" t="s">
        <v>222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0.8</v>
      </c>
    </row>
    <row r="32" spans="1:20" x14ac:dyDescent="0.15">
      <c r="A32">
        <v>31</v>
      </c>
      <c r="B32" s="162" t="s">
        <v>223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0.8</v>
      </c>
    </row>
    <row r="33" spans="1:20" x14ac:dyDescent="0.15">
      <c r="A33">
        <v>32</v>
      </c>
      <c r="B33" s="162" t="s">
        <v>224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0.8</v>
      </c>
      <c r="S33">
        <v>0</v>
      </c>
      <c r="T33">
        <v>0</v>
      </c>
    </row>
    <row r="34" spans="1:20" x14ac:dyDescent="0.15">
      <c r="A34">
        <v>33</v>
      </c>
      <c r="B34" s="162" t="s">
        <v>225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0.8</v>
      </c>
    </row>
    <row r="35" spans="1:20" x14ac:dyDescent="0.15">
      <c r="A35">
        <v>34</v>
      </c>
      <c r="B35" s="162" t="s">
        <v>226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0.8</v>
      </c>
    </row>
    <row r="36" spans="1:20" x14ac:dyDescent="0.15">
      <c r="A36">
        <v>35</v>
      </c>
      <c r="B36" s="162" t="s">
        <v>227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0.8</v>
      </c>
    </row>
    <row r="37" spans="1:20" x14ac:dyDescent="0.15">
      <c r="A37">
        <v>36</v>
      </c>
      <c r="B37" s="162" t="s">
        <v>228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0.8</v>
      </c>
    </row>
    <row r="38" spans="1:20" x14ac:dyDescent="0.15">
      <c r="A38">
        <v>37</v>
      </c>
      <c r="B38" s="162" t="s">
        <v>229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0.8</v>
      </c>
    </row>
    <row r="39" spans="1:20" x14ac:dyDescent="0.15">
      <c r="A39">
        <v>38</v>
      </c>
      <c r="B39" s="162" t="s">
        <v>230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</row>
    <row r="40" spans="1:20" x14ac:dyDescent="0.15">
      <c r="A40">
        <v>39</v>
      </c>
      <c r="B40" s="162" t="s">
        <v>231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</row>
    <row r="41" spans="1:20" x14ac:dyDescent="0.15">
      <c r="A41">
        <v>40</v>
      </c>
      <c r="B41" s="162" t="s">
        <v>232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</row>
    <row r="42" spans="1:20" x14ac:dyDescent="0.15">
      <c r="A42">
        <v>41</v>
      </c>
      <c r="B42" s="162" t="s">
        <v>233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</row>
    <row r="43" spans="1:20" x14ac:dyDescent="0.15">
      <c r="A43">
        <v>42</v>
      </c>
      <c r="B43" s="162" t="s">
        <v>234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</row>
    <row r="44" spans="1:20" x14ac:dyDescent="0.15">
      <c r="A44">
        <v>43</v>
      </c>
      <c r="B44" s="162" t="s">
        <v>235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</row>
    <row r="45" spans="1:20" x14ac:dyDescent="0.15">
      <c r="A45">
        <v>44</v>
      </c>
      <c r="B45" s="162" t="s">
        <v>236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</row>
    <row r="46" spans="1:20" x14ac:dyDescent="0.15">
      <c r="A46">
        <v>45</v>
      </c>
      <c r="B46" s="162" t="s">
        <v>237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</row>
    <row r="47" spans="1:20" x14ac:dyDescent="0.15">
      <c r="A47">
        <v>46</v>
      </c>
      <c r="B47" s="162" t="s">
        <v>238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0.8</v>
      </c>
    </row>
    <row r="48" spans="1:20" x14ac:dyDescent="0.15">
      <c r="A48">
        <v>47</v>
      </c>
      <c r="B48" s="162" t="s">
        <v>239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</row>
    <row r="49" spans="1:20" x14ac:dyDescent="0.15">
      <c r="A49">
        <v>48</v>
      </c>
      <c r="B49" s="162" t="s">
        <v>240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</row>
    <row r="50" spans="1:20" x14ac:dyDescent="0.15">
      <c r="A50">
        <v>49</v>
      </c>
      <c r="B50" s="162" t="s">
        <v>241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T50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37.5" bestFit="1" customWidth="1"/>
    <col min="3" max="4" width="3.83203125" bestFit="1" customWidth="1"/>
    <col min="5" max="20" width="3.83203125" customWidth="1"/>
  </cols>
  <sheetData>
    <row r="1" spans="1:20" ht="112" x14ac:dyDescent="0.15">
      <c r="A1" s="5" t="s">
        <v>82</v>
      </c>
      <c r="B1" s="3" t="s">
        <v>0</v>
      </c>
      <c r="C1" s="165" t="s">
        <v>199</v>
      </c>
      <c r="D1" s="165" t="s">
        <v>200</v>
      </c>
      <c r="E1" s="165" t="s">
        <v>242</v>
      </c>
      <c r="F1" s="165" t="s">
        <v>202</v>
      </c>
      <c r="G1" s="165" t="s">
        <v>203</v>
      </c>
      <c r="H1" s="165" t="s">
        <v>204</v>
      </c>
      <c r="I1" s="165" t="s">
        <v>206</v>
      </c>
      <c r="J1" s="165" t="s">
        <v>207</v>
      </c>
      <c r="K1" s="165" t="s">
        <v>210</v>
      </c>
      <c r="L1" s="165" t="s">
        <v>209</v>
      </c>
      <c r="M1" s="165" t="s">
        <v>211</v>
      </c>
      <c r="N1" s="165" t="s">
        <v>208</v>
      </c>
      <c r="O1" s="165" t="s">
        <v>243</v>
      </c>
      <c r="P1" s="165" t="s">
        <v>216</v>
      </c>
      <c r="Q1" s="165" t="s">
        <v>219</v>
      </c>
      <c r="R1" s="165" t="s">
        <v>224</v>
      </c>
      <c r="S1" s="165" t="s">
        <v>218</v>
      </c>
      <c r="T1" s="165" t="s">
        <v>244</v>
      </c>
    </row>
    <row r="2" spans="1:20" x14ac:dyDescent="0.15">
      <c r="A2">
        <v>1</v>
      </c>
      <c r="B2" s="164" t="s">
        <v>193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</row>
    <row r="3" spans="1:20" x14ac:dyDescent="0.15">
      <c r="A3">
        <v>2</v>
      </c>
      <c r="B3" s="164" t="s">
        <v>194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</row>
    <row r="4" spans="1:20" x14ac:dyDescent="0.15">
      <c r="A4">
        <v>3</v>
      </c>
      <c r="B4" s="164" t="s">
        <v>195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15">
      <c r="A5">
        <v>4</v>
      </c>
      <c r="B5" s="164" t="s">
        <v>196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15">
      <c r="A6">
        <v>5</v>
      </c>
      <c r="B6" s="164" t="s">
        <v>197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0.8</v>
      </c>
    </row>
    <row r="7" spans="1:20" x14ac:dyDescent="0.15">
      <c r="A7">
        <v>6</v>
      </c>
      <c r="B7" s="164" t="s">
        <v>198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0.8</v>
      </c>
    </row>
    <row r="8" spans="1:20" x14ac:dyDescent="0.15">
      <c r="A8">
        <v>7</v>
      </c>
      <c r="B8" s="164" t="s">
        <v>199</v>
      </c>
      <c r="C8">
        <v>0.8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</row>
    <row r="9" spans="1:20" x14ac:dyDescent="0.15">
      <c r="A9">
        <v>8</v>
      </c>
      <c r="B9" s="164" t="s">
        <v>200</v>
      </c>
      <c r="C9">
        <v>0</v>
      </c>
      <c r="D9">
        <v>0.8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</row>
    <row r="10" spans="1:20" x14ac:dyDescent="0.15">
      <c r="A10">
        <v>9</v>
      </c>
      <c r="B10" s="164" t="s">
        <v>201</v>
      </c>
      <c r="C10">
        <v>0</v>
      </c>
      <c r="D10">
        <v>0</v>
      </c>
      <c r="E10">
        <v>0.8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</row>
    <row r="11" spans="1:20" x14ac:dyDescent="0.15">
      <c r="A11">
        <v>10</v>
      </c>
      <c r="B11" s="164" t="s">
        <v>202</v>
      </c>
      <c r="C11">
        <v>0</v>
      </c>
      <c r="D11">
        <v>0</v>
      </c>
      <c r="E11">
        <v>0</v>
      </c>
      <c r="F11">
        <v>0.8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</row>
    <row r="12" spans="1:20" x14ac:dyDescent="0.15">
      <c r="A12">
        <v>11</v>
      </c>
      <c r="B12" s="164" t="s">
        <v>203</v>
      </c>
      <c r="C12">
        <v>0</v>
      </c>
      <c r="D12">
        <v>0</v>
      </c>
      <c r="E12">
        <v>0</v>
      </c>
      <c r="F12">
        <v>0</v>
      </c>
      <c r="G12">
        <v>0.8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</row>
    <row r="13" spans="1:20" x14ac:dyDescent="0.15">
      <c r="A13">
        <v>12</v>
      </c>
      <c r="B13" s="164" t="s">
        <v>204</v>
      </c>
      <c r="C13">
        <v>0</v>
      </c>
      <c r="D13">
        <v>0</v>
      </c>
      <c r="E13">
        <v>0</v>
      </c>
      <c r="F13">
        <v>0</v>
      </c>
      <c r="G13">
        <v>0</v>
      </c>
      <c r="H13">
        <v>0.8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</row>
    <row r="14" spans="1:20" x14ac:dyDescent="0.15">
      <c r="A14">
        <v>13</v>
      </c>
      <c r="B14" s="164" t="s">
        <v>205</v>
      </c>
      <c r="C14">
        <v>0</v>
      </c>
      <c r="D14">
        <v>0</v>
      </c>
      <c r="E14">
        <v>0</v>
      </c>
      <c r="F14">
        <v>0</v>
      </c>
      <c r="G14">
        <v>0</v>
      </c>
      <c r="H14">
        <v>0.8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</row>
    <row r="15" spans="1:20" x14ac:dyDescent="0.15">
      <c r="A15">
        <v>14</v>
      </c>
      <c r="B15" s="164" t="s">
        <v>206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0.8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</row>
    <row r="16" spans="1:20" x14ac:dyDescent="0.15">
      <c r="A16">
        <v>15</v>
      </c>
      <c r="B16" s="164" t="s">
        <v>207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0.8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</row>
    <row r="17" spans="1:20" x14ac:dyDescent="0.15">
      <c r="A17">
        <v>16</v>
      </c>
      <c r="B17" s="164" t="s">
        <v>208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0.8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</row>
    <row r="18" spans="1:20" x14ac:dyDescent="0.15">
      <c r="A18">
        <v>17</v>
      </c>
      <c r="B18" s="164" t="s">
        <v>209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0.8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</row>
    <row r="19" spans="1:20" x14ac:dyDescent="0.15">
      <c r="A19">
        <v>18</v>
      </c>
      <c r="B19" s="164" t="s">
        <v>210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0.8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</row>
    <row r="20" spans="1:20" x14ac:dyDescent="0.15">
      <c r="A20">
        <v>19</v>
      </c>
      <c r="B20" s="164" t="s">
        <v>211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0.8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</row>
    <row r="21" spans="1:20" x14ac:dyDescent="0.15">
      <c r="A21">
        <v>20</v>
      </c>
      <c r="B21" s="164" t="s">
        <v>212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0.8</v>
      </c>
    </row>
    <row r="22" spans="1:20" x14ac:dyDescent="0.15">
      <c r="A22">
        <v>21</v>
      </c>
      <c r="B22" s="164" t="s">
        <v>213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0.8</v>
      </c>
    </row>
    <row r="23" spans="1:20" x14ac:dyDescent="0.15">
      <c r="A23">
        <v>22</v>
      </c>
      <c r="B23" s="164" t="s">
        <v>214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0.8</v>
      </c>
    </row>
    <row r="24" spans="1:20" x14ac:dyDescent="0.15">
      <c r="A24">
        <v>23</v>
      </c>
      <c r="B24" s="164" t="s">
        <v>215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0.8</v>
      </c>
      <c r="P24">
        <v>0</v>
      </c>
      <c r="Q24">
        <v>0</v>
      </c>
      <c r="R24">
        <v>0</v>
      </c>
      <c r="S24">
        <v>0</v>
      </c>
      <c r="T24">
        <v>0</v>
      </c>
    </row>
    <row r="25" spans="1:20" x14ac:dyDescent="0.15">
      <c r="A25">
        <v>24</v>
      </c>
      <c r="B25" s="164" t="s">
        <v>216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0.8</v>
      </c>
      <c r="Q25">
        <v>0</v>
      </c>
      <c r="R25">
        <v>0</v>
      </c>
      <c r="S25">
        <v>0</v>
      </c>
      <c r="T25">
        <v>0</v>
      </c>
    </row>
    <row r="26" spans="1:20" x14ac:dyDescent="0.15">
      <c r="A26">
        <v>25</v>
      </c>
      <c r="B26" s="164" t="s">
        <v>217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0.8</v>
      </c>
    </row>
    <row r="27" spans="1:20" x14ac:dyDescent="0.15">
      <c r="A27">
        <v>26</v>
      </c>
      <c r="B27" s="164" t="s">
        <v>218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0.8</v>
      </c>
      <c r="T27">
        <v>0</v>
      </c>
    </row>
    <row r="28" spans="1:20" x14ac:dyDescent="0.15">
      <c r="A28">
        <v>27</v>
      </c>
      <c r="B28" s="164" t="s">
        <v>219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0.8</v>
      </c>
      <c r="R28">
        <v>0</v>
      </c>
      <c r="S28">
        <v>0</v>
      </c>
      <c r="T28">
        <v>0</v>
      </c>
    </row>
    <row r="29" spans="1:20" x14ac:dyDescent="0.15">
      <c r="A29">
        <v>28</v>
      </c>
      <c r="B29" s="164" t="s">
        <v>220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0.8</v>
      </c>
    </row>
    <row r="30" spans="1:20" x14ac:dyDescent="0.15">
      <c r="A30">
        <v>29</v>
      </c>
      <c r="B30" s="164" t="s">
        <v>221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0.8</v>
      </c>
    </row>
    <row r="31" spans="1:20" x14ac:dyDescent="0.15">
      <c r="A31">
        <v>30</v>
      </c>
      <c r="B31" s="164" t="s">
        <v>222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0.8</v>
      </c>
    </row>
    <row r="32" spans="1:20" x14ac:dyDescent="0.15">
      <c r="A32">
        <v>31</v>
      </c>
      <c r="B32" s="164" t="s">
        <v>223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0.8</v>
      </c>
    </row>
    <row r="33" spans="1:20" x14ac:dyDescent="0.15">
      <c r="A33">
        <v>32</v>
      </c>
      <c r="B33" s="164" t="s">
        <v>224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0.8</v>
      </c>
      <c r="S33">
        <v>0</v>
      </c>
      <c r="T33">
        <v>0</v>
      </c>
    </row>
    <row r="34" spans="1:20" x14ac:dyDescent="0.15">
      <c r="A34">
        <v>33</v>
      </c>
      <c r="B34" s="164" t="s">
        <v>225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0.8</v>
      </c>
    </row>
    <row r="35" spans="1:20" x14ac:dyDescent="0.15">
      <c r="A35">
        <v>34</v>
      </c>
      <c r="B35" s="164" t="s">
        <v>226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0.8</v>
      </c>
    </row>
    <row r="36" spans="1:20" x14ac:dyDescent="0.15">
      <c r="A36">
        <v>35</v>
      </c>
      <c r="B36" s="164" t="s">
        <v>227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0.8</v>
      </c>
    </row>
    <row r="37" spans="1:20" x14ac:dyDescent="0.15">
      <c r="A37">
        <v>36</v>
      </c>
      <c r="B37" s="164" t="s">
        <v>228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0.8</v>
      </c>
    </row>
    <row r="38" spans="1:20" x14ac:dyDescent="0.15">
      <c r="A38">
        <v>37</v>
      </c>
      <c r="B38" s="164" t="s">
        <v>229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0.8</v>
      </c>
    </row>
    <row r="39" spans="1:20" x14ac:dyDescent="0.15">
      <c r="A39">
        <v>38</v>
      </c>
      <c r="B39" s="164" t="s">
        <v>230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</row>
    <row r="40" spans="1:20" x14ac:dyDescent="0.15">
      <c r="A40">
        <v>39</v>
      </c>
      <c r="B40" s="164" t="s">
        <v>231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</row>
    <row r="41" spans="1:20" x14ac:dyDescent="0.15">
      <c r="A41">
        <v>40</v>
      </c>
      <c r="B41" s="164" t="s">
        <v>232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</row>
    <row r="42" spans="1:20" x14ac:dyDescent="0.15">
      <c r="A42">
        <v>41</v>
      </c>
      <c r="B42" s="164" t="s">
        <v>233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</row>
    <row r="43" spans="1:20" x14ac:dyDescent="0.15">
      <c r="A43">
        <v>42</v>
      </c>
      <c r="B43" s="164" t="s">
        <v>234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</row>
    <row r="44" spans="1:20" x14ac:dyDescent="0.15">
      <c r="A44">
        <v>43</v>
      </c>
      <c r="B44" s="164" t="s">
        <v>235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</row>
    <row r="45" spans="1:20" x14ac:dyDescent="0.15">
      <c r="A45">
        <v>44</v>
      </c>
      <c r="B45" s="164" t="s">
        <v>236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</row>
    <row r="46" spans="1:20" x14ac:dyDescent="0.15">
      <c r="A46">
        <v>45</v>
      </c>
      <c r="B46" s="164" t="s">
        <v>237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</row>
    <row r="47" spans="1:20" x14ac:dyDescent="0.15">
      <c r="A47">
        <v>46</v>
      </c>
      <c r="B47" s="164" t="s">
        <v>238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0.8</v>
      </c>
    </row>
    <row r="48" spans="1:20" x14ac:dyDescent="0.15">
      <c r="A48">
        <v>47</v>
      </c>
      <c r="B48" s="164" t="s">
        <v>239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</row>
    <row r="49" spans="1:20" x14ac:dyDescent="0.15">
      <c r="A49">
        <v>48</v>
      </c>
      <c r="B49" s="164" t="s">
        <v>240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</row>
    <row r="50" spans="1:20" x14ac:dyDescent="0.15">
      <c r="A50">
        <v>49</v>
      </c>
      <c r="B50" s="164" t="s">
        <v>241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L3" sqref="L3"/>
    </sheetView>
  </sheetViews>
  <sheetFormatPr baseColWidth="10" defaultColWidth="8.83203125" defaultRowHeight="15" customHeight="1" x14ac:dyDescent="0.15"/>
  <cols>
    <col min="1" max="1" width="8.83203125" style="83"/>
    <col min="2" max="2" width="41.83203125" style="83" bestFit="1" customWidth="1"/>
    <col min="3" max="3" width="9.33203125" style="83" bestFit="1" customWidth="1"/>
    <col min="4" max="4" width="13" style="83" bestFit="1" customWidth="1"/>
    <col min="5" max="6" width="9.33203125" style="83" bestFit="1" customWidth="1"/>
    <col min="7" max="7" width="9.33203125" style="99" bestFit="1" customWidth="1"/>
    <col min="8" max="8" width="9.33203125" style="83" bestFit="1" customWidth="1"/>
    <col min="9" max="9" width="11" style="83" customWidth="1"/>
    <col min="10" max="10" width="8.83203125" style="83"/>
    <col min="15" max="16384" width="8.83203125" style="83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5" t="s">
        <v>14</v>
      </c>
      <c r="H1" s="1" t="s">
        <v>26</v>
      </c>
      <c r="I1" s="1" t="s">
        <v>24</v>
      </c>
    </row>
    <row r="2" spans="1:10" ht="15" customHeight="1" x14ac:dyDescent="0.15">
      <c r="A2" s="258">
        <v>1</v>
      </c>
      <c r="B2" s="258" t="s">
        <v>193</v>
      </c>
      <c r="C2" s="8">
        <v>4.4654369354248047</v>
      </c>
      <c r="D2" s="9">
        <v>1.0000000474974513E-3</v>
      </c>
      <c r="E2" s="9">
        <v>0.15299999713897705</v>
      </c>
      <c r="F2" s="9">
        <v>135.26300048828125</v>
      </c>
      <c r="G2" s="7">
        <v>0</v>
      </c>
      <c r="H2" s="9">
        <v>1.1311296839267015E-3</v>
      </c>
      <c r="I2">
        <v>0</v>
      </c>
      <c r="J2"/>
    </row>
    <row r="3" spans="1:10" ht="15" customHeight="1" x14ac:dyDescent="0.15">
      <c r="A3" s="259">
        <v>2</v>
      </c>
      <c r="B3" s="259" t="s">
        <v>194</v>
      </c>
      <c r="C3" s="8">
        <v>3.9831860065460205</v>
      </c>
      <c r="D3" s="9">
        <v>2.0000000949949026E-3</v>
      </c>
      <c r="E3" s="9">
        <v>0.24699999392032623</v>
      </c>
      <c r="F3" s="9">
        <v>114.46499633789062</v>
      </c>
      <c r="G3" s="7">
        <v>0</v>
      </c>
      <c r="H3" s="9">
        <v>2.1578648593276739E-3</v>
      </c>
      <c r="I3">
        <v>0</v>
      </c>
      <c r="J3"/>
    </row>
    <row r="4" spans="1:10" ht="15" customHeight="1" x14ac:dyDescent="0.15">
      <c r="A4" s="260">
        <v>3</v>
      </c>
      <c r="B4" s="260" t="s">
        <v>195</v>
      </c>
      <c r="C4" s="8">
        <v>3.9824724197387695</v>
      </c>
      <c r="D4" s="9">
        <v>6.5135382115840912E-2</v>
      </c>
      <c r="E4" s="9">
        <v>3.5000000149011612E-2</v>
      </c>
      <c r="F4" s="9">
        <v>4.7746109962463379</v>
      </c>
      <c r="G4" s="7">
        <v>0</v>
      </c>
      <c r="H4" s="9">
        <v>7.3304399847984314E-3</v>
      </c>
      <c r="I4">
        <v>0</v>
      </c>
      <c r="J4"/>
    </row>
    <row r="5" spans="1:10" ht="15" customHeight="1" x14ac:dyDescent="0.15">
      <c r="A5" s="261">
        <v>4</v>
      </c>
      <c r="B5" s="261" t="s">
        <v>196</v>
      </c>
      <c r="C5" s="8">
        <v>4.6323418617248535</v>
      </c>
      <c r="D5" s="9">
        <v>3.267781063914299E-2</v>
      </c>
      <c r="E5" s="9">
        <v>0.13500000536441803</v>
      </c>
      <c r="F5" s="9">
        <v>11.99839973449707</v>
      </c>
      <c r="G5" s="7">
        <v>0</v>
      </c>
      <c r="H5" s="9">
        <v>1.1251500807702541E-2</v>
      </c>
      <c r="I5">
        <v>0</v>
      </c>
      <c r="J5"/>
    </row>
    <row r="6" spans="1:10" ht="15" customHeight="1" x14ac:dyDescent="0.15">
      <c r="A6" s="262">
        <v>5</v>
      </c>
      <c r="B6" s="262" t="s">
        <v>197</v>
      </c>
      <c r="C6" s="8">
        <v>4.7140088081359863</v>
      </c>
      <c r="D6" s="9">
        <v>4.2673602700233459E-2</v>
      </c>
      <c r="E6" s="9">
        <v>0.15000000596046448</v>
      </c>
      <c r="F6" s="9">
        <v>1.7999999523162842</v>
      </c>
      <c r="G6" s="9">
        <v>0.59999996423721313</v>
      </c>
      <c r="H6" s="9">
        <v>8.3333335816860199E-2</v>
      </c>
      <c r="I6">
        <v>7.5744499918073416E-4</v>
      </c>
      <c r="J6"/>
    </row>
    <row r="7" spans="1:10" ht="15" customHeight="1" x14ac:dyDescent="0.15">
      <c r="A7" s="263">
        <v>6</v>
      </c>
      <c r="B7" s="263" t="s">
        <v>198</v>
      </c>
      <c r="C7" s="8">
        <v>4.0796170234680176</v>
      </c>
      <c r="D7" s="9">
        <v>0.40853667259216309</v>
      </c>
      <c r="E7" s="9">
        <v>0.34999999403953552</v>
      </c>
      <c r="F7" s="9">
        <v>3.5</v>
      </c>
      <c r="G7" s="9">
        <v>0.80000013113021851</v>
      </c>
      <c r="H7" s="9">
        <v>0.10000000149011612</v>
      </c>
      <c r="I7">
        <v>6.8265765905380249E-2</v>
      </c>
      <c r="J7"/>
    </row>
    <row r="8" spans="1:10" ht="15" customHeight="1" x14ac:dyDescent="0.15">
      <c r="A8" s="264">
        <v>7</v>
      </c>
      <c r="B8" s="264" t="s">
        <v>199</v>
      </c>
      <c r="C8" s="8">
        <v>4.4704961776733398</v>
      </c>
      <c r="D8" s="9">
        <v>0.44021138548851013</v>
      </c>
      <c r="E8" s="9">
        <v>0.40000000596046448</v>
      </c>
      <c r="F8" s="9">
        <v>2.4000000953674316</v>
      </c>
      <c r="G8" s="9">
        <v>0.79999995231628418</v>
      </c>
      <c r="H8" s="9">
        <v>0.1666666567325592</v>
      </c>
      <c r="I8">
        <v>0.11425173282623291</v>
      </c>
      <c r="J8"/>
    </row>
    <row r="9" spans="1:10" ht="15" customHeight="1" x14ac:dyDescent="0.15">
      <c r="A9" s="265">
        <v>8</v>
      </c>
      <c r="B9" s="265" t="s">
        <v>200</v>
      </c>
      <c r="C9" s="8">
        <v>4.4327077865600586</v>
      </c>
      <c r="D9" s="9">
        <v>3.3673111349344254E-2</v>
      </c>
      <c r="E9" s="9">
        <v>0.23000000417232513</v>
      </c>
      <c r="F9" s="9">
        <v>3.7539999485015869</v>
      </c>
      <c r="G9" s="9">
        <v>0.90000015497207642</v>
      </c>
      <c r="H9" s="9">
        <v>6.1267983168363571E-2</v>
      </c>
      <c r="I9">
        <v>4.6350718475878239E-3</v>
      </c>
      <c r="J9"/>
    </row>
    <row r="10" spans="1:10" ht="15" customHeight="1" x14ac:dyDescent="0.15">
      <c r="A10" s="266">
        <v>9</v>
      </c>
      <c r="B10" s="266" t="s">
        <v>201</v>
      </c>
      <c r="C10" s="8">
        <v>4.2653207778930664</v>
      </c>
      <c r="D10" s="9">
        <v>6.3255496323108673E-2</v>
      </c>
      <c r="E10" s="9">
        <v>0.68999999761581421</v>
      </c>
      <c r="F10" s="9">
        <v>4.1118483543395996</v>
      </c>
      <c r="G10" s="9">
        <v>0.91933977603912354</v>
      </c>
      <c r="H10" s="9">
        <v>0.16780774295330048</v>
      </c>
      <c r="I10">
        <v>2.9353564605116844E-2</v>
      </c>
      <c r="J10"/>
    </row>
    <row r="11" spans="1:10" ht="15" customHeight="1" x14ac:dyDescent="0.15">
      <c r="A11" s="267">
        <v>10</v>
      </c>
      <c r="B11" s="267" t="s">
        <v>202</v>
      </c>
      <c r="C11" s="8">
        <v>3.9687819480895996</v>
      </c>
      <c r="D11" s="9">
        <v>1.3131971471011639E-2</v>
      </c>
      <c r="E11" s="9">
        <v>0.89999997615814209</v>
      </c>
      <c r="F11" s="9">
        <v>9.1407623291015625</v>
      </c>
      <c r="G11" s="9">
        <v>0.71941769123077393</v>
      </c>
      <c r="H11" s="9">
        <v>9.8460055887699127E-2</v>
      </c>
      <c r="I11">
        <v>4.4160999823361635E-4</v>
      </c>
      <c r="J11"/>
    </row>
    <row r="12" spans="1:10" ht="15" customHeight="1" x14ac:dyDescent="0.15">
      <c r="A12" s="268">
        <v>11</v>
      </c>
      <c r="B12" s="268" t="s">
        <v>203</v>
      </c>
      <c r="C12" s="8">
        <v>3.7726809978485107</v>
      </c>
      <c r="D12" s="9">
        <v>0.23882517218589783</v>
      </c>
      <c r="E12" s="9">
        <v>0.4699999988079071</v>
      </c>
      <c r="F12" s="9">
        <v>2.3499999046325684</v>
      </c>
      <c r="G12" s="9">
        <v>0.95000016689300537</v>
      </c>
      <c r="H12" s="9">
        <v>0.20000000298023224</v>
      </c>
      <c r="I12">
        <v>1.6899689799174666E-3</v>
      </c>
      <c r="J12"/>
    </row>
    <row r="13" spans="1:10" ht="15" customHeight="1" x14ac:dyDescent="0.15">
      <c r="A13" s="269">
        <v>12</v>
      </c>
      <c r="B13" s="269" t="s">
        <v>204</v>
      </c>
      <c r="C13" s="8">
        <v>4.4097142219543457</v>
      </c>
      <c r="D13" s="9">
        <v>0.14557537436485291</v>
      </c>
      <c r="E13" s="9">
        <v>0.77100002765655518</v>
      </c>
      <c r="F13" s="9">
        <v>2.5203983783721924</v>
      </c>
      <c r="G13" s="9">
        <v>0.91662395000457764</v>
      </c>
      <c r="H13" s="9">
        <v>0.30590403079986572</v>
      </c>
      <c r="I13">
        <v>7.0505373179912567E-2</v>
      </c>
      <c r="J13"/>
    </row>
    <row r="14" spans="1:10" ht="15" customHeight="1" x14ac:dyDescent="0.15">
      <c r="A14" s="270">
        <v>13</v>
      </c>
      <c r="B14" s="270" t="s">
        <v>205</v>
      </c>
      <c r="C14" s="8">
        <v>4.0863428115844727</v>
      </c>
      <c r="D14" s="9">
        <v>3.493683785200119E-2</v>
      </c>
      <c r="E14" s="9">
        <v>1.2000000476837158</v>
      </c>
      <c r="F14" s="9">
        <v>6.2020001411437988</v>
      </c>
      <c r="G14" s="9">
        <v>0.72619456052780151</v>
      </c>
      <c r="H14" s="9">
        <v>0.19348597526550293</v>
      </c>
      <c r="I14">
        <v>6.6999997943639755E-3</v>
      </c>
      <c r="J14"/>
    </row>
    <row r="15" spans="1:10" ht="15" customHeight="1" x14ac:dyDescent="0.15">
      <c r="A15" s="271">
        <v>14</v>
      </c>
      <c r="B15" s="271" t="s">
        <v>206</v>
      </c>
      <c r="C15" s="8">
        <v>3.4920318126678467</v>
      </c>
      <c r="D15" s="9">
        <v>0.33580794930458069</v>
      </c>
      <c r="E15" s="9">
        <v>0.40000000596046448</v>
      </c>
      <c r="F15" s="9">
        <v>3.3310000896453857</v>
      </c>
      <c r="G15" s="9">
        <v>0.95000004768371582</v>
      </c>
      <c r="H15" s="9">
        <v>0.12008405476808548</v>
      </c>
      <c r="I15">
        <v>3.1335815787315369E-2</v>
      </c>
      <c r="J15"/>
    </row>
    <row r="16" spans="1:10" ht="15" customHeight="1" x14ac:dyDescent="0.15">
      <c r="A16" s="272">
        <v>15</v>
      </c>
      <c r="B16" s="272" t="s">
        <v>207</v>
      </c>
      <c r="C16" s="8">
        <v>4.0911407470703125</v>
      </c>
      <c r="D16" s="9">
        <v>0.43206661939620972</v>
      </c>
      <c r="E16" s="9">
        <v>0.43000000715255737</v>
      </c>
      <c r="F16" s="9">
        <v>4.7080001831054688</v>
      </c>
      <c r="G16" s="9">
        <v>0.94996058940887451</v>
      </c>
      <c r="H16" s="9">
        <v>9.1333895921707153E-2</v>
      </c>
      <c r="I16">
        <v>5.8319509029388428E-2</v>
      </c>
      <c r="J16"/>
    </row>
    <row r="17" spans="1:10" ht="15" customHeight="1" x14ac:dyDescent="0.15">
      <c r="A17" s="273">
        <v>16</v>
      </c>
      <c r="B17" s="273" t="s">
        <v>208</v>
      </c>
      <c r="C17" s="8">
        <v>4.3281764984130859</v>
      </c>
      <c r="D17" s="9">
        <v>0.20661714673042297</v>
      </c>
      <c r="E17" s="9">
        <v>0.40000000596046448</v>
      </c>
      <c r="F17" s="9">
        <v>2</v>
      </c>
      <c r="G17" s="9">
        <v>0.89999991655349731</v>
      </c>
      <c r="H17" s="9">
        <v>0.20000000298023224</v>
      </c>
      <c r="I17">
        <v>4.8536688089370728E-2</v>
      </c>
      <c r="J17"/>
    </row>
    <row r="18" spans="1:10" ht="15" customHeight="1" x14ac:dyDescent="0.15">
      <c r="A18" s="274">
        <v>17</v>
      </c>
      <c r="B18" s="274" t="s">
        <v>209</v>
      </c>
      <c r="C18" s="8">
        <v>3.2132916450500488</v>
      </c>
      <c r="D18" s="9">
        <v>5.6752506643533707E-2</v>
      </c>
      <c r="E18" s="9">
        <v>0.46000000834465027</v>
      </c>
      <c r="F18" s="9">
        <v>3.7000000476837158</v>
      </c>
      <c r="G18" s="9">
        <v>0.87499070167541504</v>
      </c>
      <c r="H18" s="9">
        <v>0.12432432174682617</v>
      </c>
      <c r="I18">
        <v>1.3263538479804993E-2</v>
      </c>
      <c r="J18"/>
    </row>
    <row r="19" spans="1:10" ht="15" customHeight="1" x14ac:dyDescent="0.15">
      <c r="A19" s="275">
        <v>18</v>
      </c>
      <c r="B19" s="275" t="s">
        <v>210</v>
      </c>
      <c r="C19" s="8">
        <v>3.6378519535064697</v>
      </c>
      <c r="D19" s="9">
        <v>2.3923013359308243E-2</v>
      </c>
      <c r="E19" s="9">
        <v>0.5899999737739563</v>
      </c>
      <c r="F19" s="9">
        <v>6.6207780838012695</v>
      </c>
      <c r="G19" s="9">
        <v>0.40000000596046448</v>
      </c>
      <c r="H19" s="9">
        <v>8.9113391935825348E-2</v>
      </c>
      <c r="I19">
        <v>4.1315201087854803E-5</v>
      </c>
      <c r="J19"/>
    </row>
    <row r="20" spans="1:10" ht="15" customHeight="1" x14ac:dyDescent="0.15">
      <c r="A20" s="276">
        <v>19</v>
      </c>
      <c r="B20" s="276" t="s">
        <v>211</v>
      </c>
      <c r="C20" s="8">
        <v>3.1299998760223389</v>
      </c>
      <c r="D20" s="9">
        <v>4.4610548764467239E-2</v>
      </c>
      <c r="E20" s="9">
        <v>0.80000001192092896</v>
      </c>
      <c r="F20" s="9">
        <v>3.4200000762939453</v>
      </c>
      <c r="G20" s="9">
        <v>0.85948783159255981</v>
      </c>
      <c r="H20" s="9">
        <v>0.23391813039779663</v>
      </c>
      <c r="I20">
        <v>1.3256649486720562E-2</v>
      </c>
      <c r="J20"/>
    </row>
    <row r="21" spans="1:10" ht="15" customHeight="1" x14ac:dyDescent="0.15">
      <c r="A21" s="277">
        <v>20</v>
      </c>
      <c r="B21" s="277" t="s">
        <v>212</v>
      </c>
      <c r="C21" s="8">
        <v>3.8884727954864502</v>
      </c>
      <c r="D21" s="9">
        <v>0.61445772647857666</v>
      </c>
      <c r="E21" s="9">
        <v>0.34400001168251038</v>
      </c>
      <c r="F21" s="9">
        <v>1.7200000286102295</v>
      </c>
      <c r="G21" s="9">
        <v>0.85000008344650269</v>
      </c>
      <c r="H21" s="9">
        <v>0.20000000298023224</v>
      </c>
      <c r="I21">
        <v>7.1184307336807251E-2</v>
      </c>
      <c r="J21"/>
    </row>
    <row r="22" spans="1:10" ht="15" customHeight="1" x14ac:dyDescent="0.15">
      <c r="A22" s="278">
        <v>21</v>
      </c>
      <c r="B22" s="278" t="s">
        <v>213</v>
      </c>
      <c r="C22" s="8">
        <v>3.5398814678192139</v>
      </c>
      <c r="D22" s="9">
        <v>1.3560007810592651</v>
      </c>
      <c r="E22" s="9">
        <v>0.5</v>
      </c>
      <c r="F22" s="9">
        <v>2.5</v>
      </c>
      <c r="G22" s="9">
        <v>0.95000004768371582</v>
      </c>
      <c r="H22" s="9">
        <v>0.20000000298023224</v>
      </c>
      <c r="I22">
        <v>2.1688634529709816E-2</v>
      </c>
      <c r="J22"/>
    </row>
    <row r="23" spans="1:10" ht="15" customHeight="1" x14ac:dyDescent="0.15">
      <c r="A23" s="279">
        <v>22</v>
      </c>
      <c r="B23" s="279" t="s">
        <v>214</v>
      </c>
      <c r="C23" s="8">
        <v>3.2639343738555908</v>
      </c>
      <c r="D23" s="9">
        <v>1.0737751722335815</v>
      </c>
      <c r="E23" s="9">
        <v>1.1000000238418579</v>
      </c>
      <c r="F23" s="9">
        <v>4.4000000953674316</v>
      </c>
      <c r="G23" s="9">
        <v>0.95000672340393066</v>
      </c>
      <c r="H23" s="9">
        <v>0.25</v>
      </c>
      <c r="I23">
        <v>1.8312090542167425E-3</v>
      </c>
      <c r="J23"/>
    </row>
    <row r="24" spans="1:10" ht="15" customHeight="1" x14ac:dyDescent="0.15">
      <c r="A24" s="280">
        <v>23</v>
      </c>
      <c r="B24" s="280" t="s">
        <v>215</v>
      </c>
      <c r="C24" s="8">
        <v>3.6021173000335693</v>
      </c>
      <c r="D24" s="9">
        <v>3.3425464630126953</v>
      </c>
      <c r="E24" s="9">
        <v>0.27000001072883606</v>
      </c>
      <c r="F24" s="9">
        <v>1.0800000429153442</v>
      </c>
      <c r="G24" s="9">
        <v>0.83335942029953003</v>
      </c>
      <c r="H24" s="9">
        <v>0.25</v>
      </c>
      <c r="I24">
        <v>0.12915362417697906</v>
      </c>
      <c r="J24"/>
    </row>
    <row r="25" spans="1:10" ht="15" customHeight="1" x14ac:dyDescent="0.15">
      <c r="A25" s="281">
        <v>24</v>
      </c>
      <c r="B25" s="281" t="s">
        <v>216</v>
      </c>
      <c r="C25" s="8">
        <v>3.6530077457427979</v>
      </c>
      <c r="D25" s="9">
        <v>3.77419114112854</v>
      </c>
      <c r="E25" s="9">
        <v>0.2800000011920929</v>
      </c>
      <c r="F25" s="9">
        <v>1.1200000047683716</v>
      </c>
      <c r="G25" s="9">
        <v>0.68081635236740112</v>
      </c>
      <c r="H25" s="9">
        <v>0.25</v>
      </c>
      <c r="I25">
        <v>0.23149761557579041</v>
      </c>
      <c r="J25"/>
    </row>
    <row r="26" spans="1:10" ht="15" customHeight="1" x14ac:dyDescent="0.15">
      <c r="A26" s="282">
        <v>25</v>
      </c>
      <c r="B26" s="282" t="s">
        <v>217</v>
      </c>
      <c r="C26" s="8">
        <v>3.4768950939178467</v>
      </c>
      <c r="D26" s="9">
        <v>0.53239816427230835</v>
      </c>
      <c r="E26" s="9">
        <v>1.0299999713897705</v>
      </c>
      <c r="F26" s="9">
        <v>4.119999885559082</v>
      </c>
      <c r="G26" s="9">
        <v>0.94999736547470093</v>
      </c>
      <c r="H26" s="9">
        <v>0.25</v>
      </c>
      <c r="I26">
        <v>1.6540054231882095E-2</v>
      </c>
      <c r="J26"/>
    </row>
    <row r="27" spans="1:10" ht="15" customHeight="1" x14ac:dyDescent="0.15">
      <c r="A27" s="283">
        <v>26</v>
      </c>
      <c r="B27" s="283" t="s">
        <v>218</v>
      </c>
      <c r="C27" s="8">
        <v>3.4909729957580566</v>
      </c>
      <c r="D27" s="9">
        <v>0.24242976307868958</v>
      </c>
      <c r="E27" s="9">
        <v>0.77999997138977051</v>
      </c>
      <c r="F27" s="9">
        <v>4.5900001525878906</v>
      </c>
      <c r="G27" s="9">
        <v>0.91330653429031372</v>
      </c>
      <c r="H27" s="9">
        <v>0.16993463039398193</v>
      </c>
      <c r="I27">
        <v>6.1592768877744675E-2</v>
      </c>
      <c r="J27"/>
    </row>
    <row r="28" spans="1:10" ht="15" customHeight="1" x14ac:dyDescent="0.15">
      <c r="A28" s="284">
        <v>27</v>
      </c>
      <c r="B28" s="284" t="s">
        <v>219</v>
      </c>
      <c r="C28" s="8">
        <v>3.4192492961883545</v>
      </c>
      <c r="D28" s="9">
        <v>0.41073104739189148</v>
      </c>
      <c r="E28" s="9">
        <v>0.80000001192092896</v>
      </c>
      <c r="F28" s="9">
        <v>6.8000001907348633</v>
      </c>
      <c r="G28" s="9">
        <v>0.94996702671051025</v>
      </c>
      <c r="H28" s="9">
        <v>0.11764705926179886</v>
      </c>
      <c r="I28">
        <v>1.9493412226438522E-2</v>
      </c>
      <c r="J28"/>
    </row>
    <row r="29" spans="1:10" ht="15" customHeight="1" x14ac:dyDescent="0.15">
      <c r="A29" s="285">
        <v>28</v>
      </c>
      <c r="B29" s="285" t="s">
        <v>220</v>
      </c>
      <c r="C29" s="8">
        <v>3.7912471294403076</v>
      </c>
      <c r="D29" s="9">
        <v>0.49784928560256958</v>
      </c>
      <c r="E29" s="9">
        <v>1.3999999761581421</v>
      </c>
      <c r="F29" s="9">
        <v>7</v>
      </c>
      <c r="G29" s="9">
        <v>0.94999969005584717</v>
      </c>
      <c r="H29" s="9">
        <v>0.20000000298023224</v>
      </c>
      <c r="I29">
        <v>2.2365288808941841E-2</v>
      </c>
      <c r="J29"/>
    </row>
    <row r="30" spans="1:10" ht="15" customHeight="1" x14ac:dyDescent="0.15">
      <c r="A30" s="286">
        <v>29</v>
      </c>
      <c r="B30" s="286" t="s">
        <v>221</v>
      </c>
      <c r="C30" s="8">
        <v>4.2813143730163574</v>
      </c>
      <c r="D30" s="9">
        <v>6.5387532114982605E-2</v>
      </c>
      <c r="E30" s="9">
        <v>0.40000000596046448</v>
      </c>
      <c r="F30" s="9">
        <v>4.130000114440918</v>
      </c>
      <c r="G30" s="9">
        <v>0.89999991655349731</v>
      </c>
      <c r="H30" s="9">
        <v>9.6852302551269531E-2</v>
      </c>
      <c r="I30">
        <v>3.9382500108331442E-4</v>
      </c>
      <c r="J30"/>
    </row>
    <row r="31" spans="1:10" ht="15" customHeight="1" x14ac:dyDescent="0.15">
      <c r="A31" s="287">
        <v>30</v>
      </c>
      <c r="B31" s="287" t="s">
        <v>222</v>
      </c>
      <c r="C31" s="8">
        <v>3.5409412384033203</v>
      </c>
      <c r="D31" s="9">
        <v>0.34551545977592468</v>
      </c>
      <c r="E31" s="9">
        <v>0.73000001907348633</v>
      </c>
      <c r="F31" s="9">
        <v>4.9200000762939453</v>
      </c>
      <c r="G31" s="9">
        <v>0.94999557733535767</v>
      </c>
      <c r="H31" s="9">
        <v>0.14837399125099182</v>
      </c>
      <c r="I31">
        <v>4.6869069337844849E-3</v>
      </c>
      <c r="J31"/>
    </row>
    <row r="32" spans="1:10" ht="15" customHeight="1" x14ac:dyDescent="0.15">
      <c r="A32" s="288">
        <v>31</v>
      </c>
      <c r="B32" s="288" t="s">
        <v>223</v>
      </c>
      <c r="C32" s="8">
        <v>3.6617050170898438</v>
      </c>
      <c r="D32" s="9">
        <v>0.34138679504394531</v>
      </c>
      <c r="E32" s="9">
        <v>3.119999885559082</v>
      </c>
      <c r="F32" s="9">
        <v>10.399999618530273</v>
      </c>
      <c r="G32" s="9">
        <v>0.95000535249710083</v>
      </c>
      <c r="H32" s="9">
        <v>0.30000001192092896</v>
      </c>
      <c r="I32">
        <v>6.2482515349984169E-3</v>
      </c>
      <c r="J32"/>
    </row>
    <row r="33" spans="1:10" ht="15" customHeight="1" x14ac:dyDescent="0.15">
      <c r="A33" s="289">
        <v>32</v>
      </c>
      <c r="B33" s="289" t="s">
        <v>224</v>
      </c>
      <c r="C33" s="8">
        <v>3.2242653369903564</v>
      </c>
      <c r="D33" s="9">
        <v>0.12091206014156342</v>
      </c>
      <c r="E33" s="9">
        <v>0.69999998807907104</v>
      </c>
      <c r="F33" s="9">
        <v>3.4000000953674316</v>
      </c>
      <c r="G33" s="9">
        <v>0.80000013113021851</v>
      </c>
      <c r="H33" s="9">
        <v>0.20588234066963196</v>
      </c>
      <c r="I33">
        <v>2.330067940056324E-2</v>
      </c>
      <c r="J33"/>
    </row>
    <row r="34" spans="1:10" ht="15" customHeight="1" x14ac:dyDescent="0.15">
      <c r="A34" s="290">
        <v>33</v>
      </c>
      <c r="B34" s="290" t="s">
        <v>225</v>
      </c>
      <c r="C34" s="8">
        <v>3.471848726272583</v>
      </c>
      <c r="D34" s="9">
        <v>0.46986225247383118</v>
      </c>
      <c r="E34" s="9">
        <v>1.2000000476837158</v>
      </c>
      <c r="F34" s="9">
        <v>8</v>
      </c>
      <c r="G34" s="9">
        <v>0.79999744892120361</v>
      </c>
      <c r="H34" s="9">
        <v>0.15000000596046448</v>
      </c>
      <c r="I34">
        <v>6.5362356603145599E-2</v>
      </c>
      <c r="J34"/>
    </row>
    <row r="35" spans="1:10" ht="15" customHeight="1" x14ac:dyDescent="0.15">
      <c r="A35" s="291">
        <v>34</v>
      </c>
      <c r="B35" s="291" t="s">
        <v>226</v>
      </c>
      <c r="C35" s="8">
        <v>2.9845645427703857</v>
      </c>
      <c r="D35" s="9">
        <v>1.7257449626922607</v>
      </c>
      <c r="E35" s="9">
        <v>3</v>
      </c>
      <c r="F35" s="9">
        <v>20</v>
      </c>
      <c r="G35" s="9">
        <v>0.94999951124191284</v>
      </c>
      <c r="H35" s="9">
        <v>0.15000000596046448</v>
      </c>
      <c r="I35">
        <v>8.4770401008427143E-4</v>
      </c>
      <c r="J35"/>
    </row>
    <row r="36" spans="1:10" ht="15" customHeight="1" x14ac:dyDescent="0.15">
      <c r="A36" s="292">
        <v>35</v>
      </c>
      <c r="B36" s="292" t="s">
        <v>227</v>
      </c>
      <c r="C36" s="8">
        <v>3.139188289642334</v>
      </c>
      <c r="D36" s="9">
        <v>7.8921117782592773</v>
      </c>
      <c r="E36" s="9">
        <v>1.8849999904632568</v>
      </c>
      <c r="F36" s="9">
        <v>12.566665649414062</v>
      </c>
      <c r="G36" s="9">
        <v>0.69999945163726807</v>
      </c>
      <c r="H36" s="9">
        <v>0.15000000596046448</v>
      </c>
      <c r="I36">
        <v>1.9870417192578316E-2</v>
      </c>
      <c r="J36"/>
    </row>
    <row r="37" spans="1:10" ht="15" customHeight="1" x14ac:dyDescent="0.15">
      <c r="A37" s="293">
        <v>36</v>
      </c>
      <c r="B37" s="293" t="s">
        <v>228</v>
      </c>
      <c r="C37" s="8">
        <v>2.369999885559082</v>
      </c>
      <c r="D37" s="9">
        <v>19.452730178833008</v>
      </c>
      <c r="E37" s="9">
        <v>1.6000000238418579</v>
      </c>
      <c r="F37" s="9">
        <v>8</v>
      </c>
      <c r="G37" s="9">
        <v>0.69999998807907104</v>
      </c>
      <c r="H37" s="9">
        <v>0.20000000298023224</v>
      </c>
      <c r="I37">
        <v>6.2541128136217594E-3</v>
      </c>
      <c r="J37"/>
    </row>
    <row r="38" spans="1:10" ht="15" customHeight="1" x14ac:dyDescent="0.15">
      <c r="A38" s="294">
        <v>37</v>
      </c>
      <c r="B38" s="294" t="s">
        <v>229</v>
      </c>
      <c r="C38" s="8">
        <v>2.0499999523162842</v>
      </c>
      <c r="D38" s="9">
        <v>19.22001838684082</v>
      </c>
      <c r="E38" s="9">
        <v>2.7999999523162842</v>
      </c>
      <c r="F38" s="9">
        <v>14</v>
      </c>
      <c r="G38" s="9">
        <v>0.80000001192092896</v>
      </c>
      <c r="H38" s="9">
        <v>0.20000000298023224</v>
      </c>
      <c r="I38">
        <v>5.6609172374010086E-2</v>
      </c>
      <c r="J38"/>
    </row>
    <row r="39" spans="1:10" ht="15" customHeight="1" x14ac:dyDescent="0.15">
      <c r="A39" s="295">
        <v>38</v>
      </c>
      <c r="B39" s="295" t="s">
        <v>230</v>
      </c>
      <c r="C39" s="8">
        <v>2.0999999046325684</v>
      </c>
      <c r="D39" s="9">
        <v>6.2033705711364746</v>
      </c>
      <c r="E39" s="9">
        <v>10</v>
      </c>
      <c r="F39" s="9">
        <v>50</v>
      </c>
      <c r="G39" s="9">
        <v>0.90000009536743164</v>
      </c>
      <c r="H39" s="9">
        <v>0.20000000298023224</v>
      </c>
      <c r="I39">
        <v>0</v>
      </c>
      <c r="J39"/>
    </row>
    <row r="40" spans="1:10" ht="15" customHeight="1" x14ac:dyDescent="0.15">
      <c r="A40" s="296">
        <v>39</v>
      </c>
      <c r="B40" s="296" t="s">
        <v>231</v>
      </c>
      <c r="C40" s="8">
        <v>2.1310288906097412</v>
      </c>
      <c r="D40" s="9">
        <v>0.21967507898807526</v>
      </c>
      <c r="E40" s="9">
        <v>20</v>
      </c>
      <c r="F40" s="9">
        <v>100</v>
      </c>
      <c r="G40" s="9">
        <v>0.90000009536743164</v>
      </c>
      <c r="H40" s="9">
        <v>0.20000000298023224</v>
      </c>
      <c r="I40">
        <v>0</v>
      </c>
      <c r="J40"/>
    </row>
    <row r="41" spans="1:10" ht="15" customHeight="1" x14ac:dyDescent="0.15">
      <c r="A41" s="297">
        <v>40</v>
      </c>
      <c r="B41" s="297" t="s">
        <v>232</v>
      </c>
      <c r="C41" s="8">
        <v>2.6551437377929688</v>
      </c>
      <c r="D41" s="9">
        <v>3.130000114440918</v>
      </c>
      <c r="E41" s="9">
        <v>10.5</v>
      </c>
      <c r="F41" s="9">
        <v>38</v>
      </c>
      <c r="G41" s="9">
        <v>0.56297528743743896</v>
      </c>
      <c r="H41" s="9">
        <v>0.27631577849388123</v>
      </c>
      <c r="I41">
        <v>0</v>
      </c>
      <c r="J41"/>
    </row>
    <row r="42" spans="1:10" ht="15" customHeight="1" x14ac:dyDescent="0.15">
      <c r="A42" s="298">
        <v>41</v>
      </c>
      <c r="B42" s="298" t="s">
        <v>233</v>
      </c>
      <c r="C42" s="8">
        <v>2.4675135612487793</v>
      </c>
      <c r="D42" s="9">
        <v>4.9210000038146973</v>
      </c>
      <c r="E42" s="9">
        <v>16.450000762939453</v>
      </c>
      <c r="F42" s="9">
        <v>80</v>
      </c>
      <c r="G42" s="9">
        <v>0.76842617988586426</v>
      </c>
      <c r="H42" s="9">
        <v>0.2056250125169754</v>
      </c>
      <c r="I42">
        <v>0</v>
      </c>
      <c r="J42"/>
    </row>
    <row r="43" spans="1:10" ht="15" customHeight="1" x14ac:dyDescent="0.15">
      <c r="A43" s="299">
        <v>42</v>
      </c>
      <c r="B43" s="299" t="s">
        <v>234</v>
      </c>
      <c r="C43" s="8">
        <v>2.1530613899230957</v>
      </c>
      <c r="D43" s="9">
        <v>5.3169999122619629</v>
      </c>
      <c r="E43" s="9">
        <v>45.049999237060547</v>
      </c>
      <c r="F43" s="9">
        <v>316</v>
      </c>
      <c r="G43" s="9">
        <v>0.89672648906707764</v>
      </c>
      <c r="H43" s="9">
        <v>0.14256328344345093</v>
      </c>
      <c r="I43">
        <v>0</v>
      </c>
      <c r="J43"/>
    </row>
    <row r="44" spans="1:10" ht="15" customHeight="1" x14ac:dyDescent="0.15">
      <c r="A44" s="300">
        <v>43</v>
      </c>
      <c r="B44" s="300" t="s">
        <v>235</v>
      </c>
      <c r="C44" s="8">
        <v>2</v>
      </c>
      <c r="D44" s="9">
        <v>0.82400000095367432</v>
      </c>
      <c r="E44" s="9">
        <v>500</v>
      </c>
      <c r="F44" s="9">
        <v>1428.5714111328125</v>
      </c>
      <c r="G44" s="9">
        <v>0.69474875926971436</v>
      </c>
      <c r="H44" s="9">
        <v>0.34999999403953552</v>
      </c>
      <c r="I44">
        <v>0</v>
      </c>
      <c r="J44"/>
    </row>
    <row r="45" spans="1:10" ht="15" customHeight="1" x14ac:dyDescent="0.15">
      <c r="A45" s="301">
        <v>44</v>
      </c>
      <c r="B45" s="301" t="s">
        <v>236</v>
      </c>
      <c r="C45" s="8">
        <v>1</v>
      </c>
      <c r="D45" s="9">
        <v>9.5419998168945312</v>
      </c>
      <c r="E45" s="9">
        <v>119</v>
      </c>
      <c r="F45" s="10"/>
      <c r="G45" s="9">
        <v>0.69542521238327026</v>
      </c>
      <c r="H45" s="10"/>
      <c r="I45">
        <v>0</v>
      </c>
      <c r="J45"/>
    </row>
    <row r="46" spans="1:10" ht="15" customHeight="1" x14ac:dyDescent="0.15">
      <c r="A46" s="302">
        <v>45</v>
      </c>
      <c r="B46" s="302" t="s">
        <v>237</v>
      </c>
      <c r="C46" s="8">
        <v>1</v>
      </c>
      <c r="D46" s="9">
        <v>6.1269998550415039</v>
      </c>
      <c r="E46" s="9">
        <v>151</v>
      </c>
      <c r="F46" s="10"/>
      <c r="G46" s="9">
        <v>0.56216025352478027</v>
      </c>
      <c r="H46" s="10"/>
      <c r="I46">
        <v>0</v>
      </c>
      <c r="J46"/>
    </row>
    <row r="47" spans="1:10" ht="15" customHeight="1" x14ac:dyDescent="0.15">
      <c r="A47" s="303">
        <v>46</v>
      </c>
      <c r="B47" s="303" t="s">
        <v>238</v>
      </c>
      <c r="C47" s="8">
        <v>1</v>
      </c>
      <c r="D47" s="9">
        <v>0.63599997758865356</v>
      </c>
      <c r="E47" s="9">
        <v>4.5</v>
      </c>
      <c r="F47" s="10"/>
      <c r="G47" s="9">
        <v>0.10708639025688171</v>
      </c>
      <c r="H47" s="10"/>
      <c r="I47">
        <v>0.15614001452922821</v>
      </c>
      <c r="J47"/>
    </row>
    <row r="48" spans="1:10" ht="15" customHeight="1" x14ac:dyDescent="0.15">
      <c r="A48" s="304">
        <v>47</v>
      </c>
      <c r="B48" s="304" t="s">
        <v>239</v>
      </c>
      <c r="C48" s="8">
        <v>1</v>
      </c>
      <c r="D48" s="9">
        <v>1</v>
      </c>
      <c r="E48" s="10"/>
      <c r="F48" s="10"/>
      <c r="G48" s="7">
        <v>0.72760105133056641</v>
      </c>
      <c r="H48" s="10"/>
      <c r="I48">
        <v>0</v>
      </c>
      <c r="J48"/>
    </row>
    <row r="49" spans="1:10" ht="15" customHeight="1" x14ac:dyDescent="0.15">
      <c r="A49" s="305">
        <v>48</v>
      </c>
      <c r="B49" s="305" t="s">
        <v>240</v>
      </c>
      <c r="C49" s="8">
        <v>1</v>
      </c>
      <c r="D49" s="9">
        <v>325.70001220703125</v>
      </c>
      <c r="E49" s="10"/>
      <c r="F49" s="10"/>
      <c r="G49" s="7">
        <v>0.83979320526123047</v>
      </c>
      <c r="H49" s="10"/>
      <c r="I49">
        <v>0</v>
      </c>
      <c r="J49"/>
    </row>
    <row r="50" spans="1:10" ht="15" customHeight="1" x14ac:dyDescent="0.15">
      <c r="A50" s="306">
        <v>49</v>
      </c>
      <c r="B50" s="306" t="s">
        <v>241</v>
      </c>
      <c r="C50" s="8">
        <v>1</v>
      </c>
      <c r="D50" s="9">
        <v>5</v>
      </c>
      <c r="E50" s="10"/>
      <c r="F50" s="10"/>
      <c r="G50" s="7">
        <v>0</v>
      </c>
      <c r="H50" s="10"/>
      <c r="I50">
        <v>0</v>
      </c>
      <c r="J50"/>
    </row>
    <row r="51" spans="1:10" ht="15" customHeight="1" x14ac:dyDescent="0.15">
      <c r="A51" s="307">
        <v>50</v>
      </c>
      <c r="B51" s="307" t="s">
        <v>199</v>
      </c>
      <c r="C51" s="8">
        <v>5.4704961776733398</v>
      </c>
      <c r="D51" s="10"/>
      <c r="E51" s="10"/>
      <c r="F51" s="10"/>
      <c r="G51" s="10"/>
      <c r="H51" s="10"/>
      <c r="I51">
        <v>0.11425173282623291</v>
      </c>
      <c r="J51"/>
    </row>
    <row r="52" spans="1:10" ht="15" customHeight="1" x14ac:dyDescent="0.15">
      <c r="A52" s="308">
        <v>51</v>
      </c>
      <c r="B52" s="308" t="s">
        <v>200</v>
      </c>
      <c r="C52" s="8">
        <v>5.4327077865600586</v>
      </c>
      <c r="D52" s="10"/>
      <c r="E52" s="10"/>
      <c r="F52" s="10"/>
      <c r="G52" s="10"/>
      <c r="H52" s="10"/>
      <c r="I52">
        <v>4.6350718475878239E-3</v>
      </c>
      <c r="J52"/>
    </row>
    <row r="53" spans="1:10" ht="15" customHeight="1" x14ac:dyDescent="0.15">
      <c r="A53" s="309">
        <v>52</v>
      </c>
      <c r="B53" s="309" t="s">
        <v>242</v>
      </c>
      <c r="C53" s="8">
        <v>5.2653207778930664</v>
      </c>
      <c r="D53" s="10"/>
      <c r="E53" s="10"/>
      <c r="F53" s="10"/>
      <c r="G53" s="10"/>
      <c r="H53" s="10"/>
      <c r="I53">
        <v>2.9353564605116844E-2</v>
      </c>
      <c r="J53"/>
    </row>
    <row r="54" spans="1:10" ht="15" customHeight="1" x14ac:dyDescent="0.15">
      <c r="A54" s="310">
        <v>53</v>
      </c>
      <c r="B54" s="310" t="s">
        <v>202</v>
      </c>
      <c r="C54" s="8">
        <v>4.9687819480895996</v>
      </c>
      <c r="D54" s="10"/>
      <c r="E54" s="10"/>
      <c r="F54" s="10"/>
      <c r="G54" s="10"/>
      <c r="H54" s="10"/>
      <c r="I54">
        <v>4.4160999823361635E-4</v>
      </c>
      <c r="J54"/>
    </row>
    <row r="55" spans="1:10" ht="15" customHeight="1" x14ac:dyDescent="0.15">
      <c r="A55" s="311">
        <v>54</v>
      </c>
      <c r="B55" s="311" t="s">
        <v>203</v>
      </c>
      <c r="C55" s="8">
        <v>4.7726807594299316</v>
      </c>
      <c r="D55" s="10"/>
      <c r="E55" s="10"/>
      <c r="F55" s="10"/>
      <c r="G55" s="10"/>
      <c r="H55" s="10"/>
      <c r="I55">
        <v>1.6899689799174666E-3</v>
      </c>
      <c r="J55"/>
    </row>
    <row r="56" spans="1:10" ht="15" customHeight="1" x14ac:dyDescent="0.15">
      <c r="A56" s="312">
        <v>55</v>
      </c>
      <c r="B56" s="312" t="s">
        <v>204</v>
      </c>
      <c r="C56" s="8">
        <v>5.3816514015197754</v>
      </c>
      <c r="D56" s="10"/>
      <c r="E56" s="10"/>
      <c r="F56" s="10"/>
      <c r="G56" s="10"/>
      <c r="H56" s="10"/>
      <c r="I56">
        <v>7.7205374836921692E-2</v>
      </c>
      <c r="J56"/>
    </row>
    <row r="57" spans="1:10" ht="15" customHeight="1" x14ac:dyDescent="0.15">
      <c r="A57" s="313">
        <v>56</v>
      </c>
      <c r="B57" s="313" t="s">
        <v>206</v>
      </c>
      <c r="C57" s="8">
        <v>4.4920310974121094</v>
      </c>
      <c r="D57" s="10"/>
      <c r="E57" s="10"/>
      <c r="F57" s="10"/>
      <c r="G57" s="10"/>
      <c r="H57" s="10"/>
      <c r="I57">
        <v>3.1335815787315369E-2</v>
      </c>
      <c r="J57"/>
    </row>
    <row r="58" spans="1:10" ht="15" customHeight="1" x14ac:dyDescent="0.15">
      <c r="A58" s="314">
        <v>57</v>
      </c>
      <c r="B58" s="314" t="s">
        <v>207</v>
      </c>
      <c r="C58" s="8">
        <v>5.0911402702331543</v>
      </c>
      <c r="D58" s="10"/>
      <c r="E58" s="10"/>
      <c r="F58" s="10"/>
      <c r="G58" s="10"/>
      <c r="H58" s="10"/>
      <c r="I58">
        <v>5.8319509029388428E-2</v>
      </c>
      <c r="J58"/>
    </row>
    <row r="59" spans="1:10" ht="15" customHeight="1" x14ac:dyDescent="0.15">
      <c r="A59" s="315">
        <v>58</v>
      </c>
      <c r="B59" s="315" t="s">
        <v>210</v>
      </c>
      <c r="C59" s="8">
        <v>4.6378517150878906</v>
      </c>
      <c r="D59" s="10"/>
      <c r="E59" s="10"/>
      <c r="F59" s="10"/>
      <c r="G59" s="10"/>
      <c r="H59" s="10"/>
      <c r="I59">
        <v>4.1315201087854803E-5</v>
      </c>
      <c r="J59"/>
    </row>
    <row r="60" spans="1:10" ht="15" customHeight="1" x14ac:dyDescent="0.15">
      <c r="A60" s="316">
        <v>59</v>
      </c>
      <c r="B60" s="316" t="s">
        <v>209</v>
      </c>
      <c r="C60" s="8">
        <v>4.2132916450500488</v>
      </c>
      <c r="D60" s="10"/>
      <c r="E60" s="10"/>
      <c r="F60" s="10"/>
      <c r="G60" s="10"/>
      <c r="H60" s="10"/>
      <c r="I60">
        <v>1.3263538479804993E-2</v>
      </c>
      <c r="J60"/>
    </row>
    <row r="61" spans="1:10" ht="15" customHeight="1" x14ac:dyDescent="0.15">
      <c r="A61" s="317">
        <v>60</v>
      </c>
      <c r="B61" s="317" t="s">
        <v>211</v>
      </c>
      <c r="C61" s="8">
        <v>4.130000114440918</v>
      </c>
      <c r="D61" s="10"/>
      <c r="E61" s="10"/>
      <c r="F61" s="10"/>
      <c r="G61" s="10"/>
      <c r="H61" s="10"/>
      <c r="I61">
        <v>1.3256649486720562E-2</v>
      </c>
      <c r="J61"/>
    </row>
    <row r="62" spans="1:10" ht="15" customHeight="1" x14ac:dyDescent="0.15">
      <c r="A62" s="318">
        <v>61</v>
      </c>
      <c r="B62" s="318" t="s">
        <v>208</v>
      </c>
      <c r="C62" s="8">
        <v>5.3281764984130859</v>
      </c>
      <c r="D62" s="10"/>
      <c r="E62" s="10"/>
      <c r="F62" s="10"/>
      <c r="G62" s="10"/>
      <c r="H62" s="10"/>
      <c r="I62">
        <v>4.8536688089370728E-2</v>
      </c>
      <c r="J62"/>
    </row>
    <row r="63" spans="1:10" ht="15" customHeight="1" x14ac:dyDescent="0.15">
      <c r="A63" s="319">
        <v>62</v>
      </c>
      <c r="B63" s="319" t="s">
        <v>243</v>
      </c>
      <c r="C63" s="8">
        <v>4.6021170616149902</v>
      </c>
      <c r="D63" s="10"/>
      <c r="E63" s="10"/>
      <c r="F63" s="10"/>
      <c r="G63" s="10"/>
      <c r="H63" s="10"/>
      <c r="I63">
        <v>0.12915362417697906</v>
      </c>
      <c r="J63"/>
    </row>
    <row r="64" spans="1:10" ht="15" customHeight="1" x14ac:dyDescent="0.15">
      <c r="A64" s="320">
        <v>63</v>
      </c>
      <c r="B64" s="320" t="s">
        <v>216</v>
      </c>
      <c r="C64" s="8">
        <v>4.6530075073242188</v>
      </c>
      <c r="D64" s="10"/>
      <c r="E64" s="10"/>
      <c r="F64" s="10"/>
      <c r="G64" s="10"/>
      <c r="H64" s="10"/>
      <c r="I64">
        <v>0.23149761557579041</v>
      </c>
      <c r="J64"/>
    </row>
    <row r="65" spans="1:10" ht="15" customHeight="1" x14ac:dyDescent="0.15">
      <c r="A65" s="321">
        <v>64</v>
      </c>
      <c r="B65" s="321" t="s">
        <v>219</v>
      </c>
      <c r="C65" s="8">
        <v>4.4192490577697754</v>
      </c>
      <c r="D65" s="10"/>
      <c r="E65" s="10"/>
      <c r="F65" s="10"/>
      <c r="G65" s="10"/>
      <c r="H65" s="10"/>
      <c r="I65">
        <v>1.9493412226438522E-2</v>
      </c>
      <c r="J65"/>
    </row>
    <row r="66" spans="1:10" ht="15" customHeight="1" x14ac:dyDescent="0.15">
      <c r="A66" s="322">
        <v>65</v>
      </c>
      <c r="B66" s="322" t="s">
        <v>224</v>
      </c>
      <c r="C66" s="8">
        <v>4.2242655754089355</v>
      </c>
      <c r="D66" s="10"/>
      <c r="E66" s="10"/>
      <c r="F66" s="10"/>
      <c r="G66" s="10"/>
      <c r="H66" s="10"/>
      <c r="I66">
        <v>2.330067940056324E-2</v>
      </c>
      <c r="J66"/>
    </row>
    <row r="67" spans="1:10" ht="15" customHeight="1" x14ac:dyDescent="0.15">
      <c r="A67" s="323">
        <v>66</v>
      </c>
      <c r="B67" s="323" t="s">
        <v>218</v>
      </c>
      <c r="C67" s="8">
        <v>4.4909729957580566</v>
      </c>
      <c r="D67" s="10"/>
      <c r="E67" s="10"/>
      <c r="F67" s="10"/>
      <c r="G67" s="10"/>
      <c r="H67" s="10"/>
      <c r="I67">
        <v>6.1592768877744675E-2</v>
      </c>
      <c r="J67"/>
    </row>
    <row r="68" spans="1:10" ht="15" customHeight="1" x14ac:dyDescent="0.15">
      <c r="A68" s="324">
        <v>67</v>
      </c>
      <c r="B68" s="324" t="s">
        <v>244</v>
      </c>
      <c r="C68" s="8">
        <v>3.7048254013061523</v>
      </c>
      <c r="D68" s="10"/>
      <c r="E68" s="10"/>
      <c r="F68" s="10"/>
      <c r="G68" s="10"/>
      <c r="H68" s="10"/>
      <c r="I68">
        <v>0.51904547214508057</v>
      </c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35" activePane="bottomRight" state="frozen"/>
      <selection pane="topRight" activeCell="D1" sqref="D1"/>
      <selection pane="bottomLeft" activeCell="A2" sqref="A2"/>
      <selection pane="bottomRight" activeCell="A48" sqref="A48:XFD48"/>
    </sheetView>
  </sheetViews>
  <sheetFormatPr baseColWidth="10" defaultColWidth="8.83203125" defaultRowHeight="15" customHeight="1" x14ac:dyDescent="0.15"/>
  <cols>
    <col min="1" max="1" width="40.33203125" style="83" bestFit="1" customWidth="1"/>
    <col min="2" max="4" width="9.5" style="83" bestFit="1" customWidth="1"/>
    <col min="5" max="7" width="9" style="83" bestFit="1" customWidth="1"/>
    <col min="8" max="16" width="12.6640625" style="83" bestFit="1" customWidth="1"/>
    <col min="17" max="17" width="12.33203125" style="83" bestFit="1" customWidth="1"/>
    <col min="18" max="18" width="8.83203125" style="83"/>
    <col min="19" max="21" width="9.33203125" style="83" bestFit="1" customWidth="1"/>
    <col min="22" max="23" width="8.83203125" style="83"/>
    <col min="24" max="24" width="9.33203125" style="83" bestFit="1" customWidth="1"/>
    <col min="25" max="27" width="8.83203125" style="83"/>
    <col min="28" max="58" width="9" style="83" bestFit="1" customWidth="1"/>
    <col min="59" max="59" width="12.33203125" style="83" bestFit="1" customWidth="1"/>
    <col min="60" max="60" width="9" style="83" bestFit="1" customWidth="1"/>
    <col min="61" max="61" width="11.33203125" style="83" bestFit="1" customWidth="1"/>
    <col min="62" max="77" width="9" style="83" bestFit="1" customWidth="1"/>
    <col min="78" max="78" width="12.33203125" style="83" bestFit="1" customWidth="1"/>
    <col min="79" max="79" width="9" style="83" bestFit="1" customWidth="1"/>
    <col min="80" max="80" width="12.33203125" style="83" bestFit="1" customWidth="1"/>
    <col min="81" max="107" width="9" style="83" bestFit="1" customWidth="1"/>
    <col min="108" max="108" width="11.33203125" style="83" bestFit="1" customWidth="1"/>
    <col min="109" max="124" width="9" style="83" bestFit="1" customWidth="1"/>
    <col min="125" max="125" width="10.33203125" style="83" bestFit="1" customWidth="1"/>
    <col min="126" max="129" width="9.33203125" style="83" bestFit="1" customWidth="1"/>
    <col min="130" max="130" width="9" style="83" bestFit="1" customWidth="1"/>
    <col min="131" max="134" width="9.33203125" style="83" bestFit="1" customWidth="1"/>
    <col min="135" max="165" width="9" style="83" bestFit="1" customWidth="1"/>
    <col min="166" max="166" width="12.33203125" style="83" bestFit="1" customWidth="1"/>
    <col min="167" max="170" width="9" style="83" bestFit="1" customWidth="1"/>
    <col min="171" max="176" width="8.83203125" style="83"/>
    <col min="177" max="177" width="13.83203125" style="83" bestFit="1" customWidth="1"/>
    <col min="178" max="16384" width="8.83203125" style="83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249</v>
      </c>
      <c r="E1" t="s">
        <v>250</v>
      </c>
      <c r="F1" t="s">
        <v>251</v>
      </c>
      <c r="G1" t="s">
        <v>252</v>
      </c>
      <c r="H1" t="s">
        <v>253</v>
      </c>
      <c r="I1" t="s">
        <v>254</v>
      </c>
      <c r="J1" t="s">
        <v>255</v>
      </c>
      <c r="K1" t="s">
        <v>256</v>
      </c>
      <c r="L1" t="s">
        <v>257</v>
      </c>
      <c r="M1" t="s">
        <v>258</v>
      </c>
      <c r="N1" t="s">
        <v>259</v>
      </c>
      <c r="O1" t="s">
        <v>260</v>
      </c>
      <c r="P1" t="s">
        <v>261</v>
      </c>
      <c r="Q1" t="s">
        <v>262</v>
      </c>
      <c r="R1" t="s">
        <v>263</v>
      </c>
      <c r="S1" t="s">
        <v>264</v>
      </c>
      <c r="T1" t="s">
        <v>265</v>
      </c>
      <c r="U1" t="s">
        <v>266</v>
      </c>
      <c r="V1" t="s">
        <v>193</v>
      </c>
      <c r="W1" t="s">
        <v>194</v>
      </c>
      <c r="X1" t="s">
        <v>195</v>
      </c>
      <c r="Y1" t="s">
        <v>196</v>
      </c>
      <c r="Z1" t="s">
        <v>197</v>
      </c>
      <c r="AA1" t="s">
        <v>198</v>
      </c>
      <c r="AB1" t="s">
        <v>199</v>
      </c>
      <c r="AC1" t="s">
        <v>200</v>
      </c>
      <c r="AD1" t="s">
        <v>201</v>
      </c>
      <c r="AE1" t="s">
        <v>202</v>
      </c>
      <c r="AF1" t="s">
        <v>203</v>
      </c>
      <c r="AG1" t="s">
        <v>204</v>
      </c>
      <c r="AH1" t="s">
        <v>205</v>
      </c>
      <c r="AI1" t="s">
        <v>206</v>
      </c>
      <c r="AJ1" t="s">
        <v>207</v>
      </c>
      <c r="AK1" t="s">
        <v>208</v>
      </c>
      <c r="AL1" t="s">
        <v>209</v>
      </c>
      <c r="AM1" t="s">
        <v>210</v>
      </c>
      <c r="AN1" t="s">
        <v>211</v>
      </c>
      <c r="AO1" t="s">
        <v>212</v>
      </c>
      <c r="AP1" t="s">
        <v>213</v>
      </c>
      <c r="AQ1" t="s">
        <v>214</v>
      </c>
      <c r="AR1" t="s">
        <v>215</v>
      </c>
      <c r="AS1" t="s">
        <v>216</v>
      </c>
      <c r="AT1" t="s">
        <v>217</v>
      </c>
      <c r="AU1" t="s">
        <v>218</v>
      </c>
      <c r="AV1" t="s">
        <v>219</v>
      </c>
      <c r="AW1" t="s">
        <v>220</v>
      </c>
      <c r="AX1" t="s">
        <v>221</v>
      </c>
      <c r="AY1" t="s">
        <v>222</v>
      </c>
      <c r="AZ1" t="s">
        <v>223</v>
      </c>
      <c r="BA1" t="s">
        <v>224</v>
      </c>
      <c r="BB1" t="s">
        <v>225</v>
      </c>
      <c r="BC1" t="s">
        <v>226</v>
      </c>
      <c r="BD1" t="s">
        <v>227</v>
      </c>
      <c r="BE1" t="s">
        <v>228</v>
      </c>
      <c r="BF1" t="s">
        <v>229</v>
      </c>
      <c r="BG1" t="s">
        <v>230</v>
      </c>
      <c r="BH1" t="s">
        <v>231</v>
      </c>
      <c r="BI1" t="s">
        <v>232</v>
      </c>
      <c r="BJ1" t="s">
        <v>233</v>
      </c>
      <c r="BK1" t="s">
        <v>234</v>
      </c>
      <c r="BL1" t="s">
        <v>235</v>
      </c>
      <c r="BM1" t="s">
        <v>236</v>
      </c>
      <c r="BN1" t="s">
        <v>237</v>
      </c>
      <c r="BO1" t="s">
        <v>238</v>
      </c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193</v>
      </c>
      <c r="B2">
        <v>0.15299999713897705</v>
      </c>
      <c r="C2">
        <v>0.15299999713897705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194</v>
      </c>
      <c r="B3">
        <v>0.24699999392032623</v>
      </c>
      <c r="C3">
        <v>0.24699999392032623</v>
      </c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195</v>
      </c>
      <c r="B4">
        <v>3.5000000149011612E-2</v>
      </c>
      <c r="C4">
        <v>3.5000000149011612E-2</v>
      </c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196</v>
      </c>
      <c r="B5">
        <v>0.13500000536441803</v>
      </c>
      <c r="C5">
        <v>0.13500000536441803</v>
      </c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197</v>
      </c>
      <c r="B6">
        <v>0.15000000596046448</v>
      </c>
      <c r="C6">
        <v>6.0000006109476089E-2</v>
      </c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 s="188">
        <v>1.7749732360243797E-2</v>
      </c>
      <c r="V6"/>
      <c r="W6"/>
      <c r="X6"/>
      <c r="Y6" s="203">
        <v>4.7591987997293472E-2</v>
      </c>
      <c r="Z6" s="193">
        <v>2.4658281356096268E-2</v>
      </c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198</v>
      </c>
      <c r="B7">
        <v>0.34999999403953552</v>
      </c>
      <c r="C7">
        <v>6.9999955594539642E-2</v>
      </c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 s="189">
        <v>0.16709825396537781</v>
      </c>
      <c r="V7"/>
      <c r="W7"/>
      <c r="X7"/>
      <c r="Y7" s="17">
        <v>4.9712099134922028E-3</v>
      </c>
      <c r="Z7" s="16">
        <v>5.6664841249585152E-3</v>
      </c>
      <c r="AA7" s="14">
        <v>9.0619188267737627E-4</v>
      </c>
      <c r="AB7" s="224">
        <v>7.4315175414085388E-2</v>
      </c>
      <c r="AC7"/>
      <c r="AD7" s="27">
        <v>2.7042735368013382E-2</v>
      </c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199</v>
      </c>
      <c r="B8">
        <v>0.40000000596046448</v>
      </c>
      <c r="C8">
        <v>8.0000020563602448E-2</v>
      </c>
      <c r="D8" s="174">
        <v>0.25953835248947144</v>
      </c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 s="108">
        <v>2.6709461584687233E-2</v>
      </c>
      <c r="Z8" s="22">
        <v>3.4949749242514372E-3</v>
      </c>
      <c r="AA8" s="66">
        <v>1.6263674944639206E-2</v>
      </c>
      <c r="AB8"/>
      <c r="AC8"/>
      <c r="AD8" s="23">
        <v>2.3637455888092518E-3</v>
      </c>
      <c r="AE8"/>
      <c r="AF8"/>
      <c r="AG8"/>
      <c r="AH8"/>
      <c r="AI8"/>
      <c r="AJ8"/>
      <c r="AK8"/>
      <c r="AL8"/>
      <c r="AM8"/>
      <c r="AN8"/>
      <c r="AO8" s="145">
        <v>1.1629794724285603E-2</v>
      </c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200</v>
      </c>
      <c r="B9">
        <v>0.23000000417232513</v>
      </c>
      <c r="C9">
        <v>2.2999964654445648E-2</v>
      </c>
      <c r="D9"/>
      <c r="E9" s="175">
        <v>0.1376490443944931</v>
      </c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 s="26">
        <v>6.0579529963433743E-3</v>
      </c>
      <c r="AA9"/>
      <c r="AB9" s="186">
        <v>6.3293032348155975E-2</v>
      </c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201</v>
      </c>
      <c r="B10">
        <v>0.68999999761581421</v>
      </c>
      <c r="C10">
        <v>5.5655553936958313E-2</v>
      </c>
      <c r="D10"/>
      <c r="E10"/>
      <c r="F10" s="176">
        <v>0.4640476405620575</v>
      </c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 s="25">
        <v>2.1768001839518547E-2</v>
      </c>
      <c r="Z10" s="18">
        <v>8.5166189819574356E-3</v>
      </c>
      <c r="AA10"/>
      <c r="AB10" s="197">
        <v>3.3415615558624268E-2</v>
      </c>
      <c r="AC10"/>
      <c r="AD10"/>
      <c r="AE10"/>
      <c r="AF10"/>
      <c r="AG10" s="199">
        <v>2.3225460201501846E-2</v>
      </c>
      <c r="AH10"/>
      <c r="AI10"/>
      <c r="AJ10"/>
      <c r="AK10"/>
      <c r="AL10"/>
      <c r="AM10"/>
      <c r="AN10"/>
      <c r="AO10" s="209">
        <v>8.3371087908744812E-2</v>
      </c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202</v>
      </c>
      <c r="B11">
        <v>0.89999997615814209</v>
      </c>
      <c r="C11">
        <v>0.25252407789230347</v>
      </c>
      <c r="D11"/>
      <c r="E11"/>
      <c r="F11"/>
      <c r="G11" s="13">
        <v>3.3628612756729126E-2</v>
      </c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 s="207">
        <v>0.25037869811058044</v>
      </c>
      <c r="AB11" s="194">
        <v>8.0460786819458008E-2</v>
      </c>
      <c r="AC11"/>
      <c r="AD11" s="18">
        <v>1.044867280870676E-2</v>
      </c>
      <c r="AE11" s="70">
        <v>4.5700758695602417E-2</v>
      </c>
      <c r="AF11"/>
      <c r="AG11" s="200">
        <v>0.11255410313606262</v>
      </c>
      <c r="AH11" s="14">
        <v>1.5890637878328562E-3</v>
      </c>
      <c r="AI11"/>
      <c r="AJ11"/>
      <c r="AK11"/>
      <c r="AL11"/>
      <c r="AM11"/>
      <c r="AN11"/>
      <c r="AO11" s="200">
        <v>0.11271520704030991</v>
      </c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203</v>
      </c>
      <c r="B12">
        <v>0.4699999988079071</v>
      </c>
      <c r="C12">
        <v>2.3499920964241028E-2</v>
      </c>
      <c r="D12"/>
      <c r="E12"/>
      <c r="F12"/>
      <c r="G12"/>
      <c r="H12" s="16">
        <v>7.0761758834123611E-3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 s="222">
        <v>0.10909925401210785</v>
      </c>
      <c r="Z12" s="11">
        <v>4.4059750507585704E-4</v>
      </c>
      <c r="AA12" s="216">
        <v>4.9604330211877823E-2</v>
      </c>
      <c r="AB12" s="74">
        <v>4.4641487300395966E-2</v>
      </c>
      <c r="AC12"/>
      <c r="AD12" s="195">
        <v>3.519749641418457E-2</v>
      </c>
      <c r="AE12"/>
      <c r="AF12" s="198">
        <v>2.4527255445718765E-2</v>
      </c>
      <c r="AG12" s="145">
        <v>1.3458160683512688E-2</v>
      </c>
      <c r="AH12" s="25">
        <v>1.476200670003891E-2</v>
      </c>
      <c r="AI12"/>
      <c r="AJ12" s="180">
        <v>0.14769326150417328</v>
      </c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204</v>
      </c>
      <c r="B13">
        <v>0.77100002765655518</v>
      </c>
      <c r="C13">
        <v>6.4282938838005066E-2</v>
      </c>
      <c r="D13"/>
      <c r="E13"/>
      <c r="F13"/>
      <c r="G13"/>
      <c r="H13"/>
      <c r="I13" s="177">
        <v>0.48432213068008423</v>
      </c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 s="18">
        <v>8.7358905002474785E-3</v>
      </c>
      <c r="Z13" s="18">
        <v>8.7272133678197861E-3</v>
      </c>
      <c r="AA13" s="26">
        <v>2.0069735124707222E-2</v>
      </c>
      <c r="AB13" s="78">
        <v>0.10887230187654495</v>
      </c>
      <c r="AC13"/>
      <c r="AD13"/>
      <c r="AE13"/>
      <c r="AF13"/>
      <c r="AG13" s="217">
        <v>6.3445925712585449E-2</v>
      </c>
      <c r="AH13"/>
      <c r="AI13"/>
      <c r="AJ13"/>
      <c r="AK13"/>
      <c r="AL13"/>
      <c r="AM13"/>
      <c r="AN13"/>
      <c r="AO13" s="16">
        <v>1.2543904595077038E-2</v>
      </c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205</v>
      </c>
      <c r="B14">
        <v>1.2000000476837158</v>
      </c>
      <c r="C14">
        <v>0.32856655120849609</v>
      </c>
      <c r="D14"/>
      <c r="E14"/>
      <c r="F14"/>
      <c r="G14"/>
      <c r="H14"/>
      <c r="I14" s="178">
        <v>0.1917746514081955</v>
      </c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 s="13">
        <v>4.5493505895137787E-2</v>
      </c>
      <c r="Z14"/>
      <c r="AA14" s="199">
        <v>3.9817847311496735E-2</v>
      </c>
      <c r="AB14" s="215">
        <v>0.2449372410774231</v>
      </c>
      <c r="AC14"/>
      <c r="AD14"/>
      <c r="AE14" s="192">
        <v>2.72030308842659E-2</v>
      </c>
      <c r="AF14"/>
      <c r="AG14" s="212">
        <v>0.21149399876594543</v>
      </c>
      <c r="AH14" s="69">
        <v>0.11071321368217468</v>
      </c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206</v>
      </c>
      <c r="B15">
        <v>0.40000000596046448</v>
      </c>
      <c r="C15">
        <v>1.9999980926513672E-2</v>
      </c>
      <c r="D15"/>
      <c r="E15"/>
      <c r="F15"/>
      <c r="G15"/>
      <c r="H15"/>
      <c r="I15"/>
      <c r="J15" s="179">
        <v>9.3314684927463531E-2</v>
      </c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 s="11">
        <v>2.2917508613318205E-4</v>
      </c>
      <c r="AA15" s="198">
        <v>2.132057212293148E-2</v>
      </c>
      <c r="AB15"/>
      <c r="AC15"/>
      <c r="AD15"/>
      <c r="AE15"/>
      <c r="AF15"/>
      <c r="AG15" s="185">
        <v>8.8029898703098297E-2</v>
      </c>
      <c r="AH15"/>
      <c r="AI15"/>
      <c r="AJ15" s="227">
        <v>0.12115376442670822</v>
      </c>
      <c r="AK15"/>
      <c r="AL15"/>
      <c r="AM15"/>
      <c r="AN15"/>
      <c r="AO15" s="210">
        <v>1.5742886811494827E-2</v>
      </c>
      <c r="AP15"/>
      <c r="AQ15"/>
      <c r="AR15"/>
      <c r="AS15"/>
      <c r="AT15"/>
      <c r="AU15"/>
      <c r="AV15"/>
      <c r="AW15"/>
      <c r="AX15" s="142">
        <v>4.0209013968706131E-2</v>
      </c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207</v>
      </c>
      <c r="B16">
        <v>0.43000000715255737</v>
      </c>
      <c r="C16">
        <v>2.1516947075724602E-2</v>
      </c>
      <c r="D16"/>
      <c r="E16"/>
      <c r="F16"/>
      <c r="G16"/>
      <c r="H16"/>
      <c r="I16"/>
      <c r="J16"/>
      <c r="K16" s="180">
        <v>0.1349780410528183</v>
      </c>
      <c r="L16"/>
      <c r="M16"/>
      <c r="N16"/>
      <c r="O16"/>
      <c r="P16"/>
      <c r="Q16"/>
      <c r="R16"/>
      <c r="S16"/>
      <c r="T16"/>
      <c r="U16"/>
      <c r="V16"/>
      <c r="W16"/>
      <c r="X16"/>
      <c r="Y16" s="15">
        <v>4.0378104895353317E-3</v>
      </c>
      <c r="Z16" s="14">
        <v>7.3057500412687659E-4</v>
      </c>
      <c r="AA16" s="25">
        <v>1.3369455933570862E-2</v>
      </c>
      <c r="AB16" s="109">
        <v>7.3943406343460083E-2</v>
      </c>
      <c r="AC16" s="219">
        <v>3.6835331469774246E-2</v>
      </c>
      <c r="AD16" s="12">
        <v>1.8065860494971275E-3</v>
      </c>
      <c r="AE16" s="11">
        <v>1.2488120410125703E-4</v>
      </c>
      <c r="AF16"/>
      <c r="AG16" s="221">
        <v>5.9854801744222641E-2</v>
      </c>
      <c r="AH16" s="22">
        <v>3.3823330886662006E-3</v>
      </c>
      <c r="AI16"/>
      <c r="AJ16"/>
      <c r="AK16"/>
      <c r="AL16"/>
      <c r="AM16"/>
      <c r="AN16"/>
      <c r="AO16" s="221">
        <v>5.9982765465974808E-2</v>
      </c>
      <c r="AP16"/>
      <c r="AQ16"/>
      <c r="AR16"/>
      <c r="AS16"/>
      <c r="AT16"/>
      <c r="AU16"/>
      <c r="AV16"/>
      <c r="AW16"/>
      <c r="AX16" s="196">
        <v>1.9437067210674286E-2</v>
      </c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208</v>
      </c>
      <c r="B17">
        <v>0.40000000596046448</v>
      </c>
      <c r="C17">
        <v>4.0000032633543015E-2</v>
      </c>
      <c r="D17"/>
      <c r="E17"/>
      <c r="F17"/>
      <c r="G17"/>
      <c r="H17"/>
      <c r="I17"/>
      <c r="J17"/>
      <c r="K17"/>
      <c r="L17"/>
      <c r="M17"/>
      <c r="N17"/>
      <c r="O17" s="183">
        <v>0.2349112331867218</v>
      </c>
      <c r="P17"/>
      <c r="Q17"/>
      <c r="R17"/>
      <c r="S17"/>
      <c r="T17"/>
      <c r="U17"/>
      <c r="V17"/>
      <c r="W17"/>
      <c r="X17"/>
      <c r="Y17"/>
      <c r="Z17" s="22">
        <v>3.0556740239262581E-3</v>
      </c>
      <c r="AA17" s="184">
        <v>5.7343699038028717E-2</v>
      </c>
      <c r="AB17" s="70">
        <v>2.0630167797207832E-2</v>
      </c>
      <c r="AC17"/>
      <c r="AD17" s="11">
        <v>2.7897709514945745E-4</v>
      </c>
      <c r="AE17"/>
      <c r="AF17"/>
      <c r="AG17" s="14">
        <v>1.0612877085804939E-3</v>
      </c>
      <c r="AH17"/>
      <c r="AI17"/>
      <c r="AJ17"/>
      <c r="AK17"/>
      <c r="AL17"/>
      <c r="AM17"/>
      <c r="AN17"/>
      <c r="AO17" s="216">
        <v>4.2718946933746338E-2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209</v>
      </c>
      <c r="B18">
        <v>0.46000000834465027</v>
      </c>
      <c r="C18">
        <v>5.7504277676343918E-2</v>
      </c>
      <c r="D18"/>
      <c r="E18"/>
      <c r="F18"/>
      <c r="G18"/>
      <c r="H18"/>
      <c r="I18"/>
      <c r="J18"/>
      <c r="K18"/>
      <c r="L18"/>
      <c r="M18" s="181">
        <v>0.23370842635631561</v>
      </c>
      <c r="N18"/>
      <c r="O18"/>
      <c r="P18"/>
      <c r="Q18"/>
      <c r="R18"/>
      <c r="S18"/>
      <c r="T18"/>
      <c r="U18"/>
      <c r="V18"/>
      <c r="W18"/>
      <c r="X18"/>
      <c r="Y18" s="198">
        <v>2.4258224293589592E-2</v>
      </c>
      <c r="Z18"/>
      <c r="AA18" s="64">
        <v>2.5230446830391884E-2</v>
      </c>
      <c r="AB18" s="66">
        <v>1.8616301938891411E-2</v>
      </c>
      <c r="AC18"/>
      <c r="AD18" s="197">
        <v>2.292308397591114E-2</v>
      </c>
      <c r="AE18"/>
      <c r="AF18"/>
      <c r="AG18" s="206">
        <v>5.2097558975219727E-2</v>
      </c>
      <c r="AH18"/>
      <c r="AI18"/>
      <c r="AJ18"/>
      <c r="AK18" s="21">
        <v>9.464876726269722E-3</v>
      </c>
      <c r="AL18"/>
      <c r="AM18"/>
      <c r="AN18"/>
      <c r="AO18" s="28">
        <v>1.6196809709072113E-2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210</v>
      </c>
      <c r="B19">
        <v>0.5899999737739563</v>
      </c>
      <c r="C19">
        <v>0.35399997234344482</v>
      </c>
      <c r="D19"/>
      <c r="E19"/>
      <c r="F19"/>
      <c r="G19"/>
      <c r="H19"/>
      <c r="I19"/>
      <c r="J19"/>
      <c r="K19"/>
      <c r="L19" s="14">
        <v>1.727006514556706E-3</v>
      </c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 s="195">
        <v>4.4174283742904663E-2</v>
      </c>
      <c r="AC19"/>
      <c r="AD19"/>
      <c r="AE19"/>
      <c r="AF19"/>
      <c r="AG19" s="202">
        <v>7.7215731143951416E-2</v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 s="205">
        <v>0.11288298666477203</v>
      </c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211</v>
      </c>
      <c r="B20">
        <v>0.80000001192092896</v>
      </c>
      <c r="C20">
        <v>0.11240973323583603</v>
      </c>
      <c r="D20"/>
      <c r="E20"/>
      <c r="F20"/>
      <c r="G20"/>
      <c r="H20"/>
      <c r="I20"/>
      <c r="J20"/>
      <c r="K20"/>
      <c r="L20"/>
      <c r="M20"/>
      <c r="N20" s="182">
        <v>0.29716402292251587</v>
      </c>
      <c r="O20"/>
      <c r="P20"/>
      <c r="Q20"/>
      <c r="R20"/>
      <c r="S20"/>
      <c r="T20"/>
      <c r="U20"/>
      <c r="V20"/>
      <c r="W20"/>
      <c r="X20"/>
      <c r="Y20" s="23">
        <v>4.3749003671109676E-3</v>
      </c>
      <c r="Z20"/>
      <c r="AA20" s="13">
        <v>2.9076345264911652E-2</v>
      </c>
      <c r="AB20" s="19">
        <v>1.4415902085602283E-2</v>
      </c>
      <c r="AC20"/>
      <c r="AD20" s="202">
        <v>0.10498398542404175</v>
      </c>
      <c r="AE20"/>
      <c r="AF20"/>
      <c r="AG20" s="211">
        <v>0.16563193500041962</v>
      </c>
      <c r="AH20"/>
      <c r="AI20"/>
      <c r="AJ20"/>
      <c r="AK20"/>
      <c r="AL20"/>
      <c r="AM20"/>
      <c r="AN20"/>
      <c r="AO20" s="204">
        <v>5.8064289391040802E-2</v>
      </c>
      <c r="AP20"/>
      <c r="AQ20"/>
      <c r="AR20"/>
      <c r="AS20"/>
      <c r="AT20"/>
      <c r="AU20"/>
      <c r="AV20"/>
      <c r="AW20" s="19">
        <v>1.3878904283046722E-2</v>
      </c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212</v>
      </c>
      <c r="B21">
        <v>0.34400001168251038</v>
      </c>
      <c r="C21">
        <v>5.1599971950054169E-2</v>
      </c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 s="190">
        <v>0.11584899574518204</v>
      </c>
      <c r="V21"/>
      <c r="W21"/>
      <c r="X21"/>
      <c r="Y21" s="18">
        <v>3.8827431853860617E-3</v>
      </c>
      <c r="Z21" s="14">
        <v>9.4181654276326299E-4</v>
      </c>
      <c r="AA21" s="28">
        <v>1.2050020508468151E-2</v>
      </c>
      <c r="AB21" s="226">
        <v>6.1278045177459717E-2</v>
      </c>
      <c r="AC21"/>
      <c r="AD21" s="23">
        <v>1.9548165146261454E-3</v>
      </c>
      <c r="AE21" s="23">
        <v>1.9318715203553438E-3</v>
      </c>
      <c r="AF21"/>
      <c r="AG21"/>
      <c r="AH21" s="12">
        <v>1.3358957367017865E-3</v>
      </c>
      <c r="AI21"/>
      <c r="AJ21" s="220">
        <v>3.8267981261014938E-2</v>
      </c>
      <c r="AK21" s="26">
        <v>8.69724340736866E-3</v>
      </c>
      <c r="AL21"/>
      <c r="AM21"/>
      <c r="AN21"/>
      <c r="AO21" s="223">
        <v>4.6210624277591705E-2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213</v>
      </c>
      <c r="B22">
        <v>0.5</v>
      </c>
      <c r="C22">
        <v>2.499997615814209E-2</v>
      </c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 s="25">
        <v>1.5994558110833168E-2</v>
      </c>
      <c r="V22" s="18">
        <v>5.9222588315606117E-3</v>
      </c>
      <c r="W22"/>
      <c r="X22"/>
      <c r="Y22" s="18">
        <v>5.4915985092520714E-3</v>
      </c>
      <c r="Z22" s="14">
        <v>6.8076414754614234E-4</v>
      </c>
      <c r="AA22" s="233">
        <v>7.3917627334594727E-2</v>
      </c>
      <c r="AB22" s="240">
        <v>0.13351131975650787</v>
      </c>
      <c r="AC22"/>
      <c r="AD22" s="21">
        <v>9.5920627936720848E-3</v>
      </c>
      <c r="AE22" s="12">
        <v>1.7708187224343419E-3</v>
      </c>
      <c r="AF22" s="22">
        <v>4.1467170231044292E-3</v>
      </c>
      <c r="AG22" s="22">
        <v>4.3608634732663631E-3</v>
      </c>
      <c r="AH22" s="11">
        <v>4.7957451897673309E-4</v>
      </c>
      <c r="AI22" s="217">
        <v>4.1237745434045792E-2</v>
      </c>
      <c r="AJ22" s="68">
        <v>3.1506884843111038E-2</v>
      </c>
      <c r="AK22" s="234">
        <v>7.7291406691074371E-2</v>
      </c>
      <c r="AL22"/>
      <c r="AM22"/>
      <c r="AN22"/>
      <c r="AO22" s="230">
        <v>6.6898360848426819E-2</v>
      </c>
      <c r="AP22"/>
      <c r="AQ22"/>
      <c r="AR22"/>
      <c r="AS22"/>
      <c r="AT22"/>
      <c r="AU22"/>
      <c r="AV22"/>
      <c r="AW22"/>
      <c r="AX22" s="12">
        <v>2.1974553819745779E-3</v>
      </c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214</v>
      </c>
      <c r="B23">
        <v>1.1000000238418579</v>
      </c>
      <c r="C23">
        <v>5.4992605000734329E-2</v>
      </c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 s="14">
        <v>1.7053933115676045E-3</v>
      </c>
      <c r="V23"/>
      <c r="W23"/>
      <c r="X23" s="192">
        <v>2.5155354291200638E-2</v>
      </c>
      <c r="Y23" s="210">
        <v>4.2168781161308289E-2</v>
      </c>
      <c r="Z23" s="12">
        <v>4.0884772315621376E-3</v>
      </c>
      <c r="AA23" s="235">
        <v>0.10722126811742783</v>
      </c>
      <c r="AB23" s="195">
        <v>8.1419691443443298E-2</v>
      </c>
      <c r="AC23"/>
      <c r="AD23" s="26">
        <v>2.7957169339060783E-2</v>
      </c>
      <c r="AE23" s="20">
        <v>4.7360405325889587E-2</v>
      </c>
      <c r="AF23" s="146">
        <v>6.6027157008647919E-2</v>
      </c>
      <c r="AG23" s="14">
        <v>1.6337335109710693E-3</v>
      </c>
      <c r="AH23" s="12">
        <v>4.5867213048040867E-3</v>
      </c>
      <c r="AI23" s="235">
        <v>0.10747918486595154</v>
      </c>
      <c r="AJ23" s="26">
        <v>2.8469471260905266E-2</v>
      </c>
      <c r="AK23" s="229">
        <v>9.2134639620780945E-2</v>
      </c>
      <c r="AL23"/>
      <c r="AM23"/>
      <c r="AN23"/>
      <c r="AO23" s="237">
        <v>0.11343874782323837</v>
      </c>
      <c r="AP23"/>
      <c r="AQ23" s="23">
        <v>6.9560175761580467E-3</v>
      </c>
      <c r="AR23" s="25">
        <v>3.4971002489328384E-2</v>
      </c>
      <c r="AS23" s="204">
        <v>7.8759431838989258E-2</v>
      </c>
      <c r="AT23"/>
      <c r="AU23"/>
      <c r="AV23"/>
      <c r="AW23" s="199">
        <v>3.5696394741535187E-2</v>
      </c>
      <c r="AX23" s="22">
        <v>7.5682471506297588E-3</v>
      </c>
      <c r="AY23" s="20">
        <v>4.7508735209703445E-2</v>
      </c>
      <c r="AZ23" s="195">
        <v>8.2701519131660461E-2</v>
      </c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215</v>
      </c>
      <c r="B24">
        <v>0.27000001072883606</v>
      </c>
      <c r="C24">
        <v>4.4992957264184952E-2</v>
      </c>
      <c r="D24"/>
      <c r="E24"/>
      <c r="F24"/>
      <c r="G24"/>
      <c r="H24"/>
      <c r="I24"/>
      <c r="J24"/>
      <c r="K24"/>
      <c r="L24"/>
      <c r="M24"/>
      <c r="N24"/>
      <c r="O24"/>
      <c r="P24" s="184">
        <v>3.8639288395643234E-2</v>
      </c>
      <c r="Q24"/>
      <c r="R24"/>
      <c r="S24"/>
      <c r="T24"/>
      <c r="U24"/>
      <c r="V24" s="24">
        <v>7.548612542450428E-3</v>
      </c>
      <c r="W24" s="13">
        <v>1.0271321050822735E-2</v>
      </c>
      <c r="X24"/>
      <c r="Y24" s="19">
        <v>4.7725779004395008E-3</v>
      </c>
      <c r="Z24" s="12">
        <v>1.3070299755781889E-3</v>
      </c>
      <c r="AA24" s="18">
        <v>3.4270663745701313E-3</v>
      </c>
      <c r="AB24" s="75">
        <v>2.1177554503083229E-2</v>
      </c>
      <c r="AC24" s="11">
        <v>1.8879504932556301E-4</v>
      </c>
      <c r="AD24" s="18">
        <v>3.1130386050790548E-3</v>
      </c>
      <c r="AE24"/>
      <c r="AF24"/>
      <c r="AG24" s="195">
        <v>1.9898772239685059E-2</v>
      </c>
      <c r="AH24" s="229">
        <v>2.2692421451210976E-2</v>
      </c>
      <c r="AI24"/>
      <c r="AJ24" s="242">
        <v>7.9124674201011658E-2</v>
      </c>
      <c r="AK24"/>
      <c r="AL24"/>
      <c r="AM24"/>
      <c r="AN24"/>
      <c r="AO24"/>
      <c r="AP24"/>
      <c r="AQ24"/>
      <c r="AR24"/>
      <c r="AS24"/>
      <c r="AT24"/>
      <c r="AU24"/>
      <c r="AV24"/>
      <c r="AW24"/>
      <c r="AX24" s="29">
        <v>1.2845884077250957E-2</v>
      </c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216</v>
      </c>
      <c r="B25">
        <v>0.2800000011920929</v>
      </c>
      <c r="C25">
        <v>8.9371420443058014E-2</v>
      </c>
      <c r="D25"/>
      <c r="E25"/>
      <c r="F25"/>
      <c r="G25"/>
      <c r="H25"/>
      <c r="I25"/>
      <c r="J25"/>
      <c r="K25"/>
      <c r="L25"/>
      <c r="M25"/>
      <c r="N25"/>
      <c r="O25"/>
      <c r="P25"/>
      <c r="Q25" s="185">
        <v>6.1337016522884369E-2</v>
      </c>
      <c r="R25"/>
      <c r="S25"/>
      <c r="T25"/>
      <c r="U25"/>
      <c r="V25" s="67">
        <v>1.6257356852293015E-2</v>
      </c>
      <c r="W25" s="108">
        <v>1.8617739900946617E-2</v>
      </c>
      <c r="X25" s="29">
        <v>1.3194042257964611E-2</v>
      </c>
      <c r="Y25" s="27">
        <v>2.1288013085722923E-2</v>
      </c>
      <c r="Z25" s="24">
        <v>7.4276169762015343E-3</v>
      </c>
      <c r="AA25" s="16">
        <v>4.1732913814485073E-3</v>
      </c>
      <c r="AB25" s="14">
        <v>8.0615305341780186E-4</v>
      </c>
      <c r="AC25" s="29">
        <v>1.3052252121269703E-2</v>
      </c>
      <c r="AD25" s="16">
        <v>4.1355122812092304E-3</v>
      </c>
      <c r="AE25"/>
      <c r="AF25"/>
      <c r="AG25" s="201">
        <v>1.6157433390617371E-2</v>
      </c>
      <c r="AH25"/>
      <c r="AI25"/>
      <c r="AJ25" s="19">
        <v>4.851373378187418E-3</v>
      </c>
      <c r="AK25" s="25">
        <v>8.7583586573600769E-3</v>
      </c>
      <c r="AL25"/>
      <c r="AM25"/>
      <c r="AN25"/>
      <c r="AO25"/>
      <c r="AP25"/>
      <c r="AQ25"/>
      <c r="AR25"/>
      <c r="AS25"/>
      <c r="AT25"/>
      <c r="AU25"/>
      <c r="AV25"/>
      <c r="AW25"/>
      <c r="AX25" s="14">
        <v>5.724141956306994E-4</v>
      </c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217</v>
      </c>
      <c r="B26">
        <v>1.0299999713897705</v>
      </c>
      <c r="C26">
        <v>5.1502712070941925E-2</v>
      </c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 s="145">
        <v>3.1067075207829475E-2</v>
      </c>
      <c r="V26"/>
      <c r="W26" s="18">
        <v>1.2897253036499023E-2</v>
      </c>
      <c r="X26"/>
      <c r="Y26" s="18">
        <v>1.1315152049064636E-2</v>
      </c>
      <c r="Z26" s="11">
        <v>5.9293466620147228E-4</v>
      </c>
      <c r="AA26" s="20">
        <v>4.4756598770618439E-2</v>
      </c>
      <c r="AB26" s="12">
        <v>4.5636063441634178E-3</v>
      </c>
      <c r="AC26"/>
      <c r="AD26" s="14">
        <v>1.8044597236439586E-3</v>
      </c>
      <c r="AE26" s="14">
        <v>1.710230833850801E-3</v>
      </c>
      <c r="AF26"/>
      <c r="AG26" s="19">
        <v>1.7348228022456169E-2</v>
      </c>
      <c r="AH26"/>
      <c r="AI26" s="216">
        <v>0.10838549584150314</v>
      </c>
      <c r="AJ26" s="238">
        <v>0.23436611890792847</v>
      </c>
      <c r="AK26" s="21">
        <v>1.990961842238903E-2</v>
      </c>
      <c r="AL26"/>
      <c r="AM26"/>
      <c r="AN26"/>
      <c r="AO26"/>
      <c r="AP26"/>
      <c r="AQ26"/>
      <c r="AR26" s="231">
        <v>0.17565128207206726</v>
      </c>
      <c r="AS26" s="239">
        <v>0.24608734250068665</v>
      </c>
      <c r="AT26"/>
      <c r="AU26"/>
      <c r="AV26"/>
      <c r="AW26" s="23">
        <v>5.2217217162251472E-3</v>
      </c>
      <c r="AX26" s="26">
        <v>2.5430621579289436E-2</v>
      </c>
      <c r="AY26"/>
      <c r="AZ26" s="13">
        <v>3.7389401346445084E-2</v>
      </c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218</v>
      </c>
      <c r="B27">
        <v>0.77999997138977051</v>
      </c>
      <c r="C27">
        <v>6.7620903253555298E-2</v>
      </c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 s="187">
        <v>0.25406438112258911</v>
      </c>
      <c r="U27"/>
      <c r="V27" s="13">
        <v>2.8519544750452042E-2</v>
      </c>
      <c r="W27" s="13">
        <v>2.832355909049511E-2</v>
      </c>
      <c r="X27" s="108">
        <v>5.1329184323549271E-2</v>
      </c>
      <c r="Y27" s="210">
        <v>3.0706221237778664E-2</v>
      </c>
      <c r="Z27"/>
      <c r="AA27" s="25">
        <v>2.380930632352829E-2</v>
      </c>
      <c r="AB27" s="218">
        <v>6.2131144106388092E-2</v>
      </c>
      <c r="AC27" s="23">
        <v>5.2118422463536263E-3</v>
      </c>
      <c r="AD27" s="14">
        <v>2.1465064492076635E-3</v>
      </c>
      <c r="AE27"/>
      <c r="AF27"/>
      <c r="AG27" s="67">
        <v>4.5717973262071609E-2</v>
      </c>
      <c r="AH27"/>
      <c r="AI27"/>
      <c r="AJ27" s="20">
        <v>3.3563859760761261E-2</v>
      </c>
      <c r="AK27"/>
      <c r="AL27"/>
      <c r="AM27"/>
      <c r="AN27"/>
      <c r="AO27"/>
      <c r="AP27"/>
      <c r="AQ27"/>
      <c r="AR27"/>
      <c r="AS27" s="220">
        <v>8.7181761860847473E-2</v>
      </c>
      <c r="AT27"/>
      <c r="AU27"/>
      <c r="AV27"/>
      <c r="AW27" s="14">
        <v>1.9745829049497843E-3</v>
      </c>
      <c r="AX27" s="195">
        <v>5.7699225842952728E-2</v>
      </c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219</v>
      </c>
      <c r="B28">
        <v>0.80000001192092896</v>
      </c>
      <c r="C28">
        <v>4.0026377886533737E-2</v>
      </c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 s="67">
        <v>4.746028408408165E-2</v>
      </c>
      <c r="S28"/>
      <c r="T28"/>
      <c r="U28"/>
      <c r="V28" s="197">
        <v>3.9103876799345016E-2</v>
      </c>
      <c r="W28" s="217">
        <v>6.5751545131206512E-2</v>
      </c>
      <c r="X28"/>
      <c r="Y28" s="67">
        <v>4.7248866409063339E-2</v>
      </c>
      <c r="Z28" s="11">
        <v>7.4514048174023628E-4</v>
      </c>
      <c r="AA28" s="20">
        <v>3.3955726772546768E-2</v>
      </c>
      <c r="AB28" s="12">
        <v>2.5944877415895462E-3</v>
      </c>
      <c r="AC28" s="199">
        <v>2.7378501370549202E-2</v>
      </c>
      <c r="AD28" s="22">
        <v>5.8291368186473846E-3</v>
      </c>
      <c r="AE28"/>
      <c r="AF28"/>
      <c r="AG28" s="26">
        <v>2.0860580727458E-2</v>
      </c>
      <c r="AH28" s="16">
        <v>1.1985783465206623E-2</v>
      </c>
      <c r="AI28" s="78">
        <v>0.11321157962083817</v>
      </c>
      <c r="AJ28" s="28">
        <v>2.8613828122615814E-2</v>
      </c>
      <c r="AK28"/>
      <c r="AL28"/>
      <c r="AM28"/>
      <c r="AN28"/>
      <c r="AO28" s="24">
        <v>2.2086044773459435E-2</v>
      </c>
      <c r="AP28"/>
      <c r="AQ28"/>
      <c r="AR28" s="220">
        <v>8.9666612446308136E-2</v>
      </c>
      <c r="AS28" s="78">
        <v>0.11318771541118622</v>
      </c>
      <c r="AT28"/>
      <c r="AU28"/>
      <c r="AV28"/>
      <c r="AW28"/>
      <c r="AX28" s="199">
        <v>2.6370961219072342E-2</v>
      </c>
      <c r="AY28" s="26">
        <v>2.0700369030237198E-2</v>
      </c>
      <c r="AZ28" s="64">
        <v>4.3222546577453613E-2</v>
      </c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220</v>
      </c>
      <c r="B29">
        <v>1.3999999761581421</v>
      </c>
      <c r="C29">
        <v>7.0000432431697845E-2</v>
      </c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 s="25">
        <v>4.4923815876245499E-2</v>
      </c>
      <c r="V29"/>
      <c r="W29"/>
      <c r="X29"/>
      <c r="Y29" s="70">
        <v>7.0212572813034058E-2</v>
      </c>
      <c r="Z29" s="14">
        <v>1.5458576381206512E-3</v>
      </c>
      <c r="AA29" s="16">
        <v>2.2308638319373131E-2</v>
      </c>
      <c r="AB29" s="27">
        <v>0.10695498436689377</v>
      </c>
      <c r="AC29" s="14">
        <v>1.397877698764205E-3</v>
      </c>
      <c r="AD29" s="68">
        <v>8.801829069852829E-2</v>
      </c>
      <c r="AE29" s="14">
        <v>1.7069868044927716E-3</v>
      </c>
      <c r="AF29"/>
      <c r="AG29" s="26">
        <v>3.4432362765073776E-2</v>
      </c>
      <c r="AH29" s="22">
        <v>1.2112250551581383E-2</v>
      </c>
      <c r="AI29"/>
      <c r="AJ29" s="243">
        <v>0.94366520643234253</v>
      </c>
      <c r="AK29"/>
      <c r="AL29"/>
      <c r="AM29"/>
      <c r="AN29"/>
      <c r="AO29"/>
      <c r="AP29"/>
      <c r="AQ29"/>
      <c r="AR29"/>
      <c r="AS29"/>
      <c r="AT29"/>
      <c r="AU29"/>
      <c r="AV29"/>
      <c r="AW29"/>
      <c r="AX29" s="14">
        <v>2.7205673977732658E-3</v>
      </c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221</v>
      </c>
      <c r="B30">
        <v>0.40000000596046448</v>
      </c>
      <c r="C30">
        <v>4.0000032633543015E-2</v>
      </c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 s="16">
        <v>6.0229371301829815E-3</v>
      </c>
      <c r="V30"/>
      <c r="W30"/>
      <c r="X30"/>
      <c r="Y30" s="208">
        <v>5.9939101338386536E-2</v>
      </c>
      <c r="Z30" s="214">
        <v>0.12941154837608337</v>
      </c>
      <c r="AA30" s="196">
        <v>1.8117781728506088E-2</v>
      </c>
      <c r="AB30"/>
      <c r="AC30"/>
      <c r="AD30"/>
      <c r="AE30"/>
      <c r="AF30"/>
      <c r="AG30" s="201">
        <v>2.2608797997236252E-2</v>
      </c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 s="213">
        <v>0.12389981746673584</v>
      </c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222</v>
      </c>
      <c r="B31">
        <v>0.73000001907348633</v>
      </c>
      <c r="C31">
        <v>3.6503229290246964E-2</v>
      </c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 s="19">
        <v>1.3564970344305038E-2</v>
      </c>
      <c r="V31" s="196">
        <v>3.2539274543523788E-2</v>
      </c>
      <c r="W31" s="204">
        <v>5.2995014935731888E-2</v>
      </c>
      <c r="X31" s="67">
        <v>4.3431393802165985E-2</v>
      </c>
      <c r="Y31" s="146">
        <v>4.5064248144626617E-2</v>
      </c>
      <c r="Z31" s="12">
        <v>2.2829305380582809E-3</v>
      </c>
      <c r="AA31" s="145">
        <v>2.1429512649774551E-2</v>
      </c>
      <c r="AB31"/>
      <c r="AC31" s="19">
        <v>1.2480874545872211E-2</v>
      </c>
      <c r="AD31"/>
      <c r="AE31"/>
      <c r="AF31"/>
      <c r="AG31" s="11">
        <v>3.2376745366491377E-4</v>
      </c>
      <c r="AH31" s="23">
        <v>4.2401771061122417E-3</v>
      </c>
      <c r="AI31"/>
      <c r="AJ31" s="236">
        <v>0.34029227495193481</v>
      </c>
      <c r="AK31"/>
      <c r="AL31"/>
      <c r="AM31"/>
      <c r="AN31"/>
      <c r="AO31" s="197">
        <v>3.5400178283452988E-2</v>
      </c>
      <c r="AP31"/>
      <c r="AQ31"/>
      <c r="AR31"/>
      <c r="AS31"/>
      <c r="AT31"/>
      <c r="AU31"/>
      <c r="AV31"/>
      <c r="AW31"/>
      <c r="AX31" s="195">
        <v>5.4884567856788635E-2</v>
      </c>
      <c r="AY31"/>
      <c r="AZ31" s="29">
        <v>3.456757590174675E-2</v>
      </c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223</v>
      </c>
      <c r="B32">
        <v>3.119999885559082</v>
      </c>
      <c r="C32">
        <v>0.15598329901695251</v>
      </c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 s="23">
        <v>1.8302557989954948E-2</v>
      </c>
      <c r="V32"/>
      <c r="W32"/>
      <c r="X32" s="21">
        <v>6.1054598540067673E-2</v>
      </c>
      <c r="Y32" s="217">
        <v>0.25962024927139282</v>
      </c>
      <c r="Z32" s="18">
        <v>3.8323890417814255E-2</v>
      </c>
      <c r="AA32" s="241">
        <v>0.62479639053344727</v>
      </c>
      <c r="AB32" s="25">
        <v>9.6061229705810547E-2</v>
      </c>
      <c r="AC32" s="14">
        <v>4.0770885534584522E-3</v>
      </c>
      <c r="AD32" s="14">
        <v>4.92464704439044E-3</v>
      </c>
      <c r="AE32" s="11">
        <v>4.3464347254484892E-4</v>
      </c>
      <c r="AF32"/>
      <c r="AG32" s="11">
        <v>3.8550951285287738E-4</v>
      </c>
      <c r="AH32"/>
      <c r="AI32" s="16">
        <v>4.5968711376190186E-2</v>
      </c>
      <c r="AJ32" s="108">
        <v>0.20664460957050323</v>
      </c>
      <c r="AK32" s="145">
        <v>9.3924380838871002E-2</v>
      </c>
      <c r="AL32"/>
      <c r="AM32"/>
      <c r="AN32"/>
      <c r="AO32" s="12">
        <v>1.2610032223165035E-2</v>
      </c>
      <c r="AP32"/>
      <c r="AQ32"/>
      <c r="AR32" s="228">
        <v>0.21576030552387238</v>
      </c>
      <c r="AS32" s="207">
        <v>0.86703616380691528</v>
      </c>
      <c r="AT32"/>
      <c r="AU32"/>
      <c r="AV32"/>
      <c r="AW32" s="199">
        <v>0.10207007080316544</v>
      </c>
      <c r="AX32" s="13">
        <v>0.11902793496847153</v>
      </c>
      <c r="AY32" s="23">
        <v>1.8065333366394043E-2</v>
      </c>
      <c r="AZ32" s="201">
        <v>0.17492809891700745</v>
      </c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224</v>
      </c>
      <c r="B33">
        <v>0.69999998807907104</v>
      </c>
      <c r="C33">
        <v>0.13999991118907928</v>
      </c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 s="186">
        <v>0.19270765781402588</v>
      </c>
      <c r="T33"/>
      <c r="U33"/>
      <c r="V33"/>
      <c r="W33"/>
      <c r="X33"/>
      <c r="Y33"/>
      <c r="Z33"/>
      <c r="AA33" s="19">
        <v>1.2251097708940506E-2</v>
      </c>
      <c r="AB33" s="225">
        <v>0.30145207047462463</v>
      </c>
      <c r="AC33"/>
      <c r="AD33"/>
      <c r="AE33"/>
      <c r="AF33"/>
      <c r="AG33"/>
      <c r="AH33"/>
      <c r="AI33"/>
      <c r="AJ33"/>
      <c r="AK33"/>
      <c r="AL33"/>
      <c r="AM33"/>
      <c r="AN33"/>
      <c r="AO33" s="27">
        <v>5.3589276969432831E-2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225</v>
      </c>
      <c r="B34">
        <v>1.2000000476837158</v>
      </c>
      <c r="C34">
        <v>0.2400030642747879</v>
      </c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 s="191">
        <v>0.13910961151123047</v>
      </c>
      <c r="V34"/>
      <c r="W34"/>
      <c r="X34"/>
      <c r="Y34"/>
      <c r="Z34" s="14">
        <v>1.6379356384277344E-3</v>
      </c>
      <c r="AA34" s="26">
        <v>3.1376782804727554E-2</v>
      </c>
      <c r="AB34" s="74">
        <v>0.11332568526268005</v>
      </c>
      <c r="AC34" s="23">
        <v>7.0426338352262974E-3</v>
      </c>
      <c r="AD34" s="19">
        <v>2.1979695186018944E-2</v>
      </c>
      <c r="AE34"/>
      <c r="AF34" s="145">
        <v>3.5984564572572708E-2</v>
      </c>
      <c r="AG34"/>
      <c r="AH34"/>
      <c r="AI34"/>
      <c r="AJ34"/>
      <c r="AK34"/>
      <c r="AL34"/>
      <c r="AM34"/>
      <c r="AN34"/>
      <c r="AO34" s="18">
        <v>1.3790402561426163E-2</v>
      </c>
      <c r="AP34"/>
      <c r="AQ34" s="232">
        <v>0.20105664432048798</v>
      </c>
      <c r="AR34" s="77">
        <v>7.8382253646850586E-2</v>
      </c>
      <c r="AS34"/>
      <c r="AT34"/>
      <c r="AU34"/>
      <c r="AV34"/>
      <c r="AW34" s="107">
        <v>0.14836022257804871</v>
      </c>
      <c r="AX34"/>
      <c r="AY34"/>
      <c r="AZ34"/>
      <c r="BA34"/>
      <c r="BB34" s="221">
        <v>0.16795049607753754</v>
      </c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226</v>
      </c>
      <c r="B35">
        <v>3</v>
      </c>
      <c r="C35">
        <v>0.15000146627426147</v>
      </c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 s="11">
        <v>4.9121049232780933E-4</v>
      </c>
      <c r="V35"/>
      <c r="W35"/>
      <c r="X35"/>
      <c r="Y35"/>
      <c r="Z35" s="11">
        <v>2.2297739051282406E-3</v>
      </c>
      <c r="AA35" s="195">
        <v>0.2252582460641861</v>
      </c>
      <c r="AB35" s="17">
        <v>4.0117107331752777E-2</v>
      </c>
      <c r="AC35" s="11">
        <v>2.6844616513699293E-3</v>
      </c>
      <c r="AD35" s="15">
        <v>3.1908988952636719E-2</v>
      </c>
      <c r="AE35" s="14">
        <v>6.9527528248727322E-3</v>
      </c>
      <c r="AF35" s="15">
        <v>3.1567160040140152E-2</v>
      </c>
      <c r="AG35" s="14">
        <v>4.2815897613763809E-3</v>
      </c>
      <c r="AH35" s="12">
        <v>9.513423778116703E-3</v>
      </c>
      <c r="AI35" s="23">
        <v>1.4896398410201073E-2</v>
      </c>
      <c r="AJ35"/>
      <c r="AK35" s="65">
        <v>6.5968729555606842E-2</v>
      </c>
      <c r="AL35" s="12">
        <v>1.3383731245994568E-2</v>
      </c>
      <c r="AM35" s="12">
        <v>1.3767008669674397E-2</v>
      </c>
      <c r="AN35"/>
      <c r="AO35" s="20">
        <v>0.12760555744171143</v>
      </c>
      <c r="AP35" s="188">
        <v>0.35356071591377258</v>
      </c>
      <c r="AQ35" s="233">
        <v>0.43916547298431396</v>
      </c>
      <c r="AR35" s="26">
        <v>7.6994426548480988E-2</v>
      </c>
      <c r="AS35"/>
      <c r="AT35"/>
      <c r="AU35" s="15">
        <v>3.2239776104688644E-2</v>
      </c>
      <c r="AV35"/>
      <c r="AW35" s="244">
        <v>0.72708272933959961</v>
      </c>
      <c r="AX35" s="11">
        <v>2.2193503100425005E-3</v>
      </c>
      <c r="AY35" s="18">
        <v>3.2520510256290436E-2</v>
      </c>
      <c r="AZ35" s="229">
        <v>0.2537645697593689</v>
      </c>
      <c r="BA35" s="14">
        <v>4.7648781910538673E-3</v>
      </c>
      <c r="BB35" s="25">
        <v>9.4644606113433838E-2</v>
      </c>
      <c r="BC35" s="218">
        <v>0.24241556227207184</v>
      </c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 t="s">
        <v>227</v>
      </c>
      <c r="B36">
        <v>1.8849999904632568</v>
      </c>
      <c r="C36">
        <v>0.56550103425979614</v>
      </c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 s="14">
        <v>2.5177567731589079E-3</v>
      </c>
      <c r="V36"/>
      <c r="W36"/>
      <c r="X36"/>
      <c r="Y36"/>
      <c r="Z36" s="11">
        <v>6.8260938860476017E-5</v>
      </c>
      <c r="AA36" s="23">
        <v>1.1488189920783043E-2</v>
      </c>
      <c r="AB36" s="14">
        <v>4.0164473466575146E-3</v>
      </c>
      <c r="AC36" s="14">
        <v>1.9371106754988432E-3</v>
      </c>
      <c r="AD36" s="11">
        <v>6.59363460727036E-4</v>
      </c>
      <c r="AE36"/>
      <c r="AF36" s="11">
        <v>1.2140071485191584E-3</v>
      </c>
      <c r="AG36" s="11">
        <v>9.3624263536185026E-4</v>
      </c>
      <c r="AH36" s="11">
        <v>2.0801810023840517E-4</v>
      </c>
      <c r="AI36" s="11">
        <v>1.4165273169055581E-3</v>
      </c>
      <c r="AJ36" s="11">
        <v>2.9764088685624301E-4</v>
      </c>
      <c r="AK36" s="11">
        <v>1.7800915520638227E-3</v>
      </c>
      <c r="AL36"/>
      <c r="AM36" s="14">
        <v>2.0069275051355362E-3</v>
      </c>
      <c r="AN36"/>
      <c r="AO36" s="11">
        <v>1.6420414904132485E-3</v>
      </c>
      <c r="AP36" s="16">
        <v>2.9647454619407654E-2</v>
      </c>
      <c r="AQ36" s="17">
        <v>2.6932608336210251E-2</v>
      </c>
      <c r="AR36" s="14">
        <v>4.5750397257506847E-3</v>
      </c>
      <c r="AS36"/>
      <c r="AT36"/>
      <c r="AU36"/>
      <c r="AV36"/>
      <c r="AW36" s="192">
        <v>4.4163625687360764E-2</v>
      </c>
      <c r="AX36" s="11">
        <v>8.380798390135169E-4</v>
      </c>
      <c r="AY36"/>
      <c r="AZ36" s="195">
        <v>0.14177647233009338</v>
      </c>
      <c r="BA36" s="23">
        <v>1.2503063306212425E-2</v>
      </c>
      <c r="BB36" s="25">
        <v>6.0946591198444366E-2</v>
      </c>
      <c r="BC36" s="246">
        <v>0.46052154898643494</v>
      </c>
      <c r="BD36" s="247">
        <v>0.50740587711334229</v>
      </c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 t="s">
        <v>228</v>
      </c>
      <c r="B37">
        <v>1.6000000238418579</v>
      </c>
      <c r="C37">
        <v>0.48000001907348633</v>
      </c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 s="11">
        <v>3.2150308834388852E-4</v>
      </c>
      <c r="V37"/>
      <c r="W37"/>
      <c r="X37"/>
      <c r="Y37"/>
      <c r="Z37" s="11">
        <v>3.9562783058499917E-5</v>
      </c>
      <c r="AA37"/>
      <c r="AB37" s="11">
        <v>5.4780812934041023E-4</v>
      </c>
      <c r="AC37" s="11">
        <v>1.7003633547574282E-4</v>
      </c>
      <c r="AD37" s="11">
        <v>9.7859401648747735E-7</v>
      </c>
      <c r="AE37"/>
      <c r="AF37"/>
      <c r="AG37" s="11">
        <v>3.7984034861437976E-4</v>
      </c>
      <c r="AH37" s="11">
        <v>2.1942563762422651E-4</v>
      </c>
      <c r="AI37" s="23">
        <v>8.0457357689738274E-3</v>
      </c>
      <c r="AJ37" s="12">
        <v>5.3186267614364624E-3</v>
      </c>
      <c r="AK37"/>
      <c r="AL37" s="14">
        <v>2.0406937692314386E-3</v>
      </c>
      <c r="AM37" s="11">
        <v>8.1422488437965512E-4</v>
      </c>
      <c r="AN37" s="14">
        <v>1.9607541617006063E-3</v>
      </c>
      <c r="AO37" s="22">
        <v>1.3323760591447353E-2</v>
      </c>
      <c r="AP37" s="14">
        <v>1.5690086875110865E-3</v>
      </c>
      <c r="AQ37" s="22">
        <v>1.138157956302166E-2</v>
      </c>
      <c r="AR37" s="14">
        <v>1.893248874694109E-3</v>
      </c>
      <c r="AS37"/>
      <c r="AT37"/>
      <c r="AU37"/>
      <c r="AV37" s="12">
        <v>5.7430933229625225E-3</v>
      </c>
      <c r="AW37" s="14">
        <v>2.8660548850893974E-3</v>
      </c>
      <c r="AX37"/>
      <c r="AY37" s="14">
        <v>2.2645615972578526E-3</v>
      </c>
      <c r="AZ37" s="18">
        <v>1.945248618721962E-2</v>
      </c>
      <c r="BA37" s="14">
        <v>4.6287314034998417E-3</v>
      </c>
      <c r="BB37" s="12">
        <v>7.7270176261663437E-3</v>
      </c>
      <c r="BC37"/>
      <c r="BD37" s="141">
        <v>1.0292912721633911</v>
      </c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 t="s">
        <v>229</v>
      </c>
      <c r="B38">
        <v>2.7999999523162842</v>
      </c>
      <c r="C38">
        <v>0.55999994277954102</v>
      </c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 s="14">
        <v>2.9453237075358629E-3</v>
      </c>
      <c r="V38"/>
      <c r="W38"/>
      <c r="X38"/>
      <c r="Y38"/>
      <c r="Z38"/>
      <c r="AA38" s="14">
        <v>7.8718150034546852E-3</v>
      </c>
      <c r="AB38"/>
      <c r="AC38"/>
      <c r="AD38" s="11">
        <v>9.476160048507154E-4</v>
      </c>
      <c r="AE38"/>
      <c r="AF38" s="11">
        <v>1.5238613123074174E-3</v>
      </c>
      <c r="AG38"/>
      <c r="AH38"/>
      <c r="AI38" s="22">
        <v>2.2917155176401138E-2</v>
      </c>
      <c r="AJ38" s="14">
        <v>3.0586922075599432E-3</v>
      </c>
      <c r="AK38"/>
      <c r="AL38" s="14">
        <v>7.658177986741066E-3</v>
      </c>
      <c r="AM38" s="11">
        <v>8.2408334128558636E-4</v>
      </c>
      <c r="AN38" s="14">
        <v>5.9534832835197449E-3</v>
      </c>
      <c r="AO38" s="14">
        <v>4.3152263388037682E-3</v>
      </c>
      <c r="AP38" s="21">
        <v>5.449700728058815E-2</v>
      </c>
      <c r="AQ38" s="199">
        <v>9.2129357159137726E-2</v>
      </c>
      <c r="AR38" s="14">
        <v>5.7673016563057899E-3</v>
      </c>
      <c r="AS38"/>
      <c r="AT38"/>
      <c r="AU38"/>
      <c r="AV38" s="14">
        <v>7.2657866403460503E-3</v>
      </c>
      <c r="AW38" s="12">
        <v>1.2840325944125652E-2</v>
      </c>
      <c r="AX38" s="11">
        <v>6.9072865881025791E-4</v>
      </c>
      <c r="AY38" s="12">
        <v>1.0896075516939163E-2</v>
      </c>
      <c r="AZ38" s="23">
        <v>1.8850952386856079E-2</v>
      </c>
      <c r="BA38" s="14">
        <v>4.2783338576555252E-3</v>
      </c>
      <c r="BB38" s="15">
        <v>2.761862613260746E-2</v>
      </c>
      <c r="BC38" s="248">
        <v>0.74013340473175049</v>
      </c>
      <c r="BD38" s="225">
        <v>1.2070167064666748</v>
      </c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 t="s">
        <v>230</v>
      </c>
      <c r="B39">
        <v>10</v>
      </c>
      <c r="C39">
        <v>0.99999904632568359</v>
      </c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 s="11">
        <v>5.7236114516854286E-3</v>
      </c>
      <c r="BA39" s="11">
        <v>1.9883459899574518E-3</v>
      </c>
      <c r="BB39"/>
      <c r="BC39" s="67">
        <v>0.58588916063308716</v>
      </c>
      <c r="BD39" s="140">
        <v>3.3890674114227295</v>
      </c>
      <c r="BE39" s="250">
        <v>5.017331600189209</v>
      </c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 t="s">
        <v>231</v>
      </c>
      <c r="B40">
        <v>20</v>
      </c>
      <c r="C40">
        <v>1.9999980926513672</v>
      </c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 s="11">
        <v>1.6391694080084562E-3</v>
      </c>
      <c r="AF40"/>
      <c r="AG40" s="14">
        <v>3.3157732337713242E-2</v>
      </c>
      <c r="AH40" s="14">
        <v>3.7366621196269989E-2</v>
      </c>
      <c r="AI40"/>
      <c r="AJ40"/>
      <c r="AK40"/>
      <c r="AL40"/>
      <c r="AM40"/>
      <c r="AN40"/>
      <c r="AO40"/>
      <c r="AP40"/>
      <c r="AQ40"/>
      <c r="AR40"/>
      <c r="AS40"/>
      <c r="AT40"/>
      <c r="AU40" s="23">
        <v>0.10130894929170609</v>
      </c>
      <c r="AV40"/>
      <c r="AW40"/>
      <c r="AX40"/>
      <c r="AY40"/>
      <c r="AZ40" s="215">
        <v>4.0797538757324219</v>
      </c>
      <c r="BA40" s="12">
        <v>7.4864789843559265E-2</v>
      </c>
      <c r="BB40"/>
      <c r="BC40"/>
      <c r="BD40" s="245">
        <v>13.671911239624023</v>
      </c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 t="s">
        <v>232</v>
      </c>
      <c r="B41">
        <v>10.5</v>
      </c>
      <c r="C41">
        <v>4.5887594223022461</v>
      </c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 s="11">
        <v>6.2314625829458237E-3</v>
      </c>
      <c r="X41" s="12">
        <v>4.4049516320228577E-2</v>
      </c>
      <c r="Y41" s="11">
        <v>2.2547435946762562E-3</v>
      </c>
      <c r="Z41"/>
      <c r="AA41" s="12">
        <v>3.5682901740074158E-2</v>
      </c>
      <c r="AB41" s="14">
        <v>1.890869066119194E-2</v>
      </c>
      <c r="AC41" s="11">
        <v>3.7126860115677118E-3</v>
      </c>
      <c r="AD41" s="11">
        <v>4.4048740528523922E-3</v>
      </c>
      <c r="AE41" s="11">
        <v>7.7918693423271179E-3</v>
      </c>
      <c r="AF41" s="15">
        <v>0.10519012063741684</v>
      </c>
      <c r="AG41" s="14">
        <v>1.5701405704021454E-2</v>
      </c>
      <c r="AH41" s="14">
        <v>1.5924790874123573E-2</v>
      </c>
      <c r="AI41" s="14">
        <v>2.5021543726325035E-2</v>
      </c>
      <c r="AJ41" s="15">
        <v>9.4237014651298523E-2</v>
      </c>
      <c r="AK41"/>
      <c r="AL41"/>
      <c r="AM41" s="14">
        <v>2.0798040553927422E-2</v>
      </c>
      <c r="AN41"/>
      <c r="AO41" s="14">
        <v>2.9726490378379822E-2</v>
      </c>
      <c r="AP41" s="28">
        <v>0.3626544177532196</v>
      </c>
      <c r="AQ41" s="12">
        <v>5.0724025815725327E-2</v>
      </c>
      <c r="AR41" s="26">
        <v>0.2699352502822876</v>
      </c>
      <c r="AS41" s="25">
        <v>0.32422971725463867</v>
      </c>
      <c r="AT41" s="12">
        <v>3.5039622336626053E-2</v>
      </c>
      <c r="AU41" s="23">
        <v>6.5414212644100189E-2</v>
      </c>
      <c r="AV41" s="19">
        <v>0.18738783895969391</v>
      </c>
      <c r="AW41" s="199">
        <v>0.35405409336090088</v>
      </c>
      <c r="AX41" s="11">
        <v>9.49057936668396E-3</v>
      </c>
      <c r="AY41" s="65">
        <v>0.22383013367652893</v>
      </c>
      <c r="AZ41" s="12">
        <v>3.8164913654327393E-2</v>
      </c>
      <c r="BA41" s="11">
        <v>6.5678628161549568E-3</v>
      </c>
      <c r="BB41" s="201">
        <v>0.58705753087997437</v>
      </c>
      <c r="BC41" s="142">
        <v>1.0479626655578613</v>
      </c>
      <c r="BD41" s="110">
        <v>1.9190913438796997</v>
      </c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 t="s">
        <v>233</v>
      </c>
      <c r="B42">
        <v>16.450000762939453</v>
      </c>
      <c r="C42">
        <v>3.809389591217041</v>
      </c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 s="11">
        <v>9.7581595182418823E-3</v>
      </c>
      <c r="Y42"/>
      <c r="Z42"/>
      <c r="AA42" s="14">
        <v>1.7172789201140404E-2</v>
      </c>
      <c r="AB42"/>
      <c r="AC42" s="11">
        <v>7.1812944952398539E-4</v>
      </c>
      <c r="AD42" s="11">
        <v>2.1149239037185907E-3</v>
      </c>
      <c r="AE42" s="11">
        <v>5.1479358226060867E-3</v>
      </c>
      <c r="AF42" s="11">
        <v>7.9985093325376511E-3</v>
      </c>
      <c r="AG42" s="11">
        <v>3.0030203051865101E-3</v>
      </c>
      <c r="AH42" s="11">
        <v>5.9892968274652958E-3</v>
      </c>
      <c r="AI42" s="11">
        <v>1.2045015580952168E-2</v>
      </c>
      <c r="AJ42" s="14">
        <v>2.8936268761754036E-2</v>
      </c>
      <c r="AK42"/>
      <c r="AL42"/>
      <c r="AM42" s="11">
        <v>4.4739008881151676E-3</v>
      </c>
      <c r="AN42"/>
      <c r="AO42" s="11">
        <v>1.0527451522648335E-2</v>
      </c>
      <c r="AP42" s="12">
        <v>6.7628927528858185E-2</v>
      </c>
      <c r="AQ42" s="18">
        <v>0.18514330685138702</v>
      </c>
      <c r="AR42" s="24">
        <v>0.44097015261650085</v>
      </c>
      <c r="AS42" s="25">
        <v>0.5187375545501709</v>
      </c>
      <c r="AT42" s="26">
        <v>0.42345178127288818</v>
      </c>
      <c r="AU42" s="15">
        <v>0.14698012173175812</v>
      </c>
      <c r="AV42" s="19">
        <v>0.28378084301948547</v>
      </c>
      <c r="AW42" s="12">
        <v>6.5869979560375214E-2</v>
      </c>
      <c r="AX42" s="11">
        <v>3.896272974088788E-3</v>
      </c>
      <c r="AY42" s="22">
        <v>0.1268172562122345</v>
      </c>
      <c r="AZ42" s="11">
        <v>7.2118075331673026E-4</v>
      </c>
      <c r="BA42"/>
      <c r="BB42" s="14">
        <v>2.4893179535865784E-2</v>
      </c>
      <c r="BC42" s="22">
        <v>0.14032763242721558</v>
      </c>
      <c r="BD42" s="223">
        <v>2.2378349304199219</v>
      </c>
      <c r="BE42"/>
      <c r="BF42"/>
      <c r="BG42"/>
      <c r="BH42" s="17">
        <v>0.22320167720317841</v>
      </c>
      <c r="BI42" s="249">
        <v>6.0424709320068359</v>
      </c>
      <c r="BJ42" s="235">
        <v>1.6000000238418579</v>
      </c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 t="s">
        <v>234</v>
      </c>
      <c r="B43">
        <v>45.049999237060547</v>
      </c>
      <c r="C43">
        <v>4.6524715423583984</v>
      </c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 s="11">
        <v>6.1752978945150971E-4</v>
      </c>
      <c r="AI43"/>
      <c r="AJ43" s="11">
        <v>1.7683039186522365E-3</v>
      </c>
      <c r="AK43"/>
      <c r="AL43"/>
      <c r="AM43"/>
      <c r="AN43"/>
      <c r="AO43"/>
      <c r="AP43"/>
      <c r="AQ43"/>
      <c r="AR43"/>
      <c r="AS43" s="11">
        <v>1.5110288746654987E-2</v>
      </c>
      <c r="AT43"/>
      <c r="AU43" s="11">
        <v>2.009107731282711E-2</v>
      </c>
      <c r="AV43" s="14">
        <v>0.10505816340446472</v>
      </c>
      <c r="AW43"/>
      <c r="AX43"/>
      <c r="AY43"/>
      <c r="AZ43"/>
      <c r="BA43"/>
      <c r="BB43"/>
      <c r="BC43"/>
      <c r="BD43"/>
      <c r="BE43"/>
      <c r="BF43"/>
      <c r="BG43"/>
      <c r="BH43" s="12">
        <v>0.20657804608345032</v>
      </c>
      <c r="BI43" s="107">
        <v>5.5924396514892578</v>
      </c>
      <c r="BJ43" s="252">
        <v>28.135868072509766</v>
      </c>
      <c r="BK43" s="78">
        <v>6.320000171661377</v>
      </c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 t="s">
        <v>235</v>
      </c>
      <c r="B44">
        <v>500</v>
      </c>
      <c r="C44">
        <v>152.62562561035156</v>
      </c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 s="201">
        <v>28.329219818115234</v>
      </c>
      <c r="BF44" s="199">
        <v>16.327686309814453</v>
      </c>
      <c r="BG44" s="195">
        <v>37.641811370849609</v>
      </c>
      <c r="BH44"/>
      <c r="BI44"/>
      <c r="BJ44"/>
      <c r="BK44" s="253">
        <v>265.07565307617188</v>
      </c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 t="s">
        <v>236</v>
      </c>
      <c r="B45">
        <v>119</v>
      </c>
      <c r="C45">
        <v>36.244400024414062</v>
      </c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 s="11">
        <v>6.1857346445322037E-2</v>
      </c>
      <c r="AR45"/>
      <c r="AS45"/>
      <c r="AT45"/>
      <c r="AU45"/>
      <c r="AV45"/>
      <c r="AW45"/>
      <c r="AX45"/>
      <c r="AY45"/>
      <c r="AZ45"/>
      <c r="BA45" s="11">
        <v>1.9389722729101777E-3</v>
      </c>
      <c r="BB45"/>
      <c r="BC45"/>
      <c r="BD45"/>
      <c r="BE45"/>
      <c r="BF45" s="139">
        <v>15.509761810302734</v>
      </c>
      <c r="BG45" s="17">
        <v>1.625280499458313</v>
      </c>
      <c r="BH45" s="19">
        <v>2.0719718933105469</v>
      </c>
      <c r="BI45" s="198">
        <v>6.2324461936950684</v>
      </c>
      <c r="BJ45" s="198">
        <v>6.1886401176452637</v>
      </c>
      <c r="BK45" s="255">
        <v>51.063701629638672</v>
      </c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 t="s">
        <v>237</v>
      </c>
      <c r="B46">
        <v>151</v>
      </c>
      <c r="C46">
        <v>66.113800048828125</v>
      </c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 s="145">
        <v>4.3917131423950195</v>
      </c>
      <c r="BG46" s="19">
        <v>2.5311615467071533</v>
      </c>
      <c r="BH46"/>
      <c r="BI46"/>
      <c r="BJ46" s="251">
        <v>19.275993347167969</v>
      </c>
      <c r="BK46" s="254">
        <v>54.844852447509766</v>
      </c>
      <c r="BL46" s="26">
        <v>3.8424770832061768</v>
      </c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 t="s">
        <v>238</v>
      </c>
      <c r="B47">
        <v>4.5</v>
      </c>
      <c r="C47">
        <v>4.0181112289428711</v>
      </c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 s="64">
        <v>0.24550317227840424</v>
      </c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 s="14">
        <v>6.025159265846014E-3</v>
      </c>
      <c r="AY47"/>
      <c r="AZ47"/>
      <c r="BA47"/>
      <c r="BB47" s="70">
        <v>0.23036043345928192</v>
      </c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 t="s">
        <v>239</v>
      </c>
      <c r="B48"/>
      <c r="C48">
        <v>0.72760105133056641</v>
      </c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 s="9">
        <v>6.4244698733091354E-3</v>
      </c>
      <c r="W48" s="9">
        <v>4.5776486396789551E-2</v>
      </c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 s="9">
        <v>4.1103181429207325E-3</v>
      </c>
      <c r="BB48" s="9">
        <v>1.8788952380418777E-2</v>
      </c>
      <c r="BC48"/>
      <c r="BD48" s="9">
        <v>9.9140539765357971E-2</v>
      </c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 t="s">
        <v>240</v>
      </c>
      <c r="B49"/>
      <c r="C49">
        <v>0.83979320526123047</v>
      </c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 s="9">
        <v>5.1008733862545341E-5</v>
      </c>
      <c r="AA49" s="9">
        <v>5.7546207681298256E-3</v>
      </c>
      <c r="AB49"/>
      <c r="AC49"/>
      <c r="AD49"/>
      <c r="AE49"/>
      <c r="AF49"/>
      <c r="AG49"/>
      <c r="AH49"/>
      <c r="AI49" s="9">
        <v>5.589517205953598E-2</v>
      </c>
      <c r="AJ49" s="9">
        <v>0.16466845571994781</v>
      </c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 s="9">
        <v>5.9981591999530792E-2</v>
      </c>
      <c r="BB49" s="9">
        <v>0.22922512888908386</v>
      </c>
      <c r="BC49" s="9">
        <v>8.6315240859985352</v>
      </c>
      <c r="BD49" s="9">
        <v>10.806314468383789</v>
      </c>
      <c r="BE49" s="9">
        <v>101.15419006347656</v>
      </c>
      <c r="BF49" s="9">
        <v>80.724082946777344</v>
      </c>
      <c r="BG49" s="9">
        <v>248.13482666015625</v>
      </c>
      <c r="BH49"/>
      <c r="BI49"/>
      <c r="BJ49" s="9">
        <v>59.052001953125</v>
      </c>
      <c r="BK49" s="9">
        <v>604.8619384765625</v>
      </c>
      <c r="BL49" s="9">
        <v>1153.5999755859375</v>
      </c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 t="s">
        <v>241</v>
      </c>
      <c r="B50"/>
      <c r="C50">
        <v>0</v>
      </c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topLeftCell="A21"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37.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37.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4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2" t="s">
        <v>166</v>
      </c>
    </row>
    <row r="2" spans="1:12" x14ac:dyDescent="0.15">
      <c r="A2" s="1" t="s">
        <v>37</v>
      </c>
      <c r="B2" s="39">
        <v>3</v>
      </c>
      <c r="C2" s="37"/>
      <c r="D2" t="s">
        <v>38</v>
      </c>
      <c r="E2">
        <v>1</v>
      </c>
      <c r="F2">
        <v>1</v>
      </c>
      <c r="G2">
        <v>1</v>
      </c>
      <c r="H2" t="s">
        <v>38</v>
      </c>
      <c r="J2" s="55"/>
      <c r="K2" s="56"/>
      <c r="L2" s="62" t="s">
        <v>167</v>
      </c>
    </row>
    <row r="3" spans="1:12" ht="14" thickBot="1" x14ac:dyDescent="0.2">
      <c r="A3" s="1" t="s">
        <v>39</v>
      </c>
      <c r="B3" s="40">
        <v>0</v>
      </c>
      <c r="C3" s="37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7"/>
      <c r="K3" s="58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7"/>
      <c r="K4" s="58"/>
    </row>
    <row r="5" spans="1:12" x14ac:dyDescent="0.15">
      <c r="D5" s="166" t="s">
        <v>193</v>
      </c>
      <c r="E5">
        <v>4</v>
      </c>
      <c r="F5">
        <v>3.13</v>
      </c>
      <c r="G5">
        <v>4</v>
      </c>
      <c r="H5" s="167" t="s">
        <v>193</v>
      </c>
      <c r="J5" s="57"/>
      <c r="K5" s="58"/>
    </row>
    <row r="6" spans="1:12" ht="14" thickBot="1" x14ac:dyDescent="0.2">
      <c r="A6" s="41" t="s">
        <v>121</v>
      </c>
      <c r="D6" s="166" t="s">
        <v>194</v>
      </c>
      <c r="E6">
        <v>5</v>
      </c>
      <c r="F6">
        <v>3.13</v>
      </c>
      <c r="G6">
        <v>5</v>
      </c>
      <c r="H6" s="167" t="s">
        <v>194</v>
      </c>
      <c r="J6" s="57"/>
      <c r="K6" s="58"/>
    </row>
    <row r="7" spans="1:12" x14ac:dyDescent="0.15">
      <c r="A7" s="36" t="s">
        <v>126</v>
      </c>
      <c r="B7" s="43">
        <v>1</v>
      </c>
      <c r="C7" s="38"/>
      <c r="D7" s="166" t="s">
        <v>195</v>
      </c>
      <c r="E7">
        <v>6</v>
      </c>
      <c r="F7">
        <v>3.13</v>
      </c>
      <c r="G7">
        <v>6</v>
      </c>
      <c r="H7" s="167" t="s">
        <v>195</v>
      </c>
      <c r="J7" s="57"/>
      <c r="K7" s="58"/>
    </row>
    <row r="8" spans="1:12" x14ac:dyDescent="0.15">
      <c r="A8" s="36" t="s">
        <v>38</v>
      </c>
      <c r="B8" s="44">
        <v>1</v>
      </c>
      <c r="C8" s="38"/>
      <c r="D8" s="166" t="s">
        <v>196</v>
      </c>
      <c r="E8">
        <v>7</v>
      </c>
      <c r="F8">
        <v>3.13</v>
      </c>
      <c r="G8">
        <v>7</v>
      </c>
      <c r="H8" s="167" t="s">
        <v>196</v>
      </c>
      <c r="J8" s="57"/>
      <c r="K8" s="58"/>
    </row>
    <row r="9" spans="1:12" x14ac:dyDescent="0.15">
      <c r="A9" s="36" t="s">
        <v>40</v>
      </c>
      <c r="B9" s="44">
        <v>1.1000000000000001</v>
      </c>
      <c r="C9" s="38"/>
      <c r="D9" s="166" t="s">
        <v>197</v>
      </c>
      <c r="E9">
        <v>8</v>
      </c>
      <c r="F9">
        <v>3.12</v>
      </c>
      <c r="G9">
        <v>8</v>
      </c>
      <c r="H9" s="167" t="s">
        <v>197</v>
      </c>
      <c r="J9" s="57"/>
      <c r="K9" s="58"/>
    </row>
    <row r="10" spans="1:12" x14ac:dyDescent="0.15">
      <c r="A10" s="36" t="s">
        <v>41</v>
      </c>
      <c r="B10" s="44">
        <v>1.2</v>
      </c>
      <c r="C10" s="38"/>
      <c r="D10" s="166" t="s">
        <v>198</v>
      </c>
      <c r="E10">
        <v>9</v>
      </c>
      <c r="F10">
        <v>3.12</v>
      </c>
      <c r="G10">
        <v>9</v>
      </c>
      <c r="H10" s="167" t="s">
        <v>198</v>
      </c>
      <c r="J10" s="57"/>
      <c r="K10" s="58"/>
    </row>
    <row r="11" spans="1:12" ht="12" customHeight="1" x14ac:dyDescent="0.15">
      <c r="A11" s="42" t="s">
        <v>127</v>
      </c>
      <c r="B11" s="44">
        <v>2</v>
      </c>
      <c r="C11" s="38"/>
      <c r="D11" s="166" t="s">
        <v>199</v>
      </c>
      <c r="E11">
        <v>10</v>
      </c>
      <c r="F11">
        <v>3.12</v>
      </c>
      <c r="G11">
        <v>10</v>
      </c>
      <c r="H11" s="167" t="s">
        <v>199</v>
      </c>
      <c r="J11" s="57"/>
      <c r="K11" s="58"/>
    </row>
    <row r="12" spans="1:12" x14ac:dyDescent="0.15">
      <c r="A12" s="36" t="s">
        <v>42</v>
      </c>
      <c r="B12" s="44">
        <v>2.1</v>
      </c>
      <c r="C12" s="38"/>
      <c r="D12" s="166" t="s">
        <v>200</v>
      </c>
      <c r="E12">
        <v>11</v>
      </c>
      <c r="F12">
        <v>3.22</v>
      </c>
      <c r="G12">
        <v>11</v>
      </c>
      <c r="H12" s="167" t="s">
        <v>200</v>
      </c>
      <c r="J12" s="57"/>
      <c r="K12" s="58"/>
    </row>
    <row r="13" spans="1:12" x14ac:dyDescent="0.15">
      <c r="A13" s="36" t="s">
        <v>43</v>
      </c>
      <c r="B13" s="44">
        <v>2.2000000000000002</v>
      </c>
      <c r="C13" s="38"/>
      <c r="D13" s="166" t="s">
        <v>201</v>
      </c>
      <c r="E13">
        <v>12</v>
      </c>
      <c r="F13">
        <v>3.22</v>
      </c>
      <c r="G13">
        <v>12</v>
      </c>
      <c r="H13" s="167" t="s">
        <v>201</v>
      </c>
      <c r="J13" s="57"/>
      <c r="K13" s="58"/>
    </row>
    <row r="14" spans="1:12" x14ac:dyDescent="0.15">
      <c r="A14" s="36" t="s">
        <v>67</v>
      </c>
      <c r="B14" s="44">
        <v>2.2999999999999998</v>
      </c>
      <c r="C14" s="38"/>
      <c r="D14" s="166" t="s">
        <v>202</v>
      </c>
      <c r="E14">
        <v>13</v>
      </c>
      <c r="F14">
        <v>3.22</v>
      </c>
      <c r="G14">
        <v>13</v>
      </c>
      <c r="H14" s="167" t="s">
        <v>202</v>
      </c>
      <c r="J14" s="57"/>
      <c r="K14" s="58"/>
    </row>
    <row r="15" spans="1:12" x14ac:dyDescent="0.15">
      <c r="A15" s="42" t="s">
        <v>128</v>
      </c>
      <c r="B15" s="44">
        <v>3</v>
      </c>
      <c r="C15" s="38"/>
      <c r="D15" s="166" t="s">
        <v>203</v>
      </c>
      <c r="E15">
        <v>14</v>
      </c>
      <c r="F15">
        <v>3.12</v>
      </c>
      <c r="G15">
        <v>14</v>
      </c>
      <c r="H15" s="167" t="s">
        <v>203</v>
      </c>
      <c r="J15" s="57"/>
      <c r="K15" s="58"/>
    </row>
    <row r="16" spans="1:12" x14ac:dyDescent="0.15">
      <c r="A16" s="36" t="s">
        <v>62</v>
      </c>
      <c r="B16" s="44">
        <v>3.11</v>
      </c>
      <c r="C16" s="38"/>
      <c r="D16" s="166" t="s">
        <v>204</v>
      </c>
      <c r="E16">
        <v>15</v>
      </c>
      <c r="F16">
        <v>3.12</v>
      </c>
      <c r="G16">
        <v>15</v>
      </c>
      <c r="H16" s="167" t="s">
        <v>204</v>
      </c>
      <c r="J16" s="57"/>
      <c r="K16" s="58"/>
    </row>
    <row r="17" spans="1:12" x14ac:dyDescent="0.15">
      <c r="A17" s="36" t="s">
        <v>61</v>
      </c>
      <c r="B17" s="44">
        <v>3.12</v>
      </c>
      <c r="C17" s="38"/>
      <c r="D17" s="166" t="s">
        <v>205</v>
      </c>
      <c r="E17">
        <v>16</v>
      </c>
      <c r="F17">
        <v>3.12</v>
      </c>
      <c r="G17">
        <v>16</v>
      </c>
      <c r="H17" s="167" t="s">
        <v>205</v>
      </c>
      <c r="J17" s="57"/>
      <c r="K17" s="58"/>
    </row>
    <row r="18" spans="1:12" x14ac:dyDescent="0.15">
      <c r="A18" s="36" t="s">
        <v>68</v>
      </c>
      <c r="B18" s="44">
        <v>3.13</v>
      </c>
      <c r="C18" s="38"/>
      <c r="D18" s="166" t="s">
        <v>206</v>
      </c>
      <c r="E18">
        <v>17</v>
      </c>
      <c r="F18">
        <v>3.22</v>
      </c>
      <c r="G18">
        <v>17</v>
      </c>
      <c r="H18" s="167" t="s">
        <v>206</v>
      </c>
      <c r="J18" s="57"/>
      <c r="K18" s="58"/>
    </row>
    <row r="19" spans="1:12" x14ac:dyDescent="0.15">
      <c r="A19" s="36" t="s">
        <v>66</v>
      </c>
      <c r="B19" s="44">
        <v>3.21</v>
      </c>
      <c r="C19" s="38"/>
      <c r="D19" s="166" t="s">
        <v>207</v>
      </c>
      <c r="E19">
        <v>18</v>
      </c>
      <c r="F19">
        <v>3.12</v>
      </c>
      <c r="G19">
        <v>18</v>
      </c>
      <c r="H19" s="167" t="s">
        <v>207</v>
      </c>
      <c r="J19" s="57"/>
      <c r="K19" s="58"/>
    </row>
    <row r="20" spans="1:12" x14ac:dyDescent="0.15">
      <c r="A20" s="36" t="s">
        <v>63</v>
      </c>
      <c r="B20" s="44">
        <v>3.22</v>
      </c>
      <c r="C20" s="38"/>
      <c r="D20" s="166" t="s">
        <v>208</v>
      </c>
      <c r="E20">
        <v>19</v>
      </c>
      <c r="F20">
        <v>3.22</v>
      </c>
      <c r="G20">
        <v>19</v>
      </c>
      <c r="H20" s="167" t="s">
        <v>208</v>
      </c>
      <c r="J20" s="57"/>
      <c r="K20" s="58"/>
    </row>
    <row r="21" spans="1:12" ht="14" thickBot="1" x14ac:dyDescent="0.2">
      <c r="A21" s="36" t="s">
        <v>69</v>
      </c>
      <c r="B21" s="44">
        <v>3.23</v>
      </c>
      <c r="C21" s="38"/>
      <c r="D21" s="166" t="s">
        <v>209</v>
      </c>
      <c r="E21">
        <v>20</v>
      </c>
      <c r="F21">
        <v>3.22</v>
      </c>
      <c r="G21">
        <v>20</v>
      </c>
      <c r="H21" s="167" t="s">
        <v>209</v>
      </c>
      <c r="J21" s="59"/>
      <c r="K21" s="60"/>
      <c r="L21" s="62" t="s">
        <v>152</v>
      </c>
    </row>
    <row r="22" spans="1:12" x14ac:dyDescent="0.15">
      <c r="A22" s="36" t="s">
        <v>64</v>
      </c>
      <c r="B22" s="44">
        <v>8</v>
      </c>
      <c r="C22" s="38"/>
      <c r="D22" s="166" t="s">
        <v>210</v>
      </c>
      <c r="E22">
        <v>21</v>
      </c>
      <c r="F22">
        <v>3.22</v>
      </c>
      <c r="G22">
        <v>21</v>
      </c>
      <c r="H22" s="167" t="s">
        <v>210</v>
      </c>
    </row>
    <row r="23" spans="1:12" x14ac:dyDescent="0.15">
      <c r="A23" s="36" t="s">
        <v>129</v>
      </c>
      <c r="B23" s="44">
        <v>4</v>
      </c>
      <c r="C23" s="38"/>
      <c r="D23" s="166" t="s">
        <v>211</v>
      </c>
      <c r="E23">
        <v>22</v>
      </c>
      <c r="F23">
        <v>3.22</v>
      </c>
      <c r="G23">
        <v>22</v>
      </c>
      <c r="H23" s="167" t="s">
        <v>211</v>
      </c>
    </row>
    <row r="24" spans="1:12" x14ac:dyDescent="0.15">
      <c r="A24" s="36" t="s">
        <v>122</v>
      </c>
      <c r="B24" s="44">
        <v>4.0999999999999996</v>
      </c>
      <c r="C24" s="38"/>
      <c r="D24" s="166" t="s">
        <v>212</v>
      </c>
      <c r="E24">
        <v>23</v>
      </c>
      <c r="F24">
        <v>3.22</v>
      </c>
      <c r="G24">
        <v>23</v>
      </c>
      <c r="H24" s="167" t="s">
        <v>212</v>
      </c>
    </row>
    <row r="25" spans="1:12" x14ac:dyDescent="0.15">
      <c r="A25" s="36" t="s">
        <v>70</v>
      </c>
      <c r="B25" s="44">
        <v>4.2</v>
      </c>
      <c r="C25" s="38"/>
      <c r="D25" s="166" t="s">
        <v>213</v>
      </c>
      <c r="E25">
        <v>24</v>
      </c>
      <c r="F25">
        <v>3.22</v>
      </c>
      <c r="G25">
        <v>24</v>
      </c>
      <c r="H25" s="167" t="s">
        <v>213</v>
      </c>
    </row>
    <row r="26" spans="1:12" x14ac:dyDescent="0.15">
      <c r="A26" s="36" t="s">
        <v>123</v>
      </c>
      <c r="B26" s="44">
        <v>4.3</v>
      </c>
      <c r="C26" s="38"/>
      <c r="D26" s="166" t="s">
        <v>214</v>
      </c>
      <c r="E26">
        <v>25</v>
      </c>
      <c r="F26">
        <v>3.22</v>
      </c>
      <c r="G26">
        <v>25</v>
      </c>
      <c r="H26" s="167" t="s">
        <v>214</v>
      </c>
    </row>
    <row r="27" spans="1:12" x14ac:dyDescent="0.15">
      <c r="A27" s="36" t="s">
        <v>125</v>
      </c>
      <c r="B27" s="44">
        <v>6.1</v>
      </c>
      <c r="D27" s="166" t="s">
        <v>215</v>
      </c>
      <c r="E27">
        <v>26</v>
      </c>
      <c r="F27">
        <v>3.12</v>
      </c>
      <c r="G27">
        <v>26</v>
      </c>
      <c r="H27" s="167" t="s">
        <v>215</v>
      </c>
    </row>
    <row r="28" spans="1:12" x14ac:dyDescent="0.15">
      <c r="A28" s="36" t="s">
        <v>124</v>
      </c>
      <c r="B28" s="44">
        <v>6.2</v>
      </c>
      <c r="D28" s="166" t="s">
        <v>216</v>
      </c>
      <c r="E28">
        <v>27</v>
      </c>
      <c r="F28">
        <v>3.12</v>
      </c>
      <c r="G28">
        <v>27</v>
      </c>
      <c r="H28" s="167" t="s">
        <v>216</v>
      </c>
    </row>
    <row r="29" spans="1:12" x14ac:dyDescent="0.15">
      <c r="A29" s="36" t="s">
        <v>44</v>
      </c>
      <c r="B29" s="44">
        <v>5</v>
      </c>
      <c r="D29" s="166" t="s">
        <v>217</v>
      </c>
      <c r="E29">
        <v>28</v>
      </c>
      <c r="F29">
        <v>3.12</v>
      </c>
      <c r="G29">
        <v>28</v>
      </c>
      <c r="H29" s="167" t="s">
        <v>217</v>
      </c>
    </row>
    <row r="30" spans="1:12" x14ac:dyDescent="0.15">
      <c r="A30" s="36" t="s">
        <v>73</v>
      </c>
      <c r="B30" s="44">
        <v>7</v>
      </c>
      <c r="D30" s="166" t="s">
        <v>218</v>
      </c>
      <c r="E30">
        <v>29</v>
      </c>
      <c r="F30">
        <v>3.12</v>
      </c>
      <c r="G30">
        <v>29</v>
      </c>
      <c r="H30" s="167" t="s">
        <v>218</v>
      </c>
    </row>
    <row r="31" spans="1:12" x14ac:dyDescent="0.15">
      <c r="A31" s="36" t="s">
        <v>169</v>
      </c>
      <c r="B31" s="44">
        <v>3.14</v>
      </c>
      <c r="D31" s="166" t="s">
        <v>219</v>
      </c>
      <c r="E31">
        <v>30</v>
      </c>
      <c r="F31">
        <v>3.12</v>
      </c>
      <c r="G31">
        <v>30</v>
      </c>
      <c r="H31" s="167" t="s">
        <v>219</v>
      </c>
    </row>
    <row r="32" spans="1:12" ht="12" customHeight="1" thickBot="1" x14ac:dyDescent="0.2">
      <c r="A32" s="42" t="s">
        <v>170</v>
      </c>
      <c r="B32" s="45">
        <v>9</v>
      </c>
      <c r="D32" s="166" t="s">
        <v>220</v>
      </c>
      <c r="E32">
        <v>31</v>
      </c>
      <c r="F32">
        <v>3.22</v>
      </c>
      <c r="G32">
        <v>31</v>
      </c>
      <c r="H32" s="167" t="s">
        <v>220</v>
      </c>
    </row>
    <row r="33" spans="4:8" customFormat="1" ht="12" customHeight="1" x14ac:dyDescent="0.15">
      <c r="D33" s="166" t="s">
        <v>221</v>
      </c>
      <c r="E33">
        <v>32</v>
      </c>
      <c r="F33">
        <v>3.12</v>
      </c>
      <c r="G33">
        <v>32</v>
      </c>
      <c r="H33" s="167" t="s">
        <v>221</v>
      </c>
    </row>
    <row r="34" spans="4:8" customFormat="1" ht="12" customHeight="1" x14ac:dyDescent="0.15">
      <c r="D34" s="166" t="s">
        <v>222</v>
      </c>
      <c r="E34">
        <v>33</v>
      </c>
      <c r="F34">
        <v>3.12</v>
      </c>
      <c r="G34">
        <v>33</v>
      </c>
      <c r="H34" s="167" t="s">
        <v>222</v>
      </c>
    </row>
    <row r="35" spans="4:8" customFormat="1" x14ac:dyDescent="0.15">
      <c r="D35" s="166" t="s">
        <v>223</v>
      </c>
      <c r="E35">
        <v>34</v>
      </c>
      <c r="F35">
        <v>3.12</v>
      </c>
      <c r="G35">
        <v>34</v>
      </c>
      <c r="H35" s="167" t="s">
        <v>223</v>
      </c>
    </row>
    <row r="36" spans="4:8" customFormat="1" x14ac:dyDescent="0.15">
      <c r="D36" s="166" t="s">
        <v>224</v>
      </c>
      <c r="E36">
        <v>35</v>
      </c>
      <c r="F36">
        <v>3.21</v>
      </c>
      <c r="G36">
        <v>35</v>
      </c>
      <c r="H36" s="167" t="s">
        <v>224</v>
      </c>
    </row>
    <row r="37" spans="4:8" customFormat="1" ht="12" customHeight="1" x14ac:dyDescent="0.15">
      <c r="D37" s="166" t="s">
        <v>225</v>
      </c>
      <c r="E37">
        <v>36</v>
      </c>
      <c r="F37">
        <v>3.21</v>
      </c>
      <c r="G37">
        <v>36</v>
      </c>
      <c r="H37" s="167" t="s">
        <v>225</v>
      </c>
    </row>
    <row r="38" spans="4:8" customFormat="1" x14ac:dyDescent="0.15">
      <c r="D38" s="166" t="s">
        <v>226</v>
      </c>
      <c r="E38">
        <v>37</v>
      </c>
      <c r="F38">
        <v>3</v>
      </c>
      <c r="G38">
        <v>37</v>
      </c>
      <c r="H38" s="167" t="s">
        <v>226</v>
      </c>
    </row>
    <row r="39" spans="4:8" customFormat="1" x14ac:dyDescent="0.15">
      <c r="D39" s="166" t="s">
        <v>227</v>
      </c>
      <c r="E39">
        <v>38</v>
      </c>
      <c r="F39">
        <v>3.21</v>
      </c>
      <c r="G39">
        <v>38</v>
      </c>
      <c r="H39" s="167" t="s">
        <v>227</v>
      </c>
    </row>
    <row r="40" spans="4:8" customFormat="1" x14ac:dyDescent="0.15">
      <c r="D40" s="166" t="s">
        <v>228</v>
      </c>
      <c r="E40">
        <v>39</v>
      </c>
      <c r="F40">
        <v>3.21</v>
      </c>
      <c r="G40">
        <v>39</v>
      </c>
      <c r="H40" s="167" t="s">
        <v>228</v>
      </c>
    </row>
    <row r="41" spans="4:8" customFormat="1" x14ac:dyDescent="0.15">
      <c r="D41" s="166" t="s">
        <v>229</v>
      </c>
      <c r="E41">
        <v>40</v>
      </c>
      <c r="F41">
        <v>3.21</v>
      </c>
      <c r="G41">
        <v>40</v>
      </c>
      <c r="H41" s="167" t="s">
        <v>229</v>
      </c>
    </row>
    <row r="42" spans="4:8" customFormat="1" x14ac:dyDescent="0.15">
      <c r="D42" s="166" t="s">
        <v>230</v>
      </c>
      <c r="E42">
        <v>41</v>
      </c>
      <c r="F42">
        <v>3.21</v>
      </c>
      <c r="G42">
        <v>41</v>
      </c>
      <c r="H42" s="167" t="s">
        <v>230</v>
      </c>
    </row>
    <row r="43" spans="4:8" customFormat="1" x14ac:dyDescent="0.15">
      <c r="D43" s="166" t="s">
        <v>231</v>
      </c>
      <c r="E43">
        <v>42</v>
      </c>
      <c r="F43">
        <v>3.21</v>
      </c>
      <c r="G43">
        <v>42</v>
      </c>
      <c r="H43" s="167" t="s">
        <v>231</v>
      </c>
    </row>
    <row r="44" spans="4:8" customFormat="1" x14ac:dyDescent="0.15">
      <c r="D44" s="166" t="s">
        <v>232</v>
      </c>
      <c r="E44">
        <v>43</v>
      </c>
      <c r="F44">
        <v>3.11</v>
      </c>
      <c r="G44">
        <v>43</v>
      </c>
      <c r="H44" s="167" t="s">
        <v>232</v>
      </c>
    </row>
    <row r="45" spans="4:8" customFormat="1" x14ac:dyDescent="0.15">
      <c r="D45" s="166" t="s">
        <v>233</v>
      </c>
      <c r="E45">
        <v>44</v>
      </c>
      <c r="F45">
        <v>3.11</v>
      </c>
      <c r="G45">
        <v>44</v>
      </c>
      <c r="H45" s="167" t="s">
        <v>233</v>
      </c>
    </row>
    <row r="46" spans="4:8" customFormat="1" x14ac:dyDescent="0.15">
      <c r="D46" s="166" t="s">
        <v>234</v>
      </c>
      <c r="E46">
        <v>45</v>
      </c>
      <c r="F46">
        <v>3.14</v>
      </c>
      <c r="G46">
        <v>45</v>
      </c>
      <c r="H46" s="167" t="s">
        <v>234</v>
      </c>
    </row>
    <row r="47" spans="4:8" customFormat="1" x14ac:dyDescent="0.15">
      <c r="D47" s="166" t="s">
        <v>235</v>
      </c>
      <c r="E47">
        <v>46</v>
      </c>
      <c r="F47">
        <v>9</v>
      </c>
      <c r="G47">
        <v>46</v>
      </c>
      <c r="H47" s="167" t="s">
        <v>235</v>
      </c>
    </row>
    <row r="48" spans="4:8" customFormat="1" x14ac:dyDescent="0.15">
      <c r="D48" s="166" t="s">
        <v>236</v>
      </c>
      <c r="E48">
        <v>47</v>
      </c>
      <c r="F48">
        <v>2.1</v>
      </c>
      <c r="G48">
        <v>47</v>
      </c>
      <c r="H48" s="167" t="s">
        <v>236</v>
      </c>
    </row>
    <row r="49" spans="4:8" customFormat="1" x14ac:dyDescent="0.15">
      <c r="D49" s="166" t="s">
        <v>237</v>
      </c>
      <c r="E49">
        <v>48</v>
      </c>
      <c r="F49">
        <v>2.2000000000000002</v>
      </c>
      <c r="G49">
        <v>48</v>
      </c>
      <c r="H49" s="167" t="s">
        <v>237</v>
      </c>
    </row>
    <row r="50" spans="4:8" customFormat="1" ht="12" customHeight="1" x14ac:dyDescent="0.15">
      <c r="D50" s="166" t="s">
        <v>238</v>
      </c>
      <c r="E50">
        <v>49</v>
      </c>
      <c r="F50">
        <v>2</v>
      </c>
      <c r="G50">
        <v>49</v>
      </c>
      <c r="H50" s="167" t="s">
        <v>238</v>
      </c>
    </row>
    <row r="51" spans="4:8" customFormat="1" x14ac:dyDescent="0.15">
      <c r="D51" s="166" t="s">
        <v>239</v>
      </c>
      <c r="E51">
        <v>50</v>
      </c>
      <c r="F51">
        <v>4.2</v>
      </c>
      <c r="G51">
        <v>50</v>
      </c>
      <c r="H51" s="167" t="s">
        <v>239</v>
      </c>
    </row>
    <row r="52" spans="4:8" customFormat="1" ht="12" customHeight="1" x14ac:dyDescent="0.15">
      <c r="D52" s="166" t="s">
        <v>240</v>
      </c>
      <c r="E52">
        <v>51</v>
      </c>
      <c r="F52">
        <v>4.0999999999999996</v>
      </c>
      <c r="G52">
        <v>51</v>
      </c>
      <c r="H52" s="167" t="s">
        <v>240</v>
      </c>
    </row>
    <row r="53" spans="4:8" customFormat="1" x14ac:dyDescent="0.15">
      <c r="D53" s="166" t="s">
        <v>241</v>
      </c>
      <c r="E53">
        <v>52</v>
      </c>
      <c r="F53">
        <v>4.3</v>
      </c>
      <c r="G53">
        <v>52</v>
      </c>
      <c r="H53" s="167" t="s">
        <v>241</v>
      </c>
    </row>
    <row r="54" spans="4:8" customFormat="1" ht="12" customHeight="1" x14ac:dyDescent="0.15">
      <c r="D54" s="166" t="s">
        <v>199</v>
      </c>
      <c r="E54">
        <v>53</v>
      </c>
      <c r="F54">
        <v>5</v>
      </c>
      <c r="G54">
        <v>53</v>
      </c>
      <c r="H54" s="167" t="s">
        <v>199</v>
      </c>
    </row>
    <row r="55" spans="4:8" customFormat="1" ht="12" customHeight="1" x14ac:dyDescent="0.15">
      <c r="D55" s="166" t="s">
        <v>200</v>
      </c>
      <c r="E55">
        <v>54</v>
      </c>
      <c r="F55">
        <v>5</v>
      </c>
      <c r="G55">
        <v>54</v>
      </c>
      <c r="H55" s="167" t="s">
        <v>200</v>
      </c>
    </row>
    <row r="56" spans="4:8" customFormat="1" x14ac:dyDescent="0.15">
      <c r="D56" s="166" t="s">
        <v>242</v>
      </c>
      <c r="E56">
        <v>55</v>
      </c>
      <c r="F56">
        <v>5</v>
      </c>
      <c r="G56">
        <v>55</v>
      </c>
      <c r="H56" s="167" t="s">
        <v>242</v>
      </c>
    </row>
    <row r="57" spans="4:8" customFormat="1" x14ac:dyDescent="0.15">
      <c r="D57" s="166" t="s">
        <v>202</v>
      </c>
      <c r="E57">
        <v>56</v>
      </c>
      <c r="F57">
        <v>5</v>
      </c>
      <c r="G57">
        <v>56</v>
      </c>
      <c r="H57" s="167" t="s">
        <v>202</v>
      </c>
    </row>
    <row r="58" spans="4:8" customFormat="1" x14ac:dyDescent="0.15">
      <c r="D58" s="166" t="s">
        <v>203</v>
      </c>
      <c r="E58">
        <v>57</v>
      </c>
      <c r="F58">
        <v>5</v>
      </c>
      <c r="G58">
        <v>57</v>
      </c>
      <c r="H58" s="167" t="s">
        <v>203</v>
      </c>
    </row>
    <row r="59" spans="4:8" customFormat="1" x14ac:dyDescent="0.15">
      <c r="D59" s="166" t="s">
        <v>204</v>
      </c>
      <c r="E59">
        <v>58</v>
      </c>
      <c r="F59">
        <v>5</v>
      </c>
      <c r="G59">
        <v>58</v>
      </c>
      <c r="H59" s="167" t="s">
        <v>204</v>
      </c>
    </row>
    <row r="60" spans="4:8" customFormat="1" x14ac:dyDescent="0.15">
      <c r="D60" s="166" t="s">
        <v>206</v>
      </c>
      <c r="E60">
        <v>59</v>
      </c>
      <c r="F60">
        <v>5</v>
      </c>
      <c r="G60">
        <v>59</v>
      </c>
      <c r="H60" s="167" t="s">
        <v>206</v>
      </c>
    </row>
    <row r="61" spans="4:8" customFormat="1" x14ac:dyDescent="0.15">
      <c r="D61" s="166" t="s">
        <v>207</v>
      </c>
      <c r="E61">
        <v>60</v>
      </c>
      <c r="F61">
        <v>5</v>
      </c>
      <c r="G61">
        <v>60</v>
      </c>
      <c r="H61" s="167" t="s">
        <v>207</v>
      </c>
    </row>
    <row r="62" spans="4:8" customFormat="1" x14ac:dyDescent="0.15">
      <c r="D62" s="166" t="s">
        <v>210</v>
      </c>
      <c r="E62">
        <v>61</v>
      </c>
      <c r="F62">
        <v>5</v>
      </c>
      <c r="G62">
        <v>61</v>
      </c>
      <c r="H62" s="167" t="s">
        <v>210</v>
      </c>
    </row>
    <row r="63" spans="4:8" customFormat="1" x14ac:dyDescent="0.15">
      <c r="D63" s="166" t="s">
        <v>209</v>
      </c>
      <c r="E63">
        <v>62</v>
      </c>
      <c r="F63">
        <v>5</v>
      </c>
      <c r="G63">
        <v>62</v>
      </c>
      <c r="H63" s="167" t="s">
        <v>209</v>
      </c>
    </row>
    <row r="64" spans="4:8" customFormat="1" x14ac:dyDescent="0.15">
      <c r="D64" s="166" t="s">
        <v>211</v>
      </c>
      <c r="E64">
        <v>63</v>
      </c>
      <c r="F64">
        <v>5</v>
      </c>
      <c r="G64">
        <v>63</v>
      </c>
      <c r="H64" s="167" t="s">
        <v>211</v>
      </c>
    </row>
    <row r="65" spans="4:8" customFormat="1" x14ac:dyDescent="0.15">
      <c r="D65" s="166" t="s">
        <v>208</v>
      </c>
      <c r="E65">
        <v>64</v>
      </c>
      <c r="F65">
        <v>5</v>
      </c>
      <c r="G65">
        <v>64</v>
      </c>
      <c r="H65" s="167" t="s">
        <v>208</v>
      </c>
    </row>
    <row r="66" spans="4:8" customFormat="1" x14ac:dyDescent="0.15">
      <c r="D66" s="166" t="s">
        <v>243</v>
      </c>
      <c r="E66">
        <v>65</v>
      </c>
      <c r="F66">
        <v>5</v>
      </c>
      <c r="G66">
        <v>65</v>
      </c>
      <c r="H66" s="167" t="s">
        <v>243</v>
      </c>
    </row>
    <row r="67" spans="4:8" customFormat="1" x14ac:dyDescent="0.15">
      <c r="D67" s="166" t="s">
        <v>216</v>
      </c>
      <c r="E67">
        <v>66</v>
      </c>
      <c r="F67">
        <v>5</v>
      </c>
      <c r="G67">
        <v>66</v>
      </c>
      <c r="H67" s="167" t="s">
        <v>216</v>
      </c>
    </row>
    <row r="68" spans="4:8" customFormat="1" x14ac:dyDescent="0.15">
      <c r="D68" s="166" t="s">
        <v>219</v>
      </c>
      <c r="E68">
        <v>67</v>
      </c>
      <c r="F68">
        <v>5</v>
      </c>
      <c r="G68">
        <v>67</v>
      </c>
      <c r="H68" s="167" t="s">
        <v>219</v>
      </c>
    </row>
    <row r="69" spans="4:8" customFormat="1" x14ac:dyDescent="0.15">
      <c r="D69" s="166" t="s">
        <v>224</v>
      </c>
      <c r="E69">
        <v>68</v>
      </c>
      <c r="F69">
        <v>5</v>
      </c>
      <c r="G69">
        <v>68</v>
      </c>
      <c r="H69" s="167" t="s">
        <v>224</v>
      </c>
    </row>
    <row r="70" spans="4:8" customFormat="1" x14ac:dyDescent="0.15">
      <c r="D70" s="166" t="s">
        <v>218</v>
      </c>
      <c r="E70">
        <v>69</v>
      </c>
      <c r="F70">
        <v>5</v>
      </c>
      <c r="G70">
        <v>69</v>
      </c>
      <c r="H70" s="167" t="s">
        <v>218</v>
      </c>
    </row>
    <row r="71" spans="4:8" customFormat="1" x14ac:dyDescent="0.15">
      <c r="D71" s="166" t="s">
        <v>244</v>
      </c>
      <c r="E71">
        <v>70</v>
      </c>
      <c r="F71">
        <v>5</v>
      </c>
      <c r="G71">
        <v>70</v>
      </c>
      <c r="H71" s="167" t="s">
        <v>244</v>
      </c>
    </row>
    <row r="72" spans="4:8" customFormat="1" x14ac:dyDescent="0.15">
      <c r="D72" s="166" t="s">
        <v>138</v>
      </c>
      <c r="E72">
        <v>71</v>
      </c>
      <c r="F72">
        <v>6.1</v>
      </c>
      <c r="G72">
        <v>71</v>
      </c>
      <c r="H72" s="167" t="s">
        <v>138</v>
      </c>
    </row>
    <row r="73" spans="4:8" customFormat="1" x14ac:dyDescent="0.15">
      <c r="D73" s="166" t="s">
        <v>45</v>
      </c>
      <c r="E73">
        <v>72</v>
      </c>
      <c r="F73">
        <v>6.2</v>
      </c>
      <c r="G73">
        <v>72</v>
      </c>
      <c r="H73" s="167" t="s">
        <v>45</v>
      </c>
    </row>
    <row r="74" spans="4:8" customFormat="1" x14ac:dyDescent="0.15"/>
    <row r="75" spans="4:8" customFormat="1" x14ac:dyDescent="0.15"/>
    <row r="76" spans="4:8" customFormat="1" x14ac:dyDescent="0.15"/>
    <row r="77" spans="4:8" customFormat="1" x14ac:dyDescent="0.15"/>
    <row r="78" spans="4:8" customFormat="1" x14ac:dyDescent="0.15"/>
    <row r="79" spans="4:8" customFormat="1" x14ac:dyDescent="0.15"/>
    <row r="80" spans="4:8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15" style="84" bestFit="1" customWidth="1"/>
    <col min="2" max="2" width="12.83203125" style="83" customWidth="1"/>
    <col min="3" max="3" width="15" style="83" customWidth="1"/>
    <col min="4" max="4" width="8.83203125" style="83" customWidth="1"/>
    <col min="5" max="5" width="12.83203125" style="83" customWidth="1"/>
    <col min="6" max="6" width="37.5" style="83" bestFit="1" customWidth="1"/>
    <col min="7" max="9" width="2.33203125" style="83" customWidth="1"/>
    <col min="10" max="10" width="2.33203125" style="83" bestFit="1" customWidth="1"/>
    <col min="11" max="15" width="2.33203125" style="83" customWidth="1"/>
    <col min="16" max="16" width="2.33203125" style="72" customWidth="1"/>
    <col min="17" max="17" width="2.33203125" style="83" customWidth="1"/>
    <col min="18" max="18" width="2.33203125" style="73" customWidth="1"/>
    <col min="19" max="16384" width="11.5" style="83"/>
  </cols>
  <sheetData>
    <row r="1" spans="1:23" ht="15" customHeight="1" thickBot="1" x14ac:dyDescent="0.2">
      <c r="F1" s="1"/>
      <c r="G1" s="71" t="s">
        <v>46</v>
      </c>
      <c r="H1" s="71" t="s">
        <v>47</v>
      </c>
      <c r="I1" s="71" t="s">
        <v>120</v>
      </c>
      <c r="J1" s="71" t="s">
        <v>132</v>
      </c>
      <c r="K1" s="85" t="s">
        <v>48</v>
      </c>
      <c r="L1" s="73"/>
      <c r="M1" s="85" t="s">
        <v>119</v>
      </c>
      <c r="N1" s="73"/>
      <c r="O1" s="85" t="s">
        <v>49</v>
      </c>
      <c r="P1" s="76"/>
      <c r="Q1" s="85" t="s">
        <v>50</v>
      </c>
      <c r="R1" s="71" t="s">
        <v>154</v>
      </c>
    </row>
    <row r="2" spans="1:23" ht="15" customHeight="1" x14ac:dyDescent="0.15">
      <c r="A2" s="85" t="s">
        <v>51</v>
      </c>
      <c r="B2" s="86">
        <v>0.5</v>
      </c>
      <c r="C2" s="84" t="s">
        <v>52</v>
      </c>
      <c r="D2" s="87"/>
      <c r="F2" s="1"/>
      <c r="G2" s="88"/>
      <c r="H2" s="88"/>
      <c r="I2" s="88" t="s">
        <v>133</v>
      </c>
      <c r="J2" s="88" t="s">
        <v>133</v>
      </c>
      <c r="K2" s="88" t="s">
        <v>52</v>
      </c>
      <c r="L2" s="88" t="s">
        <v>53</v>
      </c>
      <c r="M2" s="88" t="s">
        <v>52</v>
      </c>
      <c r="N2" s="88" t="s">
        <v>53</v>
      </c>
      <c r="O2" s="88" t="s">
        <v>52</v>
      </c>
      <c r="P2" s="89" t="s">
        <v>53</v>
      </c>
      <c r="Q2" s="88"/>
      <c r="R2" s="90" t="s">
        <v>155</v>
      </c>
    </row>
    <row r="3" spans="1:23" ht="15" customHeight="1" thickBot="1" x14ac:dyDescent="0.2">
      <c r="A3" s="85" t="s">
        <v>54</v>
      </c>
      <c r="B3" s="91">
        <v>0.5</v>
      </c>
      <c r="C3" s="84" t="s">
        <v>53</v>
      </c>
      <c r="D3" s="87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8">
        <v>0</v>
      </c>
      <c r="R3" s="38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8">
        <v>0</v>
      </c>
      <c r="R4" s="112">
        <v>0</v>
      </c>
    </row>
    <row r="5" spans="1:23" ht="15" customHeight="1" x14ac:dyDescent="0.15">
      <c r="A5" s="85" t="s">
        <v>55</v>
      </c>
      <c r="B5" s="92">
        <v>0.5</v>
      </c>
      <c r="C5" s="84" t="s">
        <v>52</v>
      </c>
      <c r="D5" s="87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8">
        <v>0</v>
      </c>
      <c r="R5" s="112">
        <v>0</v>
      </c>
    </row>
    <row r="6" spans="1:23" ht="15" customHeight="1" thickBot="1" x14ac:dyDescent="0.2">
      <c r="A6" s="85"/>
      <c r="B6" s="93">
        <v>0.5</v>
      </c>
      <c r="C6" s="84" t="s">
        <v>53</v>
      </c>
      <c r="D6" s="87"/>
      <c r="F6" s="168" t="s">
        <v>193</v>
      </c>
      <c r="G6" s="83">
        <v>0</v>
      </c>
      <c r="H6" s="83">
        <v>0</v>
      </c>
      <c r="I6" s="83">
        <v>0</v>
      </c>
      <c r="J6" s="83">
        <v>0</v>
      </c>
      <c r="K6" s="83">
        <v>1</v>
      </c>
      <c r="L6" s="83">
        <v>0</v>
      </c>
      <c r="M6" s="83">
        <v>1</v>
      </c>
      <c r="N6" s="83">
        <v>0</v>
      </c>
      <c r="O6" s="83">
        <v>1</v>
      </c>
      <c r="P6" s="72">
        <v>0</v>
      </c>
      <c r="Q6" s="83">
        <v>0</v>
      </c>
      <c r="R6" s="73">
        <v>1</v>
      </c>
      <c r="S6"/>
      <c r="T6"/>
    </row>
    <row r="7" spans="1:23" ht="15" customHeight="1" thickBot="1" x14ac:dyDescent="0.2">
      <c r="F7" s="168" t="s">
        <v>194</v>
      </c>
      <c r="G7" s="83">
        <v>0</v>
      </c>
      <c r="H7" s="83">
        <v>0</v>
      </c>
      <c r="I7" s="83">
        <v>0</v>
      </c>
      <c r="J7" s="83">
        <v>0</v>
      </c>
      <c r="K7" s="83">
        <v>1</v>
      </c>
      <c r="L7" s="83">
        <v>0</v>
      </c>
      <c r="M7" s="83">
        <v>1</v>
      </c>
      <c r="N7" s="83">
        <v>0</v>
      </c>
      <c r="O7" s="83">
        <v>1</v>
      </c>
      <c r="P7" s="72">
        <v>0</v>
      </c>
      <c r="Q7" s="83">
        <v>0</v>
      </c>
      <c r="R7" s="73">
        <v>1</v>
      </c>
      <c r="S7"/>
      <c r="T7"/>
    </row>
    <row r="8" spans="1:23" ht="15" customHeight="1" x14ac:dyDescent="0.15">
      <c r="A8" s="85" t="s">
        <v>56</v>
      </c>
      <c r="B8" s="92">
        <v>0.55026781686008053</v>
      </c>
      <c r="C8" s="169" t="s">
        <v>236</v>
      </c>
      <c r="D8" s="87" t="s">
        <v>160</v>
      </c>
      <c r="F8" s="168" t="s">
        <v>195</v>
      </c>
      <c r="G8" s="83">
        <v>0</v>
      </c>
      <c r="H8" s="83">
        <v>0</v>
      </c>
      <c r="I8" s="83">
        <v>0</v>
      </c>
      <c r="J8" s="83">
        <v>0</v>
      </c>
      <c r="K8" s="83">
        <v>1</v>
      </c>
      <c r="L8" s="83">
        <v>0</v>
      </c>
      <c r="M8" s="83">
        <v>1</v>
      </c>
      <c r="N8" s="83">
        <v>0</v>
      </c>
      <c r="O8" s="83">
        <v>1</v>
      </c>
      <c r="P8" s="72">
        <v>0</v>
      </c>
      <c r="Q8" s="83">
        <v>0</v>
      </c>
      <c r="R8" s="73">
        <v>1</v>
      </c>
      <c r="S8"/>
      <c r="T8"/>
      <c r="W8"/>
    </row>
    <row r="9" spans="1:23" ht="15" customHeight="1" x14ac:dyDescent="0.15">
      <c r="A9" s="126" t="s">
        <v>168</v>
      </c>
      <c r="B9" s="94">
        <v>0.44834524411241472</v>
      </c>
      <c r="C9" s="169" t="s">
        <v>237</v>
      </c>
      <c r="D9" s="87" t="s">
        <v>160</v>
      </c>
      <c r="F9" s="168" t="s">
        <v>196</v>
      </c>
      <c r="G9" s="83">
        <v>0</v>
      </c>
      <c r="H9" s="83">
        <v>0</v>
      </c>
      <c r="I9" s="83">
        <v>0</v>
      </c>
      <c r="J9" s="83">
        <v>0</v>
      </c>
      <c r="K9" s="83">
        <v>1</v>
      </c>
      <c r="L9" s="83">
        <v>0</v>
      </c>
      <c r="M9" s="83">
        <v>1</v>
      </c>
      <c r="N9" s="83">
        <v>0</v>
      </c>
      <c r="O9" s="83">
        <v>1</v>
      </c>
      <c r="P9" s="72">
        <v>0</v>
      </c>
      <c r="Q9" s="83">
        <v>0</v>
      </c>
      <c r="R9" s="73">
        <v>1</v>
      </c>
      <c r="S9"/>
      <c r="T9"/>
      <c r="W9"/>
    </row>
    <row r="10" spans="1:23" ht="15" customHeight="1" x14ac:dyDescent="0.15">
      <c r="B10" s="94">
        <v>1.3869390275047164E-3</v>
      </c>
      <c r="C10" s="169" t="s">
        <v>238</v>
      </c>
      <c r="D10" s="87" t="s">
        <v>160</v>
      </c>
      <c r="F10" s="168" t="s">
        <v>197</v>
      </c>
      <c r="G10" s="83">
        <v>0</v>
      </c>
      <c r="H10" s="83">
        <v>0</v>
      </c>
      <c r="I10" s="83">
        <v>0</v>
      </c>
      <c r="J10" s="83">
        <v>0</v>
      </c>
      <c r="K10" s="83">
        <v>1</v>
      </c>
      <c r="L10" s="83">
        <v>0</v>
      </c>
      <c r="M10" s="83">
        <v>1</v>
      </c>
      <c r="N10" s="83">
        <v>0</v>
      </c>
      <c r="O10" s="83">
        <v>1</v>
      </c>
      <c r="P10" s="72">
        <v>0</v>
      </c>
      <c r="Q10" s="83">
        <v>0</v>
      </c>
      <c r="R10" s="73">
        <v>1</v>
      </c>
      <c r="S10"/>
      <c r="T10"/>
      <c r="W10"/>
    </row>
    <row r="11" spans="1:23" ht="15" customHeight="1" x14ac:dyDescent="0.15">
      <c r="A11" s="85"/>
      <c r="B11" s="94"/>
      <c r="C11" s="97"/>
      <c r="D11" s="87" t="s">
        <v>160</v>
      </c>
      <c r="F11" s="168" t="s">
        <v>198</v>
      </c>
      <c r="G11" s="83">
        <v>0</v>
      </c>
      <c r="H11" s="83">
        <v>0</v>
      </c>
      <c r="I11" s="83">
        <v>0</v>
      </c>
      <c r="J11" s="83">
        <v>0</v>
      </c>
      <c r="K11" s="83">
        <v>1</v>
      </c>
      <c r="L11" s="83">
        <v>0</v>
      </c>
      <c r="M11" s="83">
        <v>1</v>
      </c>
      <c r="N11" s="83">
        <v>0</v>
      </c>
      <c r="O11" s="83">
        <v>1</v>
      </c>
      <c r="P11" s="72">
        <v>0</v>
      </c>
      <c r="Q11" s="83">
        <v>0</v>
      </c>
      <c r="R11" s="73">
        <v>1</v>
      </c>
      <c r="S11"/>
      <c r="T11"/>
      <c r="W11"/>
    </row>
    <row r="12" spans="1:23" ht="15" customHeight="1" x14ac:dyDescent="0.15">
      <c r="B12" s="94"/>
      <c r="C12" s="98"/>
      <c r="D12" s="87" t="s">
        <v>160</v>
      </c>
      <c r="F12" s="168" t="s">
        <v>199</v>
      </c>
      <c r="G12" s="83">
        <v>0</v>
      </c>
      <c r="H12" s="83">
        <v>0</v>
      </c>
      <c r="I12" s="83">
        <v>0</v>
      </c>
      <c r="J12" s="83">
        <v>0</v>
      </c>
      <c r="K12" s="83">
        <v>1</v>
      </c>
      <c r="L12" s="83">
        <v>0</v>
      </c>
      <c r="M12" s="83">
        <v>1</v>
      </c>
      <c r="N12" s="83">
        <v>0</v>
      </c>
      <c r="O12" s="83">
        <v>1</v>
      </c>
      <c r="P12" s="72">
        <v>0</v>
      </c>
      <c r="Q12" s="83">
        <v>0</v>
      </c>
      <c r="R12" s="73">
        <v>1</v>
      </c>
      <c r="S12"/>
      <c r="T12"/>
      <c r="W12"/>
    </row>
    <row r="13" spans="1:23" ht="15" customHeight="1" x14ac:dyDescent="0.15">
      <c r="B13" s="94"/>
      <c r="C13" s="98"/>
      <c r="D13" s="87" t="s">
        <v>160</v>
      </c>
      <c r="F13" s="168" t="s">
        <v>200</v>
      </c>
      <c r="G13" s="83">
        <v>0</v>
      </c>
      <c r="H13" s="83">
        <v>0</v>
      </c>
      <c r="I13" s="83">
        <v>0</v>
      </c>
      <c r="J13" s="83">
        <v>0</v>
      </c>
      <c r="K13" s="83">
        <v>1</v>
      </c>
      <c r="L13" s="83">
        <v>0</v>
      </c>
      <c r="M13" s="83">
        <v>1</v>
      </c>
      <c r="N13" s="83">
        <v>0</v>
      </c>
      <c r="O13" s="83">
        <v>1</v>
      </c>
      <c r="P13" s="72">
        <v>0</v>
      </c>
      <c r="Q13" s="83">
        <v>0</v>
      </c>
      <c r="R13" s="73">
        <v>1</v>
      </c>
      <c r="S13"/>
      <c r="T13"/>
      <c r="W13"/>
    </row>
    <row r="14" spans="1:23" ht="15" customHeight="1" x14ac:dyDescent="0.15">
      <c r="B14" s="94"/>
      <c r="C14" s="82"/>
      <c r="D14" s="87" t="s">
        <v>160</v>
      </c>
      <c r="F14" s="168" t="s">
        <v>201</v>
      </c>
      <c r="G14" s="83">
        <v>0</v>
      </c>
      <c r="H14" s="83">
        <v>0</v>
      </c>
      <c r="I14" s="83">
        <v>0</v>
      </c>
      <c r="J14" s="83">
        <v>0</v>
      </c>
      <c r="K14" s="83">
        <v>1</v>
      </c>
      <c r="L14" s="83">
        <v>0</v>
      </c>
      <c r="M14" s="83">
        <v>1</v>
      </c>
      <c r="N14" s="83">
        <v>0</v>
      </c>
      <c r="O14" s="83">
        <v>1</v>
      </c>
      <c r="P14" s="72">
        <v>0</v>
      </c>
      <c r="Q14" s="83">
        <v>0</v>
      </c>
      <c r="R14" s="73">
        <v>1</v>
      </c>
      <c r="S14"/>
      <c r="T14"/>
      <c r="W14"/>
    </row>
    <row r="15" spans="1:23" ht="15" customHeight="1" x14ac:dyDescent="0.15">
      <c r="B15" s="94"/>
      <c r="C15" s="82"/>
      <c r="D15" s="87" t="s">
        <v>160</v>
      </c>
      <c r="F15" s="168" t="s">
        <v>202</v>
      </c>
      <c r="G15" s="83">
        <v>0</v>
      </c>
      <c r="H15" s="83">
        <v>0</v>
      </c>
      <c r="I15" s="83">
        <v>0</v>
      </c>
      <c r="J15" s="83">
        <v>0</v>
      </c>
      <c r="K15" s="83">
        <v>1</v>
      </c>
      <c r="L15" s="83">
        <v>0</v>
      </c>
      <c r="M15" s="83">
        <v>1</v>
      </c>
      <c r="N15" s="83">
        <v>0</v>
      </c>
      <c r="O15" s="83">
        <v>1</v>
      </c>
      <c r="P15" s="72">
        <v>0</v>
      </c>
      <c r="Q15" s="83">
        <v>0</v>
      </c>
      <c r="R15" s="73">
        <v>1</v>
      </c>
      <c r="S15"/>
      <c r="T15"/>
      <c r="W15"/>
    </row>
    <row r="16" spans="1:23" ht="15" customHeight="1" x14ac:dyDescent="0.15">
      <c r="B16" s="94"/>
      <c r="C16" s="82"/>
      <c r="D16" s="87" t="s">
        <v>160</v>
      </c>
      <c r="F16" s="168" t="s">
        <v>203</v>
      </c>
      <c r="G16" s="83">
        <v>0</v>
      </c>
      <c r="H16" s="83">
        <v>0</v>
      </c>
      <c r="I16" s="83">
        <v>0</v>
      </c>
      <c r="J16" s="83">
        <v>0</v>
      </c>
      <c r="K16" s="83">
        <v>1</v>
      </c>
      <c r="L16" s="83">
        <v>0</v>
      </c>
      <c r="M16" s="83">
        <v>1</v>
      </c>
      <c r="N16" s="83">
        <v>0</v>
      </c>
      <c r="O16" s="83">
        <v>1</v>
      </c>
      <c r="P16" s="72">
        <v>0</v>
      </c>
      <c r="Q16" s="83">
        <v>0</v>
      </c>
      <c r="R16" s="73">
        <v>1</v>
      </c>
      <c r="S16"/>
      <c r="T16"/>
    </row>
    <row r="17" spans="1:20" ht="15" customHeight="1" thickBot="1" x14ac:dyDescent="0.2">
      <c r="B17" s="93"/>
      <c r="C17" s="82"/>
      <c r="D17" s="87" t="s">
        <v>160</v>
      </c>
      <c r="F17" s="168" t="s">
        <v>204</v>
      </c>
      <c r="G17" s="83">
        <v>0</v>
      </c>
      <c r="H17" s="83">
        <v>0</v>
      </c>
      <c r="I17" s="83">
        <v>0</v>
      </c>
      <c r="J17" s="83">
        <v>0</v>
      </c>
      <c r="K17" s="83">
        <v>1</v>
      </c>
      <c r="L17" s="83">
        <v>0</v>
      </c>
      <c r="M17" s="83">
        <v>1</v>
      </c>
      <c r="N17" s="83">
        <v>0</v>
      </c>
      <c r="O17" s="83">
        <v>1</v>
      </c>
      <c r="P17" s="72">
        <v>0</v>
      </c>
      <c r="Q17" s="83">
        <v>0</v>
      </c>
      <c r="R17" s="73">
        <v>1</v>
      </c>
      <c r="S17"/>
      <c r="T17"/>
    </row>
    <row r="18" spans="1:20" ht="15" customHeight="1" thickBot="1" x14ac:dyDescent="0.2">
      <c r="B18" s="95"/>
      <c r="F18" s="168" t="s">
        <v>205</v>
      </c>
      <c r="G18" s="83">
        <v>0</v>
      </c>
      <c r="H18" s="83">
        <v>0</v>
      </c>
      <c r="I18" s="83">
        <v>0</v>
      </c>
      <c r="J18" s="83">
        <v>0</v>
      </c>
      <c r="K18" s="83">
        <v>1</v>
      </c>
      <c r="L18" s="83">
        <v>0</v>
      </c>
      <c r="M18" s="83">
        <v>1</v>
      </c>
      <c r="N18" s="83">
        <v>0</v>
      </c>
      <c r="O18" s="83">
        <v>1</v>
      </c>
      <c r="P18" s="72">
        <v>0</v>
      </c>
      <c r="Q18" s="83">
        <v>0</v>
      </c>
      <c r="R18" s="73">
        <v>1</v>
      </c>
      <c r="S18"/>
      <c r="T18"/>
    </row>
    <row r="19" spans="1:20" ht="15" customHeight="1" x14ac:dyDescent="0.15">
      <c r="A19" s="85" t="s">
        <v>57</v>
      </c>
      <c r="B19" s="92">
        <v>0.55026781686008053</v>
      </c>
      <c r="C19" s="170" t="s">
        <v>236</v>
      </c>
      <c r="D19" s="87" t="s">
        <v>160</v>
      </c>
      <c r="F19" s="168" t="s">
        <v>206</v>
      </c>
      <c r="G19" s="83">
        <v>0</v>
      </c>
      <c r="H19" s="83">
        <v>0</v>
      </c>
      <c r="I19" s="83">
        <v>0</v>
      </c>
      <c r="J19" s="83">
        <v>0</v>
      </c>
      <c r="K19" s="83">
        <v>1</v>
      </c>
      <c r="L19" s="83">
        <v>0</v>
      </c>
      <c r="M19" s="83">
        <v>1</v>
      </c>
      <c r="N19" s="83">
        <v>0</v>
      </c>
      <c r="O19" s="83">
        <v>1</v>
      </c>
      <c r="P19" s="72">
        <v>0</v>
      </c>
      <c r="Q19" s="83">
        <v>0</v>
      </c>
      <c r="R19" s="73">
        <v>1</v>
      </c>
      <c r="S19"/>
      <c r="T19"/>
    </row>
    <row r="20" spans="1:20" ht="15" customHeight="1" x14ac:dyDescent="0.15">
      <c r="A20" s="126" t="s">
        <v>168</v>
      </c>
      <c r="B20" s="94">
        <v>0.44834524411241472</v>
      </c>
      <c r="C20" s="170" t="s">
        <v>237</v>
      </c>
      <c r="D20" s="87" t="s">
        <v>160</v>
      </c>
      <c r="F20" s="168" t="s">
        <v>207</v>
      </c>
      <c r="G20" s="83">
        <v>0</v>
      </c>
      <c r="H20" s="83">
        <v>0</v>
      </c>
      <c r="I20" s="83">
        <v>0</v>
      </c>
      <c r="J20" s="83">
        <v>0</v>
      </c>
      <c r="K20" s="83">
        <v>1</v>
      </c>
      <c r="L20" s="83">
        <v>0</v>
      </c>
      <c r="M20" s="83">
        <v>1</v>
      </c>
      <c r="N20" s="83">
        <v>0</v>
      </c>
      <c r="O20" s="83">
        <v>1</v>
      </c>
      <c r="P20" s="72">
        <v>0</v>
      </c>
      <c r="Q20" s="83">
        <v>0</v>
      </c>
      <c r="R20" s="73">
        <v>1</v>
      </c>
      <c r="S20"/>
      <c r="T20"/>
    </row>
    <row r="21" spans="1:20" ht="15" customHeight="1" x14ac:dyDescent="0.15">
      <c r="B21" s="94">
        <v>1.3869390275047164E-3</v>
      </c>
      <c r="C21" s="170" t="s">
        <v>238</v>
      </c>
      <c r="D21" s="87" t="s">
        <v>160</v>
      </c>
      <c r="F21" s="168" t="s">
        <v>208</v>
      </c>
      <c r="G21" s="83">
        <v>0</v>
      </c>
      <c r="H21" s="83">
        <v>0</v>
      </c>
      <c r="I21" s="83">
        <v>0</v>
      </c>
      <c r="J21" s="83">
        <v>0</v>
      </c>
      <c r="K21" s="83">
        <v>1</v>
      </c>
      <c r="L21" s="83">
        <v>0</v>
      </c>
      <c r="M21" s="83">
        <v>1</v>
      </c>
      <c r="N21" s="83">
        <v>0</v>
      </c>
      <c r="O21" s="83">
        <v>1</v>
      </c>
      <c r="P21" s="72">
        <v>0</v>
      </c>
      <c r="Q21" s="83">
        <v>0</v>
      </c>
      <c r="R21" s="73">
        <v>1</v>
      </c>
      <c r="S21"/>
      <c r="T21"/>
    </row>
    <row r="22" spans="1:20" ht="15" customHeight="1" x14ac:dyDescent="0.15">
      <c r="A22" s="83"/>
      <c r="B22" s="94"/>
      <c r="C22" s="97"/>
      <c r="D22" s="87" t="s">
        <v>160</v>
      </c>
      <c r="F22" s="168" t="s">
        <v>209</v>
      </c>
      <c r="G22" s="83">
        <v>0</v>
      </c>
      <c r="H22" s="83">
        <v>0</v>
      </c>
      <c r="I22" s="83">
        <v>0</v>
      </c>
      <c r="J22" s="83">
        <v>0</v>
      </c>
      <c r="K22" s="83">
        <v>1</v>
      </c>
      <c r="L22" s="83">
        <v>0</v>
      </c>
      <c r="M22" s="83">
        <v>1</v>
      </c>
      <c r="N22" s="83">
        <v>0</v>
      </c>
      <c r="O22" s="83">
        <v>1</v>
      </c>
      <c r="P22" s="72">
        <v>0</v>
      </c>
      <c r="Q22" s="83">
        <v>0</v>
      </c>
      <c r="R22" s="73">
        <v>1</v>
      </c>
      <c r="S22"/>
      <c r="T22"/>
    </row>
    <row r="23" spans="1:20" ht="15" customHeight="1" x14ac:dyDescent="0.15">
      <c r="A23" s="83"/>
      <c r="B23" s="94"/>
      <c r="C23" s="98"/>
      <c r="D23" s="87" t="s">
        <v>160</v>
      </c>
      <c r="F23" s="168" t="s">
        <v>210</v>
      </c>
      <c r="G23" s="83">
        <v>0</v>
      </c>
      <c r="H23" s="83">
        <v>0</v>
      </c>
      <c r="I23" s="83">
        <v>0</v>
      </c>
      <c r="J23" s="83">
        <v>0</v>
      </c>
      <c r="K23" s="83">
        <v>1</v>
      </c>
      <c r="L23" s="83">
        <v>0</v>
      </c>
      <c r="M23" s="83">
        <v>1</v>
      </c>
      <c r="N23" s="83">
        <v>0</v>
      </c>
      <c r="O23" s="83">
        <v>1</v>
      </c>
      <c r="P23" s="72">
        <v>0</v>
      </c>
      <c r="Q23" s="83">
        <v>0</v>
      </c>
      <c r="R23" s="73">
        <v>1</v>
      </c>
      <c r="S23"/>
      <c r="T23"/>
    </row>
    <row r="24" spans="1:20" ht="15" customHeight="1" x14ac:dyDescent="0.15">
      <c r="A24" s="83"/>
      <c r="B24" s="94"/>
      <c r="C24" s="98"/>
      <c r="D24" s="87" t="s">
        <v>160</v>
      </c>
      <c r="F24" s="168" t="s">
        <v>211</v>
      </c>
      <c r="G24" s="83">
        <v>0</v>
      </c>
      <c r="H24" s="83">
        <v>0</v>
      </c>
      <c r="I24" s="83">
        <v>0</v>
      </c>
      <c r="J24" s="83">
        <v>0</v>
      </c>
      <c r="K24" s="83">
        <v>1</v>
      </c>
      <c r="L24" s="83">
        <v>0</v>
      </c>
      <c r="M24" s="83">
        <v>1</v>
      </c>
      <c r="N24" s="83">
        <v>0</v>
      </c>
      <c r="O24" s="83">
        <v>1</v>
      </c>
      <c r="P24" s="72">
        <v>0</v>
      </c>
      <c r="Q24" s="83">
        <v>0</v>
      </c>
      <c r="R24" s="73">
        <v>1</v>
      </c>
      <c r="S24"/>
      <c r="T24"/>
    </row>
    <row r="25" spans="1:20" ht="15" customHeight="1" x14ac:dyDescent="0.15">
      <c r="A25" s="83"/>
      <c r="B25" s="94"/>
      <c r="C25" s="82"/>
      <c r="D25" s="87" t="s">
        <v>160</v>
      </c>
      <c r="F25" s="168" t="s">
        <v>212</v>
      </c>
      <c r="G25" s="83">
        <v>0</v>
      </c>
      <c r="H25" s="83">
        <v>0</v>
      </c>
      <c r="I25" s="83">
        <v>0</v>
      </c>
      <c r="J25" s="83">
        <v>0</v>
      </c>
      <c r="K25" s="83">
        <v>1</v>
      </c>
      <c r="L25" s="83">
        <v>0</v>
      </c>
      <c r="M25" s="83">
        <v>1</v>
      </c>
      <c r="N25" s="83">
        <v>0</v>
      </c>
      <c r="O25" s="83">
        <v>1</v>
      </c>
      <c r="P25" s="72">
        <v>0</v>
      </c>
      <c r="Q25" s="83">
        <v>0</v>
      </c>
      <c r="R25" s="73">
        <v>1</v>
      </c>
      <c r="S25"/>
      <c r="T25"/>
    </row>
    <row r="26" spans="1:20" ht="15" customHeight="1" x14ac:dyDescent="0.15">
      <c r="B26" s="94"/>
      <c r="C26" s="82"/>
      <c r="D26" s="87" t="s">
        <v>160</v>
      </c>
      <c r="F26" s="168" t="s">
        <v>213</v>
      </c>
      <c r="G26" s="83">
        <v>0</v>
      </c>
      <c r="H26" s="83">
        <v>0</v>
      </c>
      <c r="I26" s="83">
        <v>0</v>
      </c>
      <c r="J26" s="83">
        <v>0</v>
      </c>
      <c r="K26" s="83">
        <v>1</v>
      </c>
      <c r="L26" s="83">
        <v>0</v>
      </c>
      <c r="M26" s="83">
        <v>1</v>
      </c>
      <c r="N26" s="83">
        <v>0</v>
      </c>
      <c r="O26" s="83">
        <v>1</v>
      </c>
      <c r="P26" s="72">
        <v>0</v>
      </c>
      <c r="Q26" s="83">
        <v>0</v>
      </c>
      <c r="R26" s="73">
        <v>1</v>
      </c>
      <c r="S26"/>
      <c r="T26"/>
    </row>
    <row r="27" spans="1:20" ht="15" customHeight="1" x14ac:dyDescent="0.15">
      <c r="B27" s="94"/>
      <c r="C27" s="82"/>
      <c r="D27" s="87" t="s">
        <v>160</v>
      </c>
      <c r="F27" s="168" t="s">
        <v>214</v>
      </c>
      <c r="G27" s="83">
        <v>0</v>
      </c>
      <c r="H27" s="83">
        <v>0</v>
      </c>
      <c r="I27" s="83">
        <v>0</v>
      </c>
      <c r="J27" s="83">
        <v>0</v>
      </c>
      <c r="K27" s="83">
        <v>1</v>
      </c>
      <c r="L27" s="83">
        <v>0</v>
      </c>
      <c r="M27" s="83">
        <v>1</v>
      </c>
      <c r="N27" s="83">
        <v>0</v>
      </c>
      <c r="O27" s="83">
        <v>1</v>
      </c>
      <c r="P27" s="72">
        <v>0</v>
      </c>
      <c r="Q27" s="83">
        <v>0</v>
      </c>
      <c r="R27" s="73">
        <v>1</v>
      </c>
      <c r="S27"/>
      <c r="T27"/>
    </row>
    <row r="28" spans="1:20" ht="15" customHeight="1" thickBot="1" x14ac:dyDescent="0.2">
      <c r="B28" s="93"/>
      <c r="C28" s="82"/>
      <c r="D28" s="87" t="s">
        <v>160</v>
      </c>
      <c r="F28" s="168" t="s">
        <v>215</v>
      </c>
      <c r="G28" s="83">
        <v>0</v>
      </c>
      <c r="H28" s="83">
        <v>0</v>
      </c>
      <c r="I28" s="83">
        <v>0</v>
      </c>
      <c r="J28" s="83">
        <v>0</v>
      </c>
      <c r="K28" s="83">
        <v>1</v>
      </c>
      <c r="L28" s="83">
        <v>0</v>
      </c>
      <c r="M28" s="83">
        <v>1</v>
      </c>
      <c r="N28" s="83">
        <v>0</v>
      </c>
      <c r="O28" s="83">
        <v>1</v>
      </c>
      <c r="P28" s="72">
        <v>0</v>
      </c>
      <c r="Q28" s="83">
        <v>0</v>
      </c>
      <c r="R28" s="73">
        <v>1</v>
      </c>
      <c r="S28"/>
      <c r="T28"/>
    </row>
    <row r="29" spans="1:20" ht="15" customHeight="1" x14ac:dyDescent="0.15">
      <c r="F29" s="168" t="s">
        <v>216</v>
      </c>
      <c r="G29" s="83">
        <v>0</v>
      </c>
      <c r="H29" s="83">
        <v>0</v>
      </c>
      <c r="I29" s="83">
        <v>0</v>
      </c>
      <c r="J29" s="83">
        <v>0</v>
      </c>
      <c r="K29" s="83">
        <v>1</v>
      </c>
      <c r="L29" s="83">
        <v>0</v>
      </c>
      <c r="M29" s="83">
        <v>1</v>
      </c>
      <c r="N29" s="83">
        <v>0</v>
      </c>
      <c r="O29" s="83">
        <v>1</v>
      </c>
      <c r="P29" s="72">
        <v>0</v>
      </c>
      <c r="Q29" s="83">
        <v>0</v>
      </c>
      <c r="R29" s="73">
        <v>1</v>
      </c>
      <c r="S29"/>
      <c r="T29"/>
    </row>
    <row r="30" spans="1:20" ht="15" customHeight="1" x14ac:dyDescent="0.15">
      <c r="F30" s="168" t="s">
        <v>217</v>
      </c>
      <c r="G30" s="83">
        <v>0</v>
      </c>
      <c r="H30" s="83">
        <v>0</v>
      </c>
      <c r="I30" s="83">
        <v>0</v>
      </c>
      <c r="J30" s="83">
        <v>0</v>
      </c>
      <c r="K30" s="83">
        <v>1</v>
      </c>
      <c r="L30" s="83">
        <v>0</v>
      </c>
      <c r="M30" s="83">
        <v>1</v>
      </c>
      <c r="N30" s="83">
        <v>0</v>
      </c>
      <c r="O30" s="83">
        <v>1</v>
      </c>
      <c r="P30" s="72">
        <v>0</v>
      </c>
      <c r="Q30" s="83">
        <v>0</v>
      </c>
      <c r="R30" s="73">
        <v>1</v>
      </c>
      <c r="S30"/>
      <c r="T30"/>
    </row>
    <row r="31" spans="1:20" ht="15" customHeight="1" x14ac:dyDescent="0.15">
      <c r="A31" s="127"/>
      <c r="B31" s="136" t="s">
        <v>17</v>
      </c>
      <c r="C31" s="136" t="s">
        <v>1</v>
      </c>
      <c r="D31" s="136" t="s">
        <v>161</v>
      </c>
      <c r="E31" s="137" t="s">
        <v>163</v>
      </c>
      <c r="F31" s="168" t="s">
        <v>218</v>
      </c>
      <c r="G31" s="83">
        <v>0</v>
      </c>
      <c r="H31" s="83">
        <v>0</v>
      </c>
      <c r="I31" s="83">
        <v>0</v>
      </c>
      <c r="J31" s="83">
        <v>0</v>
      </c>
      <c r="K31" s="83">
        <v>1</v>
      </c>
      <c r="L31" s="83">
        <v>0</v>
      </c>
      <c r="M31" s="83">
        <v>1</v>
      </c>
      <c r="N31" s="83">
        <v>0</v>
      </c>
      <c r="O31" s="83">
        <v>1</v>
      </c>
      <c r="P31" s="72">
        <v>0</v>
      </c>
      <c r="Q31" s="83">
        <v>0</v>
      </c>
      <c r="R31" s="73">
        <v>1</v>
      </c>
      <c r="S31"/>
      <c r="T31"/>
    </row>
    <row r="32" spans="1:20" ht="15" customHeight="1" x14ac:dyDescent="0.15">
      <c r="A32" s="171" t="s">
        <v>236</v>
      </c>
      <c r="B32" s="95">
        <v>9.5419999999999998</v>
      </c>
      <c r="C32" s="95">
        <v>119</v>
      </c>
      <c r="D32" s="95">
        <v>1135.498</v>
      </c>
      <c r="E32" s="128">
        <v>0.55026781686008053</v>
      </c>
      <c r="F32" s="168" t="s">
        <v>219</v>
      </c>
      <c r="G32" s="83">
        <v>0</v>
      </c>
      <c r="H32" s="83">
        <v>0</v>
      </c>
      <c r="I32" s="83">
        <v>0</v>
      </c>
      <c r="J32" s="83">
        <v>0</v>
      </c>
      <c r="K32" s="83">
        <v>1</v>
      </c>
      <c r="L32" s="83">
        <v>0</v>
      </c>
      <c r="M32" s="83">
        <v>1</v>
      </c>
      <c r="N32" s="83">
        <v>0</v>
      </c>
      <c r="O32" s="83">
        <v>1</v>
      </c>
      <c r="P32" s="72">
        <v>0</v>
      </c>
      <c r="Q32" s="83">
        <v>0</v>
      </c>
      <c r="R32" s="73">
        <v>1</v>
      </c>
      <c r="S32"/>
      <c r="T32"/>
    </row>
    <row r="33" spans="1:20" ht="15" customHeight="1" x14ac:dyDescent="0.15">
      <c r="A33" s="171" t="s">
        <v>237</v>
      </c>
      <c r="B33" s="95">
        <v>6.1269999999999998</v>
      </c>
      <c r="C33" s="95">
        <v>151</v>
      </c>
      <c r="D33" s="95">
        <v>925.17700000000002</v>
      </c>
      <c r="E33" s="128">
        <v>0.44834524411241472</v>
      </c>
      <c r="F33" s="168" t="s">
        <v>220</v>
      </c>
      <c r="G33" s="83">
        <v>0</v>
      </c>
      <c r="H33" s="83">
        <v>0</v>
      </c>
      <c r="I33" s="83">
        <v>0</v>
      </c>
      <c r="J33" s="83">
        <v>0</v>
      </c>
      <c r="K33" s="83">
        <v>1</v>
      </c>
      <c r="L33" s="83">
        <v>0</v>
      </c>
      <c r="M33" s="83">
        <v>1</v>
      </c>
      <c r="N33" s="83">
        <v>0</v>
      </c>
      <c r="O33" s="83">
        <v>1</v>
      </c>
      <c r="P33" s="72">
        <v>0</v>
      </c>
      <c r="Q33" s="83">
        <v>0</v>
      </c>
      <c r="R33" s="73">
        <v>1</v>
      </c>
      <c r="S33"/>
      <c r="T33"/>
    </row>
    <row r="34" spans="1:20" ht="15" customHeight="1" x14ac:dyDescent="0.15">
      <c r="A34" s="171" t="s">
        <v>238</v>
      </c>
      <c r="B34" s="95">
        <v>0.63600000000000001</v>
      </c>
      <c r="C34" s="95">
        <v>4.5</v>
      </c>
      <c r="D34" s="95">
        <v>2.8620000000000001</v>
      </c>
      <c r="E34" s="128">
        <v>1.3869390275047164E-3</v>
      </c>
      <c r="F34" s="168" t="s">
        <v>221</v>
      </c>
      <c r="G34" s="83">
        <v>0</v>
      </c>
      <c r="H34" s="83">
        <v>0</v>
      </c>
      <c r="I34" s="83">
        <v>0</v>
      </c>
      <c r="J34" s="83">
        <v>0</v>
      </c>
      <c r="K34" s="83">
        <v>1</v>
      </c>
      <c r="L34" s="83">
        <v>0</v>
      </c>
      <c r="M34" s="83">
        <v>1</v>
      </c>
      <c r="N34" s="83">
        <v>0</v>
      </c>
      <c r="O34" s="83">
        <v>1</v>
      </c>
      <c r="P34" s="72">
        <v>0</v>
      </c>
      <c r="Q34" s="83">
        <v>0</v>
      </c>
      <c r="R34" s="73">
        <v>1</v>
      </c>
      <c r="S34"/>
      <c r="T34"/>
    </row>
    <row r="35" spans="1:20" ht="15" customHeight="1" x14ac:dyDescent="0.15">
      <c r="A35" s="129"/>
      <c r="B35" s="95"/>
      <c r="C35" s="95"/>
      <c r="D35" s="95"/>
      <c r="E35" s="128"/>
      <c r="F35" s="168" t="s">
        <v>222</v>
      </c>
      <c r="G35" s="83">
        <v>0</v>
      </c>
      <c r="H35" s="83">
        <v>0</v>
      </c>
      <c r="I35" s="83">
        <v>0</v>
      </c>
      <c r="J35" s="83">
        <v>0</v>
      </c>
      <c r="K35" s="83">
        <v>1</v>
      </c>
      <c r="L35" s="83">
        <v>0</v>
      </c>
      <c r="M35" s="83">
        <v>1</v>
      </c>
      <c r="N35" s="83">
        <v>0</v>
      </c>
      <c r="O35" s="83">
        <v>1</v>
      </c>
      <c r="P35" s="72">
        <v>0</v>
      </c>
      <c r="Q35" s="83">
        <v>0</v>
      </c>
      <c r="R35" s="73">
        <v>1</v>
      </c>
      <c r="S35"/>
      <c r="T35"/>
    </row>
    <row r="36" spans="1:20" ht="15" customHeight="1" x14ac:dyDescent="0.15">
      <c r="A36" s="130"/>
      <c r="B36" s="95"/>
      <c r="C36" s="95"/>
      <c r="D36" s="95"/>
      <c r="E36" s="128"/>
      <c r="F36" s="168" t="s">
        <v>223</v>
      </c>
      <c r="G36" s="83">
        <v>0</v>
      </c>
      <c r="H36" s="83">
        <v>0</v>
      </c>
      <c r="I36" s="83">
        <v>0</v>
      </c>
      <c r="J36" s="83">
        <v>0</v>
      </c>
      <c r="K36" s="83">
        <v>1</v>
      </c>
      <c r="L36" s="83">
        <v>0</v>
      </c>
      <c r="M36" s="83">
        <v>1</v>
      </c>
      <c r="N36" s="83">
        <v>0</v>
      </c>
      <c r="O36" s="83">
        <v>1</v>
      </c>
      <c r="P36" s="72">
        <v>0</v>
      </c>
      <c r="Q36" s="83">
        <v>0</v>
      </c>
      <c r="R36" s="73">
        <v>1</v>
      </c>
      <c r="S36"/>
      <c r="T36"/>
    </row>
    <row r="37" spans="1:20" ht="15" customHeight="1" x14ac:dyDescent="0.15">
      <c r="A37" s="130"/>
      <c r="B37" s="95"/>
      <c r="C37" s="95"/>
      <c r="D37" s="95"/>
      <c r="E37" s="128"/>
      <c r="F37" s="168" t="s">
        <v>224</v>
      </c>
      <c r="G37" s="83">
        <v>0</v>
      </c>
      <c r="H37" s="83">
        <v>0</v>
      </c>
      <c r="I37" s="83">
        <v>0</v>
      </c>
      <c r="J37" s="83">
        <v>0</v>
      </c>
      <c r="K37" s="83">
        <v>1</v>
      </c>
      <c r="L37" s="83">
        <v>0</v>
      </c>
      <c r="M37" s="83">
        <v>1</v>
      </c>
      <c r="N37" s="83">
        <v>0</v>
      </c>
      <c r="O37" s="83">
        <v>1</v>
      </c>
      <c r="P37" s="72">
        <v>0</v>
      </c>
      <c r="Q37" s="83">
        <v>0</v>
      </c>
      <c r="R37" s="73">
        <v>1</v>
      </c>
      <c r="S37"/>
      <c r="T37"/>
    </row>
    <row r="38" spans="1:20" ht="15" customHeight="1" x14ac:dyDescent="0.15">
      <c r="A38" s="131"/>
      <c r="B38" s="95"/>
      <c r="C38" s="95"/>
      <c r="D38" s="95"/>
      <c r="E38" s="128"/>
      <c r="F38" s="168" t="s">
        <v>225</v>
      </c>
      <c r="G38" s="83">
        <v>0</v>
      </c>
      <c r="H38" s="83">
        <v>0</v>
      </c>
      <c r="I38" s="83">
        <v>0</v>
      </c>
      <c r="J38" s="83">
        <v>0</v>
      </c>
      <c r="K38" s="83">
        <v>1</v>
      </c>
      <c r="L38" s="83">
        <v>0</v>
      </c>
      <c r="M38" s="83">
        <v>1</v>
      </c>
      <c r="N38" s="83">
        <v>0</v>
      </c>
      <c r="O38" s="83">
        <v>1</v>
      </c>
      <c r="P38" s="72">
        <v>0</v>
      </c>
      <c r="Q38" s="83">
        <v>0</v>
      </c>
      <c r="R38" s="73">
        <v>1</v>
      </c>
      <c r="S38"/>
      <c r="T38"/>
    </row>
    <row r="39" spans="1:20" ht="15" customHeight="1" x14ac:dyDescent="0.15">
      <c r="A39" s="131"/>
      <c r="B39" s="95"/>
      <c r="C39" s="95"/>
      <c r="D39" s="95"/>
      <c r="E39" s="128"/>
      <c r="F39" s="168" t="s">
        <v>226</v>
      </c>
      <c r="G39" s="83">
        <v>0</v>
      </c>
      <c r="H39" s="83">
        <v>0</v>
      </c>
      <c r="I39" s="83">
        <v>0</v>
      </c>
      <c r="J39" s="83">
        <v>0</v>
      </c>
      <c r="K39" s="83">
        <v>1</v>
      </c>
      <c r="L39" s="83">
        <v>0</v>
      </c>
      <c r="M39" s="83">
        <v>1</v>
      </c>
      <c r="N39" s="83">
        <v>0</v>
      </c>
      <c r="O39" s="83">
        <v>1</v>
      </c>
      <c r="P39" s="72">
        <v>0</v>
      </c>
      <c r="Q39" s="83">
        <v>0</v>
      </c>
      <c r="R39" s="73">
        <v>1</v>
      </c>
      <c r="S39"/>
      <c r="T39"/>
    </row>
    <row r="40" spans="1:20" ht="15" customHeight="1" x14ac:dyDescent="0.15">
      <c r="A40" s="131"/>
      <c r="B40" s="95"/>
      <c r="C40" s="95"/>
      <c r="D40" s="95"/>
      <c r="E40" s="128"/>
      <c r="F40" s="168" t="s">
        <v>227</v>
      </c>
      <c r="G40" s="83">
        <v>0</v>
      </c>
      <c r="H40" s="83">
        <v>0</v>
      </c>
      <c r="I40" s="83">
        <v>0</v>
      </c>
      <c r="J40" s="83">
        <v>0</v>
      </c>
      <c r="K40" s="83">
        <v>1</v>
      </c>
      <c r="L40" s="83">
        <v>0</v>
      </c>
      <c r="M40" s="83">
        <v>1</v>
      </c>
      <c r="N40" s="83">
        <v>0</v>
      </c>
      <c r="O40" s="83">
        <v>1</v>
      </c>
      <c r="P40" s="72">
        <v>0</v>
      </c>
      <c r="Q40" s="83">
        <v>0</v>
      </c>
      <c r="R40" s="73">
        <v>1</v>
      </c>
      <c r="S40"/>
      <c r="T40"/>
    </row>
    <row r="41" spans="1:20" ht="15" customHeight="1" thickBot="1" x14ac:dyDescent="0.2">
      <c r="A41" s="131"/>
      <c r="B41" s="95"/>
      <c r="C41" s="95"/>
      <c r="D41" s="96"/>
      <c r="E41" s="132"/>
      <c r="F41" s="168" t="s">
        <v>228</v>
      </c>
      <c r="G41" s="83">
        <v>0</v>
      </c>
      <c r="H41" s="83">
        <v>0</v>
      </c>
      <c r="I41" s="83">
        <v>0</v>
      </c>
      <c r="J41" s="83">
        <v>0</v>
      </c>
      <c r="K41" s="83">
        <v>1</v>
      </c>
      <c r="L41" s="83">
        <v>0</v>
      </c>
      <c r="M41" s="83">
        <v>1</v>
      </c>
      <c r="N41" s="83">
        <v>0</v>
      </c>
      <c r="O41" s="83">
        <v>1</v>
      </c>
      <c r="P41" s="72">
        <v>0</v>
      </c>
      <c r="Q41" s="83">
        <v>0</v>
      </c>
      <c r="R41" s="73">
        <v>1</v>
      </c>
      <c r="S41"/>
      <c r="T41"/>
    </row>
    <row r="42" spans="1:20" ht="15" customHeight="1" x14ac:dyDescent="0.15">
      <c r="A42" s="133"/>
      <c r="B42" s="134"/>
      <c r="C42" s="134" t="s">
        <v>162</v>
      </c>
      <c r="D42" s="134">
        <f>SUM(D32:D41)</f>
        <v>2063.5370000000003</v>
      </c>
      <c r="E42" s="135">
        <f>SUM(E32:E41)</f>
        <v>1</v>
      </c>
      <c r="F42" s="168" t="s">
        <v>229</v>
      </c>
      <c r="G42" s="83">
        <v>0</v>
      </c>
      <c r="H42" s="83">
        <v>0</v>
      </c>
      <c r="I42" s="83">
        <v>0</v>
      </c>
      <c r="J42" s="83">
        <v>0</v>
      </c>
      <c r="K42" s="83">
        <v>1</v>
      </c>
      <c r="L42" s="83">
        <v>0</v>
      </c>
      <c r="M42" s="83">
        <v>1</v>
      </c>
      <c r="N42" s="83">
        <v>0</v>
      </c>
      <c r="O42" s="83">
        <v>1</v>
      </c>
      <c r="P42" s="72">
        <v>0</v>
      </c>
      <c r="Q42" s="83">
        <v>0</v>
      </c>
      <c r="R42" s="73">
        <v>1</v>
      </c>
      <c r="S42"/>
      <c r="T42"/>
    </row>
    <row r="43" spans="1:20" ht="15" customHeight="1" x14ac:dyDescent="0.15">
      <c r="A43" s="83"/>
      <c r="F43" s="168" t="s">
        <v>230</v>
      </c>
      <c r="G43" s="83">
        <v>0</v>
      </c>
      <c r="H43" s="83">
        <v>0</v>
      </c>
      <c r="I43" s="83">
        <v>0</v>
      </c>
      <c r="J43" s="83">
        <v>0</v>
      </c>
      <c r="K43" s="83">
        <v>1</v>
      </c>
      <c r="L43" s="83">
        <v>0</v>
      </c>
      <c r="M43" s="83">
        <v>1</v>
      </c>
      <c r="N43" s="83">
        <v>0</v>
      </c>
      <c r="O43" s="83">
        <v>1</v>
      </c>
      <c r="P43" s="72">
        <v>0</v>
      </c>
      <c r="Q43" s="83">
        <v>0</v>
      </c>
      <c r="R43" s="73">
        <v>1</v>
      </c>
      <c r="S43"/>
      <c r="T43"/>
    </row>
    <row r="44" spans="1:20" ht="15" customHeight="1" x14ac:dyDescent="0.15">
      <c r="A44" s="83"/>
      <c r="F44" s="168" t="s">
        <v>231</v>
      </c>
      <c r="G44" s="83">
        <v>0</v>
      </c>
      <c r="H44" s="83">
        <v>0</v>
      </c>
      <c r="I44" s="83">
        <v>0</v>
      </c>
      <c r="J44" s="83">
        <v>0</v>
      </c>
      <c r="K44" s="83">
        <v>1</v>
      </c>
      <c r="L44" s="83">
        <v>0</v>
      </c>
      <c r="M44" s="83">
        <v>1</v>
      </c>
      <c r="N44" s="83">
        <v>0</v>
      </c>
      <c r="O44" s="83">
        <v>1</v>
      </c>
      <c r="P44" s="72">
        <v>0</v>
      </c>
      <c r="Q44" s="83">
        <v>0</v>
      </c>
      <c r="R44" s="73">
        <v>1</v>
      </c>
    </row>
    <row r="45" spans="1:20" ht="15" customHeight="1" x14ac:dyDescent="0.15">
      <c r="A45" s="83"/>
      <c r="F45" s="168" t="s">
        <v>232</v>
      </c>
      <c r="G45" s="83">
        <v>0</v>
      </c>
      <c r="H45" s="83">
        <v>0</v>
      </c>
      <c r="I45" s="83">
        <v>0</v>
      </c>
      <c r="J45" s="83">
        <v>0</v>
      </c>
      <c r="K45" s="83">
        <v>1</v>
      </c>
      <c r="L45" s="83">
        <v>0</v>
      </c>
      <c r="M45" s="83">
        <v>1</v>
      </c>
      <c r="N45" s="83">
        <v>0</v>
      </c>
      <c r="O45" s="83">
        <v>1</v>
      </c>
      <c r="P45" s="72">
        <v>0</v>
      </c>
      <c r="Q45" s="83">
        <v>0</v>
      </c>
      <c r="R45" s="73">
        <v>1</v>
      </c>
    </row>
    <row r="46" spans="1:20" ht="15" customHeight="1" x14ac:dyDescent="0.15">
      <c r="A46" s="83"/>
      <c r="F46" s="168" t="s">
        <v>233</v>
      </c>
      <c r="G46" s="83">
        <v>0</v>
      </c>
      <c r="H46" s="83">
        <v>0</v>
      </c>
      <c r="I46" s="83">
        <v>0</v>
      </c>
      <c r="J46" s="83">
        <v>0</v>
      </c>
      <c r="K46" s="83">
        <v>1</v>
      </c>
      <c r="L46" s="83">
        <v>0</v>
      </c>
      <c r="M46" s="83">
        <v>1</v>
      </c>
      <c r="N46" s="83">
        <v>0</v>
      </c>
      <c r="O46" s="83">
        <v>1</v>
      </c>
      <c r="P46" s="72">
        <v>0</v>
      </c>
      <c r="Q46" s="83">
        <v>0</v>
      </c>
      <c r="R46" s="73">
        <v>1</v>
      </c>
    </row>
    <row r="47" spans="1:20" ht="15" customHeight="1" x14ac:dyDescent="0.15">
      <c r="A47" s="83"/>
      <c r="F47" s="168" t="s">
        <v>234</v>
      </c>
      <c r="G47" s="83">
        <v>0</v>
      </c>
      <c r="H47" s="83">
        <v>0</v>
      </c>
      <c r="I47" s="83">
        <v>0</v>
      </c>
      <c r="J47" s="83">
        <v>0</v>
      </c>
      <c r="K47" s="83">
        <v>1</v>
      </c>
      <c r="L47" s="83">
        <v>0</v>
      </c>
      <c r="M47" s="83">
        <v>1</v>
      </c>
      <c r="N47" s="83">
        <v>0</v>
      </c>
      <c r="O47" s="83">
        <v>1</v>
      </c>
      <c r="P47" s="72">
        <v>0</v>
      </c>
      <c r="Q47" s="83">
        <v>0</v>
      </c>
      <c r="R47" s="73">
        <v>1</v>
      </c>
    </row>
    <row r="48" spans="1:20" ht="15" customHeight="1" x14ac:dyDescent="0.15">
      <c r="A48" s="83"/>
      <c r="F48" s="168" t="s">
        <v>235</v>
      </c>
      <c r="G48" s="83">
        <v>0</v>
      </c>
      <c r="H48" s="83">
        <v>0</v>
      </c>
      <c r="I48" s="83">
        <v>0</v>
      </c>
      <c r="J48" s="83">
        <v>0</v>
      </c>
      <c r="K48" s="83">
        <v>1</v>
      </c>
      <c r="L48" s="83">
        <v>0</v>
      </c>
      <c r="M48" s="83">
        <v>1</v>
      </c>
      <c r="N48" s="83">
        <v>0</v>
      </c>
      <c r="O48" s="83">
        <v>1</v>
      </c>
      <c r="P48" s="72">
        <v>0</v>
      </c>
      <c r="Q48" s="83">
        <v>0</v>
      </c>
      <c r="R48" s="73">
        <v>1</v>
      </c>
    </row>
    <row r="49" spans="6:18" s="83" customFormat="1" ht="15" customHeight="1" x14ac:dyDescent="0.15">
      <c r="F49" s="168" t="s">
        <v>236</v>
      </c>
      <c r="G49" s="83">
        <v>0</v>
      </c>
      <c r="H49" s="83">
        <v>0</v>
      </c>
      <c r="I49" s="83">
        <v>0</v>
      </c>
      <c r="J49" s="83">
        <v>0</v>
      </c>
      <c r="K49" s="83">
        <v>0</v>
      </c>
      <c r="L49" s="83">
        <v>0</v>
      </c>
      <c r="M49" s="83">
        <v>1</v>
      </c>
      <c r="N49" s="83">
        <v>0</v>
      </c>
      <c r="O49" s="83">
        <v>0</v>
      </c>
      <c r="P49" s="72">
        <v>0</v>
      </c>
      <c r="Q49" s="83">
        <v>0</v>
      </c>
      <c r="R49" s="73">
        <v>1</v>
      </c>
    </row>
    <row r="50" spans="6:18" s="83" customFormat="1" ht="15" customHeight="1" x14ac:dyDescent="0.15">
      <c r="F50" s="168" t="s">
        <v>237</v>
      </c>
      <c r="G50" s="83">
        <v>0</v>
      </c>
      <c r="H50" s="83">
        <v>0</v>
      </c>
      <c r="I50" s="83">
        <v>0</v>
      </c>
      <c r="J50" s="83">
        <v>0</v>
      </c>
      <c r="K50" s="83">
        <v>0</v>
      </c>
      <c r="L50" s="83">
        <v>0</v>
      </c>
      <c r="M50" s="83">
        <v>1</v>
      </c>
      <c r="N50" s="83">
        <v>0</v>
      </c>
      <c r="O50" s="83">
        <v>0</v>
      </c>
      <c r="P50" s="72">
        <v>0</v>
      </c>
      <c r="Q50" s="83">
        <v>0</v>
      </c>
      <c r="R50" s="73">
        <v>1</v>
      </c>
    </row>
    <row r="51" spans="6:18" s="83" customFormat="1" ht="15" customHeight="1" x14ac:dyDescent="0.15">
      <c r="F51" s="168" t="s">
        <v>238</v>
      </c>
      <c r="G51" s="83">
        <v>0</v>
      </c>
      <c r="H51" s="83">
        <v>0</v>
      </c>
      <c r="I51" s="83">
        <v>0</v>
      </c>
      <c r="J51" s="83">
        <v>0</v>
      </c>
      <c r="K51" s="83">
        <v>0</v>
      </c>
      <c r="L51" s="83">
        <v>0</v>
      </c>
      <c r="M51" s="83">
        <v>1</v>
      </c>
      <c r="N51" s="83">
        <v>0</v>
      </c>
      <c r="O51" s="83">
        <v>0</v>
      </c>
      <c r="P51" s="72">
        <v>0</v>
      </c>
      <c r="Q51" s="83">
        <v>0</v>
      </c>
      <c r="R51" s="73">
        <v>1</v>
      </c>
    </row>
    <row r="52" spans="6:18" s="83" customFormat="1" ht="15" customHeight="1" x14ac:dyDescent="0.15">
      <c r="F52" s="168" t="s">
        <v>239</v>
      </c>
      <c r="G52" s="83">
        <v>0</v>
      </c>
      <c r="H52" s="83">
        <v>0</v>
      </c>
      <c r="I52" s="83">
        <v>0</v>
      </c>
      <c r="J52" s="83">
        <v>0</v>
      </c>
      <c r="K52" s="83">
        <v>0</v>
      </c>
      <c r="L52" s="83">
        <v>1</v>
      </c>
      <c r="M52" s="83">
        <v>0</v>
      </c>
      <c r="N52" s="83">
        <v>1</v>
      </c>
      <c r="O52" s="83">
        <v>0</v>
      </c>
      <c r="P52" s="72">
        <v>1</v>
      </c>
      <c r="Q52" s="83">
        <v>0</v>
      </c>
      <c r="R52" s="73">
        <v>1</v>
      </c>
    </row>
    <row r="53" spans="6:18" s="83" customFormat="1" ht="15" customHeight="1" x14ac:dyDescent="0.15">
      <c r="F53" s="168" t="s">
        <v>240</v>
      </c>
      <c r="G53" s="83">
        <v>0</v>
      </c>
      <c r="H53" s="83">
        <v>0</v>
      </c>
      <c r="I53" s="83">
        <v>0</v>
      </c>
      <c r="J53" s="83">
        <v>0</v>
      </c>
      <c r="K53" s="83">
        <v>0</v>
      </c>
      <c r="L53" s="83">
        <v>1</v>
      </c>
      <c r="M53" s="83">
        <v>0</v>
      </c>
      <c r="N53" s="83">
        <v>1</v>
      </c>
      <c r="O53" s="83">
        <v>0</v>
      </c>
      <c r="P53" s="72">
        <v>1</v>
      </c>
      <c r="Q53" s="83">
        <v>0</v>
      </c>
      <c r="R53" s="73">
        <v>1</v>
      </c>
    </row>
    <row r="54" spans="6:18" s="83" customFormat="1" ht="15" customHeight="1" x14ac:dyDescent="0.15">
      <c r="F54" s="168" t="s">
        <v>241</v>
      </c>
      <c r="G54" s="83">
        <v>0</v>
      </c>
      <c r="H54" s="83">
        <v>0</v>
      </c>
      <c r="I54" s="83">
        <v>0</v>
      </c>
      <c r="J54" s="83">
        <v>0</v>
      </c>
      <c r="K54" s="83">
        <v>0</v>
      </c>
      <c r="L54" s="83">
        <v>1</v>
      </c>
      <c r="M54" s="83">
        <v>0</v>
      </c>
      <c r="N54" s="83">
        <v>1</v>
      </c>
      <c r="O54" s="83">
        <v>0</v>
      </c>
      <c r="P54" s="72">
        <v>1</v>
      </c>
      <c r="Q54" s="83">
        <v>0</v>
      </c>
      <c r="R54" s="73">
        <v>1</v>
      </c>
    </row>
    <row r="55" spans="6:18" s="83" customFormat="1" ht="15" customHeight="1" x14ac:dyDescent="0.15">
      <c r="F55" s="168" t="s">
        <v>199</v>
      </c>
      <c r="G55" s="83">
        <v>0</v>
      </c>
      <c r="H55" s="83">
        <v>0</v>
      </c>
      <c r="I55" s="83">
        <v>0</v>
      </c>
      <c r="J55" s="83">
        <v>0</v>
      </c>
      <c r="K55" s="83">
        <v>0</v>
      </c>
      <c r="L55" s="83">
        <v>1</v>
      </c>
      <c r="M55" s="83">
        <v>0</v>
      </c>
      <c r="N55" s="83">
        <v>0</v>
      </c>
      <c r="O55" s="83">
        <v>0</v>
      </c>
      <c r="P55" s="72">
        <v>0</v>
      </c>
      <c r="Q55" s="83">
        <v>0</v>
      </c>
      <c r="R55" s="73">
        <v>1</v>
      </c>
    </row>
    <row r="56" spans="6:18" s="83" customFormat="1" ht="15" customHeight="1" x14ac:dyDescent="0.15">
      <c r="F56" s="168" t="s">
        <v>200</v>
      </c>
      <c r="G56" s="83">
        <v>0</v>
      </c>
      <c r="H56" s="83">
        <v>0</v>
      </c>
      <c r="I56" s="83">
        <v>0</v>
      </c>
      <c r="J56" s="83">
        <v>0</v>
      </c>
      <c r="K56" s="83">
        <v>0</v>
      </c>
      <c r="L56" s="83">
        <v>1</v>
      </c>
      <c r="M56" s="83">
        <v>0</v>
      </c>
      <c r="N56" s="83">
        <v>0</v>
      </c>
      <c r="O56" s="83">
        <v>0</v>
      </c>
      <c r="P56" s="72">
        <v>0</v>
      </c>
      <c r="Q56" s="83">
        <v>0</v>
      </c>
      <c r="R56" s="73">
        <v>1</v>
      </c>
    </row>
    <row r="57" spans="6:18" s="83" customFormat="1" ht="15" customHeight="1" x14ac:dyDescent="0.15">
      <c r="F57" s="168" t="s">
        <v>242</v>
      </c>
      <c r="G57" s="83">
        <v>0</v>
      </c>
      <c r="H57" s="83">
        <v>0</v>
      </c>
      <c r="I57" s="83">
        <v>0</v>
      </c>
      <c r="J57" s="83">
        <v>0</v>
      </c>
      <c r="K57" s="83">
        <v>0</v>
      </c>
      <c r="L57" s="83">
        <v>1</v>
      </c>
      <c r="M57" s="83">
        <v>0</v>
      </c>
      <c r="N57" s="83">
        <v>0</v>
      </c>
      <c r="O57" s="83">
        <v>0</v>
      </c>
      <c r="P57" s="72">
        <v>0</v>
      </c>
      <c r="Q57" s="83">
        <v>0</v>
      </c>
      <c r="R57" s="73">
        <v>1</v>
      </c>
    </row>
    <row r="58" spans="6:18" s="83" customFormat="1" ht="15" customHeight="1" x14ac:dyDescent="0.15">
      <c r="F58" s="168" t="s">
        <v>202</v>
      </c>
      <c r="G58" s="83">
        <v>0</v>
      </c>
      <c r="H58" s="83">
        <v>0</v>
      </c>
      <c r="I58" s="83">
        <v>0</v>
      </c>
      <c r="J58" s="83">
        <v>0</v>
      </c>
      <c r="K58" s="83">
        <v>0</v>
      </c>
      <c r="L58" s="83">
        <v>1</v>
      </c>
      <c r="M58" s="83">
        <v>0</v>
      </c>
      <c r="N58" s="83">
        <v>0</v>
      </c>
      <c r="O58" s="83">
        <v>0</v>
      </c>
      <c r="P58" s="72">
        <v>0</v>
      </c>
      <c r="Q58" s="83">
        <v>0</v>
      </c>
      <c r="R58" s="73">
        <v>1</v>
      </c>
    </row>
    <row r="59" spans="6:18" s="83" customFormat="1" ht="15" customHeight="1" x14ac:dyDescent="0.15">
      <c r="F59" s="168" t="s">
        <v>203</v>
      </c>
      <c r="G59" s="83">
        <v>0</v>
      </c>
      <c r="H59" s="83">
        <v>0</v>
      </c>
      <c r="I59" s="83">
        <v>0</v>
      </c>
      <c r="J59" s="83">
        <v>0</v>
      </c>
      <c r="K59" s="83">
        <v>0</v>
      </c>
      <c r="L59" s="83">
        <v>1</v>
      </c>
      <c r="M59" s="83">
        <v>0</v>
      </c>
      <c r="N59" s="83">
        <v>0</v>
      </c>
      <c r="O59" s="83">
        <v>0</v>
      </c>
      <c r="P59" s="72">
        <v>0</v>
      </c>
      <c r="Q59" s="83">
        <v>0</v>
      </c>
      <c r="R59" s="73">
        <v>1</v>
      </c>
    </row>
    <row r="60" spans="6:18" s="83" customFormat="1" ht="15" customHeight="1" x14ac:dyDescent="0.15">
      <c r="F60" s="168" t="s">
        <v>204</v>
      </c>
      <c r="G60" s="83">
        <v>0</v>
      </c>
      <c r="H60" s="83">
        <v>0</v>
      </c>
      <c r="I60" s="83">
        <v>0</v>
      </c>
      <c r="J60" s="83">
        <v>0</v>
      </c>
      <c r="K60" s="83">
        <v>0</v>
      </c>
      <c r="L60" s="83">
        <v>1</v>
      </c>
      <c r="M60" s="83">
        <v>0</v>
      </c>
      <c r="N60" s="83">
        <v>0</v>
      </c>
      <c r="O60" s="83">
        <v>0</v>
      </c>
      <c r="P60" s="72">
        <v>0</v>
      </c>
      <c r="Q60" s="83">
        <v>0</v>
      </c>
      <c r="R60" s="73">
        <v>1</v>
      </c>
    </row>
    <row r="61" spans="6:18" s="83" customFormat="1" ht="15" customHeight="1" x14ac:dyDescent="0.15">
      <c r="F61" s="168" t="s">
        <v>206</v>
      </c>
      <c r="G61" s="83">
        <v>0</v>
      </c>
      <c r="H61" s="83">
        <v>0</v>
      </c>
      <c r="I61" s="83">
        <v>0</v>
      </c>
      <c r="J61" s="83">
        <v>0</v>
      </c>
      <c r="K61" s="83">
        <v>0</v>
      </c>
      <c r="L61" s="83">
        <v>1</v>
      </c>
      <c r="M61" s="83">
        <v>0</v>
      </c>
      <c r="N61" s="83">
        <v>0</v>
      </c>
      <c r="O61" s="83">
        <v>0</v>
      </c>
      <c r="P61" s="72">
        <v>0</v>
      </c>
      <c r="Q61" s="83">
        <v>0</v>
      </c>
      <c r="R61" s="73">
        <v>1</v>
      </c>
    </row>
    <row r="62" spans="6:18" s="83" customFormat="1" ht="15" customHeight="1" x14ac:dyDescent="0.15">
      <c r="F62" s="168" t="s">
        <v>207</v>
      </c>
      <c r="G62" s="83">
        <v>0</v>
      </c>
      <c r="H62" s="83">
        <v>0</v>
      </c>
      <c r="I62" s="83">
        <v>0</v>
      </c>
      <c r="J62" s="83">
        <v>0</v>
      </c>
      <c r="K62" s="83">
        <v>0</v>
      </c>
      <c r="L62" s="83">
        <v>1</v>
      </c>
      <c r="M62" s="83">
        <v>0</v>
      </c>
      <c r="N62" s="83">
        <v>0</v>
      </c>
      <c r="O62" s="83">
        <v>0</v>
      </c>
      <c r="P62" s="72">
        <v>0</v>
      </c>
      <c r="Q62" s="83">
        <v>0</v>
      </c>
      <c r="R62" s="73">
        <v>1</v>
      </c>
    </row>
    <row r="63" spans="6:18" s="83" customFormat="1" ht="15" customHeight="1" x14ac:dyDescent="0.15">
      <c r="F63" s="168" t="s">
        <v>210</v>
      </c>
      <c r="G63" s="83">
        <v>0</v>
      </c>
      <c r="H63" s="83">
        <v>0</v>
      </c>
      <c r="I63" s="83">
        <v>0</v>
      </c>
      <c r="J63" s="83">
        <v>0</v>
      </c>
      <c r="K63" s="83">
        <v>0</v>
      </c>
      <c r="L63" s="83">
        <v>1</v>
      </c>
      <c r="M63" s="83">
        <v>0</v>
      </c>
      <c r="N63" s="83">
        <v>0</v>
      </c>
      <c r="O63" s="83">
        <v>0</v>
      </c>
      <c r="P63" s="72">
        <v>0</v>
      </c>
      <c r="Q63" s="83">
        <v>0</v>
      </c>
      <c r="R63" s="73">
        <v>1</v>
      </c>
    </row>
    <row r="64" spans="6:18" s="83" customFormat="1" ht="15" customHeight="1" x14ac:dyDescent="0.15">
      <c r="F64" s="168" t="s">
        <v>209</v>
      </c>
      <c r="G64" s="83">
        <v>0</v>
      </c>
      <c r="H64" s="83">
        <v>0</v>
      </c>
      <c r="I64" s="83">
        <v>0</v>
      </c>
      <c r="J64" s="83">
        <v>0</v>
      </c>
      <c r="K64" s="83">
        <v>0</v>
      </c>
      <c r="L64" s="83">
        <v>1</v>
      </c>
      <c r="M64" s="83">
        <v>0</v>
      </c>
      <c r="N64" s="83">
        <v>0</v>
      </c>
      <c r="O64" s="83">
        <v>0</v>
      </c>
      <c r="P64" s="72">
        <v>0</v>
      </c>
      <c r="Q64" s="83">
        <v>0</v>
      </c>
      <c r="R64" s="73">
        <v>1</v>
      </c>
    </row>
    <row r="65" spans="1:18" ht="15" customHeight="1" x14ac:dyDescent="0.15">
      <c r="F65" s="168" t="s">
        <v>211</v>
      </c>
      <c r="G65" s="83">
        <v>0</v>
      </c>
      <c r="H65" s="83">
        <v>0</v>
      </c>
      <c r="I65" s="83">
        <v>0</v>
      </c>
      <c r="J65" s="83">
        <v>0</v>
      </c>
      <c r="K65" s="83">
        <v>0</v>
      </c>
      <c r="L65" s="83">
        <v>1</v>
      </c>
      <c r="M65" s="83">
        <v>0</v>
      </c>
      <c r="N65" s="83">
        <v>0</v>
      </c>
      <c r="O65" s="83">
        <v>0</v>
      </c>
      <c r="P65" s="72">
        <v>0</v>
      </c>
      <c r="Q65" s="83">
        <v>0</v>
      </c>
      <c r="R65" s="73">
        <v>1</v>
      </c>
    </row>
    <row r="66" spans="1:18" ht="15" customHeight="1" x14ac:dyDescent="0.15">
      <c r="F66" s="168" t="s">
        <v>208</v>
      </c>
      <c r="G66" s="83">
        <v>0</v>
      </c>
      <c r="H66" s="83">
        <v>0</v>
      </c>
      <c r="I66" s="83">
        <v>0</v>
      </c>
      <c r="J66" s="83">
        <v>0</v>
      </c>
      <c r="K66" s="83">
        <v>0</v>
      </c>
      <c r="L66" s="83">
        <v>1</v>
      </c>
      <c r="M66" s="83">
        <v>0</v>
      </c>
      <c r="N66" s="83">
        <v>0</v>
      </c>
      <c r="O66" s="83">
        <v>0</v>
      </c>
      <c r="P66" s="72">
        <v>0</v>
      </c>
      <c r="Q66" s="83">
        <v>0</v>
      </c>
      <c r="R66" s="73">
        <v>1</v>
      </c>
    </row>
    <row r="67" spans="1:18" ht="15" customHeight="1" x14ac:dyDescent="0.15">
      <c r="F67" s="168" t="s">
        <v>243</v>
      </c>
      <c r="G67" s="83">
        <v>0</v>
      </c>
      <c r="H67" s="83">
        <v>0</v>
      </c>
      <c r="I67" s="83">
        <v>0</v>
      </c>
      <c r="J67" s="83">
        <v>0</v>
      </c>
      <c r="K67" s="83">
        <v>0</v>
      </c>
      <c r="L67" s="83">
        <v>1</v>
      </c>
      <c r="M67" s="83">
        <v>0</v>
      </c>
      <c r="N67" s="83">
        <v>0</v>
      </c>
      <c r="O67" s="83">
        <v>0</v>
      </c>
      <c r="P67" s="72">
        <v>0</v>
      </c>
      <c r="Q67" s="83">
        <v>0</v>
      </c>
      <c r="R67" s="73">
        <v>1</v>
      </c>
    </row>
    <row r="68" spans="1:18" ht="15" customHeight="1" x14ac:dyDescent="0.15">
      <c r="F68" s="168" t="s">
        <v>216</v>
      </c>
      <c r="G68" s="83">
        <v>0</v>
      </c>
      <c r="H68" s="83">
        <v>0</v>
      </c>
      <c r="I68" s="83">
        <v>0</v>
      </c>
      <c r="J68" s="83">
        <v>0</v>
      </c>
      <c r="K68" s="83">
        <v>0</v>
      </c>
      <c r="L68" s="83">
        <v>1</v>
      </c>
      <c r="M68" s="83">
        <v>0</v>
      </c>
      <c r="N68" s="83">
        <v>0</v>
      </c>
      <c r="O68" s="83">
        <v>0</v>
      </c>
      <c r="P68" s="72">
        <v>0</v>
      </c>
      <c r="Q68" s="83">
        <v>0</v>
      </c>
      <c r="R68" s="73">
        <v>1</v>
      </c>
    </row>
    <row r="69" spans="1:18" ht="15" customHeight="1" x14ac:dyDescent="0.15">
      <c r="F69" s="168" t="s">
        <v>219</v>
      </c>
      <c r="G69" s="83">
        <v>0</v>
      </c>
      <c r="H69" s="83">
        <v>0</v>
      </c>
      <c r="I69" s="83">
        <v>0</v>
      </c>
      <c r="J69" s="83">
        <v>0</v>
      </c>
      <c r="K69" s="83">
        <v>0</v>
      </c>
      <c r="L69" s="83">
        <v>1</v>
      </c>
      <c r="M69" s="83">
        <v>0</v>
      </c>
      <c r="N69" s="83">
        <v>0</v>
      </c>
      <c r="O69" s="83">
        <v>0</v>
      </c>
      <c r="P69" s="72">
        <v>0</v>
      </c>
      <c r="Q69" s="83">
        <v>0</v>
      </c>
      <c r="R69" s="73">
        <v>1</v>
      </c>
    </row>
    <row r="70" spans="1:18" ht="15" customHeight="1" x14ac:dyDescent="0.15">
      <c r="F70" s="168" t="s">
        <v>224</v>
      </c>
      <c r="G70" s="83">
        <v>0</v>
      </c>
      <c r="H70" s="83">
        <v>0</v>
      </c>
      <c r="I70" s="83">
        <v>0</v>
      </c>
      <c r="J70" s="83">
        <v>0</v>
      </c>
      <c r="K70" s="83">
        <v>0</v>
      </c>
      <c r="L70" s="83">
        <v>1</v>
      </c>
      <c r="M70" s="83">
        <v>0</v>
      </c>
      <c r="N70" s="83">
        <v>0</v>
      </c>
      <c r="O70" s="83">
        <v>0</v>
      </c>
      <c r="P70" s="72">
        <v>0</v>
      </c>
      <c r="Q70" s="83">
        <v>0</v>
      </c>
      <c r="R70" s="73">
        <v>1</v>
      </c>
    </row>
    <row r="71" spans="1:18" ht="15" customHeight="1" x14ac:dyDescent="0.15">
      <c r="F71" s="168" t="s">
        <v>218</v>
      </c>
      <c r="G71" s="83">
        <v>0</v>
      </c>
      <c r="H71" s="83">
        <v>0</v>
      </c>
      <c r="I71" s="83">
        <v>0</v>
      </c>
      <c r="J71" s="83">
        <v>0</v>
      </c>
      <c r="K71" s="83">
        <v>0</v>
      </c>
      <c r="L71" s="83">
        <v>1</v>
      </c>
      <c r="M71" s="83">
        <v>0</v>
      </c>
      <c r="N71" s="83">
        <v>0</v>
      </c>
      <c r="O71" s="83">
        <v>0</v>
      </c>
      <c r="P71" s="72">
        <v>0</v>
      </c>
      <c r="Q71" s="83">
        <v>0</v>
      </c>
      <c r="R71" s="73">
        <v>1</v>
      </c>
    </row>
    <row r="72" spans="1:18" ht="15" customHeight="1" x14ac:dyDescent="0.15">
      <c r="F72" s="168" t="s">
        <v>244</v>
      </c>
      <c r="G72" s="83">
        <v>0</v>
      </c>
      <c r="H72" s="83">
        <v>0</v>
      </c>
      <c r="I72" s="83">
        <v>0</v>
      </c>
      <c r="J72" s="83">
        <v>0</v>
      </c>
      <c r="K72" s="83">
        <v>0</v>
      </c>
      <c r="L72" s="83">
        <v>1</v>
      </c>
      <c r="M72" s="83">
        <v>0</v>
      </c>
      <c r="N72" s="83">
        <v>0</v>
      </c>
      <c r="O72" s="83">
        <v>0</v>
      </c>
      <c r="P72" s="72">
        <v>0</v>
      </c>
      <c r="Q72" s="83">
        <v>0</v>
      </c>
      <c r="R72" s="73">
        <v>1</v>
      </c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83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83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83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83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83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83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83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83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83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83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83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83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83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83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83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83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83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83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83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83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83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83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83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83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83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83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83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83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83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83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3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3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3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3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3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3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3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3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3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3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3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3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3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3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3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3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3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3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3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3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3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3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3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3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3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3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3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3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3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3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3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3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3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3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3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3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3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3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3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3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3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3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3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3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3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3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3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3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3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3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3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3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3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3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3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3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3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3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3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3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3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3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3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3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3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3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3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3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3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3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3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3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3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3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3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3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BW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37.5" bestFit="1" customWidth="1"/>
    <col min="2" max="2" width="2.33203125" style="112" customWidth="1"/>
    <col min="3" max="5" width="7.83203125" style="112" customWidth="1"/>
    <col min="6" max="8" width="8.83203125" style="6"/>
    <col min="9" max="9" width="29.5" style="6" customWidth="1"/>
    <col min="10" max="10" width="21.6640625" style="6" customWidth="1"/>
    <col min="11" max="11" width="13.33203125" style="6" customWidth="1"/>
    <col min="12" max="12" width="14.1640625" style="6" customWidth="1"/>
    <col min="13" max="13" width="8.6640625" style="6" customWidth="1"/>
    <col min="14" max="14" width="11.33203125" style="6" customWidth="1"/>
    <col min="15" max="15" width="9.5" style="6" customWidth="1"/>
    <col min="16" max="16" width="9.1640625" style="6" customWidth="1"/>
    <col min="17" max="17" width="7.1640625" style="6" customWidth="1"/>
    <col min="18" max="18" width="11.1640625" style="6" customWidth="1"/>
    <col min="19" max="19" width="11.83203125" style="6" customWidth="1"/>
    <col min="20" max="20" width="11.1640625" style="6" customWidth="1"/>
    <col min="21" max="21" width="12.1640625" style="6" customWidth="1"/>
    <col min="22" max="22" width="8.5" style="6" customWidth="1"/>
    <col min="23" max="23" width="8.1640625" style="6" customWidth="1"/>
    <col min="24" max="24" width="7.5" style="6" customWidth="1"/>
    <col min="25" max="25" width="5" style="6" customWidth="1"/>
    <col min="26" max="26" width="8" style="6" customWidth="1"/>
    <col min="27" max="27" width="6.5" style="6" customWidth="1"/>
    <col min="28" max="28" width="10.6640625" style="6" customWidth="1"/>
    <col min="29" max="29" width="11.33203125" style="6" customWidth="1"/>
    <col min="30" max="30" width="11" style="6" customWidth="1"/>
    <col min="31" max="31" width="14.33203125" style="6" customWidth="1"/>
    <col min="32" max="32" width="8.83203125" style="6" customWidth="1"/>
    <col min="33" max="33" width="5.6640625" style="6" customWidth="1"/>
    <col min="34" max="34" width="7.1640625" style="6" customWidth="1"/>
    <col min="35" max="35" width="7.5" style="6" customWidth="1"/>
    <col min="36" max="36" width="6.1640625" style="6" customWidth="1"/>
    <col min="37" max="37" width="9" style="6" customWidth="1"/>
    <col min="38" max="38" width="9.5" style="6" customWidth="1"/>
    <col min="39" max="39" width="12" customWidth="1"/>
    <col min="40" max="40" width="13.5" customWidth="1"/>
    <col min="41" max="41" width="13.83203125" customWidth="1"/>
    <col min="42" max="42" width="8.1640625" customWidth="1"/>
    <col min="43" max="43" width="37.5" customWidth="1"/>
    <col min="44" max="44" width="35.33203125" customWidth="1"/>
    <col min="45" max="45" width="34.33203125" customWidth="1"/>
    <col min="46" max="46" width="16.5" customWidth="1"/>
    <col min="47" max="47" width="23.1640625" customWidth="1"/>
    <col min="48" max="48" width="16.5" customWidth="1"/>
    <col min="49" max="50" width="15.83203125" customWidth="1"/>
    <col min="51" max="51" width="8.1640625" customWidth="1"/>
    <col min="52" max="52" width="14.6640625" customWidth="1"/>
    <col min="53" max="53" width="15" customWidth="1"/>
    <col min="54" max="54" width="16.33203125" customWidth="1"/>
    <col min="55" max="55" width="8.5" customWidth="1"/>
    <col min="56" max="56" width="7.6640625" customWidth="1"/>
    <col min="57" max="57" width="21.6640625" customWidth="1"/>
    <col min="58" max="58" width="9.5" customWidth="1"/>
    <col min="59" max="59" width="9.1640625" customWidth="1"/>
    <col min="60" max="60" width="10.1640625" customWidth="1"/>
    <col min="61" max="61" width="11.1640625" customWidth="1"/>
    <col min="62" max="62" width="11.83203125" customWidth="1"/>
    <col min="63" max="63" width="11.1640625" customWidth="1"/>
    <col min="64" max="64" width="8.5" customWidth="1"/>
    <col min="65" max="65" width="8.1640625" customWidth="1"/>
    <col min="66" max="66" width="8" customWidth="1"/>
    <col min="67" max="67" width="5" customWidth="1"/>
    <col min="68" max="68" width="6.5" customWidth="1"/>
    <col min="69" max="69" width="7.5" customWidth="1"/>
    <col min="70" max="70" width="14.33203125" customWidth="1"/>
    <col min="71" max="71" width="8.83203125" customWidth="1"/>
    <col min="72" max="72" width="7.5" customWidth="1"/>
    <col min="73" max="73" width="13.5" customWidth="1"/>
    <col min="74" max="74" width="7.1640625" customWidth="1"/>
    <col min="75" max="75" width="5.83203125" customWidth="1"/>
    <col min="81" max="81" width="22.1640625" bestFit="1" customWidth="1"/>
  </cols>
  <sheetData>
    <row r="1" spans="1:75" x14ac:dyDescent="0.15">
      <c r="A1" s="4" t="s">
        <v>156</v>
      </c>
      <c r="B1" s="37" t="s">
        <v>157</v>
      </c>
      <c r="C1" s="37" t="s">
        <v>17</v>
      </c>
      <c r="D1" s="37" t="s">
        <v>158</v>
      </c>
      <c r="E1" s="37" t="s">
        <v>159</v>
      </c>
      <c r="F1" t="s">
        <v>38</v>
      </c>
      <c r="G1" t="s">
        <v>40</v>
      </c>
      <c r="H1" t="s">
        <v>41</v>
      </c>
      <c r="I1" s="173" t="s">
        <v>193</v>
      </c>
      <c r="J1" s="173" t="s">
        <v>194</v>
      </c>
      <c r="K1" s="173" t="s">
        <v>195</v>
      </c>
      <c r="L1" s="173" t="s">
        <v>196</v>
      </c>
      <c r="M1" s="173" t="s">
        <v>197</v>
      </c>
      <c r="N1" s="173" t="s">
        <v>198</v>
      </c>
      <c r="O1" s="173" t="s">
        <v>199</v>
      </c>
      <c r="P1" s="173" t="s">
        <v>200</v>
      </c>
      <c r="Q1" s="173" t="s">
        <v>201</v>
      </c>
      <c r="R1" s="173" t="s">
        <v>202</v>
      </c>
      <c r="S1" s="173" t="s">
        <v>203</v>
      </c>
      <c r="T1" s="173" t="s">
        <v>204</v>
      </c>
      <c r="U1" s="173" t="s">
        <v>205</v>
      </c>
      <c r="V1" s="173" t="s">
        <v>206</v>
      </c>
      <c r="W1" s="173" t="s">
        <v>207</v>
      </c>
      <c r="X1" s="173" t="s">
        <v>208</v>
      </c>
      <c r="Y1" s="173" t="s">
        <v>209</v>
      </c>
      <c r="Z1" s="173" t="s">
        <v>210</v>
      </c>
      <c r="AA1" s="173" t="s">
        <v>211</v>
      </c>
      <c r="AB1" s="173" t="s">
        <v>212</v>
      </c>
      <c r="AC1" s="173" t="s">
        <v>213</v>
      </c>
      <c r="AD1" s="173" t="s">
        <v>214</v>
      </c>
      <c r="AE1" s="173" t="s">
        <v>215</v>
      </c>
      <c r="AF1" s="173" t="s">
        <v>216</v>
      </c>
      <c r="AG1" s="173" t="s">
        <v>217</v>
      </c>
      <c r="AH1" s="173" t="s">
        <v>218</v>
      </c>
      <c r="AI1" s="173" t="s">
        <v>219</v>
      </c>
      <c r="AJ1" s="173" t="s">
        <v>220</v>
      </c>
      <c r="AK1" s="173" t="s">
        <v>221</v>
      </c>
      <c r="AL1" s="173" t="s">
        <v>222</v>
      </c>
      <c r="AM1" s="173" t="s">
        <v>223</v>
      </c>
      <c r="AN1" s="173" t="s">
        <v>224</v>
      </c>
      <c r="AO1" s="173" t="s">
        <v>225</v>
      </c>
      <c r="AP1" s="173" t="s">
        <v>226</v>
      </c>
      <c r="AQ1" s="173" t="s">
        <v>227</v>
      </c>
      <c r="AR1" s="173" t="s">
        <v>228</v>
      </c>
      <c r="AS1" s="173" t="s">
        <v>229</v>
      </c>
      <c r="AT1" s="173" t="s">
        <v>230</v>
      </c>
      <c r="AU1" s="173" t="s">
        <v>231</v>
      </c>
      <c r="AV1" s="173" t="s">
        <v>232</v>
      </c>
      <c r="AW1" s="173" t="s">
        <v>233</v>
      </c>
      <c r="AX1" s="173" t="s">
        <v>234</v>
      </c>
      <c r="AY1" s="173" t="s">
        <v>235</v>
      </c>
      <c r="AZ1" s="173" t="s">
        <v>236</v>
      </c>
      <c r="BA1" s="173" t="s">
        <v>237</v>
      </c>
      <c r="BB1" s="173" t="s">
        <v>238</v>
      </c>
      <c r="BC1" s="173" t="s">
        <v>239</v>
      </c>
      <c r="BD1" s="173" t="s">
        <v>240</v>
      </c>
      <c r="BE1" s="173" t="s">
        <v>241</v>
      </c>
      <c r="BF1" s="173" t="s">
        <v>199</v>
      </c>
      <c r="BG1" s="173" t="s">
        <v>200</v>
      </c>
      <c r="BH1" s="173" t="s">
        <v>242</v>
      </c>
      <c r="BI1" s="173" t="s">
        <v>202</v>
      </c>
      <c r="BJ1" s="173" t="s">
        <v>203</v>
      </c>
      <c r="BK1" s="173" t="s">
        <v>204</v>
      </c>
      <c r="BL1" s="173" t="s">
        <v>206</v>
      </c>
      <c r="BM1" s="173" t="s">
        <v>207</v>
      </c>
      <c r="BN1" s="173" t="s">
        <v>210</v>
      </c>
      <c r="BO1" s="173" t="s">
        <v>209</v>
      </c>
      <c r="BP1" s="173" t="s">
        <v>211</v>
      </c>
      <c r="BQ1" s="173" t="s">
        <v>208</v>
      </c>
      <c r="BR1" s="173" t="s">
        <v>243</v>
      </c>
      <c r="BS1" s="173" t="s">
        <v>216</v>
      </c>
      <c r="BT1" s="173" t="s">
        <v>219</v>
      </c>
      <c r="BU1" s="173" t="s">
        <v>224</v>
      </c>
      <c r="BV1" s="173" t="s">
        <v>218</v>
      </c>
      <c r="BW1" s="173" t="s">
        <v>244</v>
      </c>
    </row>
    <row r="2" spans="1:75" x14ac:dyDescent="0.15">
      <c r="A2" t="s">
        <v>38</v>
      </c>
      <c r="B2" s="112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75" x14ac:dyDescent="0.15">
      <c r="A3" t="s">
        <v>40</v>
      </c>
      <c r="B3" s="112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75" x14ac:dyDescent="0.15">
      <c r="A4" t="s">
        <v>41</v>
      </c>
      <c r="B4" s="112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75" x14ac:dyDescent="0.15">
      <c r="A5" s="172" t="s">
        <v>193</v>
      </c>
      <c r="B5" s="112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75" x14ac:dyDescent="0.15">
      <c r="A6" s="172" t="s">
        <v>194</v>
      </c>
      <c r="B6" s="112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75" x14ac:dyDescent="0.15">
      <c r="A7" s="172" t="s">
        <v>195</v>
      </c>
      <c r="B7" s="112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75" x14ac:dyDescent="0.15">
      <c r="A8" s="172" t="s">
        <v>196</v>
      </c>
      <c r="B8" s="112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75" x14ac:dyDescent="0.15">
      <c r="A9" s="172" t="s">
        <v>197</v>
      </c>
      <c r="B9" s="112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75" x14ac:dyDescent="0.15">
      <c r="A10" s="172" t="s">
        <v>198</v>
      </c>
      <c r="B10" s="112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75" x14ac:dyDescent="0.15">
      <c r="A11" s="172" t="s">
        <v>199</v>
      </c>
      <c r="B11" s="112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75" x14ac:dyDescent="0.15">
      <c r="A12" s="172" t="s">
        <v>200</v>
      </c>
      <c r="B12" s="112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75" x14ac:dyDescent="0.15">
      <c r="A13" s="172" t="s">
        <v>201</v>
      </c>
      <c r="B13" s="112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75" x14ac:dyDescent="0.15">
      <c r="A14" s="172" t="s">
        <v>202</v>
      </c>
      <c r="B14" s="112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75" x14ac:dyDescent="0.15">
      <c r="A15" s="172" t="s">
        <v>203</v>
      </c>
      <c r="B15" s="112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75" x14ac:dyDescent="0.15">
      <c r="A16" s="172" t="s">
        <v>204</v>
      </c>
      <c r="B16" s="112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72" t="s">
        <v>205</v>
      </c>
      <c r="B17" s="112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72" t="s">
        <v>206</v>
      </c>
      <c r="B18" s="112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72" t="s">
        <v>207</v>
      </c>
      <c r="B19" s="112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72" t="s">
        <v>208</v>
      </c>
      <c r="B20" s="112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72" t="s">
        <v>209</v>
      </c>
      <c r="B21" s="112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72" t="s">
        <v>210</v>
      </c>
      <c r="B22" s="112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72" t="s">
        <v>211</v>
      </c>
      <c r="B23" s="112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72" t="s">
        <v>212</v>
      </c>
      <c r="B24" s="112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72" t="s">
        <v>213</v>
      </c>
      <c r="B25" s="112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72" t="s">
        <v>214</v>
      </c>
      <c r="B26" s="112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172" t="s">
        <v>215</v>
      </c>
      <c r="B27" s="112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172" t="s">
        <v>216</v>
      </c>
      <c r="B28" s="112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172" t="s">
        <v>217</v>
      </c>
      <c r="B29" s="112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172" t="s">
        <v>218</v>
      </c>
      <c r="B30" s="112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172" t="s">
        <v>219</v>
      </c>
      <c r="B31" s="112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172" t="s">
        <v>220</v>
      </c>
      <c r="B32" s="112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172" t="s">
        <v>221</v>
      </c>
      <c r="B33" s="112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172" t="s">
        <v>222</v>
      </c>
      <c r="B34" s="112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172" t="s">
        <v>223</v>
      </c>
      <c r="B35" s="112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172" t="s">
        <v>224</v>
      </c>
      <c r="B36" s="112">
        <v>0</v>
      </c>
      <c r="C36"/>
      <c r="D36"/>
    </row>
    <row r="37" spans="1:38" ht="15" customHeight="1" x14ac:dyDescent="0.15">
      <c r="A37" s="172" t="s">
        <v>225</v>
      </c>
      <c r="B37" s="112">
        <v>0</v>
      </c>
      <c r="C37"/>
      <c r="D37"/>
    </row>
    <row r="38" spans="1:38" ht="15" customHeight="1" x14ac:dyDescent="0.15">
      <c r="A38" s="172" t="s">
        <v>226</v>
      </c>
      <c r="B38" s="112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172" t="s">
        <v>227</v>
      </c>
      <c r="B39" s="112">
        <v>0</v>
      </c>
      <c r="C39"/>
      <c r="D39"/>
    </row>
    <row r="40" spans="1:38" ht="15" customHeight="1" x14ac:dyDescent="0.15">
      <c r="A40" s="172" t="s">
        <v>228</v>
      </c>
      <c r="B40" s="112">
        <v>0</v>
      </c>
      <c r="C40"/>
      <c r="D40"/>
    </row>
    <row r="41" spans="1:38" ht="15" customHeight="1" x14ac:dyDescent="0.15">
      <c r="A41" s="172" t="s">
        <v>229</v>
      </c>
      <c r="B41" s="112">
        <v>0</v>
      </c>
      <c r="C41"/>
      <c r="D41"/>
    </row>
    <row r="42" spans="1:38" ht="15" customHeight="1" x14ac:dyDescent="0.15">
      <c r="A42" s="172" t="s">
        <v>230</v>
      </c>
      <c r="B42" s="112">
        <v>0</v>
      </c>
    </row>
    <row r="43" spans="1:38" ht="15" customHeight="1" x14ac:dyDescent="0.15">
      <c r="A43" s="172" t="s">
        <v>231</v>
      </c>
      <c r="B43" s="112">
        <v>0</v>
      </c>
    </row>
    <row r="44" spans="1:38" ht="15" customHeight="1" x14ac:dyDescent="0.15">
      <c r="A44" s="172" t="s">
        <v>232</v>
      </c>
      <c r="B44" s="112">
        <v>0</v>
      </c>
    </row>
    <row r="45" spans="1:38" ht="15" customHeight="1" x14ac:dyDescent="0.15">
      <c r="A45" s="172" t="s">
        <v>233</v>
      </c>
      <c r="B45" s="112">
        <v>0</v>
      </c>
    </row>
    <row r="46" spans="1:38" ht="15" customHeight="1" x14ac:dyDescent="0.15">
      <c r="A46" s="172" t="s">
        <v>234</v>
      </c>
      <c r="B46" s="112">
        <v>0</v>
      </c>
    </row>
    <row r="47" spans="1:38" ht="15" customHeight="1" x14ac:dyDescent="0.15">
      <c r="A47" s="172" t="s">
        <v>235</v>
      </c>
      <c r="B47" s="112">
        <v>0</v>
      </c>
    </row>
    <row r="48" spans="1:38" ht="15" customHeight="1" x14ac:dyDescent="0.15">
      <c r="A48" s="172" t="s">
        <v>236</v>
      </c>
      <c r="B48" s="112">
        <v>0</v>
      </c>
    </row>
    <row r="49" spans="1:38" ht="15" customHeight="1" x14ac:dyDescent="0.15">
      <c r="A49" s="172" t="s">
        <v>237</v>
      </c>
      <c r="B49" s="112">
        <v>0</v>
      </c>
    </row>
    <row r="50" spans="1:38" ht="15" customHeight="1" x14ac:dyDescent="0.15">
      <c r="A50" s="172" t="s">
        <v>238</v>
      </c>
      <c r="B50" s="112">
        <v>0</v>
      </c>
    </row>
    <row r="51" spans="1:38" ht="15" customHeight="1" x14ac:dyDescent="0.15">
      <c r="A51" s="172" t="s">
        <v>239</v>
      </c>
      <c r="B51" s="112">
        <v>0</v>
      </c>
    </row>
    <row r="52" spans="1:38" ht="15" customHeight="1" x14ac:dyDescent="0.15">
      <c r="A52" s="172" t="s">
        <v>240</v>
      </c>
      <c r="B52" s="112">
        <v>0</v>
      </c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 ht="15" customHeight="1" x14ac:dyDescent="0.15">
      <c r="A53" s="172" t="s">
        <v>241</v>
      </c>
      <c r="B53" s="112">
        <v>0</v>
      </c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 ht="15" customHeight="1" x14ac:dyDescent="0.15">
      <c r="A54" s="172" t="s">
        <v>199</v>
      </c>
      <c r="B54" s="112">
        <v>0</v>
      </c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 ht="15" customHeight="1" x14ac:dyDescent="0.15">
      <c r="A55" s="172" t="s">
        <v>200</v>
      </c>
      <c r="B55" s="112">
        <v>0</v>
      </c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 ht="15" customHeight="1" x14ac:dyDescent="0.15">
      <c r="A56" s="172" t="s">
        <v>242</v>
      </c>
      <c r="B56" s="112">
        <v>0</v>
      </c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 ht="15" customHeight="1" x14ac:dyDescent="0.15">
      <c r="A57" s="172" t="s">
        <v>202</v>
      </c>
      <c r="B57" s="112">
        <v>0</v>
      </c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 ht="15" customHeight="1" x14ac:dyDescent="0.15">
      <c r="A58" s="172" t="s">
        <v>203</v>
      </c>
      <c r="B58" s="112">
        <v>0</v>
      </c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 ht="15" customHeight="1" x14ac:dyDescent="0.15">
      <c r="A59" s="172" t="s">
        <v>204</v>
      </c>
      <c r="B59" s="112">
        <v>0</v>
      </c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 ht="15" customHeight="1" x14ac:dyDescent="0.15">
      <c r="A60" s="172" t="s">
        <v>206</v>
      </c>
      <c r="B60" s="112">
        <v>0</v>
      </c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 ht="15" customHeight="1" x14ac:dyDescent="0.15">
      <c r="A61" s="172" t="s">
        <v>207</v>
      </c>
      <c r="B61" s="112">
        <v>0</v>
      </c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 ht="15" customHeight="1" x14ac:dyDescent="0.15">
      <c r="A62" s="172" t="s">
        <v>210</v>
      </c>
      <c r="B62" s="112">
        <v>0</v>
      </c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 ht="15" customHeight="1" x14ac:dyDescent="0.15">
      <c r="A63" s="172" t="s">
        <v>209</v>
      </c>
      <c r="B63" s="112">
        <v>0</v>
      </c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 ht="15" customHeight="1" x14ac:dyDescent="0.15">
      <c r="A64" s="172" t="s">
        <v>211</v>
      </c>
      <c r="B64" s="112">
        <v>0</v>
      </c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1:38" ht="15" customHeight="1" x14ac:dyDescent="0.15">
      <c r="A65" s="172" t="s">
        <v>208</v>
      </c>
      <c r="B65" s="112">
        <v>0</v>
      </c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1:38" ht="15" customHeight="1" x14ac:dyDescent="0.15">
      <c r="A66" s="172" t="s">
        <v>243</v>
      </c>
      <c r="B66" s="112">
        <v>0</v>
      </c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1:38" ht="15" customHeight="1" x14ac:dyDescent="0.15">
      <c r="A67" s="172" t="s">
        <v>216</v>
      </c>
      <c r="B67" s="112">
        <v>0</v>
      </c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1:38" ht="15" customHeight="1" x14ac:dyDescent="0.15">
      <c r="A68" s="172" t="s">
        <v>219</v>
      </c>
      <c r="B68" s="112">
        <v>0</v>
      </c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1:38" ht="15" customHeight="1" x14ac:dyDescent="0.15">
      <c r="A69" s="172" t="s">
        <v>224</v>
      </c>
      <c r="B69" s="112">
        <v>0</v>
      </c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1:38" ht="15" customHeight="1" x14ac:dyDescent="0.15">
      <c r="A70" s="172" t="s">
        <v>218</v>
      </c>
      <c r="B70" s="112">
        <v>0</v>
      </c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1:38" ht="15" customHeight="1" x14ac:dyDescent="0.15">
      <c r="A71" s="172" t="s">
        <v>244</v>
      </c>
      <c r="B71" s="112">
        <v>0</v>
      </c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1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1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1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1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1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1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1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1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1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2022-10-24T04:53:37Z</dcterms:modified>
</cp:coreProperties>
</file>