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138BAFA4-EF16-EB43-9A2A-44DA1973F41F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Main!$C$2:$N$17</definedName>
    <definedName name="matDetritus">Detritus!$C$2:$E$17</definedName>
    <definedName name="matDiet">Diets!$B$2:$N$17</definedName>
    <definedName name="matDiscards">Discards!$C$2:$C$16</definedName>
    <definedName name="matFishery">Fishing!$C$2:$C$16</definedName>
    <definedName name="matFishing">Fishing!#REF!</definedName>
    <definedName name="matMort">Mortalities!$A$1:$S$16</definedName>
    <definedName name="matOut">MainOutputs!$A$2:$I$17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<sst xmlns="http://schemas.openxmlformats.org/spreadsheetml/2006/main" count="617" uniqueCount="213">
  <si>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</si>
  <si>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</si>
  <si>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</si>
  <si>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</si>
  <si>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</si>
  <si>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</si>
  <si>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</si>
  <si>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</si>
  <si>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</si>
  <si>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</si>
  <si>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</si>
  <si>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</si>
  <si>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</si>
  <si>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</si>
  <si>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</si>
  <si>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</si>
  <si>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</si>
  <si>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</si>
  <si>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</si>
  <si>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</si>
  <si>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</si>
  <si>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</si>
  <si>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</si>
  <si>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</si>
  <si>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</si>
  <si>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</si>
  <si>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</si>
  <si>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</si>
  <si>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</si>
  <si>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</si>
  <si>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</si>
  <si>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</si>
  <si>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</si>
  <si>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</si>
  <si>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</si>
  <si>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</si>
  <si>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</si>
  <si>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</si>
  <si>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</si>
  <si>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</si>
  <si>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</si>
  <si>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</si>
  <si>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</si>
  <si>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</si>
  <si>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</si>
  <si>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</si>
  <si>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</si>
  <si>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</si>
  <si>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</si>
  <si>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</si>
  <si>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</si>
  <si>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</si>
  <si>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</si>
  <si>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</si>
  <si>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</si>
  <si>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</si>
  <si>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</si>
  <si>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</si>
  <si>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</si>
  <si>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</si>
  <si>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</si>
  <si>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</si>
  <si>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</si>
  <si>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</si>
  <si>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</si>
  <si>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</si>
  <si>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</si>
  <si>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</si>
  <si>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</si>
  <si>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</si>
  <si>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</si>
  <si>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</si>
  <si>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</si>
  <si>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</si>
  <si>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</si>
  <si>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</si>
  <si>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</si>
  <si>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</si>
  <si>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</si>
  <si>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</si>
  <si>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</si>
  <si>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</si>
  <si>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</si>
  <si>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</si>
  <si>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</si>
  <si>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</si>
  <si>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</si>
  <si>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</si>
  <si>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</si>
  <si>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</si>
  <si>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</si>
  <si>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</si>
  <si>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</si>
  <si>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</si>
  <si>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</si>
  <si>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</si>
  <si>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</si>
  <si>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</si>
  <si>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</si>
  <si>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</si>
  <si>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</si>
  <si>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</si>
  <si>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</si>
  <si>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</si>
  <si>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</si>
  <si>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</si>
  <si>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</si>
  <si>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</si>
  <si>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</si>
  <si>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</si>
  <si>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</si>
  <si>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</si>
  <si>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</si>
  <si>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</si>
  <si>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</si>
  <si>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</si>
  <si>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</si>
  <si>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</si>
  <si>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</si>
  <si>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</si>
  <si>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</si>
  <si>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</si>
  <si>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</si>
  <si>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</si>
  <si>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</si>
  <si>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</si>
  <si>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</si>
  <si>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</si>
  <si>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</si>
  <si>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</si>
  <si>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</si>
  <si>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</si>
  <si>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</si>
  <si>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</si>
  <si>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</si>
  <si>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</si>
  <si>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</si>
  <si>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</si>
  <si>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</si>
  <si>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</si>
  <si>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</si>
  <si>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</si>
  <si>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</si>
  <si>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</si>
  <si>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</si>
  <si>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</si>
  <si>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</si>
  <si>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</si>
  <si>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</si>
  <si>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</si>
  <si>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</si>
  <si>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</si>
  <si>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</si>
  <si>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</si>
  <si>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</si>
  <si>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</si>
  <si>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</si>
  <si>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</si>
  <si>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</si>
  <si>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</si>
  <si>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</si>
  <si>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</si>
  <si>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</si>
  <si>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</si>
  <si>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</si>
  <si>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</si>
  <si>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</si>
  <si>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</si>
  <si>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</si>
  <si>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</si>
  <si>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</si>
  <si>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</si>
  <si>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</si>
  <si>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</si>
  <si>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</si>
  <si>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</si>
  <si>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</si>
  <si>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</si>
  <si>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</si>
  <si>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</si>
  <si>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</si>
  <si>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</si>
  <si>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</si>
  <si>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</si>
  <si>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</si>
  <si>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Liberia</t>
  </si>
  <si>
    <t>liberia</t>
  </si>
  <si>
    <t>BOX(-11.47845 3,-7.380549 5.007)</t>
  </si>
  <si>
    <t>continental shelf</t>
  </si>
  <si>
    <t>WetWeight</t>
  </si>
  <si>
    <t>No description</t>
  </si>
  <si>
    <t>Kay D.W.(2011). Liberia report on Ecopath modeling Ecosystem-based fisheries management using Ecopath with Ecosim (EwE) software. pp 105-118. In Christensen V.,Villanueva C.</t>
  </si>
  <si>
    <t>Phytoplankton</t>
  </si>
  <si>
    <t>Zooplankton</t>
  </si>
  <si>
    <t>Seabreams</t>
  </si>
  <si>
    <t>Grunts</t>
  </si>
  <si>
    <t>Croakers</t>
  </si>
  <si>
    <t>Groupers</t>
  </si>
  <si>
    <t>Snappers</t>
  </si>
  <si>
    <t>Brachydeuterus aurutus</t>
  </si>
  <si>
    <t>Sharks</t>
  </si>
  <si>
    <t>Rays</t>
  </si>
  <si>
    <t>Cephalopods</t>
  </si>
  <si>
    <t>Benthos</t>
  </si>
  <si>
    <t>Others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</si>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</sst>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FF5C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FF7800"/>
        <bgColor indexed="64"/>
      </patternFill>
    </fill>
    <fill>
      <patternFill patternType="solid">
        <fgColor rgb="FFFF3500"/>
        <bgColor indexed="64"/>
      </patternFill>
    </fill>
    <fill>
      <patternFill patternType="solid">
        <fgColor rgb="FFFFAC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3800"/>
        <bgColor indexed="64"/>
      </patternFill>
    </fill>
    <fill>
      <patternFill patternType="solid">
        <fgColor rgb="FFFF09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FC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FF8300"/>
        <bgColor indexed="64"/>
      </patternFill>
    </fill>
    <fill>
      <patternFill patternType="solid">
        <fgColor rgb="FF26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88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6" borderId="2" xfId="0" applyFont="1" applyFill="1" applyBorder="1" applyAlignment="1">
      <alignment horizontal="center"/>
    </xf>
    <xf numFmtId="0" fontId="1" fillId="16" borderId="4" xfId="0" applyFont="1" applyFill="1" applyBorder="1" applyAlignment="1">
      <alignment horizontal="center"/>
    </xf>
    <xf numFmtId="0" fontId="1" fillId="16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6" borderId="5" xfId="0" applyFill="1" applyBorder="1"/>
    <xf numFmtId="0" fontId="0" fillId="16" borderId="6" xfId="0" applyFill="1" applyBorder="1"/>
    <xf numFmtId="0" fontId="0" fillId="16" borderId="7" xfId="0" applyFill="1" applyBorder="1"/>
    <xf numFmtId="0" fontId="0" fillId="16" borderId="8" xfId="0" applyFill="1" applyBorder="1"/>
    <xf numFmtId="0" fontId="0" fillId="16" borderId="9" xfId="0" applyFill="1" applyBorder="1"/>
    <xf numFmtId="0" fontId="0" fillId="16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2" borderId="0" xfId="0" applyFill="1"/>
    <xf numFmtId="0" fontId="0" fillId="23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4" borderId="3" xfId="0" applyNumberFormat="1" applyFont="1" applyFill="1" applyBorder="1"/>
    <xf numFmtId="0" fontId="0" fillId="24" borderId="2" xfId="0" applyFont="1" applyFill="1" applyBorder="1"/>
    <xf numFmtId="0" fontId="0" fillId="24" borderId="3" xfId="0" applyFont="1" applyFill="1" applyBorder="1"/>
    <xf numFmtId="0" fontId="0" fillId="2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17" borderId="0" xfId="0" applyFont="1" applyFill="1" applyAlignment="1">
      <alignment horizontal="center"/>
    </xf>
    <xf numFmtId="0" fontId="12" fillId="18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6" borderId="2" xfId="0" applyFill="1" applyBorder="1" applyAlignment="1">
      <alignment horizontal="center"/>
    </xf>
    <xf numFmtId="0" fontId="0" fillId="16" borderId="4" xfId="0" applyFill="1" applyBorder="1" applyAlignment="1">
      <alignment horizontal="center"/>
    </xf>
    <xf numFmtId="0" fontId="0" fillId="16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51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3" t="s">
        <v>164</v>
      </c>
    </row>
    <row r="6" spans="2:4" ht="14" thickBot="1" x14ac:dyDescent="0.2">
      <c r="B6" s="37" t="s">
        <v>141</v>
      </c>
    </row>
    <row r="7" spans="2:4" x14ac:dyDescent="0.15">
      <c r="B7" s="53" t="s">
        <v>143</v>
      </c>
    </row>
    <row r="8" spans="2:4" x14ac:dyDescent="0.15">
      <c r="B8" s="53" t="s">
        <v>142</v>
      </c>
    </row>
    <row r="9" spans="2:4" x14ac:dyDescent="0.15">
      <c r="B9" s="53" t="s">
        <v>144</v>
      </c>
    </row>
    <row r="10" spans="2:4" x14ac:dyDescent="0.15">
      <c r="B10" s="53" t="s">
        <v>147</v>
      </c>
    </row>
    <row r="11" spans="2:4" x14ac:dyDescent="0.15">
      <c r="B11" s="53" t="s">
        <v>151</v>
      </c>
    </row>
    <row r="12" spans="2:4" x14ac:dyDescent="0.15">
      <c r="B12" s="53" t="s">
        <v>153</v>
      </c>
    </row>
    <row r="13" spans="2:4" x14ac:dyDescent="0.15">
      <c r="B13" s="53" t="s">
        <v>165</v>
      </c>
    </row>
    <row r="15" spans="2:4" ht="14" thickBot="1" x14ac:dyDescent="0.2"/>
    <row r="16" spans="2:4" ht="14" thickBot="1" x14ac:dyDescent="0.2">
      <c r="B16" s="38" t="s">
        <v>137</v>
      </c>
      <c r="C16" s="39"/>
      <c r="D16" s="21">
        <v>41373</v>
      </c>
    </row>
    <row r="17" spans="2:4" x14ac:dyDescent="0.15">
      <c r="B17" s="40" t="s">
        <v>58</v>
      </c>
      <c r="C17" s="24">
        <v>0</v>
      </c>
    </row>
    <row r="18" spans="2:4" x14ac:dyDescent="0.15">
      <c r="B18" s="40" t="s">
        <v>59</v>
      </c>
      <c r="C18" s="24">
        <v>1</v>
      </c>
    </row>
    <row r="19" spans="2:4" x14ac:dyDescent="0.15">
      <c r="B19" s="40" t="s">
        <v>60</v>
      </c>
      <c r="C19" s="24">
        <v>2</v>
      </c>
    </row>
    <row r="20" spans="2:4" ht="14" thickBot="1" x14ac:dyDescent="0.2">
      <c r="B20" s="41" t="s">
        <v>44</v>
      </c>
      <c r="C20" s="25">
        <v>3</v>
      </c>
    </row>
    <row r="21" spans="2:4" x14ac:dyDescent="0.15">
      <c r="B21" s="42" t="s">
        <v>140</v>
      </c>
    </row>
    <row r="22" spans="2:4" ht="14" thickBot="1" x14ac:dyDescent="0.2"/>
    <row r="23" spans="2:4" ht="14" thickBot="1" x14ac:dyDescent="0.2">
      <c r="B23" s="38" t="s">
        <v>65</v>
      </c>
      <c r="C23" s="39"/>
      <c r="D23" s="21" t="s">
        <v>148</v>
      </c>
    </row>
    <row r="24" spans="2:4" x14ac:dyDescent="0.15">
      <c r="B24" s="44" t="s">
        <v>38</v>
      </c>
      <c r="C24" s="22">
        <v>1</v>
      </c>
    </row>
    <row r="25" spans="2:4" x14ac:dyDescent="0.15">
      <c r="B25" s="40" t="s">
        <v>40</v>
      </c>
      <c r="C25" s="24">
        <v>1.1000000000000001</v>
      </c>
    </row>
    <row r="26" spans="2:4" x14ac:dyDescent="0.15">
      <c r="B26" s="40" t="s">
        <v>41</v>
      </c>
      <c r="C26" s="24">
        <v>1.2</v>
      </c>
    </row>
    <row r="27" spans="2:4" x14ac:dyDescent="0.15">
      <c r="B27" s="40"/>
      <c r="C27" s="24"/>
    </row>
    <row r="28" spans="2:4" x14ac:dyDescent="0.15">
      <c r="B28" s="40" t="s">
        <v>42</v>
      </c>
      <c r="C28" s="24">
        <v>2.1</v>
      </c>
    </row>
    <row r="29" spans="2:4" x14ac:dyDescent="0.15">
      <c r="B29" s="40" t="s">
        <v>43</v>
      </c>
      <c r="C29" s="24">
        <v>2.2000000000000002</v>
      </c>
    </row>
    <row r="30" spans="2:4" x14ac:dyDescent="0.15">
      <c r="B30" s="40" t="s">
        <v>67</v>
      </c>
      <c r="C30" s="24">
        <v>2.2999999999999998</v>
      </c>
    </row>
    <row r="31" spans="2:4" x14ac:dyDescent="0.15">
      <c r="B31" s="40"/>
      <c r="C31" s="24"/>
    </row>
    <row r="32" spans="2:4" x14ac:dyDescent="0.15">
      <c r="B32" s="40" t="s">
        <v>62</v>
      </c>
      <c r="C32" s="24">
        <v>3.11</v>
      </c>
    </row>
    <row r="33" spans="2:3" x14ac:dyDescent="0.15">
      <c r="B33" s="40" t="s">
        <v>61</v>
      </c>
      <c r="C33" s="24">
        <v>3.12</v>
      </c>
    </row>
    <row r="34" spans="2:3" x14ac:dyDescent="0.15">
      <c r="B34" s="40" t="s">
        <v>68</v>
      </c>
      <c r="C34" s="24">
        <v>3.13</v>
      </c>
    </row>
    <row r="35" spans="2:3" x14ac:dyDescent="0.15">
      <c r="B35" s="40"/>
      <c r="C35" s="24"/>
    </row>
    <row r="36" spans="2:3" x14ac:dyDescent="0.15">
      <c r="B36" s="40" t="s">
        <v>66</v>
      </c>
      <c r="C36" s="24">
        <v>3.21</v>
      </c>
    </row>
    <row r="37" spans="2:3" x14ac:dyDescent="0.15">
      <c r="B37" s="40" t="s">
        <v>63</v>
      </c>
      <c r="C37" s="24">
        <v>3.22</v>
      </c>
    </row>
    <row r="38" spans="2:3" x14ac:dyDescent="0.15">
      <c r="B38" s="40" t="s">
        <v>69</v>
      </c>
      <c r="C38" s="24">
        <v>3.23</v>
      </c>
    </row>
    <row r="39" spans="2:3" x14ac:dyDescent="0.15">
      <c r="B39" s="40"/>
      <c r="C39" s="24"/>
    </row>
    <row r="40" spans="2:3" x14ac:dyDescent="0.15">
      <c r="B40" s="40" t="s">
        <v>64</v>
      </c>
      <c r="C40" s="24">
        <v>8</v>
      </c>
    </row>
    <row r="41" spans="2:3" x14ac:dyDescent="0.15">
      <c r="B41" s="40"/>
      <c r="C41" s="24"/>
    </row>
    <row r="42" spans="2:3" x14ac:dyDescent="0.15">
      <c r="B42" s="40" t="s">
        <v>71</v>
      </c>
      <c r="C42" s="24">
        <v>4.0999999999999996</v>
      </c>
    </row>
    <row r="43" spans="2:3" x14ac:dyDescent="0.15">
      <c r="B43" s="40" t="s">
        <v>70</v>
      </c>
      <c r="C43" s="24">
        <v>4.2</v>
      </c>
    </row>
    <row r="44" spans="2:3" x14ac:dyDescent="0.15">
      <c r="B44" s="40" t="s">
        <v>72</v>
      </c>
      <c r="C44" s="24">
        <v>4.3</v>
      </c>
    </row>
    <row r="45" spans="2:3" x14ac:dyDescent="0.15">
      <c r="B45" s="23"/>
      <c r="C45" s="24"/>
    </row>
    <row r="46" spans="2:3" x14ac:dyDescent="0.15">
      <c r="B46" s="40" t="s">
        <v>138</v>
      </c>
      <c r="C46" s="24">
        <v>6.1</v>
      </c>
    </row>
    <row r="47" spans="2:3" x14ac:dyDescent="0.15">
      <c r="B47" s="40" t="s">
        <v>45</v>
      </c>
      <c r="C47" s="24">
        <v>6.2</v>
      </c>
    </row>
    <row r="48" spans="2:3" x14ac:dyDescent="0.15">
      <c r="B48" s="40"/>
      <c r="C48" s="24"/>
    </row>
    <row r="49" spans="2:4" x14ac:dyDescent="0.15">
      <c r="B49" s="40" t="s">
        <v>44</v>
      </c>
      <c r="C49" s="24">
        <v>5</v>
      </c>
    </row>
    <row r="50" spans="2:4" x14ac:dyDescent="0.15">
      <c r="B50" s="40"/>
      <c r="C50" s="24"/>
    </row>
    <row r="51" spans="2:4" ht="14" thickBot="1" x14ac:dyDescent="0.2">
      <c r="B51" s="41" t="s">
        <v>73</v>
      </c>
      <c r="C51" s="25">
        <v>7</v>
      </c>
    </row>
    <row r="53" spans="2:4" x14ac:dyDescent="0.15">
      <c r="B53" s="138" t="s">
        <v>171</v>
      </c>
      <c r="C53" s="89">
        <v>513</v>
      </c>
      <c r="D53" s="89"/>
    </row>
    <row r="54" spans="2:4" x14ac:dyDescent="0.15">
      <c r="B54" s="138" t="s">
        <v>172</v>
      </c>
      <c r="C54" s="138" t="s">
        <v>185</v>
      </c>
      <c r="D54" s="89"/>
    </row>
    <row r="55" spans="2:4" x14ac:dyDescent="0.15">
      <c r="B55" s="138" t="s">
        <v>173</v>
      </c>
      <c r="C55" s="138" t="s">
        <v>186</v>
      </c>
      <c r="D55" s="89"/>
    </row>
    <row r="56" spans="2:4" x14ac:dyDescent="0.15">
      <c r="B56" s="138" t="s">
        <v>174</v>
      </c>
      <c r="C56" s="89">
        <v>20000</v>
      </c>
      <c r="D56" s="89"/>
    </row>
    <row r="57" spans="2:4" x14ac:dyDescent="0.15">
      <c r="B57" s="138" t="s">
        <v>175</v>
      </c>
      <c r="C57" s="138" t="s">
        <v>187</v>
      </c>
      <c r="D57" s="89"/>
    </row>
    <row r="58" spans="2:4" x14ac:dyDescent="0.15">
      <c r="B58" s="138" t="s">
        <v>176</v>
      </c>
      <c r="C58" s="138" t="s">
        <v>188</v>
      </c>
      <c r="D58" s="89"/>
    </row>
    <row r="59" spans="2:4" x14ac:dyDescent="0.15">
      <c r="B59" s="138" t="s">
        <v>177</v>
      </c>
      <c r="C59" s="138" t="s">
        <v>189</v>
      </c>
      <c r="D59" s="89"/>
    </row>
    <row r="60" spans="2:4" x14ac:dyDescent="0.15">
      <c r="B60" s="138" t="s">
        <v>178</v>
      </c>
      <c r="C60" s="138" t="s">
        <v>190</v>
      </c>
      <c r="D60" s="89"/>
    </row>
    <row r="61" spans="2:4" x14ac:dyDescent="0.15">
      <c r="B61" s="138" t="s">
        <v>179</v>
      </c>
      <c r="C61" s="89">
        <v>14</v>
      </c>
      <c r="D61" s="89"/>
    </row>
    <row r="62" spans="2:4" x14ac:dyDescent="0.15">
      <c r="B62" s="138" t="s">
        <v>180</v>
      </c>
      <c r="C62" s="89">
        <v>1</v>
      </c>
      <c r="D62" s="89"/>
    </row>
    <row r="63" spans="2:4" x14ac:dyDescent="0.15">
      <c r="B63" s="138" t="s">
        <v>181</v>
      </c>
      <c r="C63" s="89">
        <v>2005</v>
      </c>
      <c r="D63" s="89"/>
    </row>
    <row r="64" spans="2:4" x14ac:dyDescent="0.15">
      <c r="B64" s="138" t="s">
        <v>182</v>
      </c>
      <c r="C64" s="89">
        <v>1</v>
      </c>
      <c r="D64" s="89"/>
    </row>
    <row r="65" spans="2:4" x14ac:dyDescent="0.15">
      <c r="B65" s="138" t="s">
        <v>183</v>
      </c>
      <c r="C65" s="138" t="s">
        <v>191</v>
      </c>
      <c r="D65" s="89"/>
    </row>
    <row r="66" spans="2:4" x14ac:dyDescent="0.15">
      <c r="B66" s="138" t="s">
        <v>184</v>
      </c>
      <c r="D66" s="89"/>
    </row>
    <row r="67" spans="2:4" x14ac:dyDescent="0.15">
      <c r="B67" s="89"/>
      <c r="C67" s="89"/>
      <c r="D67" s="89"/>
    </row>
    <row r="68" spans="2:4" x14ac:dyDescent="0.15">
      <c r="B68" s="89"/>
      <c r="C68" s="89"/>
      <c r="D68" s="89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65" customWidth="1"/>
    <col min="2" max="3" width="3.33203125" style="65" customWidth="1"/>
    <col min="4" max="4" width="14.33203125" style="65" customWidth="1"/>
    <col min="5" max="5" width="21.6640625" style="65" bestFit="1" customWidth="1"/>
    <col min="6" max="6" width="2.33203125" style="65" bestFit="1" customWidth="1"/>
    <col min="7" max="7" width="6.83203125" style="65" bestFit="1" customWidth="1"/>
    <col min="8" max="8" width="5.83203125" style="65" customWidth="1"/>
    <col min="9" max="9" width="4.33203125" style="65" customWidth="1"/>
    <col min="10" max="10" width="12.83203125" style="65" customWidth="1"/>
    <col min="11" max="11" width="11.83203125" style="65" customWidth="1"/>
    <col min="12" max="12" width="2.33203125" style="65" customWidth="1"/>
    <col min="13" max="13" width="3.83203125" style="65" customWidth="1"/>
    <col min="14" max="14" width="2.33203125" style="65" customWidth="1"/>
    <col min="16" max="25" width="8.83203125" style="6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5"/>
  </cols>
  <sheetData>
    <row r="1" spans="1:46" s="82" customFormat="1" ht="15" customHeight="1" x14ac:dyDescent="0.15">
      <c r="A1" s="61" t="s">
        <v>18</v>
      </c>
      <c r="C1" s="62" t="s">
        <v>8</v>
      </c>
      <c r="D1" s="61" t="s">
        <v>23</v>
      </c>
      <c r="E1" s="61" t="s">
        <v>0</v>
      </c>
      <c r="F1" s="61" t="s">
        <v>7</v>
      </c>
      <c r="G1" s="63" t="s">
        <v>13</v>
      </c>
      <c r="H1" s="61" t="s">
        <v>1</v>
      </c>
      <c r="I1" s="61" t="s">
        <v>2</v>
      </c>
      <c r="J1" s="61" t="s">
        <v>14</v>
      </c>
      <c r="K1" s="61" t="s">
        <v>3</v>
      </c>
      <c r="L1" s="61" t="s">
        <v>4</v>
      </c>
      <c r="M1" s="61" t="s">
        <v>5</v>
      </c>
      <c r="N1" s="6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2">
        <v>1</v>
      </c>
      <c r="D2"/>
      <c r="E2" s="139" t="s">
        <v>192</v>
      </c>
      <c r="F2" s="65">
        <v>1</v>
      </c>
      <c r="G2" s="65">
        <v>10</v>
      </c>
      <c r="H2" s="65">
        <v>200</v>
      </c>
      <c r="I2" s="6">
        <v>0</v>
      </c>
      <c r="J2" s="6">
        <v>8.3791345399999995E-2</v>
      </c>
      <c r="K2" s="6">
        <v>0</v>
      </c>
      <c r="L2" s="6">
        <v>0</v>
      </c>
      <c r="M2" s="65">
        <v>0</v>
      </c>
      <c r="N2" s="65">
        <v>0</v>
      </c>
    </row>
    <row r="3" spans="1:46" ht="15" customHeight="1" x14ac:dyDescent="0.15">
      <c r="A3" s="1" t="s">
        <v>9</v>
      </c>
      <c r="B3" s="4">
        <v>13</v>
      </c>
      <c r="C3" s="65">
        <v>2</v>
      </c>
      <c r="D3"/>
      <c r="E3" s="139" t="s">
        <v>193</v>
      </c>
      <c r="F3" s="65">
        <v>0</v>
      </c>
      <c r="G3" s="65">
        <v>0.75</v>
      </c>
      <c r="H3" s="65">
        <v>45</v>
      </c>
      <c r="I3" s="65">
        <v>200</v>
      </c>
      <c r="J3" s="65">
        <v>0.89932769999999995</v>
      </c>
      <c r="K3" s="65">
        <v>0.22500000000000001</v>
      </c>
      <c r="L3" s="65">
        <v>0</v>
      </c>
      <c r="M3" s="65">
        <v>0.2</v>
      </c>
      <c r="N3" s="65">
        <v>0</v>
      </c>
    </row>
    <row r="4" spans="1:46" ht="15" customHeight="1" x14ac:dyDescent="0.15">
      <c r="A4" s="1" t="s">
        <v>10</v>
      </c>
      <c r="B4" s="4">
        <v>2</v>
      </c>
      <c r="C4" s="65">
        <v>3</v>
      </c>
      <c r="D4"/>
      <c r="E4" s="139" t="s">
        <v>194</v>
      </c>
      <c r="F4" s="65">
        <v>0</v>
      </c>
      <c r="G4" s="65">
        <v>0.69299999999999995</v>
      </c>
      <c r="H4" s="65">
        <v>2.7250000000000001</v>
      </c>
      <c r="I4" s="65">
        <v>5.0999999999999996</v>
      </c>
      <c r="J4" s="65">
        <v>0.89968570000000003</v>
      </c>
      <c r="K4" s="65">
        <v>0.53431373800000004</v>
      </c>
      <c r="L4" s="65">
        <v>0</v>
      </c>
      <c r="M4" s="65">
        <v>0.2</v>
      </c>
      <c r="N4" s="6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65">
        <v>4</v>
      </c>
      <c r="D5"/>
      <c r="E5" s="139" t="s">
        <v>195</v>
      </c>
      <c r="F5" s="65">
        <v>0</v>
      </c>
      <c r="G5" s="65">
        <v>1.9599999999999999E-2</v>
      </c>
      <c r="H5" s="65">
        <v>3.5</v>
      </c>
      <c r="I5" s="65">
        <v>5.8</v>
      </c>
      <c r="J5" s="65">
        <v>0.98309040000000003</v>
      </c>
      <c r="K5" s="65">
        <v>0.60344830000000005</v>
      </c>
      <c r="L5" s="65">
        <v>0</v>
      </c>
      <c r="M5" s="65">
        <v>0.2</v>
      </c>
      <c r="N5" s="65">
        <v>0</v>
      </c>
      <c r="P5" s="58"/>
      <c r="Q5" s="58"/>
      <c r="R5" s="58"/>
    </row>
    <row r="6" spans="1:46" ht="15" customHeight="1" thickBot="1" x14ac:dyDescent="0.2">
      <c r="B6" s="1"/>
      <c r="C6" s="65">
        <v>5</v>
      </c>
      <c r="D6"/>
      <c r="E6" s="139" t="s">
        <v>196</v>
      </c>
      <c r="F6" s="65">
        <v>0</v>
      </c>
      <c r="G6" s="65">
        <v>0.50700000000000001</v>
      </c>
      <c r="H6" s="65">
        <v>2.81</v>
      </c>
      <c r="I6" s="65">
        <v>5</v>
      </c>
      <c r="J6" s="65">
        <v>6.3383099999999998E-2</v>
      </c>
      <c r="K6" s="65">
        <v>0.56200000000000006</v>
      </c>
      <c r="L6" s="65">
        <v>0</v>
      </c>
      <c r="M6" s="65">
        <v>0.2</v>
      </c>
      <c r="N6" s="65">
        <v>0</v>
      </c>
      <c r="P6" s="58"/>
      <c r="Q6" s="58"/>
      <c r="R6" s="58"/>
      <c r="W6" s="27" t="s">
        <v>31</v>
      </c>
      <c r="X6" s="43">
        <f>MAX(MainOutputs!G:G)</f>
        <v>0.9969136118888855</v>
      </c>
    </row>
    <row r="7" spans="1:46" ht="15" customHeight="1" x14ac:dyDescent="0.15">
      <c r="A7" s="2" t="s">
        <v>27</v>
      </c>
      <c r="B7" s="65">
        <f ca="1">COUNTIF(OFFSET(cornerDiets,1,1,NumLiving+NumDead+1,NumLiving+NumDead),"&gt;0")+NumLiving+NumDead+1</f>
        <v>54</v>
      </c>
      <c r="C7" s="65">
        <v>6</v>
      </c>
      <c r="D7"/>
      <c r="E7" s="139" t="s">
        <v>197</v>
      </c>
      <c r="F7" s="65">
        <v>0</v>
      </c>
      <c r="G7" s="65">
        <v>2.3400000000000001E-2</v>
      </c>
      <c r="H7" s="65">
        <v>2</v>
      </c>
      <c r="I7" s="65">
        <v>4.8</v>
      </c>
      <c r="J7" s="65">
        <v>0.75000005999999997</v>
      </c>
      <c r="K7" s="65">
        <v>0.416666657</v>
      </c>
      <c r="L7" s="65">
        <v>0</v>
      </c>
      <c r="M7" s="65">
        <v>0.2</v>
      </c>
      <c r="N7" s="65">
        <v>0</v>
      </c>
      <c r="P7" s="58"/>
      <c r="Q7" s="58"/>
      <c r="R7" s="58"/>
    </row>
    <row r="8" spans="1:46" ht="15" customHeight="1" x14ac:dyDescent="0.15">
      <c r="A8" s="2" t="s">
        <v>28</v>
      </c>
      <c r="B8" s="65">
        <f ca="1">COUNTIF(OFFSET(cornerFishing,1,2,NumLiving+NumDead,NumGears),"&gt;0")+NumDead*COUNTIF(OFFSET(cornerDiscards,1,2,NumLiving+NumDead,NumGears),"&gt;0")+NumLiving+NumDead+1</f>
        <v>23</v>
      </c>
      <c r="C8" s="65">
        <v>7</v>
      </c>
      <c r="D8"/>
      <c r="E8" s="139" t="s">
        <v>198</v>
      </c>
      <c r="F8" s="65">
        <v>0</v>
      </c>
      <c r="G8" s="65">
        <v>1.5800000000000002E-2</v>
      </c>
      <c r="H8" s="65">
        <v>4</v>
      </c>
      <c r="I8" s="65">
        <v>6.4</v>
      </c>
      <c r="J8" s="65">
        <v>0.88924056299999998</v>
      </c>
      <c r="K8" s="65">
        <v>0.625</v>
      </c>
      <c r="L8" s="65">
        <v>0</v>
      </c>
      <c r="M8" s="65">
        <v>0.2</v>
      </c>
      <c r="N8" s="65">
        <v>0</v>
      </c>
      <c r="P8" s="58"/>
      <c r="Q8" s="58"/>
      <c r="R8" s="58"/>
    </row>
    <row r="9" spans="1:46" ht="15" customHeight="1" x14ac:dyDescent="0.15">
      <c r="B9" s="1"/>
      <c r="C9" s="65">
        <v>8</v>
      </c>
      <c r="D9"/>
      <c r="E9" s="139" t="s">
        <v>199</v>
      </c>
      <c r="F9" s="65">
        <v>0</v>
      </c>
      <c r="G9" s="65">
        <v>8.6599999999999996E-2</v>
      </c>
      <c r="H9" s="65">
        <v>3</v>
      </c>
      <c r="I9" s="65">
        <v>15</v>
      </c>
      <c r="J9" s="65">
        <v>0.90550430000000004</v>
      </c>
      <c r="K9" s="65">
        <v>0.2</v>
      </c>
      <c r="L9" s="65">
        <v>0</v>
      </c>
      <c r="M9" s="65">
        <v>0.2</v>
      </c>
      <c r="N9" s="65">
        <v>0</v>
      </c>
      <c r="P9" s="58"/>
      <c r="Q9" s="58"/>
      <c r="R9" s="58"/>
    </row>
    <row r="10" spans="1:46" ht="15" customHeight="1" x14ac:dyDescent="0.15">
      <c r="B10" s="1"/>
      <c r="C10" s="65">
        <v>9</v>
      </c>
      <c r="D10"/>
      <c r="E10" s="139" t="s">
        <v>200</v>
      </c>
      <c r="F10" s="65">
        <v>0</v>
      </c>
      <c r="G10" s="65">
        <v>5.62E-2</v>
      </c>
      <c r="H10" s="65">
        <v>2</v>
      </c>
      <c r="I10" s="65">
        <v>10</v>
      </c>
      <c r="J10" s="65">
        <v>0.76512455899999998</v>
      </c>
      <c r="K10" s="65">
        <v>0.2</v>
      </c>
      <c r="L10" s="65">
        <v>0</v>
      </c>
      <c r="M10" s="65">
        <v>0.2</v>
      </c>
      <c r="N10" s="65">
        <v>0</v>
      </c>
    </row>
    <row r="11" spans="1:46" ht="15" customHeight="1" x14ac:dyDescent="0.15">
      <c r="C11" s="65">
        <v>10</v>
      </c>
      <c r="D11"/>
      <c r="E11" s="139" t="s">
        <v>201</v>
      </c>
      <c r="F11" s="65">
        <v>0</v>
      </c>
      <c r="G11" s="65">
        <v>4.8000000000000001E-2</v>
      </c>
      <c r="H11" s="65">
        <v>2</v>
      </c>
      <c r="I11" s="65">
        <v>10</v>
      </c>
      <c r="J11" s="65">
        <v>0.8958334</v>
      </c>
      <c r="K11" s="65">
        <v>0.2</v>
      </c>
      <c r="L11" s="65">
        <v>0</v>
      </c>
      <c r="M11" s="65">
        <v>0.2</v>
      </c>
      <c r="N11" s="65">
        <v>0</v>
      </c>
    </row>
    <row r="12" spans="1:46" ht="15" customHeight="1" x14ac:dyDescent="0.15">
      <c r="C12" s="65">
        <v>11</v>
      </c>
      <c r="D12"/>
      <c r="E12" s="139" t="s">
        <v>202</v>
      </c>
      <c r="F12" s="65">
        <v>0</v>
      </c>
      <c r="G12" s="65">
        <v>2.1600000000000001E-2</v>
      </c>
      <c r="H12" s="65">
        <v>6</v>
      </c>
      <c r="I12" s="65">
        <v>20</v>
      </c>
      <c r="J12" s="65">
        <v>0.99691359999999996</v>
      </c>
      <c r="K12" s="65">
        <v>0.3</v>
      </c>
      <c r="L12" s="65">
        <v>0</v>
      </c>
      <c r="M12" s="65">
        <v>0.2</v>
      </c>
      <c r="N12" s="65">
        <v>0</v>
      </c>
    </row>
    <row r="13" spans="1:46" ht="15" customHeight="1" x14ac:dyDescent="0.15">
      <c r="C13" s="65">
        <v>12</v>
      </c>
      <c r="D13"/>
      <c r="E13" s="139" t="s">
        <v>203</v>
      </c>
      <c r="F13" s="65">
        <v>0</v>
      </c>
      <c r="G13" s="65">
        <v>2.7879999999999998</v>
      </c>
      <c r="H13" s="65">
        <v>7</v>
      </c>
      <c r="I13" s="65">
        <v>30</v>
      </c>
      <c r="J13" s="65">
        <v>0.89999943999999998</v>
      </c>
      <c r="K13" s="65">
        <v>0.233333334</v>
      </c>
      <c r="L13" s="65">
        <v>0</v>
      </c>
      <c r="M13" s="65">
        <v>0.2</v>
      </c>
      <c r="N13" s="65">
        <v>0</v>
      </c>
    </row>
    <row r="14" spans="1:46" ht="15" customHeight="1" x14ac:dyDescent="0.15">
      <c r="C14" s="65">
        <v>13</v>
      </c>
      <c r="D14"/>
      <c r="E14" s="139" t="s">
        <v>204</v>
      </c>
      <c r="F14" s="65">
        <v>0</v>
      </c>
      <c r="G14" s="65">
        <v>0.54700000000000004</v>
      </c>
      <c r="H14" s="65">
        <v>3</v>
      </c>
      <c r="I14" s="65">
        <v>15</v>
      </c>
      <c r="J14" s="65">
        <v>0.90161860000000005</v>
      </c>
      <c r="K14" s="65">
        <v>0.2</v>
      </c>
      <c r="L14" s="65">
        <v>0</v>
      </c>
      <c r="M14" s="65">
        <v>0.2</v>
      </c>
      <c r="N14" s="65">
        <v>0</v>
      </c>
    </row>
    <row r="15" spans="1:46" ht="15" customHeight="1" x14ac:dyDescent="0.15">
      <c r="C15" s="65">
        <v>14</v>
      </c>
      <c r="D15"/>
      <c r="E15" s="139" t="s">
        <v>205</v>
      </c>
      <c r="F15" s="65">
        <v>2</v>
      </c>
      <c r="G15" s="65">
        <v>10</v>
      </c>
      <c r="H15" s="65">
        <v>0</v>
      </c>
      <c r="I15" s="65">
        <v>0</v>
      </c>
      <c r="J15" s="65">
        <v>0</v>
      </c>
      <c r="K15" s="65">
        <v>0</v>
      </c>
      <c r="L15" s="65">
        <v>0</v>
      </c>
      <c r="M15" s="65">
        <v>0</v>
      </c>
      <c r="N15" s="65">
        <v>0</v>
      </c>
    </row>
    <row r="16" spans="1:46" ht="15" customHeight="1" x14ac:dyDescent="0.15">
      <c r="C16" s="65">
        <v>15</v>
      </c>
      <c r="D16"/>
      <c r="E16" s="139" t="s">
        <v>206</v>
      </c>
      <c r="F16" s="65">
        <v>2</v>
      </c>
      <c r="G16" s="65">
        <v>5</v>
      </c>
      <c r="H16" s="65">
        <v>0</v>
      </c>
      <c r="I16" s="65">
        <v>0</v>
      </c>
      <c r="J16" s="65">
        <v>0</v>
      </c>
      <c r="K16" s="65">
        <v>0</v>
      </c>
      <c r="L16" s="65">
        <v>0</v>
      </c>
      <c r="M16" s="65">
        <v>0</v>
      </c>
      <c r="N16" s="65">
        <v>0</v>
      </c>
    </row>
    <row r="17" spans="1:22" ht="15" customHeight="1" x14ac:dyDescent="0.15">
      <c r="C17" s="65">
        <v>16</v>
      </c>
      <c r="D17"/>
      <c r="E17" s="139" t="s">
        <v>207</v>
      </c>
      <c r="F17" s="65">
        <v>3</v>
      </c>
      <c r="G17" s="65">
        <v>0</v>
      </c>
      <c r="H17" s="65">
        <v>0</v>
      </c>
      <c r="I17" s="65">
        <v>0</v>
      </c>
      <c r="J17" s="65">
        <v>0</v>
      </c>
      <c r="K17" s="65">
        <v>0</v>
      </c>
      <c r="L17" s="65">
        <v>0</v>
      </c>
      <c r="M17" s="65">
        <v>0</v>
      </c>
      <c r="N17" s="65">
        <v>0</v>
      </c>
      <c r="V17" s="1" t="s">
        <v>30</v>
      </c>
    </row>
    <row r="18" spans="1:22" ht="15" customHeight="1" x14ac:dyDescent="0.15">
      <c r="C18"/>
      <c r="D18"/>
      <c r="E18"/>
      <c r="F18"/>
      <c r="G18"/>
      <c r="H18"/>
      <c r="I18"/>
      <c r="J18"/>
      <c r="K18"/>
      <c r="L18"/>
      <c r="M18"/>
      <c r="N18"/>
      <c r="V18" s="1"/>
    </row>
    <row r="19" spans="1:22" ht="15" customHeight="1" x14ac:dyDescent="0.15">
      <c r="C19"/>
      <c r="D19"/>
      <c r="E19"/>
      <c r="F19"/>
      <c r="G19"/>
      <c r="H19"/>
      <c r="I19"/>
      <c r="J19"/>
      <c r="K19"/>
      <c r="L19"/>
      <c r="M19"/>
      <c r="N19"/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38" t="s">
        <v>137</v>
      </c>
      <c r="B21" s="83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84" t="s">
        <v>58</v>
      </c>
      <c r="B22" s="85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84" t="s">
        <v>59</v>
      </c>
      <c r="B23" s="85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84" t="s">
        <v>60</v>
      </c>
      <c r="B24" s="85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6" t="s">
        <v>44</v>
      </c>
      <c r="B25" s="87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8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20" bestFit="1" customWidth="1"/>
    <col min="2" max="3" width="2.33203125" style="120" bestFit="1" customWidth="1"/>
    <col min="4" max="4" width="4.83203125" style="120" bestFit="1" customWidth="1"/>
    <col min="5" max="5" width="3.83203125" style="120" bestFit="1" customWidth="1"/>
    <col min="6" max="6" width="4.83203125" style="120" bestFit="1" customWidth="1"/>
    <col min="7" max="8" width="3.83203125" style="120" bestFit="1" customWidth="1"/>
    <col min="9" max="10" width="4.83203125" style="120" bestFit="1" customWidth="1"/>
    <col min="11" max="14" width="3.83203125" style="120" bestFit="1" customWidth="1"/>
    <col min="15" max="16" width="2.33203125" style="120" bestFit="1" customWidth="1"/>
    <col min="17" max="29" width="9" style="120" bestFit="1" customWidth="1"/>
    <col min="30" max="16384" width="8.83203125" style="120"/>
  </cols>
  <sheetData>
    <row r="1" spans="1:34" x14ac:dyDescent="0.15">
      <c r="A1" s="119" t="s">
        <v>19</v>
      </c>
      <c r="B1" s="141" t="s">
        <v>192</v>
      </c>
      <c r="C1" s="141" t="s">
        <v>193</v>
      </c>
      <c r="D1" s="141" t="s">
        <v>194</v>
      </c>
      <c r="E1" s="141" t="s">
        <v>195</v>
      </c>
      <c r="F1" s="141" t="s">
        <v>196</v>
      </c>
      <c r="G1" s="141" t="s">
        <v>197</v>
      </c>
      <c r="H1" s="141" t="s">
        <v>198</v>
      </c>
      <c r="I1" s="141" t="s">
        <v>199</v>
      </c>
      <c r="J1" s="141" t="s">
        <v>200</v>
      </c>
      <c r="K1" s="141" t="s">
        <v>201</v>
      </c>
      <c r="L1" s="141" t="s">
        <v>202</v>
      </c>
      <c r="M1" s="141" t="s">
        <v>203</v>
      </c>
      <c r="N1" s="141" t="s">
        <v>204</v>
      </c>
      <c r="O1" s="141" t="s">
        <v>205</v>
      </c>
      <c r="P1" s="141" t="s">
        <v>206</v>
      </c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40" t="s">
        <v>192</v>
      </c>
      <c r="B2" s="120">
        <v>0</v>
      </c>
      <c r="C2" s="120">
        <v>1</v>
      </c>
      <c r="D2" s="120">
        <v>6.9999999999999993E-2</v>
      </c>
      <c r="E2" s="120">
        <v>0.2</v>
      </c>
      <c r="F2" s="120">
        <v>0</v>
      </c>
      <c r="G2" s="120">
        <v>0</v>
      </c>
      <c r="H2" s="120">
        <v>0</v>
      </c>
      <c r="I2" s="120">
        <v>0.45</v>
      </c>
      <c r="J2" s="120">
        <v>0</v>
      </c>
      <c r="K2" s="120">
        <v>0</v>
      </c>
      <c r="L2" s="120">
        <v>0</v>
      </c>
      <c r="M2" s="120">
        <v>0.2</v>
      </c>
      <c r="N2" s="120">
        <v>0</v>
      </c>
      <c r="O2" s="120">
        <v>0</v>
      </c>
      <c r="P2" s="120">
        <v>0</v>
      </c>
    </row>
    <row r="3" spans="1:34" customFormat="1" x14ac:dyDescent="0.15">
      <c r="A3" s="140" t="s">
        <v>193</v>
      </c>
      <c r="B3" s="120">
        <v>0</v>
      </c>
      <c r="C3" s="120">
        <v>0</v>
      </c>
      <c r="D3" s="120">
        <v>0.79999999999999982</v>
      </c>
      <c r="E3" s="120">
        <v>0.3</v>
      </c>
      <c r="F3" s="120">
        <v>0</v>
      </c>
      <c r="G3" s="120">
        <v>0.2</v>
      </c>
      <c r="H3" s="120">
        <v>0</v>
      </c>
      <c r="I3" s="120">
        <v>0.3</v>
      </c>
      <c r="J3" s="120">
        <v>0</v>
      </c>
      <c r="K3" s="120">
        <v>0</v>
      </c>
      <c r="L3" s="120">
        <v>0.8</v>
      </c>
      <c r="M3" s="120">
        <v>0.3</v>
      </c>
      <c r="N3" s="120">
        <v>0.2</v>
      </c>
      <c r="O3" s="120">
        <v>0</v>
      </c>
      <c r="P3" s="120">
        <v>0</v>
      </c>
    </row>
    <row r="4" spans="1:34" customFormat="1" x14ac:dyDescent="0.15">
      <c r="A4" s="140" t="s">
        <v>194</v>
      </c>
      <c r="B4" s="120">
        <v>0</v>
      </c>
      <c r="C4" s="120">
        <v>0</v>
      </c>
      <c r="D4" s="120">
        <v>2.9999999999999992E-2</v>
      </c>
      <c r="E4" s="120">
        <v>0</v>
      </c>
      <c r="F4" s="120">
        <v>0</v>
      </c>
      <c r="G4" s="120">
        <v>0</v>
      </c>
      <c r="H4" s="120">
        <v>0</v>
      </c>
      <c r="I4" s="120">
        <v>0</v>
      </c>
      <c r="J4" s="120">
        <v>0.08</v>
      </c>
      <c r="K4" s="120">
        <v>0</v>
      </c>
      <c r="L4" s="120">
        <v>0</v>
      </c>
      <c r="M4" s="120">
        <v>0</v>
      </c>
      <c r="N4" s="120">
        <v>0</v>
      </c>
      <c r="O4" s="120">
        <v>0</v>
      </c>
      <c r="P4" s="120">
        <v>0</v>
      </c>
    </row>
    <row r="5" spans="1:34" customFormat="1" x14ac:dyDescent="0.15">
      <c r="A5" s="140" t="s">
        <v>195</v>
      </c>
      <c r="B5" s="120">
        <v>0</v>
      </c>
      <c r="C5" s="120">
        <v>0</v>
      </c>
      <c r="D5" s="120">
        <v>0</v>
      </c>
      <c r="E5" s="120">
        <v>0</v>
      </c>
      <c r="F5" s="120">
        <v>0</v>
      </c>
      <c r="G5" s="120">
        <v>0</v>
      </c>
      <c r="H5" s="120">
        <v>0</v>
      </c>
      <c r="I5" s="120">
        <v>0</v>
      </c>
      <c r="J5" s="120">
        <v>0.12</v>
      </c>
      <c r="K5" s="120">
        <v>0</v>
      </c>
      <c r="L5" s="120">
        <v>0</v>
      </c>
      <c r="M5" s="120">
        <v>0</v>
      </c>
      <c r="N5" s="120">
        <v>0</v>
      </c>
      <c r="O5" s="120">
        <v>0</v>
      </c>
      <c r="P5" s="120">
        <v>0</v>
      </c>
    </row>
    <row r="6" spans="1:34" customFormat="1" x14ac:dyDescent="0.15">
      <c r="A6" s="140" t="s">
        <v>196</v>
      </c>
      <c r="B6" s="120">
        <v>0</v>
      </c>
      <c r="C6" s="120">
        <v>0</v>
      </c>
      <c r="D6" s="120">
        <v>0</v>
      </c>
      <c r="E6" s="120">
        <v>0</v>
      </c>
      <c r="F6" s="120">
        <v>0</v>
      </c>
      <c r="G6" s="120">
        <v>0</v>
      </c>
      <c r="H6" s="120">
        <v>0</v>
      </c>
      <c r="I6" s="120">
        <v>0</v>
      </c>
      <c r="J6" s="120">
        <v>0.15</v>
      </c>
      <c r="K6" s="120">
        <v>0</v>
      </c>
      <c r="L6" s="120">
        <v>0</v>
      </c>
      <c r="M6" s="120">
        <v>0</v>
      </c>
      <c r="N6" s="120">
        <v>0</v>
      </c>
      <c r="O6" s="120">
        <v>0</v>
      </c>
      <c r="P6" s="120">
        <v>0</v>
      </c>
    </row>
    <row r="7" spans="1:34" customFormat="1" x14ac:dyDescent="0.15">
      <c r="A7" s="140" t="s">
        <v>197</v>
      </c>
      <c r="B7" s="120">
        <v>0</v>
      </c>
      <c r="C7" s="120">
        <v>0</v>
      </c>
      <c r="D7" s="120">
        <v>0</v>
      </c>
      <c r="E7" s="120">
        <v>0</v>
      </c>
      <c r="F7" s="120">
        <v>0</v>
      </c>
      <c r="G7" s="120">
        <v>0</v>
      </c>
      <c r="H7" s="120">
        <v>0</v>
      </c>
      <c r="I7" s="120">
        <v>0</v>
      </c>
      <c r="J7" s="120">
        <v>0.05</v>
      </c>
      <c r="K7" s="120">
        <v>0</v>
      </c>
      <c r="L7" s="120">
        <v>0</v>
      </c>
      <c r="M7" s="120">
        <v>0</v>
      </c>
      <c r="N7" s="120">
        <v>0</v>
      </c>
      <c r="O7" s="120">
        <v>0</v>
      </c>
      <c r="P7" s="120">
        <v>0</v>
      </c>
    </row>
    <row r="8" spans="1:34" customFormat="1" x14ac:dyDescent="0.15">
      <c r="A8" s="140" t="s">
        <v>198</v>
      </c>
      <c r="B8" s="120">
        <v>0</v>
      </c>
      <c r="C8" s="120">
        <v>0</v>
      </c>
      <c r="D8" s="120">
        <v>0</v>
      </c>
      <c r="E8" s="120">
        <v>0</v>
      </c>
      <c r="F8" s="120">
        <v>0</v>
      </c>
      <c r="G8" s="120">
        <v>0</v>
      </c>
      <c r="H8" s="120">
        <v>0</v>
      </c>
      <c r="I8" s="120">
        <v>0</v>
      </c>
      <c r="J8" s="120">
        <v>0.1</v>
      </c>
      <c r="K8" s="120">
        <v>0</v>
      </c>
      <c r="L8" s="120">
        <v>0</v>
      </c>
      <c r="M8" s="120">
        <v>0</v>
      </c>
      <c r="N8" s="120">
        <v>0</v>
      </c>
      <c r="O8" s="120">
        <v>0</v>
      </c>
      <c r="P8" s="120">
        <v>0</v>
      </c>
    </row>
    <row r="9" spans="1:34" customFormat="1" x14ac:dyDescent="0.15">
      <c r="A9" s="140" t="s">
        <v>199</v>
      </c>
      <c r="B9" s="120">
        <v>0</v>
      </c>
      <c r="C9" s="120">
        <v>0</v>
      </c>
      <c r="D9" s="120">
        <v>0</v>
      </c>
      <c r="E9" s="120">
        <v>0</v>
      </c>
      <c r="F9" s="120">
        <v>0</v>
      </c>
      <c r="G9" s="120">
        <v>0</v>
      </c>
      <c r="H9" s="120">
        <v>0</v>
      </c>
      <c r="I9" s="120">
        <v>0.05</v>
      </c>
      <c r="J9" s="120">
        <v>0.15</v>
      </c>
      <c r="K9" s="120">
        <v>0</v>
      </c>
      <c r="L9" s="120">
        <v>0</v>
      </c>
      <c r="M9" s="120">
        <v>0</v>
      </c>
      <c r="N9" s="120">
        <v>0</v>
      </c>
      <c r="O9" s="120">
        <v>0</v>
      </c>
      <c r="P9" s="120">
        <v>0</v>
      </c>
    </row>
    <row r="10" spans="1:34" customFormat="1" x14ac:dyDescent="0.15">
      <c r="A10" s="140" t="s">
        <v>200</v>
      </c>
      <c r="B10" s="120">
        <v>0</v>
      </c>
      <c r="C10" s="120">
        <v>0</v>
      </c>
      <c r="D10" s="120">
        <v>0</v>
      </c>
      <c r="E10" s="120">
        <v>0</v>
      </c>
      <c r="F10" s="120">
        <v>0</v>
      </c>
      <c r="G10" s="120">
        <v>0</v>
      </c>
      <c r="H10" s="120">
        <v>0</v>
      </c>
      <c r="I10" s="120">
        <v>0</v>
      </c>
      <c r="J10" s="120">
        <v>0</v>
      </c>
      <c r="K10" s="120">
        <v>0</v>
      </c>
      <c r="L10" s="120">
        <v>0</v>
      </c>
      <c r="M10" s="120">
        <v>0</v>
      </c>
      <c r="N10" s="120">
        <v>0</v>
      </c>
      <c r="O10" s="120">
        <v>0</v>
      </c>
      <c r="P10" s="120">
        <v>0</v>
      </c>
    </row>
    <row r="11" spans="1:34" customFormat="1" x14ac:dyDescent="0.15">
      <c r="A11" s="140" t="s">
        <v>201</v>
      </c>
      <c r="B11" s="120">
        <v>0</v>
      </c>
      <c r="C11" s="120">
        <v>0</v>
      </c>
      <c r="D11" s="120">
        <v>0</v>
      </c>
      <c r="E11" s="120">
        <v>0</v>
      </c>
      <c r="F11" s="120">
        <v>0</v>
      </c>
      <c r="G11" s="120">
        <v>0</v>
      </c>
      <c r="H11" s="120">
        <v>0</v>
      </c>
      <c r="I11" s="120">
        <v>0</v>
      </c>
      <c r="J11" s="120">
        <v>0</v>
      </c>
      <c r="K11" s="120">
        <v>0</v>
      </c>
      <c r="L11" s="120">
        <v>0</v>
      </c>
      <c r="M11" s="120">
        <v>0</v>
      </c>
      <c r="N11" s="120">
        <v>0</v>
      </c>
      <c r="O11" s="120">
        <v>0</v>
      </c>
      <c r="P11" s="120">
        <v>0</v>
      </c>
    </row>
    <row r="12" spans="1:34" customFormat="1" x14ac:dyDescent="0.15">
      <c r="A12" s="140" t="s">
        <v>202</v>
      </c>
      <c r="B12" s="120">
        <v>0</v>
      </c>
      <c r="C12" s="120">
        <v>0</v>
      </c>
      <c r="D12" s="120">
        <v>0</v>
      </c>
      <c r="E12" s="120">
        <v>0</v>
      </c>
      <c r="F12" s="120">
        <v>0</v>
      </c>
      <c r="G12" s="120">
        <v>0</v>
      </c>
      <c r="H12" s="120">
        <v>0</v>
      </c>
      <c r="I12" s="120">
        <v>0</v>
      </c>
      <c r="J12" s="120">
        <v>0</v>
      </c>
      <c r="K12" s="120">
        <v>0</v>
      </c>
      <c r="L12" s="120">
        <v>0.1</v>
      </c>
      <c r="M12" s="120">
        <v>0</v>
      </c>
      <c r="N12" s="120">
        <v>0</v>
      </c>
      <c r="O12" s="120">
        <v>0</v>
      </c>
      <c r="P12" s="120">
        <v>0</v>
      </c>
    </row>
    <row r="13" spans="1:34" customFormat="1" x14ac:dyDescent="0.15">
      <c r="A13" s="140" t="s">
        <v>203</v>
      </c>
      <c r="B13" s="120">
        <v>0</v>
      </c>
      <c r="C13" s="120">
        <v>0</v>
      </c>
      <c r="D13" s="120">
        <v>9.9999999999999978E-2</v>
      </c>
      <c r="E13" s="120">
        <v>0.5</v>
      </c>
      <c r="F13" s="120">
        <v>0.68</v>
      </c>
      <c r="G13" s="120">
        <v>0.5</v>
      </c>
      <c r="H13" s="120">
        <v>0.5</v>
      </c>
      <c r="I13" s="120">
        <v>0</v>
      </c>
      <c r="J13" s="120">
        <v>0.2</v>
      </c>
      <c r="K13" s="120">
        <v>0.5</v>
      </c>
      <c r="L13" s="120">
        <v>0.1</v>
      </c>
      <c r="M13" s="120">
        <v>0.1</v>
      </c>
      <c r="N13" s="120">
        <v>0.8</v>
      </c>
      <c r="O13" s="120">
        <v>0</v>
      </c>
      <c r="P13" s="120">
        <v>0</v>
      </c>
    </row>
    <row r="14" spans="1:34" customFormat="1" x14ac:dyDescent="0.15">
      <c r="A14" s="140" t="s">
        <v>204</v>
      </c>
      <c r="B14" s="120">
        <v>0</v>
      </c>
      <c r="C14" s="120">
        <v>0</v>
      </c>
      <c r="D14" s="120">
        <v>0</v>
      </c>
      <c r="E14" s="120">
        <v>0</v>
      </c>
      <c r="F14" s="120">
        <v>0.32</v>
      </c>
      <c r="G14" s="120">
        <v>0.3</v>
      </c>
      <c r="H14" s="120">
        <v>0.5</v>
      </c>
      <c r="I14" s="120">
        <v>0.2</v>
      </c>
      <c r="J14" s="120">
        <v>0.15</v>
      </c>
      <c r="K14" s="120">
        <v>0.5</v>
      </c>
      <c r="L14" s="120">
        <v>0</v>
      </c>
      <c r="M14" s="120">
        <v>0</v>
      </c>
      <c r="N14" s="120">
        <v>0</v>
      </c>
      <c r="O14" s="120">
        <v>0</v>
      </c>
      <c r="P14" s="120">
        <v>0</v>
      </c>
    </row>
    <row r="15" spans="1:34" customFormat="1" x14ac:dyDescent="0.15">
      <c r="A15" s="140" t="s">
        <v>205</v>
      </c>
      <c r="B15" s="120">
        <v>0</v>
      </c>
      <c r="C15" s="120">
        <v>0</v>
      </c>
      <c r="D15" s="120">
        <v>0</v>
      </c>
      <c r="E15" s="120">
        <v>0</v>
      </c>
      <c r="F15" s="120">
        <v>0</v>
      </c>
      <c r="G15" s="120">
        <v>0</v>
      </c>
      <c r="H15" s="120">
        <v>0</v>
      </c>
      <c r="I15" s="120">
        <v>0</v>
      </c>
      <c r="J15" s="120">
        <v>0</v>
      </c>
      <c r="K15" s="120">
        <v>0</v>
      </c>
      <c r="L15" s="120">
        <v>0</v>
      </c>
      <c r="M15" s="120">
        <v>0.4</v>
      </c>
      <c r="N15" s="120">
        <v>0</v>
      </c>
      <c r="O15" s="120">
        <v>0</v>
      </c>
      <c r="P15" s="120">
        <v>0</v>
      </c>
    </row>
    <row r="16" spans="1:34" customFormat="1" x14ac:dyDescent="0.15">
      <c r="A16" s="140" t="s">
        <v>206</v>
      </c>
      <c r="B16" s="120">
        <v>0</v>
      </c>
      <c r="C16" s="120">
        <v>0</v>
      </c>
      <c r="D16" s="120">
        <v>0</v>
      </c>
      <c r="E16" s="120">
        <v>0</v>
      </c>
      <c r="F16" s="120">
        <v>0</v>
      </c>
      <c r="G16" s="120">
        <v>0</v>
      </c>
      <c r="H16" s="120">
        <v>0</v>
      </c>
      <c r="I16" s="120">
        <v>0</v>
      </c>
      <c r="J16" s="120">
        <v>0</v>
      </c>
      <c r="K16" s="120">
        <v>0</v>
      </c>
      <c r="L16" s="120">
        <v>0</v>
      </c>
      <c r="M16" s="120">
        <v>0</v>
      </c>
      <c r="N16" s="120">
        <v>0</v>
      </c>
      <c r="O16" s="120">
        <v>0</v>
      </c>
      <c r="P16" s="120">
        <v>0</v>
      </c>
    </row>
    <row r="17" spans="1:16" customFormat="1" x14ac:dyDescent="0.15">
      <c r="A17" s="140" t="s">
        <v>208</v>
      </c>
      <c r="B17" s="120">
        <v>0</v>
      </c>
      <c r="C17" s="120">
        <v>0</v>
      </c>
      <c r="D17" s="120">
        <v>0</v>
      </c>
      <c r="E17" s="120">
        <v>0</v>
      </c>
      <c r="F17" s="120">
        <v>0</v>
      </c>
      <c r="G17" s="120">
        <v>0</v>
      </c>
      <c r="H17" s="120">
        <v>0</v>
      </c>
      <c r="I17" s="120">
        <v>0</v>
      </c>
      <c r="J17" s="120">
        <v>0</v>
      </c>
      <c r="K17" s="120">
        <v>0</v>
      </c>
      <c r="L17" s="120">
        <v>0</v>
      </c>
      <c r="M17" s="120">
        <v>0</v>
      </c>
      <c r="N17" s="120">
        <v>0</v>
      </c>
      <c r="O17" s="120">
        <v>0</v>
      </c>
      <c r="P17" s="120">
        <v>0</v>
      </c>
    </row>
    <row r="18" spans="1:16" customFormat="1" x14ac:dyDescent="0.15"/>
    <row r="19" spans="1:16" customFormat="1" x14ac:dyDescent="0.15"/>
    <row r="20" spans="1:16" customFormat="1" x14ac:dyDescent="0.15"/>
    <row r="21" spans="1:16" customFormat="1" x14ac:dyDescent="0.15"/>
    <row r="22" spans="1:16" customFormat="1" x14ac:dyDescent="0.15"/>
    <row r="23" spans="1:16" customFormat="1" x14ac:dyDescent="0.15"/>
    <row r="24" spans="1:16" customFormat="1" x14ac:dyDescent="0.15"/>
    <row r="25" spans="1:16" customFormat="1" x14ac:dyDescent="0.15"/>
    <row r="26" spans="1:16" customFormat="1" x14ac:dyDescent="0.15"/>
    <row r="27" spans="1:16" customFormat="1" x14ac:dyDescent="0.15"/>
    <row r="28" spans="1:16" customFormat="1" x14ac:dyDescent="0.15"/>
    <row r="29" spans="1:16" customFormat="1" x14ac:dyDescent="0.15"/>
    <row r="30" spans="1:16" customFormat="1" x14ac:dyDescent="0.15"/>
    <row r="31" spans="1:16" customFormat="1" x14ac:dyDescent="0.15"/>
    <row r="32" spans="1:16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20" sqref="H20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0.33203125" style="91" customWidth="1"/>
    <col min="5" max="6" width="10.33203125" style="90" customWidth="1"/>
    <col min="7" max="8" width="8.83203125" style="91"/>
  </cols>
  <sheetData>
    <row r="1" spans="1:8" ht="70" x14ac:dyDescent="0.15">
      <c r="A1" s="5" t="s">
        <v>20</v>
      </c>
      <c r="B1" s="1" t="s">
        <v>0</v>
      </c>
      <c r="C1" s="143" t="s">
        <v>205</v>
      </c>
      <c r="D1" s="143" t="s">
        <v>206</v>
      </c>
      <c r="E1" s="143" t="s">
        <v>209</v>
      </c>
      <c r="F1" s="143" t="s">
        <v>210</v>
      </c>
      <c r="G1"/>
      <c r="H1"/>
    </row>
    <row r="2" spans="1:8" x14ac:dyDescent="0.15">
      <c r="A2">
        <v>1</v>
      </c>
      <c r="B2" s="142" t="s">
        <v>192</v>
      </c>
      <c r="C2" s="91">
        <v>1</v>
      </c>
      <c r="D2" s="91">
        <v>0</v>
      </c>
      <c r="E2" s="90">
        <v>0</v>
      </c>
      <c r="F2" s="90">
        <v>1</v>
      </c>
      <c r="G2"/>
      <c r="H2"/>
    </row>
    <row r="3" spans="1:8" x14ac:dyDescent="0.15">
      <c r="A3">
        <v>2</v>
      </c>
      <c r="B3" s="142" t="s">
        <v>193</v>
      </c>
      <c r="C3" s="91">
        <v>1</v>
      </c>
      <c r="D3" s="91">
        <v>0</v>
      </c>
      <c r="E3" s="90">
        <v>0</v>
      </c>
      <c r="F3" s="90">
        <v>1</v>
      </c>
      <c r="G3"/>
      <c r="H3"/>
    </row>
    <row r="4" spans="1:8" x14ac:dyDescent="0.15">
      <c r="A4">
        <v>3</v>
      </c>
      <c r="B4" s="142" t="s">
        <v>194</v>
      </c>
      <c r="C4" s="91">
        <v>1</v>
      </c>
      <c r="D4" s="91">
        <v>0</v>
      </c>
      <c r="E4" s="90">
        <v>0</v>
      </c>
      <c r="F4" s="90">
        <v>1</v>
      </c>
      <c r="G4"/>
      <c r="H4"/>
    </row>
    <row r="5" spans="1:8" x14ac:dyDescent="0.15">
      <c r="A5">
        <v>4</v>
      </c>
      <c r="B5" s="142" t="s">
        <v>195</v>
      </c>
      <c r="C5" s="91">
        <v>1</v>
      </c>
      <c r="D5" s="91">
        <v>0</v>
      </c>
      <c r="E5" s="90">
        <v>0</v>
      </c>
      <c r="F5" s="90">
        <v>1</v>
      </c>
      <c r="G5"/>
      <c r="H5"/>
    </row>
    <row r="6" spans="1:8" x14ac:dyDescent="0.15">
      <c r="A6">
        <v>5</v>
      </c>
      <c r="B6" s="142" t="s">
        <v>196</v>
      </c>
      <c r="C6" s="91">
        <v>1</v>
      </c>
      <c r="D6" s="91">
        <v>0</v>
      </c>
      <c r="E6" s="90">
        <v>0</v>
      </c>
      <c r="F6" s="90">
        <v>1</v>
      </c>
      <c r="G6"/>
      <c r="H6"/>
    </row>
    <row r="7" spans="1:8" x14ac:dyDescent="0.15">
      <c r="A7">
        <v>6</v>
      </c>
      <c r="B7" s="142" t="s">
        <v>197</v>
      </c>
      <c r="C7" s="91">
        <v>1</v>
      </c>
      <c r="D7" s="91">
        <v>0</v>
      </c>
      <c r="E7" s="90">
        <v>0</v>
      </c>
      <c r="F7" s="90">
        <v>1</v>
      </c>
      <c r="G7"/>
      <c r="H7"/>
    </row>
    <row r="8" spans="1:8" x14ac:dyDescent="0.15">
      <c r="A8">
        <v>7</v>
      </c>
      <c r="B8" s="142" t="s">
        <v>198</v>
      </c>
      <c r="C8" s="91">
        <v>1</v>
      </c>
      <c r="D8" s="91">
        <v>0</v>
      </c>
      <c r="E8" s="90">
        <v>0</v>
      </c>
      <c r="F8" s="90">
        <v>1</v>
      </c>
      <c r="G8"/>
      <c r="H8"/>
    </row>
    <row r="9" spans="1:8" x14ac:dyDescent="0.15">
      <c r="A9">
        <v>8</v>
      </c>
      <c r="B9" s="142" t="s">
        <v>199</v>
      </c>
      <c r="C9" s="91">
        <v>1</v>
      </c>
      <c r="D9" s="91">
        <v>0</v>
      </c>
      <c r="E9" s="90">
        <v>0</v>
      </c>
      <c r="F9" s="90">
        <v>1</v>
      </c>
      <c r="G9"/>
      <c r="H9"/>
    </row>
    <row r="10" spans="1:8" x14ac:dyDescent="0.15">
      <c r="A10">
        <v>9</v>
      </c>
      <c r="B10" s="142" t="s">
        <v>200</v>
      </c>
      <c r="C10" s="91">
        <v>1</v>
      </c>
      <c r="D10" s="91">
        <v>0</v>
      </c>
      <c r="E10" s="90">
        <v>0</v>
      </c>
      <c r="F10" s="90">
        <v>1</v>
      </c>
      <c r="G10"/>
      <c r="H10"/>
    </row>
    <row r="11" spans="1:8" x14ac:dyDescent="0.15">
      <c r="A11">
        <v>10</v>
      </c>
      <c r="B11" s="142" t="s">
        <v>201</v>
      </c>
      <c r="C11" s="91">
        <v>1</v>
      </c>
      <c r="D11" s="91">
        <v>0</v>
      </c>
      <c r="E11" s="90">
        <v>0</v>
      </c>
      <c r="F11" s="90">
        <v>1</v>
      </c>
      <c r="G11"/>
      <c r="H11"/>
    </row>
    <row r="12" spans="1:8" x14ac:dyDescent="0.15">
      <c r="A12">
        <v>11</v>
      </c>
      <c r="B12" s="142" t="s">
        <v>202</v>
      </c>
      <c r="C12" s="91">
        <v>1</v>
      </c>
      <c r="D12" s="91">
        <v>0</v>
      </c>
      <c r="E12" s="90">
        <v>0</v>
      </c>
      <c r="F12" s="90">
        <v>1</v>
      </c>
      <c r="G12"/>
      <c r="H12"/>
    </row>
    <row r="13" spans="1:8" x14ac:dyDescent="0.15">
      <c r="A13">
        <v>12</v>
      </c>
      <c r="B13" s="142" t="s">
        <v>203</v>
      </c>
      <c r="C13" s="91">
        <v>1</v>
      </c>
      <c r="D13" s="91">
        <v>0</v>
      </c>
      <c r="E13" s="90">
        <v>0</v>
      </c>
      <c r="F13" s="90">
        <v>1</v>
      </c>
      <c r="G13"/>
      <c r="H13"/>
    </row>
    <row r="14" spans="1:8" x14ac:dyDescent="0.15">
      <c r="A14">
        <v>13</v>
      </c>
      <c r="B14" s="142" t="s">
        <v>204</v>
      </c>
      <c r="C14" s="91">
        <v>1</v>
      </c>
      <c r="D14" s="91">
        <v>0</v>
      </c>
      <c r="E14" s="90">
        <v>0</v>
      </c>
      <c r="F14" s="90">
        <v>1</v>
      </c>
      <c r="G14"/>
      <c r="H14"/>
    </row>
    <row r="15" spans="1:8" x14ac:dyDescent="0.15">
      <c r="A15">
        <v>14</v>
      </c>
      <c r="B15" s="142" t="s">
        <v>205</v>
      </c>
      <c r="C15" s="91">
        <v>0</v>
      </c>
      <c r="D15" s="91">
        <v>1</v>
      </c>
      <c r="E15" s="90">
        <v>0</v>
      </c>
      <c r="F15" s="90">
        <v>1</v>
      </c>
      <c r="G15"/>
      <c r="H15"/>
    </row>
    <row r="16" spans="1:8" x14ac:dyDescent="0.15">
      <c r="A16">
        <v>15</v>
      </c>
      <c r="B16" s="142" t="s">
        <v>206</v>
      </c>
      <c r="C16" s="91">
        <v>0</v>
      </c>
      <c r="D16" s="91">
        <v>0</v>
      </c>
      <c r="E16" s="90">
        <v>1</v>
      </c>
      <c r="F16" s="90">
        <v>1</v>
      </c>
      <c r="G16"/>
      <c r="H16"/>
    </row>
    <row r="17" spans="1:8" ht="15" customHeight="1" x14ac:dyDescent="0.15">
      <c r="A17">
        <v>16</v>
      </c>
      <c r="B17" s="142" t="s">
        <v>207</v>
      </c>
      <c r="C17" s="91">
        <v>0</v>
      </c>
      <c r="D17" s="91">
        <v>1</v>
      </c>
      <c r="E17" s="90">
        <v>0</v>
      </c>
      <c r="F17" s="90">
        <v>1</v>
      </c>
      <c r="G17"/>
      <c r="H17"/>
    </row>
    <row r="18" spans="1:8" ht="15" customHeight="1" x14ac:dyDescent="0.15">
      <c r="C18"/>
      <c r="D18"/>
      <c r="E18"/>
      <c r="F18"/>
      <c r="G18"/>
      <c r="H18"/>
    </row>
    <row r="19" spans="1:8" ht="15" customHeight="1" x14ac:dyDescent="0.15">
      <c r="C19"/>
      <c r="D19"/>
      <c r="E19"/>
      <c r="F19"/>
      <c r="G19"/>
      <c r="H19"/>
    </row>
    <row r="20" spans="1:8" ht="15" customHeight="1" x14ac:dyDescent="0.15">
      <c r="C20"/>
      <c r="D20"/>
      <c r="E20"/>
      <c r="F20"/>
      <c r="G20"/>
      <c r="H20"/>
    </row>
    <row r="21" spans="1:8" ht="15" customHeight="1" x14ac:dyDescent="0.15">
      <c r="C21"/>
      <c r="D21"/>
      <c r="E21"/>
      <c r="F21"/>
      <c r="G21"/>
      <c r="H21"/>
    </row>
    <row r="22" spans="1:8" ht="15" customHeight="1" x14ac:dyDescent="0.15">
      <c r="C22"/>
      <c r="D22"/>
      <c r="E22"/>
      <c r="F22"/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1"/>
      <c r="F36" s="91"/>
      <c r="G36"/>
      <c r="H36"/>
    </row>
    <row r="37" spans="3:8" ht="15" customHeight="1" x14ac:dyDescent="0.15">
      <c r="C37"/>
      <c r="D37"/>
      <c r="E37" s="91"/>
      <c r="F37" s="91"/>
      <c r="G37"/>
      <c r="H37"/>
    </row>
    <row r="38" spans="3:8" ht="15" customHeight="1" x14ac:dyDescent="0.15">
      <c r="C38"/>
      <c r="D38"/>
      <c r="E38" s="91"/>
      <c r="F38" s="91"/>
      <c r="G38"/>
      <c r="H38"/>
    </row>
    <row r="39" spans="3:8" ht="15" customHeight="1" x14ac:dyDescent="0.15">
      <c r="C39"/>
      <c r="D39"/>
      <c r="E39" s="91"/>
      <c r="F39" s="91"/>
      <c r="G39"/>
      <c r="H39"/>
    </row>
    <row r="40" spans="3:8" ht="15" customHeight="1" x14ac:dyDescent="0.15">
      <c r="C40"/>
      <c r="D40"/>
      <c r="E40" s="91"/>
      <c r="F40" s="91"/>
      <c r="G40"/>
      <c r="H40"/>
    </row>
    <row r="41" spans="3:8" ht="15" customHeight="1" x14ac:dyDescent="0.15">
      <c r="C41"/>
      <c r="D41"/>
      <c r="E41" s="91"/>
      <c r="F41" s="91"/>
      <c r="G41"/>
      <c r="H41"/>
    </row>
    <row r="42" spans="3:8" ht="15" customHeight="1" x14ac:dyDescent="0.15">
      <c r="C42"/>
      <c r="D42"/>
      <c r="E42" s="91"/>
      <c r="F42" s="91"/>
      <c r="G42"/>
      <c r="H42"/>
    </row>
    <row r="43" spans="3:8" ht="15" customHeight="1" x14ac:dyDescent="0.15">
      <c r="C43"/>
      <c r="D43"/>
      <c r="E43" s="91"/>
      <c r="F43" s="91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1"/>
      <c r="F46" s="91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" bestFit="1" customWidth="1"/>
    <col min="3" max="4" width="5.83203125" bestFit="1" customWidth="1"/>
    <col min="5" max="5" width="12.1640625" bestFit="1" customWidth="1"/>
  </cols>
  <sheetData>
    <row r="1" spans="1:5" s="92" customFormat="1" ht="112" x14ac:dyDescent="0.15">
      <c r="A1" s="5" t="s">
        <v>21</v>
      </c>
      <c r="B1" s="3" t="s">
        <v>0</v>
      </c>
      <c r="C1" s="145" t="s">
        <v>207</v>
      </c>
      <c r="D1" s="145" t="s">
        <v>211</v>
      </c>
      <c r="E1"/>
    </row>
    <row r="2" spans="1:5" ht="15" customHeight="1" x14ac:dyDescent="0.15">
      <c r="A2">
        <v>1</v>
      </c>
      <c r="B2" s="144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44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44" t="s">
        <v>194</v>
      </c>
      <c r="C4">
        <v>1.548</v>
      </c>
      <c r="D4">
        <v>1.548</v>
      </c>
    </row>
    <row r="5" spans="1:5" ht="15" customHeight="1" x14ac:dyDescent="0.15">
      <c r="A5">
        <v>4</v>
      </c>
      <c r="B5" s="144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44" t="s">
        <v>196</v>
      </c>
      <c r="C6">
        <v>6.0000000000000001E-3</v>
      </c>
      <c r="D6">
        <v>6.0000000000000001E-3</v>
      </c>
    </row>
    <row r="7" spans="1:5" ht="15" customHeight="1" x14ac:dyDescent="0.15">
      <c r="A7">
        <v>6</v>
      </c>
      <c r="B7" s="144" t="s">
        <v>197</v>
      </c>
      <c r="C7">
        <v>7.0000000000000001E-3</v>
      </c>
      <c r="D7">
        <v>7.0000000000000001E-3</v>
      </c>
    </row>
    <row r="8" spans="1:5" ht="15" customHeight="1" x14ac:dyDescent="0.15">
      <c r="A8">
        <v>7</v>
      </c>
      <c r="B8" s="144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44" t="s">
        <v>199</v>
      </c>
      <c r="C9">
        <v>8.5999999999999993E-2</v>
      </c>
      <c r="D9">
        <v>8.5999999999999993E-2</v>
      </c>
    </row>
    <row r="10" spans="1:5" ht="15" customHeight="1" x14ac:dyDescent="0.15">
      <c r="A10">
        <v>9</v>
      </c>
      <c r="B10" s="144" t="s">
        <v>200</v>
      </c>
      <c r="C10">
        <v>8.5999999999999993E-2</v>
      </c>
      <c r="D10">
        <v>8.5999999999999993E-2</v>
      </c>
    </row>
    <row r="11" spans="1:5" ht="15" customHeight="1" x14ac:dyDescent="0.15">
      <c r="A11">
        <v>10</v>
      </c>
      <c r="B11" s="144" t="s">
        <v>201</v>
      </c>
      <c r="C11">
        <v>8.5999999999999993E-2</v>
      </c>
      <c r="D11">
        <v>8.5999999999999993E-2</v>
      </c>
    </row>
    <row r="12" spans="1:5" ht="15" customHeight="1" x14ac:dyDescent="0.15">
      <c r="A12">
        <v>11</v>
      </c>
      <c r="B12" s="144" t="s">
        <v>202</v>
      </c>
      <c r="C12">
        <v>8.5999999999999993E-2</v>
      </c>
      <c r="D12">
        <v>8.5999999999999993E-2</v>
      </c>
    </row>
    <row r="13" spans="1:5" ht="15" customHeight="1" x14ac:dyDescent="0.15">
      <c r="A13">
        <v>12</v>
      </c>
      <c r="B13" s="144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44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44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44" t="s">
        <v>206</v>
      </c>
      <c r="C16">
        <v>0</v>
      </c>
      <c r="D16">
        <v>0</v>
      </c>
    </row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" bestFit="1" customWidth="1"/>
    <col min="3" max="4" width="2.33203125" bestFit="1" customWidth="1"/>
    <col min="5" max="5" width="12.1640625" bestFit="1" customWidth="1"/>
  </cols>
  <sheetData>
    <row r="1" spans="1:4" s="92" customFormat="1" ht="112" x14ac:dyDescent="0.15">
      <c r="A1" s="5" t="s">
        <v>22</v>
      </c>
      <c r="B1" s="3" t="s">
        <v>0</v>
      </c>
      <c r="C1" s="147" t="s">
        <v>207</v>
      </c>
      <c r="D1" s="147" t="s">
        <v>211</v>
      </c>
    </row>
    <row r="2" spans="1:4" x14ac:dyDescent="0.15">
      <c r="A2">
        <v>1</v>
      </c>
      <c r="B2" s="146" t="s">
        <v>192</v>
      </c>
      <c r="C2">
        <v>0</v>
      </c>
      <c r="D2">
        <v>0</v>
      </c>
    </row>
    <row r="3" spans="1:4" x14ac:dyDescent="0.15">
      <c r="A3">
        <v>2</v>
      </c>
      <c r="B3" s="146" t="s">
        <v>193</v>
      </c>
      <c r="C3">
        <v>0</v>
      </c>
      <c r="D3">
        <v>0</v>
      </c>
    </row>
    <row r="4" spans="1:4" x14ac:dyDescent="0.15">
      <c r="A4">
        <v>3</v>
      </c>
      <c r="B4" s="146" t="s">
        <v>194</v>
      </c>
      <c r="C4">
        <v>0</v>
      </c>
      <c r="D4">
        <v>0</v>
      </c>
    </row>
    <row r="5" spans="1:4" x14ac:dyDescent="0.15">
      <c r="A5">
        <v>4</v>
      </c>
      <c r="B5" s="146" t="s">
        <v>195</v>
      </c>
      <c r="C5">
        <v>0</v>
      </c>
      <c r="D5">
        <v>0</v>
      </c>
    </row>
    <row r="6" spans="1:4" x14ac:dyDescent="0.15">
      <c r="A6">
        <v>5</v>
      </c>
      <c r="B6" s="146" t="s">
        <v>196</v>
      </c>
      <c r="C6">
        <v>0</v>
      </c>
      <c r="D6">
        <v>0</v>
      </c>
    </row>
    <row r="7" spans="1:4" x14ac:dyDescent="0.15">
      <c r="A7">
        <v>6</v>
      </c>
      <c r="B7" s="146" t="s">
        <v>197</v>
      </c>
      <c r="C7">
        <v>0</v>
      </c>
      <c r="D7">
        <v>0</v>
      </c>
    </row>
    <row r="8" spans="1:4" x14ac:dyDescent="0.15">
      <c r="A8">
        <v>7</v>
      </c>
      <c r="B8" s="146" t="s">
        <v>198</v>
      </c>
      <c r="C8">
        <v>0</v>
      </c>
      <c r="D8">
        <v>0</v>
      </c>
    </row>
    <row r="9" spans="1:4" x14ac:dyDescent="0.15">
      <c r="A9">
        <v>8</v>
      </c>
      <c r="B9" s="146" t="s">
        <v>199</v>
      </c>
      <c r="C9">
        <v>0</v>
      </c>
      <c r="D9">
        <v>0</v>
      </c>
    </row>
    <row r="10" spans="1:4" x14ac:dyDescent="0.15">
      <c r="A10">
        <v>9</v>
      </c>
      <c r="B10" s="146" t="s">
        <v>200</v>
      </c>
      <c r="C10">
        <v>0</v>
      </c>
      <c r="D10">
        <v>0</v>
      </c>
    </row>
    <row r="11" spans="1:4" x14ac:dyDescent="0.15">
      <c r="A11">
        <v>10</v>
      </c>
      <c r="B11" s="146" t="s">
        <v>201</v>
      </c>
      <c r="C11">
        <v>0</v>
      </c>
      <c r="D11">
        <v>0</v>
      </c>
    </row>
    <row r="12" spans="1:4" x14ac:dyDescent="0.15">
      <c r="A12">
        <v>11</v>
      </c>
      <c r="B12" s="146" t="s">
        <v>202</v>
      </c>
      <c r="C12">
        <v>0</v>
      </c>
      <c r="D12">
        <v>0</v>
      </c>
    </row>
    <row r="13" spans="1:4" x14ac:dyDescent="0.15">
      <c r="A13">
        <v>12</v>
      </c>
      <c r="B13" s="146" t="s">
        <v>203</v>
      </c>
      <c r="C13">
        <v>0</v>
      </c>
      <c r="D13">
        <v>0</v>
      </c>
    </row>
    <row r="14" spans="1:4" x14ac:dyDescent="0.15">
      <c r="A14">
        <v>13</v>
      </c>
      <c r="B14" s="146" t="s">
        <v>204</v>
      </c>
      <c r="C14">
        <v>0</v>
      </c>
      <c r="D14">
        <v>0</v>
      </c>
    </row>
    <row r="15" spans="1:4" x14ac:dyDescent="0.15">
      <c r="A15">
        <v>14</v>
      </c>
      <c r="B15" s="146" t="s">
        <v>205</v>
      </c>
      <c r="C15">
        <v>0</v>
      </c>
      <c r="D15">
        <v>0</v>
      </c>
    </row>
    <row r="16" spans="1:4" x14ac:dyDescent="0.15">
      <c r="A16">
        <v>15</v>
      </c>
      <c r="B16" s="146" t="s">
        <v>206</v>
      </c>
      <c r="C16">
        <v>0</v>
      </c>
      <c r="D16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1" bestFit="1" customWidth="1"/>
    <col min="6" max="6" width="4.83203125" bestFit="1" customWidth="1"/>
    <col min="7" max="9" width="3.83203125" bestFit="1" customWidth="1"/>
    <col min="10" max="11" width="4.83203125" style="91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3" customFormat="1" ht="14" thickBot="1" x14ac:dyDescent="0.2">
      <c r="D1" s="94" t="s">
        <v>8</v>
      </c>
      <c r="E1" s="94" t="s">
        <v>0</v>
      </c>
      <c r="F1" s="95" t="s">
        <v>99</v>
      </c>
      <c r="G1" s="96" t="s">
        <v>84</v>
      </c>
      <c r="H1" s="96" t="s">
        <v>85</v>
      </c>
      <c r="I1" s="96" t="s">
        <v>86</v>
      </c>
      <c r="J1" s="96" t="s">
        <v>87</v>
      </c>
      <c r="K1" s="96" t="s">
        <v>88</v>
      </c>
      <c r="L1" s="97" t="s">
        <v>89</v>
      </c>
      <c r="M1" s="97" t="s">
        <v>93</v>
      </c>
      <c r="N1" s="97" t="s">
        <v>92</v>
      </c>
      <c r="O1" s="97" t="s">
        <v>90</v>
      </c>
      <c r="P1" s="97" t="s">
        <v>91</v>
      </c>
      <c r="Q1" s="98" t="s">
        <v>94</v>
      </c>
      <c r="R1" s="98" t="s">
        <v>95</v>
      </c>
      <c r="S1" s="98" t="s">
        <v>96</v>
      </c>
      <c r="T1" s="98" t="s">
        <v>97</v>
      </c>
      <c r="U1" s="98" t="s">
        <v>98</v>
      </c>
      <c r="V1" s="96" t="s">
        <v>100</v>
      </c>
      <c r="W1" s="96" t="s">
        <v>101</v>
      </c>
      <c r="X1" s="96" t="s">
        <v>102</v>
      </c>
      <c r="Y1" s="96" t="s">
        <v>134</v>
      </c>
      <c r="Z1" s="97" t="s">
        <v>103</v>
      </c>
      <c r="AA1" s="97" t="s">
        <v>104</v>
      </c>
      <c r="AB1" s="97" t="s">
        <v>105</v>
      </c>
      <c r="AC1" s="99" t="s">
        <v>135</v>
      </c>
      <c r="AD1" s="98" t="s">
        <v>106</v>
      </c>
      <c r="AE1" s="98" t="s">
        <v>107</v>
      </c>
      <c r="AF1" s="98" t="s">
        <v>108</v>
      </c>
      <c r="AG1" s="98" t="s">
        <v>136</v>
      </c>
      <c r="AH1" s="96" t="s">
        <v>109</v>
      </c>
      <c r="AI1" s="96" t="s">
        <v>111</v>
      </c>
      <c r="AJ1" s="96" t="s">
        <v>110</v>
      </c>
      <c r="AK1" s="97" t="s">
        <v>115</v>
      </c>
      <c r="AL1" s="97" t="s">
        <v>116</v>
      </c>
      <c r="AM1" s="97" t="s">
        <v>117</v>
      </c>
      <c r="AN1" s="98" t="s">
        <v>112</v>
      </c>
      <c r="AO1" s="98" t="s">
        <v>113</v>
      </c>
      <c r="AP1" s="98" t="s">
        <v>114</v>
      </c>
    </row>
    <row r="2" spans="1:42" x14ac:dyDescent="0.15">
      <c r="A2" s="100" t="s">
        <v>74</v>
      </c>
      <c r="B2" s="101">
        <v>1</v>
      </c>
      <c r="D2">
        <v>1</v>
      </c>
      <c r="E2" s="148" t="s">
        <v>192</v>
      </c>
      <c r="F2">
        <v>0.98</v>
      </c>
      <c r="G2">
        <v>0.8</v>
      </c>
      <c r="H2">
        <v>0.8</v>
      </c>
      <c r="I2">
        <v>0</v>
      </c>
      <c r="J2" s="91">
        <v>0</v>
      </c>
      <c r="K2" s="91">
        <v>0</v>
      </c>
    </row>
    <row r="3" spans="1:42" x14ac:dyDescent="0.15">
      <c r="A3" s="100" t="s">
        <v>75</v>
      </c>
      <c r="B3" s="102">
        <v>1</v>
      </c>
      <c r="D3">
        <v>2</v>
      </c>
      <c r="E3" s="148" t="s">
        <v>193</v>
      </c>
      <c r="F3">
        <v>0.98</v>
      </c>
      <c r="G3">
        <v>0.8</v>
      </c>
      <c r="H3">
        <v>0.8</v>
      </c>
      <c r="I3">
        <v>0.8</v>
      </c>
      <c r="J3" s="91">
        <v>0.25</v>
      </c>
      <c r="K3" s="91">
        <v>0.05</v>
      </c>
    </row>
    <row r="4" spans="1:42" x14ac:dyDescent="0.15">
      <c r="A4" s="100" t="s">
        <v>76</v>
      </c>
      <c r="B4" s="102">
        <v>1</v>
      </c>
      <c r="D4">
        <v>3</v>
      </c>
      <c r="E4" s="148" t="s">
        <v>194</v>
      </c>
      <c r="F4">
        <v>0.98</v>
      </c>
      <c r="G4">
        <v>0.8</v>
      </c>
      <c r="H4">
        <v>0.8</v>
      </c>
      <c r="I4">
        <v>0.8</v>
      </c>
      <c r="J4" s="91">
        <v>0.25</v>
      </c>
      <c r="K4" s="91">
        <v>0.05</v>
      </c>
    </row>
    <row r="5" spans="1:42" x14ac:dyDescent="0.15">
      <c r="A5" s="100" t="s">
        <v>77</v>
      </c>
      <c r="B5" s="102">
        <v>1</v>
      </c>
      <c r="D5">
        <v>4</v>
      </c>
      <c r="E5" s="148" t="s">
        <v>195</v>
      </c>
      <c r="F5">
        <v>0.98</v>
      </c>
      <c r="G5">
        <v>0.8</v>
      </c>
      <c r="H5">
        <v>0.8</v>
      </c>
      <c r="I5">
        <v>0.8</v>
      </c>
      <c r="J5" s="91">
        <v>0.25</v>
      </c>
      <c r="K5" s="91">
        <v>0.05</v>
      </c>
    </row>
    <row r="6" spans="1:42" x14ac:dyDescent="0.15">
      <c r="A6" s="100" t="s">
        <v>78</v>
      </c>
      <c r="B6" s="102">
        <v>1</v>
      </c>
      <c r="D6">
        <v>5</v>
      </c>
      <c r="E6" s="148" t="s">
        <v>196</v>
      </c>
      <c r="F6">
        <v>0.98</v>
      </c>
      <c r="G6">
        <v>0.8</v>
      </c>
      <c r="H6">
        <v>0.8</v>
      </c>
      <c r="I6">
        <v>0.8</v>
      </c>
      <c r="J6" s="91">
        <v>0.25</v>
      </c>
      <c r="K6" s="91">
        <v>0.05</v>
      </c>
    </row>
    <row r="7" spans="1:42" x14ac:dyDescent="0.15">
      <c r="A7" s="100" t="s">
        <v>79</v>
      </c>
      <c r="B7" s="102">
        <v>1</v>
      </c>
      <c r="D7">
        <v>6</v>
      </c>
      <c r="E7" s="148" t="s">
        <v>197</v>
      </c>
      <c r="F7">
        <v>0.98</v>
      </c>
      <c r="G7">
        <v>0.8</v>
      </c>
      <c r="H7">
        <v>0.8</v>
      </c>
      <c r="I7">
        <v>0.8</v>
      </c>
      <c r="J7" s="91">
        <v>0.25</v>
      </c>
      <c r="K7" s="91">
        <v>0.05</v>
      </c>
    </row>
    <row r="8" spans="1:42" x14ac:dyDescent="0.15">
      <c r="A8" s="100" t="s">
        <v>80</v>
      </c>
      <c r="B8" s="102">
        <v>1</v>
      </c>
      <c r="D8">
        <v>7</v>
      </c>
      <c r="E8" s="148" t="s">
        <v>198</v>
      </c>
      <c r="F8">
        <v>0.98</v>
      </c>
      <c r="G8">
        <v>0.8</v>
      </c>
      <c r="H8">
        <v>0.8</v>
      </c>
      <c r="I8">
        <v>0.8</v>
      </c>
      <c r="J8" s="91">
        <v>0.25</v>
      </c>
      <c r="K8" s="91">
        <v>0.05</v>
      </c>
    </row>
    <row r="9" spans="1:42" x14ac:dyDescent="0.15">
      <c r="A9" s="100" t="s">
        <v>81</v>
      </c>
      <c r="B9" s="102">
        <v>0.1</v>
      </c>
      <c r="C9" s="52" t="s">
        <v>150</v>
      </c>
      <c r="D9">
        <v>8</v>
      </c>
      <c r="E9" s="148" t="s">
        <v>199</v>
      </c>
      <c r="F9">
        <v>0.98</v>
      </c>
      <c r="G9">
        <v>0.8</v>
      </c>
      <c r="H9">
        <v>0.8</v>
      </c>
      <c r="I9">
        <v>0.8</v>
      </c>
      <c r="J9" s="91">
        <v>0.25</v>
      </c>
      <c r="K9" s="91">
        <v>0.05</v>
      </c>
    </row>
    <row r="10" spans="1:42" ht="14" thickBot="1" x14ac:dyDescent="0.2">
      <c r="A10" s="100" t="s">
        <v>149</v>
      </c>
      <c r="B10" s="103">
        <f>1/3</f>
        <v>0.33333333333333331</v>
      </c>
      <c r="C10" s="52" t="s">
        <v>150</v>
      </c>
      <c r="D10">
        <v>9</v>
      </c>
      <c r="E10" s="148" t="s">
        <v>200</v>
      </c>
      <c r="F10">
        <v>0.98</v>
      </c>
      <c r="G10">
        <v>0.8</v>
      </c>
      <c r="H10">
        <v>0.8</v>
      </c>
      <c r="I10">
        <v>0.8</v>
      </c>
      <c r="J10" s="91">
        <v>0.25</v>
      </c>
      <c r="K10" s="91">
        <v>0.05</v>
      </c>
    </row>
    <row r="11" spans="1:42" x14ac:dyDescent="0.15">
      <c r="D11">
        <v>10</v>
      </c>
      <c r="E11" s="148" t="s">
        <v>201</v>
      </c>
      <c r="F11">
        <v>0.98</v>
      </c>
      <c r="G11">
        <v>0.8</v>
      </c>
      <c r="H11">
        <v>0.8</v>
      </c>
      <c r="I11">
        <v>0.8</v>
      </c>
      <c r="J11" s="91">
        <v>0.25</v>
      </c>
      <c r="K11" s="91">
        <v>0.05</v>
      </c>
    </row>
    <row r="12" spans="1:42" x14ac:dyDescent="0.15">
      <c r="D12">
        <v>11</v>
      </c>
      <c r="E12" s="148" t="s">
        <v>202</v>
      </c>
      <c r="F12">
        <v>0.98</v>
      </c>
      <c r="G12">
        <v>0.8</v>
      </c>
      <c r="H12">
        <v>0.8</v>
      </c>
      <c r="I12">
        <v>0.8</v>
      </c>
      <c r="J12" s="91">
        <v>0.25</v>
      </c>
      <c r="K12" s="91">
        <v>0.05</v>
      </c>
    </row>
    <row r="13" spans="1:42" x14ac:dyDescent="0.15">
      <c r="D13">
        <v>12</v>
      </c>
      <c r="E13" s="148" t="s">
        <v>203</v>
      </c>
      <c r="F13">
        <v>0.98</v>
      </c>
      <c r="G13">
        <v>0.8</v>
      </c>
      <c r="H13">
        <v>0.8</v>
      </c>
      <c r="I13">
        <v>0.8</v>
      </c>
      <c r="J13" s="91">
        <v>0.25</v>
      </c>
      <c r="K13" s="91">
        <v>0.05</v>
      </c>
    </row>
    <row r="14" spans="1:42" x14ac:dyDescent="0.15">
      <c r="D14">
        <v>13</v>
      </c>
      <c r="E14" s="148" t="s">
        <v>204</v>
      </c>
      <c r="F14">
        <v>0.98</v>
      </c>
      <c r="G14">
        <v>0.8</v>
      </c>
      <c r="H14">
        <v>0.8</v>
      </c>
      <c r="I14">
        <v>0.8</v>
      </c>
      <c r="J14" s="91">
        <v>0.25</v>
      </c>
      <c r="K14" s="91">
        <v>0.05</v>
      </c>
    </row>
    <row r="15" spans="1:42" x14ac:dyDescent="0.15">
      <c r="D15">
        <v>14</v>
      </c>
      <c r="E15" s="148" t="s">
        <v>205</v>
      </c>
      <c r="F15">
        <v>0.98</v>
      </c>
      <c r="G15">
        <v>0.8</v>
      </c>
      <c r="H15">
        <v>0</v>
      </c>
      <c r="I15">
        <v>0</v>
      </c>
      <c r="J15" s="91">
        <v>0</v>
      </c>
      <c r="K15" s="91">
        <v>0</v>
      </c>
    </row>
    <row r="16" spans="1:42" x14ac:dyDescent="0.15">
      <c r="D16">
        <v>15</v>
      </c>
      <c r="E16" s="148" t="s">
        <v>206</v>
      </c>
      <c r="F16">
        <v>0.98</v>
      </c>
      <c r="G16">
        <v>0.8</v>
      </c>
      <c r="H16">
        <v>0</v>
      </c>
      <c r="I16">
        <v>0</v>
      </c>
      <c r="J16" s="91">
        <v>0</v>
      </c>
      <c r="K16" s="91">
        <v>0</v>
      </c>
    </row>
    <row r="17" spans="10:33" ht="15" customHeight="1" x14ac:dyDescent="0.15">
      <c r="J17"/>
      <c r="K17"/>
    </row>
    <row r="18" spans="10:33" ht="15" customHeight="1" x14ac:dyDescent="0.15">
      <c r="J18"/>
      <c r="K18"/>
    </row>
    <row r="19" spans="10:33" ht="15" customHeight="1" x14ac:dyDescent="0.15">
      <c r="J19"/>
      <c r="K19"/>
    </row>
    <row r="20" spans="10:33" ht="15" customHeight="1" x14ac:dyDescent="0.15">
      <c r="J20"/>
      <c r="K20"/>
    </row>
    <row r="21" spans="10:33" ht="15" customHeight="1" x14ac:dyDescent="0.15">
      <c r="J21"/>
      <c r="K21"/>
    </row>
    <row r="22" spans="10:33" ht="15" customHeight="1" x14ac:dyDescent="0.15">
      <c r="J22"/>
      <c r="K22"/>
    </row>
    <row r="23" spans="10:33" ht="15" customHeight="1" x14ac:dyDescent="0.15">
      <c r="J23"/>
      <c r="K23"/>
    </row>
    <row r="24" spans="10:33" ht="15" customHeight="1" x14ac:dyDescent="0.15">
      <c r="J24"/>
      <c r="K24"/>
    </row>
    <row r="25" spans="10:33" ht="15" customHeight="1" x14ac:dyDescent="0.15">
      <c r="J25"/>
      <c r="K25"/>
    </row>
    <row r="26" spans="10:33" ht="15" customHeight="1" x14ac:dyDescent="0.15">
      <c r="J26"/>
      <c r="K26"/>
    </row>
    <row r="27" spans="10:33" ht="15" customHeight="1" x14ac:dyDescent="0.15">
      <c r="J27"/>
      <c r="K27"/>
    </row>
    <row r="28" spans="10:33" ht="15" customHeight="1" x14ac:dyDescent="0.15">
      <c r="J28"/>
      <c r="K28"/>
    </row>
    <row r="29" spans="10:33" ht="15" customHeight="1" x14ac:dyDescent="0.15">
      <c r="J29"/>
      <c r="K29"/>
      <c r="Y29"/>
      <c r="AC29"/>
      <c r="AG29"/>
    </row>
    <row r="30" spans="10:33" ht="15" customHeight="1" x14ac:dyDescent="0.15">
      <c r="J30"/>
      <c r="K30"/>
      <c r="Y30"/>
      <c r="AC30"/>
      <c r="AG30"/>
    </row>
    <row r="31" spans="10:33" ht="15" customHeight="1" x14ac:dyDescent="0.15">
      <c r="J31"/>
      <c r="K31"/>
      <c r="Y31"/>
      <c r="AC31"/>
      <c r="AG31"/>
    </row>
    <row r="32" spans="10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9" bestFit="1" customWidth="1"/>
    <col min="2" max="2" width="2.33203125" style="89" customWidth="1"/>
    <col min="3" max="14" width="3.83203125" style="89" customWidth="1"/>
    <col min="15" max="16" width="2.33203125" style="89" customWidth="1"/>
    <col min="17" max="16384" width="10.83203125" style="89"/>
  </cols>
  <sheetData>
    <row r="1" spans="1:30" x14ac:dyDescent="0.15">
      <c r="A1" s="54" t="s">
        <v>118</v>
      </c>
      <c r="B1" s="150" t="s">
        <v>192</v>
      </c>
      <c r="C1" s="150" t="s">
        <v>193</v>
      </c>
      <c r="D1" s="150" t="s">
        <v>194</v>
      </c>
      <c r="E1" s="150" t="s">
        <v>195</v>
      </c>
      <c r="F1" s="150" t="s">
        <v>196</v>
      </c>
      <c r="G1" s="150" t="s">
        <v>197</v>
      </c>
      <c r="H1" s="150" t="s">
        <v>198</v>
      </c>
      <c r="I1" s="150" t="s">
        <v>199</v>
      </c>
      <c r="J1" s="150" t="s">
        <v>200</v>
      </c>
      <c r="K1" s="150" t="s">
        <v>201</v>
      </c>
      <c r="L1" s="150" t="s">
        <v>202</v>
      </c>
      <c r="M1" s="150" t="s">
        <v>203</v>
      </c>
      <c r="N1" s="150" t="s">
        <v>204</v>
      </c>
      <c r="O1" s="150" t="s">
        <v>205</v>
      </c>
      <c r="P1" s="150" t="s">
        <v>206</v>
      </c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49" t="s">
        <v>192</v>
      </c>
      <c r="B2" s="89">
        <v>0</v>
      </c>
      <c r="C2" s="89">
        <v>0.8</v>
      </c>
      <c r="D2" s="89">
        <v>0.8</v>
      </c>
      <c r="E2" s="89">
        <v>0.8</v>
      </c>
      <c r="F2" s="89">
        <v>0</v>
      </c>
      <c r="G2" s="89">
        <v>0</v>
      </c>
      <c r="H2" s="89">
        <v>0</v>
      </c>
      <c r="I2" s="89">
        <v>0.8</v>
      </c>
      <c r="J2" s="89">
        <v>0</v>
      </c>
      <c r="K2" s="89">
        <v>0</v>
      </c>
      <c r="L2" s="89">
        <v>0</v>
      </c>
      <c r="M2" s="89">
        <v>0.8</v>
      </c>
      <c r="N2" s="89">
        <v>0</v>
      </c>
      <c r="O2" s="89">
        <v>0</v>
      </c>
      <c r="P2" s="89">
        <v>0</v>
      </c>
    </row>
    <row r="3" spans="1:30" customFormat="1" x14ac:dyDescent="0.15">
      <c r="A3" s="149" t="s">
        <v>193</v>
      </c>
      <c r="B3" s="89">
        <v>0</v>
      </c>
      <c r="C3" s="89">
        <v>0</v>
      </c>
      <c r="D3" s="89">
        <v>0.8</v>
      </c>
      <c r="E3" s="89">
        <v>0.8</v>
      </c>
      <c r="F3" s="89">
        <v>0</v>
      </c>
      <c r="G3" s="89">
        <v>0.8</v>
      </c>
      <c r="H3" s="89">
        <v>0</v>
      </c>
      <c r="I3" s="89">
        <v>0.8</v>
      </c>
      <c r="J3" s="89">
        <v>0</v>
      </c>
      <c r="K3" s="89">
        <v>0</v>
      </c>
      <c r="L3" s="89">
        <v>0.8</v>
      </c>
      <c r="M3" s="89">
        <v>0.8</v>
      </c>
      <c r="N3" s="89">
        <v>0.8</v>
      </c>
      <c r="O3" s="89">
        <v>0</v>
      </c>
      <c r="P3" s="89">
        <v>0</v>
      </c>
    </row>
    <row r="4" spans="1:30" customFormat="1" x14ac:dyDescent="0.15">
      <c r="A4" s="149" t="s">
        <v>194</v>
      </c>
      <c r="B4" s="89">
        <v>0</v>
      </c>
      <c r="C4" s="89">
        <v>0</v>
      </c>
      <c r="D4" s="89">
        <v>0.8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0.8</v>
      </c>
      <c r="K4" s="89">
        <v>0</v>
      </c>
      <c r="L4" s="89">
        <v>0</v>
      </c>
      <c r="M4" s="89">
        <v>0</v>
      </c>
      <c r="N4" s="89">
        <v>0</v>
      </c>
      <c r="O4" s="89">
        <v>0</v>
      </c>
      <c r="P4" s="89">
        <v>0</v>
      </c>
    </row>
    <row r="5" spans="1:30" customFormat="1" x14ac:dyDescent="0.15">
      <c r="A5" s="149" t="s">
        <v>195</v>
      </c>
      <c r="B5" s="89">
        <v>0</v>
      </c>
      <c r="C5" s="89">
        <v>0</v>
      </c>
      <c r="D5" s="89">
        <v>0</v>
      </c>
      <c r="E5" s="89">
        <v>0</v>
      </c>
      <c r="F5" s="89">
        <v>0</v>
      </c>
      <c r="G5" s="89">
        <v>0</v>
      </c>
      <c r="H5" s="89">
        <v>0</v>
      </c>
      <c r="I5" s="89">
        <v>0</v>
      </c>
      <c r="J5" s="89">
        <v>0.8</v>
      </c>
      <c r="K5" s="89">
        <v>0</v>
      </c>
      <c r="L5" s="89">
        <v>0</v>
      </c>
      <c r="M5" s="89">
        <v>0</v>
      </c>
      <c r="N5" s="89">
        <v>0</v>
      </c>
      <c r="O5" s="89">
        <v>0</v>
      </c>
      <c r="P5" s="89">
        <v>0</v>
      </c>
    </row>
    <row r="6" spans="1:30" customFormat="1" x14ac:dyDescent="0.15">
      <c r="A6" s="149" t="s">
        <v>196</v>
      </c>
      <c r="B6" s="89">
        <v>0</v>
      </c>
      <c r="C6" s="89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0.8</v>
      </c>
      <c r="K6" s="89">
        <v>0</v>
      </c>
      <c r="L6" s="89">
        <v>0</v>
      </c>
      <c r="M6" s="89">
        <v>0</v>
      </c>
      <c r="N6" s="89">
        <v>0</v>
      </c>
      <c r="O6" s="89">
        <v>0</v>
      </c>
      <c r="P6" s="89">
        <v>0</v>
      </c>
    </row>
    <row r="7" spans="1:30" customFormat="1" x14ac:dyDescent="0.15">
      <c r="A7" s="149" t="s">
        <v>197</v>
      </c>
      <c r="B7" s="89">
        <v>0</v>
      </c>
      <c r="C7" s="89">
        <v>0</v>
      </c>
      <c r="D7" s="89">
        <v>0</v>
      </c>
      <c r="E7" s="89">
        <v>0</v>
      </c>
      <c r="F7" s="89">
        <v>0</v>
      </c>
      <c r="G7" s="89">
        <v>0</v>
      </c>
      <c r="H7" s="89">
        <v>0</v>
      </c>
      <c r="I7" s="89">
        <v>0</v>
      </c>
      <c r="J7" s="89">
        <v>0.8</v>
      </c>
      <c r="K7" s="89">
        <v>0</v>
      </c>
      <c r="L7" s="89">
        <v>0</v>
      </c>
      <c r="M7" s="89">
        <v>0</v>
      </c>
      <c r="N7" s="89">
        <v>0</v>
      </c>
      <c r="O7" s="89">
        <v>0</v>
      </c>
      <c r="P7" s="89">
        <v>0</v>
      </c>
    </row>
    <row r="8" spans="1:30" customFormat="1" x14ac:dyDescent="0.15">
      <c r="A8" s="149" t="s">
        <v>198</v>
      </c>
      <c r="B8" s="89">
        <v>0</v>
      </c>
      <c r="C8" s="89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0.8</v>
      </c>
      <c r="K8" s="89">
        <v>0</v>
      </c>
      <c r="L8" s="89">
        <v>0</v>
      </c>
      <c r="M8" s="89">
        <v>0</v>
      </c>
      <c r="N8" s="89">
        <v>0</v>
      </c>
      <c r="O8" s="89">
        <v>0</v>
      </c>
      <c r="P8" s="89">
        <v>0</v>
      </c>
    </row>
    <row r="9" spans="1:30" customFormat="1" x14ac:dyDescent="0.15">
      <c r="A9" s="149" t="s">
        <v>199</v>
      </c>
      <c r="B9" s="89">
        <v>0</v>
      </c>
      <c r="C9" s="89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0.8</v>
      </c>
      <c r="J9" s="89">
        <v>0.8</v>
      </c>
      <c r="K9" s="89">
        <v>0</v>
      </c>
      <c r="L9" s="89">
        <v>0</v>
      </c>
      <c r="M9" s="89">
        <v>0</v>
      </c>
      <c r="N9" s="89">
        <v>0</v>
      </c>
      <c r="O9" s="89">
        <v>0</v>
      </c>
      <c r="P9" s="89">
        <v>0</v>
      </c>
    </row>
    <row r="10" spans="1:30" customFormat="1" x14ac:dyDescent="0.15">
      <c r="A10" s="149" t="s">
        <v>200</v>
      </c>
      <c r="B10" s="89">
        <v>0</v>
      </c>
      <c r="C10" s="89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  <c r="O10" s="89">
        <v>0</v>
      </c>
      <c r="P10" s="89">
        <v>0</v>
      </c>
    </row>
    <row r="11" spans="1:30" customFormat="1" x14ac:dyDescent="0.15">
      <c r="A11" s="149" t="s">
        <v>201</v>
      </c>
      <c r="B11" s="89">
        <v>0</v>
      </c>
      <c r="C11" s="89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  <c r="O11" s="89">
        <v>0</v>
      </c>
      <c r="P11" s="89">
        <v>0</v>
      </c>
    </row>
    <row r="12" spans="1:30" customFormat="1" x14ac:dyDescent="0.15">
      <c r="A12" s="149" t="s">
        <v>202</v>
      </c>
      <c r="B12" s="89">
        <v>0</v>
      </c>
      <c r="C12" s="89"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89">
        <v>0</v>
      </c>
      <c r="L12" s="89">
        <v>0.8</v>
      </c>
      <c r="M12" s="89">
        <v>0</v>
      </c>
      <c r="N12" s="89">
        <v>0</v>
      </c>
      <c r="O12" s="89">
        <v>0</v>
      </c>
      <c r="P12" s="89">
        <v>0</v>
      </c>
    </row>
    <row r="13" spans="1:30" customFormat="1" x14ac:dyDescent="0.15">
      <c r="A13" s="149" t="s">
        <v>203</v>
      </c>
      <c r="B13" s="89">
        <v>0</v>
      </c>
      <c r="C13" s="89">
        <v>0</v>
      </c>
      <c r="D13" s="89">
        <v>0.8</v>
      </c>
      <c r="E13" s="89">
        <v>0.8</v>
      </c>
      <c r="F13" s="89">
        <v>0.8</v>
      </c>
      <c r="G13" s="89">
        <v>0.8</v>
      </c>
      <c r="H13" s="89">
        <v>0.8</v>
      </c>
      <c r="I13" s="89">
        <v>0</v>
      </c>
      <c r="J13" s="89">
        <v>0.8</v>
      </c>
      <c r="K13" s="89">
        <v>0.8</v>
      </c>
      <c r="L13" s="89">
        <v>0.8</v>
      </c>
      <c r="M13" s="89">
        <v>0.8</v>
      </c>
      <c r="N13" s="89">
        <v>0.8</v>
      </c>
      <c r="O13" s="89">
        <v>0</v>
      </c>
      <c r="P13" s="89">
        <v>0</v>
      </c>
    </row>
    <row r="14" spans="1:30" customFormat="1" x14ac:dyDescent="0.15">
      <c r="A14" s="149" t="s">
        <v>204</v>
      </c>
      <c r="B14" s="89">
        <v>0</v>
      </c>
      <c r="C14" s="89">
        <v>0</v>
      </c>
      <c r="D14" s="89">
        <v>0</v>
      </c>
      <c r="E14" s="89">
        <v>0</v>
      </c>
      <c r="F14" s="89">
        <v>0.8</v>
      </c>
      <c r="G14" s="89">
        <v>0.8</v>
      </c>
      <c r="H14" s="89">
        <v>0.8</v>
      </c>
      <c r="I14" s="89">
        <v>0.8</v>
      </c>
      <c r="J14" s="89">
        <v>0.8</v>
      </c>
      <c r="K14" s="89">
        <v>0.8</v>
      </c>
      <c r="L14" s="89">
        <v>0</v>
      </c>
      <c r="M14" s="89">
        <v>0</v>
      </c>
      <c r="N14" s="89">
        <v>0</v>
      </c>
      <c r="O14" s="89">
        <v>0</v>
      </c>
      <c r="P14" s="89">
        <v>0</v>
      </c>
    </row>
    <row r="15" spans="1:30" customFormat="1" x14ac:dyDescent="0.15">
      <c r="A15" s="149" t="s">
        <v>205</v>
      </c>
      <c r="B15" s="89">
        <v>0</v>
      </c>
      <c r="C15" s="89">
        <v>0</v>
      </c>
      <c r="D15" s="89">
        <v>0</v>
      </c>
      <c r="E15" s="89">
        <v>0</v>
      </c>
      <c r="F15" s="89">
        <v>0</v>
      </c>
      <c r="G15" s="89">
        <v>0</v>
      </c>
      <c r="H15" s="89">
        <v>0</v>
      </c>
      <c r="I15" s="89">
        <v>0</v>
      </c>
      <c r="J15" s="89">
        <v>0</v>
      </c>
      <c r="K15" s="89">
        <v>0</v>
      </c>
      <c r="L15" s="89">
        <v>0</v>
      </c>
      <c r="M15" s="89">
        <v>0.8</v>
      </c>
      <c r="N15" s="89">
        <v>0</v>
      </c>
      <c r="O15" s="89">
        <v>0</v>
      </c>
      <c r="P15" s="89">
        <v>0</v>
      </c>
    </row>
    <row r="16" spans="1:30" customFormat="1" x14ac:dyDescent="0.15">
      <c r="A16" s="149" t="s">
        <v>206</v>
      </c>
      <c r="B16" s="89">
        <v>0</v>
      </c>
      <c r="C16" s="89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89">
        <v>0</v>
      </c>
      <c r="L16" s="89">
        <v>0</v>
      </c>
      <c r="M16" s="89">
        <v>0</v>
      </c>
      <c r="N16" s="89">
        <v>0</v>
      </c>
      <c r="O16" s="89">
        <v>0</v>
      </c>
      <c r="P16" s="89">
        <v>0</v>
      </c>
    </row>
    <row r="17" spans="1:16" customFormat="1" x14ac:dyDescent="0.15">
      <c r="A17" s="149" t="s">
        <v>208</v>
      </c>
      <c r="B17" s="89">
        <v>0</v>
      </c>
      <c r="C17" s="89">
        <v>0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  <c r="L17" s="89">
        <v>0</v>
      </c>
      <c r="M17" s="89">
        <v>0</v>
      </c>
      <c r="N17" s="89">
        <v>0</v>
      </c>
      <c r="O17" s="89">
        <v>0</v>
      </c>
      <c r="P17" s="89">
        <v>0</v>
      </c>
    </row>
    <row r="18" spans="1:16" customFormat="1" x14ac:dyDescent="0.15"/>
    <row r="19" spans="1:16" customFormat="1" x14ac:dyDescent="0.15"/>
    <row r="20" spans="1:16" customFormat="1" x14ac:dyDescent="0.15"/>
    <row r="21" spans="1:16" customFormat="1" x14ac:dyDescent="0.15"/>
    <row r="22" spans="1:16" customFormat="1" x14ac:dyDescent="0.15"/>
    <row r="23" spans="1:16" customFormat="1" x14ac:dyDescent="0.15"/>
    <row r="24" spans="1:16" customFormat="1" x14ac:dyDescent="0.15"/>
    <row r="25" spans="1:16" customFormat="1" x14ac:dyDescent="0.15"/>
    <row r="26" spans="1:16" customFormat="1" x14ac:dyDescent="0.15"/>
    <row r="27" spans="1:16" customFormat="1" x14ac:dyDescent="0.15"/>
    <row r="28" spans="1:16" customFormat="1" x14ac:dyDescent="0.15"/>
    <row r="29" spans="1:16" customFormat="1" x14ac:dyDescent="0.15"/>
    <row r="30" spans="1:16" customFormat="1" x14ac:dyDescent="0.15"/>
    <row r="31" spans="1:16" customFormat="1" x14ac:dyDescent="0.15"/>
    <row r="32" spans="1:16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9" bestFit="1" customWidth="1"/>
    <col min="2" max="16" width="2.33203125" style="89" customWidth="1"/>
    <col min="17" max="16384" width="10.83203125" style="89"/>
  </cols>
  <sheetData>
    <row r="1" spans="1:31" x14ac:dyDescent="0.15">
      <c r="A1" s="54" t="s">
        <v>139</v>
      </c>
      <c r="B1" s="152" t="s">
        <v>192</v>
      </c>
      <c r="C1" s="152" t="s">
        <v>193</v>
      </c>
      <c r="D1" s="152" t="s">
        <v>194</v>
      </c>
      <c r="E1" s="152" t="s">
        <v>195</v>
      </c>
      <c r="F1" s="152" t="s">
        <v>196</v>
      </c>
      <c r="G1" s="152" t="s">
        <v>197</v>
      </c>
      <c r="H1" s="152" t="s">
        <v>198</v>
      </c>
      <c r="I1" s="152" t="s">
        <v>199</v>
      </c>
      <c r="J1" s="152" t="s">
        <v>200</v>
      </c>
      <c r="K1" s="152" t="s">
        <v>201</v>
      </c>
      <c r="L1" s="152" t="s">
        <v>202</v>
      </c>
      <c r="M1" s="152" t="s">
        <v>203</v>
      </c>
      <c r="N1" s="152" t="s">
        <v>204</v>
      </c>
      <c r="O1" s="152" t="s">
        <v>205</v>
      </c>
      <c r="P1" s="152" t="s">
        <v>206</v>
      </c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51" t="s">
        <v>192</v>
      </c>
      <c r="B2" s="89">
        <v>0</v>
      </c>
      <c r="C2" s="89">
        <v>1</v>
      </c>
      <c r="D2" s="89">
        <v>1</v>
      </c>
      <c r="E2" s="89">
        <v>1</v>
      </c>
      <c r="F2" s="89">
        <v>0</v>
      </c>
      <c r="G2" s="89">
        <v>0</v>
      </c>
      <c r="H2" s="89">
        <v>0</v>
      </c>
      <c r="I2" s="89">
        <v>1</v>
      </c>
      <c r="J2" s="89">
        <v>0</v>
      </c>
      <c r="K2" s="89">
        <v>0</v>
      </c>
      <c r="L2" s="89">
        <v>0</v>
      </c>
      <c r="M2" s="89">
        <v>1</v>
      </c>
      <c r="N2" s="89">
        <v>0</v>
      </c>
      <c r="O2" s="89">
        <v>0</v>
      </c>
      <c r="P2" s="89">
        <v>0</v>
      </c>
    </row>
    <row r="3" spans="1:31" customFormat="1" x14ac:dyDescent="0.15">
      <c r="A3" s="151" t="s">
        <v>193</v>
      </c>
      <c r="B3" s="89">
        <v>0</v>
      </c>
      <c r="C3" s="89">
        <v>0</v>
      </c>
      <c r="D3" s="89">
        <v>1</v>
      </c>
      <c r="E3" s="89">
        <v>1</v>
      </c>
      <c r="F3" s="89">
        <v>0</v>
      </c>
      <c r="G3" s="89">
        <v>1</v>
      </c>
      <c r="H3" s="89">
        <v>0</v>
      </c>
      <c r="I3" s="89">
        <v>1</v>
      </c>
      <c r="J3" s="89">
        <v>0</v>
      </c>
      <c r="K3" s="89">
        <v>0</v>
      </c>
      <c r="L3" s="89">
        <v>1</v>
      </c>
      <c r="M3" s="89">
        <v>1</v>
      </c>
      <c r="N3" s="89">
        <v>1</v>
      </c>
      <c r="O3" s="89">
        <v>0</v>
      </c>
      <c r="P3" s="89">
        <v>0</v>
      </c>
    </row>
    <row r="4" spans="1:31" customFormat="1" x14ac:dyDescent="0.15">
      <c r="A4" s="151" t="s">
        <v>194</v>
      </c>
      <c r="B4" s="89">
        <v>0</v>
      </c>
      <c r="C4" s="89">
        <v>0</v>
      </c>
      <c r="D4" s="89">
        <v>1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1</v>
      </c>
      <c r="K4" s="89">
        <v>0</v>
      </c>
      <c r="L4" s="89">
        <v>0</v>
      </c>
      <c r="M4" s="89">
        <v>0</v>
      </c>
      <c r="N4" s="89">
        <v>0</v>
      </c>
      <c r="O4" s="89">
        <v>0</v>
      </c>
      <c r="P4" s="89">
        <v>0</v>
      </c>
    </row>
    <row r="5" spans="1:31" customFormat="1" x14ac:dyDescent="0.15">
      <c r="A5" s="151" t="s">
        <v>195</v>
      </c>
      <c r="B5" s="89">
        <v>0</v>
      </c>
      <c r="C5" s="89">
        <v>0</v>
      </c>
      <c r="D5" s="89">
        <v>0</v>
      </c>
      <c r="E5" s="89">
        <v>0</v>
      </c>
      <c r="F5" s="89">
        <v>0</v>
      </c>
      <c r="G5" s="89">
        <v>0</v>
      </c>
      <c r="H5" s="89">
        <v>0</v>
      </c>
      <c r="I5" s="89">
        <v>0</v>
      </c>
      <c r="J5" s="89">
        <v>1</v>
      </c>
      <c r="K5" s="89">
        <v>0</v>
      </c>
      <c r="L5" s="89">
        <v>0</v>
      </c>
      <c r="M5" s="89">
        <v>0</v>
      </c>
      <c r="N5" s="89">
        <v>0</v>
      </c>
      <c r="O5" s="89">
        <v>0</v>
      </c>
      <c r="P5" s="89">
        <v>0</v>
      </c>
    </row>
    <row r="6" spans="1:31" customFormat="1" x14ac:dyDescent="0.15">
      <c r="A6" s="151" t="s">
        <v>196</v>
      </c>
      <c r="B6" s="89">
        <v>0</v>
      </c>
      <c r="C6" s="89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1</v>
      </c>
      <c r="K6" s="89">
        <v>0</v>
      </c>
      <c r="L6" s="89">
        <v>0</v>
      </c>
      <c r="M6" s="89">
        <v>0</v>
      </c>
      <c r="N6" s="89">
        <v>0</v>
      </c>
      <c r="O6" s="89">
        <v>0</v>
      </c>
      <c r="P6" s="89">
        <v>0</v>
      </c>
    </row>
    <row r="7" spans="1:31" customFormat="1" x14ac:dyDescent="0.15">
      <c r="A7" s="151" t="s">
        <v>197</v>
      </c>
      <c r="B7" s="89">
        <v>0</v>
      </c>
      <c r="C7" s="89">
        <v>0</v>
      </c>
      <c r="D7" s="89">
        <v>0</v>
      </c>
      <c r="E7" s="89">
        <v>0</v>
      </c>
      <c r="F7" s="89">
        <v>0</v>
      </c>
      <c r="G7" s="89">
        <v>0</v>
      </c>
      <c r="H7" s="89">
        <v>0</v>
      </c>
      <c r="I7" s="89">
        <v>0</v>
      </c>
      <c r="J7" s="89">
        <v>1</v>
      </c>
      <c r="K7" s="89">
        <v>0</v>
      </c>
      <c r="L7" s="89">
        <v>0</v>
      </c>
      <c r="M7" s="89">
        <v>0</v>
      </c>
      <c r="N7" s="89">
        <v>0</v>
      </c>
      <c r="O7" s="89">
        <v>0</v>
      </c>
      <c r="P7" s="89">
        <v>0</v>
      </c>
    </row>
    <row r="8" spans="1:31" customFormat="1" x14ac:dyDescent="0.15">
      <c r="A8" s="151" t="s">
        <v>198</v>
      </c>
      <c r="B8" s="89">
        <v>0</v>
      </c>
      <c r="C8" s="89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1</v>
      </c>
      <c r="K8" s="89">
        <v>0</v>
      </c>
      <c r="L8" s="89">
        <v>0</v>
      </c>
      <c r="M8" s="89">
        <v>0</v>
      </c>
      <c r="N8" s="89">
        <v>0</v>
      </c>
      <c r="O8" s="89">
        <v>0</v>
      </c>
      <c r="P8" s="89">
        <v>0</v>
      </c>
    </row>
    <row r="9" spans="1:31" customFormat="1" x14ac:dyDescent="0.15">
      <c r="A9" s="151" t="s">
        <v>199</v>
      </c>
      <c r="B9" s="89">
        <v>0</v>
      </c>
      <c r="C9" s="89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1</v>
      </c>
      <c r="J9" s="89">
        <v>1</v>
      </c>
      <c r="K9" s="89">
        <v>0</v>
      </c>
      <c r="L9" s="89">
        <v>0</v>
      </c>
      <c r="M9" s="89">
        <v>0</v>
      </c>
      <c r="N9" s="89">
        <v>0</v>
      </c>
      <c r="O9" s="89">
        <v>0</v>
      </c>
      <c r="P9" s="89">
        <v>0</v>
      </c>
    </row>
    <row r="10" spans="1:31" customFormat="1" x14ac:dyDescent="0.15">
      <c r="A10" s="151" t="s">
        <v>200</v>
      </c>
      <c r="B10" s="89">
        <v>0</v>
      </c>
      <c r="C10" s="89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  <c r="O10" s="89">
        <v>0</v>
      </c>
      <c r="P10" s="89">
        <v>0</v>
      </c>
    </row>
    <row r="11" spans="1:31" customFormat="1" x14ac:dyDescent="0.15">
      <c r="A11" s="151" t="s">
        <v>201</v>
      </c>
      <c r="B11" s="89">
        <v>0</v>
      </c>
      <c r="C11" s="89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  <c r="O11" s="89">
        <v>0</v>
      </c>
      <c r="P11" s="89">
        <v>0</v>
      </c>
    </row>
    <row r="12" spans="1:31" customFormat="1" x14ac:dyDescent="0.15">
      <c r="A12" s="151" t="s">
        <v>202</v>
      </c>
      <c r="B12" s="89">
        <v>0</v>
      </c>
      <c r="C12" s="89"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89">
        <v>0</v>
      </c>
      <c r="L12" s="89">
        <v>1</v>
      </c>
      <c r="M12" s="89">
        <v>0</v>
      </c>
      <c r="N12" s="89">
        <v>0</v>
      </c>
      <c r="O12" s="89">
        <v>0</v>
      </c>
      <c r="P12" s="89">
        <v>0</v>
      </c>
    </row>
    <row r="13" spans="1:31" customFormat="1" x14ac:dyDescent="0.15">
      <c r="A13" s="151" t="s">
        <v>203</v>
      </c>
      <c r="B13" s="89">
        <v>0</v>
      </c>
      <c r="C13" s="89">
        <v>0</v>
      </c>
      <c r="D13" s="89">
        <v>1</v>
      </c>
      <c r="E13" s="89">
        <v>1</v>
      </c>
      <c r="F13" s="89">
        <v>1</v>
      </c>
      <c r="G13" s="89">
        <v>1</v>
      </c>
      <c r="H13" s="89">
        <v>1</v>
      </c>
      <c r="I13" s="89">
        <v>0</v>
      </c>
      <c r="J13" s="89">
        <v>1</v>
      </c>
      <c r="K13" s="89">
        <v>1</v>
      </c>
      <c r="L13" s="89">
        <v>1</v>
      </c>
      <c r="M13" s="89">
        <v>1</v>
      </c>
      <c r="N13" s="89">
        <v>1</v>
      </c>
      <c r="O13" s="89">
        <v>0</v>
      </c>
      <c r="P13" s="89">
        <v>0</v>
      </c>
    </row>
    <row r="14" spans="1:31" customFormat="1" x14ac:dyDescent="0.15">
      <c r="A14" s="151" t="s">
        <v>204</v>
      </c>
      <c r="B14" s="89">
        <v>0</v>
      </c>
      <c r="C14" s="89">
        <v>0</v>
      </c>
      <c r="D14" s="89">
        <v>0</v>
      </c>
      <c r="E14" s="89">
        <v>0</v>
      </c>
      <c r="F14" s="89">
        <v>1</v>
      </c>
      <c r="G14" s="89">
        <v>1</v>
      </c>
      <c r="H14" s="89">
        <v>1</v>
      </c>
      <c r="I14" s="89">
        <v>1</v>
      </c>
      <c r="J14" s="89">
        <v>1</v>
      </c>
      <c r="K14" s="89">
        <v>1</v>
      </c>
      <c r="L14" s="89">
        <v>0</v>
      </c>
      <c r="M14" s="89">
        <v>0</v>
      </c>
      <c r="N14" s="89">
        <v>0</v>
      </c>
      <c r="O14" s="89">
        <v>0</v>
      </c>
      <c r="P14" s="89">
        <v>0</v>
      </c>
    </row>
    <row r="15" spans="1:31" customFormat="1" x14ac:dyDescent="0.15">
      <c r="A15" s="151" t="s">
        <v>205</v>
      </c>
      <c r="B15" s="89">
        <v>0</v>
      </c>
      <c r="C15" s="89">
        <v>0</v>
      </c>
      <c r="D15" s="89">
        <v>0</v>
      </c>
      <c r="E15" s="89">
        <v>0</v>
      </c>
      <c r="F15" s="89">
        <v>0</v>
      </c>
      <c r="G15" s="89">
        <v>0</v>
      </c>
      <c r="H15" s="89">
        <v>0</v>
      </c>
      <c r="I15" s="89">
        <v>0</v>
      </c>
      <c r="J15" s="89">
        <v>0</v>
      </c>
      <c r="K15" s="89">
        <v>0</v>
      </c>
      <c r="L15" s="89">
        <v>0</v>
      </c>
      <c r="M15" s="89">
        <v>1</v>
      </c>
      <c r="N15" s="89">
        <v>0</v>
      </c>
      <c r="O15" s="89">
        <v>0</v>
      </c>
      <c r="P15" s="89">
        <v>0</v>
      </c>
    </row>
    <row r="16" spans="1:31" customFormat="1" x14ac:dyDescent="0.15">
      <c r="A16" s="151" t="s">
        <v>206</v>
      </c>
      <c r="B16" s="89">
        <v>0</v>
      </c>
      <c r="C16" s="89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89">
        <v>0</v>
      </c>
      <c r="L16" s="89">
        <v>0</v>
      </c>
      <c r="M16" s="89">
        <v>0</v>
      </c>
      <c r="N16" s="89">
        <v>0</v>
      </c>
      <c r="O16" s="89">
        <v>0</v>
      </c>
      <c r="P16" s="89">
        <v>0</v>
      </c>
    </row>
    <row r="17" spans="1:16" customFormat="1" x14ac:dyDescent="0.15">
      <c r="A17" s="151" t="s">
        <v>208</v>
      </c>
      <c r="B17" s="89">
        <v>0</v>
      </c>
      <c r="C17" s="89">
        <v>0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  <c r="L17" s="89">
        <v>0</v>
      </c>
      <c r="M17" s="89">
        <v>0</v>
      </c>
      <c r="N17" s="89">
        <v>0</v>
      </c>
      <c r="O17" s="89">
        <v>0</v>
      </c>
      <c r="P17" s="89">
        <v>0</v>
      </c>
    </row>
    <row r="18" spans="1:16" customFormat="1" x14ac:dyDescent="0.15"/>
    <row r="19" spans="1:16" customFormat="1" x14ac:dyDescent="0.15"/>
    <row r="20" spans="1:16" customFormat="1" x14ac:dyDescent="0.15"/>
    <row r="21" spans="1:16" customFormat="1" x14ac:dyDescent="0.15"/>
    <row r="22" spans="1:16" customFormat="1" x14ac:dyDescent="0.15"/>
    <row r="23" spans="1:16" customFormat="1" x14ac:dyDescent="0.15"/>
    <row r="24" spans="1:16" customFormat="1" x14ac:dyDescent="0.15"/>
    <row r="25" spans="1:16" customFormat="1" x14ac:dyDescent="0.15"/>
    <row r="26" spans="1:16" customFormat="1" x14ac:dyDescent="0.15"/>
    <row r="27" spans="1:16" customFormat="1" x14ac:dyDescent="0.15"/>
    <row r="28" spans="1:16" customFormat="1" x14ac:dyDescent="0.15"/>
    <row r="29" spans="1:16" customFormat="1" x14ac:dyDescent="0.15"/>
    <row r="30" spans="1:16" customFormat="1" x14ac:dyDescent="0.15"/>
    <row r="31" spans="1:16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54" t="s">
        <v>207</v>
      </c>
    </row>
    <row r="2" spans="1:3" x14ac:dyDescent="0.15">
      <c r="A2">
        <v>1</v>
      </c>
      <c r="B2" s="153" t="s">
        <v>192</v>
      </c>
      <c r="C2">
        <v>0</v>
      </c>
    </row>
    <row r="3" spans="1:3" x14ac:dyDescent="0.15">
      <c r="A3">
        <v>2</v>
      </c>
      <c r="B3" s="153" t="s">
        <v>193</v>
      </c>
      <c r="C3">
        <v>0</v>
      </c>
    </row>
    <row r="4" spans="1:3" x14ac:dyDescent="0.15">
      <c r="A4">
        <v>3</v>
      </c>
      <c r="B4" s="153" t="s">
        <v>194</v>
      </c>
      <c r="C4">
        <v>0.8</v>
      </c>
    </row>
    <row r="5" spans="1:3" x14ac:dyDescent="0.15">
      <c r="A5">
        <v>4</v>
      </c>
      <c r="B5" s="153" t="s">
        <v>195</v>
      </c>
      <c r="C5">
        <v>0</v>
      </c>
    </row>
    <row r="6" spans="1:3" x14ac:dyDescent="0.15">
      <c r="A6">
        <v>5</v>
      </c>
      <c r="B6" s="153" t="s">
        <v>196</v>
      </c>
      <c r="C6">
        <v>0.8</v>
      </c>
    </row>
    <row r="7" spans="1:3" x14ac:dyDescent="0.15">
      <c r="A7">
        <v>6</v>
      </c>
      <c r="B7" s="153" t="s">
        <v>197</v>
      </c>
      <c r="C7">
        <v>0.8</v>
      </c>
    </row>
    <row r="8" spans="1:3" x14ac:dyDescent="0.15">
      <c r="A8">
        <v>7</v>
      </c>
      <c r="B8" s="153" t="s">
        <v>198</v>
      </c>
      <c r="C8">
        <v>0</v>
      </c>
    </row>
    <row r="9" spans="1:3" x14ac:dyDescent="0.15">
      <c r="A9">
        <v>8</v>
      </c>
      <c r="B9" s="153" t="s">
        <v>199</v>
      </c>
      <c r="C9">
        <v>0.8</v>
      </c>
    </row>
    <row r="10" spans="1:3" x14ac:dyDescent="0.15">
      <c r="A10">
        <v>9</v>
      </c>
      <c r="B10" s="153" t="s">
        <v>200</v>
      </c>
      <c r="C10">
        <v>0.8</v>
      </c>
    </row>
    <row r="11" spans="1:3" x14ac:dyDescent="0.15">
      <c r="A11">
        <v>10</v>
      </c>
      <c r="B11" s="153" t="s">
        <v>201</v>
      </c>
      <c r="C11">
        <v>0.8</v>
      </c>
    </row>
    <row r="12" spans="1:3" x14ac:dyDescent="0.15">
      <c r="A12">
        <v>11</v>
      </c>
      <c r="B12" s="153" t="s">
        <v>202</v>
      </c>
      <c r="C12">
        <v>0.8</v>
      </c>
    </row>
    <row r="13" spans="1:3" x14ac:dyDescent="0.15">
      <c r="A13">
        <v>12</v>
      </c>
      <c r="B13" s="153" t="s">
        <v>203</v>
      </c>
      <c r="C13">
        <v>0</v>
      </c>
    </row>
    <row r="14" spans="1:3" x14ac:dyDescent="0.15">
      <c r="A14">
        <v>13</v>
      </c>
      <c r="B14" s="153" t="s">
        <v>204</v>
      </c>
      <c r="C14">
        <v>0</v>
      </c>
    </row>
    <row r="15" spans="1:3" x14ac:dyDescent="0.15">
      <c r="A15">
        <v>14</v>
      </c>
      <c r="B15" s="153" t="s">
        <v>205</v>
      </c>
      <c r="C15">
        <v>0</v>
      </c>
    </row>
    <row r="16" spans="1:3" x14ac:dyDescent="0.15">
      <c r="A16">
        <v>15</v>
      </c>
      <c r="B16" s="153" t="s">
        <v>206</v>
      </c>
      <c r="C16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6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56" t="s">
        <v>207</v>
      </c>
    </row>
    <row r="2" spans="1:3" x14ac:dyDescent="0.15">
      <c r="A2">
        <v>1</v>
      </c>
      <c r="B2" s="155" t="s">
        <v>192</v>
      </c>
      <c r="C2">
        <v>0</v>
      </c>
    </row>
    <row r="3" spans="1:3" x14ac:dyDescent="0.15">
      <c r="A3">
        <v>2</v>
      </c>
      <c r="B3" s="155" t="s">
        <v>193</v>
      </c>
      <c r="C3">
        <v>0</v>
      </c>
    </row>
    <row r="4" spans="1:3" x14ac:dyDescent="0.15">
      <c r="A4">
        <v>3</v>
      </c>
      <c r="B4" s="155" t="s">
        <v>194</v>
      </c>
      <c r="C4">
        <v>0.8</v>
      </c>
    </row>
    <row r="5" spans="1:3" x14ac:dyDescent="0.15">
      <c r="A5">
        <v>4</v>
      </c>
      <c r="B5" s="155" t="s">
        <v>195</v>
      </c>
      <c r="C5">
        <v>0</v>
      </c>
    </row>
    <row r="6" spans="1:3" x14ac:dyDescent="0.15">
      <c r="A6">
        <v>5</v>
      </c>
      <c r="B6" s="155" t="s">
        <v>196</v>
      </c>
      <c r="C6">
        <v>0.8</v>
      </c>
    </row>
    <row r="7" spans="1:3" x14ac:dyDescent="0.15">
      <c r="A7">
        <v>6</v>
      </c>
      <c r="B7" s="155" t="s">
        <v>197</v>
      </c>
      <c r="C7">
        <v>0.8</v>
      </c>
    </row>
    <row r="8" spans="1:3" x14ac:dyDescent="0.15">
      <c r="A8">
        <v>7</v>
      </c>
      <c r="B8" s="155" t="s">
        <v>198</v>
      </c>
      <c r="C8">
        <v>0</v>
      </c>
    </row>
    <row r="9" spans="1:3" x14ac:dyDescent="0.15">
      <c r="A9">
        <v>8</v>
      </c>
      <c r="B9" s="155" t="s">
        <v>199</v>
      </c>
      <c r="C9">
        <v>0.8</v>
      </c>
    </row>
    <row r="10" spans="1:3" x14ac:dyDescent="0.15">
      <c r="A10">
        <v>9</v>
      </c>
      <c r="B10" s="155" t="s">
        <v>200</v>
      </c>
      <c r="C10">
        <v>0.8</v>
      </c>
    </row>
    <row r="11" spans="1:3" x14ac:dyDescent="0.15">
      <c r="A11">
        <v>10</v>
      </c>
      <c r="B11" s="155" t="s">
        <v>201</v>
      </c>
      <c r="C11">
        <v>0.8</v>
      </c>
    </row>
    <row r="12" spans="1:3" x14ac:dyDescent="0.15">
      <c r="A12">
        <v>11</v>
      </c>
      <c r="B12" s="155" t="s">
        <v>202</v>
      </c>
      <c r="C12">
        <v>0.8</v>
      </c>
    </row>
    <row r="13" spans="1:3" x14ac:dyDescent="0.15">
      <c r="A13">
        <v>12</v>
      </c>
      <c r="B13" s="155" t="s">
        <v>203</v>
      </c>
      <c r="C13">
        <v>0</v>
      </c>
    </row>
    <row r="14" spans="1:3" x14ac:dyDescent="0.15">
      <c r="A14">
        <v>13</v>
      </c>
      <c r="B14" s="155" t="s">
        <v>204</v>
      </c>
      <c r="C14">
        <v>0</v>
      </c>
    </row>
    <row r="15" spans="1:3" x14ac:dyDescent="0.15">
      <c r="A15">
        <v>14</v>
      </c>
      <c r="B15" s="155" t="s">
        <v>205</v>
      </c>
      <c r="C15">
        <v>0</v>
      </c>
    </row>
    <row r="16" spans="1:3" x14ac:dyDescent="0.15">
      <c r="A16">
        <v>15</v>
      </c>
      <c r="B16" s="155" t="s">
        <v>206</v>
      </c>
      <c r="C1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65"/>
    <col min="2" max="2" width="41.83203125" style="65" bestFit="1" customWidth="1"/>
    <col min="3" max="3" width="9.33203125" style="65" bestFit="1" customWidth="1"/>
    <col min="4" max="4" width="13" style="65" bestFit="1" customWidth="1"/>
    <col min="5" max="6" width="9.33203125" style="65" bestFit="1" customWidth="1"/>
    <col min="7" max="7" width="9.33203125" style="81" bestFit="1" customWidth="1"/>
    <col min="8" max="8" width="9.33203125" style="65" bestFit="1" customWidth="1"/>
    <col min="9" max="9" width="11" style="65" customWidth="1"/>
    <col min="10" max="10" width="8.83203125" style="65"/>
    <col min="15" max="16384" width="8.83203125" style="6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6" t="s">
        <v>14</v>
      </c>
      <c r="H1" s="1" t="s">
        <v>26</v>
      </c>
      <c r="I1" s="1" t="s">
        <v>24</v>
      </c>
    </row>
    <row r="2" spans="1:10" ht="15" customHeight="1" x14ac:dyDescent="0.15">
      <c r="A2" s="122">
        <v>1</v>
      </c>
      <c r="B2" s="122" t="s">
        <v>192</v>
      </c>
      <c r="C2" s="8">
        <v>1</v>
      </c>
      <c r="D2" s="9">
        <v>10</v>
      </c>
      <c r="E2" s="9">
        <v>200</v>
      </c>
      <c r="F2" s="10"/>
      <c r="G2" s="9">
        <v>8.3791345357894897E-2</v>
      </c>
      <c r="H2" s="10"/>
      <c r="I2">
        <v>0</v>
      </c>
      <c r="J2"/>
    </row>
    <row r="3" spans="1:10" ht="15" customHeight="1" x14ac:dyDescent="0.15">
      <c r="A3" s="123">
        <v>2</v>
      </c>
      <c r="B3" s="123" t="s">
        <v>193</v>
      </c>
      <c r="C3" s="8">
        <v>2</v>
      </c>
      <c r="D3" s="9">
        <v>0.75</v>
      </c>
      <c r="E3" s="9">
        <v>45</v>
      </c>
      <c r="F3" s="9">
        <v>200</v>
      </c>
      <c r="G3" s="9">
        <v>0.89932769536972046</v>
      </c>
      <c r="H3" s="9">
        <v>0.22499999403953552</v>
      </c>
      <c r="I3">
        <v>0</v>
      </c>
      <c r="J3"/>
    </row>
    <row r="4" spans="1:10" ht="15" customHeight="1" x14ac:dyDescent="0.15">
      <c r="A4" s="124">
        <v>3</v>
      </c>
      <c r="B4" s="124" t="s">
        <v>194</v>
      </c>
      <c r="C4" s="8">
        <v>3.0045819282531738</v>
      </c>
      <c r="D4" s="9">
        <v>0.69300001859664917</v>
      </c>
      <c r="E4" s="9">
        <v>2.7249999046325684</v>
      </c>
      <c r="F4" s="9">
        <v>5.0999999046325684</v>
      </c>
      <c r="G4" s="9">
        <v>0.89968568086624146</v>
      </c>
      <c r="H4" s="9">
        <v>0.53431373834609985</v>
      </c>
      <c r="I4">
        <v>1.5479999780654907</v>
      </c>
      <c r="J4"/>
    </row>
    <row r="5" spans="1:10" ht="15" customHeight="1" x14ac:dyDescent="0.15">
      <c r="A5" s="125">
        <v>4</v>
      </c>
      <c r="B5" s="125" t="s">
        <v>195</v>
      </c>
      <c r="C5" s="8">
        <v>3.0222225189208984</v>
      </c>
      <c r="D5" s="9">
        <v>1.9600000232458115E-2</v>
      </c>
      <c r="E5" s="9">
        <v>3.5</v>
      </c>
      <c r="F5" s="9">
        <v>5.8000001907348633</v>
      </c>
      <c r="G5" s="9">
        <v>0.98309040069580078</v>
      </c>
      <c r="H5" s="9">
        <v>0.60344827175140381</v>
      </c>
      <c r="I5">
        <v>0</v>
      </c>
      <c r="J5"/>
    </row>
    <row r="6" spans="1:10" ht="15" customHeight="1" x14ac:dyDescent="0.15">
      <c r="A6" s="126">
        <v>5</v>
      </c>
      <c r="B6" s="126" t="s">
        <v>196</v>
      </c>
      <c r="C6" s="8">
        <v>3.7360002994537354</v>
      </c>
      <c r="D6" s="9">
        <v>0.50700002908706665</v>
      </c>
      <c r="E6" s="9">
        <v>2.809999942779541</v>
      </c>
      <c r="F6" s="9">
        <v>5</v>
      </c>
      <c r="G6" s="9">
        <v>6.3383102416992188E-2</v>
      </c>
      <c r="H6" s="9">
        <v>0.56199997663497925</v>
      </c>
      <c r="I6">
        <v>6.0000000521540642E-3</v>
      </c>
      <c r="J6"/>
    </row>
    <row r="7" spans="1:10" ht="15" customHeight="1" x14ac:dyDescent="0.15">
      <c r="A7" s="127">
        <v>6</v>
      </c>
      <c r="B7" s="127" t="s">
        <v>197</v>
      </c>
      <c r="C7" s="8">
        <v>3.6288890838623047</v>
      </c>
      <c r="D7" s="9">
        <v>2.3399999365210533E-2</v>
      </c>
      <c r="E7" s="9">
        <v>2</v>
      </c>
      <c r="F7" s="9">
        <v>4.8000001907348633</v>
      </c>
      <c r="G7" s="9">
        <v>0.75000005960464478</v>
      </c>
      <c r="H7" s="9">
        <v>0.4166666567325592</v>
      </c>
      <c r="I7">
        <v>7.0000002160668373E-3</v>
      </c>
      <c r="J7"/>
    </row>
    <row r="8" spans="1:10" ht="15" customHeight="1" x14ac:dyDescent="0.15">
      <c r="A8" s="128">
        <v>7</v>
      </c>
      <c r="B8" s="128" t="s">
        <v>198</v>
      </c>
      <c r="C8" s="8">
        <v>3.9000000953674316</v>
      </c>
      <c r="D8" s="9">
        <v>1.5799999237060547E-2</v>
      </c>
      <c r="E8" s="9">
        <v>4</v>
      </c>
      <c r="F8" s="9">
        <v>6.4000000953674316</v>
      </c>
      <c r="G8" s="9">
        <v>0.889240562915802</v>
      </c>
      <c r="H8" s="9">
        <v>0.625</v>
      </c>
      <c r="I8">
        <v>0</v>
      </c>
      <c r="J8"/>
    </row>
    <row r="9" spans="1:10" ht="15" customHeight="1" x14ac:dyDescent="0.15">
      <c r="A9" s="129">
        <v>8</v>
      </c>
      <c r="B9" s="129" t="s">
        <v>199</v>
      </c>
      <c r="C9" s="8">
        <v>2.8643276691436768</v>
      </c>
      <c r="D9" s="9">
        <v>8.659999817609787E-2</v>
      </c>
      <c r="E9" s="9">
        <v>3</v>
      </c>
      <c r="F9" s="9">
        <v>15</v>
      </c>
      <c r="G9" s="9">
        <v>0.90550428628921509</v>
      </c>
      <c r="H9" s="9">
        <v>0.20000000298023224</v>
      </c>
      <c r="I9">
        <v>8.6000002920627594E-2</v>
      </c>
      <c r="J9"/>
    </row>
    <row r="10" spans="1:10" ht="15" customHeight="1" x14ac:dyDescent="0.15">
      <c r="A10" s="130">
        <v>9</v>
      </c>
      <c r="B10" s="130" t="s">
        <v>200</v>
      </c>
      <c r="C10" s="8">
        <v>4.1567492485046387</v>
      </c>
      <c r="D10" s="9">
        <v>5.6200001388788223E-2</v>
      </c>
      <c r="E10" s="9">
        <v>2</v>
      </c>
      <c r="F10" s="9">
        <v>10</v>
      </c>
      <c r="G10" s="9">
        <v>0.76512455940246582</v>
      </c>
      <c r="H10" s="9">
        <v>0.20000000298023224</v>
      </c>
      <c r="I10">
        <v>8.6000002920627594E-2</v>
      </c>
      <c r="J10"/>
    </row>
    <row r="11" spans="1:10" ht="15" customHeight="1" x14ac:dyDescent="0.15">
      <c r="A11" s="131">
        <v>10</v>
      </c>
      <c r="B11" s="131" t="s">
        <v>201</v>
      </c>
      <c r="C11" s="8">
        <v>3.9000000953674316</v>
      </c>
      <c r="D11" s="9">
        <v>4.8000000417232513E-2</v>
      </c>
      <c r="E11" s="9">
        <v>2</v>
      </c>
      <c r="F11" s="9">
        <v>10</v>
      </c>
      <c r="G11" s="9">
        <v>0.89583337306976318</v>
      </c>
      <c r="H11" s="9">
        <v>0.20000000298023224</v>
      </c>
      <c r="I11">
        <v>8.6000002920627594E-2</v>
      </c>
      <c r="J11"/>
    </row>
    <row r="12" spans="1:10" ht="15" customHeight="1" x14ac:dyDescent="0.15">
      <c r="A12" s="132">
        <v>11</v>
      </c>
      <c r="B12" s="132" t="s">
        <v>202</v>
      </c>
      <c r="C12" s="8">
        <v>3.1604940891265869</v>
      </c>
      <c r="D12" s="9">
        <v>2.1600000560283661E-2</v>
      </c>
      <c r="E12" s="9">
        <v>6</v>
      </c>
      <c r="F12" s="9">
        <v>20</v>
      </c>
      <c r="G12" s="9">
        <v>0.9969136118888855</v>
      </c>
      <c r="H12" s="9">
        <v>0.30000001192092896</v>
      </c>
      <c r="I12">
        <v>8.6000002920627594E-2</v>
      </c>
      <c r="J12"/>
    </row>
    <row r="13" spans="1:10" ht="15" customHeight="1" x14ac:dyDescent="0.15">
      <c r="A13" s="133">
        <v>12</v>
      </c>
      <c r="B13" s="133" t="s">
        <v>203</v>
      </c>
      <c r="C13" s="8">
        <v>2.4444446563720703</v>
      </c>
      <c r="D13" s="9">
        <v>2.7880001068115234</v>
      </c>
      <c r="E13" s="9">
        <v>7</v>
      </c>
      <c r="F13" s="9">
        <v>30</v>
      </c>
      <c r="G13" s="9">
        <v>0.89999943971633911</v>
      </c>
      <c r="H13" s="9">
        <v>0.23333333432674408</v>
      </c>
      <c r="I13">
        <v>0</v>
      </c>
      <c r="J13"/>
    </row>
    <row r="14" spans="1:10" ht="15" customHeight="1" x14ac:dyDescent="0.15">
      <c r="A14" s="134">
        <v>13</v>
      </c>
      <c r="B14" s="134" t="s">
        <v>204</v>
      </c>
      <c r="C14" s="8">
        <v>3.3555557727813721</v>
      </c>
      <c r="D14" s="9">
        <v>0.54699999094009399</v>
      </c>
      <c r="E14" s="9">
        <v>3</v>
      </c>
      <c r="F14" s="9">
        <v>15</v>
      </c>
      <c r="G14" s="9">
        <v>0.9016185998916626</v>
      </c>
      <c r="H14" s="9">
        <v>0.20000000298023224</v>
      </c>
      <c r="I14">
        <v>0</v>
      </c>
      <c r="J14"/>
    </row>
    <row r="15" spans="1:10" ht="15" customHeight="1" x14ac:dyDescent="0.15">
      <c r="A15" s="135">
        <v>14</v>
      </c>
      <c r="B15" s="135" t="s">
        <v>205</v>
      </c>
      <c r="C15" s="8">
        <v>1</v>
      </c>
      <c r="D15" s="9">
        <v>10</v>
      </c>
      <c r="E15" s="10"/>
      <c r="F15" s="10"/>
      <c r="G15" s="7">
        <v>1.7704062163829803E-2</v>
      </c>
      <c r="H15" s="10"/>
      <c r="I15">
        <v>0</v>
      </c>
      <c r="J15"/>
    </row>
    <row r="16" spans="1:10" ht="15" customHeight="1" x14ac:dyDescent="0.15">
      <c r="A16" s="136">
        <v>15</v>
      </c>
      <c r="B16" s="136" t="s">
        <v>206</v>
      </c>
      <c r="C16" s="8">
        <v>1</v>
      </c>
      <c r="D16" s="9">
        <v>5</v>
      </c>
      <c r="E16" s="10"/>
      <c r="F16" s="10"/>
      <c r="G16" s="7">
        <v>0</v>
      </c>
      <c r="H16" s="10"/>
      <c r="I16">
        <v>0</v>
      </c>
      <c r="J16"/>
    </row>
    <row r="17" spans="1:10" ht="15" customHeight="1" x14ac:dyDescent="0.15">
      <c r="A17" s="137">
        <v>16</v>
      </c>
      <c r="B17" s="137" t="s">
        <v>207</v>
      </c>
      <c r="C17" s="8">
        <v>4.1023235321044922</v>
      </c>
      <c r="D17" s="10"/>
      <c r="E17" s="10"/>
      <c r="F17" s="10"/>
      <c r="G17" s="10"/>
      <c r="H17" s="10"/>
      <c r="I17">
        <v>1.904999852180481</v>
      </c>
      <c r="J17"/>
    </row>
    <row r="18" spans="1:10" ht="15" customHeight="1" x14ac:dyDescent="0.15">
      <c r="A18"/>
      <c r="B18"/>
      <c r="C18"/>
      <c r="D18"/>
      <c r="E18"/>
      <c r="F18"/>
      <c r="G18"/>
      <c r="H18"/>
      <c r="I18"/>
      <c r="J18"/>
    </row>
    <row r="19" spans="1:10" ht="15" customHeight="1" x14ac:dyDescent="0.15">
      <c r="A19"/>
      <c r="B19"/>
      <c r="C19"/>
      <c r="D19"/>
      <c r="E19"/>
      <c r="F19"/>
      <c r="G19"/>
      <c r="H19"/>
      <c r="I19"/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5" bestFit="1" customWidth="1"/>
    <col min="2" max="4" width="9.5" style="65" bestFit="1" customWidth="1"/>
    <col min="5" max="7" width="9" style="65" bestFit="1" customWidth="1"/>
    <col min="8" max="16" width="12.6640625" style="65" bestFit="1" customWidth="1"/>
    <col min="17" max="17" width="12.33203125" style="65" bestFit="1" customWidth="1"/>
    <col min="18" max="18" width="8.83203125" style="65"/>
    <col min="19" max="21" width="9.33203125" style="65" bestFit="1" customWidth="1"/>
    <col min="22" max="23" width="8.83203125" style="65"/>
    <col min="24" max="24" width="9.33203125" style="65" bestFit="1" customWidth="1"/>
    <col min="25" max="27" width="8.83203125" style="65"/>
    <col min="28" max="58" width="9" style="65" bestFit="1" customWidth="1"/>
    <col min="59" max="59" width="12.33203125" style="65" bestFit="1" customWidth="1"/>
    <col min="60" max="60" width="9" style="65" bestFit="1" customWidth="1"/>
    <col min="61" max="61" width="11.33203125" style="65" bestFit="1" customWidth="1"/>
    <col min="62" max="77" width="9" style="65" bestFit="1" customWidth="1"/>
    <col min="78" max="78" width="12.33203125" style="65" bestFit="1" customWidth="1"/>
    <col min="79" max="79" width="9" style="65" bestFit="1" customWidth="1"/>
    <col min="80" max="80" width="12.33203125" style="65" bestFit="1" customWidth="1"/>
    <col min="81" max="107" width="9" style="65" bestFit="1" customWidth="1"/>
    <col min="108" max="108" width="11.33203125" style="65" bestFit="1" customWidth="1"/>
    <col min="109" max="124" width="9" style="65" bestFit="1" customWidth="1"/>
    <col min="125" max="125" width="10.33203125" style="65" bestFit="1" customWidth="1"/>
    <col min="126" max="129" width="9.33203125" style="65" bestFit="1" customWidth="1"/>
    <col min="130" max="130" width="9" style="65" bestFit="1" customWidth="1"/>
    <col min="131" max="134" width="9.33203125" style="65" bestFit="1" customWidth="1"/>
    <col min="135" max="165" width="9" style="65" bestFit="1" customWidth="1"/>
    <col min="166" max="166" width="12.33203125" style="65" bestFit="1" customWidth="1"/>
    <col min="167" max="170" width="9" style="65" bestFit="1" customWidth="1"/>
    <col min="171" max="176" width="8.83203125" style="65"/>
    <col min="177" max="177" width="13.83203125" style="65" bestFit="1" customWidth="1"/>
    <col min="178" max="16384" width="8.83203125" style="6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212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200</v>
      </c>
      <c r="C2">
        <v>183.24172973632812</v>
      </c>
      <c r="D2"/>
      <c r="E2"/>
      <c r="F2" s="187">
        <v>15</v>
      </c>
      <c r="G2" s="11">
        <v>2.4740099906921387E-2</v>
      </c>
      <c r="H2" s="11">
        <v>2.2736000828444958E-3</v>
      </c>
      <c r="I2"/>
      <c r="J2"/>
      <c r="K2"/>
      <c r="L2" s="11">
        <v>5.8454997837543488E-2</v>
      </c>
      <c r="M2"/>
      <c r="N2"/>
      <c r="O2"/>
      <c r="P2" s="18">
        <v>1.6728000640869141</v>
      </c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45</v>
      </c>
      <c r="C3">
        <v>4.5302538871765137</v>
      </c>
      <c r="D3"/>
      <c r="E3"/>
      <c r="F3"/>
      <c r="G3" s="183">
        <v>3.7699201107025146</v>
      </c>
      <c r="H3" s="13">
        <v>4.5472007244825363E-2</v>
      </c>
      <c r="I3"/>
      <c r="J3" s="11">
        <v>2.9951998963952065E-2</v>
      </c>
      <c r="K3"/>
      <c r="L3" s="15">
        <v>0.51959997415542603</v>
      </c>
      <c r="M3"/>
      <c r="N3"/>
      <c r="O3" s="14">
        <v>0.46080002188682556</v>
      </c>
      <c r="P3" s="186">
        <v>33.456005096435547</v>
      </c>
      <c r="Q3" s="181">
        <v>2.187999963760376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2.7249999046325684</v>
      </c>
      <c r="C4">
        <v>0.27335649728775024</v>
      </c>
      <c r="D4" s="165">
        <v>2.2337660789489746</v>
      </c>
      <c r="E4"/>
      <c r="F4"/>
      <c r="G4" s="177">
        <v>0.15299999713897705</v>
      </c>
      <c r="H4"/>
      <c r="I4"/>
      <c r="J4"/>
      <c r="K4"/>
      <c r="L4"/>
      <c r="M4" s="173">
        <v>6.4877346158027649E-2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3.5</v>
      </c>
      <c r="C5">
        <v>5.9183597564697266E-2</v>
      </c>
      <c r="D5"/>
      <c r="E5"/>
      <c r="F5"/>
      <c r="G5"/>
      <c r="H5"/>
      <c r="I5"/>
      <c r="J5"/>
      <c r="K5"/>
      <c r="L5"/>
      <c r="M5" s="175">
        <v>3.4408164024353027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2.809999942779541</v>
      </c>
      <c r="C6">
        <v>2.6318933963775635</v>
      </c>
      <c r="D6" s="12">
        <v>1.1834318749606609E-2</v>
      </c>
      <c r="E6"/>
      <c r="F6"/>
      <c r="G6"/>
      <c r="H6"/>
      <c r="I6"/>
      <c r="J6"/>
      <c r="K6"/>
      <c r="L6"/>
      <c r="M6" s="55">
        <v>0.16627219319343567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2</v>
      </c>
      <c r="C7">
        <v>0.49999988079071045</v>
      </c>
      <c r="D7" s="166">
        <v>0.29914531111717224</v>
      </c>
      <c r="E7"/>
      <c r="F7"/>
      <c r="G7"/>
      <c r="H7"/>
      <c r="I7"/>
      <c r="J7"/>
      <c r="K7"/>
      <c r="L7"/>
      <c r="M7" s="171">
        <v>1.2008547782897949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4</v>
      </c>
      <c r="C8">
        <v>0.44303774833679199</v>
      </c>
      <c r="D8"/>
      <c r="E8"/>
      <c r="F8"/>
      <c r="G8"/>
      <c r="H8"/>
      <c r="I8"/>
      <c r="J8"/>
      <c r="K8"/>
      <c r="L8"/>
      <c r="M8" s="174">
        <v>3.556962251663208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3</v>
      </c>
      <c r="C9">
        <v>0.28348714113235474</v>
      </c>
      <c r="D9" s="167">
        <v>0.99307167530059814</v>
      </c>
      <c r="E9"/>
      <c r="F9"/>
      <c r="G9"/>
      <c r="H9"/>
      <c r="I9"/>
      <c r="J9"/>
      <c r="K9"/>
      <c r="L9" s="121">
        <v>0.75</v>
      </c>
      <c r="M9" s="176">
        <v>0.97344118356704712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</v>
      </c>
      <c r="C10">
        <v>0.46975088119506836</v>
      </c>
      <c r="D10" s="168">
        <v>1.5302491188049316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2</v>
      </c>
      <c r="C11">
        <v>0.20833325386047363</v>
      </c>
      <c r="D11" s="169">
        <v>1.7916667461395264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6</v>
      </c>
      <c r="C12">
        <v>1.8518328666687012E-2</v>
      </c>
      <c r="D12" s="170">
        <v>3.9814815521240234</v>
      </c>
      <c r="E12"/>
      <c r="F12"/>
      <c r="G12"/>
      <c r="H12"/>
      <c r="I12"/>
      <c r="J12"/>
      <c r="K12"/>
      <c r="L12"/>
      <c r="M12"/>
      <c r="N12"/>
      <c r="O12" s="172">
        <v>2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7</v>
      </c>
      <c r="C13">
        <v>0.70000392198562622</v>
      </c>
      <c r="D13"/>
      <c r="E13"/>
      <c r="F13"/>
      <c r="G13" s="16">
        <v>0.12676829099655151</v>
      </c>
      <c r="H13" s="13">
        <v>2.0387373864650726E-2</v>
      </c>
      <c r="I13" s="182">
        <v>0.61829268932342529</v>
      </c>
      <c r="J13" s="13">
        <v>2.0143471658229828E-2</v>
      </c>
      <c r="K13" s="13">
        <v>1.8134862184524536E-2</v>
      </c>
      <c r="L13"/>
      <c r="M13" s="19">
        <v>4.0315639227628708E-2</v>
      </c>
      <c r="N13" s="15">
        <v>8.6083211004734039E-2</v>
      </c>
      <c r="O13" s="13">
        <v>1.5494978055357933E-2</v>
      </c>
      <c r="P13" s="185">
        <v>3</v>
      </c>
      <c r="Q13" s="184">
        <v>2.3543758392333984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3</v>
      </c>
      <c r="C14">
        <v>0.29514420032501221</v>
      </c>
      <c r="D14"/>
      <c r="E14"/>
      <c r="F14"/>
      <c r="G14"/>
      <c r="H14"/>
      <c r="I14" s="180">
        <v>1.482998251914978</v>
      </c>
      <c r="J14" s="17">
        <v>6.1601471155881882E-2</v>
      </c>
      <c r="K14" s="20">
        <v>9.2431440949440002E-2</v>
      </c>
      <c r="L14" s="179">
        <v>0.4749542772769928</v>
      </c>
      <c r="M14" s="56">
        <v>0.15411335229873657</v>
      </c>
      <c r="N14" s="178">
        <v>0.43875688314437866</v>
      </c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/>
      <c r="C15">
        <v>1.7704062163829803E-2</v>
      </c>
      <c r="D15"/>
      <c r="E15"/>
      <c r="F15"/>
      <c r="G15"/>
      <c r="H15"/>
      <c r="I15"/>
      <c r="J15"/>
      <c r="K15"/>
      <c r="L15"/>
      <c r="M15"/>
      <c r="N15"/>
      <c r="O15"/>
      <c r="P15" s="9">
        <v>33.456001281738281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/>
      <c r="C16">
        <v>0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H28" sqref="H28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5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3" t="s">
        <v>166</v>
      </c>
    </row>
    <row r="2" spans="1:12" x14ac:dyDescent="0.15">
      <c r="A2" s="1" t="s">
        <v>37</v>
      </c>
      <c r="B2" s="30">
        <v>3</v>
      </c>
      <c r="C2" s="28"/>
      <c r="D2" t="s">
        <v>38</v>
      </c>
      <c r="E2">
        <v>1</v>
      </c>
      <c r="F2">
        <v>1</v>
      </c>
      <c r="G2">
        <v>1</v>
      </c>
      <c r="H2" t="s">
        <v>38</v>
      </c>
      <c r="J2" s="46"/>
      <c r="K2" s="47"/>
      <c r="L2" s="53" t="s">
        <v>167</v>
      </c>
    </row>
    <row r="3" spans="1:12" ht="14" thickBot="1" x14ac:dyDescent="0.2">
      <c r="A3" s="1" t="s">
        <v>39</v>
      </c>
      <c r="B3" s="31">
        <v>0</v>
      </c>
      <c r="C3" s="28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8"/>
      <c r="K3" s="49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8"/>
      <c r="K4" s="49"/>
    </row>
    <row r="5" spans="1:12" x14ac:dyDescent="0.15">
      <c r="D5" s="157" t="s">
        <v>192</v>
      </c>
      <c r="E5">
        <v>4</v>
      </c>
      <c r="F5">
        <v>2</v>
      </c>
      <c r="G5">
        <v>4</v>
      </c>
      <c r="H5" s="158" t="s">
        <v>192</v>
      </c>
      <c r="J5" s="48"/>
      <c r="K5" s="49"/>
    </row>
    <row r="6" spans="1:12" ht="14" thickBot="1" x14ac:dyDescent="0.2">
      <c r="A6" s="32" t="s">
        <v>121</v>
      </c>
      <c r="D6" s="157" t="s">
        <v>193</v>
      </c>
      <c r="E6">
        <v>5</v>
      </c>
      <c r="F6">
        <v>3.11</v>
      </c>
      <c r="G6">
        <v>5</v>
      </c>
      <c r="H6" s="158" t="s">
        <v>193</v>
      </c>
      <c r="J6" s="48"/>
      <c r="K6" s="49"/>
    </row>
    <row r="7" spans="1:12" x14ac:dyDescent="0.15">
      <c r="A7" s="27" t="s">
        <v>126</v>
      </c>
      <c r="B7" s="34">
        <v>1</v>
      </c>
      <c r="C7" s="29"/>
      <c r="D7" s="157" t="s">
        <v>194</v>
      </c>
      <c r="E7">
        <v>6</v>
      </c>
      <c r="F7">
        <v>3.22</v>
      </c>
      <c r="G7">
        <v>6</v>
      </c>
      <c r="H7" s="158" t="s">
        <v>194</v>
      </c>
      <c r="J7" s="48"/>
      <c r="K7" s="49"/>
    </row>
    <row r="8" spans="1:12" x14ac:dyDescent="0.15">
      <c r="A8" s="27" t="s">
        <v>38</v>
      </c>
      <c r="B8" s="35">
        <v>1</v>
      </c>
      <c r="C8" s="29"/>
      <c r="D8" s="157" t="s">
        <v>195</v>
      </c>
      <c r="E8">
        <v>7</v>
      </c>
      <c r="F8">
        <v>3.22</v>
      </c>
      <c r="G8">
        <v>7</v>
      </c>
      <c r="H8" s="158" t="s">
        <v>195</v>
      </c>
      <c r="J8" s="48"/>
      <c r="K8" s="49"/>
    </row>
    <row r="9" spans="1:12" x14ac:dyDescent="0.15">
      <c r="A9" s="27" t="s">
        <v>40</v>
      </c>
      <c r="B9" s="35">
        <v>1.1000000000000001</v>
      </c>
      <c r="C9" s="29"/>
      <c r="D9" s="157" t="s">
        <v>196</v>
      </c>
      <c r="E9">
        <v>8</v>
      </c>
      <c r="F9">
        <v>3.22</v>
      </c>
      <c r="G9">
        <v>8</v>
      </c>
      <c r="H9" s="158" t="s">
        <v>196</v>
      </c>
      <c r="J9" s="48"/>
      <c r="K9" s="49"/>
    </row>
    <row r="10" spans="1:12" x14ac:dyDescent="0.15">
      <c r="A10" s="27" t="s">
        <v>41</v>
      </c>
      <c r="B10" s="35">
        <v>1.2</v>
      </c>
      <c r="C10" s="29"/>
      <c r="D10" s="157" t="s">
        <v>197</v>
      </c>
      <c r="E10">
        <v>9</v>
      </c>
      <c r="F10">
        <v>3.22</v>
      </c>
      <c r="G10">
        <v>9</v>
      </c>
      <c r="H10" s="158" t="s">
        <v>197</v>
      </c>
      <c r="J10" s="48"/>
      <c r="K10" s="49"/>
    </row>
    <row r="11" spans="1:12" ht="12" customHeight="1" x14ac:dyDescent="0.15">
      <c r="A11" s="33" t="s">
        <v>127</v>
      </c>
      <c r="B11" s="35">
        <v>2</v>
      </c>
      <c r="C11" s="29"/>
      <c r="D11" s="157" t="s">
        <v>198</v>
      </c>
      <c r="E11">
        <v>10</v>
      </c>
      <c r="F11">
        <v>3.22</v>
      </c>
      <c r="G11">
        <v>10</v>
      </c>
      <c r="H11" s="158" t="s">
        <v>198</v>
      </c>
      <c r="J11" s="48"/>
      <c r="K11" s="49"/>
    </row>
    <row r="12" spans="1:12" x14ac:dyDescent="0.15">
      <c r="A12" s="27" t="s">
        <v>42</v>
      </c>
      <c r="B12" s="35">
        <v>2.1</v>
      </c>
      <c r="C12" s="29"/>
      <c r="D12" s="157" t="s">
        <v>199</v>
      </c>
      <c r="E12">
        <v>11</v>
      </c>
      <c r="F12">
        <v>3.22</v>
      </c>
      <c r="G12">
        <v>11</v>
      </c>
      <c r="H12" s="158" t="s">
        <v>199</v>
      </c>
      <c r="J12" s="48"/>
      <c r="K12" s="49"/>
    </row>
    <row r="13" spans="1:12" x14ac:dyDescent="0.15">
      <c r="A13" s="27" t="s">
        <v>43</v>
      </c>
      <c r="B13" s="35">
        <v>2.2000000000000002</v>
      </c>
      <c r="C13" s="29"/>
      <c r="D13" s="157" t="s">
        <v>200</v>
      </c>
      <c r="E13">
        <v>12</v>
      </c>
      <c r="F13">
        <v>3.12</v>
      </c>
      <c r="G13">
        <v>12</v>
      </c>
      <c r="H13" s="158" t="s">
        <v>200</v>
      </c>
      <c r="J13" s="48"/>
      <c r="K13" s="49"/>
    </row>
    <row r="14" spans="1:12" x14ac:dyDescent="0.15">
      <c r="A14" s="27" t="s">
        <v>67</v>
      </c>
      <c r="B14" s="35">
        <v>2.2999999999999998</v>
      </c>
      <c r="C14" s="29"/>
      <c r="D14" s="157" t="s">
        <v>201</v>
      </c>
      <c r="E14">
        <v>13</v>
      </c>
      <c r="F14">
        <v>3.22</v>
      </c>
      <c r="G14">
        <v>13</v>
      </c>
      <c r="H14" s="158" t="s">
        <v>201</v>
      </c>
      <c r="J14" s="48"/>
      <c r="K14" s="49"/>
    </row>
    <row r="15" spans="1:12" x14ac:dyDescent="0.15">
      <c r="A15" s="33" t="s">
        <v>128</v>
      </c>
      <c r="B15" s="35">
        <v>3</v>
      </c>
      <c r="C15" s="29"/>
      <c r="D15" s="157" t="s">
        <v>202</v>
      </c>
      <c r="E15">
        <v>14</v>
      </c>
      <c r="F15">
        <v>3.12</v>
      </c>
      <c r="G15">
        <v>14</v>
      </c>
      <c r="H15" s="158" t="s">
        <v>202</v>
      </c>
      <c r="J15" s="48"/>
      <c r="K15" s="49"/>
    </row>
    <row r="16" spans="1:12" x14ac:dyDescent="0.15">
      <c r="A16" s="27" t="s">
        <v>62</v>
      </c>
      <c r="B16" s="35">
        <v>3.11</v>
      </c>
      <c r="C16" s="29"/>
      <c r="D16" s="157" t="s">
        <v>203</v>
      </c>
      <c r="E16">
        <v>15</v>
      </c>
      <c r="F16">
        <v>3.21</v>
      </c>
      <c r="G16">
        <v>15</v>
      </c>
      <c r="H16" s="158" t="s">
        <v>203</v>
      </c>
      <c r="J16" s="48"/>
      <c r="K16" s="49"/>
    </row>
    <row r="17" spans="1:12" x14ac:dyDescent="0.15">
      <c r="A17" s="27" t="s">
        <v>61</v>
      </c>
      <c r="B17" s="35">
        <v>3.12</v>
      </c>
      <c r="C17" s="29"/>
      <c r="D17" s="157" t="s">
        <v>204</v>
      </c>
      <c r="E17">
        <v>16</v>
      </c>
      <c r="F17">
        <v>3</v>
      </c>
      <c r="G17">
        <v>16</v>
      </c>
      <c r="H17" s="158" t="s">
        <v>204</v>
      </c>
      <c r="J17" s="48"/>
      <c r="K17" s="49"/>
    </row>
    <row r="18" spans="1:12" x14ac:dyDescent="0.15">
      <c r="A18" s="27" t="s">
        <v>68</v>
      </c>
      <c r="B18" s="35">
        <v>3.13</v>
      </c>
      <c r="C18" s="29"/>
      <c r="D18" s="157" t="s">
        <v>205</v>
      </c>
      <c r="E18">
        <v>17</v>
      </c>
      <c r="F18">
        <v>4.0999999999999996</v>
      </c>
      <c r="G18">
        <v>17</v>
      </c>
      <c r="H18" s="158" t="s">
        <v>205</v>
      </c>
      <c r="J18" s="48"/>
      <c r="K18" s="49"/>
    </row>
    <row r="19" spans="1:12" x14ac:dyDescent="0.15">
      <c r="A19" s="27" t="s">
        <v>66</v>
      </c>
      <c r="B19" s="35">
        <v>3.21</v>
      </c>
      <c r="C19" s="29"/>
      <c r="D19" s="157" t="s">
        <v>206</v>
      </c>
      <c r="E19">
        <v>18</v>
      </c>
      <c r="F19">
        <v>4.3</v>
      </c>
      <c r="G19">
        <v>18</v>
      </c>
      <c r="H19" s="158" t="s">
        <v>206</v>
      </c>
      <c r="J19" s="48"/>
      <c r="K19" s="49"/>
    </row>
    <row r="20" spans="1:12" x14ac:dyDescent="0.15">
      <c r="A20" s="27" t="s">
        <v>63</v>
      </c>
      <c r="B20" s="35">
        <v>3.22</v>
      </c>
      <c r="C20" s="29"/>
      <c r="D20" s="157" t="s">
        <v>207</v>
      </c>
      <c r="E20">
        <v>19</v>
      </c>
      <c r="F20">
        <v>5</v>
      </c>
      <c r="G20">
        <v>19</v>
      </c>
      <c r="H20" s="158" t="s">
        <v>207</v>
      </c>
      <c r="J20" s="48"/>
      <c r="K20" s="49"/>
    </row>
    <row r="21" spans="1:12" ht="14" thickBot="1" x14ac:dyDescent="0.2">
      <c r="A21" s="27" t="s">
        <v>69</v>
      </c>
      <c r="B21" s="35">
        <v>3.23</v>
      </c>
      <c r="C21" s="29"/>
      <c r="D21" s="157" t="s">
        <v>138</v>
      </c>
      <c r="E21">
        <v>20</v>
      </c>
      <c r="F21">
        <v>6.1</v>
      </c>
      <c r="G21">
        <v>20</v>
      </c>
      <c r="H21" s="158" t="s">
        <v>138</v>
      </c>
      <c r="J21" s="50"/>
      <c r="K21" s="51"/>
      <c r="L21" s="53" t="s">
        <v>152</v>
      </c>
    </row>
    <row r="22" spans="1:12" x14ac:dyDescent="0.15">
      <c r="A22" s="27" t="s">
        <v>64</v>
      </c>
      <c r="B22" s="35">
        <v>8</v>
      </c>
      <c r="C22" s="29"/>
      <c r="D22" s="157" t="s">
        <v>45</v>
      </c>
      <c r="E22">
        <v>21</v>
      </c>
      <c r="F22">
        <v>6.2</v>
      </c>
      <c r="G22">
        <v>21</v>
      </c>
      <c r="H22" s="158" t="s">
        <v>45</v>
      </c>
    </row>
    <row r="23" spans="1:12" x14ac:dyDescent="0.15">
      <c r="A23" s="27" t="s">
        <v>129</v>
      </c>
      <c r="B23" s="35">
        <v>4</v>
      </c>
      <c r="C23" s="29"/>
    </row>
    <row r="24" spans="1:12" x14ac:dyDescent="0.15">
      <c r="A24" s="27" t="s">
        <v>122</v>
      </c>
      <c r="B24" s="35">
        <v>4.0999999999999996</v>
      </c>
      <c r="C24" s="29"/>
    </row>
    <row r="25" spans="1:12" x14ac:dyDescent="0.15">
      <c r="A25" s="27" t="s">
        <v>70</v>
      </c>
      <c r="B25" s="35">
        <v>4.2</v>
      </c>
      <c r="C25" s="29"/>
    </row>
    <row r="26" spans="1:12" x14ac:dyDescent="0.15">
      <c r="A26" s="27" t="s">
        <v>123</v>
      </c>
      <c r="B26" s="35">
        <v>4.3</v>
      </c>
      <c r="C26" s="29"/>
    </row>
    <row r="27" spans="1:12" x14ac:dyDescent="0.15">
      <c r="A27" s="27" t="s">
        <v>125</v>
      </c>
      <c r="B27" s="35">
        <v>6.1</v>
      </c>
    </row>
    <row r="28" spans="1:12" x14ac:dyDescent="0.15">
      <c r="A28" s="27" t="s">
        <v>124</v>
      </c>
      <c r="B28" s="35">
        <v>6.2</v>
      </c>
    </row>
    <row r="29" spans="1:12" x14ac:dyDescent="0.15">
      <c r="A29" s="27" t="s">
        <v>44</v>
      </c>
      <c r="B29" s="35">
        <v>5</v>
      </c>
    </row>
    <row r="30" spans="1:12" x14ac:dyDescent="0.15">
      <c r="A30" s="27" t="s">
        <v>73</v>
      </c>
      <c r="B30" s="35">
        <v>7</v>
      </c>
    </row>
    <row r="31" spans="1:12" x14ac:dyDescent="0.15">
      <c r="A31" s="27" t="s">
        <v>169</v>
      </c>
      <c r="B31" s="35">
        <v>3.14</v>
      </c>
    </row>
    <row r="32" spans="1:12" ht="12" customHeight="1" thickBot="1" x14ac:dyDescent="0.2">
      <c r="A32" s="33" t="s">
        <v>170</v>
      </c>
      <c r="B32" s="36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66" bestFit="1" customWidth="1"/>
    <col min="2" max="2" width="3.83203125" style="65" customWidth="1"/>
    <col min="3" max="3" width="13.1640625" style="65" customWidth="1"/>
    <col min="4" max="4" width="39.6640625" style="65" customWidth="1"/>
    <col min="5" max="5" width="8.1640625" style="65" customWidth="1"/>
    <col min="6" max="6" width="21.6640625" style="65" bestFit="1" customWidth="1"/>
    <col min="7" max="9" width="2.33203125" style="65" customWidth="1"/>
    <col min="10" max="10" width="2.33203125" style="65" bestFit="1" customWidth="1"/>
    <col min="11" max="15" width="2.33203125" style="65" customWidth="1"/>
    <col min="16" max="16" width="2.33203125" style="58" customWidth="1"/>
    <col min="17" max="17" width="2.33203125" style="65" customWidth="1"/>
    <col min="18" max="18" width="2.33203125" style="59" customWidth="1"/>
    <col min="19" max="16384" width="11.5" style="65"/>
  </cols>
  <sheetData>
    <row r="1" spans="1:23" ht="15" customHeight="1" thickBot="1" x14ac:dyDescent="0.2">
      <c r="F1" s="1"/>
      <c r="G1" s="57" t="s">
        <v>46</v>
      </c>
      <c r="H1" s="57" t="s">
        <v>47</v>
      </c>
      <c r="I1" s="57" t="s">
        <v>120</v>
      </c>
      <c r="J1" s="57" t="s">
        <v>132</v>
      </c>
      <c r="K1" s="67" t="s">
        <v>48</v>
      </c>
      <c r="L1" s="59"/>
      <c r="M1" s="67" t="s">
        <v>119</v>
      </c>
      <c r="N1" s="59"/>
      <c r="O1" s="67" t="s">
        <v>49</v>
      </c>
      <c r="P1" s="60"/>
      <c r="Q1" s="67" t="s">
        <v>50</v>
      </c>
      <c r="R1" s="57" t="s">
        <v>154</v>
      </c>
    </row>
    <row r="2" spans="1:23" ht="15" customHeight="1" x14ac:dyDescent="0.15">
      <c r="A2" s="67" t="s">
        <v>51</v>
      </c>
      <c r="B2" s="68">
        <v>0.5</v>
      </c>
      <c r="C2" s="66" t="s">
        <v>52</v>
      </c>
      <c r="D2" s="69"/>
      <c r="F2" s="1"/>
      <c r="G2" s="70"/>
      <c r="H2" s="70"/>
      <c r="I2" s="70" t="s">
        <v>133</v>
      </c>
      <c r="J2" s="70" t="s">
        <v>133</v>
      </c>
      <c r="K2" s="70" t="s">
        <v>52</v>
      </c>
      <c r="L2" s="70" t="s">
        <v>53</v>
      </c>
      <c r="M2" s="70" t="s">
        <v>52</v>
      </c>
      <c r="N2" s="70" t="s">
        <v>53</v>
      </c>
      <c r="O2" s="70" t="s">
        <v>52</v>
      </c>
      <c r="P2" s="71" t="s">
        <v>53</v>
      </c>
      <c r="Q2" s="70"/>
      <c r="R2" s="72" t="s">
        <v>155</v>
      </c>
    </row>
    <row r="3" spans="1:23" ht="15" customHeight="1" thickBot="1" x14ac:dyDescent="0.2">
      <c r="A3" s="67" t="s">
        <v>54</v>
      </c>
      <c r="B3" s="73">
        <v>0.5</v>
      </c>
      <c r="C3" s="66" t="s">
        <v>53</v>
      </c>
      <c r="D3" s="6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8">
        <v>0</v>
      </c>
      <c r="R3" s="29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8">
        <v>0</v>
      </c>
      <c r="R4" s="90">
        <v>0</v>
      </c>
    </row>
    <row r="5" spans="1:23" ht="15" customHeight="1" x14ac:dyDescent="0.15">
      <c r="A5" s="67" t="s">
        <v>55</v>
      </c>
      <c r="B5" s="74">
        <v>0.5</v>
      </c>
      <c r="C5" s="66" t="s">
        <v>52</v>
      </c>
      <c r="D5" s="6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8">
        <v>0</v>
      </c>
      <c r="R5" s="90">
        <v>0</v>
      </c>
    </row>
    <row r="6" spans="1:23" ht="15" customHeight="1" thickBot="1" x14ac:dyDescent="0.2">
      <c r="A6" s="67"/>
      <c r="B6" s="75">
        <v>0.5</v>
      </c>
      <c r="C6" s="66" t="s">
        <v>53</v>
      </c>
      <c r="D6" s="69"/>
      <c r="F6" s="159" t="s">
        <v>192</v>
      </c>
      <c r="G6" s="65">
        <v>0</v>
      </c>
      <c r="H6" s="65">
        <v>0</v>
      </c>
      <c r="I6" s="65">
        <v>0</v>
      </c>
      <c r="J6" s="65">
        <v>0</v>
      </c>
      <c r="K6" s="65">
        <v>0</v>
      </c>
      <c r="L6" s="65">
        <v>0</v>
      </c>
      <c r="M6" s="65">
        <v>1</v>
      </c>
      <c r="N6" s="65">
        <v>0</v>
      </c>
      <c r="O6" s="65">
        <v>0</v>
      </c>
      <c r="P6" s="58">
        <v>0</v>
      </c>
      <c r="Q6" s="65">
        <v>0</v>
      </c>
      <c r="R6" s="59">
        <v>1</v>
      </c>
      <c r="S6"/>
      <c r="T6"/>
    </row>
    <row r="7" spans="1:23" ht="15" customHeight="1" thickBot="1" x14ac:dyDescent="0.2">
      <c r="F7" s="159" t="s">
        <v>193</v>
      </c>
      <c r="G7" s="65">
        <v>0</v>
      </c>
      <c r="H7" s="65">
        <v>0</v>
      </c>
      <c r="I7" s="65">
        <v>0</v>
      </c>
      <c r="J7" s="65">
        <v>0</v>
      </c>
      <c r="K7" s="65">
        <v>1</v>
      </c>
      <c r="L7" s="65">
        <v>0</v>
      </c>
      <c r="M7" s="65">
        <v>1</v>
      </c>
      <c r="N7" s="65">
        <v>0</v>
      </c>
      <c r="O7" s="65">
        <v>1</v>
      </c>
      <c r="P7" s="58">
        <v>0</v>
      </c>
      <c r="Q7" s="65">
        <v>0</v>
      </c>
      <c r="R7" s="59">
        <v>1</v>
      </c>
      <c r="S7"/>
      <c r="T7"/>
    </row>
    <row r="8" spans="1:23" ht="15" customHeight="1" x14ac:dyDescent="0.15">
      <c r="A8" s="67" t="s">
        <v>56</v>
      </c>
      <c r="B8" s="74">
        <v>1</v>
      </c>
      <c r="C8" s="160" t="s">
        <v>192</v>
      </c>
      <c r="D8" s="69" t="s">
        <v>160</v>
      </c>
      <c r="F8" s="159" t="s">
        <v>194</v>
      </c>
      <c r="G8" s="65">
        <v>0</v>
      </c>
      <c r="H8" s="65">
        <v>0</v>
      </c>
      <c r="I8" s="65">
        <v>0</v>
      </c>
      <c r="J8" s="65">
        <v>0</v>
      </c>
      <c r="K8" s="65">
        <v>1</v>
      </c>
      <c r="L8" s="65">
        <v>0</v>
      </c>
      <c r="M8" s="65">
        <v>1</v>
      </c>
      <c r="N8" s="65">
        <v>0</v>
      </c>
      <c r="O8" s="65">
        <v>1</v>
      </c>
      <c r="P8" s="58">
        <v>0</v>
      </c>
      <c r="Q8" s="65">
        <v>0</v>
      </c>
      <c r="R8" s="59">
        <v>1</v>
      </c>
      <c r="S8"/>
      <c r="T8"/>
      <c r="W8"/>
    </row>
    <row r="9" spans="1:23" ht="15" customHeight="1" x14ac:dyDescent="0.15">
      <c r="A9" s="104" t="s">
        <v>168</v>
      </c>
      <c r="B9" s="76"/>
      <c r="C9" s="64"/>
      <c r="D9" s="69" t="s">
        <v>160</v>
      </c>
      <c r="F9" s="159" t="s">
        <v>195</v>
      </c>
      <c r="G9" s="65">
        <v>0</v>
      </c>
      <c r="H9" s="65">
        <v>0</v>
      </c>
      <c r="I9" s="65">
        <v>0</v>
      </c>
      <c r="J9" s="65">
        <v>0</v>
      </c>
      <c r="K9" s="65">
        <v>1</v>
      </c>
      <c r="L9" s="65">
        <v>0</v>
      </c>
      <c r="M9" s="65">
        <v>1</v>
      </c>
      <c r="N9" s="65">
        <v>0</v>
      </c>
      <c r="O9" s="65">
        <v>1</v>
      </c>
      <c r="P9" s="58">
        <v>0</v>
      </c>
      <c r="Q9" s="65">
        <v>0</v>
      </c>
      <c r="R9" s="59">
        <v>1</v>
      </c>
      <c r="S9"/>
      <c r="T9"/>
      <c r="W9"/>
    </row>
    <row r="10" spans="1:23" ht="15" customHeight="1" x14ac:dyDescent="0.15">
      <c r="B10" s="76"/>
      <c r="C10" s="64"/>
      <c r="D10" s="69" t="s">
        <v>160</v>
      </c>
      <c r="F10" s="159" t="s">
        <v>196</v>
      </c>
      <c r="G10" s="65">
        <v>0</v>
      </c>
      <c r="H10" s="65">
        <v>0</v>
      </c>
      <c r="I10" s="65">
        <v>0</v>
      </c>
      <c r="J10" s="65">
        <v>0</v>
      </c>
      <c r="K10" s="65">
        <v>1</v>
      </c>
      <c r="L10" s="65">
        <v>0</v>
      </c>
      <c r="M10" s="65">
        <v>1</v>
      </c>
      <c r="N10" s="65">
        <v>0</v>
      </c>
      <c r="O10" s="65">
        <v>1</v>
      </c>
      <c r="P10" s="58">
        <v>0</v>
      </c>
      <c r="Q10" s="65">
        <v>0</v>
      </c>
      <c r="R10" s="59">
        <v>1</v>
      </c>
      <c r="S10"/>
      <c r="T10"/>
      <c r="W10"/>
    </row>
    <row r="11" spans="1:23" ht="15" customHeight="1" x14ac:dyDescent="0.15">
      <c r="A11" s="67"/>
      <c r="B11" s="76"/>
      <c r="C11" s="79"/>
      <c r="D11" s="69" t="s">
        <v>160</v>
      </c>
      <c r="F11" s="159" t="s">
        <v>197</v>
      </c>
      <c r="G11" s="65">
        <v>0</v>
      </c>
      <c r="H11" s="65">
        <v>0</v>
      </c>
      <c r="I11" s="65">
        <v>0</v>
      </c>
      <c r="J11" s="65">
        <v>0</v>
      </c>
      <c r="K11" s="65">
        <v>1</v>
      </c>
      <c r="L11" s="65">
        <v>0</v>
      </c>
      <c r="M11" s="65">
        <v>1</v>
      </c>
      <c r="N11" s="65">
        <v>0</v>
      </c>
      <c r="O11" s="65">
        <v>1</v>
      </c>
      <c r="P11" s="58">
        <v>0</v>
      </c>
      <c r="Q11" s="65">
        <v>0</v>
      </c>
      <c r="R11" s="59">
        <v>1</v>
      </c>
      <c r="S11"/>
      <c r="T11"/>
      <c r="W11"/>
    </row>
    <row r="12" spans="1:23" ht="15" customHeight="1" x14ac:dyDescent="0.15">
      <c r="B12" s="76"/>
      <c r="C12" s="80"/>
      <c r="D12" s="69" t="s">
        <v>160</v>
      </c>
      <c r="F12" s="159" t="s">
        <v>198</v>
      </c>
      <c r="G12" s="65">
        <v>0</v>
      </c>
      <c r="H12" s="65">
        <v>0</v>
      </c>
      <c r="I12" s="65">
        <v>0</v>
      </c>
      <c r="J12" s="65">
        <v>0</v>
      </c>
      <c r="K12" s="65">
        <v>1</v>
      </c>
      <c r="L12" s="65">
        <v>0</v>
      </c>
      <c r="M12" s="65">
        <v>1</v>
      </c>
      <c r="N12" s="65">
        <v>0</v>
      </c>
      <c r="O12" s="65">
        <v>1</v>
      </c>
      <c r="P12" s="58">
        <v>0</v>
      </c>
      <c r="Q12" s="65">
        <v>0</v>
      </c>
      <c r="R12" s="59">
        <v>1</v>
      </c>
      <c r="S12"/>
      <c r="T12"/>
      <c r="W12"/>
    </row>
    <row r="13" spans="1:23" ht="15" customHeight="1" x14ac:dyDescent="0.15">
      <c r="B13" s="76"/>
      <c r="C13" s="80"/>
      <c r="D13" s="69" t="s">
        <v>160</v>
      </c>
      <c r="F13" s="159" t="s">
        <v>199</v>
      </c>
      <c r="G13" s="65">
        <v>0</v>
      </c>
      <c r="H13" s="65">
        <v>0</v>
      </c>
      <c r="I13" s="65">
        <v>0</v>
      </c>
      <c r="J13" s="65">
        <v>0</v>
      </c>
      <c r="K13" s="65">
        <v>1</v>
      </c>
      <c r="L13" s="65">
        <v>0</v>
      </c>
      <c r="M13" s="65">
        <v>1</v>
      </c>
      <c r="N13" s="65">
        <v>0</v>
      </c>
      <c r="O13" s="65">
        <v>1</v>
      </c>
      <c r="P13" s="58">
        <v>0</v>
      </c>
      <c r="Q13" s="65">
        <v>0</v>
      </c>
      <c r="R13" s="59">
        <v>1</v>
      </c>
      <c r="S13"/>
      <c r="T13"/>
      <c r="W13"/>
    </row>
    <row r="14" spans="1:23" ht="15" customHeight="1" x14ac:dyDescent="0.15">
      <c r="B14" s="76"/>
      <c r="C14" s="64"/>
      <c r="D14" s="69" t="s">
        <v>160</v>
      </c>
      <c r="F14" s="159" t="s">
        <v>200</v>
      </c>
      <c r="G14" s="65">
        <v>0</v>
      </c>
      <c r="H14" s="65">
        <v>0</v>
      </c>
      <c r="I14" s="65">
        <v>0</v>
      </c>
      <c r="J14" s="65">
        <v>0</v>
      </c>
      <c r="K14" s="65">
        <v>1</v>
      </c>
      <c r="L14" s="65">
        <v>0</v>
      </c>
      <c r="M14" s="65">
        <v>1</v>
      </c>
      <c r="N14" s="65">
        <v>0</v>
      </c>
      <c r="O14" s="65">
        <v>1</v>
      </c>
      <c r="P14" s="58">
        <v>0</v>
      </c>
      <c r="Q14" s="65">
        <v>0</v>
      </c>
      <c r="R14" s="59">
        <v>1</v>
      </c>
      <c r="S14"/>
      <c r="T14"/>
      <c r="W14"/>
    </row>
    <row r="15" spans="1:23" ht="15" customHeight="1" x14ac:dyDescent="0.15">
      <c r="B15" s="76"/>
      <c r="C15" s="64"/>
      <c r="D15" s="69" t="s">
        <v>160</v>
      </c>
      <c r="F15" s="159" t="s">
        <v>201</v>
      </c>
      <c r="G15" s="65">
        <v>0</v>
      </c>
      <c r="H15" s="65">
        <v>0</v>
      </c>
      <c r="I15" s="65">
        <v>0</v>
      </c>
      <c r="J15" s="65">
        <v>0</v>
      </c>
      <c r="K15" s="65">
        <v>1</v>
      </c>
      <c r="L15" s="65">
        <v>0</v>
      </c>
      <c r="M15" s="65">
        <v>1</v>
      </c>
      <c r="N15" s="65">
        <v>0</v>
      </c>
      <c r="O15" s="65">
        <v>1</v>
      </c>
      <c r="P15" s="58">
        <v>0</v>
      </c>
      <c r="Q15" s="65">
        <v>0</v>
      </c>
      <c r="R15" s="59">
        <v>1</v>
      </c>
      <c r="S15"/>
      <c r="T15"/>
      <c r="W15"/>
    </row>
    <row r="16" spans="1:23" ht="15" customHeight="1" x14ac:dyDescent="0.15">
      <c r="B16" s="76"/>
      <c r="C16" s="64"/>
      <c r="D16" s="69" t="s">
        <v>160</v>
      </c>
      <c r="F16" s="159" t="s">
        <v>202</v>
      </c>
      <c r="G16" s="65">
        <v>0</v>
      </c>
      <c r="H16" s="65">
        <v>0</v>
      </c>
      <c r="I16" s="65">
        <v>0</v>
      </c>
      <c r="J16" s="65">
        <v>0</v>
      </c>
      <c r="K16" s="65">
        <v>1</v>
      </c>
      <c r="L16" s="65">
        <v>0</v>
      </c>
      <c r="M16" s="65">
        <v>1</v>
      </c>
      <c r="N16" s="65">
        <v>0</v>
      </c>
      <c r="O16" s="65">
        <v>1</v>
      </c>
      <c r="P16" s="58">
        <v>0</v>
      </c>
      <c r="Q16" s="65">
        <v>0</v>
      </c>
      <c r="R16" s="59">
        <v>1</v>
      </c>
      <c r="S16"/>
      <c r="T16"/>
    </row>
    <row r="17" spans="1:20" ht="15" customHeight="1" thickBot="1" x14ac:dyDescent="0.2">
      <c r="B17" s="75"/>
      <c r="C17" s="64"/>
      <c r="D17" s="69" t="s">
        <v>160</v>
      </c>
      <c r="F17" s="159" t="s">
        <v>203</v>
      </c>
      <c r="G17" s="65">
        <v>0</v>
      </c>
      <c r="H17" s="65">
        <v>0</v>
      </c>
      <c r="I17" s="65">
        <v>0</v>
      </c>
      <c r="J17" s="65">
        <v>0</v>
      </c>
      <c r="K17" s="65">
        <v>1</v>
      </c>
      <c r="L17" s="65">
        <v>0</v>
      </c>
      <c r="M17" s="65">
        <v>1</v>
      </c>
      <c r="N17" s="65">
        <v>0</v>
      </c>
      <c r="O17" s="65">
        <v>1</v>
      </c>
      <c r="P17" s="58">
        <v>0</v>
      </c>
      <c r="Q17" s="65">
        <v>0</v>
      </c>
      <c r="R17" s="59">
        <v>1</v>
      </c>
      <c r="S17"/>
      <c r="T17"/>
    </row>
    <row r="18" spans="1:20" ht="15" customHeight="1" thickBot="1" x14ac:dyDescent="0.2">
      <c r="B18" s="77"/>
      <c r="F18" s="159" t="s">
        <v>204</v>
      </c>
      <c r="G18" s="65">
        <v>0</v>
      </c>
      <c r="H18" s="65">
        <v>0</v>
      </c>
      <c r="I18" s="65">
        <v>0</v>
      </c>
      <c r="J18" s="65">
        <v>0</v>
      </c>
      <c r="K18" s="65">
        <v>1</v>
      </c>
      <c r="L18" s="65">
        <v>0</v>
      </c>
      <c r="M18" s="65">
        <v>1</v>
      </c>
      <c r="N18" s="65">
        <v>0</v>
      </c>
      <c r="O18" s="65">
        <v>1</v>
      </c>
      <c r="P18" s="58">
        <v>0</v>
      </c>
      <c r="Q18" s="65">
        <v>0</v>
      </c>
      <c r="R18" s="59">
        <v>1</v>
      </c>
      <c r="S18"/>
      <c r="T18"/>
    </row>
    <row r="19" spans="1:20" ht="15" customHeight="1" x14ac:dyDescent="0.15">
      <c r="A19" s="67" t="s">
        <v>57</v>
      </c>
      <c r="B19" s="74">
        <v>1</v>
      </c>
      <c r="C19" s="161" t="s">
        <v>192</v>
      </c>
      <c r="D19" s="69" t="s">
        <v>160</v>
      </c>
      <c r="F19" s="159" t="s">
        <v>205</v>
      </c>
      <c r="G19" s="65">
        <v>0</v>
      </c>
      <c r="H19" s="65">
        <v>0</v>
      </c>
      <c r="I19" s="65">
        <v>0</v>
      </c>
      <c r="J19" s="65">
        <v>0</v>
      </c>
      <c r="K19" s="65">
        <v>0</v>
      </c>
      <c r="L19" s="65">
        <v>1</v>
      </c>
      <c r="M19" s="65">
        <v>0</v>
      </c>
      <c r="N19" s="65">
        <v>1</v>
      </c>
      <c r="O19" s="65">
        <v>0</v>
      </c>
      <c r="P19" s="58">
        <v>1</v>
      </c>
      <c r="Q19" s="65">
        <v>0</v>
      </c>
      <c r="R19" s="59">
        <v>1</v>
      </c>
      <c r="S19"/>
      <c r="T19"/>
    </row>
    <row r="20" spans="1:20" ht="15" customHeight="1" x14ac:dyDescent="0.15">
      <c r="A20" s="104" t="s">
        <v>168</v>
      </c>
      <c r="B20" s="76"/>
      <c r="C20" s="64"/>
      <c r="D20" s="69" t="s">
        <v>160</v>
      </c>
      <c r="F20" s="159" t="s">
        <v>206</v>
      </c>
      <c r="G20" s="65">
        <v>0</v>
      </c>
      <c r="H20" s="65">
        <v>0</v>
      </c>
      <c r="I20" s="65">
        <v>0</v>
      </c>
      <c r="J20" s="65">
        <v>0</v>
      </c>
      <c r="K20" s="65">
        <v>0</v>
      </c>
      <c r="L20" s="65">
        <v>1</v>
      </c>
      <c r="M20" s="65">
        <v>0</v>
      </c>
      <c r="N20" s="65">
        <v>1</v>
      </c>
      <c r="O20" s="65">
        <v>0</v>
      </c>
      <c r="P20" s="58">
        <v>1</v>
      </c>
      <c r="Q20" s="65">
        <v>0</v>
      </c>
      <c r="R20" s="59">
        <v>1</v>
      </c>
      <c r="S20"/>
      <c r="T20"/>
    </row>
    <row r="21" spans="1:20" ht="15" customHeight="1" x14ac:dyDescent="0.15">
      <c r="B21" s="76"/>
      <c r="C21" s="64"/>
      <c r="D21" s="69" t="s">
        <v>160</v>
      </c>
      <c r="F21" s="159" t="s">
        <v>207</v>
      </c>
      <c r="G21" s="65">
        <v>0</v>
      </c>
      <c r="H21" s="65">
        <v>0</v>
      </c>
      <c r="I21" s="65">
        <v>0</v>
      </c>
      <c r="J21" s="65">
        <v>0</v>
      </c>
      <c r="K21" s="65">
        <v>0</v>
      </c>
      <c r="L21" s="65">
        <v>1</v>
      </c>
      <c r="M21" s="65">
        <v>0</v>
      </c>
      <c r="N21" s="65">
        <v>0</v>
      </c>
      <c r="O21" s="65">
        <v>0</v>
      </c>
      <c r="P21" s="58">
        <v>0</v>
      </c>
      <c r="Q21" s="65">
        <v>0</v>
      </c>
      <c r="R21" s="59">
        <v>1</v>
      </c>
      <c r="S21"/>
      <c r="T21"/>
    </row>
    <row r="22" spans="1:20" ht="15" customHeight="1" x14ac:dyDescent="0.15">
      <c r="A22" s="65"/>
      <c r="B22" s="76"/>
      <c r="C22" s="79"/>
      <c r="D22" s="69" t="s">
        <v>160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 customHeight="1" x14ac:dyDescent="0.15">
      <c r="A23" s="65"/>
      <c r="B23" s="76"/>
      <c r="C23" s="80"/>
      <c r="D23" s="69" t="s">
        <v>160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 customHeight="1" x14ac:dyDescent="0.15">
      <c r="A24" s="65"/>
      <c r="B24" s="76"/>
      <c r="C24" s="80"/>
      <c r="D24" s="69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65"/>
      <c r="B25" s="76"/>
      <c r="C25" s="64"/>
      <c r="D25" s="69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76"/>
      <c r="C26" s="64"/>
      <c r="D26" s="69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76"/>
      <c r="C27" s="64"/>
      <c r="D27" s="69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75"/>
      <c r="C28" s="64"/>
      <c r="D28" s="69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5"/>
      <c r="B31" s="116" t="s">
        <v>17</v>
      </c>
      <c r="C31" s="116" t="s">
        <v>1</v>
      </c>
      <c r="D31" s="116" t="s">
        <v>161</v>
      </c>
      <c r="E31" s="117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62" t="s">
        <v>192</v>
      </c>
      <c r="B32" s="77">
        <v>10</v>
      </c>
      <c r="C32" s="77">
        <v>200</v>
      </c>
      <c r="D32" s="77">
        <v>2000</v>
      </c>
      <c r="E32" s="107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06"/>
      <c r="B33" s="77"/>
      <c r="C33" s="77"/>
      <c r="D33" s="77"/>
      <c r="E33" s="107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8"/>
      <c r="B34" s="77"/>
      <c r="C34" s="77"/>
      <c r="D34" s="77"/>
      <c r="E34" s="107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09"/>
      <c r="B35" s="77"/>
      <c r="C35" s="77"/>
      <c r="D35" s="77"/>
      <c r="E35" s="107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0"/>
      <c r="B36" s="77"/>
      <c r="C36" s="77"/>
      <c r="D36" s="77"/>
      <c r="E36" s="107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0"/>
      <c r="B37" s="77"/>
      <c r="C37" s="77"/>
      <c r="D37" s="77"/>
      <c r="E37" s="10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1"/>
      <c r="B38" s="77"/>
      <c r="C38" s="77"/>
      <c r="D38" s="77"/>
      <c r="E38" s="107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1"/>
      <c r="B39" s="77"/>
      <c r="C39" s="77"/>
      <c r="D39" s="77"/>
      <c r="E39" s="10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1"/>
      <c r="B40" s="77"/>
      <c r="C40" s="77"/>
      <c r="D40" s="77"/>
      <c r="E40" s="107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1"/>
      <c r="B41" s="77"/>
      <c r="C41" s="77"/>
      <c r="D41" s="78"/>
      <c r="E41" s="112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3"/>
      <c r="B42" s="114"/>
      <c r="C42" s="114" t="s">
        <v>162</v>
      </c>
      <c r="D42" s="114">
        <f>SUM(D32:D41)</f>
        <v>2000</v>
      </c>
      <c r="E42" s="115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5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5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5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5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5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5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5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5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5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5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5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5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5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5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5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5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5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5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5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5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5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0" customWidth="1"/>
    <col min="3" max="5" width="7.83203125" style="90" customWidth="1"/>
    <col min="6" max="8" width="8.83203125" style="6"/>
    <col min="9" max="9" width="13.1640625" style="6" customWidth="1"/>
    <col min="10" max="10" width="11.33203125" style="6" customWidth="1"/>
    <col min="11" max="11" width="10.6640625" style="6" customWidth="1"/>
    <col min="12" max="12" width="6.83203125" style="6" customWidth="1"/>
    <col min="13" max="13" width="8.6640625" style="6" customWidth="1"/>
    <col min="14" max="14" width="8.83203125" style="6" customWidth="1"/>
    <col min="15" max="15" width="9.1640625" style="6" customWidth="1"/>
    <col min="16" max="16" width="21" style="6" customWidth="1"/>
    <col min="17" max="17" width="7.1640625" style="6" customWidth="1"/>
    <col min="18" max="18" width="5.5" style="6" customWidth="1"/>
    <col min="19" max="19" width="12" style="6" customWidth="1"/>
    <col min="20" max="20" width="8.1640625" style="6" customWidth="1"/>
    <col min="21" max="21" width="6.83203125" style="6" customWidth="1"/>
    <col min="22" max="22" width="7.6640625" style="6" customWidth="1"/>
    <col min="23" max="23" width="21.6640625" style="6" customWidth="1"/>
    <col min="24" max="24" width="6.5" style="6" customWidth="1"/>
    <col min="25" max="38" width="8.83203125" style="6"/>
    <col min="81" max="81" width="22.1640625" bestFit="1" customWidth="1"/>
  </cols>
  <sheetData>
    <row r="1" spans="1:38" x14ac:dyDescent="0.15">
      <c r="A1" s="4" t="s">
        <v>156</v>
      </c>
      <c r="B1" s="28" t="s">
        <v>157</v>
      </c>
      <c r="C1" s="28" t="s">
        <v>17</v>
      </c>
      <c r="D1" s="28" t="s">
        <v>158</v>
      </c>
      <c r="E1" s="28" t="s">
        <v>159</v>
      </c>
      <c r="F1" t="s">
        <v>38</v>
      </c>
      <c r="G1" t="s">
        <v>40</v>
      </c>
      <c r="H1" t="s">
        <v>41</v>
      </c>
      <c r="I1" s="164" t="s">
        <v>192</v>
      </c>
      <c r="J1" s="164" t="s">
        <v>193</v>
      </c>
      <c r="K1" s="164" t="s">
        <v>194</v>
      </c>
      <c r="L1" s="164" t="s">
        <v>195</v>
      </c>
      <c r="M1" s="164" t="s">
        <v>196</v>
      </c>
      <c r="N1" s="164" t="s">
        <v>197</v>
      </c>
      <c r="O1" s="164" t="s">
        <v>198</v>
      </c>
      <c r="P1" s="164" t="s">
        <v>199</v>
      </c>
      <c r="Q1" s="164" t="s">
        <v>200</v>
      </c>
      <c r="R1" s="164" t="s">
        <v>201</v>
      </c>
      <c r="S1" s="164" t="s">
        <v>202</v>
      </c>
      <c r="T1" s="164" t="s">
        <v>203</v>
      </c>
      <c r="U1" s="164" t="s">
        <v>204</v>
      </c>
      <c r="V1" s="164" t="s">
        <v>205</v>
      </c>
      <c r="W1" s="164" t="s">
        <v>206</v>
      </c>
      <c r="X1" s="164" t="s">
        <v>207</v>
      </c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0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0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0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63" t="s">
        <v>192</v>
      </c>
      <c r="B5" s="90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63" t="s">
        <v>193</v>
      </c>
      <c r="B6" s="90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63" t="s">
        <v>194</v>
      </c>
      <c r="B7" s="90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63" t="s">
        <v>195</v>
      </c>
      <c r="B8" s="90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63" t="s">
        <v>196</v>
      </c>
      <c r="B9" s="90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63" t="s">
        <v>197</v>
      </c>
      <c r="B10" s="90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63" t="s">
        <v>198</v>
      </c>
      <c r="B11" s="90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63" t="s">
        <v>199</v>
      </c>
      <c r="B12" s="90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63" t="s">
        <v>200</v>
      </c>
      <c r="B13" s="90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63" t="s">
        <v>201</v>
      </c>
      <c r="B14" s="90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63" t="s">
        <v>202</v>
      </c>
      <c r="B15" s="90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63" t="s">
        <v>203</v>
      </c>
      <c r="B16" s="90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63" t="s">
        <v>204</v>
      </c>
      <c r="B17" s="90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63" t="s">
        <v>205</v>
      </c>
      <c r="B18" s="90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63" t="s">
        <v>206</v>
      </c>
      <c r="B19" s="90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63" t="s">
        <v>207</v>
      </c>
      <c r="B20" s="90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2022-10-24T04:39:29Z</dcterms:modified>
</cp:coreProperties>
</file>