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D950E818-8A3B-9E4A-B8D2-FB2D7D3C841D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Main!$C$2:$N$35</definedName>
    <definedName name="matDetritus">Detritus!$C$2:$E$35</definedName>
    <definedName name="matDiet">Diets!$B$2:$AF$35</definedName>
    <definedName name="matDiscards">Discards!$C$2:$C$34</definedName>
    <definedName name="matFishery">Fishing!$C$2:$C$34</definedName>
    <definedName name="matFishing">Fishing!#REF!</definedName>
    <definedName name="matMort">Mortalities!$A$1:$AK$34</definedName>
    <definedName name="matOut">MainOutputs!$A$2:$I$35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<sst xmlns="http://schemas.openxmlformats.org/spreadsheetml/2006/main" count="995" uniqueCount="231">
  <si>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</si>
  <si>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</si>
  <si>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</si>
  <si>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</si>
  <si>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</si>
  <si>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</si>
  <si>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</si>
  <si>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</si>
  <si>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</si>
  <si>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</si>
  <si>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</si>
  <si>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</si>
  <si>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</si>
  <si>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</si>
  <si>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</si>
  <si>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</si>
  <si>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</si>
  <si>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</si>
  <si>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</si>
  <si>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</si>
  <si>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</si>
  <si>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</si>
  <si>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</si>
  <si>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</si>
  <si>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</si>
  <si>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</si>
  <si>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</si>
  <si>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</si>
  <si>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</si>
  <si>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</si>
  <si>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</si>
  <si>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</si>
  <si>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</si>
  <si>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</si>
  <si>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</si>
  <si>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</si>
  <si>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</si>
  <si>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</si>
  <si>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</si>
  <si>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</si>
  <si>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</si>
  <si>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</si>
  <si>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</si>
  <si>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</si>
  <si>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</si>
  <si>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</si>
  <si>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</si>
  <si>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</si>
  <si>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</si>
  <si>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</si>
  <si>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</si>
  <si>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</si>
  <si>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</si>
  <si>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</si>
  <si>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</si>
  <si>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</si>
  <si>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</si>
  <si>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</si>
  <si>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</si>
  <si>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</si>
  <si>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</si>
  <si>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</si>
  <si>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</si>
  <si>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</si>
  <si>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</si>
  <si>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</si>
  <si>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</si>
  <si>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</si>
  <si>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</si>
  <si>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</si>
  <si>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</si>
  <si>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</si>
  <si>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</si>
  <si>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</si>
  <si>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</si>
  <si>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</si>
  <si>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</si>
  <si>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</si>
  <si>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</si>
  <si>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</si>
  <si>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</si>
  <si>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</si>
  <si>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</si>
  <si>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</si>
  <si>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</si>
  <si>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</si>
  <si>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</si>
  <si>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</si>
  <si>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</si>
  <si>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</si>
  <si>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</si>
  <si>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</si>
  <si>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</si>
  <si>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</si>
  <si>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</si>
  <si>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</si>
  <si>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</si>
  <si>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</si>
  <si>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</si>
  <si>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</si>
  <si>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</si>
  <si>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</si>
  <si>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</si>
  <si>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</si>
  <si>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</si>
  <si>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</si>
  <si>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</si>
  <si>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</si>
  <si>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</si>
  <si>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</si>
  <si>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</si>
  <si>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</si>
  <si>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</si>
  <si>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</si>
  <si>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</si>
  <si>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</si>
  <si>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</si>
  <si>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</si>
  <si>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</si>
  <si>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</si>
  <si>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</si>
  <si>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</si>
  <si>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</si>
  <si>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</si>
  <si>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</si>
  <si>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</si>
  <si>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</si>
  <si>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</si>
  <si>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</si>
  <si>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</si>
  <si>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</si>
  <si>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</si>
  <si>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</si>
  <si>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</si>
  <si>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</si>
  <si>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</si>
  <si>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</si>
  <si>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</si>
  <si>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</si>
  <si>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</si>
  <si>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</si>
  <si>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</si>
  <si>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</si>
  <si>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</si>
  <si>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</si>
  <si>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</si>
  <si>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</si>
  <si>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</si>
  <si>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</si>
  <si>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</si>
  <si>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</si>
  <si>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</si>
  <si>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</si>
  <si>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</si>
  <si>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</si>
  <si>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</si>
  <si>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</si>
  <si>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</si>
  <si>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</si>
  <si>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</si>
  <si>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</si>
  <si>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</si>
  <si>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</si>
  <si>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</si>
  <si>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</si>
  <si>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</si>
  <si>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</si>
  <si>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</si>
  <si>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</si>
  <si>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</si>
  <si>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</si>
  <si>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</si>
  <si>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</si>
  <si>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</si>
  <si>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</si>
  <si>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</si>
  <si>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</si>
  <si>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</si>
  <si>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</si>
  <si>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</si>
  <si>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</si>
  <si>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</si>
  <si>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</si>
  <si>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</si>
  <si>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</si>
  <si>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Northern Gulf St Lawrence</t>
  </si>
  <si>
    <t>Canada</t>
  </si>
  <si>
    <t>BOX(-67.3675271156679 47.2084252641828,-56.4318334678463 51.6577516012867)</t>
  </si>
  <si>
    <t>estuary</t>
  </si>
  <si>
    <t>WetWeight</t>
  </si>
  <si>
    <t>; 04/10/2007 9:26:54 AM; 04/10/2007 9:29:15 AM</t>
  </si>
  <si>
    <t>Morissette L.,Despatie S.-P.,Savenkoff C.,Hammill M.O.,Bourdages H.,Chabot D.(2003). Data gathering and input parameters to construct ecosystem models for the northern Gulf of St. Lawrence (mid-1980's) Canadian Technical Report of Fisheries and Aquatic Sciences</t>
  </si>
  <si>
    <t>Cetacea</t>
  </si>
  <si>
    <t>Harp seals</t>
  </si>
  <si>
    <t>Hooded seals</t>
  </si>
  <si>
    <t>Grey seals</t>
  </si>
  <si>
    <t>Harbour seals</t>
  </si>
  <si>
    <t>Seabirds</t>
  </si>
  <si>
    <t>Large cod</t>
  </si>
  <si>
    <t>Small cod</t>
  </si>
  <si>
    <t>Large Green. halibut</t>
  </si>
  <si>
    <t>Small Green. halibut</t>
  </si>
  <si>
    <t>American plaice</t>
  </si>
  <si>
    <t>Flounders</t>
  </si>
  <si>
    <t>Skates</t>
  </si>
  <si>
    <t>Redfish</t>
  </si>
  <si>
    <t>Large demersals</t>
  </si>
  <si>
    <t>Small demersals</t>
  </si>
  <si>
    <t>Capelin</t>
  </si>
  <si>
    <t>Sand lance</t>
  </si>
  <si>
    <t>Arctic cod</t>
  </si>
  <si>
    <t>Large pelagics</t>
  </si>
  <si>
    <t>Pisci. small pelagics</t>
  </si>
  <si>
    <t>Plank. small pelagics</t>
  </si>
  <si>
    <t>Shrimp</t>
  </si>
  <si>
    <t>Large crustacea</t>
  </si>
  <si>
    <t>Echinoderms</t>
  </si>
  <si>
    <t>Molluscs</t>
  </si>
  <si>
    <t>Polychaetes</t>
  </si>
  <si>
    <t>Other ben. inver.</t>
  </si>
  <si>
    <t>Large zooplankton</t>
  </si>
  <si>
    <t>Small zooplankton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</si>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</sst>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32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FB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D5FF00"/>
        <bgColor indexed="64"/>
      </patternFill>
    </fill>
    <fill>
      <patternFill patternType="solid">
        <fgColor rgb="FFFF68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FF95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CB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FFB4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F4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FFE7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FFED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F9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FFA1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55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1" fillId="0" borderId="0" xfId="0" applyFont="1" applyAlignment="1">
      <alignment horizontal="center"/>
    </xf>
    <xf numFmtId="0" fontId="0" fillId="35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7" borderId="0" xfId="0" applyFill="1"/>
    <xf numFmtId="0" fontId="0" fillId="38" borderId="0" xfId="0" applyFill="1"/>
    <xf numFmtId="0" fontId="0" fillId="0" borderId="0" xfId="0" applyFont="1" applyFill="1" applyAlignment="1">
      <alignment horizontal="center"/>
    </xf>
    <xf numFmtId="0" fontId="0" fillId="39" borderId="0" xfId="0" applyFill="1"/>
    <xf numFmtId="0" fontId="0" fillId="40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6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6" borderId="3" xfId="0" applyNumberFormat="1" applyFont="1" applyFill="1" applyBorder="1"/>
    <xf numFmtId="0" fontId="0" fillId="36" borderId="2" xfId="0" applyFont="1" applyFill="1" applyBorder="1"/>
    <xf numFmtId="0" fontId="0" fillId="36" borderId="3" xfId="0" applyFont="1" applyFill="1" applyBorder="1"/>
    <xf numFmtId="0" fontId="0" fillId="36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1" borderId="0" xfId="0" applyFill="1"/>
    <xf numFmtId="0" fontId="0" fillId="42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3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23.8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71" t="s">
        <v>171</v>
      </c>
      <c r="C53" s="107">
        <v>116</v>
      </c>
      <c r="D53" s="107"/>
    </row>
    <row r="54" spans="2:4" x14ac:dyDescent="0.15">
      <c r="B54" s="171" t="s">
        <v>172</v>
      </c>
      <c r="C54" s="171" t="s">
        <v>185</v>
      </c>
      <c r="D54" s="107"/>
    </row>
    <row r="55" spans="2:4" x14ac:dyDescent="0.15">
      <c r="B55" s="171" t="s">
        <v>173</v>
      </c>
      <c r="C55" s="171" t="s">
        <v>186</v>
      </c>
      <c r="D55" s="107"/>
    </row>
    <row r="56" spans="2:4" x14ac:dyDescent="0.15">
      <c r="B56" s="171" t="s">
        <v>174</v>
      </c>
      <c r="C56" s="107">
        <v>103812</v>
      </c>
      <c r="D56" s="107"/>
    </row>
    <row r="57" spans="2:4" x14ac:dyDescent="0.15">
      <c r="B57" s="171" t="s">
        <v>175</v>
      </c>
      <c r="C57" s="171" t="s">
        <v>187</v>
      </c>
      <c r="D57" s="107"/>
    </row>
    <row r="58" spans="2:4" x14ac:dyDescent="0.15">
      <c r="B58" s="171" t="s">
        <v>176</v>
      </c>
      <c r="C58" s="171" t="s">
        <v>188</v>
      </c>
      <c r="D58" s="107"/>
    </row>
    <row r="59" spans="2:4" x14ac:dyDescent="0.15">
      <c r="B59" s="171" t="s">
        <v>177</v>
      </c>
      <c r="C59" s="171" t="s">
        <v>189</v>
      </c>
      <c r="D59" s="107"/>
    </row>
    <row r="60" spans="2:4" x14ac:dyDescent="0.15">
      <c r="B60" s="171" t="s">
        <v>178</v>
      </c>
      <c r="C60" s="171" t="s">
        <v>190</v>
      </c>
      <c r="D60" s="107"/>
    </row>
    <row r="61" spans="2:4" x14ac:dyDescent="0.15">
      <c r="B61" s="171" t="s">
        <v>179</v>
      </c>
      <c r="C61" s="107">
        <v>32</v>
      </c>
      <c r="D61" s="107"/>
    </row>
    <row r="62" spans="2:4" x14ac:dyDescent="0.15">
      <c r="B62" s="171" t="s">
        <v>180</v>
      </c>
      <c r="C62" s="107">
        <v>1</v>
      </c>
      <c r="D62" s="107"/>
    </row>
    <row r="63" spans="2:4" x14ac:dyDescent="0.15">
      <c r="B63" s="171" t="s">
        <v>181</v>
      </c>
      <c r="C63" s="107">
        <v>1985</v>
      </c>
      <c r="D63" s="107"/>
    </row>
    <row r="64" spans="2:4" x14ac:dyDescent="0.15">
      <c r="B64" s="171" t="s">
        <v>182</v>
      </c>
      <c r="C64" s="107">
        <v>2</v>
      </c>
      <c r="D64" s="107"/>
    </row>
    <row r="65" spans="2:4" x14ac:dyDescent="0.15">
      <c r="B65" s="171" t="s">
        <v>183</v>
      </c>
      <c r="C65" s="171" t="s">
        <v>191</v>
      </c>
      <c r="D65" s="107"/>
    </row>
    <row r="66" spans="2:4" x14ac:dyDescent="0.15">
      <c r="B66" s="171" t="s">
        <v>184</v>
      </c>
      <c r="D66" s="107"/>
    </row>
    <row r="67" spans="2:4" x14ac:dyDescent="0.15">
      <c r="B67" s="107"/>
      <c r="C67" s="107"/>
      <c r="D67" s="107"/>
    </row>
    <row r="68" spans="2:4" x14ac:dyDescent="0.15">
      <c r="B68" s="107"/>
      <c r="C68" s="107"/>
      <c r="D68" s="107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81" customWidth="1"/>
    <col min="2" max="3" width="3.33203125" style="81" customWidth="1"/>
    <col min="4" max="4" width="14.33203125" style="81" customWidth="1"/>
    <col min="5" max="5" width="21.6640625" style="81" bestFit="1" customWidth="1"/>
    <col min="6" max="6" width="2.33203125" style="81" bestFit="1" customWidth="1"/>
    <col min="7" max="7" width="10.83203125" style="81" bestFit="1" customWidth="1"/>
    <col min="8" max="8" width="12.83203125" style="81" customWidth="1"/>
    <col min="9" max="9" width="10.83203125" style="81" customWidth="1"/>
    <col min="10" max="10" width="12.83203125" style="81" customWidth="1"/>
    <col min="11" max="11" width="13.83203125" style="81" customWidth="1"/>
    <col min="12" max="12" width="2.33203125" style="81" customWidth="1"/>
    <col min="13" max="13" width="5.83203125" style="81" customWidth="1"/>
    <col min="14" max="14" width="2.33203125" style="81" customWidth="1"/>
    <col min="16" max="25" width="8.83203125" style="81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1"/>
  </cols>
  <sheetData>
    <row r="1" spans="1:46" s="98" customFormat="1" ht="15" customHeight="1" x14ac:dyDescent="0.15">
      <c r="A1" s="77" t="s">
        <v>18</v>
      </c>
      <c r="C1" s="78" t="s">
        <v>8</v>
      </c>
      <c r="D1" s="77" t="s">
        <v>23</v>
      </c>
      <c r="E1" s="77" t="s">
        <v>0</v>
      </c>
      <c r="F1" s="77" t="s">
        <v>7</v>
      </c>
      <c r="G1" s="79" t="s">
        <v>13</v>
      </c>
      <c r="H1" s="77" t="s">
        <v>1</v>
      </c>
      <c r="I1" s="77" t="s">
        <v>2</v>
      </c>
      <c r="J1" s="77" t="s">
        <v>14</v>
      </c>
      <c r="K1" s="77" t="s">
        <v>3</v>
      </c>
      <c r="L1" s="77" t="s">
        <v>4</v>
      </c>
      <c r="M1" s="77" t="s">
        <v>5</v>
      </c>
      <c r="N1" s="77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8">
        <v>1</v>
      </c>
      <c r="D2"/>
      <c r="E2" s="172" t="s">
        <v>192</v>
      </c>
      <c r="F2" s="81">
        <v>0</v>
      </c>
      <c r="G2" s="81">
        <v>0.12</v>
      </c>
      <c r="H2" s="81">
        <v>7.2643219999999994E-2</v>
      </c>
      <c r="I2" s="6">
        <v>7.2650480000000002</v>
      </c>
      <c r="J2" s="6">
        <v>4.5886363800000003E-2</v>
      </c>
      <c r="K2" s="6">
        <v>9.9990004699999999E-3</v>
      </c>
      <c r="L2" s="6">
        <v>0</v>
      </c>
      <c r="M2" s="81">
        <v>0.1</v>
      </c>
      <c r="N2" s="81">
        <v>0</v>
      </c>
    </row>
    <row r="3" spans="1:46" ht="15" customHeight="1" x14ac:dyDescent="0.15">
      <c r="A3" s="1" t="s">
        <v>9</v>
      </c>
      <c r="B3" s="4">
        <v>31</v>
      </c>
      <c r="C3" s="81">
        <v>2</v>
      </c>
      <c r="D3"/>
      <c r="E3" s="172" t="s">
        <v>193</v>
      </c>
      <c r="F3" s="81">
        <v>0</v>
      </c>
      <c r="G3" s="81">
        <v>4.2960859999999997E-2</v>
      </c>
      <c r="H3" s="81">
        <v>0.10290885</v>
      </c>
      <c r="I3" s="81">
        <v>10.29124</v>
      </c>
      <c r="J3" s="81">
        <v>0.95</v>
      </c>
      <c r="K3" s="81">
        <v>9.9996549999999997E-3</v>
      </c>
      <c r="L3" s="81">
        <v>0</v>
      </c>
      <c r="M3" s="81">
        <v>0.3</v>
      </c>
      <c r="N3" s="81">
        <v>0</v>
      </c>
    </row>
    <row r="4" spans="1:46" ht="15" customHeight="1" x14ac:dyDescent="0.15">
      <c r="A4" s="1" t="s">
        <v>10</v>
      </c>
      <c r="B4" s="4">
        <v>2</v>
      </c>
      <c r="C4" s="81">
        <v>3</v>
      </c>
      <c r="D4"/>
      <c r="E4" s="172" t="s">
        <v>194</v>
      </c>
      <c r="F4" s="81">
        <v>0</v>
      </c>
      <c r="G4" s="81">
        <v>3.29226E-3</v>
      </c>
      <c r="H4" s="81">
        <v>5.3409654600000002E-2</v>
      </c>
      <c r="I4" s="81">
        <v>9.6589460000000003</v>
      </c>
      <c r="J4" s="81">
        <v>5.6870374799999998E-2</v>
      </c>
      <c r="K4" s="81">
        <v>5.5295530000000004E-3</v>
      </c>
      <c r="L4" s="81">
        <v>0</v>
      </c>
      <c r="M4" s="81">
        <v>0.3</v>
      </c>
      <c r="N4" s="81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81">
        <v>4</v>
      </c>
      <c r="D5"/>
      <c r="E5" s="172" t="s">
        <v>195</v>
      </c>
      <c r="F5" s="81">
        <v>0</v>
      </c>
      <c r="G5" s="81">
        <v>1.2999999999999999E-2</v>
      </c>
      <c r="H5" s="81">
        <v>0.109341487</v>
      </c>
      <c r="I5" s="81">
        <v>10.933355300000001</v>
      </c>
      <c r="J5" s="81">
        <v>0.49245855199999999</v>
      </c>
      <c r="K5" s="81">
        <v>1.0000725300000001E-2</v>
      </c>
      <c r="L5" s="81">
        <v>0</v>
      </c>
      <c r="M5" s="81">
        <v>0.3</v>
      </c>
      <c r="N5" s="81">
        <v>0</v>
      </c>
      <c r="P5" s="70"/>
      <c r="Q5" s="70"/>
      <c r="R5" s="70"/>
    </row>
    <row r="6" spans="1:46" ht="15" customHeight="1" thickBot="1" x14ac:dyDescent="0.2">
      <c r="B6" s="1"/>
      <c r="C6" s="81">
        <v>5</v>
      </c>
      <c r="D6"/>
      <c r="E6" s="172" t="s">
        <v>196</v>
      </c>
      <c r="F6" s="81">
        <v>0</v>
      </c>
      <c r="G6" s="81">
        <v>2E-3</v>
      </c>
      <c r="H6" s="81">
        <v>7.0936515899999997E-2</v>
      </c>
      <c r="I6" s="81">
        <v>7.0910806700000002</v>
      </c>
      <c r="J6" s="81">
        <v>0</v>
      </c>
      <c r="K6" s="81">
        <v>1.0003625400000001E-2</v>
      </c>
      <c r="L6" s="81">
        <v>0</v>
      </c>
      <c r="M6" s="81">
        <v>0.3</v>
      </c>
      <c r="N6" s="81">
        <v>0</v>
      </c>
      <c r="P6" s="70"/>
      <c r="Q6" s="70"/>
      <c r="R6" s="70"/>
      <c r="W6" s="36" t="s">
        <v>31</v>
      </c>
      <c r="X6" s="52">
        <f>MAX(MainOutputs!G:G)</f>
        <v>0.96175134181976318</v>
      </c>
    </row>
    <row r="7" spans="1:46" ht="15" customHeight="1" x14ac:dyDescent="0.15">
      <c r="A7" s="2" t="s">
        <v>27</v>
      </c>
      <c r="B7" s="81">
        <f ca="1">COUNTIF(OFFSET(cornerDiets,1,1,NumLiving+NumDead+1,NumLiving+NumDead),"&gt;0")+NumLiving+NumDead+1</f>
        <v>311</v>
      </c>
      <c r="C7" s="81">
        <v>6</v>
      </c>
      <c r="D7"/>
      <c r="E7" s="172" t="s">
        <v>197</v>
      </c>
      <c r="F7" s="81">
        <v>0</v>
      </c>
      <c r="G7" s="81">
        <v>2.5999999999999999E-3</v>
      </c>
      <c r="H7" s="81">
        <v>0.40166443600000001</v>
      </c>
      <c r="I7" s="81">
        <v>42.050556200000003</v>
      </c>
      <c r="J7" s="81">
        <v>0.28726622499999999</v>
      </c>
      <c r="K7" s="81">
        <v>9.5519409999999996E-3</v>
      </c>
      <c r="L7" s="81">
        <v>0</v>
      </c>
      <c r="M7" s="81">
        <v>0.3</v>
      </c>
      <c r="N7" s="81">
        <v>0</v>
      </c>
      <c r="P7" s="70"/>
      <c r="Q7" s="70"/>
      <c r="R7" s="70"/>
    </row>
    <row r="8" spans="1:46" ht="15" customHeight="1" x14ac:dyDescent="0.15">
      <c r="A8" s="2" t="s">
        <v>28</v>
      </c>
      <c r="B8" s="81">
        <f ca="1">COUNTIF(OFFSET(cornerFishing,1,2,NumLiving+NumDead,NumGears),"&gt;0")+NumDead*COUNTIF(OFFSET(cornerDiscards,1,2,NumLiving+NumDead,NumGears),"&gt;0")+NumLiving+NumDead+1</f>
        <v>53</v>
      </c>
      <c r="C8" s="81">
        <v>7</v>
      </c>
      <c r="D8"/>
      <c r="E8" s="172" t="s">
        <v>198</v>
      </c>
      <c r="F8" s="81">
        <v>0</v>
      </c>
      <c r="G8" s="81">
        <v>2.0089999999999999</v>
      </c>
      <c r="H8" s="81">
        <v>0.82620190000000004</v>
      </c>
      <c r="I8" s="81">
        <v>2.7576158</v>
      </c>
      <c r="J8" s="81">
        <v>0.44925174099999998</v>
      </c>
      <c r="K8" s="81">
        <v>0.29960733699999997</v>
      </c>
      <c r="L8" s="81">
        <v>0</v>
      </c>
      <c r="M8" s="81">
        <v>0.3</v>
      </c>
      <c r="N8" s="81">
        <v>0</v>
      </c>
      <c r="P8" s="70"/>
      <c r="Q8" s="70"/>
      <c r="R8" s="70"/>
    </row>
    <row r="9" spans="1:46" ht="15" customHeight="1" x14ac:dyDescent="0.15">
      <c r="B9" s="1"/>
      <c r="C9" s="81">
        <v>8</v>
      </c>
      <c r="D9"/>
      <c r="E9" s="172" t="s">
        <v>199</v>
      </c>
      <c r="F9" s="81">
        <v>0</v>
      </c>
      <c r="G9" s="81">
        <v>0.82</v>
      </c>
      <c r="H9" s="81">
        <v>0.81991076500000004</v>
      </c>
      <c r="I9" s="81">
        <v>4.0321170000000004</v>
      </c>
      <c r="J9" s="81">
        <v>0.80939340000000004</v>
      </c>
      <c r="K9" s="81">
        <v>0.20334498600000001</v>
      </c>
      <c r="L9" s="81">
        <v>0</v>
      </c>
      <c r="M9" s="81">
        <v>0.3</v>
      </c>
      <c r="N9" s="81">
        <v>0</v>
      </c>
      <c r="P9" s="70"/>
      <c r="Q9" s="70"/>
      <c r="R9" s="70"/>
    </row>
    <row r="10" spans="1:46" ht="15" customHeight="1" x14ac:dyDescent="0.15">
      <c r="B10" s="1"/>
      <c r="C10" s="81">
        <v>9</v>
      </c>
      <c r="D10"/>
      <c r="E10" s="172" t="s">
        <v>200</v>
      </c>
      <c r="F10" s="81">
        <v>0</v>
      </c>
      <c r="G10" s="81">
        <v>0.31</v>
      </c>
      <c r="H10" s="81">
        <v>0.15993750000000001</v>
      </c>
      <c r="I10" s="81">
        <v>1.5993463999999999</v>
      </c>
      <c r="J10" s="81">
        <v>0.95190566799999998</v>
      </c>
      <c r="K10" s="81">
        <v>0.10000178999999999</v>
      </c>
      <c r="L10" s="81">
        <v>0</v>
      </c>
      <c r="M10" s="81">
        <v>0.3</v>
      </c>
      <c r="N10" s="81">
        <v>0</v>
      </c>
    </row>
    <row r="11" spans="1:46" ht="15" customHeight="1" x14ac:dyDescent="0.15">
      <c r="C11" s="81">
        <v>10</v>
      </c>
      <c r="D11"/>
      <c r="E11" s="172" t="s">
        <v>201</v>
      </c>
      <c r="F11" s="81">
        <v>0</v>
      </c>
      <c r="G11" s="81">
        <v>0.48</v>
      </c>
      <c r="H11" s="81">
        <v>0.23028419999999999</v>
      </c>
      <c r="I11" s="81">
        <v>2.3027527299999999</v>
      </c>
      <c r="J11" s="81">
        <v>0.68747130000000001</v>
      </c>
      <c r="K11" s="81">
        <v>0.10000387600000001</v>
      </c>
      <c r="L11" s="81">
        <v>0</v>
      </c>
      <c r="M11" s="81">
        <v>0.1</v>
      </c>
      <c r="N11" s="81">
        <v>0</v>
      </c>
    </row>
    <row r="12" spans="1:46" ht="15" customHeight="1" x14ac:dyDescent="0.15">
      <c r="C12" s="81">
        <v>11</v>
      </c>
      <c r="D12"/>
      <c r="E12" s="172" t="s">
        <v>202</v>
      </c>
      <c r="F12" s="81">
        <v>0</v>
      </c>
      <c r="G12" s="81">
        <v>1.06</v>
      </c>
      <c r="H12" s="81">
        <v>0.38454899999999997</v>
      </c>
      <c r="I12" s="81">
        <v>1.2818303099999999</v>
      </c>
      <c r="J12" s="81">
        <v>0.69216525600000001</v>
      </c>
      <c r="K12" s="81">
        <v>0.299999923</v>
      </c>
      <c r="L12" s="81">
        <v>0</v>
      </c>
      <c r="M12" s="81">
        <v>0.3</v>
      </c>
      <c r="N12" s="81">
        <v>0</v>
      </c>
    </row>
    <row r="13" spans="1:46" ht="15" customHeight="1" x14ac:dyDescent="0.15">
      <c r="C13" s="81">
        <v>12</v>
      </c>
      <c r="D13"/>
      <c r="E13" s="172" t="s">
        <v>203</v>
      </c>
      <c r="F13" s="81">
        <v>0</v>
      </c>
      <c r="G13" s="81">
        <v>0.84</v>
      </c>
      <c r="H13" s="81">
        <v>0.30147190000000001</v>
      </c>
      <c r="I13" s="81">
        <v>1.0048971200000001</v>
      </c>
      <c r="J13" s="81">
        <v>0.94239336299999998</v>
      </c>
      <c r="K13" s="81">
        <v>0.30000275399999998</v>
      </c>
      <c r="L13" s="81">
        <v>0</v>
      </c>
      <c r="M13" s="81">
        <v>0.3</v>
      </c>
      <c r="N13" s="81">
        <v>0</v>
      </c>
    </row>
    <row r="14" spans="1:46" ht="15" customHeight="1" x14ac:dyDescent="0.15">
      <c r="C14" s="81">
        <v>13</v>
      </c>
      <c r="D14"/>
      <c r="E14" s="172" t="s">
        <v>204</v>
      </c>
      <c r="F14" s="81">
        <v>0</v>
      </c>
      <c r="G14" s="81">
        <v>0.23</v>
      </c>
      <c r="H14" s="81">
        <v>0.20327065899999999</v>
      </c>
      <c r="I14" s="81">
        <v>2.0326893300000002</v>
      </c>
      <c r="J14" s="81">
        <v>0.96177480000000004</v>
      </c>
      <c r="K14" s="81">
        <v>0.100000851</v>
      </c>
      <c r="L14" s="81">
        <v>0</v>
      </c>
      <c r="M14" s="81">
        <v>0.3</v>
      </c>
      <c r="N14" s="81">
        <v>0</v>
      </c>
    </row>
    <row r="15" spans="1:46" ht="15" customHeight="1" x14ac:dyDescent="0.15">
      <c r="C15" s="81">
        <v>14</v>
      </c>
      <c r="D15"/>
      <c r="E15" s="172" t="s">
        <v>205</v>
      </c>
      <c r="F15" s="81">
        <v>0</v>
      </c>
      <c r="G15" s="81">
        <v>7.16</v>
      </c>
      <c r="H15" s="81">
        <v>0.23669797200000001</v>
      </c>
      <c r="I15" s="81">
        <v>1.6896433799999999</v>
      </c>
      <c r="J15" s="81">
        <v>0.94967210000000002</v>
      </c>
      <c r="K15" s="81">
        <v>0.14008752999999999</v>
      </c>
      <c r="L15" s="81">
        <v>0</v>
      </c>
      <c r="M15" s="81">
        <v>0.3</v>
      </c>
      <c r="N15" s="81">
        <v>0</v>
      </c>
    </row>
    <row r="16" spans="1:46" ht="15" customHeight="1" x14ac:dyDescent="0.15">
      <c r="C16" s="81">
        <v>15</v>
      </c>
      <c r="D16"/>
      <c r="E16" s="172" t="s">
        <v>206</v>
      </c>
      <c r="F16" s="81">
        <v>0</v>
      </c>
      <c r="G16" s="81">
        <v>0.94</v>
      </c>
      <c r="H16" s="81">
        <v>0.16005188200000001</v>
      </c>
      <c r="I16" s="81">
        <v>1.03713346</v>
      </c>
      <c r="J16" s="81">
        <v>0.73319774900000001</v>
      </c>
      <c r="K16" s="81">
        <v>0.1543214</v>
      </c>
      <c r="L16" s="81">
        <v>0</v>
      </c>
      <c r="M16" s="81">
        <v>0.3</v>
      </c>
      <c r="N16" s="81">
        <v>0</v>
      </c>
    </row>
    <row r="17" spans="1:22" ht="15" customHeight="1" x14ac:dyDescent="0.15">
      <c r="C17" s="81">
        <v>16</v>
      </c>
      <c r="D17"/>
      <c r="E17" s="172" t="s">
        <v>207</v>
      </c>
      <c r="F17" s="81">
        <v>0</v>
      </c>
      <c r="G17" s="81">
        <v>0.97</v>
      </c>
      <c r="H17" s="81">
        <v>0.46524184899999999</v>
      </c>
      <c r="I17" s="81">
        <v>1.5508249999999999</v>
      </c>
      <c r="J17" s="81">
        <v>0.94311893000000002</v>
      </c>
      <c r="K17" s="81">
        <v>0.29999634600000002</v>
      </c>
      <c r="L17" s="81">
        <v>0</v>
      </c>
      <c r="M17" s="81">
        <v>0.3</v>
      </c>
      <c r="N17" s="81">
        <v>0</v>
      </c>
      <c r="V17" s="1" t="s">
        <v>30</v>
      </c>
    </row>
    <row r="18" spans="1:22" ht="15" customHeight="1" x14ac:dyDescent="0.15">
      <c r="C18" s="81">
        <v>17</v>
      </c>
      <c r="D18"/>
      <c r="E18" s="172" t="s">
        <v>208</v>
      </c>
      <c r="F18" s="81">
        <v>0</v>
      </c>
      <c r="G18" s="81">
        <v>9.52</v>
      </c>
      <c r="H18" s="81">
        <v>0.95944863599999997</v>
      </c>
      <c r="I18" s="81">
        <v>3.198032</v>
      </c>
      <c r="J18" s="81">
        <v>0.94912819999999998</v>
      </c>
      <c r="K18" s="81">
        <v>0.30001220000000001</v>
      </c>
      <c r="L18" s="81">
        <v>0</v>
      </c>
      <c r="M18" s="81">
        <v>0.1</v>
      </c>
      <c r="N18" s="81">
        <v>0</v>
      </c>
      <c r="V18" s="1"/>
    </row>
    <row r="19" spans="1:22" ht="15" customHeight="1" x14ac:dyDescent="0.15">
      <c r="C19" s="81">
        <v>18</v>
      </c>
      <c r="D19"/>
      <c r="E19" s="172" t="s">
        <v>209</v>
      </c>
      <c r="F19" s="81">
        <v>0</v>
      </c>
      <c r="G19" s="81">
        <v>1.1399999999999999</v>
      </c>
      <c r="H19" s="81">
        <v>1.08915389</v>
      </c>
      <c r="I19" s="81">
        <v>8.0723079999999996</v>
      </c>
      <c r="J19" s="81">
        <v>0.94694120000000004</v>
      </c>
      <c r="K19" s="81">
        <v>0.134924725</v>
      </c>
      <c r="L19" s="81">
        <v>0</v>
      </c>
      <c r="M19" s="81">
        <v>0.23400000000000001</v>
      </c>
      <c r="N19" s="81">
        <v>0</v>
      </c>
    </row>
    <row r="20" spans="1:22" ht="15" customHeight="1" thickBot="1" x14ac:dyDescent="0.2">
      <c r="C20" s="81">
        <v>19</v>
      </c>
      <c r="D20"/>
      <c r="E20" s="172" t="s">
        <v>210</v>
      </c>
      <c r="F20" s="81">
        <v>0</v>
      </c>
      <c r="G20" s="81">
        <v>0.02</v>
      </c>
      <c r="H20" s="81">
        <v>0.53134009999999998</v>
      </c>
      <c r="I20" s="81">
        <v>1.77106571</v>
      </c>
      <c r="J20" s="81">
        <v>0.89888259999999998</v>
      </c>
      <c r="K20" s="81">
        <v>0.30001151599999998</v>
      </c>
      <c r="L20" s="81">
        <v>0</v>
      </c>
      <c r="M20" s="81">
        <v>0.1</v>
      </c>
      <c r="N20" s="81">
        <v>0</v>
      </c>
    </row>
    <row r="21" spans="1:22" ht="15" customHeight="1" thickBot="1" x14ac:dyDescent="0.2">
      <c r="A21" s="47" t="s">
        <v>137</v>
      </c>
      <c r="B21" s="99"/>
      <c r="C21" s="81">
        <v>20</v>
      </c>
      <c r="D21"/>
      <c r="E21" s="172" t="s">
        <v>211</v>
      </c>
      <c r="F21" s="81">
        <v>0</v>
      </c>
      <c r="G21" s="81">
        <v>0.04</v>
      </c>
      <c r="H21" s="81">
        <v>0.25074762099999998</v>
      </c>
      <c r="I21" s="81">
        <v>1.44193149</v>
      </c>
      <c r="J21" s="81">
        <v>0.71206986900000002</v>
      </c>
      <c r="K21" s="81">
        <v>0.173897043</v>
      </c>
      <c r="L21" s="81">
        <v>0</v>
      </c>
      <c r="M21" s="81">
        <v>0.1</v>
      </c>
      <c r="N21" s="81">
        <v>0</v>
      </c>
    </row>
    <row r="22" spans="1:22" ht="15" customHeight="1" x14ac:dyDescent="0.15">
      <c r="A22" s="100" t="s">
        <v>58</v>
      </c>
      <c r="B22" s="101">
        <v>0</v>
      </c>
      <c r="C22" s="81">
        <v>21</v>
      </c>
      <c r="D22"/>
      <c r="E22" s="172" t="s">
        <v>212</v>
      </c>
      <c r="F22" s="81">
        <v>0</v>
      </c>
      <c r="G22" s="81">
        <v>2.12</v>
      </c>
      <c r="H22" s="81">
        <v>0.31900715800000001</v>
      </c>
      <c r="I22" s="81">
        <v>1.16094184</v>
      </c>
      <c r="J22" s="81">
        <v>0.69150376300000005</v>
      </c>
      <c r="K22" s="81">
        <v>0.27478307499999999</v>
      </c>
      <c r="L22" s="81">
        <v>0</v>
      </c>
      <c r="M22" s="81">
        <v>0.3</v>
      </c>
      <c r="N22" s="81">
        <v>0</v>
      </c>
    </row>
    <row r="23" spans="1:22" ht="15" customHeight="1" x14ac:dyDescent="0.15">
      <c r="A23" s="100" t="s">
        <v>59</v>
      </c>
      <c r="B23" s="101">
        <v>1</v>
      </c>
      <c r="C23" s="81">
        <v>22</v>
      </c>
      <c r="D23"/>
      <c r="E23" s="172" t="s">
        <v>213</v>
      </c>
      <c r="F23" s="81">
        <v>0</v>
      </c>
      <c r="G23" s="81">
        <v>1.55</v>
      </c>
      <c r="H23" s="81">
        <v>0.47899999999999998</v>
      </c>
      <c r="I23" s="81">
        <v>1.6288574899999999</v>
      </c>
      <c r="J23" s="81">
        <v>0.94642776299999998</v>
      </c>
      <c r="K23" s="81">
        <v>0.29407116799999999</v>
      </c>
      <c r="L23" s="81">
        <v>0</v>
      </c>
      <c r="M23" s="81">
        <v>0.3</v>
      </c>
      <c r="N23" s="81">
        <v>0</v>
      </c>
    </row>
    <row r="24" spans="1:22" ht="15" customHeight="1" x14ac:dyDescent="0.15">
      <c r="A24" s="100" t="s">
        <v>60</v>
      </c>
      <c r="B24" s="101">
        <v>2</v>
      </c>
      <c r="C24" s="81">
        <v>23</v>
      </c>
      <c r="D24"/>
      <c r="E24" s="172" t="s">
        <v>214</v>
      </c>
      <c r="F24" s="81">
        <v>0</v>
      </c>
      <c r="G24" s="81">
        <v>0.68</v>
      </c>
      <c r="H24" s="81">
        <v>1.93332613</v>
      </c>
      <c r="I24" s="81">
        <v>6.4444929999999996</v>
      </c>
      <c r="J24" s="81">
        <v>0.95150310000000005</v>
      </c>
      <c r="K24" s="81">
        <v>0.29999664399999998</v>
      </c>
      <c r="L24" s="81">
        <v>0</v>
      </c>
      <c r="M24" s="81">
        <v>0.1</v>
      </c>
      <c r="N24" s="81">
        <v>0</v>
      </c>
    </row>
    <row r="25" spans="1:22" ht="15" customHeight="1" thickBot="1" x14ac:dyDescent="0.2">
      <c r="A25" s="102" t="s">
        <v>44</v>
      </c>
      <c r="B25" s="103">
        <v>3</v>
      </c>
      <c r="C25" s="81">
        <v>24</v>
      </c>
      <c r="D25"/>
      <c r="E25" s="172" t="s">
        <v>215</v>
      </c>
      <c r="F25" s="81">
        <v>0</v>
      </c>
      <c r="G25" s="81">
        <v>1.59</v>
      </c>
      <c r="H25" s="81">
        <v>0.298343629</v>
      </c>
      <c r="I25" s="81">
        <v>1.35658956</v>
      </c>
      <c r="J25" s="81">
        <v>0.40124288200000002</v>
      </c>
      <c r="K25" s="81">
        <v>0.21992181199999999</v>
      </c>
      <c r="L25" s="81">
        <v>0</v>
      </c>
      <c r="M25" s="81">
        <v>0.1</v>
      </c>
      <c r="N25" s="81">
        <v>0</v>
      </c>
    </row>
    <row r="26" spans="1:22" ht="15" customHeight="1" x14ac:dyDescent="0.15">
      <c r="A26" s="104" t="s">
        <v>140</v>
      </c>
      <c r="C26" s="81">
        <v>25</v>
      </c>
      <c r="D26"/>
      <c r="E26" s="172" t="s">
        <v>216</v>
      </c>
      <c r="F26" s="81">
        <v>0</v>
      </c>
      <c r="G26" s="81">
        <v>81.900000000000006</v>
      </c>
      <c r="H26" s="81">
        <v>0.41024005400000002</v>
      </c>
      <c r="I26" s="81">
        <v>1.36746693</v>
      </c>
      <c r="J26" s="81">
        <v>2.3207552699999998E-2</v>
      </c>
      <c r="K26" s="81">
        <v>0.299999982</v>
      </c>
      <c r="L26" s="81">
        <v>0</v>
      </c>
      <c r="M26" s="81">
        <v>0.3</v>
      </c>
      <c r="N26" s="81">
        <v>0</v>
      </c>
    </row>
    <row r="27" spans="1:22" ht="15" customHeight="1" x14ac:dyDescent="0.15">
      <c r="C27" s="81">
        <v>26</v>
      </c>
      <c r="D27"/>
      <c r="E27" s="172" t="s">
        <v>217</v>
      </c>
      <c r="F27" s="81">
        <v>0</v>
      </c>
      <c r="G27" s="81">
        <v>53.44</v>
      </c>
      <c r="H27" s="81">
        <v>0.42948219999999998</v>
      </c>
      <c r="I27" s="81">
        <v>4.772024</v>
      </c>
      <c r="J27" s="81">
        <v>2.1799834399999999E-2</v>
      </c>
      <c r="K27" s="81">
        <v>0.09</v>
      </c>
      <c r="L27" s="81">
        <v>0</v>
      </c>
      <c r="M27" s="81">
        <v>0.3</v>
      </c>
      <c r="N27" s="81">
        <v>0</v>
      </c>
    </row>
    <row r="28" spans="1:22" ht="15" customHeight="1" x14ac:dyDescent="0.15">
      <c r="C28" s="81">
        <v>27</v>
      </c>
      <c r="D28"/>
      <c r="E28" s="172" t="s">
        <v>218</v>
      </c>
      <c r="F28" s="81">
        <v>0</v>
      </c>
      <c r="G28" s="81">
        <v>14.82</v>
      </c>
      <c r="H28" s="81">
        <v>2.11052251</v>
      </c>
      <c r="I28" s="81">
        <v>7.7036800000000003</v>
      </c>
      <c r="J28" s="81">
        <v>0.54806889999999997</v>
      </c>
      <c r="K28" s="81">
        <v>0.27396290000000001</v>
      </c>
      <c r="L28" s="81">
        <v>0</v>
      </c>
      <c r="M28" s="81">
        <v>0.1</v>
      </c>
      <c r="N28" s="81">
        <v>0</v>
      </c>
    </row>
    <row r="29" spans="1:22" customFormat="1" ht="15" customHeight="1" x14ac:dyDescent="0.15">
      <c r="C29" s="81">
        <v>28</v>
      </c>
      <c r="E29" s="172" t="s">
        <v>219</v>
      </c>
      <c r="F29" s="81">
        <v>0</v>
      </c>
      <c r="G29" s="81">
        <v>5.7</v>
      </c>
      <c r="H29" s="81">
        <v>1.6093621300000001</v>
      </c>
      <c r="I29" s="81">
        <v>5.3645405799999999</v>
      </c>
      <c r="J29" s="81">
        <v>0.32718604800000001</v>
      </c>
      <c r="K29" s="81">
        <v>0.299999982</v>
      </c>
      <c r="L29" s="81">
        <v>0</v>
      </c>
      <c r="M29" s="81">
        <v>0.3</v>
      </c>
      <c r="N29" s="81">
        <v>0</v>
      </c>
    </row>
    <row r="30" spans="1:22" customFormat="1" ht="15" customHeight="1" x14ac:dyDescent="0.15">
      <c r="C30" s="81">
        <v>29</v>
      </c>
      <c r="E30" s="172" t="s">
        <v>220</v>
      </c>
      <c r="F30" s="81">
        <v>0</v>
      </c>
      <c r="G30" s="81">
        <v>14.68</v>
      </c>
      <c r="H30" s="81">
        <v>2.6291470000000001</v>
      </c>
      <c r="I30" s="81">
        <v>19.9569969</v>
      </c>
      <c r="J30" s="81">
        <v>0.54361890000000002</v>
      </c>
      <c r="K30" s="81">
        <v>0.13174061500000001</v>
      </c>
      <c r="L30" s="81">
        <v>0</v>
      </c>
      <c r="M30" s="81">
        <v>0.5</v>
      </c>
      <c r="N30" s="81">
        <v>0</v>
      </c>
    </row>
    <row r="31" spans="1:22" customFormat="1" ht="15" customHeight="1" x14ac:dyDescent="0.15">
      <c r="C31" s="81">
        <v>30</v>
      </c>
      <c r="E31" s="172" t="s">
        <v>221</v>
      </c>
      <c r="F31" s="81">
        <v>0</v>
      </c>
      <c r="G31" s="81">
        <v>71.86</v>
      </c>
      <c r="H31" s="81">
        <v>4.8150139999999997</v>
      </c>
      <c r="I31" s="81">
        <v>19.2600555</v>
      </c>
      <c r="J31" s="81">
        <v>0.79476570000000002</v>
      </c>
      <c r="K31" s="81">
        <v>0.25</v>
      </c>
      <c r="L31" s="81">
        <v>0</v>
      </c>
      <c r="M31" s="81">
        <v>0.45500000000000002</v>
      </c>
      <c r="N31" s="81">
        <v>0</v>
      </c>
    </row>
    <row r="32" spans="1:22" customFormat="1" ht="15" customHeight="1" x14ac:dyDescent="0.15">
      <c r="C32" s="81">
        <v>31</v>
      </c>
      <c r="E32" s="172" t="s">
        <v>222</v>
      </c>
      <c r="F32" s="81">
        <v>1</v>
      </c>
      <c r="G32" s="81">
        <v>12.95</v>
      </c>
      <c r="H32" s="81">
        <v>105.034943</v>
      </c>
      <c r="I32" s="81">
        <v>0</v>
      </c>
      <c r="J32" s="81">
        <v>0.85716490000000001</v>
      </c>
      <c r="K32" s="81">
        <v>0</v>
      </c>
      <c r="L32" s="81">
        <v>0</v>
      </c>
      <c r="M32" s="81">
        <v>0</v>
      </c>
      <c r="N32" s="81">
        <v>0</v>
      </c>
    </row>
    <row r="33" spans="3:14" customFormat="1" ht="15" customHeight="1" x14ac:dyDescent="0.15">
      <c r="C33" s="81">
        <v>32</v>
      </c>
      <c r="E33" s="172" t="s">
        <v>223</v>
      </c>
      <c r="F33" s="81">
        <v>2</v>
      </c>
      <c r="G33" s="81">
        <v>132.61000000000001</v>
      </c>
      <c r="H33" s="81">
        <v>0</v>
      </c>
      <c r="I33" s="81">
        <v>0</v>
      </c>
      <c r="J33" s="81">
        <v>0.99965090000000001</v>
      </c>
      <c r="K33" s="81">
        <v>0</v>
      </c>
      <c r="L33" s="81">
        <v>0</v>
      </c>
      <c r="M33" s="81">
        <v>0</v>
      </c>
      <c r="N33" s="81">
        <v>0</v>
      </c>
    </row>
    <row r="34" spans="3:14" customFormat="1" ht="15" customHeight="1" x14ac:dyDescent="0.15">
      <c r="C34" s="81">
        <v>33</v>
      </c>
      <c r="E34" s="172" t="s">
        <v>224</v>
      </c>
      <c r="F34" s="81">
        <v>2</v>
      </c>
      <c r="G34" s="81">
        <v>5</v>
      </c>
      <c r="H34" s="81">
        <v>0</v>
      </c>
      <c r="I34" s="81">
        <v>0</v>
      </c>
      <c r="J34" s="81">
        <v>0</v>
      </c>
      <c r="K34" s="81">
        <v>0</v>
      </c>
      <c r="L34" s="81">
        <v>0</v>
      </c>
      <c r="M34" s="81">
        <v>0</v>
      </c>
      <c r="N34" s="81">
        <v>0</v>
      </c>
    </row>
    <row r="35" spans="3:14" customFormat="1" ht="15" customHeight="1" x14ac:dyDescent="0.15">
      <c r="C35" s="81">
        <v>34</v>
      </c>
      <c r="E35" s="172" t="s">
        <v>225</v>
      </c>
      <c r="F35" s="81">
        <v>3</v>
      </c>
      <c r="G35" s="81">
        <v>0</v>
      </c>
      <c r="H35" s="81">
        <v>0</v>
      </c>
      <c r="I35" s="81">
        <v>0</v>
      </c>
      <c r="J35" s="81">
        <v>0</v>
      </c>
      <c r="K35" s="81">
        <v>0</v>
      </c>
      <c r="L35" s="81">
        <v>0</v>
      </c>
      <c r="M35" s="81">
        <v>0</v>
      </c>
      <c r="N35" s="81">
        <v>0</v>
      </c>
    </row>
    <row r="36" spans="3:14" customFormat="1" ht="15" customHeight="1" x14ac:dyDescent="0.15"/>
    <row r="37" spans="3:14" customFormat="1" ht="15" customHeight="1" x14ac:dyDescent="0.15"/>
    <row r="38" spans="3:14" customFormat="1" ht="15" customHeight="1" x14ac:dyDescent="0.15"/>
    <row r="39" spans="3:14" customFormat="1" ht="15" customHeight="1" x14ac:dyDescent="0.15"/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9" bestFit="1" customWidth="1"/>
    <col min="2" max="5" width="6.83203125" style="139" bestFit="1" customWidth="1"/>
    <col min="6" max="6" width="14.83203125" style="139" bestFit="1" customWidth="1"/>
    <col min="7" max="7" width="6.83203125" style="139" bestFit="1" customWidth="1"/>
    <col min="8" max="9" width="14.83203125" style="139" bestFit="1" customWidth="1"/>
    <col min="10" max="13" width="6.83203125" style="139" bestFit="1" customWidth="1"/>
    <col min="14" max="14" width="14.83203125" style="139" bestFit="1" customWidth="1"/>
    <col min="15" max="15" width="6.83203125" style="139" bestFit="1" customWidth="1"/>
    <col min="16" max="16" width="14.83203125" style="139" bestFit="1" customWidth="1"/>
    <col min="17" max="17" width="5.83203125" style="139" bestFit="1" customWidth="1"/>
    <col min="18" max="19" width="6.83203125" style="139" bestFit="1" customWidth="1"/>
    <col min="20" max="20" width="5.83203125" style="139" bestFit="1" customWidth="1"/>
    <col min="21" max="21" width="6.83203125" style="139" bestFit="1" customWidth="1"/>
    <col min="22" max="22" width="13.83203125" style="139" bestFit="1" customWidth="1"/>
    <col min="23" max="23" width="3.83203125" style="139" bestFit="1" customWidth="1"/>
    <col min="24" max="24" width="13.83203125" style="139" bestFit="1" customWidth="1"/>
    <col min="25" max="25" width="14.83203125" style="139" bestFit="1" customWidth="1"/>
    <col min="26" max="26" width="2.33203125" style="139" bestFit="1" customWidth="1"/>
    <col min="27" max="27" width="3.83203125" style="139" bestFit="1" customWidth="1"/>
    <col min="28" max="28" width="5.83203125" style="139" bestFit="1" customWidth="1"/>
    <col min="29" max="29" width="2.33203125" style="139" bestFit="1" customWidth="1"/>
    <col min="30" max="30" width="4.83203125" style="139" customWidth="1"/>
    <col min="31" max="31" width="5.83203125" style="139" customWidth="1"/>
    <col min="32" max="34" width="2.33203125" style="139" customWidth="1"/>
    <col min="35" max="16384" width="8.83203125" style="139"/>
  </cols>
  <sheetData>
    <row r="1" spans="1:34" x14ac:dyDescent="0.15">
      <c r="A1" s="138" t="s">
        <v>19</v>
      </c>
      <c r="B1" s="174" t="s">
        <v>192</v>
      </c>
      <c r="C1" s="174" t="s">
        <v>193</v>
      </c>
      <c r="D1" s="174" t="s">
        <v>194</v>
      </c>
      <c r="E1" s="174" t="s">
        <v>195</v>
      </c>
      <c r="F1" s="174" t="s">
        <v>196</v>
      </c>
      <c r="G1" s="174" t="s">
        <v>197</v>
      </c>
      <c r="H1" s="174" t="s">
        <v>198</v>
      </c>
      <c r="I1" s="174" t="s">
        <v>199</v>
      </c>
      <c r="J1" s="174" t="s">
        <v>200</v>
      </c>
      <c r="K1" s="174" t="s">
        <v>201</v>
      </c>
      <c r="L1" s="174" t="s">
        <v>202</v>
      </c>
      <c r="M1" s="174" t="s">
        <v>203</v>
      </c>
      <c r="N1" s="174" t="s">
        <v>204</v>
      </c>
      <c r="O1" s="174" t="s">
        <v>205</v>
      </c>
      <c r="P1" s="174" t="s">
        <v>206</v>
      </c>
      <c r="Q1" s="174" t="s">
        <v>207</v>
      </c>
      <c r="R1" s="174" t="s">
        <v>208</v>
      </c>
      <c r="S1" s="174" t="s">
        <v>209</v>
      </c>
      <c r="T1" s="174" t="s">
        <v>210</v>
      </c>
      <c r="U1" s="174" t="s">
        <v>211</v>
      </c>
      <c r="V1" s="174" t="s">
        <v>212</v>
      </c>
      <c r="W1" s="174" t="s">
        <v>213</v>
      </c>
      <c r="X1" s="174" t="s">
        <v>214</v>
      </c>
      <c r="Y1" s="174" t="s">
        <v>215</v>
      </c>
      <c r="Z1" s="174" t="s">
        <v>216</v>
      </c>
      <c r="AA1" s="174" t="s">
        <v>217</v>
      </c>
      <c r="AB1" s="174" t="s">
        <v>218</v>
      </c>
      <c r="AC1" s="174" t="s">
        <v>219</v>
      </c>
      <c r="AD1" s="174" t="s">
        <v>220</v>
      </c>
      <c r="AE1" s="174" t="s">
        <v>221</v>
      </c>
      <c r="AF1" s="174" t="s">
        <v>222</v>
      </c>
      <c r="AG1" s="174" t="s">
        <v>223</v>
      </c>
      <c r="AH1" s="174" t="s">
        <v>224</v>
      </c>
    </row>
    <row r="2" spans="1:34" customFormat="1" x14ac:dyDescent="0.15">
      <c r="A2" s="173" t="s">
        <v>192</v>
      </c>
      <c r="B2" s="139">
        <v>0</v>
      </c>
      <c r="C2" s="139">
        <v>0</v>
      </c>
      <c r="D2" s="139">
        <v>0</v>
      </c>
      <c r="E2" s="139">
        <v>0</v>
      </c>
      <c r="F2" s="139">
        <v>0</v>
      </c>
      <c r="G2" s="139">
        <v>0</v>
      </c>
      <c r="H2" s="139">
        <v>0</v>
      </c>
      <c r="I2" s="139">
        <v>0</v>
      </c>
      <c r="J2" s="139">
        <v>0</v>
      </c>
      <c r="K2" s="139">
        <v>0</v>
      </c>
      <c r="L2" s="139">
        <v>0</v>
      </c>
      <c r="M2" s="139">
        <v>0</v>
      </c>
      <c r="N2" s="139">
        <v>0</v>
      </c>
      <c r="O2" s="139">
        <v>0</v>
      </c>
      <c r="P2" s="139">
        <v>0</v>
      </c>
      <c r="Q2" s="139">
        <v>0</v>
      </c>
      <c r="R2" s="139">
        <v>0</v>
      </c>
      <c r="S2" s="139">
        <v>0</v>
      </c>
      <c r="T2" s="139">
        <v>0</v>
      </c>
      <c r="U2" s="139">
        <v>0</v>
      </c>
      <c r="V2" s="139">
        <v>0</v>
      </c>
      <c r="W2" s="139">
        <v>0</v>
      </c>
      <c r="X2" s="139">
        <v>0</v>
      </c>
      <c r="Y2" s="139">
        <v>0</v>
      </c>
      <c r="Z2" s="139">
        <v>0</v>
      </c>
      <c r="AA2" s="139">
        <v>0</v>
      </c>
      <c r="AB2" s="139">
        <v>0</v>
      </c>
      <c r="AC2" s="139">
        <v>0</v>
      </c>
      <c r="AD2" s="139">
        <v>0</v>
      </c>
      <c r="AE2" s="139">
        <v>0</v>
      </c>
      <c r="AF2" s="139">
        <v>0</v>
      </c>
      <c r="AG2" s="139">
        <v>0</v>
      </c>
      <c r="AH2" s="139">
        <v>0</v>
      </c>
    </row>
    <row r="3" spans="1:34" customFormat="1" x14ac:dyDescent="0.15">
      <c r="A3" s="173" t="s">
        <v>193</v>
      </c>
      <c r="B3" s="139">
        <v>0</v>
      </c>
      <c r="C3" s="139">
        <v>0</v>
      </c>
      <c r="D3" s="139">
        <v>0</v>
      </c>
      <c r="E3" s="139">
        <v>0</v>
      </c>
      <c r="F3" s="139">
        <v>0</v>
      </c>
      <c r="G3" s="139">
        <v>0</v>
      </c>
      <c r="H3" s="139">
        <v>0</v>
      </c>
      <c r="I3" s="139">
        <v>0</v>
      </c>
      <c r="J3" s="139">
        <v>0</v>
      </c>
      <c r="K3" s="139">
        <v>0</v>
      </c>
      <c r="L3" s="139">
        <v>0</v>
      </c>
      <c r="M3" s="139">
        <v>0</v>
      </c>
      <c r="N3" s="139">
        <v>0</v>
      </c>
      <c r="O3" s="139">
        <v>0</v>
      </c>
      <c r="P3" s="139">
        <v>0</v>
      </c>
      <c r="Q3" s="139">
        <v>0</v>
      </c>
      <c r="R3" s="139">
        <v>0</v>
      </c>
      <c r="S3" s="139">
        <v>0</v>
      </c>
      <c r="T3" s="139">
        <v>0</v>
      </c>
      <c r="U3" s="139">
        <v>0</v>
      </c>
      <c r="V3" s="139">
        <v>0</v>
      </c>
      <c r="W3" s="139">
        <v>0</v>
      </c>
      <c r="X3" s="139">
        <v>0</v>
      </c>
      <c r="Y3" s="139">
        <v>0</v>
      </c>
      <c r="Z3" s="139">
        <v>0</v>
      </c>
      <c r="AA3" s="139">
        <v>0</v>
      </c>
      <c r="AB3" s="139">
        <v>0</v>
      </c>
      <c r="AC3" s="139">
        <v>0</v>
      </c>
      <c r="AD3" s="139">
        <v>0</v>
      </c>
      <c r="AE3" s="139">
        <v>0</v>
      </c>
      <c r="AF3" s="139">
        <v>0</v>
      </c>
      <c r="AG3" s="139">
        <v>0</v>
      </c>
      <c r="AH3" s="139">
        <v>0</v>
      </c>
    </row>
    <row r="4" spans="1:34" customFormat="1" x14ac:dyDescent="0.15">
      <c r="A4" s="173" t="s">
        <v>194</v>
      </c>
      <c r="B4" s="139">
        <v>0</v>
      </c>
      <c r="C4" s="139">
        <v>0</v>
      </c>
      <c r="D4" s="139">
        <v>0</v>
      </c>
      <c r="E4" s="139">
        <v>0</v>
      </c>
      <c r="F4" s="139">
        <v>0</v>
      </c>
      <c r="G4" s="139">
        <v>0</v>
      </c>
      <c r="H4" s="139">
        <v>0</v>
      </c>
      <c r="I4" s="139">
        <v>0</v>
      </c>
      <c r="J4" s="139">
        <v>0</v>
      </c>
      <c r="K4" s="139">
        <v>0</v>
      </c>
      <c r="L4" s="139">
        <v>0</v>
      </c>
      <c r="M4" s="139">
        <v>0</v>
      </c>
      <c r="N4" s="139">
        <v>0</v>
      </c>
      <c r="O4" s="139">
        <v>0</v>
      </c>
      <c r="P4" s="139">
        <v>0</v>
      </c>
      <c r="Q4" s="139">
        <v>0</v>
      </c>
      <c r="R4" s="139">
        <v>0</v>
      </c>
      <c r="S4" s="139">
        <v>0</v>
      </c>
      <c r="T4" s="139">
        <v>0</v>
      </c>
      <c r="U4" s="139">
        <v>0</v>
      </c>
      <c r="V4" s="139">
        <v>0</v>
      </c>
      <c r="W4" s="139">
        <v>0</v>
      </c>
      <c r="X4" s="139">
        <v>0</v>
      </c>
      <c r="Y4" s="139">
        <v>0</v>
      </c>
      <c r="Z4" s="139">
        <v>0</v>
      </c>
      <c r="AA4" s="139">
        <v>0</v>
      </c>
      <c r="AB4" s="139">
        <v>0</v>
      </c>
      <c r="AC4" s="139">
        <v>0</v>
      </c>
      <c r="AD4" s="139">
        <v>0</v>
      </c>
      <c r="AE4" s="139">
        <v>0</v>
      </c>
      <c r="AF4" s="139">
        <v>0</v>
      </c>
      <c r="AG4" s="139">
        <v>0</v>
      </c>
      <c r="AH4" s="139">
        <v>0</v>
      </c>
    </row>
    <row r="5" spans="1:34" customFormat="1" x14ac:dyDescent="0.15">
      <c r="A5" s="173" t="s">
        <v>195</v>
      </c>
      <c r="B5" s="139">
        <v>0</v>
      </c>
      <c r="C5" s="139">
        <v>0</v>
      </c>
      <c r="D5" s="139">
        <v>0</v>
      </c>
      <c r="E5" s="139">
        <v>0</v>
      </c>
      <c r="F5" s="139">
        <v>0</v>
      </c>
      <c r="G5" s="139">
        <v>0</v>
      </c>
      <c r="H5" s="139">
        <v>0</v>
      </c>
      <c r="I5" s="139">
        <v>0</v>
      </c>
      <c r="J5" s="139">
        <v>0</v>
      </c>
      <c r="K5" s="139">
        <v>0</v>
      </c>
      <c r="L5" s="139">
        <v>0</v>
      </c>
      <c r="M5" s="139">
        <v>0</v>
      </c>
      <c r="N5" s="139">
        <v>0</v>
      </c>
      <c r="O5" s="139">
        <v>0</v>
      </c>
      <c r="P5" s="139">
        <v>0</v>
      </c>
      <c r="Q5" s="139">
        <v>0</v>
      </c>
      <c r="R5" s="139">
        <v>0</v>
      </c>
      <c r="S5" s="139">
        <v>0</v>
      </c>
      <c r="T5" s="139">
        <v>0</v>
      </c>
      <c r="U5" s="139">
        <v>0</v>
      </c>
      <c r="V5" s="139">
        <v>0</v>
      </c>
      <c r="W5" s="139">
        <v>0</v>
      </c>
      <c r="X5" s="139">
        <v>0</v>
      </c>
      <c r="Y5" s="139">
        <v>0</v>
      </c>
      <c r="Z5" s="139">
        <v>0</v>
      </c>
      <c r="AA5" s="139">
        <v>0</v>
      </c>
      <c r="AB5" s="139">
        <v>0</v>
      </c>
      <c r="AC5" s="139">
        <v>0</v>
      </c>
      <c r="AD5" s="139">
        <v>0</v>
      </c>
      <c r="AE5" s="139">
        <v>0</v>
      </c>
      <c r="AF5" s="139">
        <v>0</v>
      </c>
      <c r="AG5" s="139">
        <v>0</v>
      </c>
      <c r="AH5" s="139">
        <v>0</v>
      </c>
    </row>
    <row r="6" spans="1:34" customFormat="1" x14ac:dyDescent="0.15">
      <c r="A6" s="173" t="s">
        <v>196</v>
      </c>
      <c r="B6" s="139">
        <v>0</v>
      </c>
      <c r="C6" s="139">
        <v>0</v>
      </c>
      <c r="D6" s="139">
        <v>0</v>
      </c>
      <c r="E6" s="139">
        <v>0</v>
      </c>
      <c r="F6" s="139">
        <v>0</v>
      </c>
      <c r="G6" s="139">
        <v>0</v>
      </c>
      <c r="H6" s="139">
        <v>0</v>
      </c>
      <c r="I6" s="139">
        <v>0</v>
      </c>
      <c r="J6" s="139">
        <v>0</v>
      </c>
      <c r="K6" s="139">
        <v>0</v>
      </c>
      <c r="L6" s="139">
        <v>0</v>
      </c>
      <c r="M6" s="139">
        <v>0</v>
      </c>
      <c r="N6" s="139">
        <v>0</v>
      </c>
      <c r="O6" s="139">
        <v>0</v>
      </c>
      <c r="P6" s="139">
        <v>0</v>
      </c>
      <c r="Q6" s="139">
        <v>0</v>
      </c>
      <c r="R6" s="139">
        <v>0</v>
      </c>
      <c r="S6" s="139">
        <v>0</v>
      </c>
      <c r="T6" s="139">
        <v>0</v>
      </c>
      <c r="U6" s="139">
        <v>0</v>
      </c>
      <c r="V6" s="139">
        <v>0</v>
      </c>
      <c r="W6" s="139">
        <v>0</v>
      </c>
      <c r="X6" s="139">
        <v>0</v>
      </c>
      <c r="Y6" s="139">
        <v>0</v>
      </c>
      <c r="Z6" s="139">
        <v>0</v>
      </c>
      <c r="AA6" s="139">
        <v>0</v>
      </c>
      <c r="AB6" s="139">
        <v>0</v>
      </c>
      <c r="AC6" s="139">
        <v>0</v>
      </c>
      <c r="AD6" s="139">
        <v>0</v>
      </c>
      <c r="AE6" s="139">
        <v>0</v>
      </c>
      <c r="AF6" s="139">
        <v>0</v>
      </c>
      <c r="AG6" s="139">
        <v>0</v>
      </c>
      <c r="AH6" s="139">
        <v>0</v>
      </c>
    </row>
    <row r="7" spans="1:34" customFormat="1" x14ac:dyDescent="0.15">
      <c r="A7" s="173" t="s">
        <v>197</v>
      </c>
      <c r="B7" s="139">
        <v>0</v>
      </c>
      <c r="C7" s="139">
        <v>0</v>
      </c>
      <c r="D7" s="139">
        <v>0</v>
      </c>
      <c r="E7" s="139">
        <v>0</v>
      </c>
      <c r="F7" s="139">
        <v>0</v>
      </c>
      <c r="G7" s="139">
        <v>0</v>
      </c>
      <c r="H7" s="139">
        <v>0</v>
      </c>
      <c r="I7" s="139">
        <v>0</v>
      </c>
      <c r="J7" s="139">
        <v>0</v>
      </c>
      <c r="K7" s="139">
        <v>0</v>
      </c>
      <c r="L7" s="139">
        <v>0</v>
      </c>
      <c r="M7" s="139">
        <v>0</v>
      </c>
      <c r="N7" s="139">
        <v>0</v>
      </c>
      <c r="O7" s="139">
        <v>0</v>
      </c>
      <c r="P7" s="139">
        <v>0</v>
      </c>
      <c r="Q7" s="139">
        <v>0</v>
      </c>
      <c r="R7" s="139">
        <v>0</v>
      </c>
      <c r="S7" s="139">
        <v>0</v>
      </c>
      <c r="T7" s="139">
        <v>0</v>
      </c>
      <c r="U7" s="139">
        <v>0</v>
      </c>
      <c r="V7" s="139">
        <v>0</v>
      </c>
      <c r="W7" s="139">
        <v>0</v>
      </c>
      <c r="X7" s="139">
        <v>0</v>
      </c>
      <c r="Y7" s="139">
        <v>0</v>
      </c>
      <c r="Z7" s="139">
        <v>0</v>
      </c>
      <c r="AA7" s="139">
        <v>0</v>
      </c>
      <c r="AB7" s="139">
        <v>0</v>
      </c>
      <c r="AC7" s="139">
        <v>0</v>
      </c>
      <c r="AD7" s="139">
        <v>0</v>
      </c>
      <c r="AE7" s="139">
        <v>0</v>
      </c>
      <c r="AF7" s="139">
        <v>0</v>
      </c>
      <c r="AG7" s="139">
        <v>0</v>
      </c>
      <c r="AH7" s="139">
        <v>0</v>
      </c>
    </row>
    <row r="8" spans="1:34" customFormat="1" x14ac:dyDescent="0.15">
      <c r="A8" s="173" t="s">
        <v>198</v>
      </c>
      <c r="B8" s="139">
        <v>2.2000000000000001E-3</v>
      </c>
      <c r="C8" s="139">
        <v>3.910000000000001E-2</v>
      </c>
      <c r="D8" s="139">
        <v>0.16470000000000001</v>
      </c>
      <c r="E8" s="139">
        <v>0.18970000000000001</v>
      </c>
      <c r="F8" s="139">
        <v>1.9798020197980205E-2</v>
      </c>
      <c r="G8" s="139">
        <v>0</v>
      </c>
      <c r="H8" s="139">
        <v>0</v>
      </c>
      <c r="I8" s="139">
        <v>0</v>
      </c>
      <c r="J8" s="139">
        <v>0</v>
      </c>
      <c r="K8" s="139">
        <v>0</v>
      </c>
      <c r="L8" s="139">
        <v>0</v>
      </c>
      <c r="M8" s="139">
        <v>0</v>
      </c>
      <c r="N8" s="139">
        <v>0</v>
      </c>
      <c r="O8" s="139">
        <v>0</v>
      </c>
      <c r="P8" s="139">
        <v>0</v>
      </c>
      <c r="Q8" s="139">
        <v>0</v>
      </c>
      <c r="R8" s="139">
        <v>0</v>
      </c>
      <c r="S8" s="139">
        <v>0</v>
      </c>
      <c r="T8" s="139">
        <v>0</v>
      </c>
      <c r="U8" s="139">
        <v>0</v>
      </c>
      <c r="V8" s="139">
        <v>0</v>
      </c>
      <c r="W8" s="139">
        <v>0</v>
      </c>
      <c r="X8" s="139">
        <v>0</v>
      </c>
      <c r="Y8" s="139">
        <v>0</v>
      </c>
      <c r="Z8" s="139">
        <v>0</v>
      </c>
      <c r="AA8" s="139">
        <v>0</v>
      </c>
      <c r="AB8" s="139">
        <v>0</v>
      </c>
      <c r="AC8" s="139">
        <v>0</v>
      </c>
      <c r="AD8" s="139">
        <v>0</v>
      </c>
      <c r="AE8" s="139">
        <v>0</v>
      </c>
      <c r="AF8" s="139">
        <v>0</v>
      </c>
      <c r="AG8" s="139">
        <v>0</v>
      </c>
      <c r="AH8" s="139">
        <v>0</v>
      </c>
    </row>
    <row r="9" spans="1:34" customFormat="1" x14ac:dyDescent="0.15">
      <c r="A9" s="173" t="s">
        <v>199</v>
      </c>
      <c r="B9" s="139">
        <v>2.1600000000000001E-2</v>
      </c>
      <c r="C9" s="139">
        <v>0.10700000000000001</v>
      </c>
      <c r="D9" s="139">
        <v>0.2059</v>
      </c>
      <c r="E9" s="139">
        <v>0.14219999999999999</v>
      </c>
      <c r="F9" s="139">
        <v>4.949505049495051E-2</v>
      </c>
      <c r="G9" s="139">
        <v>2.2000000000000006E-3</v>
      </c>
      <c r="H9" s="139">
        <v>5.8094190580941896E-2</v>
      </c>
      <c r="I9" s="139">
        <v>1.7001700170017002E-3</v>
      </c>
      <c r="J9" s="139">
        <v>1.2700000000000003E-2</v>
      </c>
      <c r="K9" s="139">
        <v>1.1999999999999999E-3</v>
      </c>
      <c r="L9" s="139">
        <v>2.1000000000000003E-3</v>
      </c>
      <c r="M9" s="139">
        <v>0</v>
      </c>
      <c r="N9" s="139">
        <v>6.1993800619938005E-2</v>
      </c>
      <c r="O9" s="139">
        <v>8.9999999999999998E-4</v>
      </c>
      <c r="P9" s="139">
        <v>6.58065806580658E-2</v>
      </c>
      <c r="Q9" s="139">
        <v>0</v>
      </c>
      <c r="R9" s="139">
        <v>0</v>
      </c>
      <c r="S9" s="139">
        <v>0</v>
      </c>
      <c r="T9" s="139">
        <v>0</v>
      </c>
      <c r="U9" s="139">
        <v>0.129</v>
      </c>
      <c r="V9" s="139">
        <v>0</v>
      </c>
      <c r="W9" s="139">
        <v>0</v>
      </c>
      <c r="X9" s="139">
        <v>0</v>
      </c>
      <c r="Y9" s="139">
        <v>0</v>
      </c>
      <c r="Z9" s="139">
        <v>0</v>
      </c>
      <c r="AA9" s="139">
        <v>0</v>
      </c>
      <c r="AB9" s="139">
        <v>0</v>
      </c>
      <c r="AC9" s="139">
        <v>0</v>
      </c>
      <c r="AD9" s="139">
        <v>0</v>
      </c>
      <c r="AE9" s="139">
        <v>0</v>
      </c>
      <c r="AF9" s="139">
        <v>0</v>
      </c>
      <c r="AG9" s="139">
        <v>0</v>
      </c>
      <c r="AH9" s="139">
        <v>0</v>
      </c>
    </row>
    <row r="10" spans="1:34" customFormat="1" x14ac:dyDescent="0.15">
      <c r="A10" s="173" t="s">
        <v>200</v>
      </c>
      <c r="B10" s="139">
        <v>0</v>
      </c>
      <c r="C10" s="139">
        <v>1.7400000000000002E-2</v>
      </c>
      <c r="D10" s="139">
        <v>1E-4</v>
      </c>
      <c r="E10" s="139">
        <v>0</v>
      </c>
      <c r="F10" s="139">
        <v>0</v>
      </c>
      <c r="G10" s="139">
        <v>0</v>
      </c>
      <c r="H10" s="139">
        <v>0</v>
      </c>
      <c r="I10" s="139">
        <v>0</v>
      </c>
      <c r="J10" s="139">
        <v>0</v>
      </c>
      <c r="K10" s="139">
        <v>0</v>
      </c>
      <c r="L10" s="139">
        <v>0</v>
      </c>
      <c r="M10" s="139">
        <v>0</v>
      </c>
      <c r="N10" s="139">
        <v>0</v>
      </c>
      <c r="O10" s="139">
        <v>0</v>
      </c>
      <c r="P10" s="139">
        <v>0</v>
      </c>
      <c r="Q10" s="139">
        <v>0</v>
      </c>
      <c r="R10" s="139">
        <v>0</v>
      </c>
      <c r="S10" s="139">
        <v>0</v>
      </c>
      <c r="T10" s="139">
        <v>0</v>
      </c>
      <c r="U10" s="139">
        <v>0</v>
      </c>
      <c r="V10" s="139">
        <v>0</v>
      </c>
      <c r="W10" s="139">
        <v>0</v>
      </c>
      <c r="X10" s="139">
        <v>0</v>
      </c>
      <c r="Y10" s="139">
        <v>0</v>
      </c>
      <c r="Z10" s="139">
        <v>0</v>
      </c>
      <c r="AA10" s="139">
        <v>0</v>
      </c>
      <c r="AB10" s="139">
        <v>0</v>
      </c>
      <c r="AC10" s="139">
        <v>0</v>
      </c>
      <c r="AD10" s="139">
        <v>0</v>
      </c>
      <c r="AE10" s="139">
        <v>0</v>
      </c>
      <c r="AF10" s="139">
        <v>0</v>
      </c>
      <c r="AG10" s="139">
        <v>0</v>
      </c>
      <c r="AH10" s="139">
        <v>0</v>
      </c>
    </row>
    <row r="11" spans="1:34" customFormat="1" x14ac:dyDescent="0.15">
      <c r="A11" s="173" t="s">
        <v>201</v>
      </c>
      <c r="B11" s="139">
        <v>0</v>
      </c>
      <c r="C11" s="139">
        <v>7.3700000000000015E-2</v>
      </c>
      <c r="D11" s="139">
        <v>0.48899999999999999</v>
      </c>
      <c r="E11" s="139">
        <v>3.0000000000000001E-3</v>
      </c>
      <c r="F11" s="139">
        <v>0</v>
      </c>
      <c r="G11" s="139">
        <v>3.7000000000000006E-3</v>
      </c>
      <c r="H11" s="139">
        <v>2.7997200279971995E-3</v>
      </c>
      <c r="I11" s="139">
        <v>0</v>
      </c>
      <c r="J11" s="139">
        <v>1.0200000000000002E-2</v>
      </c>
      <c r="K11" s="139">
        <v>1.4E-3</v>
      </c>
      <c r="L11" s="139">
        <v>3.3000000000000004E-3</v>
      </c>
      <c r="M11" s="139">
        <v>0</v>
      </c>
      <c r="N11" s="139">
        <v>6.9993000699930009E-4</v>
      </c>
      <c r="O11" s="139">
        <v>0</v>
      </c>
      <c r="P11" s="139">
        <v>1.0001000100010001E-4</v>
      </c>
      <c r="Q11" s="139">
        <v>0</v>
      </c>
      <c r="R11" s="139">
        <v>0</v>
      </c>
      <c r="S11" s="139">
        <v>0</v>
      </c>
      <c r="T11" s="139">
        <v>0</v>
      </c>
      <c r="U11" s="139">
        <v>0</v>
      </c>
      <c r="V11" s="139">
        <v>0</v>
      </c>
      <c r="W11" s="139">
        <v>0</v>
      </c>
      <c r="X11" s="139">
        <v>0</v>
      </c>
      <c r="Y11" s="139">
        <v>0</v>
      </c>
      <c r="Z11" s="139">
        <v>0</v>
      </c>
      <c r="AA11" s="139">
        <v>0</v>
      </c>
      <c r="AB11" s="139">
        <v>0</v>
      </c>
      <c r="AC11" s="139">
        <v>0</v>
      </c>
      <c r="AD11" s="139">
        <v>0</v>
      </c>
      <c r="AE11" s="139">
        <v>0</v>
      </c>
      <c r="AF11" s="139">
        <v>0</v>
      </c>
      <c r="AG11" s="139">
        <v>0</v>
      </c>
      <c r="AH11" s="139">
        <v>0</v>
      </c>
    </row>
    <row r="12" spans="1:34" customFormat="1" x14ac:dyDescent="0.15">
      <c r="A12" s="173" t="s">
        <v>202</v>
      </c>
      <c r="B12" s="139">
        <v>0</v>
      </c>
      <c r="C12" s="139">
        <v>0.13200000000000003</v>
      </c>
      <c r="D12" s="139">
        <v>0</v>
      </c>
      <c r="E12" s="139">
        <v>0</v>
      </c>
      <c r="F12" s="139">
        <v>0</v>
      </c>
      <c r="G12" s="139">
        <v>3.7000000000000006E-3</v>
      </c>
      <c r="H12" s="139">
        <v>2.8797120287971194E-2</v>
      </c>
      <c r="I12" s="139">
        <v>0</v>
      </c>
      <c r="J12" s="139">
        <v>3.0000000000000003E-4</v>
      </c>
      <c r="K12" s="139">
        <v>0</v>
      </c>
      <c r="L12" s="139">
        <v>2.1100000000000004E-2</v>
      </c>
      <c r="M12" s="139">
        <v>0</v>
      </c>
      <c r="N12" s="139">
        <v>6.9993000699930009E-4</v>
      </c>
      <c r="O12" s="139">
        <v>0</v>
      </c>
      <c r="P12" s="139">
        <v>1.6801680168016801E-2</v>
      </c>
      <c r="Q12" s="139">
        <v>0</v>
      </c>
      <c r="R12" s="139">
        <v>0</v>
      </c>
      <c r="S12" s="139">
        <v>0</v>
      </c>
      <c r="T12" s="139">
        <v>0</v>
      </c>
      <c r="U12" s="139">
        <v>0</v>
      </c>
      <c r="V12" s="139">
        <v>0</v>
      </c>
      <c r="W12" s="139">
        <v>0</v>
      </c>
      <c r="X12" s="139">
        <v>0</v>
      </c>
      <c r="Y12" s="139">
        <v>0</v>
      </c>
      <c r="Z12" s="139">
        <v>0</v>
      </c>
      <c r="AA12" s="139">
        <v>0</v>
      </c>
      <c r="AB12" s="139">
        <v>0</v>
      </c>
      <c r="AC12" s="139">
        <v>0</v>
      </c>
      <c r="AD12" s="139">
        <v>0</v>
      </c>
      <c r="AE12" s="139">
        <v>0</v>
      </c>
      <c r="AF12" s="139">
        <v>0</v>
      </c>
      <c r="AG12" s="139">
        <v>0</v>
      </c>
      <c r="AH12" s="139">
        <v>0</v>
      </c>
    </row>
    <row r="13" spans="1:34" customFormat="1" x14ac:dyDescent="0.15">
      <c r="A13" s="173" t="s">
        <v>203</v>
      </c>
      <c r="B13" s="139">
        <v>0</v>
      </c>
      <c r="C13" s="139">
        <v>0</v>
      </c>
      <c r="D13" s="139">
        <v>0</v>
      </c>
      <c r="E13" s="139">
        <v>0</v>
      </c>
      <c r="F13" s="139">
        <v>2.6997300269973004E-2</v>
      </c>
      <c r="G13" s="139">
        <v>3.7000000000000006E-3</v>
      </c>
      <c r="H13" s="139">
        <v>2.9597040295970399E-2</v>
      </c>
      <c r="I13" s="139">
        <v>0</v>
      </c>
      <c r="J13" s="139">
        <v>3.0000000000000009E-3</v>
      </c>
      <c r="K13" s="139">
        <v>1.5E-3</v>
      </c>
      <c r="L13" s="139">
        <v>8.7000000000000011E-3</v>
      </c>
      <c r="M13" s="139">
        <v>0</v>
      </c>
      <c r="N13" s="139">
        <v>8.6491350864913497E-2</v>
      </c>
      <c r="O13" s="139">
        <v>0</v>
      </c>
      <c r="P13" s="139">
        <v>1.06010601060106E-2</v>
      </c>
      <c r="Q13" s="139">
        <v>0</v>
      </c>
      <c r="R13" s="139">
        <v>0</v>
      </c>
      <c r="S13" s="139">
        <v>0</v>
      </c>
      <c r="T13" s="139">
        <v>0</v>
      </c>
      <c r="U13" s="139">
        <v>5.9999999999999995E-4</v>
      </c>
      <c r="V13" s="139">
        <v>0</v>
      </c>
      <c r="W13" s="139">
        <v>0</v>
      </c>
      <c r="X13" s="139">
        <v>0</v>
      </c>
      <c r="Y13" s="139">
        <v>0</v>
      </c>
      <c r="Z13" s="139">
        <v>0</v>
      </c>
      <c r="AA13" s="139">
        <v>0</v>
      </c>
      <c r="AB13" s="139">
        <v>0</v>
      </c>
      <c r="AC13" s="139">
        <v>0</v>
      </c>
      <c r="AD13" s="139">
        <v>0</v>
      </c>
      <c r="AE13" s="139">
        <v>0</v>
      </c>
      <c r="AF13" s="139">
        <v>0</v>
      </c>
      <c r="AG13" s="139">
        <v>0</v>
      </c>
      <c r="AH13" s="139">
        <v>0</v>
      </c>
    </row>
    <row r="14" spans="1:34" customFormat="1" x14ac:dyDescent="0.15">
      <c r="A14" s="173" t="s">
        <v>204</v>
      </c>
      <c r="B14" s="139">
        <v>0</v>
      </c>
      <c r="C14" s="139">
        <v>0</v>
      </c>
      <c r="D14" s="139">
        <v>0</v>
      </c>
      <c r="E14" s="139">
        <v>0</v>
      </c>
      <c r="F14" s="139">
        <v>1.2998700129987001E-3</v>
      </c>
      <c r="G14" s="139">
        <v>3.7000000000000006E-3</v>
      </c>
      <c r="H14" s="139">
        <v>1.5998400159983998E-3</v>
      </c>
      <c r="I14" s="139">
        <v>0</v>
      </c>
      <c r="J14" s="139">
        <v>1.2000000000000001E-3</v>
      </c>
      <c r="K14" s="139">
        <v>0</v>
      </c>
      <c r="L14" s="139">
        <v>0</v>
      </c>
      <c r="M14" s="139">
        <v>0</v>
      </c>
      <c r="N14" s="139">
        <v>3.9796020397960208E-2</v>
      </c>
      <c r="O14" s="139">
        <v>0</v>
      </c>
      <c r="P14" s="139">
        <v>1.6901690169016898E-2</v>
      </c>
      <c r="Q14" s="139">
        <v>0</v>
      </c>
      <c r="R14" s="139">
        <v>0</v>
      </c>
      <c r="S14" s="139">
        <v>0</v>
      </c>
      <c r="T14" s="139">
        <v>0</v>
      </c>
      <c r="U14" s="139">
        <v>0</v>
      </c>
      <c r="V14" s="139">
        <v>0</v>
      </c>
      <c r="W14" s="139">
        <v>0</v>
      </c>
      <c r="X14" s="139">
        <v>0</v>
      </c>
      <c r="Y14" s="139">
        <v>0</v>
      </c>
      <c r="Z14" s="139">
        <v>0</v>
      </c>
      <c r="AA14" s="139">
        <v>0</v>
      </c>
      <c r="AB14" s="139">
        <v>0</v>
      </c>
      <c r="AC14" s="139">
        <v>0</v>
      </c>
      <c r="AD14" s="139">
        <v>0</v>
      </c>
      <c r="AE14" s="139">
        <v>0</v>
      </c>
      <c r="AF14" s="139">
        <v>0</v>
      </c>
      <c r="AG14" s="139">
        <v>0</v>
      </c>
      <c r="AH14" s="139">
        <v>0</v>
      </c>
    </row>
    <row r="15" spans="1:34" customFormat="1" x14ac:dyDescent="0.15">
      <c r="A15" s="173" t="s">
        <v>205</v>
      </c>
      <c r="B15" s="139">
        <v>1.6999999999999999E-3</v>
      </c>
      <c r="C15" s="139">
        <v>0</v>
      </c>
      <c r="D15" s="139">
        <v>4.9000000000000002E-2</v>
      </c>
      <c r="E15" s="139">
        <v>4.0000000000000002E-4</v>
      </c>
      <c r="F15" s="139">
        <v>4.2995700429957007E-3</v>
      </c>
      <c r="G15" s="139">
        <v>0</v>
      </c>
      <c r="H15" s="139">
        <v>0.163983601639836</v>
      </c>
      <c r="I15" s="139">
        <v>0</v>
      </c>
      <c r="J15" s="139">
        <v>5.8000000000000017E-2</v>
      </c>
      <c r="K15" s="139">
        <v>4.1999999999999997E-3</v>
      </c>
      <c r="L15" s="139">
        <v>2.0000000000000004E-4</v>
      </c>
      <c r="M15" s="139">
        <v>0</v>
      </c>
      <c r="N15" s="139">
        <v>8.6191380861913802E-2</v>
      </c>
      <c r="O15" s="139">
        <v>2.3699999999999999E-2</v>
      </c>
      <c r="P15" s="139">
        <v>4.8204820482048202E-2</v>
      </c>
      <c r="Q15" s="139">
        <v>0</v>
      </c>
      <c r="R15" s="139">
        <v>0</v>
      </c>
      <c r="S15" s="139">
        <v>0</v>
      </c>
      <c r="T15" s="139">
        <v>0</v>
      </c>
      <c r="U15" s="139">
        <v>1E-3</v>
      </c>
      <c r="V15" s="139">
        <v>0</v>
      </c>
      <c r="W15" s="139">
        <v>0</v>
      </c>
      <c r="X15" s="139">
        <v>0</v>
      </c>
      <c r="Y15" s="139">
        <v>0</v>
      </c>
      <c r="Z15" s="139">
        <v>0</v>
      </c>
      <c r="AA15" s="139">
        <v>0</v>
      </c>
      <c r="AB15" s="139">
        <v>0</v>
      </c>
      <c r="AC15" s="139">
        <v>0</v>
      </c>
      <c r="AD15" s="139">
        <v>0</v>
      </c>
      <c r="AE15" s="139">
        <v>0</v>
      </c>
      <c r="AF15" s="139">
        <v>0</v>
      </c>
      <c r="AG15" s="139">
        <v>0</v>
      </c>
      <c r="AH15" s="139">
        <v>0</v>
      </c>
    </row>
    <row r="16" spans="1:34" customFormat="1" x14ac:dyDescent="0.15">
      <c r="A16" s="173" t="s">
        <v>206</v>
      </c>
      <c r="B16" s="139">
        <v>3.3000000000000002E-2</v>
      </c>
      <c r="C16" s="139">
        <v>0.10800000000000001</v>
      </c>
      <c r="D16" s="139">
        <v>0</v>
      </c>
      <c r="E16" s="139">
        <v>0.16200000000000001</v>
      </c>
      <c r="F16" s="139">
        <v>3.9796020397960208E-2</v>
      </c>
      <c r="G16" s="139">
        <v>0</v>
      </c>
      <c r="H16" s="139">
        <v>0</v>
      </c>
      <c r="I16" s="139">
        <v>0</v>
      </c>
      <c r="J16" s="139">
        <v>0</v>
      </c>
      <c r="K16" s="139">
        <v>0</v>
      </c>
      <c r="L16" s="139">
        <v>0</v>
      </c>
      <c r="M16" s="139">
        <v>0</v>
      </c>
      <c r="N16" s="139">
        <v>0</v>
      </c>
      <c r="O16" s="139">
        <v>0</v>
      </c>
      <c r="P16" s="139">
        <v>0</v>
      </c>
      <c r="Q16" s="139">
        <v>0</v>
      </c>
      <c r="R16" s="139">
        <v>0</v>
      </c>
      <c r="S16" s="139">
        <v>0</v>
      </c>
      <c r="T16" s="139">
        <v>0</v>
      </c>
      <c r="U16" s="139">
        <v>0</v>
      </c>
      <c r="V16" s="139">
        <v>0</v>
      </c>
      <c r="W16" s="139">
        <v>0</v>
      </c>
      <c r="X16" s="139">
        <v>0</v>
      </c>
      <c r="Y16" s="139">
        <v>0</v>
      </c>
      <c r="Z16" s="139">
        <v>0</v>
      </c>
      <c r="AA16" s="139">
        <v>0</v>
      </c>
      <c r="AB16" s="139">
        <v>0</v>
      </c>
      <c r="AC16" s="139">
        <v>0</v>
      </c>
      <c r="AD16" s="139">
        <v>0</v>
      </c>
      <c r="AE16" s="139">
        <v>0</v>
      </c>
      <c r="AF16" s="139">
        <v>0</v>
      </c>
      <c r="AG16" s="139">
        <v>0</v>
      </c>
      <c r="AH16" s="139">
        <v>0</v>
      </c>
    </row>
    <row r="17" spans="1:34" customFormat="1" x14ac:dyDescent="0.15">
      <c r="A17" s="173" t="s">
        <v>207</v>
      </c>
      <c r="B17" s="139">
        <v>2.1600000000000001E-2</v>
      </c>
      <c r="C17" s="139">
        <v>7.8000000000000005E-3</v>
      </c>
      <c r="D17" s="139">
        <v>0</v>
      </c>
      <c r="E17" s="139">
        <v>0.28499999999999998</v>
      </c>
      <c r="F17" s="139">
        <v>1.4798520147985203E-2</v>
      </c>
      <c r="G17" s="139">
        <v>1.6000000000000004E-2</v>
      </c>
      <c r="H17" s="139">
        <v>0</v>
      </c>
      <c r="I17" s="139">
        <v>2.8702870287028701E-2</v>
      </c>
      <c r="J17" s="139">
        <v>0.24700000000000005</v>
      </c>
      <c r="K17" s="139">
        <v>2.3099999999999999E-2</v>
      </c>
      <c r="L17" s="139">
        <v>2.6000000000000003E-3</v>
      </c>
      <c r="M17" s="139">
        <v>0</v>
      </c>
      <c r="N17" s="139">
        <v>9.9990000999900019E-2</v>
      </c>
      <c r="O17" s="139">
        <v>1E-3</v>
      </c>
      <c r="P17" s="139">
        <v>4.1604160416041605E-2</v>
      </c>
      <c r="Q17" s="139">
        <v>0.01</v>
      </c>
      <c r="R17" s="139">
        <v>0</v>
      </c>
      <c r="S17" s="139">
        <v>0</v>
      </c>
      <c r="T17" s="139">
        <v>0</v>
      </c>
      <c r="U17" s="139">
        <v>0</v>
      </c>
      <c r="V17" s="139">
        <v>0</v>
      </c>
      <c r="W17" s="139">
        <v>0</v>
      </c>
      <c r="X17" s="139">
        <v>0</v>
      </c>
      <c r="Y17" s="139">
        <v>0</v>
      </c>
      <c r="Z17" s="139">
        <v>0</v>
      </c>
      <c r="AA17" s="139">
        <v>0</v>
      </c>
      <c r="AB17" s="139">
        <v>0</v>
      </c>
      <c r="AC17" s="139">
        <v>0</v>
      </c>
      <c r="AD17" s="139">
        <v>0</v>
      </c>
      <c r="AE17" s="139">
        <v>0</v>
      </c>
      <c r="AF17" s="139">
        <v>0</v>
      </c>
      <c r="AG17" s="139">
        <v>0</v>
      </c>
      <c r="AH17" s="139">
        <v>0</v>
      </c>
    </row>
    <row r="18" spans="1:34" customFormat="1" x14ac:dyDescent="0.15">
      <c r="A18" s="173" t="s">
        <v>208</v>
      </c>
      <c r="B18" s="139">
        <v>0.48899999999999999</v>
      </c>
      <c r="C18" s="139">
        <v>6.6500000000000017E-2</v>
      </c>
      <c r="D18" s="139">
        <v>5.3E-3</v>
      </c>
      <c r="E18" s="139">
        <v>5.8999999999999999E-3</v>
      </c>
      <c r="F18" s="139">
        <v>8.8391160883911621E-2</v>
      </c>
      <c r="G18" s="139">
        <v>0.21900000000000003</v>
      </c>
      <c r="H18" s="139">
        <v>0.60733926607339261</v>
      </c>
      <c r="I18" s="139">
        <v>0.20902090209020902</v>
      </c>
      <c r="J18" s="139">
        <v>0.34100000000000008</v>
      </c>
      <c r="K18" s="139">
        <v>0.68500000000000005</v>
      </c>
      <c r="L18" s="139">
        <v>0.35100000000000003</v>
      </c>
      <c r="M18" s="139">
        <v>4.7300000000000002E-2</v>
      </c>
      <c r="N18" s="139">
        <v>0</v>
      </c>
      <c r="O18" s="139">
        <v>0.21099999999999999</v>
      </c>
      <c r="P18" s="139">
        <v>9.4409440944094411E-2</v>
      </c>
      <c r="Q18" s="139">
        <v>0.01</v>
      </c>
      <c r="R18" s="139">
        <v>0</v>
      </c>
      <c r="S18" s="139">
        <v>0</v>
      </c>
      <c r="T18" s="139">
        <v>3.7999999999999999E-2</v>
      </c>
      <c r="U18" s="139">
        <v>0</v>
      </c>
      <c r="V18" s="139">
        <v>0</v>
      </c>
      <c r="W18" s="139">
        <v>0</v>
      </c>
      <c r="X18" s="139">
        <v>0</v>
      </c>
      <c r="Y18" s="139">
        <v>0</v>
      </c>
      <c r="Z18" s="139">
        <v>0</v>
      </c>
      <c r="AA18" s="139">
        <v>0</v>
      </c>
      <c r="AB18" s="139">
        <v>0</v>
      </c>
      <c r="AC18" s="139">
        <v>0</v>
      </c>
      <c r="AD18" s="139">
        <v>0</v>
      </c>
      <c r="AE18" s="139">
        <v>0</v>
      </c>
      <c r="AF18" s="139">
        <v>0</v>
      </c>
      <c r="AG18" s="139">
        <v>0</v>
      </c>
      <c r="AH18" s="139">
        <v>0</v>
      </c>
    </row>
    <row r="19" spans="1:34" customFormat="1" x14ac:dyDescent="0.15">
      <c r="A19" s="173" t="s">
        <v>209</v>
      </c>
      <c r="B19" s="139">
        <v>5.1999999999999998E-2</v>
      </c>
      <c r="C19" s="139">
        <v>0</v>
      </c>
      <c r="D19" s="139">
        <v>0</v>
      </c>
      <c r="E19" s="139">
        <v>0.13400000000000001</v>
      </c>
      <c r="F19" s="139">
        <v>0</v>
      </c>
      <c r="G19" s="139">
        <v>0.50790000000000013</v>
      </c>
      <c r="H19" s="139">
        <v>4.9995000499949993E-4</v>
      </c>
      <c r="I19" s="139">
        <v>1.1301130113011299E-2</v>
      </c>
      <c r="J19" s="139">
        <v>2.0000000000000006E-4</v>
      </c>
      <c r="K19" s="139">
        <v>4.1000000000000003E-3</v>
      </c>
      <c r="L19" s="139">
        <v>4.0000000000000007E-4</v>
      </c>
      <c r="M19" s="139">
        <v>2.0000000000000001E-4</v>
      </c>
      <c r="N19" s="139">
        <v>9.9990000999900019E-2</v>
      </c>
      <c r="O19" s="139">
        <v>1.41E-2</v>
      </c>
      <c r="P19" s="139">
        <v>9.4409440944094411E-2</v>
      </c>
      <c r="Q19" s="139">
        <v>0.01</v>
      </c>
      <c r="R19" s="139">
        <v>2.23E-2</v>
      </c>
      <c r="S19" s="139">
        <v>0</v>
      </c>
      <c r="T19" s="139">
        <v>0</v>
      </c>
      <c r="U19" s="139">
        <v>0.122</v>
      </c>
      <c r="V19" s="139">
        <v>0</v>
      </c>
      <c r="W19" s="139">
        <v>0</v>
      </c>
      <c r="X19" s="139">
        <v>0</v>
      </c>
      <c r="Y19" s="139">
        <v>0</v>
      </c>
      <c r="Z19" s="139">
        <v>0</v>
      </c>
      <c r="AA19" s="139">
        <v>0</v>
      </c>
      <c r="AB19" s="139">
        <v>0</v>
      </c>
      <c r="AC19" s="139">
        <v>0</v>
      </c>
      <c r="AD19" s="139">
        <v>0</v>
      </c>
      <c r="AE19" s="139">
        <v>0</v>
      </c>
      <c r="AF19" s="139">
        <v>0</v>
      </c>
      <c r="AG19" s="139">
        <v>0</v>
      </c>
      <c r="AH19" s="139">
        <v>0</v>
      </c>
    </row>
    <row r="20" spans="1:34" customFormat="1" x14ac:dyDescent="0.15">
      <c r="A20" s="173" t="s">
        <v>210</v>
      </c>
      <c r="B20" s="139">
        <v>0</v>
      </c>
      <c r="C20" s="139">
        <v>0</v>
      </c>
      <c r="D20" s="139">
        <v>1.4E-2</v>
      </c>
      <c r="E20" s="139">
        <v>0</v>
      </c>
      <c r="F20" s="139">
        <v>0</v>
      </c>
      <c r="G20" s="139">
        <v>0</v>
      </c>
      <c r="H20" s="139">
        <v>0</v>
      </c>
      <c r="I20" s="139">
        <v>0</v>
      </c>
      <c r="J20" s="139">
        <v>0</v>
      </c>
      <c r="K20" s="139">
        <v>0</v>
      </c>
      <c r="L20" s="139">
        <v>9.0000000000000008E-4</v>
      </c>
      <c r="M20" s="139">
        <v>0</v>
      </c>
      <c r="N20" s="139">
        <v>6.9993000699930009E-4</v>
      </c>
      <c r="O20" s="139">
        <v>0</v>
      </c>
      <c r="P20" s="139">
        <v>0</v>
      </c>
      <c r="Q20" s="139">
        <v>5.0000000000000001E-3</v>
      </c>
      <c r="R20" s="139">
        <v>0</v>
      </c>
      <c r="S20" s="139">
        <v>0</v>
      </c>
      <c r="T20" s="139">
        <v>1E-3</v>
      </c>
      <c r="U20" s="139">
        <v>0</v>
      </c>
      <c r="V20" s="139">
        <v>0</v>
      </c>
      <c r="W20" s="139">
        <v>0</v>
      </c>
      <c r="X20" s="139">
        <v>0</v>
      </c>
      <c r="Y20" s="139">
        <v>0</v>
      </c>
      <c r="Z20" s="139">
        <v>0</v>
      </c>
      <c r="AA20" s="139">
        <v>0</v>
      </c>
      <c r="AB20" s="139">
        <v>0</v>
      </c>
      <c r="AC20" s="139">
        <v>0</v>
      </c>
      <c r="AD20" s="139">
        <v>0</v>
      </c>
      <c r="AE20" s="139">
        <v>0</v>
      </c>
      <c r="AF20" s="139">
        <v>0</v>
      </c>
      <c r="AG20" s="139">
        <v>0</v>
      </c>
      <c r="AH20" s="139">
        <v>0</v>
      </c>
    </row>
    <row r="21" spans="1:34" customFormat="1" x14ac:dyDescent="0.15">
      <c r="A21" s="173" t="s">
        <v>211</v>
      </c>
      <c r="B21" s="139">
        <v>2.7000000000000001E-3</v>
      </c>
      <c r="C21" s="139">
        <v>1.5000000000000002E-3</v>
      </c>
      <c r="D21" s="139">
        <v>0</v>
      </c>
      <c r="E21" s="139">
        <v>1.38E-2</v>
      </c>
      <c r="F21" s="139">
        <v>4.3695630436956311E-2</v>
      </c>
      <c r="G21" s="139">
        <v>4.0000000000000007E-4</v>
      </c>
      <c r="H21" s="139">
        <v>0</v>
      </c>
      <c r="I21" s="139">
        <v>0</v>
      </c>
      <c r="J21" s="139">
        <v>0</v>
      </c>
      <c r="K21" s="139">
        <v>0</v>
      </c>
      <c r="L21" s="139">
        <v>0</v>
      </c>
      <c r="M21" s="139">
        <v>0</v>
      </c>
      <c r="N21" s="139">
        <v>0</v>
      </c>
      <c r="O21" s="139">
        <v>0</v>
      </c>
      <c r="P21" s="139">
        <v>0</v>
      </c>
      <c r="Q21" s="139">
        <v>0</v>
      </c>
      <c r="R21" s="139">
        <v>0</v>
      </c>
      <c r="S21" s="139">
        <v>0</v>
      </c>
      <c r="T21" s="139">
        <v>0</v>
      </c>
      <c r="U21" s="139">
        <v>0</v>
      </c>
      <c r="V21" s="139">
        <v>0</v>
      </c>
      <c r="W21" s="139">
        <v>0</v>
      </c>
      <c r="X21" s="139">
        <v>0</v>
      </c>
      <c r="Y21" s="139">
        <v>0</v>
      </c>
      <c r="Z21" s="139">
        <v>0</v>
      </c>
      <c r="AA21" s="139">
        <v>0</v>
      </c>
      <c r="AB21" s="139">
        <v>0</v>
      </c>
      <c r="AC21" s="139">
        <v>0</v>
      </c>
      <c r="AD21" s="139">
        <v>0</v>
      </c>
      <c r="AE21" s="139">
        <v>0</v>
      </c>
      <c r="AF21" s="139">
        <v>0</v>
      </c>
      <c r="AG21" s="139">
        <v>0</v>
      </c>
      <c r="AH21" s="139">
        <v>0</v>
      </c>
    </row>
    <row r="22" spans="1:34" customFormat="1" x14ac:dyDescent="0.15">
      <c r="A22" s="173" t="s">
        <v>212</v>
      </c>
      <c r="B22" s="139">
        <v>0.21099999999999999</v>
      </c>
      <c r="C22" s="139">
        <v>0</v>
      </c>
      <c r="D22" s="139">
        <v>7.1999999999999995E-2</v>
      </c>
      <c r="E22" s="139">
        <v>6.25E-2</v>
      </c>
      <c r="F22" s="139">
        <v>0.44795520447955206</v>
      </c>
      <c r="G22" s="139">
        <v>0.21500000000000002</v>
      </c>
      <c r="H22" s="139">
        <v>0</v>
      </c>
      <c r="I22" s="139">
        <v>0</v>
      </c>
      <c r="J22" s="139">
        <v>2.7400000000000008E-2</v>
      </c>
      <c r="K22" s="139">
        <v>1.0699999999999999E-2</v>
      </c>
      <c r="L22" s="139">
        <v>1.0000000000000002E-4</v>
      </c>
      <c r="M22" s="139">
        <v>0</v>
      </c>
      <c r="N22" s="139">
        <v>7.2392760723927613E-2</v>
      </c>
      <c r="O22" s="139">
        <v>2.5000000000000001E-3</v>
      </c>
      <c r="P22" s="139">
        <v>0.1037103710371037</v>
      </c>
      <c r="Q22" s="139">
        <v>2E-3</v>
      </c>
      <c r="R22" s="139">
        <v>0</v>
      </c>
      <c r="S22" s="139">
        <v>0</v>
      </c>
      <c r="T22" s="139">
        <v>0</v>
      </c>
      <c r="U22" s="139">
        <v>0.44090000000000001</v>
      </c>
      <c r="V22" s="139">
        <v>0</v>
      </c>
      <c r="W22" s="139">
        <v>0</v>
      </c>
      <c r="X22" s="139">
        <v>0</v>
      </c>
      <c r="Y22" s="139">
        <v>0</v>
      </c>
      <c r="Z22" s="139">
        <v>0</v>
      </c>
      <c r="AA22" s="139">
        <v>0</v>
      </c>
      <c r="AB22" s="139">
        <v>0</v>
      </c>
      <c r="AC22" s="139">
        <v>0</v>
      </c>
      <c r="AD22" s="139">
        <v>0</v>
      </c>
      <c r="AE22" s="139">
        <v>0</v>
      </c>
      <c r="AF22" s="139">
        <v>0</v>
      </c>
      <c r="AG22" s="139">
        <v>0</v>
      </c>
      <c r="AH22" s="139">
        <v>0</v>
      </c>
    </row>
    <row r="23" spans="1:34" customFormat="1" x14ac:dyDescent="0.15">
      <c r="A23" s="173" t="s">
        <v>213</v>
      </c>
      <c r="B23" s="139">
        <v>0.03</v>
      </c>
      <c r="C23" s="139">
        <v>0.20000000000000004</v>
      </c>
      <c r="D23" s="139">
        <v>0</v>
      </c>
      <c r="E23" s="139">
        <v>6.9999999999999999E-4</v>
      </c>
      <c r="F23" s="139">
        <v>0.16798320167983202</v>
      </c>
      <c r="G23" s="139">
        <v>8.0000000000000019E-3</v>
      </c>
      <c r="H23" s="139">
        <v>2.0897910208979097E-2</v>
      </c>
      <c r="I23" s="139">
        <v>0</v>
      </c>
      <c r="J23" s="139">
        <v>7.6800000000000007E-2</v>
      </c>
      <c r="K23" s="139">
        <v>0</v>
      </c>
      <c r="L23" s="139">
        <v>2.0000000000000004E-4</v>
      </c>
      <c r="M23" s="139">
        <v>0</v>
      </c>
      <c r="N23" s="139">
        <v>9.1990800919908005E-3</v>
      </c>
      <c r="O23" s="139">
        <v>1.47E-2</v>
      </c>
      <c r="P23" s="139">
        <v>3.3803380338033796E-2</v>
      </c>
      <c r="Q23" s="139">
        <v>3.0000000000000001E-3</v>
      </c>
      <c r="R23" s="139">
        <v>0</v>
      </c>
      <c r="S23" s="139">
        <v>0</v>
      </c>
      <c r="T23" s="139">
        <v>0</v>
      </c>
      <c r="U23" s="139">
        <v>0</v>
      </c>
      <c r="V23" s="139">
        <v>0</v>
      </c>
      <c r="W23" s="139">
        <v>0</v>
      </c>
      <c r="X23" s="139">
        <v>0</v>
      </c>
      <c r="Y23" s="139">
        <v>0</v>
      </c>
      <c r="Z23" s="139">
        <v>0</v>
      </c>
      <c r="AA23" s="139">
        <v>0</v>
      </c>
      <c r="AB23" s="139">
        <v>0</v>
      </c>
      <c r="AC23" s="139">
        <v>0</v>
      </c>
      <c r="AD23" s="139">
        <v>0</v>
      </c>
      <c r="AE23" s="139">
        <v>0</v>
      </c>
      <c r="AF23" s="139">
        <v>0</v>
      </c>
      <c r="AG23" s="139">
        <v>0</v>
      </c>
      <c r="AH23" s="139">
        <v>0</v>
      </c>
    </row>
    <row r="24" spans="1:34" customFormat="1" x14ac:dyDescent="0.15">
      <c r="A24" s="173" t="s">
        <v>214</v>
      </c>
      <c r="B24" s="139">
        <v>8.0000000000000004E-4</v>
      </c>
      <c r="C24" s="139">
        <v>0</v>
      </c>
      <c r="D24" s="139">
        <v>0</v>
      </c>
      <c r="E24" s="139">
        <v>1E-4</v>
      </c>
      <c r="F24" s="139">
        <v>8.849115088491151E-2</v>
      </c>
      <c r="G24" s="139">
        <v>0</v>
      </c>
      <c r="H24" s="139">
        <v>2.2397760223977596E-2</v>
      </c>
      <c r="I24" s="139">
        <v>9.6509650965096505E-2</v>
      </c>
      <c r="J24" s="139">
        <v>0.20300000000000007</v>
      </c>
      <c r="K24" s="139">
        <v>9.3299999999999994E-2</v>
      </c>
      <c r="L24" s="139">
        <v>7.000000000000001E-3</v>
      </c>
      <c r="M24" s="139">
        <v>0</v>
      </c>
      <c r="N24" s="139">
        <v>8.2991700829917019E-3</v>
      </c>
      <c r="O24" s="139">
        <v>3.5000000000000003E-2</v>
      </c>
      <c r="P24" s="139">
        <v>5.8905890589058908E-2</v>
      </c>
      <c r="Q24" s="139">
        <v>0.01</v>
      </c>
      <c r="R24" s="139">
        <v>0</v>
      </c>
      <c r="S24" s="139">
        <v>0</v>
      </c>
      <c r="T24" s="139">
        <v>0</v>
      </c>
      <c r="U24" s="139">
        <v>3.0000000000000001E-3</v>
      </c>
      <c r="V24" s="139">
        <v>1.9998000199980001E-3</v>
      </c>
      <c r="W24" s="139">
        <v>0</v>
      </c>
      <c r="X24" s="139">
        <v>0</v>
      </c>
      <c r="Y24" s="139">
        <v>2.0997900209979003E-3</v>
      </c>
      <c r="Z24" s="139">
        <v>0</v>
      </c>
      <c r="AA24" s="139">
        <v>0</v>
      </c>
      <c r="AB24" s="139">
        <v>0</v>
      </c>
      <c r="AC24" s="139">
        <v>0</v>
      </c>
      <c r="AD24" s="139">
        <v>0</v>
      </c>
      <c r="AE24" s="139">
        <v>0</v>
      </c>
      <c r="AF24" s="139">
        <v>0</v>
      </c>
      <c r="AG24" s="139">
        <v>0</v>
      </c>
      <c r="AH24" s="139">
        <v>0</v>
      </c>
    </row>
    <row r="25" spans="1:34" customFormat="1" x14ac:dyDescent="0.15">
      <c r="A25" s="173" t="s">
        <v>215</v>
      </c>
      <c r="B25" s="139">
        <v>0</v>
      </c>
      <c r="C25" s="139">
        <v>0</v>
      </c>
      <c r="D25" s="139">
        <v>0</v>
      </c>
      <c r="E25" s="139">
        <v>6.9999999999999999E-4</v>
      </c>
      <c r="F25" s="139">
        <v>3.9996000399960003E-3</v>
      </c>
      <c r="G25" s="139">
        <v>0</v>
      </c>
      <c r="H25" s="139">
        <v>3.7996200379961996E-3</v>
      </c>
      <c r="I25" s="139">
        <v>3.6003600360036002E-3</v>
      </c>
      <c r="J25" s="139">
        <v>0</v>
      </c>
      <c r="K25" s="139">
        <v>0</v>
      </c>
      <c r="L25" s="139">
        <v>1.0000000000000002E-4</v>
      </c>
      <c r="M25" s="139">
        <v>2.3E-3</v>
      </c>
      <c r="N25" s="139">
        <v>0.142985701429857</v>
      </c>
      <c r="O25" s="139">
        <v>0</v>
      </c>
      <c r="P25" s="139">
        <v>9.7009700970097004E-3</v>
      </c>
      <c r="Q25" s="139">
        <v>0.01</v>
      </c>
      <c r="R25" s="139">
        <v>0</v>
      </c>
      <c r="S25" s="139">
        <v>0</v>
      </c>
      <c r="T25" s="139">
        <v>0</v>
      </c>
      <c r="U25" s="139">
        <v>4.0000000000000002E-4</v>
      </c>
      <c r="V25" s="139">
        <v>0</v>
      </c>
      <c r="W25" s="139">
        <v>0</v>
      </c>
      <c r="X25" s="139">
        <v>0</v>
      </c>
      <c r="Y25" s="139">
        <v>9.9990000999900016E-3</v>
      </c>
      <c r="Z25" s="139">
        <v>0</v>
      </c>
      <c r="AA25" s="139">
        <v>0</v>
      </c>
      <c r="AB25" s="139">
        <v>0</v>
      </c>
      <c r="AC25" s="139">
        <v>0</v>
      </c>
      <c r="AD25" s="139">
        <v>0</v>
      </c>
      <c r="AE25" s="139">
        <v>0</v>
      </c>
      <c r="AF25" s="139">
        <v>0</v>
      </c>
      <c r="AG25" s="139">
        <v>0</v>
      </c>
      <c r="AH25" s="139">
        <v>0</v>
      </c>
    </row>
    <row r="26" spans="1:34" customFormat="1" x14ac:dyDescent="0.15">
      <c r="A26" s="173" t="s">
        <v>216</v>
      </c>
      <c r="B26" s="139">
        <v>0</v>
      </c>
      <c r="C26" s="139">
        <v>0</v>
      </c>
      <c r="D26" s="139">
        <v>0</v>
      </c>
      <c r="E26" s="139">
        <v>0</v>
      </c>
      <c r="F26" s="139">
        <v>0</v>
      </c>
      <c r="G26" s="139">
        <v>0</v>
      </c>
      <c r="H26" s="139">
        <v>5.8994100589940994E-3</v>
      </c>
      <c r="I26" s="139">
        <v>1.1001100110011003E-3</v>
      </c>
      <c r="J26" s="139">
        <v>1.0000000000000003E-4</v>
      </c>
      <c r="K26" s="139">
        <v>0</v>
      </c>
      <c r="L26" s="139">
        <v>0.43390000000000006</v>
      </c>
      <c r="M26" s="139">
        <v>3.7000000000000002E-3</v>
      </c>
      <c r="N26" s="139">
        <v>1.9998000199980003E-2</v>
      </c>
      <c r="O26" s="139">
        <v>0</v>
      </c>
      <c r="P26" s="139">
        <v>5.4505450545054505E-2</v>
      </c>
      <c r="Q26" s="139">
        <v>0.05</v>
      </c>
      <c r="R26" s="139">
        <v>0</v>
      </c>
      <c r="S26" s="139">
        <v>0</v>
      </c>
      <c r="T26" s="139">
        <v>0</v>
      </c>
      <c r="U26" s="139">
        <v>2.3300000000000001E-2</v>
      </c>
      <c r="V26" s="139">
        <v>0</v>
      </c>
      <c r="W26" s="139">
        <v>0</v>
      </c>
      <c r="X26" s="139">
        <v>0</v>
      </c>
      <c r="Y26" s="139">
        <v>5.3994600539946005E-3</v>
      </c>
      <c r="Z26" s="139">
        <v>0</v>
      </c>
      <c r="AA26" s="139">
        <v>0</v>
      </c>
      <c r="AB26" s="139">
        <v>0</v>
      </c>
      <c r="AC26" s="139">
        <v>0</v>
      </c>
      <c r="AD26" s="139">
        <v>0</v>
      </c>
      <c r="AE26" s="139">
        <v>0</v>
      </c>
      <c r="AF26" s="139">
        <v>0</v>
      </c>
      <c r="AG26" s="139">
        <v>0</v>
      </c>
      <c r="AH26" s="139">
        <v>0</v>
      </c>
    </row>
    <row r="27" spans="1:34" customFormat="1" x14ac:dyDescent="0.15">
      <c r="A27" s="173" t="s">
        <v>217</v>
      </c>
      <c r="B27" s="139">
        <v>0</v>
      </c>
      <c r="C27" s="139">
        <v>0</v>
      </c>
      <c r="D27" s="139">
        <v>0</v>
      </c>
      <c r="E27" s="139">
        <v>0</v>
      </c>
      <c r="F27" s="139">
        <v>1.9998000199980001E-3</v>
      </c>
      <c r="G27" s="139">
        <v>4.0000000000000007E-4</v>
      </c>
      <c r="H27" s="139">
        <v>1.9698030196980295E-2</v>
      </c>
      <c r="I27" s="139">
        <v>8.0008000800080011E-4</v>
      </c>
      <c r="J27" s="139">
        <v>0</v>
      </c>
      <c r="K27" s="139">
        <v>8.9999999999999998E-4</v>
      </c>
      <c r="L27" s="139">
        <v>4.3000000000000009E-3</v>
      </c>
      <c r="M27" s="139">
        <v>0.105</v>
      </c>
      <c r="N27" s="139">
        <v>1.9998000199980003E-2</v>
      </c>
      <c r="O27" s="139">
        <v>1E-4</v>
      </c>
      <c r="P27" s="139">
        <v>6.6606660666066617E-2</v>
      </c>
      <c r="Q27" s="139">
        <v>0.05</v>
      </c>
      <c r="R27" s="139">
        <v>0</v>
      </c>
      <c r="S27" s="139">
        <v>0</v>
      </c>
      <c r="T27" s="139">
        <v>0</v>
      </c>
      <c r="U27" s="139">
        <v>0</v>
      </c>
      <c r="V27" s="139">
        <v>1.9998000199980001E-3</v>
      </c>
      <c r="W27" s="139">
        <v>0</v>
      </c>
      <c r="X27" s="139">
        <v>0</v>
      </c>
      <c r="Y27" s="139">
        <v>4.7695230476952302E-2</v>
      </c>
      <c r="Z27" s="139">
        <v>0</v>
      </c>
      <c r="AA27" s="139">
        <v>0</v>
      </c>
      <c r="AB27" s="139">
        <v>0</v>
      </c>
      <c r="AC27" s="139">
        <v>0</v>
      </c>
      <c r="AD27" s="139">
        <v>0</v>
      </c>
      <c r="AE27" s="139">
        <v>0</v>
      </c>
      <c r="AF27" s="139">
        <v>0</v>
      </c>
      <c r="AG27" s="139">
        <v>0</v>
      </c>
      <c r="AH27" s="139">
        <v>0</v>
      </c>
    </row>
    <row r="28" spans="1:34" customFormat="1" x14ac:dyDescent="0.15">
      <c r="A28" s="173" t="s">
        <v>218</v>
      </c>
      <c r="B28" s="139">
        <v>0</v>
      </c>
      <c r="C28" s="139">
        <v>0</v>
      </c>
      <c r="D28" s="139">
        <v>0</v>
      </c>
      <c r="E28" s="139">
        <v>0</v>
      </c>
      <c r="F28" s="139">
        <v>0</v>
      </c>
      <c r="G28" s="139">
        <v>0</v>
      </c>
      <c r="H28" s="139">
        <v>1.9098090190980896E-2</v>
      </c>
      <c r="I28" s="139">
        <v>2.0402040204020404E-2</v>
      </c>
      <c r="J28" s="139">
        <v>3.0000000000000003E-4</v>
      </c>
      <c r="K28" s="139">
        <v>0</v>
      </c>
      <c r="L28" s="139">
        <v>7.8000000000000005E-3</v>
      </c>
      <c r="M28" s="139">
        <v>0.35310000000000002</v>
      </c>
      <c r="N28" s="139">
        <v>0.22997700229977003</v>
      </c>
      <c r="O28" s="139">
        <v>0</v>
      </c>
      <c r="P28" s="139">
        <v>8.0008000800080012E-2</v>
      </c>
      <c r="Q28" s="139">
        <v>0.16</v>
      </c>
      <c r="R28" s="139">
        <v>0</v>
      </c>
      <c r="S28" s="139">
        <v>0</v>
      </c>
      <c r="T28" s="139">
        <v>0</v>
      </c>
      <c r="U28" s="139">
        <v>1.6999999999999999E-3</v>
      </c>
      <c r="V28" s="139">
        <v>0</v>
      </c>
      <c r="W28" s="139">
        <v>0</v>
      </c>
      <c r="X28" s="139">
        <v>2.2497750224977502E-2</v>
      </c>
      <c r="Y28" s="139">
        <v>0.38796120387961208</v>
      </c>
      <c r="Z28" s="139">
        <v>0</v>
      </c>
      <c r="AA28" s="139">
        <v>0</v>
      </c>
      <c r="AB28" s="139">
        <v>0.13400000000000001</v>
      </c>
      <c r="AC28" s="139">
        <v>0</v>
      </c>
      <c r="AD28" s="139">
        <v>0</v>
      </c>
      <c r="AE28" s="139">
        <v>0</v>
      </c>
      <c r="AF28" s="139">
        <v>0</v>
      </c>
      <c r="AG28" s="139">
        <v>0</v>
      </c>
      <c r="AH28" s="139">
        <v>0</v>
      </c>
    </row>
    <row r="29" spans="1:34" customFormat="1" x14ac:dyDescent="0.15">
      <c r="A29" s="173" t="s">
        <v>219</v>
      </c>
      <c r="B29" s="139">
        <v>0</v>
      </c>
      <c r="C29" s="139">
        <v>0</v>
      </c>
      <c r="D29" s="139">
        <v>0</v>
      </c>
      <c r="E29" s="139">
        <v>0</v>
      </c>
      <c r="F29" s="139">
        <v>9.9990000999900007E-4</v>
      </c>
      <c r="G29" s="139">
        <v>1.4100000000000001E-2</v>
      </c>
      <c r="H29" s="139">
        <v>2.6997300269972998E-3</v>
      </c>
      <c r="I29" s="139">
        <v>1.9001900190019003E-3</v>
      </c>
      <c r="J29" s="139">
        <v>1.0000000000000003E-4</v>
      </c>
      <c r="K29" s="139">
        <v>0</v>
      </c>
      <c r="L29" s="139">
        <v>0.13300000000000003</v>
      </c>
      <c r="M29" s="139">
        <v>0.48699999999999999</v>
      </c>
      <c r="N29" s="139">
        <v>0</v>
      </c>
      <c r="O29" s="139">
        <v>0</v>
      </c>
      <c r="P29" s="139">
        <v>5.0005000500050007E-3</v>
      </c>
      <c r="Q29" s="139">
        <v>0.63</v>
      </c>
      <c r="R29" s="139">
        <v>0</v>
      </c>
      <c r="S29" s="139">
        <v>4.0000000000000007E-4</v>
      </c>
      <c r="T29" s="139">
        <v>0</v>
      </c>
      <c r="U29" s="139">
        <v>0.23300000000000001</v>
      </c>
      <c r="V29" s="139">
        <v>0</v>
      </c>
      <c r="W29" s="139">
        <v>0.1</v>
      </c>
      <c r="X29" s="139">
        <v>2.2497750224977502E-2</v>
      </c>
      <c r="Y29" s="139">
        <v>0.49415058494150582</v>
      </c>
      <c r="Z29" s="139">
        <v>0</v>
      </c>
      <c r="AA29" s="139">
        <v>0</v>
      </c>
      <c r="AB29" s="139">
        <v>0</v>
      </c>
      <c r="AC29" s="139">
        <v>0</v>
      </c>
      <c r="AD29" s="139">
        <v>0</v>
      </c>
      <c r="AE29" s="139">
        <v>0</v>
      </c>
      <c r="AF29" s="139">
        <v>0</v>
      </c>
      <c r="AG29" s="139">
        <v>0</v>
      </c>
      <c r="AH29" s="139">
        <v>0</v>
      </c>
    </row>
    <row r="30" spans="1:34" customFormat="1" x14ac:dyDescent="0.15">
      <c r="A30" s="173" t="s">
        <v>220</v>
      </c>
      <c r="B30" s="139">
        <v>5.1400000000000001E-2</v>
      </c>
      <c r="C30" s="139">
        <v>0.24700000000000003</v>
      </c>
      <c r="D30" s="139">
        <v>0</v>
      </c>
      <c r="E30" s="139">
        <v>0</v>
      </c>
      <c r="F30" s="139">
        <v>0</v>
      </c>
      <c r="G30" s="139">
        <v>0</v>
      </c>
      <c r="H30" s="139">
        <v>1.1998800119987999E-2</v>
      </c>
      <c r="I30" s="139">
        <v>0.61106110611061104</v>
      </c>
      <c r="J30" s="139">
        <v>1.8600000000000002E-2</v>
      </c>
      <c r="K30" s="139">
        <v>0.1741</v>
      </c>
      <c r="L30" s="139">
        <v>2.3000000000000003E-2</v>
      </c>
      <c r="M30" s="139">
        <v>8.9999999999999998E-4</v>
      </c>
      <c r="N30" s="139">
        <v>1.9998000199980003E-2</v>
      </c>
      <c r="O30" s="139">
        <v>0.53600000000000003</v>
      </c>
      <c r="P30" s="139">
        <v>0.18501850185018501</v>
      </c>
      <c r="Q30" s="139">
        <v>2.5000000000000001E-2</v>
      </c>
      <c r="R30" s="139">
        <v>0.34499999999999997</v>
      </c>
      <c r="S30" s="139">
        <v>8.4300000000000014E-2</v>
      </c>
      <c r="T30" s="139">
        <v>0.64</v>
      </c>
      <c r="U30" s="139">
        <v>4.5100000000000001E-2</v>
      </c>
      <c r="V30" s="139">
        <v>8.9291070892910718E-2</v>
      </c>
      <c r="W30" s="139">
        <v>0</v>
      </c>
      <c r="X30" s="139">
        <v>5.9994000599940006E-2</v>
      </c>
      <c r="Y30" s="139">
        <v>3.6996300369963007E-3</v>
      </c>
      <c r="Z30" s="139">
        <v>0</v>
      </c>
      <c r="AA30" s="139">
        <v>0</v>
      </c>
      <c r="AB30" s="139">
        <v>0</v>
      </c>
      <c r="AC30" s="139">
        <v>0</v>
      </c>
      <c r="AD30" s="139">
        <v>0</v>
      </c>
      <c r="AE30" s="139">
        <v>0</v>
      </c>
      <c r="AF30" s="139">
        <v>0</v>
      </c>
      <c r="AG30" s="139">
        <v>0</v>
      </c>
      <c r="AH30" s="139">
        <v>0</v>
      </c>
    </row>
    <row r="31" spans="1:34" customFormat="1" x14ac:dyDescent="0.15">
      <c r="A31" s="173" t="s">
        <v>221</v>
      </c>
      <c r="B31" s="139">
        <v>8.3000000000000004E-2</v>
      </c>
      <c r="C31" s="139">
        <v>0</v>
      </c>
      <c r="D31" s="139">
        <v>0</v>
      </c>
      <c r="E31" s="139">
        <v>0</v>
      </c>
      <c r="F31" s="139">
        <v>0</v>
      </c>
      <c r="G31" s="139">
        <v>2.2000000000000006E-3</v>
      </c>
      <c r="H31" s="139">
        <v>7.9992000799919991E-4</v>
      </c>
      <c r="I31" s="139">
        <v>1.3901390139013901E-2</v>
      </c>
      <c r="J31" s="139">
        <v>1.0000000000000003E-4</v>
      </c>
      <c r="K31" s="139">
        <v>5.0000000000000001E-4</v>
      </c>
      <c r="L31" s="139">
        <v>3.0000000000000003E-4</v>
      </c>
      <c r="M31" s="139">
        <v>5.0000000000000001E-4</v>
      </c>
      <c r="N31" s="139">
        <v>5.9994000599940007E-4</v>
      </c>
      <c r="O31" s="139">
        <v>0.161</v>
      </c>
      <c r="P31" s="139">
        <v>1.3901390139013901E-2</v>
      </c>
      <c r="Q31" s="139">
        <v>2.5000000000000001E-2</v>
      </c>
      <c r="R31" s="139">
        <v>0.63270000000000004</v>
      </c>
      <c r="S31" s="139">
        <v>0.91480000000000006</v>
      </c>
      <c r="T31" s="139">
        <v>0.32100000000000001</v>
      </c>
      <c r="U31" s="139">
        <v>0</v>
      </c>
      <c r="V31" s="139">
        <v>0.90670932906709334</v>
      </c>
      <c r="W31" s="139">
        <v>0.9</v>
      </c>
      <c r="X31" s="139">
        <v>0.11998800119988001</v>
      </c>
      <c r="Y31" s="139">
        <v>4.899510048995101E-2</v>
      </c>
      <c r="Z31" s="139">
        <v>0</v>
      </c>
      <c r="AA31" s="139">
        <v>0</v>
      </c>
      <c r="AB31" s="139">
        <v>0</v>
      </c>
      <c r="AC31" s="139">
        <v>0</v>
      </c>
      <c r="AD31" s="139">
        <v>0.38</v>
      </c>
      <c r="AE31" s="139">
        <v>9.2999999999999999E-2</v>
      </c>
      <c r="AF31" s="139">
        <v>0</v>
      </c>
      <c r="AG31" s="139">
        <v>0</v>
      </c>
      <c r="AH31" s="139">
        <v>0</v>
      </c>
    </row>
    <row r="32" spans="1:34" customFormat="1" x14ac:dyDescent="0.15">
      <c r="A32" s="173" t="s">
        <v>222</v>
      </c>
      <c r="B32" s="139">
        <v>0</v>
      </c>
      <c r="C32" s="139">
        <v>0</v>
      </c>
      <c r="D32" s="139">
        <v>0</v>
      </c>
      <c r="E32" s="139">
        <v>0</v>
      </c>
      <c r="F32" s="139">
        <v>0</v>
      </c>
      <c r="G32" s="139">
        <v>0</v>
      </c>
      <c r="H32" s="139">
        <v>0</v>
      </c>
      <c r="I32" s="139">
        <v>0</v>
      </c>
      <c r="J32" s="139">
        <v>0</v>
      </c>
      <c r="K32" s="139">
        <v>0</v>
      </c>
      <c r="L32" s="139">
        <v>0</v>
      </c>
      <c r="M32" s="139">
        <v>0</v>
      </c>
      <c r="N32" s="139">
        <v>0</v>
      </c>
      <c r="O32" s="139">
        <v>0</v>
      </c>
      <c r="P32" s="139">
        <v>0</v>
      </c>
      <c r="Q32" s="139">
        <v>0</v>
      </c>
      <c r="R32" s="139">
        <v>0</v>
      </c>
      <c r="S32" s="139">
        <v>5.0000000000000012E-4</v>
      </c>
      <c r="T32" s="139">
        <v>0</v>
      </c>
      <c r="U32" s="139">
        <v>0</v>
      </c>
      <c r="V32" s="139">
        <v>0</v>
      </c>
      <c r="W32" s="139">
        <v>0</v>
      </c>
      <c r="X32" s="139">
        <v>0.12788721127887212</v>
      </c>
      <c r="Y32" s="139">
        <v>0</v>
      </c>
      <c r="Z32" s="139">
        <v>0</v>
      </c>
      <c r="AA32" s="139">
        <v>0.1</v>
      </c>
      <c r="AB32" s="139">
        <v>0.49099999999999999</v>
      </c>
      <c r="AC32" s="139">
        <v>0</v>
      </c>
      <c r="AD32" s="139">
        <v>0.52</v>
      </c>
      <c r="AE32" s="139">
        <v>0.67300000000000004</v>
      </c>
      <c r="AF32" s="139">
        <v>0</v>
      </c>
      <c r="AG32" s="139">
        <v>0</v>
      </c>
      <c r="AH32" s="139">
        <v>0</v>
      </c>
    </row>
    <row r="33" spans="1:34" customFormat="1" x14ac:dyDescent="0.15">
      <c r="A33" s="173" t="s">
        <v>223</v>
      </c>
      <c r="B33" s="139">
        <v>0</v>
      </c>
      <c r="C33" s="139">
        <v>0</v>
      </c>
      <c r="D33" s="139">
        <v>0</v>
      </c>
      <c r="E33" s="139">
        <v>0</v>
      </c>
      <c r="F33" s="139">
        <v>0</v>
      </c>
      <c r="G33" s="139">
        <v>0</v>
      </c>
      <c r="H33" s="139">
        <v>0</v>
      </c>
      <c r="I33" s="139">
        <v>0</v>
      </c>
      <c r="J33" s="139">
        <v>0</v>
      </c>
      <c r="K33" s="139">
        <v>0</v>
      </c>
      <c r="L33" s="139">
        <v>0</v>
      </c>
      <c r="M33" s="139">
        <v>0</v>
      </c>
      <c r="N33" s="139">
        <v>0</v>
      </c>
      <c r="O33" s="139">
        <v>0</v>
      </c>
      <c r="P33" s="139">
        <v>0</v>
      </c>
      <c r="Q33" s="139">
        <v>0</v>
      </c>
      <c r="R33" s="139">
        <v>0</v>
      </c>
      <c r="S33" s="139">
        <v>0</v>
      </c>
      <c r="T33" s="139">
        <v>0</v>
      </c>
      <c r="U33" s="139">
        <v>0</v>
      </c>
      <c r="V33" s="139">
        <v>0</v>
      </c>
      <c r="W33" s="139">
        <v>0</v>
      </c>
      <c r="X33" s="139">
        <v>0.64713528647135288</v>
      </c>
      <c r="Y33" s="139">
        <v>0</v>
      </c>
      <c r="Z33" s="139">
        <v>1</v>
      </c>
      <c r="AA33" s="139">
        <v>0.9</v>
      </c>
      <c r="AB33" s="139">
        <v>0.375</v>
      </c>
      <c r="AC33" s="139">
        <v>1</v>
      </c>
      <c r="AD33" s="139">
        <v>0.1</v>
      </c>
      <c r="AE33" s="139">
        <v>0.23400000000000001</v>
      </c>
      <c r="AF33" s="139">
        <v>0</v>
      </c>
      <c r="AG33" s="139">
        <v>0</v>
      </c>
      <c r="AH33" s="139">
        <v>0</v>
      </c>
    </row>
    <row r="34" spans="1:34" customFormat="1" x14ac:dyDescent="0.15">
      <c r="A34" s="173" t="s">
        <v>224</v>
      </c>
      <c r="B34" s="139">
        <v>0</v>
      </c>
      <c r="C34" s="139">
        <v>0</v>
      </c>
      <c r="D34" s="139">
        <v>0</v>
      </c>
      <c r="E34" s="139">
        <v>0</v>
      </c>
      <c r="F34" s="139">
        <v>0</v>
      </c>
      <c r="G34" s="139">
        <v>0</v>
      </c>
      <c r="H34" s="139">
        <v>0</v>
      </c>
      <c r="I34" s="139">
        <v>0</v>
      </c>
      <c r="J34" s="139">
        <v>0</v>
      </c>
      <c r="K34" s="139">
        <v>0</v>
      </c>
      <c r="L34" s="139">
        <v>0</v>
      </c>
      <c r="M34" s="139">
        <v>0</v>
      </c>
      <c r="N34" s="139">
        <v>0</v>
      </c>
      <c r="O34" s="139">
        <v>0</v>
      </c>
      <c r="P34" s="139">
        <v>0</v>
      </c>
      <c r="Q34" s="139">
        <v>0</v>
      </c>
      <c r="R34" s="139">
        <v>0</v>
      </c>
      <c r="S34" s="139">
        <v>0</v>
      </c>
      <c r="T34" s="139">
        <v>0</v>
      </c>
      <c r="U34" s="139">
        <v>0</v>
      </c>
      <c r="V34" s="139">
        <v>0</v>
      </c>
      <c r="W34" s="139">
        <v>0</v>
      </c>
      <c r="X34" s="139">
        <v>0</v>
      </c>
      <c r="Y34" s="139">
        <v>0</v>
      </c>
      <c r="Z34" s="139">
        <v>0</v>
      </c>
      <c r="AA34" s="139">
        <v>0</v>
      </c>
      <c r="AB34" s="139">
        <v>0</v>
      </c>
      <c r="AC34" s="139">
        <v>0</v>
      </c>
      <c r="AD34" s="139">
        <v>0</v>
      </c>
      <c r="AE34" s="139">
        <v>0</v>
      </c>
      <c r="AF34" s="139">
        <v>0</v>
      </c>
      <c r="AG34" s="139">
        <v>0</v>
      </c>
      <c r="AH34" s="139">
        <v>0</v>
      </c>
    </row>
    <row r="35" spans="1:34" customFormat="1" x14ac:dyDescent="0.15">
      <c r="A35" s="173" t="s">
        <v>226</v>
      </c>
      <c r="B35" s="139">
        <v>0</v>
      </c>
      <c r="C35" s="139">
        <v>0</v>
      </c>
      <c r="D35" s="139">
        <v>0</v>
      </c>
      <c r="E35" s="139">
        <v>0</v>
      </c>
      <c r="F35" s="139">
        <v>0</v>
      </c>
      <c r="G35" s="139">
        <v>0</v>
      </c>
      <c r="H35" s="139">
        <v>0</v>
      </c>
      <c r="I35" s="139">
        <v>0</v>
      </c>
      <c r="J35" s="139">
        <v>0</v>
      </c>
      <c r="K35" s="139">
        <v>0</v>
      </c>
      <c r="L35" s="139">
        <v>0</v>
      </c>
      <c r="M35" s="139">
        <v>0</v>
      </c>
      <c r="N35" s="139">
        <v>0</v>
      </c>
      <c r="O35" s="139">
        <v>0</v>
      </c>
      <c r="P35" s="139">
        <v>0</v>
      </c>
      <c r="Q35" s="139">
        <v>0</v>
      </c>
      <c r="R35" s="139">
        <v>0</v>
      </c>
      <c r="S35" s="139">
        <v>0</v>
      </c>
      <c r="T35" s="139">
        <v>0</v>
      </c>
      <c r="U35" s="139">
        <v>0</v>
      </c>
      <c r="V35" s="139">
        <v>0</v>
      </c>
      <c r="W35" s="139">
        <v>0</v>
      </c>
      <c r="X35" s="139">
        <v>0</v>
      </c>
      <c r="Y35" s="139">
        <v>0</v>
      </c>
      <c r="Z35" s="139">
        <v>0</v>
      </c>
      <c r="AA35" s="139">
        <v>0</v>
      </c>
      <c r="AB35" s="139">
        <v>0</v>
      </c>
      <c r="AC35" s="139">
        <v>0</v>
      </c>
      <c r="AD35" s="139">
        <v>0</v>
      </c>
      <c r="AE35" s="139">
        <v>0</v>
      </c>
      <c r="AF35" s="139">
        <v>0</v>
      </c>
      <c r="AG35" s="139">
        <v>0</v>
      </c>
      <c r="AH35" s="139">
        <v>0</v>
      </c>
    </row>
    <row r="36" spans="1:34" customFormat="1" x14ac:dyDescent="0.15"/>
    <row r="37" spans="1:34" customFormat="1" x14ac:dyDescent="0.15"/>
    <row r="38" spans="1:34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16" activePane="bottomRight" state="frozen"/>
      <selection pane="topRight" activeCell="C1" sqref="C1"/>
      <selection pane="bottomLeft" activeCell="A2" sqref="A2"/>
      <selection pane="bottomRight" activeCell="H37" sqref="H37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0.1640625" style="109" customWidth="1"/>
    <col min="5" max="6" width="10.1640625" style="108" customWidth="1"/>
    <col min="7" max="8" width="8.83203125" style="109"/>
  </cols>
  <sheetData>
    <row r="1" spans="1:8" ht="70" x14ac:dyDescent="0.15">
      <c r="A1" s="5" t="s">
        <v>20</v>
      </c>
      <c r="B1" s="1" t="s">
        <v>0</v>
      </c>
      <c r="C1" s="176" t="s">
        <v>223</v>
      </c>
      <c r="D1" s="176" t="s">
        <v>224</v>
      </c>
      <c r="E1" s="176" t="s">
        <v>227</v>
      </c>
      <c r="F1" s="176" t="s">
        <v>228</v>
      </c>
      <c r="G1"/>
      <c r="H1"/>
    </row>
    <row r="2" spans="1:8" x14ac:dyDescent="0.15">
      <c r="A2">
        <v>1</v>
      </c>
      <c r="B2" s="175" t="s">
        <v>192</v>
      </c>
      <c r="C2" s="109">
        <v>1</v>
      </c>
      <c r="D2" s="109">
        <v>0</v>
      </c>
      <c r="E2" s="108">
        <v>0</v>
      </c>
      <c r="F2" s="108">
        <v>1</v>
      </c>
      <c r="G2"/>
      <c r="H2"/>
    </row>
    <row r="3" spans="1:8" x14ac:dyDescent="0.15">
      <c r="A3">
        <v>2</v>
      </c>
      <c r="B3" s="175" t="s">
        <v>193</v>
      </c>
      <c r="C3" s="109">
        <v>1</v>
      </c>
      <c r="D3" s="109">
        <v>0</v>
      </c>
      <c r="E3" s="108">
        <v>0</v>
      </c>
      <c r="F3" s="108">
        <v>1</v>
      </c>
      <c r="G3"/>
      <c r="H3"/>
    </row>
    <row r="4" spans="1:8" x14ac:dyDescent="0.15">
      <c r="A4">
        <v>3</v>
      </c>
      <c r="B4" s="175" t="s">
        <v>194</v>
      </c>
      <c r="C4" s="109">
        <v>1</v>
      </c>
      <c r="D4" s="109">
        <v>0</v>
      </c>
      <c r="E4" s="108">
        <v>0</v>
      </c>
      <c r="F4" s="108">
        <v>1</v>
      </c>
      <c r="G4"/>
      <c r="H4"/>
    </row>
    <row r="5" spans="1:8" x14ac:dyDescent="0.15">
      <c r="A5">
        <v>4</v>
      </c>
      <c r="B5" s="175" t="s">
        <v>195</v>
      </c>
      <c r="C5" s="109">
        <v>1</v>
      </c>
      <c r="D5" s="109">
        <v>0</v>
      </c>
      <c r="E5" s="108">
        <v>0</v>
      </c>
      <c r="F5" s="108">
        <v>1</v>
      </c>
      <c r="G5"/>
      <c r="H5"/>
    </row>
    <row r="6" spans="1:8" x14ac:dyDescent="0.15">
      <c r="A6">
        <v>5</v>
      </c>
      <c r="B6" s="175" t="s">
        <v>196</v>
      </c>
      <c r="C6" s="109">
        <v>1</v>
      </c>
      <c r="D6" s="109">
        <v>0</v>
      </c>
      <c r="E6" s="108">
        <v>0</v>
      </c>
      <c r="F6" s="108">
        <v>1</v>
      </c>
      <c r="G6"/>
      <c r="H6"/>
    </row>
    <row r="7" spans="1:8" x14ac:dyDescent="0.15">
      <c r="A7">
        <v>6</v>
      </c>
      <c r="B7" s="175" t="s">
        <v>197</v>
      </c>
      <c r="C7" s="109">
        <v>1</v>
      </c>
      <c r="D7" s="109">
        <v>0</v>
      </c>
      <c r="E7" s="108">
        <v>0</v>
      </c>
      <c r="F7" s="108">
        <v>1</v>
      </c>
      <c r="G7"/>
      <c r="H7"/>
    </row>
    <row r="8" spans="1:8" x14ac:dyDescent="0.15">
      <c r="A8">
        <v>7</v>
      </c>
      <c r="B8" s="175" t="s">
        <v>198</v>
      </c>
      <c r="C8" s="109">
        <v>1</v>
      </c>
      <c r="D8" s="109">
        <v>0</v>
      </c>
      <c r="E8" s="108">
        <v>0</v>
      </c>
      <c r="F8" s="108">
        <v>1</v>
      </c>
      <c r="G8"/>
      <c r="H8"/>
    </row>
    <row r="9" spans="1:8" x14ac:dyDescent="0.15">
      <c r="A9">
        <v>8</v>
      </c>
      <c r="B9" s="175" t="s">
        <v>199</v>
      </c>
      <c r="C9" s="109">
        <v>1</v>
      </c>
      <c r="D9" s="109">
        <v>0</v>
      </c>
      <c r="E9" s="108">
        <v>0</v>
      </c>
      <c r="F9" s="108">
        <v>1</v>
      </c>
      <c r="G9"/>
      <c r="H9"/>
    </row>
    <row r="10" spans="1:8" x14ac:dyDescent="0.15">
      <c r="A10">
        <v>9</v>
      </c>
      <c r="B10" s="175" t="s">
        <v>200</v>
      </c>
      <c r="C10" s="109">
        <v>1</v>
      </c>
      <c r="D10" s="109">
        <v>0</v>
      </c>
      <c r="E10" s="108">
        <v>0</v>
      </c>
      <c r="F10" s="108">
        <v>1</v>
      </c>
      <c r="G10"/>
      <c r="H10"/>
    </row>
    <row r="11" spans="1:8" x14ac:dyDescent="0.15">
      <c r="A11">
        <v>10</v>
      </c>
      <c r="B11" s="175" t="s">
        <v>201</v>
      </c>
      <c r="C11" s="109">
        <v>1</v>
      </c>
      <c r="D11" s="109">
        <v>0</v>
      </c>
      <c r="E11" s="108">
        <v>0</v>
      </c>
      <c r="F11" s="108">
        <v>1</v>
      </c>
      <c r="G11"/>
      <c r="H11"/>
    </row>
    <row r="12" spans="1:8" x14ac:dyDescent="0.15">
      <c r="A12">
        <v>11</v>
      </c>
      <c r="B12" s="175" t="s">
        <v>202</v>
      </c>
      <c r="C12" s="109">
        <v>1</v>
      </c>
      <c r="D12" s="109">
        <v>0</v>
      </c>
      <c r="E12" s="108">
        <v>0</v>
      </c>
      <c r="F12" s="108">
        <v>1</v>
      </c>
      <c r="G12"/>
      <c r="H12"/>
    </row>
    <row r="13" spans="1:8" x14ac:dyDescent="0.15">
      <c r="A13">
        <v>12</v>
      </c>
      <c r="B13" s="175" t="s">
        <v>203</v>
      </c>
      <c r="C13" s="109">
        <v>1</v>
      </c>
      <c r="D13" s="109">
        <v>0</v>
      </c>
      <c r="E13" s="108">
        <v>0</v>
      </c>
      <c r="F13" s="108">
        <v>1</v>
      </c>
      <c r="G13"/>
      <c r="H13"/>
    </row>
    <row r="14" spans="1:8" x14ac:dyDescent="0.15">
      <c r="A14">
        <v>13</v>
      </c>
      <c r="B14" s="175" t="s">
        <v>204</v>
      </c>
      <c r="C14" s="109">
        <v>1</v>
      </c>
      <c r="D14" s="109">
        <v>0</v>
      </c>
      <c r="E14" s="108">
        <v>0</v>
      </c>
      <c r="F14" s="108">
        <v>1</v>
      </c>
      <c r="G14"/>
      <c r="H14"/>
    </row>
    <row r="15" spans="1:8" x14ac:dyDescent="0.15">
      <c r="A15">
        <v>14</v>
      </c>
      <c r="B15" s="175" t="s">
        <v>205</v>
      </c>
      <c r="C15" s="109">
        <v>1</v>
      </c>
      <c r="D15" s="109">
        <v>0</v>
      </c>
      <c r="E15" s="108">
        <v>0</v>
      </c>
      <c r="F15" s="108">
        <v>1</v>
      </c>
      <c r="G15"/>
      <c r="H15"/>
    </row>
    <row r="16" spans="1:8" x14ac:dyDescent="0.15">
      <c r="A16">
        <v>15</v>
      </c>
      <c r="B16" s="175" t="s">
        <v>206</v>
      </c>
      <c r="C16" s="109">
        <v>1</v>
      </c>
      <c r="D16" s="109">
        <v>0</v>
      </c>
      <c r="E16" s="108">
        <v>0</v>
      </c>
      <c r="F16" s="108">
        <v>1</v>
      </c>
      <c r="G16"/>
      <c r="H16"/>
    </row>
    <row r="17" spans="1:8" ht="15" customHeight="1" x14ac:dyDescent="0.15">
      <c r="A17">
        <v>16</v>
      </c>
      <c r="B17" s="175" t="s">
        <v>207</v>
      </c>
      <c r="C17" s="109">
        <v>1</v>
      </c>
      <c r="D17" s="109">
        <v>0</v>
      </c>
      <c r="E17" s="108">
        <v>0</v>
      </c>
      <c r="F17" s="108">
        <v>1</v>
      </c>
      <c r="G17"/>
      <c r="H17"/>
    </row>
    <row r="18" spans="1:8" ht="15" customHeight="1" x14ac:dyDescent="0.15">
      <c r="A18">
        <v>17</v>
      </c>
      <c r="B18" s="175" t="s">
        <v>208</v>
      </c>
      <c r="C18" s="109">
        <v>1</v>
      </c>
      <c r="D18" s="109">
        <v>0</v>
      </c>
      <c r="E18" s="108">
        <v>0</v>
      </c>
      <c r="F18" s="108">
        <v>1</v>
      </c>
      <c r="G18"/>
      <c r="H18"/>
    </row>
    <row r="19" spans="1:8" ht="15" customHeight="1" x14ac:dyDescent="0.15">
      <c r="A19">
        <v>18</v>
      </c>
      <c r="B19" s="175" t="s">
        <v>209</v>
      </c>
      <c r="C19" s="109">
        <v>1</v>
      </c>
      <c r="D19" s="109">
        <v>0</v>
      </c>
      <c r="E19" s="108">
        <v>0</v>
      </c>
      <c r="F19" s="108">
        <v>1</v>
      </c>
      <c r="G19"/>
      <c r="H19"/>
    </row>
    <row r="20" spans="1:8" ht="15" customHeight="1" x14ac:dyDescent="0.15">
      <c r="A20">
        <v>19</v>
      </c>
      <c r="B20" s="175" t="s">
        <v>210</v>
      </c>
      <c r="C20" s="109">
        <v>1</v>
      </c>
      <c r="D20" s="109">
        <v>0</v>
      </c>
      <c r="E20" s="108">
        <v>0</v>
      </c>
      <c r="F20" s="108">
        <v>1</v>
      </c>
      <c r="G20"/>
      <c r="H20"/>
    </row>
    <row r="21" spans="1:8" ht="15" customHeight="1" x14ac:dyDescent="0.15">
      <c r="A21">
        <v>20</v>
      </c>
      <c r="B21" s="175" t="s">
        <v>211</v>
      </c>
      <c r="C21" s="109">
        <v>1</v>
      </c>
      <c r="D21" s="109">
        <v>0</v>
      </c>
      <c r="E21" s="108">
        <v>0</v>
      </c>
      <c r="F21" s="108">
        <v>1</v>
      </c>
      <c r="G21"/>
      <c r="H21"/>
    </row>
    <row r="22" spans="1:8" ht="15" customHeight="1" x14ac:dyDescent="0.15">
      <c r="A22">
        <v>21</v>
      </c>
      <c r="B22" s="175" t="s">
        <v>212</v>
      </c>
      <c r="C22" s="109">
        <v>1</v>
      </c>
      <c r="D22" s="109">
        <v>0</v>
      </c>
      <c r="E22" s="108">
        <v>0</v>
      </c>
      <c r="F22" s="108">
        <v>1</v>
      </c>
      <c r="G22"/>
      <c r="H22"/>
    </row>
    <row r="23" spans="1:8" ht="15" customHeight="1" x14ac:dyDescent="0.15">
      <c r="A23">
        <v>22</v>
      </c>
      <c r="B23" s="175" t="s">
        <v>213</v>
      </c>
      <c r="C23" s="109">
        <v>1</v>
      </c>
      <c r="D23" s="109">
        <v>0</v>
      </c>
      <c r="E23" s="108">
        <v>0</v>
      </c>
      <c r="F23" s="108">
        <v>1</v>
      </c>
      <c r="G23"/>
      <c r="H23"/>
    </row>
    <row r="24" spans="1:8" ht="15" customHeight="1" x14ac:dyDescent="0.15">
      <c r="A24">
        <v>23</v>
      </c>
      <c r="B24" s="175" t="s">
        <v>214</v>
      </c>
      <c r="C24" s="109">
        <v>1</v>
      </c>
      <c r="D24" s="109">
        <v>0</v>
      </c>
      <c r="E24" s="108">
        <v>0</v>
      </c>
      <c r="F24" s="108">
        <v>1</v>
      </c>
      <c r="G24"/>
      <c r="H24"/>
    </row>
    <row r="25" spans="1:8" ht="15" customHeight="1" x14ac:dyDescent="0.15">
      <c r="A25">
        <v>24</v>
      </c>
      <c r="B25" s="175" t="s">
        <v>215</v>
      </c>
      <c r="C25" s="109">
        <v>1</v>
      </c>
      <c r="D25" s="109">
        <v>0</v>
      </c>
      <c r="E25" s="108">
        <v>0</v>
      </c>
      <c r="F25" s="108">
        <v>1</v>
      </c>
      <c r="G25"/>
      <c r="H25"/>
    </row>
    <row r="26" spans="1:8" ht="15" customHeight="1" x14ac:dyDescent="0.15">
      <c r="A26">
        <v>25</v>
      </c>
      <c r="B26" s="175" t="s">
        <v>216</v>
      </c>
      <c r="C26" s="109">
        <v>1</v>
      </c>
      <c r="D26" s="109">
        <v>0</v>
      </c>
      <c r="E26" s="108">
        <v>0</v>
      </c>
      <c r="F26" s="108">
        <v>1</v>
      </c>
      <c r="G26"/>
      <c r="H26"/>
    </row>
    <row r="27" spans="1:8" ht="15" customHeight="1" x14ac:dyDescent="0.15">
      <c r="A27">
        <v>26</v>
      </c>
      <c r="B27" s="175" t="s">
        <v>217</v>
      </c>
      <c r="C27" s="109">
        <v>1</v>
      </c>
      <c r="D27" s="109">
        <v>0</v>
      </c>
      <c r="E27" s="108">
        <v>0</v>
      </c>
      <c r="F27" s="108">
        <v>1</v>
      </c>
      <c r="G27"/>
      <c r="H27"/>
    </row>
    <row r="28" spans="1:8" ht="15" customHeight="1" x14ac:dyDescent="0.15">
      <c r="A28">
        <v>27</v>
      </c>
      <c r="B28" s="175" t="s">
        <v>218</v>
      </c>
      <c r="C28" s="109">
        <v>1</v>
      </c>
      <c r="D28" s="109">
        <v>0</v>
      </c>
      <c r="E28" s="108">
        <v>0</v>
      </c>
      <c r="F28" s="108">
        <v>1</v>
      </c>
      <c r="G28"/>
      <c r="H28"/>
    </row>
    <row r="29" spans="1:8" ht="15" customHeight="1" x14ac:dyDescent="0.15">
      <c r="A29">
        <v>28</v>
      </c>
      <c r="B29" s="175" t="s">
        <v>219</v>
      </c>
      <c r="C29" s="109">
        <v>1</v>
      </c>
      <c r="D29" s="109">
        <v>0</v>
      </c>
      <c r="E29" s="108">
        <v>0</v>
      </c>
      <c r="F29" s="108">
        <v>1</v>
      </c>
      <c r="G29"/>
      <c r="H29"/>
    </row>
    <row r="30" spans="1:8" ht="15" customHeight="1" x14ac:dyDescent="0.15">
      <c r="A30">
        <v>29</v>
      </c>
      <c r="B30" s="175" t="s">
        <v>220</v>
      </c>
      <c r="C30" s="109">
        <v>1</v>
      </c>
      <c r="D30" s="109">
        <v>0</v>
      </c>
      <c r="E30" s="108">
        <v>0</v>
      </c>
      <c r="F30" s="108">
        <v>1</v>
      </c>
      <c r="G30"/>
      <c r="H30"/>
    </row>
    <row r="31" spans="1:8" ht="15" customHeight="1" x14ac:dyDescent="0.15">
      <c r="A31">
        <v>30</v>
      </c>
      <c r="B31" s="175" t="s">
        <v>221</v>
      </c>
      <c r="C31" s="109">
        <v>1</v>
      </c>
      <c r="D31" s="109">
        <v>0</v>
      </c>
      <c r="E31" s="108">
        <v>0</v>
      </c>
      <c r="F31" s="108">
        <v>1</v>
      </c>
      <c r="G31"/>
      <c r="H31"/>
    </row>
    <row r="32" spans="1:8" ht="15" customHeight="1" x14ac:dyDescent="0.15">
      <c r="A32">
        <v>31</v>
      </c>
      <c r="B32" s="175" t="s">
        <v>222</v>
      </c>
      <c r="C32" s="109">
        <v>1</v>
      </c>
      <c r="D32" s="109">
        <v>0</v>
      </c>
      <c r="E32" s="108">
        <v>0</v>
      </c>
      <c r="F32" s="108">
        <v>1</v>
      </c>
    </row>
    <row r="33" spans="1:8" ht="15" customHeight="1" x14ac:dyDescent="0.15">
      <c r="A33">
        <v>32</v>
      </c>
      <c r="B33" s="175" t="s">
        <v>223</v>
      </c>
      <c r="C33" s="109">
        <v>0</v>
      </c>
      <c r="D33" s="109">
        <v>1</v>
      </c>
      <c r="E33" s="108">
        <v>0</v>
      </c>
      <c r="F33" s="108">
        <v>1</v>
      </c>
    </row>
    <row r="34" spans="1:8" ht="15" customHeight="1" x14ac:dyDescent="0.15">
      <c r="A34">
        <v>33</v>
      </c>
      <c r="B34" s="175" t="s">
        <v>224</v>
      </c>
      <c r="C34" s="109">
        <v>0</v>
      </c>
      <c r="D34" s="109">
        <v>0</v>
      </c>
      <c r="E34" s="108">
        <v>1</v>
      </c>
      <c r="F34" s="108">
        <v>1</v>
      </c>
    </row>
    <row r="35" spans="1:8" ht="15" customHeight="1" x14ac:dyDescent="0.15">
      <c r="A35">
        <v>34</v>
      </c>
      <c r="B35" s="175" t="s">
        <v>225</v>
      </c>
      <c r="C35" s="109">
        <v>0</v>
      </c>
      <c r="D35" s="109">
        <v>1</v>
      </c>
      <c r="E35" s="108">
        <v>0</v>
      </c>
      <c r="F35" s="108">
        <v>1</v>
      </c>
    </row>
    <row r="36" spans="1:8" ht="15" customHeight="1" x14ac:dyDescent="0.15">
      <c r="C36"/>
      <c r="D36"/>
      <c r="E36" s="109"/>
      <c r="F36" s="109"/>
      <c r="G36"/>
      <c r="H36"/>
    </row>
    <row r="37" spans="1:8" ht="15" customHeight="1" x14ac:dyDescent="0.15">
      <c r="C37"/>
      <c r="D37"/>
      <c r="E37" s="109"/>
      <c r="F37" s="109"/>
      <c r="G37"/>
      <c r="H37"/>
    </row>
    <row r="38" spans="1:8" ht="15" customHeight="1" x14ac:dyDescent="0.15">
      <c r="C38"/>
      <c r="D38"/>
      <c r="E38" s="109"/>
      <c r="F38" s="109"/>
      <c r="G38"/>
      <c r="H38"/>
    </row>
    <row r="39" spans="1:8" ht="15" customHeight="1" x14ac:dyDescent="0.15">
      <c r="C39"/>
      <c r="D39"/>
      <c r="E39" s="109"/>
      <c r="F39" s="109"/>
      <c r="G39"/>
      <c r="H39"/>
    </row>
    <row r="40" spans="1:8" ht="15" customHeight="1" x14ac:dyDescent="0.15">
      <c r="C40"/>
      <c r="D40"/>
      <c r="E40" s="109"/>
      <c r="F40" s="109"/>
      <c r="G40"/>
      <c r="H40"/>
    </row>
    <row r="41" spans="1:8" ht="15" customHeight="1" x14ac:dyDescent="0.15">
      <c r="C41"/>
      <c r="D41"/>
      <c r="E41" s="109"/>
      <c r="F41" s="109"/>
      <c r="G41"/>
      <c r="H41"/>
    </row>
    <row r="42" spans="1:8" ht="15" customHeight="1" x14ac:dyDescent="0.15">
      <c r="C42"/>
      <c r="D42"/>
      <c r="E42" s="109"/>
      <c r="F42" s="109"/>
      <c r="G42"/>
      <c r="H42"/>
    </row>
    <row r="43" spans="1:8" ht="15" customHeight="1" x14ac:dyDescent="0.15">
      <c r="C43"/>
      <c r="D43"/>
      <c r="E43" s="109"/>
      <c r="F43" s="109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9"/>
      <c r="F46" s="109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9" bestFit="1" customWidth="1"/>
    <col min="3" max="4" width="6.83203125" bestFit="1" customWidth="1"/>
    <col min="5" max="5" width="12.1640625" bestFit="1" customWidth="1"/>
  </cols>
  <sheetData>
    <row r="1" spans="1:5" s="110" customFormat="1" ht="112" x14ac:dyDescent="0.15">
      <c r="A1" s="5" t="s">
        <v>21</v>
      </c>
      <c r="B1" s="3" t="s">
        <v>0</v>
      </c>
      <c r="C1" s="178" t="s">
        <v>225</v>
      </c>
      <c r="D1" s="178" t="s">
        <v>229</v>
      </c>
      <c r="E1"/>
    </row>
    <row r="2" spans="1:5" ht="15" customHeight="1" x14ac:dyDescent="0.15">
      <c r="A2">
        <v>1</v>
      </c>
      <c r="B2" s="177" t="s">
        <v>192</v>
      </c>
      <c r="C2">
        <v>4.0000000000000002E-4</v>
      </c>
      <c r="D2">
        <v>4.0000000000000002E-4</v>
      </c>
    </row>
    <row r="3" spans="1:5" ht="15" customHeight="1" x14ac:dyDescent="0.15">
      <c r="A3">
        <v>2</v>
      </c>
      <c r="B3" s="177" t="s">
        <v>193</v>
      </c>
      <c r="C3">
        <v>4.1999999999999997E-3</v>
      </c>
      <c r="D3">
        <v>4.1999999999999997E-3</v>
      </c>
    </row>
    <row r="4" spans="1:5" ht="15" customHeight="1" x14ac:dyDescent="0.15">
      <c r="A4">
        <v>3</v>
      </c>
      <c r="B4" s="177" t="s">
        <v>194</v>
      </c>
      <c r="C4">
        <v>1.0000000000000001E-5</v>
      </c>
      <c r="D4">
        <v>1.0000000000000001E-5</v>
      </c>
    </row>
    <row r="5" spans="1:5" ht="15" customHeight="1" x14ac:dyDescent="0.15">
      <c r="A5">
        <v>4</v>
      </c>
      <c r="B5" s="177" t="s">
        <v>195</v>
      </c>
      <c r="C5">
        <v>6.9999999999999999E-4</v>
      </c>
      <c r="D5">
        <v>6.9999999999999999E-4</v>
      </c>
    </row>
    <row r="6" spans="1:5" ht="15" customHeight="1" x14ac:dyDescent="0.15">
      <c r="A6">
        <v>5</v>
      </c>
      <c r="B6" s="177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77" t="s">
        <v>197</v>
      </c>
      <c r="C7">
        <v>2.9999999999999997E-4</v>
      </c>
      <c r="D7">
        <v>2.9999999999999997E-4</v>
      </c>
    </row>
    <row r="8" spans="1:5" ht="15" customHeight="1" x14ac:dyDescent="0.15">
      <c r="A8">
        <v>7</v>
      </c>
      <c r="B8" s="177" t="s">
        <v>198</v>
      </c>
      <c r="C8">
        <v>0.69399999999999995</v>
      </c>
      <c r="D8">
        <v>0.69399999999999995</v>
      </c>
    </row>
    <row r="9" spans="1:5" ht="15" customHeight="1" x14ac:dyDescent="0.15">
      <c r="A9">
        <v>8</v>
      </c>
      <c r="B9" s="177" t="s">
        <v>199</v>
      </c>
      <c r="C9">
        <v>8.9999999999999998E-4</v>
      </c>
      <c r="D9">
        <v>8.9999999999999998E-4</v>
      </c>
    </row>
    <row r="10" spans="1:5" ht="15" customHeight="1" x14ac:dyDescent="0.15">
      <c r="A10">
        <v>9</v>
      </c>
      <c r="B10" s="177" t="s">
        <v>200</v>
      </c>
      <c r="C10">
        <v>3.95E-2</v>
      </c>
      <c r="D10">
        <v>3.95E-2</v>
      </c>
    </row>
    <row r="11" spans="1:5" ht="15" customHeight="1" x14ac:dyDescent="0.15">
      <c r="A11">
        <v>10</v>
      </c>
      <c r="B11" s="177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77" t="s">
        <v>202</v>
      </c>
      <c r="C12">
        <v>1.83E-2</v>
      </c>
      <c r="D12">
        <v>1.83E-2</v>
      </c>
    </row>
    <row r="13" spans="1:5" ht="15" customHeight="1" x14ac:dyDescent="0.15">
      <c r="A13">
        <v>12</v>
      </c>
      <c r="B13" s="177" t="s">
        <v>203</v>
      </c>
      <c r="C13">
        <v>8.0999999999999996E-3</v>
      </c>
      <c r="D13">
        <v>8.0999999999999996E-3</v>
      </c>
    </row>
    <row r="14" spans="1:5" ht="15" customHeight="1" x14ac:dyDescent="0.15">
      <c r="A14">
        <v>13</v>
      </c>
      <c r="B14" s="177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77" t="s">
        <v>205</v>
      </c>
      <c r="C15">
        <v>0.28999999999999998</v>
      </c>
      <c r="D15">
        <v>0.28999999999999998</v>
      </c>
    </row>
    <row r="16" spans="1:5" ht="15" customHeight="1" x14ac:dyDescent="0.15">
      <c r="A16">
        <v>15</v>
      </c>
      <c r="B16" s="177" t="s">
        <v>206</v>
      </c>
      <c r="C16">
        <v>1.0200000000000001E-2</v>
      </c>
      <c r="D16">
        <v>1.0200000000000001E-2</v>
      </c>
    </row>
    <row r="17" spans="1:4" ht="15" customHeight="1" x14ac:dyDescent="0.15">
      <c r="A17">
        <v>16</v>
      </c>
      <c r="B17" s="177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77" t="s">
        <v>208</v>
      </c>
      <c r="C18">
        <v>2.7199999999999998E-2</v>
      </c>
      <c r="D18">
        <v>2.7199999999999998E-2</v>
      </c>
    </row>
    <row r="19" spans="1:4" ht="15" customHeight="1" x14ac:dyDescent="0.15">
      <c r="A19">
        <v>18</v>
      </c>
      <c r="B19" s="177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77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77" t="s">
        <v>211</v>
      </c>
      <c r="C21">
        <v>1.5E-3</v>
      </c>
      <c r="D21">
        <v>1.5E-3</v>
      </c>
    </row>
    <row r="22" spans="1:4" ht="15" customHeight="1" x14ac:dyDescent="0.15">
      <c r="A22">
        <v>21</v>
      </c>
      <c r="B22" s="177" t="s">
        <v>212</v>
      </c>
      <c r="C22">
        <v>2.35E-2</v>
      </c>
      <c r="D22">
        <v>2.35E-2</v>
      </c>
    </row>
    <row r="23" spans="1:4" ht="15" customHeight="1" x14ac:dyDescent="0.15">
      <c r="A23">
        <v>22</v>
      </c>
      <c r="B23" s="177" t="s">
        <v>213</v>
      </c>
      <c r="C23">
        <v>0.21099999999999999</v>
      </c>
      <c r="D23">
        <v>0.21099999999999999</v>
      </c>
    </row>
    <row r="24" spans="1:4" ht="15" customHeight="1" x14ac:dyDescent="0.15">
      <c r="A24">
        <v>23</v>
      </c>
      <c r="B24" s="177" t="s">
        <v>214</v>
      </c>
      <c r="C24">
        <v>8.3099999999999993E-2</v>
      </c>
      <c r="D24">
        <v>8.3099999999999993E-2</v>
      </c>
    </row>
    <row r="25" spans="1:4" ht="15" customHeight="1" x14ac:dyDescent="0.15">
      <c r="A25">
        <v>24</v>
      </c>
      <c r="B25" s="177" t="s">
        <v>215</v>
      </c>
      <c r="C25">
        <v>4.2200000000000001E-2</v>
      </c>
      <c r="D25">
        <v>4.2200000000000001E-2</v>
      </c>
    </row>
    <row r="26" spans="1:4" ht="15" customHeight="1" x14ac:dyDescent="0.15">
      <c r="A26">
        <v>25</v>
      </c>
      <c r="B26" s="177" t="s">
        <v>216</v>
      </c>
      <c r="C26">
        <v>0</v>
      </c>
      <c r="D26">
        <v>0</v>
      </c>
    </row>
    <row r="27" spans="1:4" ht="15" customHeight="1" x14ac:dyDescent="0.15">
      <c r="A27">
        <v>26</v>
      </c>
      <c r="B27" s="177" t="s">
        <v>217</v>
      </c>
      <c r="C27">
        <v>3.4500000000000003E-2</v>
      </c>
      <c r="D27">
        <v>3.4500000000000003E-2</v>
      </c>
    </row>
    <row r="28" spans="1:4" ht="15" customHeight="1" x14ac:dyDescent="0.15">
      <c r="A28">
        <v>27</v>
      </c>
      <c r="B28" s="177" t="s">
        <v>218</v>
      </c>
      <c r="C28">
        <v>0</v>
      </c>
      <c r="D28">
        <v>0</v>
      </c>
    </row>
    <row r="29" spans="1:4" ht="15" customHeight="1" x14ac:dyDescent="0.15">
      <c r="A29">
        <v>28</v>
      </c>
      <c r="B29" s="177" t="s">
        <v>219</v>
      </c>
      <c r="C29">
        <v>0</v>
      </c>
      <c r="D29">
        <v>0</v>
      </c>
    </row>
    <row r="30" spans="1:4" ht="15" customHeight="1" x14ac:dyDescent="0.15">
      <c r="A30">
        <v>29</v>
      </c>
      <c r="B30" s="177" t="s">
        <v>220</v>
      </c>
      <c r="C30">
        <v>0</v>
      </c>
      <c r="D30">
        <v>0</v>
      </c>
    </row>
    <row r="31" spans="1:4" ht="15" customHeight="1" x14ac:dyDescent="0.15">
      <c r="A31">
        <v>30</v>
      </c>
      <c r="B31" s="177" t="s">
        <v>221</v>
      </c>
      <c r="C31">
        <v>0</v>
      </c>
      <c r="D31">
        <v>0</v>
      </c>
    </row>
    <row r="32" spans="1:4" ht="15" customHeight="1" x14ac:dyDescent="0.15">
      <c r="A32">
        <v>31</v>
      </c>
      <c r="B32" s="177" t="s">
        <v>222</v>
      </c>
      <c r="C32">
        <v>0</v>
      </c>
      <c r="D32">
        <v>0</v>
      </c>
    </row>
    <row r="33" spans="1:4" ht="15" customHeight="1" x14ac:dyDescent="0.15">
      <c r="A33">
        <v>32</v>
      </c>
      <c r="B33" s="177" t="s">
        <v>223</v>
      </c>
      <c r="C33">
        <v>0</v>
      </c>
      <c r="D33">
        <v>0</v>
      </c>
    </row>
    <row r="34" spans="1:4" ht="15" customHeight="1" x14ac:dyDescent="0.15">
      <c r="A34">
        <v>33</v>
      </c>
      <c r="B34" s="177" t="s">
        <v>224</v>
      </c>
      <c r="C34">
        <v>0</v>
      </c>
      <c r="D34">
        <v>0</v>
      </c>
    </row>
    <row r="35" spans="1:4" ht="15" customHeight="1" x14ac:dyDescent="0.15"/>
    <row r="36" spans="1:4" ht="15" customHeight="1" x14ac:dyDescent="0.15"/>
    <row r="37" spans="1:4" ht="15" customHeight="1" x14ac:dyDescent="0.15"/>
    <row r="38" spans="1:4" ht="15" customHeight="1" x14ac:dyDescent="0.15"/>
    <row r="39" spans="1:4" ht="15" customHeight="1" x14ac:dyDescent="0.15"/>
    <row r="40" spans="1:4" ht="15" customHeight="1" x14ac:dyDescent="0.15"/>
    <row r="41" spans="1:4" ht="15" customHeight="1" x14ac:dyDescent="0.15"/>
    <row r="42" spans="1:4" ht="15" customHeight="1" x14ac:dyDescent="0.15"/>
    <row r="43" spans="1:4" ht="15" customHeight="1" x14ac:dyDescent="0.15"/>
    <row r="44" spans="1:4" ht="15" customHeight="1" x14ac:dyDescent="0.15"/>
    <row r="45" spans="1:4" ht="15" customHeight="1" x14ac:dyDescent="0.15"/>
    <row r="46" spans="1:4" ht="15" customHeight="1" x14ac:dyDescent="0.15"/>
    <row r="47" spans="1:4" ht="15" customHeight="1" x14ac:dyDescent="0.15"/>
    <row r="48" spans="1: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3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9" bestFit="1" customWidth="1"/>
    <col min="3" max="4" width="2.33203125" bestFit="1" customWidth="1"/>
    <col min="5" max="5" width="12.1640625" bestFit="1" customWidth="1"/>
  </cols>
  <sheetData>
    <row r="1" spans="1:4" s="110" customFormat="1" ht="112" x14ac:dyDescent="0.15">
      <c r="A1" s="5" t="s">
        <v>22</v>
      </c>
      <c r="B1" s="3" t="s">
        <v>0</v>
      </c>
      <c r="C1" s="180" t="s">
        <v>225</v>
      </c>
      <c r="D1" s="180" t="s">
        <v>229</v>
      </c>
    </row>
    <row r="2" spans="1:4" x14ac:dyDescent="0.15">
      <c r="A2">
        <v>1</v>
      </c>
      <c r="B2" s="179" t="s">
        <v>192</v>
      </c>
      <c r="C2">
        <v>0</v>
      </c>
      <c r="D2">
        <v>0</v>
      </c>
    </row>
    <row r="3" spans="1:4" x14ac:dyDescent="0.15">
      <c r="A3">
        <v>2</v>
      </c>
      <c r="B3" s="179" t="s">
        <v>193</v>
      </c>
      <c r="C3">
        <v>0</v>
      </c>
      <c r="D3">
        <v>0</v>
      </c>
    </row>
    <row r="4" spans="1:4" x14ac:dyDescent="0.15">
      <c r="A4">
        <v>3</v>
      </c>
      <c r="B4" s="179" t="s">
        <v>194</v>
      </c>
      <c r="C4">
        <v>0</v>
      </c>
      <c r="D4">
        <v>0</v>
      </c>
    </row>
    <row r="5" spans="1:4" x14ac:dyDescent="0.15">
      <c r="A5">
        <v>4</v>
      </c>
      <c r="B5" s="179" t="s">
        <v>195</v>
      </c>
      <c r="C5">
        <v>0</v>
      </c>
      <c r="D5">
        <v>0</v>
      </c>
    </row>
    <row r="6" spans="1:4" x14ac:dyDescent="0.15">
      <c r="A6">
        <v>5</v>
      </c>
      <c r="B6" s="179" t="s">
        <v>196</v>
      </c>
      <c r="C6">
        <v>0</v>
      </c>
      <c r="D6">
        <v>0</v>
      </c>
    </row>
    <row r="7" spans="1:4" x14ac:dyDescent="0.15">
      <c r="A7">
        <v>6</v>
      </c>
      <c r="B7" s="179" t="s">
        <v>197</v>
      </c>
      <c r="C7">
        <v>0</v>
      </c>
      <c r="D7">
        <v>0</v>
      </c>
    </row>
    <row r="8" spans="1:4" x14ac:dyDescent="0.15">
      <c r="A8">
        <v>7</v>
      </c>
      <c r="B8" s="179" t="s">
        <v>198</v>
      </c>
      <c r="C8">
        <v>0</v>
      </c>
      <c r="D8">
        <v>0</v>
      </c>
    </row>
    <row r="9" spans="1:4" x14ac:dyDescent="0.15">
      <c r="A9">
        <v>8</v>
      </c>
      <c r="B9" s="179" t="s">
        <v>199</v>
      </c>
      <c r="C9">
        <v>0</v>
      </c>
      <c r="D9">
        <v>0</v>
      </c>
    </row>
    <row r="10" spans="1:4" x14ac:dyDescent="0.15">
      <c r="A10">
        <v>9</v>
      </c>
      <c r="B10" s="179" t="s">
        <v>200</v>
      </c>
      <c r="C10">
        <v>0</v>
      </c>
      <c r="D10">
        <v>0</v>
      </c>
    </row>
    <row r="11" spans="1:4" x14ac:dyDescent="0.15">
      <c r="A11">
        <v>10</v>
      </c>
      <c r="B11" s="179" t="s">
        <v>201</v>
      </c>
      <c r="C11">
        <v>0</v>
      </c>
      <c r="D11">
        <v>0</v>
      </c>
    </row>
    <row r="12" spans="1:4" x14ac:dyDescent="0.15">
      <c r="A12">
        <v>11</v>
      </c>
      <c r="B12" s="179" t="s">
        <v>202</v>
      </c>
      <c r="C12">
        <v>0</v>
      </c>
      <c r="D12">
        <v>0</v>
      </c>
    </row>
    <row r="13" spans="1:4" x14ac:dyDescent="0.15">
      <c r="A13">
        <v>12</v>
      </c>
      <c r="B13" s="179" t="s">
        <v>203</v>
      </c>
      <c r="C13">
        <v>0</v>
      </c>
      <c r="D13">
        <v>0</v>
      </c>
    </row>
    <row r="14" spans="1:4" x14ac:dyDescent="0.15">
      <c r="A14">
        <v>13</v>
      </c>
      <c r="B14" s="179" t="s">
        <v>204</v>
      </c>
      <c r="C14">
        <v>0</v>
      </c>
      <c r="D14">
        <v>0</v>
      </c>
    </row>
    <row r="15" spans="1:4" x14ac:dyDescent="0.15">
      <c r="A15">
        <v>14</v>
      </c>
      <c r="B15" s="179" t="s">
        <v>205</v>
      </c>
      <c r="C15">
        <v>0</v>
      </c>
      <c r="D15">
        <v>0</v>
      </c>
    </row>
    <row r="16" spans="1:4" x14ac:dyDescent="0.15">
      <c r="A16">
        <v>15</v>
      </c>
      <c r="B16" s="179" t="s">
        <v>206</v>
      </c>
      <c r="C16">
        <v>0</v>
      </c>
      <c r="D16">
        <v>0</v>
      </c>
    </row>
    <row r="17" spans="1:4" x14ac:dyDescent="0.15">
      <c r="A17">
        <v>16</v>
      </c>
      <c r="B17" s="179" t="s">
        <v>207</v>
      </c>
      <c r="C17">
        <v>0</v>
      </c>
      <c r="D17">
        <v>0</v>
      </c>
    </row>
    <row r="18" spans="1:4" x14ac:dyDescent="0.15">
      <c r="A18">
        <v>17</v>
      </c>
      <c r="B18" s="179" t="s">
        <v>208</v>
      </c>
      <c r="C18">
        <v>0</v>
      </c>
      <c r="D18">
        <v>0</v>
      </c>
    </row>
    <row r="19" spans="1:4" x14ac:dyDescent="0.15">
      <c r="A19">
        <v>18</v>
      </c>
      <c r="B19" s="179" t="s">
        <v>209</v>
      </c>
      <c r="C19">
        <v>0</v>
      </c>
      <c r="D19">
        <v>0</v>
      </c>
    </row>
    <row r="20" spans="1:4" x14ac:dyDescent="0.15">
      <c r="A20">
        <v>19</v>
      </c>
      <c r="B20" s="179" t="s">
        <v>210</v>
      </c>
      <c r="C20">
        <v>0</v>
      </c>
      <c r="D20">
        <v>0</v>
      </c>
    </row>
    <row r="21" spans="1:4" x14ac:dyDescent="0.15">
      <c r="A21">
        <v>20</v>
      </c>
      <c r="B21" s="179" t="s">
        <v>211</v>
      </c>
      <c r="C21">
        <v>0</v>
      </c>
      <c r="D21">
        <v>0</v>
      </c>
    </row>
    <row r="22" spans="1:4" x14ac:dyDescent="0.15">
      <c r="A22">
        <v>21</v>
      </c>
      <c r="B22" s="179" t="s">
        <v>212</v>
      </c>
      <c r="C22">
        <v>0</v>
      </c>
      <c r="D22">
        <v>0</v>
      </c>
    </row>
    <row r="23" spans="1:4" x14ac:dyDescent="0.15">
      <c r="A23">
        <v>22</v>
      </c>
      <c r="B23" s="179" t="s">
        <v>213</v>
      </c>
      <c r="C23">
        <v>0</v>
      </c>
      <c r="D23">
        <v>0</v>
      </c>
    </row>
    <row r="24" spans="1:4" x14ac:dyDescent="0.15">
      <c r="A24">
        <v>23</v>
      </c>
      <c r="B24" s="179" t="s">
        <v>214</v>
      </c>
      <c r="C24">
        <v>0</v>
      </c>
      <c r="D24">
        <v>0</v>
      </c>
    </row>
    <row r="25" spans="1:4" x14ac:dyDescent="0.15">
      <c r="A25">
        <v>24</v>
      </c>
      <c r="B25" s="179" t="s">
        <v>215</v>
      </c>
      <c r="C25">
        <v>0</v>
      </c>
      <c r="D25">
        <v>0</v>
      </c>
    </row>
    <row r="26" spans="1:4" x14ac:dyDescent="0.15">
      <c r="A26">
        <v>25</v>
      </c>
      <c r="B26" s="179" t="s">
        <v>216</v>
      </c>
      <c r="C26">
        <v>0</v>
      </c>
      <c r="D26">
        <v>0</v>
      </c>
    </row>
    <row r="27" spans="1:4" x14ac:dyDescent="0.15">
      <c r="A27">
        <v>26</v>
      </c>
      <c r="B27" s="179" t="s">
        <v>217</v>
      </c>
      <c r="C27">
        <v>0</v>
      </c>
      <c r="D27">
        <v>0</v>
      </c>
    </row>
    <row r="28" spans="1:4" x14ac:dyDescent="0.15">
      <c r="A28">
        <v>27</v>
      </c>
      <c r="B28" s="179" t="s">
        <v>218</v>
      </c>
      <c r="C28">
        <v>0</v>
      </c>
      <c r="D28">
        <v>0</v>
      </c>
    </row>
    <row r="29" spans="1:4" x14ac:dyDescent="0.15">
      <c r="A29">
        <v>28</v>
      </c>
      <c r="B29" s="179" t="s">
        <v>219</v>
      </c>
      <c r="C29">
        <v>0</v>
      </c>
      <c r="D29">
        <v>0</v>
      </c>
    </row>
    <row r="30" spans="1:4" x14ac:dyDescent="0.15">
      <c r="A30">
        <v>29</v>
      </c>
      <c r="B30" s="179" t="s">
        <v>220</v>
      </c>
      <c r="C30">
        <v>0</v>
      </c>
      <c r="D30">
        <v>0</v>
      </c>
    </row>
    <row r="31" spans="1:4" x14ac:dyDescent="0.15">
      <c r="A31">
        <v>30</v>
      </c>
      <c r="B31" s="179" t="s">
        <v>221</v>
      </c>
      <c r="C31">
        <v>0</v>
      </c>
      <c r="D31">
        <v>0</v>
      </c>
    </row>
    <row r="32" spans="1:4" x14ac:dyDescent="0.15">
      <c r="A32">
        <v>31</v>
      </c>
      <c r="B32" s="179" t="s">
        <v>222</v>
      </c>
      <c r="C32">
        <v>0</v>
      </c>
      <c r="D32">
        <v>0</v>
      </c>
    </row>
    <row r="33" spans="1:4" x14ac:dyDescent="0.15">
      <c r="A33">
        <v>32</v>
      </c>
      <c r="B33" s="179" t="s">
        <v>223</v>
      </c>
      <c r="C33">
        <v>0</v>
      </c>
      <c r="D33">
        <v>0</v>
      </c>
    </row>
    <row r="34" spans="1:4" x14ac:dyDescent="0.15">
      <c r="A34">
        <v>33</v>
      </c>
      <c r="B34" s="179" t="s">
        <v>224</v>
      </c>
      <c r="C34">
        <v>0</v>
      </c>
      <c r="D34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9" bestFit="1" customWidth="1"/>
    <col min="6" max="6" width="4.83203125" bestFit="1" customWidth="1"/>
    <col min="7" max="9" width="3.83203125" bestFit="1" customWidth="1"/>
    <col min="10" max="11" width="4.83203125" style="109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1" customFormat="1" ht="14" thickBot="1" x14ac:dyDescent="0.2">
      <c r="D1" s="112" t="s">
        <v>8</v>
      </c>
      <c r="E1" s="112" t="s">
        <v>0</v>
      </c>
      <c r="F1" s="113" t="s">
        <v>99</v>
      </c>
      <c r="G1" s="114" t="s">
        <v>84</v>
      </c>
      <c r="H1" s="114" t="s">
        <v>85</v>
      </c>
      <c r="I1" s="114" t="s">
        <v>86</v>
      </c>
      <c r="J1" s="114" t="s">
        <v>87</v>
      </c>
      <c r="K1" s="114" t="s">
        <v>88</v>
      </c>
      <c r="L1" s="115" t="s">
        <v>89</v>
      </c>
      <c r="M1" s="115" t="s">
        <v>93</v>
      </c>
      <c r="N1" s="115" t="s">
        <v>92</v>
      </c>
      <c r="O1" s="115" t="s">
        <v>90</v>
      </c>
      <c r="P1" s="115" t="s">
        <v>91</v>
      </c>
      <c r="Q1" s="116" t="s">
        <v>94</v>
      </c>
      <c r="R1" s="116" t="s">
        <v>95</v>
      </c>
      <c r="S1" s="116" t="s">
        <v>96</v>
      </c>
      <c r="T1" s="116" t="s">
        <v>97</v>
      </c>
      <c r="U1" s="116" t="s">
        <v>98</v>
      </c>
      <c r="V1" s="114" t="s">
        <v>100</v>
      </c>
      <c r="W1" s="114" t="s">
        <v>101</v>
      </c>
      <c r="X1" s="114" t="s">
        <v>102</v>
      </c>
      <c r="Y1" s="114" t="s">
        <v>134</v>
      </c>
      <c r="Z1" s="115" t="s">
        <v>103</v>
      </c>
      <c r="AA1" s="115" t="s">
        <v>104</v>
      </c>
      <c r="AB1" s="115" t="s">
        <v>105</v>
      </c>
      <c r="AC1" s="117" t="s">
        <v>135</v>
      </c>
      <c r="AD1" s="116" t="s">
        <v>106</v>
      </c>
      <c r="AE1" s="116" t="s">
        <v>107</v>
      </c>
      <c r="AF1" s="116" t="s">
        <v>108</v>
      </c>
      <c r="AG1" s="116" t="s">
        <v>136</v>
      </c>
      <c r="AH1" s="114" t="s">
        <v>109</v>
      </c>
      <c r="AI1" s="114" t="s">
        <v>111</v>
      </c>
      <c r="AJ1" s="114" t="s">
        <v>110</v>
      </c>
      <c r="AK1" s="115" t="s">
        <v>115</v>
      </c>
      <c r="AL1" s="115" t="s">
        <v>116</v>
      </c>
      <c r="AM1" s="115" t="s">
        <v>117</v>
      </c>
      <c r="AN1" s="116" t="s">
        <v>112</v>
      </c>
      <c r="AO1" s="116" t="s">
        <v>113</v>
      </c>
      <c r="AP1" s="116" t="s">
        <v>114</v>
      </c>
    </row>
    <row r="2" spans="1:42" x14ac:dyDescent="0.15">
      <c r="A2" s="118" t="s">
        <v>74</v>
      </c>
      <c r="B2" s="119">
        <v>1</v>
      </c>
      <c r="D2">
        <v>1</v>
      </c>
      <c r="E2" s="181" t="s">
        <v>192</v>
      </c>
      <c r="F2">
        <v>0.98</v>
      </c>
      <c r="G2">
        <v>0.8</v>
      </c>
      <c r="H2">
        <v>0.8</v>
      </c>
      <c r="I2">
        <v>0.8</v>
      </c>
      <c r="J2" s="109">
        <v>0.25</v>
      </c>
      <c r="K2" s="109">
        <v>0.05</v>
      </c>
    </row>
    <row r="3" spans="1:42" x14ac:dyDescent="0.15">
      <c r="A3" s="118" t="s">
        <v>75</v>
      </c>
      <c r="B3" s="120">
        <v>1</v>
      </c>
      <c r="D3">
        <v>2</v>
      </c>
      <c r="E3" s="181" t="s">
        <v>193</v>
      </c>
      <c r="F3">
        <v>0.98</v>
      </c>
      <c r="G3">
        <v>0.8</v>
      </c>
      <c r="H3">
        <v>0.8</v>
      </c>
      <c r="I3">
        <v>0.8</v>
      </c>
      <c r="J3" s="109">
        <v>0.25</v>
      </c>
      <c r="K3" s="109">
        <v>0.05</v>
      </c>
    </row>
    <row r="4" spans="1:42" x14ac:dyDescent="0.15">
      <c r="A4" s="118" t="s">
        <v>76</v>
      </c>
      <c r="B4" s="120">
        <v>1</v>
      </c>
      <c r="D4">
        <v>3</v>
      </c>
      <c r="E4" s="181" t="s">
        <v>194</v>
      </c>
      <c r="F4">
        <v>0.98</v>
      </c>
      <c r="G4">
        <v>0.8</v>
      </c>
      <c r="H4">
        <v>0.8</v>
      </c>
      <c r="I4">
        <v>0.8</v>
      </c>
      <c r="J4" s="109">
        <v>0.25</v>
      </c>
      <c r="K4" s="109">
        <v>0.05</v>
      </c>
    </row>
    <row r="5" spans="1:42" x14ac:dyDescent="0.15">
      <c r="A5" s="118" t="s">
        <v>77</v>
      </c>
      <c r="B5" s="120">
        <v>1</v>
      </c>
      <c r="D5">
        <v>4</v>
      </c>
      <c r="E5" s="181" t="s">
        <v>195</v>
      </c>
      <c r="F5">
        <v>0.98</v>
      </c>
      <c r="G5">
        <v>0.8</v>
      </c>
      <c r="H5">
        <v>0.8</v>
      </c>
      <c r="I5">
        <v>0.8</v>
      </c>
      <c r="J5" s="109">
        <v>0.25</v>
      </c>
      <c r="K5" s="109">
        <v>0.05</v>
      </c>
    </row>
    <row r="6" spans="1:42" x14ac:dyDescent="0.15">
      <c r="A6" s="118" t="s">
        <v>78</v>
      </c>
      <c r="B6" s="120">
        <v>1</v>
      </c>
      <c r="D6">
        <v>5</v>
      </c>
      <c r="E6" s="181" t="s">
        <v>196</v>
      </c>
      <c r="F6">
        <v>0.98</v>
      </c>
      <c r="G6">
        <v>0.8</v>
      </c>
      <c r="H6">
        <v>0.8</v>
      </c>
      <c r="I6">
        <v>0.8</v>
      </c>
      <c r="J6" s="109">
        <v>0.25</v>
      </c>
      <c r="K6" s="109">
        <v>0.05</v>
      </c>
    </row>
    <row r="7" spans="1:42" x14ac:dyDescent="0.15">
      <c r="A7" s="118" t="s">
        <v>79</v>
      </c>
      <c r="B7" s="120">
        <v>1</v>
      </c>
      <c r="D7">
        <v>6</v>
      </c>
      <c r="E7" s="181" t="s">
        <v>197</v>
      </c>
      <c r="F7">
        <v>0.98</v>
      </c>
      <c r="G7">
        <v>0.8</v>
      </c>
      <c r="H7">
        <v>0.8</v>
      </c>
      <c r="I7">
        <v>0.8</v>
      </c>
      <c r="J7" s="109">
        <v>0.25</v>
      </c>
      <c r="K7" s="109">
        <v>0.05</v>
      </c>
    </row>
    <row r="8" spans="1:42" x14ac:dyDescent="0.15">
      <c r="A8" s="118" t="s">
        <v>80</v>
      </c>
      <c r="B8" s="120">
        <v>1</v>
      </c>
      <c r="D8">
        <v>7</v>
      </c>
      <c r="E8" s="181" t="s">
        <v>198</v>
      </c>
      <c r="F8">
        <v>0.98</v>
      </c>
      <c r="G8">
        <v>0.8</v>
      </c>
      <c r="H8">
        <v>0.8</v>
      </c>
      <c r="I8">
        <v>0.8</v>
      </c>
      <c r="J8" s="109">
        <v>0.25</v>
      </c>
      <c r="K8" s="109">
        <v>0.05</v>
      </c>
    </row>
    <row r="9" spans="1:42" x14ac:dyDescent="0.15">
      <c r="A9" s="118" t="s">
        <v>81</v>
      </c>
      <c r="B9" s="120">
        <v>0.1</v>
      </c>
      <c r="C9" s="61" t="s">
        <v>150</v>
      </c>
      <c r="D9">
        <v>8</v>
      </c>
      <c r="E9" s="181" t="s">
        <v>199</v>
      </c>
      <c r="F9">
        <v>0.98</v>
      </c>
      <c r="G9">
        <v>0.8</v>
      </c>
      <c r="H9">
        <v>0.8</v>
      </c>
      <c r="I9">
        <v>0.8</v>
      </c>
      <c r="J9" s="109">
        <v>0.25</v>
      </c>
      <c r="K9" s="109">
        <v>0.05</v>
      </c>
    </row>
    <row r="10" spans="1:42" ht="14" thickBot="1" x14ac:dyDescent="0.2">
      <c r="A10" s="118" t="s">
        <v>149</v>
      </c>
      <c r="B10" s="121">
        <f>1/3</f>
        <v>0.33333333333333331</v>
      </c>
      <c r="C10" s="61" t="s">
        <v>150</v>
      </c>
      <c r="D10">
        <v>9</v>
      </c>
      <c r="E10" s="181" t="s">
        <v>200</v>
      </c>
      <c r="F10">
        <v>0.98</v>
      </c>
      <c r="G10">
        <v>0.8</v>
      </c>
      <c r="H10">
        <v>0.8</v>
      </c>
      <c r="I10">
        <v>0.8</v>
      </c>
      <c r="J10" s="109">
        <v>0.25</v>
      </c>
      <c r="K10" s="109">
        <v>0.05</v>
      </c>
    </row>
    <row r="11" spans="1:42" x14ac:dyDescent="0.15">
      <c r="D11">
        <v>10</v>
      </c>
      <c r="E11" s="181" t="s">
        <v>201</v>
      </c>
      <c r="F11">
        <v>0.98</v>
      </c>
      <c r="G11">
        <v>0.8</v>
      </c>
      <c r="H11">
        <v>0.8</v>
      </c>
      <c r="I11">
        <v>0.8</v>
      </c>
      <c r="J11" s="109">
        <v>0.25</v>
      </c>
      <c r="K11" s="109">
        <v>0.05</v>
      </c>
    </row>
    <row r="12" spans="1:42" x14ac:dyDescent="0.15">
      <c r="D12">
        <v>11</v>
      </c>
      <c r="E12" s="181" t="s">
        <v>202</v>
      </c>
      <c r="F12">
        <v>0.98</v>
      </c>
      <c r="G12">
        <v>0.8</v>
      </c>
      <c r="H12">
        <v>0.8</v>
      </c>
      <c r="I12">
        <v>0.8</v>
      </c>
      <c r="J12" s="109">
        <v>0.25</v>
      </c>
      <c r="K12" s="109">
        <v>0.05</v>
      </c>
    </row>
    <row r="13" spans="1:42" x14ac:dyDescent="0.15">
      <c r="D13">
        <v>12</v>
      </c>
      <c r="E13" s="181" t="s">
        <v>203</v>
      </c>
      <c r="F13">
        <v>0.98</v>
      </c>
      <c r="G13">
        <v>0.8</v>
      </c>
      <c r="H13">
        <v>0.8</v>
      </c>
      <c r="I13">
        <v>0.8</v>
      </c>
      <c r="J13" s="109">
        <v>0.25</v>
      </c>
      <c r="K13" s="109">
        <v>0.05</v>
      </c>
    </row>
    <row r="14" spans="1:42" x14ac:dyDescent="0.15">
      <c r="D14">
        <v>13</v>
      </c>
      <c r="E14" s="181" t="s">
        <v>204</v>
      </c>
      <c r="F14">
        <v>0.98</v>
      </c>
      <c r="G14">
        <v>0.8</v>
      </c>
      <c r="H14">
        <v>0.8</v>
      </c>
      <c r="I14">
        <v>0.8</v>
      </c>
      <c r="J14" s="109">
        <v>0.25</v>
      </c>
      <c r="K14" s="109">
        <v>0.05</v>
      </c>
    </row>
    <row r="15" spans="1:42" x14ac:dyDescent="0.15">
      <c r="D15">
        <v>14</v>
      </c>
      <c r="E15" s="181" t="s">
        <v>205</v>
      </c>
      <c r="F15">
        <v>0.98</v>
      </c>
      <c r="G15">
        <v>0.8</v>
      </c>
      <c r="H15">
        <v>0.8</v>
      </c>
      <c r="I15">
        <v>0.8</v>
      </c>
      <c r="J15" s="109">
        <v>0.25</v>
      </c>
      <c r="K15" s="109">
        <v>0.05</v>
      </c>
    </row>
    <row r="16" spans="1:42" x14ac:dyDescent="0.15">
      <c r="D16">
        <v>15</v>
      </c>
      <c r="E16" s="181" t="s">
        <v>206</v>
      </c>
      <c r="F16">
        <v>0.98</v>
      </c>
      <c r="G16">
        <v>0.8</v>
      </c>
      <c r="H16">
        <v>0.8</v>
      </c>
      <c r="I16">
        <v>0.8</v>
      </c>
      <c r="J16" s="109">
        <v>0.25</v>
      </c>
      <c r="K16" s="109">
        <v>0.05</v>
      </c>
    </row>
    <row r="17" spans="4:33" ht="15" customHeight="1" x14ac:dyDescent="0.15">
      <c r="D17">
        <v>16</v>
      </c>
      <c r="E17" s="181" t="s">
        <v>207</v>
      </c>
      <c r="F17">
        <v>0.98</v>
      </c>
      <c r="G17">
        <v>0.8</v>
      </c>
      <c r="H17">
        <v>0.8</v>
      </c>
      <c r="I17">
        <v>0.8</v>
      </c>
      <c r="J17" s="109">
        <v>0.25</v>
      </c>
      <c r="K17" s="109">
        <v>0.05</v>
      </c>
    </row>
    <row r="18" spans="4:33" ht="15" customHeight="1" x14ac:dyDescent="0.15">
      <c r="D18">
        <v>17</v>
      </c>
      <c r="E18" s="181" t="s">
        <v>208</v>
      </c>
      <c r="F18">
        <v>0.98</v>
      </c>
      <c r="G18">
        <v>0.8</v>
      </c>
      <c r="H18">
        <v>0.8</v>
      </c>
      <c r="I18">
        <v>0.8</v>
      </c>
      <c r="J18" s="109">
        <v>0.25</v>
      </c>
      <c r="K18" s="109">
        <v>0.05</v>
      </c>
    </row>
    <row r="19" spans="4:33" ht="15" customHeight="1" x14ac:dyDescent="0.15">
      <c r="D19">
        <v>18</v>
      </c>
      <c r="E19" s="181" t="s">
        <v>209</v>
      </c>
      <c r="F19">
        <v>0.98</v>
      </c>
      <c r="G19">
        <v>0.8</v>
      </c>
      <c r="H19">
        <v>0.8</v>
      </c>
      <c r="I19">
        <v>0.8</v>
      </c>
      <c r="J19" s="109">
        <v>0.25</v>
      </c>
      <c r="K19" s="109">
        <v>0.05</v>
      </c>
    </row>
    <row r="20" spans="4:33" ht="15" customHeight="1" x14ac:dyDescent="0.15">
      <c r="D20">
        <v>19</v>
      </c>
      <c r="E20" s="181" t="s">
        <v>210</v>
      </c>
      <c r="F20">
        <v>0.98</v>
      </c>
      <c r="G20">
        <v>0.8</v>
      </c>
      <c r="H20">
        <v>0.8</v>
      </c>
      <c r="I20">
        <v>0.8</v>
      </c>
      <c r="J20" s="109">
        <v>0.25</v>
      </c>
      <c r="K20" s="109">
        <v>0.05</v>
      </c>
    </row>
    <row r="21" spans="4:33" ht="15" customHeight="1" x14ac:dyDescent="0.15">
      <c r="D21">
        <v>20</v>
      </c>
      <c r="E21" s="181" t="s">
        <v>211</v>
      </c>
      <c r="F21">
        <v>0.98</v>
      </c>
      <c r="G21">
        <v>0.8</v>
      </c>
      <c r="H21">
        <v>0.8</v>
      </c>
      <c r="I21">
        <v>0.8</v>
      </c>
      <c r="J21" s="109">
        <v>0.25</v>
      </c>
      <c r="K21" s="109">
        <v>0.05</v>
      </c>
    </row>
    <row r="22" spans="4:33" ht="15" customHeight="1" x14ac:dyDescent="0.15">
      <c r="D22">
        <v>21</v>
      </c>
      <c r="E22" s="181" t="s">
        <v>212</v>
      </c>
      <c r="F22">
        <v>0.98</v>
      </c>
      <c r="G22">
        <v>0.8</v>
      </c>
      <c r="H22">
        <v>0.8</v>
      </c>
      <c r="I22">
        <v>0.8</v>
      </c>
      <c r="J22" s="109">
        <v>0.25</v>
      </c>
      <c r="K22" s="109">
        <v>0.05</v>
      </c>
    </row>
    <row r="23" spans="4:33" ht="15" customHeight="1" x14ac:dyDescent="0.15">
      <c r="D23">
        <v>22</v>
      </c>
      <c r="E23" s="181" t="s">
        <v>213</v>
      </c>
      <c r="F23">
        <v>0.98</v>
      </c>
      <c r="G23">
        <v>0.8</v>
      </c>
      <c r="H23">
        <v>0.8</v>
      </c>
      <c r="I23">
        <v>0.8</v>
      </c>
      <c r="J23" s="109">
        <v>0.25</v>
      </c>
      <c r="K23" s="109">
        <v>0.05</v>
      </c>
    </row>
    <row r="24" spans="4:33" ht="15" customHeight="1" x14ac:dyDescent="0.15">
      <c r="D24">
        <v>23</v>
      </c>
      <c r="E24" s="181" t="s">
        <v>214</v>
      </c>
      <c r="F24">
        <v>0.98</v>
      </c>
      <c r="G24">
        <v>0.8</v>
      </c>
      <c r="H24">
        <v>0.8</v>
      </c>
      <c r="I24">
        <v>0.8</v>
      </c>
      <c r="J24" s="109">
        <v>0.25</v>
      </c>
      <c r="K24" s="109">
        <v>0.05</v>
      </c>
    </row>
    <row r="25" spans="4:33" ht="15" customHeight="1" x14ac:dyDescent="0.15">
      <c r="D25">
        <v>24</v>
      </c>
      <c r="E25" s="181" t="s">
        <v>215</v>
      </c>
      <c r="F25">
        <v>0.98</v>
      </c>
      <c r="G25">
        <v>0.8</v>
      </c>
      <c r="H25">
        <v>0.8</v>
      </c>
      <c r="I25">
        <v>0.8</v>
      </c>
      <c r="J25" s="109">
        <v>0.25</v>
      </c>
      <c r="K25" s="109">
        <v>0.05</v>
      </c>
    </row>
    <row r="26" spans="4:33" ht="15" customHeight="1" x14ac:dyDescent="0.15">
      <c r="D26">
        <v>25</v>
      </c>
      <c r="E26" s="181" t="s">
        <v>216</v>
      </c>
      <c r="F26">
        <v>0.98</v>
      </c>
      <c r="G26">
        <v>0.8</v>
      </c>
      <c r="H26">
        <v>0.8</v>
      </c>
      <c r="I26">
        <v>0.8</v>
      </c>
      <c r="J26" s="109">
        <v>0.25</v>
      </c>
      <c r="K26" s="109">
        <v>0.05</v>
      </c>
    </row>
    <row r="27" spans="4:33" ht="15" customHeight="1" x14ac:dyDescent="0.15">
      <c r="D27">
        <v>26</v>
      </c>
      <c r="E27" s="181" t="s">
        <v>217</v>
      </c>
      <c r="F27">
        <v>0.98</v>
      </c>
      <c r="G27">
        <v>0.8</v>
      </c>
      <c r="H27">
        <v>0.8</v>
      </c>
      <c r="I27">
        <v>0.8</v>
      </c>
      <c r="J27" s="109">
        <v>0.25</v>
      </c>
      <c r="K27" s="109">
        <v>0.05</v>
      </c>
    </row>
    <row r="28" spans="4:33" ht="15" customHeight="1" x14ac:dyDescent="0.15">
      <c r="D28">
        <v>27</v>
      </c>
      <c r="E28" s="181" t="s">
        <v>218</v>
      </c>
      <c r="F28">
        <v>0.98</v>
      </c>
      <c r="G28">
        <v>0.8</v>
      </c>
      <c r="H28">
        <v>0.8</v>
      </c>
      <c r="I28">
        <v>0.8</v>
      </c>
      <c r="J28" s="109">
        <v>0.25</v>
      </c>
      <c r="K28" s="109">
        <v>0.05</v>
      </c>
    </row>
    <row r="29" spans="4:33" ht="15" customHeight="1" x14ac:dyDescent="0.15">
      <c r="D29">
        <v>28</v>
      </c>
      <c r="E29" s="181" t="s">
        <v>219</v>
      </c>
      <c r="F29">
        <v>0.98</v>
      </c>
      <c r="G29">
        <v>0.8</v>
      </c>
      <c r="H29">
        <v>0.8</v>
      </c>
      <c r="I29">
        <v>0.8</v>
      </c>
      <c r="J29" s="109">
        <v>0.25</v>
      </c>
      <c r="K29" s="109">
        <v>0.05</v>
      </c>
      <c r="Y29"/>
      <c r="AC29"/>
      <c r="AG29"/>
    </row>
    <row r="30" spans="4:33" ht="15" customHeight="1" x14ac:dyDescent="0.15">
      <c r="D30">
        <v>29</v>
      </c>
      <c r="E30" s="181" t="s">
        <v>220</v>
      </c>
      <c r="F30">
        <v>0.98</v>
      </c>
      <c r="G30">
        <v>0.8</v>
      </c>
      <c r="H30">
        <v>0.8</v>
      </c>
      <c r="I30">
        <v>0.8</v>
      </c>
      <c r="J30" s="109">
        <v>0.25</v>
      </c>
      <c r="K30" s="109">
        <v>0.05</v>
      </c>
      <c r="Y30"/>
      <c r="AC30"/>
      <c r="AG30"/>
    </row>
    <row r="31" spans="4:33" ht="15" customHeight="1" x14ac:dyDescent="0.15">
      <c r="D31">
        <v>30</v>
      </c>
      <c r="E31" s="181" t="s">
        <v>221</v>
      </c>
      <c r="F31">
        <v>0.98</v>
      </c>
      <c r="G31">
        <v>0.8</v>
      </c>
      <c r="H31">
        <v>0.8</v>
      </c>
      <c r="I31">
        <v>0.8</v>
      </c>
      <c r="J31" s="109">
        <v>0.25</v>
      </c>
      <c r="K31" s="109">
        <v>0.05</v>
      </c>
      <c r="Y31"/>
      <c r="AC31"/>
      <c r="AG31"/>
    </row>
    <row r="32" spans="4:33" ht="15" customHeight="1" x14ac:dyDescent="0.15">
      <c r="D32">
        <v>31</v>
      </c>
      <c r="E32" s="181" t="s">
        <v>222</v>
      </c>
      <c r="F32">
        <v>0.98</v>
      </c>
      <c r="G32">
        <v>0.8</v>
      </c>
      <c r="H32">
        <v>0.8</v>
      </c>
      <c r="I32">
        <v>0</v>
      </c>
      <c r="J32" s="109">
        <v>0</v>
      </c>
      <c r="K32" s="109">
        <v>0</v>
      </c>
      <c r="Y32"/>
      <c r="AC32"/>
      <c r="AG32"/>
    </row>
    <row r="33" spans="4:33" ht="15" customHeight="1" x14ac:dyDescent="0.15">
      <c r="D33">
        <v>32</v>
      </c>
      <c r="E33" s="181" t="s">
        <v>223</v>
      </c>
      <c r="F33">
        <v>0.98</v>
      </c>
      <c r="G33">
        <v>0.8</v>
      </c>
      <c r="H33">
        <v>0</v>
      </c>
      <c r="I33">
        <v>0</v>
      </c>
      <c r="J33" s="109">
        <v>0</v>
      </c>
      <c r="K33" s="109">
        <v>0</v>
      </c>
      <c r="Y33"/>
      <c r="AC33"/>
      <c r="AG33"/>
    </row>
    <row r="34" spans="4:33" ht="15" customHeight="1" x14ac:dyDescent="0.15">
      <c r="D34">
        <v>33</v>
      </c>
      <c r="E34" s="181" t="s">
        <v>224</v>
      </c>
      <c r="F34">
        <v>0.98</v>
      </c>
      <c r="G34">
        <v>0.8</v>
      </c>
      <c r="H34">
        <v>0</v>
      </c>
      <c r="I34">
        <v>0</v>
      </c>
      <c r="J34" s="109">
        <v>0</v>
      </c>
      <c r="K34" s="109">
        <v>0</v>
      </c>
      <c r="Y34"/>
      <c r="AC34"/>
      <c r="AG34"/>
    </row>
    <row r="35" spans="4:33" ht="15" customHeight="1" x14ac:dyDescent="0.15">
      <c r="J35"/>
      <c r="K35"/>
      <c r="Y35"/>
      <c r="AC35"/>
      <c r="AG35"/>
    </row>
    <row r="36" spans="4:33" ht="15" customHeight="1" x14ac:dyDescent="0.15">
      <c r="J36"/>
      <c r="K36"/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H35"/>
  <sheetViews>
    <sheetView workbookViewId="0">
      <selection activeCell="A3" sqref="A3"/>
    </sheetView>
  </sheetViews>
  <sheetFormatPr baseColWidth="10" defaultRowHeight="13" x14ac:dyDescent="0.15"/>
  <cols>
    <col min="1" max="1" width="21.6640625" style="107" bestFit="1" customWidth="1"/>
    <col min="2" max="31" width="3.83203125" style="107" customWidth="1"/>
    <col min="32" max="34" width="2.33203125" style="107" customWidth="1"/>
    <col min="35" max="16384" width="10.83203125" style="107"/>
  </cols>
  <sheetData>
    <row r="1" spans="1:34" x14ac:dyDescent="0.15">
      <c r="A1" s="63" t="s">
        <v>118</v>
      </c>
      <c r="B1" s="183" t="s">
        <v>192</v>
      </c>
      <c r="C1" s="183" t="s">
        <v>193</v>
      </c>
      <c r="D1" s="183" t="s">
        <v>194</v>
      </c>
      <c r="E1" s="183" t="s">
        <v>195</v>
      </c>
      <c r="F1" s="183" t="s">
        <v>196</v>
      </c>
      <c r="G1" s="183" t="s">
        <v>197</v>
      </c>
      <c r="H1" s="183" t="s">
        <v>198</v>
      </c>
      <c r="I1" s="183" t="s">
        <v>199</v>
      </c>
      <c r="J1" s="183" t="s">
        <v>200</v>
      </c>
      <c r="K1" s="183" t="s">
        <v>201</v>
      </c>
      <c r="L1" s="183" t="s">
        <v>202</v>
      </c>
      <c r="M1" s="183" t="s">
        <v>203</v>
      </c>
      <c r="N1" s="183" t="s">
        <v>204</v>
      </c>
      <c r="O1" s="183" t="s">
        <v>205</v>
      </c>
      <c r="P1" s="183" t="s">
        <v>206</v>
      </c>
      <c r="Q1" s="183" t="s">
        <v>207</v>
      </c>
      <c r="R1" s="183" t="s">
        <v>208</v>
      </c>
      <c r="S1" s="183" t="s">
        <v>209</v>
      </c>
      <c r="T1" s="183" t="s">
        <v>210</v>
      </c>
      <c r="U1" s="183" t="s">
        <v>211</v>
      </c>
      <c r="V1" s="183" t="s">
        <v>212</v>
      </c>
      <c r="W1" s="183" t="s">
        <v>213</v>
      </c>
      <c r="X1" s="183" t="s">
        <v>214</v>
      </c>
      <c r="Y1" s="183" t="s">
        <v>215</v>
      </c>
      <c r="Z1" s="183" t="s">
        <v>216</v>
      </c>
      <c r="AA1" s="183" t="s">
        <v>217</v>
      </c>
      <c r="AB1" s="183" t="s">
        <v>218</v>
      </c>
      <c r="AC1" s="183" t="s">
        <v>219</v>
      </c>
      <c r="AD1" s="183" t="s">
        <v>220</v>
      </c>
      <c r="AE1" s="183" t="s">
        <v>221</v>
      </c>
      <c r="AF1" s="183" t="s">
        <v>222</v>
      </c>
      <c r="AG1" s="183" t="s">
        <v>223</v>
      </c>
      <c r="AH1" s="183" t="s">
        <v>224</v>
      </c>
    </row>
    <row r="2" spans="1:34" customFormat="1" x14ac:dyDescent="0.15">
      <c r="A2" s="182" t="s">
        <v>192</v>
      </c>
      <c r="B2" s="107">
        <v>0</v>
      </c>
      <c r="C2" s="107">
        <v>0</v>
      </c>
      <c r="D2" s="107">
        <v>0</v>
      </c>
      <c r="E2" s="107">
        <v>0</v>
      </c>
      <c r="F2" s="107">
        <v>0</v>
      </c>
      <c r="G2" s="107">
        <v>0</v>
      </c>
      <c r="H2" s="107">
        <v>0</v>
      </c>
      <c r="I2" s="107">
        <v>0</v>
      </c>
      <c r="J2" s="107">
        <v>0</v>
      </c>
      <c r="K2" s="107">
        <v>0</v>
      </c>
      <c r="L2" s="107">
        <v>0</v>
      </c>
      <c r="M2" s="107">
        <v>0</v>
      </c>
      <c r="N2" s="107">
        <v>0</v>
      </c>
      <c r="O2" s="107">
        <v>0</v>
      </c>
      <c r="P2" s="107">
        <v>0</v>
      </c>
      <c r="Q2" s="107">
        <v>0</v>
      </c>
      <c r="R2" s="107">
        <v>0</v>
      </c>
      <c r="S2" s="107">
        <v>0</v>
      </c>
      <c r="T2" s="107">
        <v>0</v>
      </c>
      <c r="U2" s="107">
        <v>0</v>
      </c>
      <c r="V2" s="107">
        <v>0</v>
      </c>
      <c r="W2" s="107">
        <v>0</v>
      </c>
      <c r="X2" s="107">
        <v>0</v>
      </c>
      <c r="Y2" s="107">
        <v>0</v>
      </c>
      <c r="Z2" s="107">
        <v>0</v>
      </c>
      <c r="AA2" s="107">
        <v>0</v>
      </c>
      <c r="AB2" s="107">
        <v>0</v>
      </c>
      <c r="AC2" s="107">
        <v>0</v>
      </c>
      <c r="AD2" s="107">
        <v>0</v>
      </c>
      <c r="AE2" s="107">
        <v>0</v>
      </c>
      <c r="AF2" s="107">
        <v>0</v>
      </c>
      <c r="AG2" s="107">
        <v>0</v>
      </c>
      <c r="AH2" s="107">
        <v>0</v>
      </c>
    </row>
    <row r="3" spans="1:34" customFormat="1" x14ac:dyDescent="0.15">
      <c r="A3" s="182" t="s">
        <v>193</v>
      </c>
      <c r="B3" s="107"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</v>
      </c>
      <c r="AF3" s="107">
        <v>0</v>
      </c>
      <c r="AG3" s="107">
        <v>0</v>
      </c>
      <c r="AH3" s="107">
        <v>0</v>
      </c>
    </row>
    <row r="4" spans="1:34" customFormat="1" x14ac:dyDescent="0.15">
      <c r="A4" s="182" t="s">
        <v>194</v>
      </c>
      <c r="B4" s="107">
        <v>0</v>
      </c>
      <c r="C4" s="107">
        <v>0</v>
      </c>
      <c r="D4" s="107">
        <v>0</v>
      </c>
      <c r="E4" s="107">
        <v>0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</row>
    <row r="5" spans="1:34" customFormat="1" x14ac:dyDescent="0.15">
      <c r="A5" s="182" t="s">
        <v>195</v>
      </c>
      <c r="B5" s="107">
        <v>0</v>
      </c>
      <c r="C5" s="107">
        <v>0</v>
      </c>
      <c r="D5" s="107">
        <v>0</v>
      </c>
      <c r="E5" s="107">
        <v>0</v>
      </c>
      <c r="F5" s="107">
        <v>0</v>
      </c>
      <c r="G5" s="107">
        <v>0</v>
      </c>
      <c r="H5" s="107">
        <v>0</v>
      </c>
      <c r="I5" s="107">
        <v>0</v>
      </c>
      <c r="J5" s="107">
        <v>0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0</v>
      </c>
      <c r="X5" s="107">
        <v>0</v>
      </c>
      <c r="Y5" s="107">
        <v>0</v>
      </c>
      <c r="Z5" s="107">
        <v>0</v>
      </c>
      <c r="AA5" s="107">
        <v>0</v>
      </c>
      <c r="AB5" s="107">
        <v>0</v>
      </c>
      <c r="AC5" s="107">
        <v>0</v>
      </c>
      <c r="AD5" s="107">
        <v>0</v>
      </c>
      <c r="AE5" s="107">
        <v>0</v>
      </c>
      <c r="AF5" s="107">
        <v>0</v>
      </c>
      <c r="AG5" s="107">
        <v>0</v>
      </c>
      <c r="AH5" s="107">
        <v>0</v>
      </c>
    </row>
    <row r="6" spans="1:34" customFormat="1" x14ac:dyDescent="0.15">
      <c r="A6" s="182" t="s">
        <v>196</v>
      </c>
      <c r="B6" s="107">
        <v>0</v>
      </c>
      <c r="C6" s="107">
        <v>0</v>
      </c>
      <c r="D6" s="107">
        <v>0</v>
      </c>
      <c r="E6" s="107">
        <v>0</v>
      </c>
      <c r="F6" s="107">
        <v>0</v>
      </c>
      <c r="G6" s="107">
        <v>0</v>
      </c>
      <c r="H6" s="107">
        <v>0</v>
      </c>
      <c r="I6" s="107">
        <v>0</v>
      </c>
      <c r="J6" s="107">
        <v>0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</v>
      </c>
      <c r="V6" s="107">
        <v>0</v>
      </c>
      <c r="W6" s="107">
        <v>0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0</v>
      </c>
      <c r="AD6" s="107">
        <v>0</v>
      </c>
      <c r="AE6" s="107">
        <v>0</v>
      </c>
      <c r="AF6" s="107">
        <v>0</v>
      </c>
      <c r="AG6" s="107">
        <v>0</v>
      </c>
      <c r="AH6" s="107">
        <v>0</v>
      </c>
    </row>
    <row r="7" spans="1:34" customFormat="1" x14ac:dyDescent="0.15">
      <c r="A7" s="182" t="s">
        <v>197</v>
      </c>
      <c r="B7" s="107">
        <v>0</v>
      </c>
      <c r="C7" s="107">
        <v>0</v>
      </c>
      <c r="D7" s="107">
        <v>0</v>
      </c>
      <c r="E7" s="107">
        <v>0</v>
      </c>
      <c r="F7" s="107">
        <v>0</v>
      </c>
      <c r="G7" s="107">
        <v>0</v>
      </c>
      <c r="H7" s="107">
        <v>0</v>
      </c>
      <c r="I7" s="107">
        <v>0</v>
      </c>
      <c r="J7" s="107">
        <v>0</v>
      </c>
      <c r="K7" s="107">
        <v>0</v>
      </c>
      <c r="L7" s="107">
        <v>0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</v>
      </c>
      <c r="T7" s="107">
        <v>0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</row>
    <row r="8" spans="1:34" customFormat="1" x14ac:dyDescent="0.15">
      <c r="A8" s="182" t="s">
        <v>198</v>
      </c>
      <c r="B8" s="107">
        <v>0.8</v>
      </c>
      <c r="C8" s="107">
        <v>0.8</v>
      </c>
      <c r="D8" s="107">
        <v>0.8</v>
      </c>
      <c r="E8" s="107">
        <v>0.8</v>
      </c>
      <c r="F8" s="107">
        <v>0.8</v>
      </c>
      <c r="G8" s="107">
        <v>0</v>
      </c>
      <c r="H8" s="107">
        <v>0</v>
      </c>
      <c r="I8" s="107">
        <v>0</v>
      </c>
      <c r="J8" s="107">
        <v>0</v>
      </c>
      <c r="K8" s="107">
        <v>0</v>
      </c>
      <c r="L8" s="107">
        <v>0</v>
      </c>
      <c r="M8" s="107">
        <v>0</v>
      </c>
      <c r="N8" s="107">
        <v>0</v>
      </c>
      <c r="O8" s="107">
        <v>0</v>
      </c>
      <c r="P8" s="107">
        <v>0</v>
      </c>
      <c r="Q8" s="107">
        <v>0</v>
      </c>
      <c r="R8" s="107">
        <v>0</v>
      </c>
      <c r="S8" s="107">
        <v>0</v>
      </c>
      <c r="T8" s="107">
        <v>0</v>
      </c>
      <c r="U8" s="107">
        <v>0</v>
      </c>
      <c r="V8" s="107">
        <v>0</v>
      </c>
      <c r="W8" s="107">
        <v>0</v>
      </c>
      <c r="X8" s="107">
        <v>0</v>
      </c>
      <c r="Y8" s="107">
        <v>0</v>
      </c>
      <c r="Z8" s="107">
        <v>0</v>
      </c>
      <c r="AA8" s="107">
        <v>0</v>
      </c>
      <c r="AB8" s="107">
        <v>0</v>
      </c>
      <c r="AC8" s="107">
        <v>0</v>
      </c>
      <c r="AD8" s="107">
        <v>0</v>
      </c>
      <c r="AE8" s="107">
        <v>0</v>
      </c>
      <c r="AF8" s="107">
        <v>0</v>
      </c>
      <c r="AG8" s="107">
        <v>0</v>
      </c>
      <c r="AH8" s="107">
        <v>0</v>
      </c>
    </row>
    <row r="9" spans="1:34" customFormat="1" x14ac:dyDescent="0.15">
      <c r="A9" s="182" t="s">
        <v>199</v>
      </c>
      <c r="B9" s="107">
        <v>0.8</v>
      </c>
      <c r="C9" s="107">
        <v>0.8</v>
      </c>
      <c r="D9" s="107">
        <v>0.8</v>
      </c>
      <c r="E9" s="107">
        <v>0.8</v>
      </c>
      <c r="F9" s="107">
        <v>0.8</v>
      </c>
      <c r="G9" s="107">
        <v>0.8</v>
      </c>
      <c r="H9" s="107">
        <v>0.8</v>
      </c>
      <c r="I9" s="107">
        <v>0.8</v>
      </c>
      <c r="J9" s="107">
        <v>0.8</v>
      </c>
      <c r="K9" s="107">
        <v>0.8</v>
      </c>
      <c r="L9" s="107">
        <v>0.8</v>
      </c>
      <c r="M9" s="107">
        <v>0</v>
      </c>
      <c r="N9" s="107">
        <v>0.8</v>
      </c>
      <c r="O9" s="107">
        <v>0.8</v>
      </c>
      <c r="P9" s="107">
        <v>0.8</v>
      </c>
      <c r="Q9" s="107">
        <v>0</v>
      </c>
      <c r="R9" s="107">
        <v>0</v>
      </c>
      <c r="S9" s="107">
        <v>0</v>
      </c>
      <c r="T9" s="107">
        <v>0</v>
      </c>
      <c r="U9" s="107">
        <v>0.8</v>
      </c>
      <c r="V9" s="107">
        <v>0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</v>
      </c>
      <c r="AC9" s="107">
        <v>0</v>
      </c>
      <c r="AD9" s="107">
        <v>0</v>
      </c>
      <c r="AE9" s="107">
        <v>0</v>
      </c>
      <c r="AF9" s="107">
        <v>0</v>
      </c>
      <c r="AG9" s="107">
        <v>0</v>
      </c>
      <c r="AH9" s="107">
        <v>0</v>
      </c>
    </row>
    <row r="10" spans="1:34" customFormat="1" x14ac:dyDescent="0.15">
      <c r="A10" s="182" t="s">
        <v>200</v>
      </c>
      <c r="B10" s="107">
        <v>0</v>
      </c>
      <c r="C10" s="107">
        <v>0.8</v>
      </c>
      <c r="D10" s="107">
        <v>0.8</v>
      </c>
      <c r="E10" s="107">
        <v>0</v>
      </c>
      <c r="F10" s="107">
        <v>0</v>
      </c>
      <c r="G10" s="107">
        <v>0</v>
      </c>
      <c r="H10" s="107">
        <v>0</v>
      </c>
      <c r="I10" s="107">
        <v>0</v>
      </c>
      <c r="J10" s="107">
        <v>0</v>
      </c>
      <c r="K10" s="107">
        <v>0</v>
      </c>
      <c r="L10" s="107">
        <v>0</v>
      </c>
      <c r="M10" s="107">
        <v>0</v>
      </c>
      <c r="N10" s="107">
        <v>0</v>
      </c>
      <c r="O10" s="107">
        <v>0</v>
      </c>
      <c r="P10" s="107">
        <v>0</v>
      </c>
      <c r="Q10" s="107">
        <v>0</v>
      </c>
      <c r="R10" s="107">
        <v>0</v>
      </c>
      <c r="S10" s="107">
        <v>0</v>
      </c>
      <c r="T10" s="107">
        <v>0</v>
      </c>
      <c r="U10" s="107">
        <v>0</v>
      </c>
      <c r="V10" s="107">
        <v>0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  <c r="AH10" s="107">
        <v>0</v>
      </c>
    </row>
    <row r="11" spans="1:34" customFormat="1" x14ac:dyDescent="0.15">
      <c r="A11" s="182" t="s">
        <v>201</v>
      </c>
      <c r="B11" s="107">
        <v>0</v>
      </c>
      <c r="C11" s="107">
        <v>0.8</v>
      </c>
      <c r="D11" s="107">
        <v>0.8</v>
      </c>
      <c r="E11" s="107">
        <v>0.8</v>
      </c>
      <c r="F11" s="107">
        <v>0</v>
      </c>
      <c r="G11" s="107">
        <v>0.8</v>
      </c>
      <c r="H11" s="107">
        <v>0.8</v>
      </c>
      <c r="I11" s="107">
        <v>0</v>
      </c>
      <c r="J11" s="107">
        <v>0.8</v>
      </c>
      <c r="K11" s="107">
        <v>0.8</v>
      </c>
      <c r="L11" s="107">
        <v>0.8</v>
      </c>
      <c r="M11" s="107">
        <v>0</v>
      </c>
      <c r="N11" s="107">
        <v>0.8</v>
      </c>
      <c r="O11" s="107">
        <v>0</v>
      </c>
      <c r="P11" s="107">
        <v>0.8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  <c r="W11" s="107">
        <v>0</v>
      </c>
      <c r="X11" s="107">
        <v>0</v>
      </c>
      <c r="Y11" s="107">
        <v>0</v>
      </c>
      <c r="Z11" s="107">
        <v>0</v>
      </c>
      <c r="AA11" s="107">
        <v>0</v>
      </c>
      <c r="AB11" s="107">
        <v>0</v>
      </c>
      <c r="AC11" s="107">
        <v>0</v>
      </c>
      <c r="AD11" s="107">
        <v>0</v>
      </c>
      <c r="AE11" s="107">
        <v>0</v>
      </c>
      <c r="AF11" s="107">
        <v>0</v>
      </c>
      <c r="AG11" s="107">
        <v>0</v>
      </c>
      <c r="AH11" s="107">
        <v>0</v>
      </c>
    </row>
    <row r="12" spans="1:34" customFormat="1" x14ac:dyDescent="0.15">
      <c r="A12" s="182" t="s">
        <v>202</v>
      </c>
      <c r="B12" s="107">
        <v>0</v>
      </c>
      <c r="C12" s="107">
        <v>0.8</v>
      </c>
      <c r="D12" s="107">
        <v>0</v>
      </c>
      <c r="E12" s="107">
        <v>0</v>
      </c>
      <c r="F12" s="107">
        <v>0</v>
      </c>
      <c r="G12" s="107">
        <v>0.8</v>
      </c>
      <c r="H12" s="107">
        <v>0.8</v>
      </c>
      <c r="I12" s="107">
        <v>0</v>
      </c>
      <c r="J12" s="107">
        <v>0.8</v>
      </c>
      <c r="K12" s="107">
        <v>0</v>
      </c>
      <c r="L12" s="107">
        <v>0.8</v>
      </c>
      <c r="M12" s="107">
        <v>0</v>
      </c>
      <c r="N12" s="107">
        <v>0.8</v>
      </c>
      <c r="O12" s="107">
        <v>0</v>
      </c>
      <c r="P12" s="107">
        <v>0.8</v>
      </c>
      <c r="Q12" s="107">
        <v>0</v>
      </c>
      <c r="R12" s="107">
        <v>0</v>
      </c>
      <c r="S12" s="107">
        <v>0</v>
      </c>
      <c r="T12" s="107">
        <v>0</v>
      </c>
      <c r="U12" s="107">
        <v>0</v>
      </c>
      <c r="V12" s="107">
        <v>0</v>
      </c>
      <c r="W12" s="107">
        <v>0</v>
      </c>
      <c r="X12" s="107">
        <v>0</v>
      </c>
      <c r="Y12" s="107">
        <v>0</v>
      </c>
      <c r="Z12" s="107">
        <v>0</v>
      </c>
      <c r="AA12" s="107">
        <v>0</v>
      </c>
      <c r="AB12" s="107">
        <v>0</v>
      </c>
      <c r="AC12" s="107">
        <v>0</v>
      </c>
      <c r="AD12" s="107">
        <v>0</v>
      </c>
      <c r="AE12" s="107">
        <v>0</v>
      </c>
      <c r="AF12" s="107">
        <v>0</v>
      </c>
      <c r="AG12" s="107">
        <v>0</v>
      </c>
      <c r="AH12" s="107">
        <v>0</v>
      </c>
    </row>
    <row r="13" spans="1:34" customFormat="1" x14ac:dyDescent="0.15">
      <c r="A13" s="182" t="s">
        <v>203</v>
      </c>
      <c r="B13" s="107">
        <v>0</v>
      </c>
      <c r="C13" s="107">
        <v>0</v>
      </c>
      <c r="D13" s="107">
        <v>0</v>
      </c>
      <c r="E13" s="107">
        <v>0</v>
      </c>
      <c r="F13" s="107">
        <v>0.8</v>
      </c>
      <c r="G13" s="107">
        <v>0.8</v>
      </c>
      <c r="H13" s="107">
        <v>0.8</v>
      </c>
      <c r="I13" s="107">
        <v>0</v>
      </c>
      <c r="J13" s="107">
        <v>0.8</v>
      </c>
      <c r="K13" s="107">
        <v>0.8</v>
      </c>
      <c r="L13" s="107">
        <v>0.8</v>
      </c>
      <c r="M13" s="107">
        <v>0</v>
      </c>
      <c r="N13" s="107">
        <v>0.8</v>
      </c>
      <c r="O13" s="107">
        <v>0</v>
      </c>
      <c r="P13" s="107">
        <v>0.8</v>
      </c>
      <c r="Q13" s="107">
        <v>0</v>
      </c>
      <c r="R13" s="107">
        <v>0</v>
      </c>
      <c r="S13" s="107">
        <v>0</v>
      </c>
      <c r="T13" s="107">
        <v>0</v>
      </c>
      <c r="U13" s="107">
        <v>0.8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0</v>
      </c>
      <c r="AC13" s="107">
        <v>0</v>
      </c>
      <c r="AD13" s="107">
        <v>0</v>
      </c>
      <c r="AE13" s="107">
        <v>0</v>
      </c>
      <c r="AF13" s="107">
        <v>0</v>
      </c>
      <c r="AG13" s="107">
        <v>0</v>
      </c>
      <c r="AH13" s="107">
        <v>0</v>
      </c>
    </row>
    <row r="14" spans="1:34" customFormat="1" x14ac:dyDescent="0.15">
      <c r="A14" s="182" t="s">
        <v>204</v>
      </c>
      <c r="B14" s="107">
        <v>0</v>
      </c>
      <c r="C14" s="107">
        <v>0</v>
      </c>
      <c r="D14" s="107">
        <v>0</v>
      </c>
      <c r="E14" s="107">
        <v>0</v>
      </c>
      <c r="F14" s="107">
        <v>0.8</v>
      </c>
      <c r="G14" s="107">
        <v>0.8</v>
      </c>
      <c r="H14" s="107">
        <v>0.8</v>
      </c>
      <c r="I14" s="107">
        <v>0</v>
      </c>
      <c r="J14" s="107">
        <v>0.8</v>
      </c>
      <c r="K14" s="107">
        <v>0</v>
      </c>
      <c r="L14" s="107">
        <v>0</v>
      </c>
      <c r="M14" s="107">
        <v>0</v>
      </c>
      <c r="N14" s="107">
        <v>0.8</v>
      </c>
      <c r="O14" s="107">
        <v>0</v>
      </c>
      <c r="P14" s="107">
        <v>0.8</v>
      </c>
      <c r="Q14" s="107">
        <v>0</v>
      </c>
      <c r="R14" s="107">
        <v>0</v>
      </c>
      <c r="S14" s="107">
        <v>0</v>
      </c>
      <c r="T14" s="107">
        <v>0</v>
      </c>
      <c r="U14" s="107">
        <v>0</v>
      </c>
      <c r="V14" s="107">
        <v>0</v>
      </c>
      <c r="W14" s="107">
        <v>0</v>
      </c>
      <c r="X14" s="107">
        <v>0</v>
      </c>
      <c r="Y14" s="107">
        <v>0</v>
      </c>
      <c r="Z14" s="107">
        <v>0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</row>
    <row r="15" spans="1:34" customFormat="1" x14ac:dyDescent="0.15">
      <c r="A15" s="182" t="s">
        <v>205</v>
      </c>
      <c r="B15" s="107">
        <v>0.8</v>
      </c>
      <c r="C15" s="107">
        <v>0</v>
      </c>
      <c r="D15" s="107">
        <v>0.8</v>
      </c>
      <c r="E15" s="107">
        <v>0.8</v>
      </c>
      <c r="F15" s="107">
        <v>0.8</v>
      </c>
      <c r="G15" s="107">
        <v>0</v>
      </c>
      <c r="H15" s="107">
        <v>0.8</v>
      </c>
      <c r="I15" s="107">
        <v>0</v>
      </c>
      <c r="J15" s="107">
        <v>0.8</v>
      </c>
      <c r="K15" s="107">
        <v>0.8</v>
      </c>
      <c r="L15" s="107">
        <v>0.8</v>
      </c>
      <c r="M15" s="107">
        <v>0</v>
      </c>
      <c r="N15" s="107">
        <v>0.8</v>
      </c>
      <c r="O15" s="107">
        <v>0.8</v>
      </c>
      <c r="P15" s="107">
        <v>0.8</v>
      </c>
      <c r="Q15" s="107">
        <v>0</v>
      </c>
      <c r="R15" s="107">
        <v>0</v>
      </c>
      <c r="S15" s="107">
        <v>0</v>
      </c>
      <c r="T15" s="107">
        <v>0</v>
      </c>
      <c r="U15" s="107">
        <v>0.8</v>
      </c>
      <c r="V15" s="107">
        <v>0</v>
      </c>
      <c r="W15" s="107">
        <v>0</v>
      </c>
      <c r="X15" s="107">
        <v>0</v>
      </c>
      <c r="Y15" s="107">
        <v>0</v>
      </c>
      <c r="Z15" s="107">
        <v>0</v>
      </c>
      <c r="AA15" s="107">
        <v>0</v>
      </c>
      <c r="AB15" s="107">
        <v>0</v>
      </c>
      <c r="AC15" s="107">
        <v>0</v>
      </c>
      <c r="AD15" s="107">
        <v>0</v>
      </c>
      <c r="AE15" s="107">
        <v>0</v>
      </c>
      <c r="AF15" s="107">
        <v>0</v>
      </c>
      <c r="AG15" s="107">
        <v>0</v>
      </c>
      <c r="AH15" s="107">
        <v>0</v>
      </c>
    </row>
    <row r="16" spans="1:34" customFormat="1" x14ac:dyDescent="0.15">
      <c r="A16" s="182" t="s">
        <v>206</v>
      </c>
      <c r="B16" s="107">
        <v>0.8</v>
      </c>
      <c r="C16" s="107">
        <v>0.8</v>
      </c>
      <c r="D16" s="107">
        <v>0</v>
      </c>
      <c r="E16" s="107">
        <v>0.8</v>
      </c>
      <c r="F16" s="107">
        <v>0.8</v>
      </c>
      <c r="G16" s="107">
        <v>0</v>
      </c>
      <c r="H16" s="107">
        <v>0</v>
      </c>
      <c r="I16" s="107">
        <v>0</v>
      </c>
      <c r="J16" s="107">
        <v>0</v>
      </c>
      <c r="K16" s="107">
        <v>0</v>
      </c>
      <c r="L16" s="107">
        <v>0</v>
      </c>
      <c r="M16" s="107">
        <v>0</v>
      </c>
      <c r="N16" s="107">
        <v>0</v>
      </c>
      <c r="O16" s="107">
        <v>0</v>
      </c>
      <c r="P16" s="107">
        <v>0</v>
      </c>
      <c r="Q16" s="107">
        <v>0</v>
      </c>
      <c r="R16" s="107">
        <v>0</v>
      </c>
      <c r="S16" s="107">
        <v>0</v>
      </c>
      <c r="T16" s="107">
        <v>0</v>
      </c>
      <c r="U16" s="107">
        <v>0</v>
      </c>
      <c r="V16" s="107">
        <v>0</v>
      </c>
      <c r="W16" s="107">
        <v>0</v>
      </c>
      <c r="X16" s="107">
        <v>0</v>
      </c>
      <c r="Y16" s="107">
        <v>0</v>
      </c>
      <c r="Z16" s="107">
        <v>0</v>
      </c>
      <c r="AA16" s="107">
        <v>0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  <c r="AH16" s="107">
        <v>0</v>
      </c>
    </row>
    <row r="17" spans="1:34" customFormat="1" x14ac:dyDescent="0.15">
      <c r="A17" s="182" t="s">
        <v>207</v>
      </c>
      <c r="B17" s="107">
        <v>0.8</v>
      </c>
      <c r="C17" s="107">
        <v>0.8</v>
      </c>
      <c r="D17" s="107">
        <v>0</v>
      </c>
      <c r="E17" s="107">
        <v>0.8</v>
      </c>
      <c r="F17" s="107">
        <v>0.8</v>
      </c>
      <c r="G17" s="107">
        <v>0.8</v>
      </c>
      <c r="H17" s="107">
        <v>0</v>
      </c>
      <c r="I17" s="107">
        <v>0.8</v>
      </c>
      <c r="J17" s="107">
        <v>0.8</v>
      </c>
      <c r="K17" s="107">
        <v>0.8</v>
      </c>
      <c r="L17" s="107">
        <v>0.8</v>
      </c>
      <c r="M17" s="107">
        <v>0</v>
      </c>
      <c r="N17" s="107">
        <v>0.8</v>
      </c>
      <c r="O17" s="107">
        <v>0.8</v>
      </c>
      <c r="P17" s="107">
        <v>0.8</v>
      </c>
      <c r="Q17" s="107">
        <v>0.8</v>
      </c>
      <c r="R17" s="107">
        <v>0</v>
      </c>
      <c r="S17" s="107">
        <v>0</v>
      </c>
      <c r="T17" s="107">
        <v>0</v>
      </c>
      <c r="U17" s="107">
        <v>0</v>
      </c>
      <c r="V17" s="107">
        <v>0</v>
      </c>
      <c r="W17" s="107">
        <v>0</v>
      </c>
      <c r="X17" s="107">
        <v>0</v>
      </c>
      <c r="Y17" s="107">
        <v>0</v>
      </c>
      <c r="Z17" s="107">
        <v>0</v>
      </c>
      <c r="AA17" s="107">
        <v>0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</row>
    <row r="18" spans="1:34" customFormat="1" x14ac:dyDescent="0.15">
      <c r="A18" s="182" t="s">
        <v>208</v>
      </c>
      <c r="B18" s="107">
        <v>0.8</v>
      </c>
      <c r="C18" s="107">
        <v>0.8</v>
      </c>
      <c r="D18" s="107">
        <v>0.8</v>
      </c>
      <c r="E18" s="107">
        <v>0.8</v>
      </c>
      <c r="F18" s="107">
        <v>0.8</v>
      </c>
      <c r="G18" s="107">
        <v>0.8</v>
      </c>
      <c r="H18" s="107">
        <v>0.8</v>
      </c>
      <c r="I18" s="107">
        <v>0.8</v>
      </c>
      <c r="J18" s="107">
        <v>0.8</v>
      </c>
      <c r="K18" s="107">
        <v>0.8</v>
      </c>
      <c r="L18" s="107">
        <v>0.8</v>
      </c>
      <c r="M18" s="107">
        <v>0.8</v>
      </c>
      <c r="N18" s="107">
        <v>0</v>
      </c>
      <c r="O18" s="107">
        <v>0.8</v>
      </c>
      <c r="P18" s="107">
        <v>0.8</v>
      </c>
      <c r="Q18" s="107">
        <v>0.8</v>
      </c>
      <c r="R18" s="107">
        <v>0</v>
      </c>
      <c r="S18" s="107">
        <v>0</v>
      </c>
      <c r="T18" s="107">
        <v>0.8</v>
      </c>
      <c r="U18" s="107">
        <v>0</v>
      </c>
      <c r="V18" s="107">
        <v>0</v>
      </c>
      <c r="W18" s="107">
        <v>0</v>
      </c>
      <c r="X18" s="107">
        <v>0</v>
      </c>
      <c r="Y18" s="107">
        <v>0</v>
      </c>
      <c r="Z18" s="107">
        <v>0</v>
      </c>
      <c r="AA18" s="107">
        <v>0</v>
      </c>
      <c r="AB18" s="107">
        <v>0</v>
      </c>
      <c r="AC18" s="107">
        <v>0</v>
      </c>
      <c r="AD18" s="107">
        <v>0</v>
      </c>
      <c r="AE18" s="107">
        <v>0</v>
      </c>
      <c r="AF18" s="107">
        <v>0</v>
      </c>
      <c r="AG18" s="107">
        <v>0</v>
      </c>
      <c r="AH18" s="107">
        <v>0</v>
      </c>
    </row>
    <row r="19" spans="1:34" customFormat="1" x14ac:dyDescent="0.15">
      <c r="A19" s="182" t="s">
        <v>209</v>
      </c>
      <c r="B19" s="107">
        <v>0.8</v>
      </c>
      <c r="C19" s="107">
        <v>0</v>
      </c>
      <c r="D19" s="107">
        <v>0</v>
      </c>
      <c r="E19" s="107">
        <v>0.8</v>
      </c>
      <c r="F19" s="107">
        <v>0</v>
      </c>
      <c r="G19" s="107">
        <v>0.8</v>
      </c>
      <c r="H19" s="107">
        <v>0.8</v>
      </c>
      <c r="I19" s="107">
        <v>0.8</v>
      </c>
      <c r="J19" s="107">
        <v>0.8</v>
      </c>
      <c r="K19" s="107">
        <v>0.8</v>
      </c>
      <c r="L19" s="107">
        <v>0.8</v>
      </c>
      <c r="M19" s="107">
        <v>0.8</v>
      </c>
      <c r="N19" s="107">
        <v>0.8</v>
      </c>
      <c r="O19" s="107">
        <v>0.8</v>
      </c>
      <c r="P19" s="107">
        <v>0.8</v>
      </c>
      <c r="Q19" s="107">
        <v>0.8</v>
      </c>
      <c r="R19" s="107">
        <v>0.8</v>
      </c>
      <c r="S19" s="107">
        <v>0</v>
      </c>
      <c r="T19" s="107">
        <v>0</v>
      </c>
      <c r="U19" s="107">
        <v>0.8</v>
      </c>
      <c r="V19" s="107">
        <v>0</v>
      </c>
      <c r="W19" s="107">
        <v>0</v>
      </c>
      <c r="X19" s="107">
        <v>0</v>
      </c>
      <c r="Y19" s="107">
        <v>0</v>
      </c>
      <c r="Z19" s="107">
        <v>0</v>
      </c>
      <c r="AA19" s="107">
        <v>0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  <c r="AH19" s="107">
        <v>0</v>
      </c>
    </row>
    <row r="20" spans="1:34" customFormat="1" x14ac:dyDescent="0.15">
      <c r="A20" s="182" t="s">
        <v>210</v>
      </c>
      <c r="B20" s="107">
        <v>0</v>
      </c>
      <c r="C20" s="107">
        <v>0</v>
      </c>
      <c r="D20" s="107">
        <v>0.8</v>
      </c>
      <c r="E20" s="107">
        <v>0</v>
      </c>
      <c r="F20" s="107">
        <v>0</v>
      </c>
      <c r="G20" s="107">
        <v>0</v>
      </c>
      <c r="H20" s="107">
        <v>0</v>
      </c>
      <c r="I20" s="107">
        <v>0</v>
      </c>
      <c r="J20" s="107">
        <v>0</v>
      </c>
      <c r="K20" s="107">
        <v>0</v>
      </c>
      <c r="L20" s="107">
        <v>0.8</v>
      </c>
      <c r="M20" s="107">
        <v>0</v>
      </c>
      <c r="N20" s="107">
        <v>0.8</v>
      </c>
      <c r="O20" s="107">
        <v>0</v>
      </c>
      <c r="P20" s="107">
        <v>0</v>
      </c>
      <c r="Q20" s="107">
        <v>0.8</v>
      </c>
      <c r="R20" s="107">
        <v>0</v>
      </c>
      <c r="S20" s="107">
        <v>0</v>
      </c>
      <c r="T20" s="107">
        <v>0.8</v>
      </c>
      <c r="U20" s="107">
        <v>0</v>
      </c>
      <c r="V20" s="107">
        <v>0</v>
      </c>
      <c r="W20" s="107">
        <v>0</v>
      </c>
      <c r="X20" s="107">
        <v>0</v>
      </c>
      <c r="Y20" s="107">
        <v>0</v>
      </c>
      <c r="Z20" s="107">
        <v>0</v>
      </c>
      <c r="AA20" s="107">
        <v>0</v>
      </c>
      <c r="AB20" s="107">
        <v>0</v>
      </c>
      <c r="AC20" s="107">
        <v>0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</row>
    <row r="21" spans="1:34" customFormat="1" x14ac:dyDescent="0.15">
      <c r="A21" s="182" t="s">
        <v>211</v>
      </c>
      <c r="B21" s="107">
        <v>0.8</v>
      </c>
      <c r="C21" s="107">
        <v>0.8</v>
      </c>
      <c r="D21" s="107">
        <v>0</v>
      </c>
      <c r="E21" s="107">
        <v>0.8</v>
      </c>
      <c r="F21" s="107">
        <v>0.8</v>
      </c>
      <c r="G21" s="107">
        <v>0.8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107">
        <v>0</v>
      </c>
      <c r="N21" s="107">
        <v>0</v>
      </c>
      <c r="O21" s="107">
        <v>0</v>
      </c>
      <c r="P21" s="107">
        <v>0</v>
      </c>
      <c r="Q21" s="107">
        <v>0</v>
      </c>
      <c r="R21" s="107">
        <v>0</v>
      </c>
      <c r="S21" s="107">
        <v>0</v>
      </c>
      <c r="T21" s="107">
        <v>0</v>
      </c>
      <c r="U21" s="107">
        <v>0</v>
      </c>
      <c r="V21" s="107">
        <v>0</v>
      </c>
      <c r="W21" s="107">
        <v>0</v>
      </c>
      <c r="X21" s="107">
        <v>0</v>
      </c>
      <c r="Y21" s="107">
        <v>0</v>
      </c>
      <c r="Z21" s="107">
        <v>0</v>
      </c>
      <c r="AA21" s="107">
        <v>0</v>
      </c>
      <c r="AB21" s="107">
        <v>0</v>
      </c>
      <c r="AC21" s="107">
        <v>0</v>
      </c>
      <c r="AD21" s="107">
        <v>0</v>
      </c>
      <c r="AE21" s="107">
        <v>0</v>
      </c>
      <c r="AF21" s="107">
        <v>0</v>
      </c>
      <c r="AG21" s="107">
        <v>0</v>
      </c>
      <c r="AH21" s="107">
        <v>0</v>
      </c>
    </row>
    <row r="22" spans="1:34" customFormat="1" x14ac:dyDescent="0.15">
      <c r="A22" s="182" t="s">
        <v>212</v>
      </c>
      <c r="B22" s="107">
        <v>0.8</v>
      </c>
      <c r="C22" s="107">
        <v>0</v>
      </c>
      <c r="D22" s="107">
        <v>0.8</v>
      </c>
      <c r="E22" s="107">
        <v>0.8</v>
      </c>
      <c r="F22" s="107">
        <v>0.8</v>
      </c>
      <c r="G22" s="107">
        <v>0.8</v>
      </c>
      <c r="H22" s="107">
        <v>0</v>
      </c>
      <c r="I22" s="107">
        <v>0</v>
      </c>
      <c r="J22" s="107">
        <v>0.8</v>
      </c>
      <c r="K22" s="107">
        <v>0.8</v>
      </c>
      <c r="L22" s="107">
        <v>0.8</v>
      </c>
      <c r="M22" s="107">
        <v>0</v>
      </c>
      <c r="N22" s="107">
        <v>0.8</v>
      </c>
      <c r="O22" s="107">
        <v>0.8</v>
      </c>
      <c r="P22" s="107">
        <v>0.8</v>
      </c>
      <c r="Q22" s="107">
        <v>0.8</v>
      </c>
      <c r="R22" s="107">
        <v>0</v>
      </c>
      <c r="S22" s="107">
        <v>0</v>
      </c>
      <c r="T22" s="107">
        <v>0</v>
      </c>
      <c r="U22" s="107">
        <v>0.8</v>
      </c>
      <c r="V22" s="107">
        <v>0</v>
      </c>
      <c r="W22" s="107">
        <v>0</v>
      </c>
      <c r="X22" s="107">
        <v>0</v>
      </c>
      <c r="Y22" s="107">
        <v>0</v>
      </c>
      <c r="Z22" s="107">
        <v>0</v>
      </c>
      <c r="AA22" s="107">
        <v>0</v>
      </c>
      <c r="AB22" s="107">
        <v>0</v>
      </c>
      <c r="AC22" s="107">
        <v>0</v>
      </c>
      <c r="AD22" s="107">
        <v>0</v>
      </c>
      <c r="AE22" s="107">
        <v>0</v>
      </c>
      <c r="AF22" s="107">
        <v>0</v>
      </c>
      <c r="AG22" s="107">
        <v>0</v>
      </c>
      <c r="AH22" s="107">
        <v>0</v>
      </c>
    </row>
    <row r="23" spans="1:34" customFormat="1" x14ac:dyDescent="0.15">
      <c r="A23" s="182" t="s">
        <v>213</v>
      </c>
      <c r="B23" s="107">
        <v>0.8</v>
      </c>
      <c r="C23" s="107">
        <v>0.8</v>
      </c>
      <c r="D23" s="107">
        <v>0</v>
      </c>
      <c r="E23" s="107">
        <v>0.8</v>
      </c>
      <c r="F23" s="107">
        <v>0.8</v>
      </c>
      <c r="G23" s="107">
        <v>0.8</v>
      </c>
      <c r="H23" s="107">
        <v>0.8</v>
      </c>
      <c r="I23" s="107">
        <v>0</v>
      </c>
      <c r="J23" s="107">
        <v>0.8</v>
      </c>
      <c r="K23" s="107">
        <v>0</v>
      </c>
      <c r="L23" s="107">
        <v>0.8</v>
      </c>
      <c r="M23" s="107">
        <v>0</v>
      </c>
      <c r="N23" s="107">
        <v>0.8</v>
      </c>
      <c r="O23" s="107">
        <v>0.8</v>
      </c>
      <c r="P23" s="107">
        <v>0.8</v>
      </c>
      <c r="Q23" s="107">
        <v>0.8</v>
      </c>
      <c r="R23" s="107">
        <v>0</v>
      </c>
      <c r="S23" s="107">
        <v>0</v>
      </c>
      <c r="T23" s="107">
        <v>0</v>
      </c>
      <c r="U23" s="107">
        <v>0</v>
      </c>
      <c r="V23" s="107">
        <v>0</v>
      </c>
      <c r="W23" s="107">
        <v>0</v>
      </c>
      <c r="X23" s="107">
        <v>0</v>
      </c>
      <c r="Y23" s="107">
        <v>0</v>
      </c>
      <c r="Z23" s="107">
        <v>0</v>
      </c>
      <c r="AA23" s="107">
        <v>0</v>
      </c>
      <c r="AB23" s="107">
        <v>0</v>
      </c>
      <c r="AC23" s="107">
        <v>0</v>
      </c>
      <c r="AD23" s="107">
        <v>0</v>
      </c>
      <c r="AE23" s="107">
        <v>0</v>
      </c>
      <c r="AF23" s="107">
        <v>0</v>
      </c>
      <c r="AG23" s="107">
        <v>0</v>
      </c>
      <c r="AH23" s="107">
        <v>0</v>
      </c>
    </row>
    <row r="24" spans="1:34" customFormat="1" x14ac:dyDescent="0.15">
      <c r="A24" s="182" t="s">
        <v>214</v>
      </c>
      <c r="B24" s="107">
        <v>0.8</v>
      </c>
      <c r="C24" s="107">
        <v>0</v>
      </c>
      <c r="D24" s="107">
        <v>0</v>
      </c>
      <c r="E24" s="107">
        <v>0.8</v>
      </c>
      <c r="F24" s="107">
        <v>0.8</v>
      </c>
      <c r="G24" s="107">
        <v>0</v>
      </c>
      <c r="H24" s="107">
        <v>0.8</v>
      </c>
      <c r="I24" s="107">
        <v>0.8</v>
      </c>
      <c r="J24" s="107">
        <v>0.8</v>
      </c>
      <c r="K24" s="107">
        <v>0.8</v>
      </c>
      <c r="L24" s="107">
        <v>0.8</v>
      </c>
      <c r="M24" s="107">
        <v>0</v>
      </c>
      <c r="N24" s="107">
        <v>0.8</v>
      </c>
      <c r="O24" s="107">
        <v>0.8</v>
      </c>
      <c r="P24" s="107">
        <v>0.8</v>
      </c>
      <c r="Q24" s="107">
        <v>0.8</v>
      </c>
      <c r="R24" s="107">
        <v>0</v>
      </c>
      <c r="S24" s="107">
        <v>0</v>
      </c>
      <c r="T24" s="107">
        <v>0</v>
      </c>
      <c r="U24" s="107">
        <v>0.8</v>
      </c>
      <c r="V24" s="107">
        <v>0.8</v>
      </c>
      <c r="W24" s="107">
        <v>0</v>
      </c>
      <c r="X24" s="107">
        <v>0</v>
      </c>
      <c r="Y24" s="107">
        <v>0.8</v>
      </c>
      <c r="Z24" s="107">
        <v>0</v>
      </c>
      <c r="AA24" s="107">
        <v>0</v>
      </c>
      <c r="AB24" s="107">
        <v>0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  <c r="AH24" s="107">
        <v>0</v>
      </c>
    </row>
    <row r="25" spans="1:34" customFormat="1" x14ac:dyDescent="0.15">
      <c r="A25" s="182" t="s">
        <v>215</v>
      </c>
      <c r="B25" s="107">
        <v>0</v>
      </c>
      <c r="C25" s="107">
        <v>0</v>
      </c>
      <c r="D25" s="107">
        <v>0</v>
      </c>
      <c r="E25" s="107">
        <v>0.8</v>
      </c>
      <c r="F25" s="107">
        <v>0.8</v>
      </c>
      <c r="G25" s="107">
        <v>0</v>
      </c>
      <c r="H25" s="107">
        <v>0.8</v>
      </c>
      <c r="I25" s="107">
        <v>0.8</v>
      </c>
      <c r="J25" s="107">
        <v>0</v>
      </c>
      <c r="K25" s="107">
        <v>0</v>
      </c>
      <c r="L25" s="107">
        <v>0.8</v>
      </c>
      <c r="M25" s="107">
        <v>0.8</v>
      </c>
      <c r="N25" s="107">
        <v>0.8</v>
      </c>
      <c r="O25" s="107">
        <v>0</v>
      </c>
      <c r="P25" s="107">
        <v>0.8</v>
      </c>
      <c r="Q25" s="107">
        <v>0.8</v>
      </c>
      <c r="R25" s="107">
        <v>0</v>
      </c>
      <c r="S25" s="107">
        <v>0</v>
      </c>
      <c r="T25" s="107">
        <v>0</v>
      </c>
      <c r="U25" s="107">
        <v>0.8</v>
      </c>
      <c r="V25" s="107">
        <v>0</v>
      </c>
      <c r="W25" s="107">
        <v>0</v>
      </c>
      <c r="X25" s="107">
        <v>0</v>
      </c>
      <c r="Y25" s="107">
        <v>0.8</v>
      </c>
      <c r="Z25" s="107">
        <v>0</v>
      </c>
      <c r="AA25" s="107">
        <v>0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  <c r="AH25" s="107">
        <v>0</v>
      </c>
    </row>
    <row r="26" spans="1:34" customFormat="1" x14ac:dyDescent="0.15">
      <c r="A26" s="182" t="s">
        <v>216</v>
      </c>
      <c r="B26" s="107">
        <v>0</v>
      </c>
      <c r="C26" s="107">
        <v>0</v>
      </c>
      <c r="D26" s="107">
        <v>0</v>
      </c>
      <c r="E26" s="107">
        <v>0</v>
      </c>
      <c r="F26" s="107">
        <v>0</v>
      </c>
      <c r="G26" s="107">
        <v>0</v>
      </c>
      <c r="H26" s="107">
        <v>0.8</v>
      </c>
      <c r="I26" s="107">
        <v>0.8</v>
      </c>
      <c r="J26" s="107">
        <v>0.8</v>
      </c>
      <c r="K26" s="107">
        <v>0</v>
      </c>
      <c r="L26" s="107">
        <v>0.8</v>
      </c>
      <c r="M26" s="107">
        <v>0.8</v>
      </c>
      <c r="N26" s="107">
        <v>0.8</v>
      </c>
      <c r="O26" s="107">
        <v>0</v>
      </c>
      <c r="P26" s="107">
        <v>0.8</v>
      </c>
      <c r="Q26" s="107">
        <v>0.8</v>
      </c>
      <c r="R26" s="107">
        <v>0</v>
      </c>
      <c r="S26" s="107">
        <v>0</v>
      </c>
      <c r="T26" s="107">
        <v>0</v>
      </c>
      <c r="U26" s="107">
        <v>0.8</v>
      </c>
      <c r="V26" s="107">
        <v>0</v>
      </c>
      <c r="W26" s="107">
        <v>0</v>
      </c>
      <c r="X26" s="107">
        <v>0</v>
      </c>
      <c r="Y26" s="107">
        <v>0.8</v>
      </c>
      <c r="Z26" s="107">
        <v>0</v>
      </c>
      <c r="AA26" s="107">
        <v>0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  <c r="AH26" s="107">
        <v>0</v>
      </c>
    </row>
    <row r="27" spans="1:34" customFormat="1" x14ac:dyDescent="0.15">
      <c r="A27" s="182" t="s">
        <v>217</v>
      </c>
      <c r="B27" s="107">
        <v>0</v>
      </c>
      <c r="C27" s="107">
        <v>0</v>
      </c>
      <c r="D27" s="107">
        <v>0</v>
      </c>
      <c r="E27" s="107">
        <v>0</v>
      </c>
      <c r="F27" s="107">
        <v>0.8</v>
      </c>
      <c r="G27" s="107">
        <v>0.8</v>
      </c>
      <c r="H27" s="107">
        <v>0.8</v>
      </c>
      <c r="I27" s="107">
        <v>0.8</v>
      </c>
      <c r="J27" s="107">
        <v>0</v>
      </c>
      <c r="K27" s="107">
        <v>0.8</v>
      </c>
      <c r="L27" s="107">
        <v>0.8</v>
      </c>
      <c r="M27" s="107">
        <v>0.8</v>
      </c>
      <c r="N27" s="107">
        <v>0.8</v>
      </c>
      <c r="O27" s="107">
        <v>0.8</v>
      </c>
      <c r="P27" s="107">
        <v>0.8</v>
      </c>
      <c r="Q27" s="107">
        <v>0.8</v>
      </c>
      <c r="R27" s="107">
        <v>0</v>
      </c>
      <c r="S27" s="107">
        <v>0</v>
      </c>
      <c r="T27" s="107">
        <v>0</v>
      </c>
      <c r="U27" s="107">
        <v>0</v>
      </c>
      <c r="V27" s="107">
        <v>0.8</v>
      </c>
      <c r="W27" s="107">
        <v>0</v>
      </c>
      <c r="X27" s="107">
        <v>0</v>
      </c>
      <c r="Y27" s="107">
        <v>0.8</v>
      </c>
      <c r="Z27" s="107">
        <v>0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</row>
    <row r="28" spans="1:34" customFormat="1" x14ac:dyDescent="0.15">
      <c r="A28" s="182" t="s">
        <v>218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0</v>
      </c>
      <c r="H28" s="107">
        <v>0.8</v>
      </c>
      <c r="I28" s="107">
        <v>0.8</v>
      </c>
      <c r="J28" s="107">
        <v>0.8</v>
      </c>
      <c r="K28" s="107">
        <v>0</v>
      </c>
      <c r="L28" s="107">
        <v>0.8</v>
      </c>
      <c r="M28" s="107">
        <v>0.8</v>
      </c>
      <c r="N28" s="107">
        <v>0.8</v>
      </c>
      <c r="O28" s="107">
        <v>0</v>
      </c>
      <c r="P28" s="107">
        <v>0.8</v>
      </c>
      <c r="Q28" s="107">
        <v>0.8</v>
      </c>
      <c r="R28" s="107">
        <v>0</v>
      </c>
      <c r="S28" s="107">
        <v>0</v>
      </c>
      <c r="T28" s="107">
        <v>0</v>
      </c>
      <c r="U28" s="107">
        <v>0.8</v>
      </c>
      <c r="V28" s="107">
        <v>0</v>
      </c>
      <c r="W28" s="107">
        <v>0</v>
      </c>
      <c r="X28" s="107">
        <v>0.8</v>
      </c>
      <c r="Y28" s="107">
        <v>0.8</v>
      </c>
      <c r="Z28" s="107">
        <v>0</v>
      </c>
      <c r="AA28" s="107">
        <v>0</v>
      </c>
      <c r="AB28" s="107">
        <v>0.8</v>
      </c>
      <c r="AC28" s="107">
        <v>0</v>
      </c>
      <c r="AD28" s="107">
        <v>0</v>
      </c>
      <c r="AE28" s="107">
        <v>0</v>
      </c>
      <c r="AF28" s="107">
        <v>0</v>
      </c>
      <c r="AG28" s="107">
        <v>0</v>
      </c>
      <c r="AH28" s="107">
        <v>0</v>
      </c>
    </row>
    <row r="29" spans="1:34" customFormat="1" x14ac:dyDescent="0.15">
      <c r="A29" s="182" t="s">
        <v>219</v>
      </c>
      <c r="B29" s="107">
        <v>0</v>
      </c>
      <c r="C29" s="107">
        <v>0</v>
      </c>
      <c r="D29" s="107">
        <v>0</v>
      </c>
      <c r="E29" s="107">
        <v>0</v>
      </c>
      <c r="F29" s="107">
        <v>0.8</v>
      </c>
      <c r="G29" s="107">
        <v>0.8</v>
      </c>
      <c r="H29" s="107">
        <v>0.8</v>
      </c>
      <c r="I29" s="107">
        <v>0.8</v>
      </c>
      <c r="J29" s="107">
        <v>0.8</v>
      </c>
      <c r="K29" s="107">
        <v>0</v>
      </c>
      <c r="L29" s="107">
        <v>0.8</v>
      </c>
      <c r="M29" s="107">
        <v>0.8</v>
      </c>
      <c r="N29" s="107">
        <v>0</v>
      </c>
      <c r="O29" s="107">
        <v>0</v>
      </c>
      <c r="P29" s="107">
        <v>0.8</v>
      </c>
      <c r="Q29" s="107">
        <v>0.8</v>
      </c>
      <c r="R29" s="107">
        <v>0</v>
      </c>
      <c r="S29" s="107">
        <v>0.8</v>
      </c>
      <c r="T29" s="107">
        <v>0</v>
      </c>
      <c r="U29" s="107">
        <v>0.8</v>
      </c>
      <c r="V29" s="107">
        <v>0</v>
      </c>
      <c r="W29" s="107">
        <v>0.8</v>
      </c>
      <c r="X29" s="107">
        <v>0.8</v>
      </c>
      <c r="Y29" s="107">
        <v>0.8</v>
      </c>
      <c r="Z29" s="107">
        <v>0</v>
      </c>
      <c r="AA29" s="107">
        <v>0</v>
      </c>
      <c r="AB29" s="107">
        <v>0</v>
      </c>
      <c r="AC29" s="107">
        <v>0</v>
      </c>
      <c r="AD29" s="107">
        <v>0</v>
      </c>
      <c r="AE29" s="107">
        <v>0</v>
      </c>
      <c r="AF29" s="107">
        <v>0</v>
      </c>
      <c r="AG29" s="107">
        <v>0</v>
      </c>
      <c r="AH29" s="107">
        <v>0</v>
      </c>
    </row>
    <row r="30" spans="1:34" customFormat="1" x14ac:dyDescent="0.15">
      <c r="A30" s="182" t="s">
        <v>220</v>
      </c>
      <c r="B30" s="107">
        <v>0.8</v>
      </c>
      <c r="C30" s="107">
        <v>0.8</v>
      </c>
      <c r="D30" s="107">
        <v>0</v>
      </c>
      <c r="E30" s="107">
        <v>0</v>
      </c>
      <c r="F30" s="107">
        <v>0</v>
      </c>
      <c r="G30" s="107">
        <v>0</v>
      </c>
      <c r="H30" s="107">
        <v>0.8</v>
      </c>
      <c r="I30" s="107">
        <v>0.8</v>
      </c>
      <c r="J30" s="107">
        <v>0.8</v>
      </c>
      <c r="K30" s="107">
        <v>0.8</v>
      </c>
      <c r="L30" s="107">
        <v>0.8</v>
      </c>
      <c r="M30" s="107">
        <v>0.8</v>
      </c>
      <c r="N30" s="107">
        <v>0.8</v>
      </c>
      <c r="O30" s="107">
        <v>0.8</v>
      </c>
      <c r="P30" s="107">
        <v>0.8</v>
      </c>
      <c r="Q30" s="107">
        <v>0.8</v>
      </c>
      <c r="R30" s="107">
        <v>0.8</v>
      </c>
      <c r="S30" s="107">
        <v>0.8</v>
      </c>
      <c r="T30" s="107">
        <v>0.8</v>
      </c>
      <c r="U30" s="107">
        <v>0.8</v>
      </c>
      <c r="V30" s="107">
        <v>0.8</v>
      </c>
      <c r="W30" s="107">
        <v>0</v>
      </c>
      <c r="X30" s="107">
        <v>0.8</v>
      </c>
      <c r="Y30" s="107">
        <v>0.8</v>
      </c>
      <c r="Z30" s="107">
        <v>0</v>
      </c>
      <c r="AA30" s="107">
        <v>0</v>
      </c>
      <c r="AB30" s="107">
        <v>0</v>
      </c>
      <c r="AC30" s="107">
        <v>0</v>
      </c>
      <c r="AD30" s="107">
        <v>0</v>
      </c>
      <c r="AE30" s="107">
        <v>0</v>
      </c>
      <c r="AF30" s="107">
        <v>0</v>
      </c>
      <c r="AG30" s="107">
        <v>0</v>
      </c>
      <c r="AH30" s="107">
        <v>0</v>
      </c>
    </row>
    <row r="31" spans="1:34" customFormat="1" x14ac:dyDescent="0.15">
      <c r="A31" s="182" t="s">
        <v>221</v>
      </c>
      <c r="B31" s="107">
        <v>0.8</v>
      </c>
      <c r="C31" s="107">
        <v>0</v>
      </c>
      <c r="D31" s="107">
        <v>0</v>
      </c>
      <c r="E31" s="107">
        <v>0</v>
      </c>
      <c r="F31" s="107">
        <v>0</v>
      </c>
      <c r="G31" s="107">
        <v>0.8</v>
      </c>
      <c r="H31" s="107">
        <v>0.8</v>
      </c>
      <c r="I31" s="107">
        <v>0.8</v>
      </c>
      <c r="J31" s="107">
        <v>0.8</v>
      </c>
      <c r="K31" s="107">
        <v>0.8</v>
      </c>
      <c r="L31" s="107">
        <v>0.8</v>
      </c>
      <c r="M31" s="107">
        <v>0.8</v>
      </c>
      <c r="N31" s="107">
        <v>0.8</v>
      </c>
      <c r="O31" s="107">
        <v>0.8</v>
      </c>
      <c r="P31" s="107">
        <v>0.8</v>
      </c>
      <c r="Q31" s="107">
        <v>0.8</v>
      </c>
      <c r="R31" s="107">
        <v>0.8</v>
      </c>
      <c r="S31" s="107">
        <v>0.8</v>
      </c>
      <c r="T31" s="107">
        <v>0.8</v>
      </c>
      <c r="U31" s="107">
        <v>0</v>
      </c>
      <c r="V31" s="107">
        <v>0.8</v>
      </c>
      <c r="W31" s="107">
        <v>0.8</v>
      </c>
      <c r="X31" s="107">
        <v>0.8</v>
      </c>
      <c r="Y31" s="107">
        <v>0.8</v>
      </c>
      <c r="Z31" s="107">
        <v>0</v>
      </c>
      <c r="AA31" s="107">
        <v>0</v>
      </c>
      <c r="AB31" s="107">
        <v>0</v>
      </c>
      <c r="AC31" s="107">
        <v>0</v>
      </c>
      <c r="AD31" s="107">
        <v>0.8</v>
      </c>
      <c r="AE31" s="107">
        <v>0.8</v>
      </c>
      <c r="AF31" s="107">
        <v>0</v>
      </c>
      <c r="AG31" s="107">
        <v>0</v>
      </c>
      <c r="AH31" s="107">
        <v>0</v>
      </c>
    </row>
    <row r="32" spans="1:34" customFormat="1" x14ac:dyDescent="0.15">
      <c r="A32" s="182" t="s">
        <v>222</v>
      </c>
      <c r="B32" s="107">
        <v>0</v>
      </c>
      <c r="C32" s="107">
        <v>0</v>
      </c>
      <c r="D32" s="107">
        <v>0</v>
      </c>
      <c r="E32" s="107">
        <v>0</v>
      </c>
      <c r="F32" s="107">
        <v>0</v>
      </c>
      <c r="G32" s="107">
        <v>0</v>
      </c>
      <c r="H32" s="107">
        <v>0</v>
      </c>
      <c r="I32" s="107">
        <v>0</v>
      </c>
      <c r="J32" s="107">
        <v>0</v>
      </c>
      <c r="K32" s="107">
        <v>0</v>
      </c>
      <c r="L32" s="107">
        <v>0</v>
      </c>
      <c r="M32" s="107">
        <v>0</v>
      </c>
      <c r="N32" s="107">
        <v>0</v>
      </c>
      <c r="O32" s="107">
        <v>0</v>
      </c>
      <c r="P32" s="107">
        <v>0</v>
      </c>
      <c r="Q32" s="107">
        <v>0</v>
      </c>
      <c r="R32" s="107">
        <v>0</v>
      </c>
      <c r="S32" s="107">
        <v>0.8</v>
      </c>
      <c r="T32" s="107">
        <v>0</v>
      </c>
      <c r="U32" s="107">
        <v>0</v>
      </c>
      <c r="V32" s="107">
        <v>0</v>
      </c>
      <c r="W32" s="107">
        <v>0</v>
      </c>
      <c r="X32" s="107">
        <v>0.8</v>
      </c>
      <c r="Y32" s="107">
        <v>0</v>
      </c>
      <c r="Z32" s="107">
        <v>0</v>
      </c>
      <c r="AA32" s="107">
        <v>0.8</v>
      </c>
      <c r="AB32" s="107">
        <v>0.8</v>
      </c>
      <c r="AC32" s="107">
        <v>0</v>
      </c>
      <c r="AD32" s="107">
        <v>0.8</v>
      </c>
      <c r="AE32" s="107">
        <v>0.8</v>
      </c>
      <c r="AF32" s="107">
        <v>0</v>
      </c>
      <c r="AG32" s="107">
        <v>0</v>
      </c>
      <c r="AH32" s="107">
        <v>0</v>
      </c>
    </row>
    <row r="33" spans="1:34" x14ac:dyDescent="0.15">
      <c r="A33" s="182" t="s">
        <v>223</v>
      </c>
      <c r="B33" s="107">
        <v>0</v>
      </c>
      <c r="C33" s="107">
        <v>0</v>
      </c>
      <c r="D33" s="107">
        <v>0</v>
      </c>
      <c r="E33" s="107">
        <v>0</v>
      </c>
      <c r="F33" s="107">
        <v>0</v>
      </c>
      <c r="G33" s="107">
        <v>0</v>
      </c>
      <c r="H33" s="107">
        <v>0</v>
      </c>
      <c r="I33" s="107">
        <v>0</v>
      </c>
      <c r="J33" s="107">
        <v>0</v>
      </c>
      <c r="K33" s="107">
        <v>0</v>
      </c>
      <c r="L33" s="107">
        <v>0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</v>
      </c>
      <c r="V33" s="107">
        <v>0</v>
      </c>
      <c r="W33" s="107">
        <v>0</v>
      </c>
      <c r="X33" s="107">
        <v>0.8</v>
      </c>
      <c r="Y33" s="107">
        <v>0</v>
      </c>
      <c r="Z33" s="107">
        <v>0.8</v>
      </c>
      <c r="AA33" s="107">
        <v>0.8</v>
      </c>
      <c r="AB33" s="107">
        <v>0.8</v>
      </c>
      <c r="AC33" s="107">
        <v>0.8</v>
      </c>
      <c r="AD33" s="107">
        <v>0.8</v>
      </c>
      <c r="AE33" s="107">
        <v>0.8</v>
      </c>
      <c r="AF33" s="107">
        <v>0</v>
      </c>
      <c r="AG33" s="107">
        <v>0</v>
      </c>
      <c r="AH33" s="107">
        <v>0</v>
      </c>
    </row>
    <row r="34" spans="1:34" x14ac:dyDescent="0.15">
      <c r="A34" s="182" t="s">
        <v>224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  <c r="AH34" s="107">
        <v>0</v>
      </c>
    </row>
    <row r="35" spans="1:34" x14ac:dyDescent="0.15">
      <c r="A35" s="182" t="s">
        <v>226</v>
      </c>
      <c r="B35" s="107">
        <v>0</v>
      </c>
      <c r="C35" s="107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H35"/>
  <sheetViews>
    <sheetView workbookViewId="0">
      <selection activeCell="A3" sqref="A3"/>
    </sheetView>
  </sheetViews>
  <sheetFormatPr baseColWidth="10" defaultRowHeight="13" x14ac:dyDescent="0.15"/>
  <cols>
    <col min="1" max="1" width="21.6640625" style="107" bestFit="1" customWidth="1"/>
    <col min="2" max="34" width="2.33203125" style="107" customWidth="1"/>
    <col min="35" max="16384" width="10.83203125" style="107"/>
  </cols>
  <sheetData>
    <row r="1" spans="1:34" x14ac:dyDescent="0.15">
      <c r="A1" s="63" t="s">
        <v>139</v>
      </c>
      <c r="B1" s="185" t="s">
        <v>192</v>
      </c>
      <c r="C1" s="185" t="s">
        <v>193</v>
      </c>
      <c r="D1" s="185" t="s">
        <v>194</v>
      </c>
      <c r="E1" s="185" t="s">
        <v>195</v>
      </c>
      <c r="F1" s="185" t="s">
        <v>196</v>
      </c>
      <c r="G1" s="185" t="s">
        <v>197</v>
      </c>
      <c r="H1" s="185" t="s">
        <v>198</v>
      </c>
      <c r="I1" s="185" t="s">
        <v>199</v>
      </c>
      <c r="J1" s="185" t="s">
        <v>200</v>
      </c>
      <c r="K1" s="185" t="s">
        <v>201</v>
      </c>
      <c r="L1" s="185" t="s">
        <v>202</v>
      </c>
      <c r="M1" s="185" t="s">
        <v>203</v>
      </c>
      <c r="N1" s="185" t="s">
        <v>204</v>
      </c>
      <c r="O1" s="185" t="s">
        <v>205</v>
      </c>
      <c r="P1" s="185" t="s">
        <v>206</v>
      </c>
      <c r="Q1" s="185" t="s">
        <v>207</v>
      </c>
      <c r="R1" s="185" t="s">
        <v>208</v>
      </c>
      <c r="S1" s="185" t="s">
        <v>209</v>
      </c>
      <c r="T1" s="185" t="s">
        <v>210</v>
      </c>
      <c r="U1" s="185" t="s">
        <v>211</v>
      </c>
      <c r="V1" s="185" t="s">
        <v>212</v>
      </c>
      <c r="W1" s="185" t="s">
        <v>213</v>
      </c>
      <c r="X1" s="185" t="s">
        <v>214</v>
      </c>
      <c r="Y1" s="185" t="s">
        <v>215</v>
      </c>
      <c r="Z1" s="185" t="s">
        <v>216</v>
      </c>
      <c r="AA1" s="185" t="s">
        <v>217</v>
      </c>
      <c r="AB1" s="185" t="s">
        <v>218</v>
      </c>
      <c r="AC1" s="185" t="s">
        <v>219</v>
      </c>
      <c r="AD1" s="185" t="s">
        <v>220</v>
      </c>
      <c r="AE1" s="185" t="s">
        <v>221</v>
      </c>
      <c r="AF1" s="185" t="s">
        <v>222</v>
      </c>
      <c r="AG1" s="185" t="s">
        <v>223</v>
      </c>
      <c r="AH1" s="185" t="s">
        <v>224</v>
      </c>
    </row>
    <row r="2" spans="1:34" customFormat="1" x14ac:dyDescent="0.15">
      <c r="A2" s="184" t="s">
        <v>192</v>
      </c>
      <c r="B2" s="107">
        <v>0</v>
      </c>
      <c r="C2" s="107">
        <v>0</v>
      </c>
      <c r="D2" s="107">
        <v>0</v>
      </c>
      <c r="E2" s="107">
        <v>0</v>
      </c>
      <c r="F2" s="107">
        <v>0</v>
      </c>
      <c r="G2" s="107">
        <v>0</v>
      </c>
      <c r="H2" s="107">
        <v>0</v>
      </c>
      <c r="I2" s="107">
        <v>0</v>
      </c>
      <c r="J2" s="107">
        <v>0</v>
      </c>
      <c r="K2" s="107">
        <v>0</v>
      </c>
      <c r="L2" s="107">
        <v>0</v>
      </c>
      <c r="M2" s="107">
        <v>0</v>
      </c>
      <c r="N2" s="107">
        <v>0</v>
      </c>
      <c r="O2" s="107">
        <v>0</v>
      </c>
      <c r="P2" s="107">
        <v>0</v>
      </c>
      <c r="Q2" s="107">
        <v>0</v>
      </c>
      <c r="R2" s="107">
        <v>0</v>
      </c>
      <c r="S2" s="107">
        <v>0</v>
      </c>
      <c r="T2" s="107">
        <v>0</v>
      </c>
      <c r="U2" s="107">
        <v>0</v>
      </c>
      <c r="V2" s="107">
        <v>0</v>
      </c>
      <c r="W2" s="107">
        <v>0</v>
      </c>
      <c r="X2" s="107">
        <v>0</v>
      </c>
      <c r="Y2" s="107">
        <v>0</v>
      </c>
      <c r="Z2" s="107">
        <v>0</v>
      </c>
      <c r="AA2" s="107">
        <v>0</v>
      </c>
      <c r="AB2" s="107">
        <v>0</v>
      </c>
      <c r="AC2" s="107">
        <v>0</v>
      </c>
      <c r="AD2" s="107">
        <v>0</v>
      </c>
      <c r="AE2" s="107">
        <v>0</v>
      </c>
      <c r="AF2" s="107">
        <v>0</v>
      </c>
      <c r="AG2" s="107">
        <v>0</v>
      </c>
      <c r="AH2" s="107">
        <v>0</v>
      </c>
    </row>
    <row r="3" spans="1:34" customFormat="1" x14ac:dyDescent="0.15">
      <c r="A3" s="184" t="s">
        <v>193</v>
      </c>
      <c r="B3" s="107"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</v>
      </c>
      <c r="AF3" s="107">
        <v>0</v>
      </c>
      <c r="AG3" s="107">
        <v>0</v>
      </c>
      <c r="AH3" s="107">
        <v>0</v>
      </c>
    </row>
    <row r="4" spans="1:34" customFormat="1" x14ac:dyDescent="0.15">
      <c r="A4" s="184" t="s">
        <v>194</v>
      </c>
      <c r="B4" s="107">
        <v>0</v>
      </c>
      <c r="C4" s="107">
        <v>0</v>
      </c>
      <c r="D4" s="107">
        <v>0</v>
      </c>
      <c r="E4" s="107">
        <v>0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</row>
    <row r="5" spans="1:34" customFormat="1" x14ac:dyDescent="0.15">
      <c r="A5" s="184" t="s">
        <v>195</v>
      </c>
      <c r="B5" s="107">
        <v>0</v>
      </c>
      <c r="C5" s="107">
        <v>0</v>
      </c>
      <c r="D5" s="107">
        <v>0</v>
      </c>
      <c r="E5" s="107">
        <v>0</v>
      </c>
      <c r="F5" s="107">
        <v>0</v>
      </c>
      <c r="G5" s="107">
        <v>0</v>
      </c>
      <c r="H5" s="107">
        <v>0</v>
      </c>
      <c r="I5" s="107">
        <v>0</v>
      </c>
      <c r="J5" s="107">
        <v>0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0</v>
      </c>
      <c r="X5" s="107">
        <v>0</v>
      </c>
      <c r="Y5" s="107">
        <v>0</v>
      </c>
      <c r="Z5" s="107">
        <v>0</v>
      </c>
      <c r="AA5" s="107">
        <v>0</v>
      </c>
      <c r="AB5" s="107">
        <v>0</v>
      </c>
      <c r="AC5" s="107">
        <v>0</v>
      </c>
      <c r="AD5" s="107">
        <v>0</v>
      </c>
      <c r="AE5" s="107">
        <v>0</v>
      </c>
      <c r="AF5" s="107">
        <v>0</v>
      </c>
      <c r="AG5" s="107">
        <v>0</v>
      </c>
      <c r="AH5" s="107">
        <v>0</v>
      </c>
    </row>
    <row r="6" spans="1:34" customFormat="1" x14ac:dyDescent="0.15">
      <c r="A6" s="184" t="s">
        <v>196</v>
      </c>
      <c r="B6" s="107">
        <v>0</v>
      </c>
      <c r="C6" s="107">
        <v>0</v>
      </c>
      <c r="D6" s="107">
        <v>0</v>
      </c>
      <c r="E6" s="107">
        <v>0</v>
      </c>
      <c r="F6" s="107">
        <v>0</v>
      </c>
      <c r="G6" s="107">
        <v>0</v>
      </c>
      <c r="H6" s="107">
        <v>0</v>
      </c>
      <c r="I6" s="107">
        <v>0</v>
      </c>
      <c r="J6" s="107">
        <v>0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</v>
      </c>
      <c r="V6" s="107">
        <v>0</v>
      </c>
      <c r="W6" s="107">
        <v>0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0</v>
      </c>
      <c r="AD6" s="107">
        <v>0</v>
      </c>
      <c r="AE6" s="107">
        <v>0</v>
      </c>
      <c r="AF6" s="107">
        <v>0</v>
      </c>
      <c r="AG6" s="107">
        <v>0</v>
      </c>
      <c r="AH6" s="107">
        <v>0</v>
      </c>
    </row>
    <row r="7" spans="1:34" customFormat="1" x14ac:dyDescent="0.15">
      <c r="A7" s="184" t="s">
        <v>197</v>
      </c>
      <c r="B7" s="107">
        <v>0</v>
      </c>
      <c r="C7" s="107">
        <v>0</v>
      </c>
      <c r="D7" s="107">
        <v>0</v>
      </c>
      <c r="E7" s="107">
        <v>0</v>
      </c>
      <c r="F7" s="107">
        <v>0</v>
      </c>
      <c r="G7" s="107">
        <v>0</v>
      </c>
      <c r="H7" s="107">
        <v>0</v>
      </c>
      <c r="I7" s="107">
        <v>0</v>
      </c>
      <c r="J7" s="107">
        <v>0</v>
      </c>
      <c r="K7" s="107">
        <v>0</v>
      </c>
      <c r="L7" s="107">
        <v>0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</v>
      </c>
      <c r="T7" s="107">
        <v>0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</row>
    <row r="8" spans="1:34" customFormat="1" x14ac:dyDescent="0.15">
      <c r="A8" s="184" t="s">
        <v>198</v>
      </c>
      <c r="B8" s="107">
        <v>1</v>
      </c>
      <c r="C8" s="107">
        <v>1</v>
      </c>
      <c r="D8" s="107">
        <v>1</v>
      </c>
      <c r="E8" s="107">
        <v>1</v>
      </c>
      <c r="F8" s="107">
        <v>1</v>
      </c>
      <c r="G8" s="107">
        <v>0</v>
      </c>
      <c r="H8" s="107">
        <v>0</v>
      </c>
      <c r="I8" s="107">
        <v>0</v>
      </c>
      <c r="J8" s="107">
        <v>0</v>
      </c>
      <c r="K8" s="107">
        <v>0</v>
      </c>
      <c r="L8" s="107">
        <v>0</v>
      </c>
      <c r="M8" s="107">
        <v>0</v>
      </c>
      <c r="N8" s="107">
        <v>0</v>
      </c>
      <c r="O8" s="107">
        <v>0</v>
      </c>
      <c r="P8" s="107">
        <v>0</v>
      </c>
      <c r="Q8" s="107">
        <v>0</v>
      </c>
      <c r="R8" s="107">
        <v>0</v>
      </c>
      <c r="S8" s="107">
        <v>0</v>
      </c>
      <c r="T8" s="107">
        <v>0</v>
      </c>
      <c r="U8" s="107">
        <v>0</v>
      </c>
      <c r="V8" s="107">
        <v>0</v>
      </c>
      <c r="W8" s="107">
        <v>0</v>
      </c>
      <c r="X8" s="107">
        <v>0</v>
      </c>
      <c r="Y8" s="107">
        <v>0</v>
      </c>
      <c r="Z8" s="107">
        <v>0</v>
      </c>
      <c r="AA8" s="107">
        <v>0</v>
      </c>
      <c r="AB8" s="107">
        <v>0</v>
      </c>
      <c r="AC8" s="107">
        <v>0</v>
      </c>
      <c r="AD8" s="107">
        <v>0</v>
      </c>
      <c r="AE8" s="107">
        <v>0</v>
      </c>
      <c r="AF8" s="107">
        <v>0</v>
      </c>
      <c r="AG8" s="107">
        <v>0</v>
      </c>
      <c r="AH8" s="107">
        <v>0</v>
      </c>
    </row>
    <row r="9" spans="1:34" customFormat="1" x14ac:dyDescent="0.15">
      <c r="A9" s="184" t="s">
        <v>199</v>
      </c>
      <c r="B9" s="107">
        <v>1</v>
      </c>
      <c r="C9" s="107">
        <v>1</v>
      </c>
      <c r="D9" s="107">
        <v>1</v>
      </c>
      <c r="E9" s="107">
        <v>1</v>
      </c>
      <c r="F9" s="107">
        <v>1</v>
      </c>
      <c r="G9" s="107">
        <v>1</v>
      </c>
      <c r="H9" s="107">
        <v>1</v>
      </c>
      <c r="I9" s="107">
        <v>1</v>
      </c>
      <c r="J9" s="107">
        <v>1</v>
      </c>
      <c r="K9" s="107">
        <v>1</v>
      </c>
      <c r="L9" s="107">
        <v>1</v>
      </c>
      <c r="M9" s="107">
        <v>0</v>
      </c>
      <c r="N9" s="107">
        <v>1</v>
      </c>
      <c r="O9" s="107">
        <v>1</v>
      </c>
      <c r="P9" s="107">
        <v>1</v>
      </c>
      <c r="Q9" s="107">
        <v>0</v>
      </c>
      <c r="R9" s="107">
        <v>0</v>
      </c>
      <c r="S9" s="107">
        <v>0</v>
      </c>
      <c r="T9" s="107">
        <v>0</v>
      </c>
      <c r="U9" s="107">
        <v>1</v>
      </c>
      <c r="V9" s="107">
        <v>0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</v>
      </c>
      <c r="AC9" s="107">
        <v>0</v>
      </c>
      <c r="AD9" s="107">
        <v>0</v>
      </c>
      <c r="AE9" s="107">
        <v>0</v>
      </c>
      <c r="AF9" s="107">
        <v>0</v>
      </c>
      <c r="AG9" s="107">
        <v>0</v>
      </c>
      <c r="AH9" s="107">
        <v>0</v>
      </c>
    </row>
    <row r="10" spans="1:34" customFormat="1" x14ac:dyDescent="0.15">
      <c r="A10" s="184" t="s">
        <v>200</v>
      </c>
      <c r="B10" s="107">
        <v>0</v>
      </c>
      <c r="C10" s="107">
        <v>1</v>
      </c>
      <c r="D10" s="107">
        <v>1</v>
      </c>
      <c r="E10" s="107">
        <v>0</v>
      </c>
      <c r="F10" s="107">
        <v>0</v>
      </c>
      <c r="G10" s="107">
        <v>0</v>
      </c>
      <c r="H10" s="107">
        <v>0</v>
      </c>
      <c r="I10" s="107">
        <v>0</v>
      </c>
      <c r="J10" s="107">
        <v>0</v>
      </c>
      <c r="K10" s="107">
        <v>0</v>
      </c>
      <c r="L10" s="107">
        <v>0</v>
      </c>
      <c r="M10" s="107">
        <v>0</v>
      </c>
      <c r="N10" s="107">
        <v>0</v>
      </c>
      <c r="O10" s="107">
        <v>0</v>
      </c>
      <c r="P10" s="107">
        <v>0</v>
      </c>
      <c r="Q10" s="107">
        <v>0</v>
      </c>
      <c r="R10" s="107">
        <v>0</v>
      </c>
      <c r="S10" s="107">
        <v>0</v>
      </c>
      <c r="T10" s="107">
        <v>0</v>
      </c>
      <c r="U10" s="107">
        <v>0</v>
      </c>
      <c r="V10" s="107">
        <v>0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  <c r="AH10" s="107">
        <v>0</v>
      </c>
    </row>
    <row r="11" spans="1:34" customFormat="1" x14ac:dyDescent="0.15">
      <c r="A11" s="184" t="s">
        <v>201</v>
      </c>
      <c r="B11" s="107">
        <v>0</v>
      </c>
      <c r="C11" s="107">
        <v>1</v>
      </c>
      <c r="D11" s="107">
        <v>1</v>
      </c>
      <c r="E11" s="107">
        <v>1</v>
      </c>
      <c r="F11" s="107">
        <v>0</v>
      </c>
      <c r="G11" s="107">
        <v>1</v>
      </c>
      <c r="H11" s="107">
        <v>1</v>
      </c>
      <c r="I11" s="107">
        <v>0</v>
      </c>
      <c r="J11" s="107">
        <v>1</v>
      </c>
      <c r="K11" s="107">
        <v>1</v>
      </c>
      <c r="L11" s="107">
        <v>1</v>
      </c>
      <c r="M11" s="107">
        <v>0</v>
      </c>
      <c r="N11" s="107">
        <v>1</v>
      </c>
      <c r="O11" s="107">
        <v>0</v>
      </c>
      <c r="P11" s="107">
        <v>1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  <c r="W11" s="107">
        <v>0</v>
      </c>
      <c r="X11" s="107">
        <v>0</v>
      </c>
      <c r="Y11" s="107">
        <v>0</v>
      </c>
      <c r="Z11" s="107">
        <v>0</v>
      </c>
      <c r="AA11" s="107">
        <v>0</v>
      </c>
      <c r="AB11" s="107">
        <v>0</v>
      </c>
      <c r="AC11" s="107">
        <v>0</v>
      </c>
      <c r="AD11" s="107">
        <v>0</v>
      </c>
      <c r="AE11" s="107">
        <v>0</v>
      </c>
      <c r="AF11" s="107">
        <v>0</v>
      </c>
      <c r="AG11" s="107">
        <v>0</v>
      </c>
      <c r="AH11" s="107">
        <v>0</v>
      </c>
    </row>
    <row r="12" spans="1:34" customFormat="1" x14ac:dyDescent="0.15">
      <c r="A12" s="184" t="s">
        <v>202</v>
      </c>
      <c r="B12" s="107">
        <v>0</v>
      </c>
      <c r="C12" s="107">
        <v>1</v>
      </c>
      <c r="D12" s="107">
        <v>0</v>
      </c>
      <c r="E12" s="107">
        <v>0</v>
      </c>
      <c r="F12" s="107">
        <v>0</v>
      </c>
      <c r="G12" s="107">
        <v>1</v>
      </c>
      <c r="H12" s="107">
        <v>1</v>
      </c>
      <c r="I12" s="107">
        <v>0</v>
      </c>
      <c r="J12" s="107">
        <v>1</v>
      </c>
      <c r="K12" s="107">
        <v>0</v>
      </c>
      <c r="L12" s="107">
        <v>1</v>
      </c>
      <c r="M12" s="107">
        <v>0</v>
      </c>
      <c r="N12" s="107">
        <v>1</v>
      </c>
      <c r="O12" s="107">
        <v>0</v>
      </c>
      <c r="P12" s="107">
        <v>1</v>
      </c>
      <c r="Q12" s="107">
        <v>0</v>
      </c>
      <c r="R12" s="107">
        <v>0</v>
      </c>
      <c r="S12" s="107">
        <v>0</v>
      </c>
      <c r="T12" s="107">
        <v>0</v>
      </c>
      <c r="U12" s="107">
        <v>0</v>
      </c>
      <c r="V12" s="107">
        <v>0</v>
      </c>
      <c r="W12" s="107">
        <v>0</v>
      </c>
      <c r="X12" s="107">
        <v>0</v>
      </c>
      <c r="Y12" s="107">
        <v>0</v>
      </c>
      <c r="Z12" s="107">
        <v>0</v>
      </c>
      <c r="AA12" s="107">
        <v>0</v>
      </c>
      <c r="AB12" s="107">
        <v>0</v>
      </c>
      <c r="AC12" s="107">
        <v>0</v>
      </c>
      <c r="AD12" s="107">
        <v>0</v>
      </c>
      <c r="AE12" s="107">
        <v>0</v>
      </c>
      <c r="AF12" s="107">
        <v>0</v>
      </c>
      <c r="AG12" s="107">
        <v>0</v>
      </c>
      <c r="AH12" s="107">
        <v>0</v>
      </c>
    </row>
    <row r="13" spans="1:34" customFormat="1" x14ac:dyDescent="0.15">
      <c r="A13" s="184" t="s">
        <v>203</v>
      </c>
      <c r="B13" s="107">
        <v>0</v>
      </c>
      <c r="C13" s="107">
        <v>0</v>
      </c>
      <c r="D13" s="107">
        <v>0</v>
      </c>
      <c r="E13" s="107">
        <v>0</v>
      </c>
      <c r="F13" s="107">
        <v>1</v>
      </c>
      <c r="G13" s="107">
        <v>1</v>
      </c>
      <c r="H13" s="107">
        <v>1</v>
      </c>
      <c r="I13" s="107">
        <v>0</v>
      </c>
      <c r="J13" s="107">
        <v>1</v>
      </c>
      <c r="K13" s="107">
        <v>1</v>
      </c>
      <c r="L13" s="107">
        <v>1</v>
      </c>
      <c r="M13" s="107">
        <v>0</v>
      </c>
      <c r="N13" s="107">
        <v>1</v>
      </c>
      <c r="O13" s="107">
        <v>0</v>
      </c>
      <c r="P13" s="107">
        <v>1</v>
      </c>
      <c r="Q13" s="107">
        <v>0</v>
      </c>
      <c r="R13" s="107">
        <v>0</v>
      </c>
      <c r="S13" s="107">
        <v>0</v>
      </c>
      <c r="T13" s="107">
        <v>0</v>
      </c>
      <c r="U13" s="107">
        <v>1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0</v>
      </c>
      <c r="AC13" s="107">
        <v>0</v>
      </c>
      <c r="AD13" s="107">
        <v>0</v>
      </c>
      <c r="AE13" s="107">
        <v>0</v>
      </c>
      <c r="AF13" s="107">
        <v>0</v>
      </c>
      <c r="AG13" s="107">
        <v>0</v>
      </c>
      <c r="AH13" s="107">
        <v>0</v>
      </c>
    </row>
    <row r="14" spans="1:34" customFormat="1" x14ac:dyDescent="0.15">
      <c r="A14" s="184" t="s">
        <v>204</v>
      </c>
      <c r="B14" s="107">
        <v>0</v>
      </c>
      <c r="C14" s="107">
        <v>0</v>
      </c>
      <c r="D14" s="107">
        <v>0</v>
      </c>
      <c r="E14" s="107">
        <v>0</v>
      </c>
      <c r="F14" s="107">
        <v>1</v>
      </c>
      <c r="G14" s="107">
        <v>1</v>
      </c>
      <c r="H14" s="107">
        <v>1</v>
      </c>
      <c r="I14" s="107">
        <v>0</v>
      </c>
      <c r="J14" s="107">
        <v>1</v>
      </c>
      <c r="K14" s="107">
        <v>0</v>
      </c>
      <c r="L14" s="107">
        <v>0</v>
      </c>
      <c r="M14" s="107">
        <v>0</v>
      </c>
      <c r="N14" s="107">
        <v>1</v>
      </c>
      <c r="O14" s="107">
        <v>0</v>
      </c>
      <c r="P14" s="107">
        <v>1</v>
      </c>
      <c r="Q14" s="107">
        <v>0</v>
      </c>
      <c r="R14" s="107">
        <v>0</v>
      </c>
      <c r="S14" s="107">
        <v>0</v>
      </c>
      <c r="T14" s="107">
        <v>0</v>
      </c>
      <c r="U14" s="107">
        <v>0</v>
      </c>
      <c r="V14" s="107">
        <v>0</v>
      </c>
      <c r="W14" s="107">
        <v>0</v>
      </c>
      <c r="X14" s="107">
        <v>0</v>
      </c>
      <c r="Y14" s="107">
        <v>0</v>
      </c>
      <c r="Z14" s="107">
        <v>0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</row>
    <row r="15" spans="1:34" customFormat="1" x14ac:dyDescent="0.15">
      <c r="A15" s="184" t="s">
        <v>205</v>
      </c>
      <c r="B15" s="107">
        <v>1</v>
      </c>
      <c r="C15" s="107">
        <v>0</v>
      </c>
      <c r="D15" s="107">
        <v>1</v>
      </c>
      <c r="E15" s="107">
        <v>1</v>
      </c>
      <c r="F15" s="107">
        <v>1</v>
      </c>
      <c r="G15" s="107">
        <v>0</v>
      </c>
      <c r="H15" s="107">
        <v>1</v>
      </c>
      <c r="I15" s="107">
        <v>0</v>
      </c>
      <c r="J15" s="107">
        <v>1</v>
      </c>
      <c r="K15" s="107">
        <v>1</v>
      </c>
      <c r="L15" s="107">
        <v>1</v>
      </c>
      <c r="M15" s="107">
        <v>0</v>
      </c>
      <c r="N15" s="107">
        <v>1</v>
      </c>
      <c r="O15" s="107">
        <v>1</v>
      </c>
      <c r="P15" s="107">
        <v>1</v>
      </c>
      <c r="Q15" s="107">
        <v>0</v>
      </c>
      <c r="R15" s="107">
        <v>0</v>
      </c>
      <c r="S15" s="107">
        <v>0</v>
      </c>
      <c r="T15" s="107">
        <v>0</v>
      </c>
      <c r="U15" s="107">
        <v>1</v>
      </c>
      <c r="V15" s="107">
        <v>0</v>
      </c>
      <c r="W15" s="107">
        <v>0</v>
      </c>
      <c r="X15" s="107">
        <v>0</v>
      </c>
      <c r="Y15" s="107">
        <v>0</v>
      </c>
      <c r="Z15" s="107">
        <v>0</v>
      </c>
      <c r="AA15" s="107">
        <v>0</v>
      </c>
      <c r="AB15" s="107">
        <v>0</v>
      </c>
      <c r="AC15" s="107">
        <v>0</v>
      </c>
      <c r="AD15" s="107">
        <v>0</v>
      </c>
      <c r="AE15" s="107">
        <v>0</v>
      </c>
      <c r="AF15" s="107">
        <v>0</v>
      </c>
      <c r="AG15" s="107">
        <v>0</v>
      </c>
      <c r="AH15" s="107">
        <v>0</v>
      </c>
    </row>
    <row r="16" spans="1:34" customFormat="1" x14ac:dyDescent="0.15">
      <c r="A16" s="184" t="s">
        <v>206</v>
      </c>
      <c r="B16" s="107">
        <v>1</v>
      </c>
      <c r="C16" s="107">
        <v>1</v>
      </c>
      <c r="D16" s="107">
        <v>0</v>
      </c>
      <c r="E16" s="107">
        <v>1</v>
      </c>
      <c r="F16" s="107">
        <v>1</v>
      </c>
      <c r="G16" s="107">
        <v>0</v>
      </c>
      <c r="H16" s="107">
        <v>0</v>
      </c>
      <c r="I16" s="107">
        <v>0</v>
      </c>
      <c r="J16" s="107">
        <v>0</v>
      </c>
      <c r="K16" s="107">
        <v>0</v>
      </c>
      <c r="L16" s="107">
        <v>0</v>
      </c>
      <c r="M16" s="107">
        <v>0</v>
      </c>
      <c r="N16" s="107">
        <v>0</v>
      </c>
      <c r="O16" s="107">
        <v>0</v>
      </c>
      <c r="P16" s="107">
        <v>0</v>
      </c>
      <c r="Q16" s="107">
        <v>0</v>
      </c>
      <c r="R16" s="107">
        <v>0</v>
      </c>
      <c r="S16" s="107">
        <v>0</v>
      </c>
      <c r="T16" s="107">
        <v>0</v>
      </c>
      <c r="U16" s="107">
        <v>0</v>
      </c>
      <c r="V16" s="107">
        <v>0</v>
      </c>
      <c r="W16" s="107">
        <v>0</v>
      </c>
      <c r="X16" s="107">
        <v>0</v>
      </c>
      <c r="Y16" s="107">
        <v>0</v>
      </c>
      <c r="Z16" s="107">
        <v>0</v>
      </c>
      <c r="AA16" s="107">
        <v>0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  <c r="AH16" s="107">
        <v>0</v>
      </c>
    </row>
    <row r="17" spans="1:34" customFormat="1" x14ac:dyDescent="0.15">
      <c r="A17" s="184" t="s">
        <v>207</v>
      </c>
      <c r="B17" s="107">
        <v>1</v>
      </c>
      <c r="C17" s="107">
        <v>1</v>
      </c>
      <c r="D17" s="107">
        <v>0</v>
      </c>
      <c r="E17" s="107">
        <v>1</v>
      </c>
      <c r="F17" s="107">
        <v>1</v>
      </c>
      <c r="G17" s="107">
        <v>1</v>
      </c>
      <c r="H17" s="107">
        <v>0</v>
      </c>
      <c r="I17" s="107">
        <v>1</v>
      </c>
      <c r="J17" s="107">
        <v>1</v>
      </c>
      <c r="K17" s="107">
        <v>1</v>
      </c>
      <c r="L17" s="107">
        <v>1</v>
      </c>
      <c r="M17" s="107">
        <v>0</v>
      </c>
      <c r="N17" s="107">
        <v>1</v>
      </c>
      <c r="O17" s="107">
        <v>1</v>
      </c>
      <c r="P17" s="107">
        <v>1</v>
      </c>
      <c r="Q17" s="107">
        <v>1</v>
      </c>
      <c r="R17" s="107">
        <v>0</v>
      </c>
      <c r="S17" s="107">
        <v>0</v>
      </c>
      <c r="T17" s="107">
        <v>0</v>
      </c>
      <c r="U17" s="107">
        <v>0</v>
      </c>
      <c r="V17" s="107">
        <v>0</v>
      </c>
      <c r="W17" s="107">
        <v>0</v>
      </c>
      <c r="X17" s="107">
        <v>0</v>
      </c>
      <c r="Y17" s="107">
        <v>0</v>
      </c>
      <c r="Z17" s="107">
        <v>0</v>
      </c>
      <c r="AA17" s="107">
        <v>0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</row>
    <row r="18" spans="1:34" customFormat="1" x14ac:dyDescent="0.15">
      <c r="A18" s="184" t="s">
        <v>208</v>
      </c>
      <c r="B18" s="107">
        <v>1</v>
      </c>
      <c r="C18" s="107">
        <v>1</v>
      </c>
      <c r="D18" s="107">
        <v>1</v>
      </c>
      <c r="E18" s="107">
        <v>1</v>
      </c>
      <c r="F18" s="107">
        <v>1</v>
      </c>
      <c r="G18" s="107">
        <v>1</v>
      </c>
      <c r="H18" s="107">
        <v>1</v>
      </c>
      <c r="I18" s="107">
        <v>1</v>
      </c>
      <c r="J18" s="107">
        <v>1</v>
      </c>
      <c r="K18" s="107">
        <v>1</v>
      </c>
      <c r="L18" s="107">
        <v>1</v>
      </c>
      <c r="M18" s="107">
        <v>1</v>
      </c>
      <c r="N18" s="107">
        <v>0</v>
      </c>
      <c r="O18" s="107">
        <v>1</v>
      </c>
      <c r="P18" s="107">
        <v>1</v>
      </c>
      <c r="Q18" s="107">
        <v>1</v>
      </c>
      <c r="R18" s="107">
        <v>0</v>
      </c>
      <c r="S18" s="107">
        <v>0</v>
      </c>
      <c r="T18" s="107">
        <v>1</v>
      </c>
      <c r="U18" s="107">
        <v>0</v>
      </c>
      <c r="V18" s="107">
        <v>0</v>
      </c>
      <c r="W18" s="107">
        <v>0</v>
      </c>
      <c r="X18" s="107">
        <v>0</v>
      </c>
      <c r="Y18" s="107">
        <v>0</v>
      </c>
      <c r="Z18" s="107">
        <v>0</v>
      </c>
      <c r="AA18" s="107">
        <v>0</v>
      </c>
      <c r="AB18" s="107">
        <v>0</v>
      </c>
      <c r="AC18" s="107">
        <v>0</v>
      </c>
      <c r="AD18" s="107">
        <v>0</v>
      </c>
      <c r="AE18" s="107">
        <v>0</v>
      </c>
      <c r="AF18" s="107">
        <v>0</v>
      </c>
      <c r="AG18" s="107">
        <v>0</v>
      </c>
      <c r="AH18" s="107">
        <v>0</v>
      </c>
    </row>
    <row r="19" spans="1:34" customFormat="1" x14ac:dyDescent="0.15">
      <c r="A19" s="184" t="s">
        <v>209</v>
      </c>
      <c r="B19" s="107">
        <v>1</v>
      </c>
      <c r="C19" s="107">
        <v>0</v>
      </c>
      <c r="D19" s="107">
        <v>0</v>
      </c>
      <c r="E19" s="107">
        <v>1</v>
      </c>
      <c r="F19" s="107">
        <v>0</v>
      </c>
      <c r="G19" s="107">
        <v>1</v>
      </c>
      <c r="H19" s="107">
        <v>1</v>
      </c>
      <c r="I19" s="107">
        <v>1</v>
      </c>
      <c r="J19" s="107">
        <v>1</v>
      </c>
      <c r="K19" s="107">
        <v>1</v>
      </c>
      <c r="L19" s="107">
        <v>1</v>
      </c>
      <c r="M19" s="107">
        <v>1</v>
      </c>
      <c r="N19" s="107">
        <v>1</v>
      </c>
      <c r="O19" s="107">
        <v>1</v>
      </c>
      <c r="P19" s="107">
        <v>1</v>
      </c>
      <c r="Q19" s="107">
        <v>1</v>
      </c>
      <c r="R19" s="107">
        <v>1</v>
      </c>
      <c r="S19" s="107">
        <v>0</v>
      </c>
      <c r="T19" s="107">
        <v>0</v>
      </c>
      <c r="U19" s="107">
        <v>1</v>
      </c>
      <c r="V19" s="107">
        <v>0</v>
      </c>
      <c r="W19" s="107">
        <v>0</v>
      </c>
      <c r="X19" s="107">
        <v>0</v>
      </c>
      <c r="Y19" s="107">
        <v>0</v>
      </c>
      <c r="Z19" s="107">
        <v>0</v>
      </c>
      <c r="AA19" s="107">
        <v>0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  <c r="AH19" s="107">
        <v>0</v>
      </c>
    </row>
    <row r="20" spans="1:34" customFormat="1" x14ac:dyDescent="0.15">
      <c r="A20" s="184" t="s">
        <v>210</v>
      </c>
      <c r="B20" s="107">
        <v>0</v>
      </c>
      <c r="C20" s="107">
        <v>0</v>
      </c>
      <c r="D20" s="107">
        <v>1</v>
      </c>
      <c r="E20" s="107">
        <v>0</v>
      </c>
      <c r="F20" s="107">
        <v>0</v>
      </c>
      <c r="G20" s="107">
        <v>0</v>
      </c>
      <c r="H20" s="107">
        <v>0</v>
      </c>
      <c r="I20" s="107">
        <v>0</v>
      </c>
      <c r="J20" s="107">
        <v>0</v>
      </c>
      <c r="K20" s="107">
        <v>0</v>
      </c>
      <c r="L20" s="107">
        <v>1</v>
      </c>
      <c r="M20" s="107">
        <v>0</v>
      </c>
      <c r="N20" s="107">
        <v>1</v>
      </c>
      <c r="O20" s="107">
        <v>0</v>
      </c>
      <c r="P20" s="107">
        <v>0</v>
      </c>
      <c r="Q20" s="107">
        <v>1</v>
      </c>
      <c r="R20" s="107">
        <v>0</v>
      </c>
      <c r="S20" s="107">
        <v>0</v>
      </c>
      <c r="T20" s="107">
        <v>1</v>
      </c>
      <c r="U20" s="107">
        <v>0</v>
      </c>
      <c r="V20" s="107">
        <v>0</v>
      </c>
      <c r="W20" s="107">
        <v>0</v>
      </c>
      <c r="X20" s="107">
        <v>0</v>
      </c>
      <c r="Y20" s="107">
        <v>0</v>
      </c>
      <c r="Z20" s="107">
        <v>0</v>
      </c>
      <c r="AA20" s="107">
        <v>0</v>
      </c>
      <c r="AB20" s="107">
        <v>0</v>
      </c>
      <c r="AC20" s="107">
        <v>0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</row>
    <row r="21" spans="1:34" customFormat="1" x14ac:dyDescent="0.15">
      <c r="A21" s="184" t="s">
        <v>211</v>
      </c>
      <c r="B21" s="107">
        <v>1</v>
      </c>
      <c r="C21" s="107">
        <v>1</v>
      </c>
      <c r="D21" s="107">
        <v>0</v>
      </c>
      <c r="E21" s="107">
        <v>1</v>
      </c>
      <c r="F21" s="107">
        <v>1</v>
      </c>
      <c r="G21" s="107">
        <v>1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107">
        <v>0</v>
      </c>
      <c r="N21" s="107">
        <v>0</v>
      </c>
      <c r="O21" s="107">
        <v>0</v>
      </c>
      <c r="P21" s="107">
        <v>0</v>
      </c>
      <c r="Q21" s="107">
        <v>0</v>
      </c>
      <c r="R21" s="107">
        <v>0</v>
      </c>
      <c r="S21" s="107">
        <v>0</v>
      </c>
      <c r="T21" s="107">
        <v>0</v>
      </c>
      <c r="U21" s="107">
        <v>0</v>
      </c>
      <c r="V21" s="107">
        <v>0</v>
      </c>
      <c r="W21" s="107">
        <v>0</v>
      </c>
      <c r="X21" s="107">
        <v>0</v>
      </c>
      <c r="Y21" s="107">
        <v>0</v>
      </c>
      <c r="Z21" s="107">
        <v>0</v>
      </c>
      <c r="AA21" s="107">
        <v>0</v>
      </c>
      <c r="AB21" s="107">
        <v>0</v>
      </c>
      <c r="AC21" s="107">
        <v>0</v>
      </c>
      <c r="AD21" s="107">
        <v>0</v>
      </c>
      <c r="AE21" s="107">
        <v>0</v>
      </c>
      <c r="AF21" s="107">
        <v>0</v>
      </c>
      <c r="AG21" s="107">
        <v>0</v>
      </c>
      <c r="AH21" s="107">
        <v>0</v>
      </c>
    </row>
    <row r="22" spans="1:34" customFormat="1" x14ac:dyDescent="0.15">
      <c r="A22" s="184" t="s">
        <v>212</v>
      </c>
      <c r="B22" s="107">
        <v>1</v>
      </c>
      <c r="C22" s="107">
        <v>0</v>
      </c>
      <c r="D22" s="107">
        <v>1</v>
      </c>
      <c r="E22" s="107">
        <v>1</v>
      </c>
      <c r="F22" s="107">
        <v>1</v>
      </c>
      <c r="G22" s="107">
        <v>1</v>
      </c>
      <c r="H22" s="107">
        <v>0</v>
      </c>
      <c r="I22" s="107">
        <v>0</v>
      </c>
      <c r="J22" s="107">
        <v>1</v>
      </c>
      <c r="K22" s="107">
        <v>1</v>
      </c>
      <c r="L22" s="107">
        <v>1</v>
      </c>
      <c r="M22" s="107">
        <v>0</v>
      </c>
      <c r="N22" s="107">
        <v>1</v>
      </c>
      <c r="O22" s="107">
        <v>1</v>
      </c>
      <c r="P22" s="107">
        <v>1</v>
      </c>
      <c r="Q22" s="107">
        <v>1</v>
      </c>
      <c r="R22" s="107">
        <v>0</v>
      </c>
      <c r="S22" s="107">
        <v>0</v>
      </c>
      <c r="T22" s="107">
        <v>0</v>
      </c>
      <c r="U22" s="107">
        <v>1</v>
      </c>
      <c r="V22" s="107">
        <v>0</v>
      </c>
      <c r="W22" s="107">
        <v>0</v>
      </c>
      <c r="X22" s="107">
        <v>0</v>
      </c>
      <c r="Y22" s="107">
        <v>0</v>
      </c>
      <c r="Z22" s="107">
        <v>0</v>
      </c>
      <c r="AA22" s="107">
        <v>0</v>
      </c>
      <c r="AB22" s="107">
        <v>0</v>
      </c>
      <c r="AC22" s="107">
        <v>0</v>
      </c>
      <c r="AD22" s="107">
        <v>0</v>
      </c>
      <c r="AE22" s="107">
        <v>0</v>
      </c>
      <c r="AF22" s="107">
        <v>0</v>
      </c>
      <c r="AG22" s="107">
        <v>0</v>
      </c>
      <c r="AH22" s="107">
        <v>0</v>
      </c>
    </row>
    <row r="23" spans="1:34" customFormat="1" x14ac:dyDescent="0.15">
      <c r="A23" s="184" t="s">
        <v>213</v>
      </c>
      <c r="B23" s="107">
        <v>1</v>
      </c>
      <c r="C23" s="107">
        <v>1</v>
      </c>
      <c r="D23" s="107">
        <v>0</v>
      </c>
      <c r="E23" s="107">
        <v>1</v>
      </c>
      <c r="F23" s="107">
        <v>1</v>
      </c>
      <c r="G23" s="107">
        <v>1</v>
      </c>
      <c r="H23" s="107">
        <v>1</v>
      </c>
      <c r="I23" s="107">
        <v>0</v>
      </c>
      <c r="J23" s="107">
        <v>1</v>
      </c>
      <c r="K23" s="107">
        <v>0</v>
      </c>
      <c r="L23" s="107">
        <v>1</v>
      </c>
      <c r="M23" s="107">
        <v>0</v>
      </c>
      <c r="N23" s="107">
        <v>1</v>
      </c>
      <c r="O23" s="107">
        <v>1</v>
      </c>
      <c r="P23" s="107">
        <v>1</v>
      </c>
      <c r="Q23" s="107">
        <v>1</v>
      </c>
      <c r="R23" s="107">
        <v>0</v>
      </c>
      <c r="S23" s="107">
        <v>0</v>
      </c>
      <c r="T23" s="107">
        <v>0</v>
      </c>
      <c r="U23" s="107">
        <v>0</v>
      </c>
      <c r="V23" s="107">
        <v>0</v>
      </c>
      <c r="W23" s="107">
        <v>0</v>
      </c>
      <c r="X23" s="107">
        <v>0</v>
      </c>
      <c r="Y23" s="107">
        <v>0</v>
      </c>
      <c r="Z23" s="107">
        <v>0</v>
      </c>
      <c r="AA23" s="107">
        <v>0</v>
      </c>
      <c r="AB23" s="107">
        <v>0</v>
      </c>
      <c r="AC23" s="107">
        <v>0</v>
      </c>
      <c r="AD23" s="107">
        <v>0</v>
      </c>
      <c r="AE23" s="107">
        <v>0</v>
      </c>
      <c r="AF23" s="107">
        <v>0</v>
      </c>
      <c r="AG23" s="107">
        <v>0</v>
      </c>
      <c r="AH23" s="107">
        <v>0</v>
      </c>
    </row>
    <row r="24" spans="1:34" customFormat="1" x14ac:dyDescent="0.15">
      <c r="A24" s="184" t="s">
        <v>214</v>
      </c>
      <c r="B24" s="107">
        <v>1</v>
      </c>
      <c r="C24" s="107">
        <v>0</v>
      </c>
      <c r="D24" s="107">
        <v>0</v>
      </c>
      <c r="E24" s="107">
        <v>1</v>
      </c>
      <c r="F24" s="107">
        <v>1</v>
      </c>
      <c r="G24" s="107">
        <v>0</v>
      </c>
      <c r="H24" s="107">
        <v>1</v>
      </c>
      <c r="I24" s="107">
        <v>1</v>
      </c>
      <c r="J24" s="107">
        <v>1</v>
      </c>
      <c r="K24" s="107">
        <v>1</v>
      </c>
      <c r="L24" s="107">
        <v>1</v>
      </c>
      <c r="M24" s="107">
        <v>0</v>
      </c>
      <c r="N24" s="107">
        <v>1</v>
      </c>
      <c r="O24" s="107">
        <v>1</v>
      </c>
      <c r="P24" s="107">
        <v>1</v>
      </c>
      <c r="Q24" s="107">
        <v>1</v>
      </c>
      <c r="R24" s="107">
        <v>0</v>
      </c>
      <c r="S24" s="107">
        <v>0</v>
      </c>
      <c r="T24" s="107">
        <v>0</v>
      </c>
      <c r="U24" s="107">
        <v>1</v>
      </c>
      <c r="V24" s="107">
        <v>1</v>
      </c>
      <c r="W24" s="107">
        <v>0</v>
      </c>
      <c r="X24" s="107">
        <v>0</v>
      </c>
      <c r="Y24" s="107">
        <v>1</v>
      </c>
      <c r="Z24" s="107">
        <v>0</v>
      </c>
      <c r="AA24" s="107">
        <v>0</v>
      </c>
      <c r="AB24" s="107">
        <v>0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  <c r="AH24" s="107">
        <v>0</v>
      </c>
    </row>
    <row r="25" spans="1:34" customFormat="1" x14ac:dyDescent="0.15">
      <c r="A25" s="184" t="s">
        <v>215</v>
      </c>
      <c r="B25" s="107">
        <v>0</v>
      </c>
      <c r="C25" s="107">
        <v>0</v>
      </c>
      <c r="D25" s="107">
        <v>0</v>
      </c>
      <c r="E25" s="107">
        <v>1</v>
      </c>
      <c r="F25" s="107">
        <v>1</v>
      </c>
      <c r="G25" s="107">
        <v>0</v>
      </c>
      <c r="H25" s="107">
        <v>1</v>
      </c>
      <c r="I25" s="107">
        <v>1</v>
      </c>
      <c r="J25" s="107">
        <v>0</v>
      </c>
      <c r="K25" s="107">
        <v>0</v>
      </c>
      <c r="L25" s="107">
        <v>1</v>
      </c>
      <c r="M25" s="107">
        <v>1</v>
      </c>
      <c r="N25" s="107">
        <v>1</v>
      </c>
      <c r="O25" s="107">
        <v>0</v>
      </c>
      <c r="P25" s="107">
        <v>1</v>
      </c>
      <c r="Q25" s="107">
        <v>1</v>
      </c>
      <c r="R25" s="107">
        <v>0</v>
      </c>
      <c r="S25" s="107">
        <v>0</v>
      </c>
      <c r="T25" s="107">
        <v>0</v>
      </c>
      <c r="U25" s="107">
        <v>1</v>
      </c>
      <c r="V25" s="107">
        <v>0</v>
      </c>
      <c r="W25" s="107">
        <v>0</v>
      </c>
      <c r="X25" s="107">
        <v>0</v>
      </c>
      <c r="Y25" s="107">
        <v>1</v>
      </c>
      <c r="Z25" s="107">
        <v>0</v>
      </c>
      <c r="AA25" s="107">
        <v>0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  <c r="AH25" s="107">
        <v>0</v>
      </c>
    </row>
    <row r="26" spans="1:34" customFormat="1" x14ac:dyDescent="0.15">
      <c r="A26" s="184" t="s">
        <v>216</v>
      </c>
      <c r="B26" s="107">
        <v>0</v>
      </c>
      <c r="C26" s="107">
        <v>0</v>
      </c>
      <c r="D26" s="107">
        <v>0</v>
      </c>
      <c r="E26" s="107">
        <v>0</v>
      </c>
      <c r="F26" s="107">
        <v>0</v>
      </c>
      <c r="G26" s="107">
        <v>0</v>
      </c>
      <c r="H26" s="107">
        <v>1</v>
      </c>
      <c r="I26" s="107">
        <v>1</v>
      </c>
      <c r="J26" s="107">
        <v>1</v>
      </c>
      <c r="K26" s="107">
        <v>0</v>
      </c>
      <c r="L26" s="107">
        <v>1</v>
      </c>
      <c r="M26" s="107">
        <v>1</v>
      </c>
      <c r="N26" s="107">
        <v>1</v>
      </c>
      <c r="O26" s="107">
        <v>0</v>
      </c>
      <c r="P26" s="107">
        <v>1</v>
      </c>
      <c r="Q26" s="107">
        <v>1</v>
      </c>
      <c r="R26" s="107">
        <v>0</v>
      </c>
      <c r="S26" s="107">
        <v>0</v>
      </c>
      <c r="T26" s="107">
        <v>0</v>
      </c>
      <c r="U26" s="107">
        <v>1</v>
      </c>
      <c r="V26" s="107">
        <v>0</v>
      </c>
      <c r="W26" s="107">
        <v>0</v>
      </c>
      <c r="X26" s="107">
        <v>0</v>
      </c>
      <c r="Y26" s="107">
        <v>1</v>
      </c>
      <c r="Z26" s="107">
        <v>0</v>
      </c>
      <c r="AA26" s="107">
        <v>0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  <c r="AH26" s="107">
        <v>0</v>
      </c>
    </row>
    <row r="27" spans="1:34" customFormat="1" x14ac:dyDescent="0.15">
      <c r="A27" s="184" t="s">
        <v>217</v>
      </c>
      <c r="B27" s="107">
        <v>0</v>
      </c>
      <c r="C27" s="107">
        <v>0</v>
      </c>
      <c r="D27" s="107">
        <v>0</v>
      </c>
      <c r="E27" s="107">
        <v>0</v>
      </c>
      <c r="F27" s="107">
        <v>1</v>
      </c>
      <c r="G27" s="107">
        <v>1</v>
      </c>
      <c r="H27" s="107">
        <v>1</v>
      </c>
      <c r="I27" s="107">
        <v>1</v>
      </c>
      <c r="J27" s="107">
        <v>0</v>
      </c>
      <c r="K27" s="107">
        <v>1</v>
      </c>
      <c r="L27" s="107">
        <v>1</v>
      </c>
      <c r="M27" s="107">
        <v>1</v>
      </c>
      <c r="N27" s="107">
        <v>1</v>
      </c>
      <c r="O27" s="107">
        <v>1</v>
      </c>
      <c r="P27" s="107">
        <v>1</v>
      </c>
      <c r="Q27" s="107">
        <v>1</v>
      </c>
      <c r="R27" s="107">
        <v>0</v>
      </c>
      <c r="S27" s="107">
        <v>0</v>
      </c>
      <c r="T27" s="107">
        <v>0</v>
      </c>
      <c r="U27" s="107">
        <v>0</v>
      </c>
      <c r="V27" s="107">
        <v>1</v>
      </c>
      <c r="W27" s="107">
        <v>0</v>
      </c>
      <c r="X27" s="107">
        <v>0</v>
      </c>
      <c r="Y27" s="107">
        <v>1</v>
      </c>
      <c r="Z27" s="107">
        <v>0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</row>
    <row r="28" spans="1:34" customFormat="1" x14ac:dyDescent="0.15">
      <c r="A28" s="184" t="s">
        <v>218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0</v>
      </c>
      <c r="H28" s="107">
        <v>1</v>
      </c>
      <c r="I28" s="107">
        <v>1</v>
      </c>
      <c r="J28" s="107">
        <v>1</v>
      </c>
      <c r="K28" s="107">
        <v>0</v>
      </c>
      <c r="L28" s="107">
        <v>1</v>
      </c>
      <c r="M28" s="107">
        <v>1</v>
      </c>
      <c r="N28" s="107">
        <v>1</v>
      </c>
      <c r="O28" s="107">
        <v>0</v>
      </c>
      <c r="P28" s="107">
        <v>1</v>
      </c>
      <c r="Q28" s="107">
        <v>1</v>
      </c>
      <c r="R28" s="107">
        <v>0</v>
      </c>
      <c r="S28" s="107">
        <v>0</v>
      </c>
      <c r="T28" s="107">
        <v>0</v>
      </c>
      <c r="U28" s="107">
        <v>1</v>
      </c>
      <c r="V28" s="107">
        <v>0</v>
      </c>
      <c r="W28" s="107">
        <v>0</v>
      </c>
      <c r="X28" s="107">
        <v>1</v>
      </c>
      <c r="Y28" s="107">
        <v>1</v>
      </c>
      <c r="Z28" s="107">
        <v>0</v>
      </c>
      <c r="AA28" s="107">
        <v>0</v>
      </c>
      <c r="AB28" s="107">
        <v>1</v>
      </c>
      <c r="AC28" s="107">
        <v>0</v>
      </c>
      <c r="AD28" s="107">
        <v>0</v>
      </c>
      <c r="AE28" s="107">
        <v>0</v>
      </c>
      <c r="AF28" s="107">
        <v>0</v>
      </c>
      <c r="AG28" s="107">
        <v>0</v>
      </c>
      <c r="AH28" s="107">
        <v>0</v>
      </c>
    </row>
    <row r="29" spans="1:34" customFormat="1" x14ac:dyDescent="0.15">
      <c r="A29" s="184" t="s">
        <v>219</v>
      </c>
      <c r="B29" s="107">
        <v>0</v>
      </c>
      <c r="C29" s="107">
        <v>0</v>
      </c>
      <c r="D29" s="107">
        <v>0</v>
      </c>
      <c r="E29" s="107">
        <v>0</v>
      </c>
      <c r="F29" s="107">
        <v>1</v>
      </c>
      <c r="G29" s="107">
        <v>1</v>
      </c>
      <c r="H29" s="107">
        <v>1</v>
      </c>
      <c r="I29" s="107">
        <v>1</v>
      </c>
      <c r="J29" s="107">
        <v>1</v>
      </c>
      <c r="K29" s="107">
        <v>0</v>
      </c>
      <c r="L29" s="107">
        <v>1</v>
      </c>
      <c r="M29" s="107">
        <v>1</v>
      </c>
      <c r="N29" s="107">
        <v>0</v>
      </c>
      <c r="O29" s="107">
        <v>0</v>
      </c>
      <c r="P29" s="107">
        <v>1</v>
      </c>
      <c r="Q29" s="107">
        <v>1</v>
      </c>
      <c r="R29" s="107">
        <v>0</v>
      </c>
      <c r="S29" s="107">
        <v>1</v>
      </c>
      <c r="T29" s="107">
        <v>0</v>
      </c>
      <c r="U29" s="107">
        <v>1</v>
      </c>
      <c r="V29" s="107">
        <v>0</v>
      </c>
      <c r="W29" s="107">
        <v>1</v>
      </c>
      <c r="X29" s="107">
        <v>1</v>
      </c>
      <c r="Y29" s="107">
        <v>1</v>
      </c>
      <c r="Z29" s="107">
        <v>0</v>
      </c>
      <c r="AA29" s="107">
        <v>0</v>
      </c>
      <c r="AB29" s="107">
        <v>0</v>
      </c>
      <c r="AC29" s="107">
        <v>0</v>
      </c>
      <c r="AD29" s="107">
        <v>0</v>
      </c>
      <c r="AE29" s="107">
        <v>0</v>
      </c>
      <c r="AF29" s="107">
        <v>0</v>
      </c>
      <c r="AG29" s="107">
        <v>0</v>
      </c>
      <c r="AH29" s="107">
        <v>0</v>
      </c>
    </row>
    <row r="30" spans="1:34" customFormat="1" x14ac:dyDescent="0.15">
      <c r="A30" s="184" t="s">
        <v>220</v>
      </c>
      <c r="B30" s="107">
        <v>1</v>
      </c>
      <c r="C30" s="107">
        <v>1</v>
      </c>
      <c r="D30" s="107">
        <v>0</v>
      </c>
      <c r="E30" s="107">
        <v>0</v>
      </c>
      <c r="F30" s="107">
        <v>0</v>
      </c>
      <c r="G30" s="107">
        <v>0</v>
      </c>
      <c r="H30" s="107">
        <v>1</v>
      </c>
      <c r="I30" s="107">
        <v>1</v>
      </c>
      <c r="J30" s="107">
        <v>1</v>
      </c>
      <c r="K30" s="107">
        <v>1</v>
      </c>
      <c r="L30" s="107">
        <v>1</v>
      </c>
      <c r="M30" s="107">
        <v>1</v>
      </c>
      <c r="N30" s="107">
        <v>1</v>
      </c>
      <c r="O30" s="107">
        <v>1</v>
      </c>
      <c r="P30" s="107">
        <v>1</v>
      </c>
      <c r="Q30" s="107">
        <v>1</v>
      </c>
      <c r="R30" s="107">
        <v>1</v>
      </c>
      <c r="S30" s="107">
        <v>1</v>
      </c>
      <c r="T30" s="107">
        <v>1</v>
      </c>
      <c r="U30" s="107">
        <v>1</v>
      </c>
      <c r="V30" s="107">
        <v>1</v>
      </c>
      <c r="W30" s="107">
        <v>0</v>
      </c>
      <c r="X30" s="107">
        <v>1</v>
      </c>
      <c r="Y30" s="107">
        <v>1</v>
      </c>
      <c r="Z30" s="107">
        <v>0</v>
      </c>
      <c r="AA30" s="107">
        <v>0</v>
      </c>
      <c r="AB30" s="107">
        <v>0</v>
      </c>
      <c r="AC30" s="107">
        <v>0</v>
      </c>
      <c r="AD30" s="107">
        <v>0</v>
      </c>
      <c r="AE30" s="107">
        <v>0</v>
      </c>
      <c r="AF30" s="107">
        <v>0</v>
      </c>
      <c r="AG30" s="107">
        <v>0</v>
      </c>
      <c r="AH30" s="107">
        <v>0</v>
      </c>
    </row>
    <row r="31" spans="1:34" customFormat="1" x14ac:dyDescent="0.15">
      <c r="A31" s="184" t="s">
        <v>221</v>
      </c>
      <c r="B31" s="107">
        <v>1</v>
      </c>
      <c r="C31" s="107">
        <v>0</v>
      </c>
      <c r="D31" s="107">
        <v>0</v>
      </c>
      <c r="E31" s="107">
        <v>0</v>
      </c>
      <c r="F31" s="107">
        <v>0</v>
      </c>
      <c r="G31" s="107">
        <v>1</v>
      </c>
      <c r="H31" s="107">
        <v>1</v>
      </c>
      <c r="I31" s="107">
        <v>1</v>
      </c>
      <c r="J31" s="107">
        <v>1</v>
      </c>
      <c r="K31" s="107">
        <v>1</v>
      </c>
      <c r="L31" s="107">
        <v>1</v>
      </c>
      <c r="M31" s="107">
        <v>1</v>
      </c>
      <c r="N31" s="107">
        <v>1</v>
      </c>
      <c r="O31" s="107">
        <v>1</v>
      </c>
      <c r="P31" s="107">
        <v>1</v>
      </c>
      <c r="Q31" s="107">
        <v>1</v>
      </c>
      <c r="R31" s="107">
        <v>1</v>
      </c>
      <c r="S31" s="107">
        <v>1</v>
      </c>
      <c r="T31" s="107">
        <v>1</v>
      </c>
      <c r="U31" s="107">
        <v>0</v>
      </c>
      <c r="V31" s="107">
        <v>1</v>
      </c>
      <c r="W31" s="107">
        <v>1</v>
      </c>
      <c r="X31" s="107">
        <v>1</v>
      </c>
      <c r="Y31" s="107">
        <v>1</v>
      </c>
      <c r="Z31" s="107">
        <v>0</v>
      </c>
      <c r="AA31" s="107">
        <v>0</v>
      </c>
      <c r="AB31" s="107">
        <v>0</v>
      </c>
      <c r="AC31" s="107">
        <v>0</v>
      </c>
      <c r="AD31" s="107">
        <v>1</v>
      </c>
      <c r="AE31" s="107">
        <v>1</v>
      </c>
      <c r="AF31" s="107">
        <v>0</v>
      </c>
      <c r="AG31" s="107">
        <v>0</v>
      </c>
      <c r="AH31" s="107">
        <v>0</v>
      </c>
    </row>
    <row r="32" spans="1:34" x14ac:dyDescent="0.15">
      <c r="A32" s="184" t="s">
        <v>222</v>
      </c>
      <c r="B32" s="107">
        <v>0</v>
      </c>
      <c r="C32" s="107">
        <v>0</v>
      </c>
      <c r="D32" s="107">
        <v>0</v>
      </c>
      <c r="E32" s="107">
        <v>0</v>
      </c>
      <c r="F32" s="107">
        <v>0</v>
      </c>
      <c r="G32" s="107">
        <v>0</v>
      </c>
      <c r="H32" s="107">
        <v>0</v>
      </c>
      <c r="I32" s="107">
        <v>0</v>
      </c>
      <c r="J32" s="107">
        <v>0</v>
      </c>
      <c r="K32" s="107">
        <v>0</v>
      </c>
      <c r="L32" s="107">
        <v>0</v>
      </c>
      <c r="M32" s="107">
        <v>0</v>
      </c>
      <c r="N32" s="107">
        <v>0</v>
      </c>
      <c r="O32" s="107">
        <v>0</v>
      </c>
      <c r="P32" s="107">
        <v>0</v>
      </c>
      <c r="Q32" s="107">
        <v>0</v>
      </c>
      <c r="R32" s="107">
        <v>0</v>
      </c>
      <c r="S32" s="107">
        <v>1</v>
      </c>
      <c r="T32" s="107">
        <v>0</v>
      </c>
      <c r="U32" s="107">
        <v>0</v>
      </c>
      <c r="V32" s="107">
        <v>0</v>
      </c>
      <c r="W32" s="107">
        <v>0</v>
      </c>
      <c r="X32" s="107">
        <v>1</v>
      </c>
      <c r="Y32" s="107">
        <v>0</v>
      </c>
      <c r="Z32" s="107">
        <v>0</v>
      </c>
      <c r="AA32" s="107">
        <v>1</v>
      </c>
      <c r="AB32" s="107">
        <v>1</v>
      </c>
      <c r="AC32" s="107">
        <v>0</v>
      </c>
      <c r="AD32" s="107">
        <v>1</v>
      </c>
      <c r="AE32" s="107">
        <v>1</v>
      </c>
      <c r="AF32" s="107">
        <v>0</v>
      </c>
      <c r="AG32" s="107">
        <v>0</v>
      </c>
      <c r="AH32" s="107">
        <v>0</v>
      </c>
    </row>
    <row r="33" spans="1:34" x14ac:dyDescent="0.15">
      <c r="A33" s="184" t="s">
        <v>223</v>
      </c>
      <c r="B33" s="107">
        <v>0</v>
      </c>
      <c r="C33" s="107">
        <v>0</v>
      </c>
      <c r="D33" s="107">
        <v>0</v>
      </c>
      <c r="E33" s="107">
        <v>0</v>
      </c>
      <c r="F33" s="107">
        <v>0</v>
      </c>
      <c r="G33" s="107">
        <v>0</v>
      </c>
      <c r="H33" s="107">
        <v>0</v>
      </c>
      <c r="I33" s="107">
        <v>0</v>
      </c>
      <c r="J33" s="107">
        <v>0</v>
      </c>
      <c r="K33" s="107">
        <v>0</v>
      </c>
      <c r="L33" s="107">
        <v>0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</v>
      </c>
      <c r="V33" s="107">
        <v>0</v>
      </c>
      <c r="W33" s="107">
        <v>0</v>
      </c>
      <c r="X33" s="107">
        <v>1</v>
      </c>
      <c r="Y33" s="107">
        <v>0</v>
      </c>
      <c r="Z33" s="107">
        <v>1</v>
      </c>
      <c r="AA33" s="107">
        <v>1</v>
      </c>
      <c r="AB33" s="107">
        <v>1</v>
      </c>
      <c r="AC33" s="107">
        <v>1</v>
      </c>
      <c r="AD33" s="107">
        <v>1</v>
      </c>
      <c r="AE33" s="107">
        <v>1</v>
      </c>
      <c r="AF33" s="107">
        <v>0</v>
      </c>
      <c r="AG33" s="107">
        <v>0</v>
      </c>
      <c r="AH33" s="107">
        <v>0</v>
      </c>
    </row>
    <row r="34" spans="1:34" x14ac:dyDescent="0.15">
      <c r="A34" s="184" t="s">
        <v>224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  <c r="AH34" s="107">
        <v>0</v>
      </c>
    </row>
    <row r="35" spans="1:34" x14ac:dyDescent="0.15">
      <c r="A35" s="184" t="s">
        <v>226</v>
      </c>
      <c r="B35" s="107">
        <v>0</v>
      </c>
      <c r="C35" s="107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9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87" t="s">
        <v>225</v>
      </c>
    </row>
    <row r="2" spans="1:3" x14ac:dyDescent="0.15">
      <c r="A2">
        <v>1</v>
      </c>
      <c r="B2" s="186" t="s">
        <v>192</v>
      </c>
      <c r="C2">
        <v>0.8</v>
      </c>
    </row>
    <row r="3" spans="1:3" x14ac:dyDescent="0.15">
      <c r="A3">
        <v>2</v>
      </c>
      <c r="B3" s="186" t="s">
        <v>193</v>
      </c>
      <c r="C3">
        <v>0.8</v>
      </c>
    </row>
    <row r="4" spans="1:3" x14ac:dyDescent="0.15">
      <c r="A4">
        <v>3</v>
      </c>
      <c r="B4" s="186" t="s">
        <v>194</v>
      </c>
      <c r="C4">
        <v>0.8</v>
      </c>
    </row>
    <row r="5" spans="1:3" x14ac:dyDescent="0.15">
      <c r="A5">
        <v>4</v>
      </c>
      <c r="B5" s="186" t="s">
        <v>195</v>
      </c>
      <c r="C5">
        <v>0.8</v>
      </c>
    </row>
    <row r="6" spans="1:3" x14ac:dyDescent="0.15">
      <c r="A6">
        <v>5</v>
      </c>
      <c r="B6" s="186" t="s">
        <v>196</v>
      </c>
      <c r="C6">
        <v>0</v>
      </c>
    </row>
    <row r="7" spans="1:3" x14ac:dyDescent="0.15">
      <c r="A7">
        <v>6</v>
      </c>
      <c r="B7" s="186" t="s">
        <v>197</v>
      </c>
      <c r="C7">
        <v>0.8</v>
      </c>
    </row>
    <row r="8" spans="1:3" x14ac:dyDescent="0.15">
      <c r="A8">
        <v>7</v>
      </c>
      <c r="B8" s="186" t="s">
        <v>198</v>
      </c>
      <c r="C8">
        <v>0.8</v>
      </c>
    </row>
    <row r="9" spans="1:3" x14ac:dyDescent="0.15">
      <c r="A9">
        <v>8</v>
      </c>
      <c r="B9" s="186" t="s">
        <v>199</v>
      </c>
      <c r="C9">
        <v>0.8</v>
      </c>
    </row>
    <row r="10" spans="1:3" x14ac:dyDescent="0.15">
      <c r="A10">
        <v>9</v>
      </c>
      <c r="B10" s="186" t="s">
        <v>200</v>
      </c>
      <c r="C10">
        <v>0.8</v>
      </c>
    </row>
    <row r="11" spans="1:3" x14ac:dyDescent="0.15">
      <c r="A11">
        <v>10</v>
      </c>
      <c r="B11" s="186" t="s">
        <v>201</v>
      </c>
      <c r="C11">
        <v>0</v>
      </c>
    </row>
    <row r="12" spans="1:3" x14ac:dyDescent="0.15">
      <c r="A12">
        <v>11</v>
      </c>
      <c r="B12" s="186" t="s">
        <v>202</v>
      </c>
      <c r="C12">
        <v>0.8</v>
      </c>
    </row>
    <row r="13" spans="1:3" x14ac:dyDescent="0.15">
      <c r="A13">
        <v>12</v>
      </c>
      <c r="B13" s="186" t="s">
        <v>203</v>
      </c>
      <c r="C13">
        <v>0.8</v>
      </c>
    </row>
    <row r="14" spans="1:3" x14ac:dyDescent="0.15">
      <c r="A14">
        <v>13</v>
      </c>
      <c r="B14" s="186" t="s">
        <v>204</v>
      </c>
      <c r="C14">
        <v>0</v>
      </c>
    </row>
    <row r="15" spans="1:3" x14ac:dyDescent="0.15">
      <c r="A15">
        <v>14</v>
      </c>
      <c r="B15" s="186" t="s">
        <v>205</v>
      </c>
      <c r="C15">
        <v>0.8</v>
      </c>
    </row>
    <row r="16" spans="1:3" x14ac:dyDescent="0.15">
      <c r="A16">
        <v>15</v>
      </c>
      <c r="B16" s="186" t="s">
        <v>206</v>
      </c>
      <c r="C16">
        <v>0.8</v>
      </c>
    </row>
    <row r="17" spans="1:3" x14ac:dyDescent="0.15">
      <c r="A17">
        <v>16</v>
      </c>
      <c r="B17" s="186" t="s">
        <v>207</v>
      </c>
      <c r="C17">
        <v>0</v>
      </c>
    </row>
    <row r="18" spans="1:3" x14ac:dyDescent="0.15">
      <c r="A18">
        <v>17</v>
      </c>
      <c r="B18" s="186" t="s">
        <v>208</v>
      </c>
      <c r="C18">
        <v>0.8</v>
      </c>
    </row>
    <row r="19" spans="1:3" x14ac:dyDescent="0.15">
      <c r="A19">
        <v>18</v>
      </c>
      <c r="B19" s="186" t="s">
        <v>209</v>
      </c>
      <c r="C19">
        <v>0</v>
      </c>
    </row>
    <row r="20" spans="1:3" x14ac:dyDescent="0.15">
      <c r="A20">
        <v>19</v>
      </c>
      <c r="B20" s="186" t="s">
        <v>210</v>
      </c>
      <c r="C20">
        <v>0</v>
      </c>
    </row>
    <row r="21" spans="1:3" x14ac:dyDescent="0.15">
      <c r="A21">
        <v>20</v>
      </c>
      <c r="B21" s="186" t="s">
        <v>211</v>
      </c>
      <c r="C21">
        <v>0.8</v>
      </c>
    </row>
    <row r="22" spans="1:3" x14ac:dyDescent="0.15">
      <c r="A22">
        <v>21</v>
      </c>
      <c r="B22" s="186" t="s">
        <v>212</v>
      </c>
      <c r="C22">
        <v>0.8</v>
      </c>
    </row>
    <row r="23" spans="1:3" x14ac:dyDescent="0.15">
      <c r="A23">
        <v>22</v>
      </c>
      <c r="B23" s="186" t="s">
        <v>213</v>
      </c>
      <c r="C23">
        <v>0.8</v>
      </c>
    </row>
    <row r="24" spans="1:3" x14ac:dyDescent="0.15">
      <c r="A24">
        <v>23</v>
      </c>
      <c r="B24" s="186" t="s">
        <v>214</v>
      </c>
      <c r="C24">
        <v>0.8</v>
      </c>
    </row>
    <row r="25" spans="1:3" x14ac:dyDescent="0.15">
      <c r="A25">
        <v>24</v>
      </c>
      <c r="B25" s="186" t="s">
        <v>215</v>
      </c>
      <c r="C25">
        <v>0.8</v>
      </c>
    </row>
    <row r="26" spans="1:3" x14ac:dyDescent="0.15">
      <c r="A26">
        <v>25</v>
      </c>
      <c r="B26" s="186" t="s">
        <v>216</v>
      </c>
      <c r="C26">
        <v>0</v>
      </c>
    </row>
    <row r="27" spans="1:3" x14ac:dyDescent="0.15">
      <c r="A27">
        <v>26</v>
      </c>
      <c r="B27" s="186" t="s">
        <v>217</v>
      </c>
      <c r="C27">
        <v>0.8</v>
      </c>
    </row>
    <row r="28" spans="1:3" x14ac:dyDescent="0.15">
      <c r="A28">
        <v>27</v>
      </c>
      <c r="B28" s="186" t="s">
        <v>218</v>
      </c>
      <c r="C28">
        <v>0</v>
      </c>
    </row>
    <row r="29" spans="1:3" x14ac:dyDescent="0.15">
      <c r="A29">
        <v>28</v>
      </c>
      <c r="B29" s="186" t="s">
        <v>219</v>
      </c>
      <c r="C29">
        <v>0</v>
      </c>
    </row>
    <row r="30" spans="1:3" x14ac:dyDescent="0.15">
      <c r="A30">
        <v>29</v>
      </c>
      <c r="B30" s="186" t="s">
        <v>220</v>
      </c>
      <c r="C30">
        <v>0</v>
      </c>
    </row>
    <row r="31" spans="1:3" x14ac:dyDescent="0.15">
      <c r="A31">
        <v>30</v>
      </c>
      <c r="B31" s="186" t="s">
        <v>221</v>
      </c>
      <c r="C31">
        <v>0</v>
      </c>
    </row>
    <row r="32" spans="1:3" x14ac:dyDescent="0.15">
      <c r="A32">
        <v>31</v>
      </c>
      <c r="B32" s="186" t="s">
        <v>222</v>
      </c>
      <c r="C32">
        <v>0</v>
      </c>
    </row>
    <row r="33" spans="1:3" x14ac:dyDescent="0.15">
      <c r="A33">
        <v>32</v>
      </c>
      <c r="B33" s="186" t="s">
        <v>223</v>
      </c>
      <c r="C33">
        <v>0</v>
      </c>
    </row>
    <row r="34" spans="1:3" x14ac:dyDescent="0.15">
      <c r="A34">
        <v>33</v>
      </c>
      <c r="B34" s="186" t="s">
        <v>224</v>
      </c>
      <c r="C34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34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9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89" t="s">
        <v>225</v>
      </c>
    </row>
    <row r="2" spans="1:3" x14ac:dyDescent="0.15">
      <c r="A2">
        <v>1</v>
      </c>
      <c r="B2" s="188" t="s">
        <v>192</v>
      </c>
      <c r="C2">
        <v>0.8</v>
      </c>
    </row>
    <row r="3" spans="1:3" x14ac:dyDescent="0.15">
      <c r="A3">
        <v>2</v>
      </c>
      <c r="B3" s="188" t="s">
        <v>193</v>
      </c>
      <c r="C3">
        <v>0.8</v>
      </c>
    </row>
    <row r="4" spans="1:3" x14ac:dyDescent="0.15">
      <c r="A4">
        <v>3</v>
      </c>
      <c r="B4" s="188" t="s">
        <v>194</v>
      </c>
      <c r="C4">
        <v>0.8</v>
      </c>
    </row>
    <row r="5" spans="1:3" x14ac:dyDescent="0.15">
      <c r="A5">
        <v>4</v>
      </c>
      <c r="B5" s="188" t="s">
        <v>195</v>
      </c>
      <c r="C5">
        <v>0.8</v>
      </c>
    </row>
    <row r="6" spans="1:3" x14ac:dyDescent="0.15">
      <c r="A6">
        <v>5</v>
      </c>
      <c r="B6" s="188" t="s">
        <v>196</v>
      </c>
      <c r="C6">
        <v>0</v>
      </c>
    </row>
    <row r="7" spans="1:3" x14ac:dyDescent="0.15">
      <c r="A7">
        <v>6</v>
      </c>
      <c r="B7" s="188" t="s">
        <v>197</v>
      </c>
      <c r="C7">
        <v>0.8</v>
      </c>
    </row>
    <row r="8" spans="1:3" x14ac:dyDescent="0.15">
      <c r="A8">
        <v>7</v>
      </c>
      <c r="B8" s="188" t="s">
        <v>198</v>
      </c>
      <c r="C8">
        <v>0.8</v>
      </c>
    </row>
    <row r="9" spans="1:3" x14ac:dyDescent="0.15">
      <c r="A9">
        <v>8</v>
      </c>
      <c r="B9" s="188" t="s">
        <v>199</v>
      </c>
      <c r="C9">
        <v>0.8</v>
      </c>
    </row>
    <row r="10" spans="1:3" x14ac:dyDescent="0.15">
      <c r="A10">
        <v>9</v>
      </c>
      <c r="B10" s="188" t="s">
        <v>200</v>
      </c>
      <c r="C10">
        <v>0.8</v>
      </c>
    </row>
    <row r="11" spans="1:3" x14ac:dyDescent="0.15">
      <c r="A11">
        <v>10</v>
      </c>
      <c r="B11" s="188" t="s">
        <v>201</v>
      </c>
      <c r="C11">
        <v>0</v>
      </c>
    </row>
    <row r="12" spans="1:3" x14ac:dyDescent="0.15">
      <c r="A12">
        <v>11</v>
      </c>
      <c r="B12" s="188" t="s">
        <v>202</v>
      </c>
      <c r="C12">
        <v>0.8</v>
      </c>
    </row>
    <row r="13" spans="1:3" x14ac:dyDescent="0.15">
      <c r="A13">
        <v>12</v>
      </c>
      <c r="B13" s="188" t="s">
        <v>203</v>
      </c>
      <c r="C13">
        <v>0.8</v>
      </c>
    </row>
    <row r="14" spans="1:3" x14ac:dyDescent="0.15">
      <c r="A14">
        <v>13</v>
      </c>
      <c r="B14" s="188" t="s">
        <v>204</v>
      </c>
      <c r="C14">
        <v>0</v>
      </c>
    </row>
    <row r="15" spans="1:3" x14ac:dyDescent="0.15">
      <c r="A15">
        <v>14</v>
      </c>
      <c r="B15" s="188" t="s">
        <v>205</v>
      </c>
      <c r="C15">
        <v>0.8</v>
      </c>
    </row>
    <row r="16" spans="1:3" x14ac:dyDescent="0.15">
      <c r="A16">
        <v>15</v>
      </c>
      <c r="B16" s="188" t="s">
        <v>206</v>
      </c>
      <c r="C16">
        <v>0.8</v>
      </c>
    </row>
    <row r="17" spans="1:3" x14ac:dyDescent="0.15">
      <c r="A17">
        <v>16</v>
      </c>
      <c r="B17" s="188" t="s">
        <v>207</v>
      </c>
      <c r="C17">
        <v>0</v>
      </c>
    </row>
    <row r="18" spans="1:3" x14ac:dyDescent="0.15">
      <c r="A18">
        <v>17</v>
      </c>
      <c r="B18" s="188" t="s">
        <v>208</v>
      </c>
      <c r="C18">
        <v>0.8</v>
      </c>
    </row>
    <row r="19" spans="1:3" x14ac:dyDescent="0.15">
      <c r="A19">
        <v>18</v>
      </c>
      <c r="B19" s="188" t="s">
        <v>209</v>
      </c>
      <c r="C19">
        <v>0</v>
      </c>
    </row>
    <row r="20" spans="1:3" x14ac:dyDescent="0.15">
      <c r="A20">
        <v>19</v>
      </c>
      <c r="B20" s="188" t="s">
        <v>210</v>
      </c>
      <c r="C20">
        <v>0</v>
      </c>
    </row>
    <row r="21" spans="1:3" x14ac:dyDescent="0.15">
      <c r="A21">
        <v>20</v>
      </c>
      <c r="B21" s="188" t="s">
        <v>211</v>
      </c>
      <c r="C21">
        <v>0.8</v>
      </c>
    </row>
    <row r="22" spans="1:3" x14ac:dyDescent="0.15">
      <c r="A22">
        <v>21</v>
      </c>
      <c r="B22" s="188" t="s">
        <v>212</v>
      </c>
      <c r="C22">
        <v>0.8</v>
      </c>
    </row>
    <row r="23" spans="1:3" x14ac:dyDescent="0.15">
      <c r="A23">
        <v>22</v>
      </c>
      <c r="B23" s="188" t="s">
        <v>213</v>
      </c>
      <c r="C23">
        <v>0.8</v>
      </c>
    </row>
    <row r="24" spans="1:3" x14ac:dyDescent="0.15">
      <c r="A24">
        <v>23</v>
      </c>
      <c r="B24" s="188" t="s">
        <v>214</v>
      </c>
      <c r="C24">
        <v>0.8</v>
      </c>
    </row>
    <row r="25" spans="1:3" x14ac:dyDescent="0.15">
      <c r="A25">
        <v>24</v>
      </c>
      <c r="B25" s="188" t="s">
        <v>215</v>
      </c>
      <c r="C25">
        <v>0.8</v>
      </c>
    </row>
    <row r="26" spans="1:3" x14ac:dyDescent="0.15">
      <c r="A26">
        <v>25</v>
      </c>
      <c r="B26" s="188" t="s">
        <v>216</v>
      </c>
      <c r="C26">
        <v>0</v>
      </c>
    </row>
    <row r="27" spans="1:3" x14ac:dyDescent="0.15">
      <c r="A27">
        <v>26</v>
      </c>
      <c r="B27" s="188" t="s">
        <v>217</v>
      </c>
      <c r="C27">
        <v>0.8</v>
      </c>
    </row>
    <row r="28" spans="1:3" x14ac:dyDescent="0.15">
      <c r="A28">
        <v>27</v>
      </c>
      <c r="B28" s="188" t="s">
        <v>218</v>
      </c>
      <c r="C28">
        <v>0</v>
      </c>
    </row>
    <row r="29" spans="1:3" x14ac:dyDescent="0.15">
      <c r="A29">
        <v>28</v>
      </c>
      <c r="B29" s="188" t="s">
        <v>219</v>
      </c>
      <c r="C29">
        <v>0</v>
      </c>
    </row>
    <row r="30" spans="1:3" x14ac:dyDescent="0.15">
      <c r="A30">
        <v>29</v>
      </c>
      <c r="B30" s="188" t="s">
        <v>220</v>
      </c>
      <c r="C30">
        <v>0</v>
      </c>
    </row>
    <row r="31" spans="1:3" x14ac:dyDescent="0.15">
      <c r="A31">
        <v>30</v>
      </c>
      <c r="B31" s="188" t="s">
        <v>221</v>
      </c>
      <c r="C31">
        <v>0</v>
      </c>
    </row>
    <row r="32" spans="1:3" x14ac:dyDescent="0.15">
      <c r="A32">
        <v>31</v>
      </c>
      <c r="B32" s="188" t="s">
        <v>222</v>
      </c>
      <c r="C32">
        <v>0</v>
      </c>
    </row>
    <row r="33" spans="1:3" x14ac:dyDescent="0.15">
      <c r="A33">
        <v>32</v>
      </c>
      <c r="B33" s="188" t="s">
        <v>223</v>
      </c>
      <c r="C33">
        <v>0</v>
      </c>
    </row>
    <row r="34" spans="1:3" x14ac:dyDescent="0.15">
      <c r="A34">
        <v>33</v>
      </c>
      <c r="B34" s="188" t="s">
        <v>224</v>
      </c>
      <c r="C3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6" sqref="K6"/>
    </sheetView>
  </sheetViews>
  <sheetFormatPr baseColWidth="10" defaultColWidth="8.83203125" defaultRowHeight="15" customHeight="1" x14ac:dyDescent="0.15"/>
  <cols>
    <col min="1" max="1" width="8.83203125" style="81"/>
    <col min="2" max="2" width="41.83203125" style="81" bestFit="1" customWidth="1"/>
    <col min="3" max="3" width="9.33203125" style="81" bestFit="1" customWidth="1"/>
    <col min="4" max="4" width="13" style="81" bestFit="1" customWidth="1"/>
    <col min="5" max="6" width="9.33203125" style="81" bestFit="1" customWidth="1"/>
    <col min="7" max="7" width="9.33203125" style="97" bestFit="1" customWidth="1"/>
    <col min="8" max="8" width="9.33203125" style="81" bestFit="1" customWidth="1"/>
    <col min="9" max="9" width="11" style="81" customWidth="1"/>
    <col min="10" max="10" width="8.83203125" style="81"/>
    <col min="15" max="16384" width="8.83203125" style="81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41">
        <v>1</v>
      </c>
      <c r="B2" s="141" t="s">
        <v>192</v>
      </c>
      <c r="C2" s="8">
        <v>4.0939855575561523</v>
      </c>
      <c r="D2" s="9">
        <v>0.11999999731779099</v>
      </c>
      <c r="E2" s="9">
        <v>7.26432204246521E-2</v>
      </c>
      <c r="F2" s="9">
        <v>7.2650480270385742</v>
      </c>
      <c r="G2" s="9">
        <v>4.5886363834142685E-2</v>
      </c>
      <c r="H2" s="9">
        <v>9.9990004673600197E-3</v>
      </c>
      <c r="I2">
        <v>3.9999998989515007E-4</v>
      </c>
      <c r="J2"/>
    </row>
    <row r="3" spans="1:10" ht="15" customHeight="1" x14ac:dyDescent="0.15">
      <c r="A3" s="142">
        <v>2</v>
      </c>
      <c r="B3" s="142" t="s">
        <v>193</v>
      </c>
      <c r="C3" s="8">
        <v>4.2473416328430176</v>
      </c>
      <c r="D3" s="9">
        <v>4.2960859835147858E-2</v>
      </c>
      <c r="E3" s="9">
        <v>0.10290884971618652</v>
      </c>
      <c r="F3" s="9">
        <v>10.291239738464355</v>
      </c>
      <c r="G3" s="9">
        <v>0.94999992847442627</v>
      </c>
      <c r="H3" s="9">
        <v>9.9996551871299744E-3</v>
      </c>
      <c r="I3">
        <v>4.19999985024333E-3</v>
      </c>
      <c r="J3"/>
    </row>
    <row r="4" spans="1:10" ht="15" customHeight="1" x14ac:dyDescent="0.15">
      <c r="A4" s="143">
        <v>3</v>
      </c>
      <c r="B4" s="143" t="s">
        <v>194</v>
      </c>
      <c r="C4" s="8">
        <v>4.8576626777648926</v>
      </c>
      <c r="D4" s="9">
        <v>3.292259993031621E-3</v>
      </c>
      <c r="E4" s="9">
        <v>5.3409654647111893E-2</v>
      </c>
      <c r="F4" s="9">
        <v>9.6589460372924805</v>
      </c>
      <c r="G4" s="9">
        <v>5.6870374828577042E-2</v>
      </c>
      <c r="H4" s="9">
        <v>5.5295531637966633E-3</v>
      </c>
      <c r="I4">
        <v>9.9999997473787516E-6</v>
      </c>
      <c r="J4"/>
    </row>
    <row r="5" spans="1:10" ht="15" customHeight="1" x14ac:dyDescent="0.15">
      <c r="A5" s="144">
        <v>4</v>
      </c>
      <c r="B5" s="144" t="s">
        <v>195</v>
      </c>
      <c r="C5" s="8">
        <v>4.5160140991210938</v>
      </c>
      <c r="D5" s="9">
        <v>1.3000000268220901E-2</v>
      </c>
      <c r="E5" s="9">
        <v>0.10934148728847504</v>
      </c>
      <c r="F5" s="9">
        <v>10.933355331420898</v>
      </c>
      <c r="G5" s="9">
        <v>0.49245855212211609</v>
      </c>
      <c r="H5" s="9">
        <v>1.0000725276768208E-2</v>
      </c>
      <c r="I5">
        <v>6.99999975040555E-4</v>
      </c>
      <c r="J5"/>
    </row>
    <row r="6" spans="1:10" ht="15" customHeight="1" x14ac:dyDescent="0.15">
      <c r="A6" s="145">
        <v>5</v>
      </c>
      <c r="B6" s="145" t="s">
        <v>196</v>
      </c>
      <c r="C6" s="8">
        <v>4.1586251258850098</v>
      </c>
      <c r="D6" s="9">
        <v>2.0000000949949026E-3</v>
      </c>
      <c r="E6" s="9">
        <v>7.0936515927314758E-2</v>
      </c>
      <c r="F6" s="9">
        <v>7.0910806655883789</v>
      </c>
      <c r="G6" s="7">
        <v>0</v>
      </c>
      <c r="H6" s="9">
        <v>1.000362541526556E-2</v>
      </c>
      <c r="I6">
        <v>0</v>
      </c>
      <c r="J6"/>
    </row>
    <row r="7" spans="1:10" ht="15" customHeight="1" x14ac:dyDescent="0.15">
      <c r="A7" s="146">
        <v>6</v>
      </c>
      <c r="B7" s="146" t="s">
        <v>197</v>
      </c>
      <c r="C7" s="8">
        <v>4.141749382019043</v>
      </c>
      <c r="D7" s="9">
        <v>2.6000000070780516E-3</v>
      </c>
      <c r="E7" s="9">
        <v>0.40166443586349487</v>
      </c>
      <c r="F7" s="9">
        <v>42.050556182861328</v>
      </c>
      <c r="G7" s="9">
        <v>0.28726622462272644</v>
      </c>
      <c r="H7" s="9">
        <v>9.55194141715765E-3</v>
      </c>
      <c r="I7">
        <v>3.0000001424923539E-4</v>
      </c>
      <c r="J7"/>
    </row>
    <row r="8" spans="1:10" ht="15" customHeight="1" x14ac:dyDescent="0.15">
      <c r="A8" s="147">
        <v>7</v>
      </c>
      <c r="B8" s="147" t="s">
        <v>198</v>
      </c>
      <c r="C8" s="8">
        <v>4.2290201187133789</v>
      </c>
      <c r="D8" s="9">
        <v>2.0090000629425049</v>
      </c>
      <c r="E8" s="9">
        <v>0.8262019157409668</v>
      </c>
      <c r="F8" s="9">
        <v>2.7576158046722412</v>
      </c>
      <c r="G8" s="9">
        <v>0.44925171136856079</v>
      </c>
      <c r="H8" s="9">
        <v>0.29960733652114868</v>
      </c>
      <c r="I8">
        <v>0.6940000057220459</v>
      </c>
      <c r="J8"/>
    </row>
    <row r="9" spans="1:10" ht="15" customHeight="1" x14ac:dyDescent="0.15">
      <c r="A9" s="148">
        <v>8</v>
      </c>
      <c r="B9" s="148" t="s">
        <v>199</v>
      </c>
      <c r="C9" s="8">
        <v>3.5951774120330811</v>
      </c>
      <c r="D9" s="9">
        <v>0.81999999284744263</v>
      </c>
      <c r="E9" s="9">
        <v>0.81991076469421387</v>
      </c>
      <c r="F9" s="9">
        <v>4.0321168899536133</v>
      </c>
      <c r="G9" s="9">
        <v>0.80935150384902954</v>
      </c>
      <c r="H9" s="9">
        <v>0.20334498584270477</v>
      </c>
      <c r="I9">
        <v>8.9999998454004526E-4</v>
      </c>
      <c r="J9"/>
    </row>
    <row r="10" spans="1:10" ht="15" customHeight="1" x14ac:dyDescent="0.15">
      <c r="A10" s="149">
        <v>9</v>
      </c>
      <c r="B10" s="149" t="s">
        <v>200</v>
      </c>
      <c r="C10" s="8">
        <v>4.0078907012939453</v>
      </c>
      <c r="D10" s="9">
        <v>0.31000000238418579</v>
      </c>
      <c r="E10" s="9">
        <v>0.15993750095367432</v>
      </c>
      <c r="F10" s="9">
        <v>1.599346399307251</v>
      </c>
      <c r="G10" s="9">
        <v>0.95190566778182983</v>
      </c>
      <c r="H10" s="9">
        <v>0.10000178962945938</v>
      </c>
      <c r="I10">
        <v>3.9500001817941666E-2</v>
      </c>
      <c r="J10"/>
    </row>
    <row r="11" spans="1:10" ht="15" customHeight="1" x14ac:dyDescent="0.15">
      <c r="A11" s="150">
        <v>10</v>
      </c>
      <c r="B11" s="150" t="s">
        <v>201</v>
      </c>
      <c r="C11" s="8">
        <v>3.9986336231231689</v>
      </c>
      <c r="D11" s="9">
        <v>0.47999998927116394</v>
      </c>
      <c r="E11" s="9">
        <v>0.2302841991186142</v>
      </c>
      <c r="F11" s="9">
        <v>2.3027527332305908</v>
      </c>
      <c r="G11" s="9">
        <v>0.68745708465576172</v>
      </c>
      <c r="H11" s="9">
        <v>0.10000387579202652</v>
      </c>
      <c r="I11">
        <v>0</v>
      </c>
      <c r="J11"/>
    </row>
    <row r="12" spans="1:10" ht="15" customHeight="1" x14ac:dyDescent="0.15">
      <c r="A12" s="151">
        <v>11</v>
      </c>
      <c r="B12" s="151" t="s">
        <v>202</v>
      </c>
      <c r="C12" s="8">
        <v>3.5027151107788086</v>
      </c>
      <c r="D12" s="9">
        <v>1.059999942779541</v>
      </c>
      <c r="E12" s="9">
        <v>0.38454899191856384</v>
      </c>
      <c r="F12" s="9">
        <v>1.2818303108215332</v>
      </c>
      <c r="G12" s="9">
        <v>0.69213002920150757</v>
      </c>
      <c r="H12" s="9">
        <v>0.29999992251396179</v>
      </c>
      <c r="I12">
        <v>1.8300000578165054E-2</v>
      </c>
      <c r="J12"/>
    </row>
    <row r="13" spans="1:10" ht="15" customHeight="1" x14ac:dyDescent="0.15">
      <c r="A13" s="152">
        <v>12</v>
      </c>
      <c r="B13" s="152" t="s">
        <v>203</v>
      </c>
      <c r="C13" s="8">
        <v>3.1161658763885498</v>
      </c>
      <c r="D13" s="9">
        <v>0.8399999737739563</v>
      </c>
      <c r="E13" s="9">
        <v>0.30147188901901245</v>
      </c>
      <c r="F13" s="9">
        <v>1.0048971176147461</v>
      </c>
      <c r="G13" s="9">
        <v>0.94231653213500977</v>
      </c>
      <c r="H13" s="9">
        <v>0.30000275373458862</v>
      </c>
      <c r="I13">
        <v>8.1000002101063728E-3</v>
      </c>
      <c r="J13"/>
    </row>
    <row r="14" spans="1:10" ht="15" customHeight="1" x14ac:dyDescent="0.15">
      <c r="A14" s="153">
        <v>13</v>
      </c>
      <c r="B14" s="153" t="s">
        <v>204</v>
      </c>
      <c r="C14" s="8">
        <v>3.9271316528320312</v>
      </c>
      <c r="D14" s="9">
        <v>0.23000000417232513</v>
      </c>
      <c r="E14" s="9">
        <v>0.20327065885066986</v>
      </c>
      <c r="F14" s="9">
        <v>2.0326893329620361</v>
      </c>
      <c r="G14" s="9">
        <v>0.96175134181976318</v>
      </c>
      <c r="H14" s="9">
        <v>0.10000085085630417</v>
      </c>
      <c r="I14">
        <v>0</v>
      </c>
      <c r="J14"/>
    </row>
    <row r="15" spans="1:10" ht="15" customHeight="1" x14ac:dyDescent="0.15">
      <c r="A15" s="154">
        <v>14</v>
      </c>
      <c r="B15" s="154" t="s">
        <v>205</v>
      </c>
      <c r="C15" s="8">
        <v>3.5857913494110107</v>
      </c>
      <c r="D15" s="9">
        <v>7.1599998474121094</v>
      </c>
      <c r="E15" s="9">
        <v>0.2366979718208313</v>
      </c>
      <c r="F15" s="9">
        <v>1.689643383026123</v>
      </c>
      <c r="G15" s="9">
        <v>0.94961893558502197</v>
      </c>
      <c r="H15" s="9">
        <v>0.14008753001689911</v>
      </c>
      <c r="I15">
        <v>0.28999999165534973</v>
      </c>
      <c r="J15"/>
    </row>
    <row r="16" spans="1:10" ht="15" customHeight="1" x14ac:dyDescent="0.15">
      <c r="A16" s="155">
        <v>15</v>
      </c>
      <c r="B16" s="155" t="s">
        <v>206</v>
      </c>
      <c r="C16" s="8">
        <v>3.7917156219482422</v>
      </c>
      <c r="D16" s="9">
        <v>0.93999999761581421</v>
      </c>
      <c r="E16" s="9">
        <v>0.16005188226699829</v>
      </c>
      <c r="F16" s="9">
        <v>1.0371334552764893</v>
      </c>
      <c r="G16" s="9">
        <v>0.73319739103317261</v>
      </c>
      <c r="H16" s="9">
        <v>0.15432140231132507</v>
      </c>
      <c r="I16">
        <v>1.0200000368058681E-2</v>
      </c>
      <c r="J16"/>
    </row>
    <row r="17" spans="1:10" ht="15" customHeight="1" x14ac:dyDescent="0.15">
      <c r="A17" s="156">
        <v>16</v>
      </c>
      <c r="B17" s="156" t="s">
        <v>207</v>
      </c>
      <c r="C17" s="8">
        <v>3.0981321334838867</v>
      </c>
      <c r="D17" s="9">
        <v>0.97000002861022949</v>
      </c>
      <c r="E17" s="9">
        <v>0.46524184942245483</v>
      </c>
      <c r="F17" s="9">
        <v>1.5508249998092651</v>
      </c>
      <c r="G17" s="9">
        <v>0.94313853979110718</v>
      </c>
      <c r="H17" s="9">
        <v>0.29999634623527527</v>
      </c>
      <c r="I17">
        <v>0</v>
      </c>
      <c r="J17"/>
    </row>
    <row r="18" spans="1:10" ht="15" customHeight="1" x14ac:dyDescent="0.15">
      <c r="A18" s="157">
        <v>17</v>
      </c>
      <c r="B18" s="157" t="s">
        <v>208</v>
      </c>
      <c r="C18" s="8">
        <v>3.2345850467681885</v>
      </c>
      <c r="D18" s="9">
        <v>9.5200004577636719</v>
      </c>
      <c r="E18" s="9">
        <v>0.95944863557815552</v>
      </c>
      <c r="F18" s="9">
        <v>3.1980319023132324</v>
      </c>
      <c r="G18" s="9">
        <v>0.94909989833831787</v>
      </c>
      <c r="H18" s="9">
        <v>0.30001220107078552</v>
      </c>
      <c r="I18">
        <v>2.7200000360608101E-2</v>
      </c>
      <c r="J18"/>
    </row>
    <row r="19" spans="1:10" ht="15" customHeight="1" x14ac:dyDescent="0.15">
      <c r="A19" s="158">
        <v>18</v>
      </c>
      <c r="B19" s="158" t="s">
        <v>209</v>
      </c>
      <c r="C19" s="8">
        <v>3.1286182403564453</v>
      </c>
      <c r="D19" s="9">
        <v>1.1399999856948853</v>
      </c>
      <c r="E19" s="9">
        <v>1.0891538858413696</v>
      </c>
      <c r="F19" s="9">
        <v>8.0723075866699219</v>
      </c>
      <c r="G19" s="9">
        <v>0.94694751501083374</v>
      </c>
      <c r="H19" s="9">
        <v>0.13492472469806671</v>
      </c>
      <c r="I19">
        <v>0</v>
      </c>
      <c r="J19"/>
    </row>
    <row r="20" spans="1:10" ht="15" customHeight="1" x14ac:dyDescent="0.15">
      <c r="A20" s="159">
        <v>19</v>
      </c>
      <c r="B20" s="159" t="s">
        <v>210</v>
      </c>
      <c r="C20" s="8">
        <v>3.3493142127990723</v>
      </c>
      <c r="D20" s="9">
        <v>1.9999999552965164E-2</v>
      </c>
      <c r="E20" s="9">
        <v>0.53134012222290039</v>
      </c>
      <c r="F20" s="9">
        <v>1.7710657119750977</v>
      </c>
      <c r="G20" s="9">
        <v>0.89887964725494385</v>
      </c>
      <c r="H20" s="9">
        <v>0.30001151561737061</v>
      </c>
      <c r="I20">
        <v>0</v>
      </c>
      <c r="J20"/>
    </row>
    <row r="21" spans="1:10" ht="15" customHeight="1" x14ac:dyDescent="0.15">
      <c r="A21" s="160">
        <v>20</v>
      </c>
      <c r="B21" s="160" t="s">
        <v>211</v>
      </c>
      <c r="C21" s="8">
        <v>3.8647310733795166</v>
      </c>
      <c r="D21" s="9">
        <v>3.9999999105930328E-2</v>
      </c>
      <c r="E21" s="9">
        <v>0.25074762105941772</v>
      </c>
      <c r="F21" s="9">
        <v>1.4419314861297607</v>
      </c>
      <c r="G21" s="9">
        <v>0.71206372976303101</v>
      </c>
      <c r="H21" s="9">
        <v>0.17389704287052155</v>
      </c>
      <c r="I21">
        <v>1.500000013038516E-3</v>
      </c>
      <c r="J21"/>
    </row>
    <row r="22" spans="1:10" ht="15" customHeight="1" x14ac:dyDescent="0.15">
      <c r="A22" s="161">
        <v>21</v>
      </c>
      <c r="B22" s="161" t="s">
        <v>212</v>
      </c>
      <c r="C22" s="8">
        <v>3.1309118270874023</v>
      </c>
      <c r="D22" s="9">
        <v>2.119999885559082</v>
      </c>
      <c r="E22" s="9">
        <v>0.31900715827941895</v>
      </c>
      <c r="F22" s="9">
        <v>1.1609418392181396</v>
      </c>
      <c r="G22" s="9">
        <v>0.69151276350021362</v>
      </c>
      <c r="H22" s="9">
        <v>0.27478307485580444</v>
      </c>
      <c r="I22">
        <v>2.3499999195337296E-2</v>
      </c>
      <c r="J22"/>
    </row>
    <row r="23" spans="1:10" ht="15" customHeight="1" x14ac:dyDescent="0.15">
      <c r="A23" s="162">
        <v>22</v>
      </c>
      <c r="B23" s="162" t="s">
        <v>213</v>
      </c>
      <c r="C23" s="8">
        <v>3.0922820568084717</v>
      </c>
      <c r="D23" s="9">
        <v>1.5499999523162842</v>
      </c>
      <c r="E23" s="9">
        <v>0.47900000214576721</v>
      </c>
      <c r="F23" s="9">
        <v>1.6288574934005737</v>
      </c>
      <c r="G23" s="9">
        <v>0.94641572237014771</v>
      </c>
      <c r="H23" s="9">
        <v>0.29407116770744324</v>
      </c>
      <c r="I23">
        <v>0.210999995470047</v>
      </c>
      <c r="J23"/>
    </row>
    <row r="24" spans="1:10" ht="15" customHeight="1" x14ac:dyDescent="0.15">
      <c r="A24" s="163">
        <v>23</v>
      </c>
      <c r="B24" s="163" t="s">
        <v>214</v>
      </c>
      <c r="C24" s="8">
        <v>2.2658970355987549</v>
      </c>
      <c r="D24" s="9">
        <v>0.68000000715255737</v>
      </c>
      <c r="E24" s="9">
        <v>1.9333261251449585</v>
      </c>
      <c r="F24" s="9">
        <v>6.4444928169250488</v>
      </c>
      <c r="G24" s="9">
        <v>0.95152127742767334</v>
      </c>
      <c r="H24" s="9">
        <v>0.29999664425849915</v>
      </c>
      <c r="I24">
        <v>8.3099998533725739E-2</v>
      </c>
      <c r="J24"/>
    </row>
    <row r="25" spans="1:10" ht="15" customHeight="1" x14ac:dyDescent="0.15">
      <c r="A25" s="164">
        <v>24</v>
      </c>
      <c r="B25" s="164" t="s">
        <v>215</v>
      </c>
      <c r="C25" s="8">
        <v>3.0779414176940918</v>
      </c>
      <c r="D25" s="9">
        <v>1.5900000333786011</v>
      </c>
      <c r="E25" s="9">
        <v>0.29834362864494324</v>
      </c>
      <c r="F25" s="9">
        <v>1.3565895557403564</v>
      </c>
      <c r="G25" s="9">
        <v>0.40122431516647339</v>
      </c>
      <c r="H25" s="9">
        <v>0.21992181241512299</v>
      </c>
      <c r="I25">
        <v>4.2199999094009399E-2</v>
      </c>
      <c r="J25"/>
    </row>
    <row r="26" spans="1:10" ht="15" customHeight="1" x14ac:dyDescent="0.15">
      <c r="A26" s="165">
        <v>25</v>
      </c>
      <c r="B26" s="165" t="s">
        <v>216</v>
      </c>
      <c r="C26" s="8">
        <v>2</v>
      </c>
      <c r="D26" s="9">
        <v>81.900001525878906</v>
      </c>
      <c r="E26" s="9">
        <v>0.4102400541305542</v>
      </c>
      <c r="F26" s="9">
        <v>1.367466926574707</v>
      </c>
      <c r="G26" s="9">
        <v>2.3207562044262886E-2</v>
      </c>
      <c r="H26" s="9">
        <v>0.29999998211860657</v>
      </c>
      <c r="I26">
        <v>0</v>
      </c>
      <c r="J26"/>
    </row>
    <row r="27" spans="1:10" ht="15" customHeight="1" x14ac:dyDescent="0.15">
      <c r="A27" s="166">
        <v>26</v>
      </c>
      <c r="B27" s="166" t="s">
        <v>217</v>
      </c>
      <c r="C27" s="8">
        <v>2</v>
      </c>
      <c r="D27" s="9">
        <v>53.439998626708984</v>
      </c>
      <c r="E27" s="9">
        <v>0.42948219180107117</v>
      </c>
      <c r="F27" s="9">
        <v>4.7720241546630859</v>
      </c>
      <c r="G27" s="9">
        <v>2.1799145266413689E-2</v>
      </c>
      <c r="H27" s="9">
        <v>9.0000003576278687E-2</v>
      </c>
      <c r="I27">
        <v>3.4499999135732651E-2</v>
      </c>
      <c r="J27"/>
    </row>
    <row r="28" spans="1:10" ht="15" customHeight="1" x14ac:dyDescent="0.15">
      <c r="A28" s="167">
        <v>27</v>
      </c>
      <c r="B28" s="167" t="s">
        <v>218</v>
      </c>
      <c r="C28" s="8">
        <v>2.1547343730926514</v>
      </c>
      <c r="D28" s="9">
        <v>14.819999694824219</v>
      </c>
      <c r="E28" s="9">
        <v>2.1105225086212158</v>
      </c>
      <c r="F28" s="9">
        <v>7.7036800384521484</v>
      </c>
      <c r="G28" s="9">
        <v>0.5480656623840332</v>
      </c>
      <c r="H28" s="9">
        <v>0.27396288514137268</v>
      </c>
      <c r="I28">
        <v>0</v>
      </c>
      <c r="J28"/>
    </row>
    <row r="29" spans="1:10" ht="15" customHeight="1" x14ac:dyDescent="0.15">
      <c r="A29" s="168">
        <v>28</v>
      </c>
      <c r="B29" s="168" t="s">
        <v>219</v>
      </c>
      <c r="C29" s="8">
        <v>2</v>
      </c>
      <c r="D29" s="9">
        <v>5.6999998092651367</v>
      </c>
      <c r="E29" s="9">
        <v>1.6093621253967285</v>
      </c>
      <c r="F29" s="9">
        <v>5.3645405769348145</v>
      </c>
      <c r="G29" s="9">
        <v>0.32717332243919373</v>
      </c>
      <c r="H29" s="9">
        <v>0.29999998211860657</v>
      </c>
      <c r="I29">
        <v>0</v>
      </c>
      <c r="J29"/>
    </row>
    <row r="30" spans="1:10" ht="15" customHeight="1" x14ac:dyDescent="0.15">
      <c r="A30" s="169">
        <v>29</v>
      </c>
      <c r="B30" s="169" t="s">
        <v>220</v>
      </c>
      <c r="C30" s="8">
        <v>2.4189636707305908</v>
      </c>
      <c r="D30" s="9">
        <v>14.680000305175781</v>
      </c>
      <c r="E30" s="9">
        <v>2.6291470527648926</v>
      </c>
      <c r="F30" s="9">
        <v>19.956996917724609</v>
      </c>
      <c r="G30" s="9">
        <v>0.54362308979034424</v>
      </c>
      <c r="H30" s="9">
        <v>0.13174061477184296</v>
      </c>
      <c r="I30">
        <v>0</v>
      </c>
      <c r="J30"/>
    </row>
    <row r="31" spans="1:10" ht="15" customHeight="1" x14ac:dyDescent="0.15">
      <c r="A31" s="170">
        <v>30</v>
      </c>
      <c r="B31" s="170" t="s">
        <v>221</v>
      </c>
      <c r="C31" s="8">
        <v>2.1025357246398926</v>
      </c>
      <c r="D31" s="9">
        <v>71.860000610351562</v>
      </c>
      <c r="E31" s="9">
        <v>4.8150138854980469</v>
      </c>
      <c r="F31" s="9">
        <v>19.260055541992188</v>
      </c>
      <c r="G31" s="9">
        <v>0.79476487636566162</v>
      </c>
      <c r="H31" s="9">
        <v>0.25</v>
      </c>
      <c r="I31">
        <v>0</v>
      </c>
      <c r="J31"/>
    </row>
    <row r="32" spans="1:10" ht="15" customHeight="1" x14ac:dyDescent="0.15">
      <c r="A32" s="198">
        <v>31</v>
      </c>
      <c r="B32" s="198" t="s">
        <v>222</v>
      </c>
      <c r="C32" s="8">
        <v>1</v>
      </c>
      <c r="D32" s="9">
        <v>12.949999809265137</v>
      </c>
      <c r="E32" s="9">
        <v>105.03494262695312</v>
      </c>
      <c r="F32" s="10"/>
      <c r="G32" s="9">
        <v>0.85716480016708374</v>
      </c>
      <c r="H32" s="10"/>
      <c r="I32">
        <v>0</v>
      </c>
      <c r="J32"/>
    </row>
    <row r="33" spans="1:10" ht="15" customHeight="1" x14ac:dyDescent="0.15">
      <c r="A33" s="199">
        <v>32</v>
      </c>
      <c r="B33" s="199" t="s">
        <v>223</v>
      </c>
      <c r="C33" s="8">
        <v>1</v>
      </c>
      <c r="D33" s="9">
        <v>132.61000061035156</v>
      </c>
      <c r="E33" s="10"/>
      <c r="F33" s="10"/>
      <c r="G33" s="9">
        <v>0.60054266452789307</v>
      </c>
      <c r="H33" s="10"/>
      <c r="I33">
        <v>0</v>
      </c>
      <c r="J33"/>
    </row>
    <row r="34" spans="1:10" ht="15" customHeight="1" x14ac:dyDescent="0.15">
      <c r="A34" s="200">
        <v>33</v>
      </c>
      <c r="B34" s="200" t="s">
        <v>224</v>
      </c>
      <c r="C34" s="8">
        <v>1</v>
      </c>
      <c r="D34" s="9">
        <v>5</v>
      </c>
      <c r="E34" s="10"/>
      <c r="F34" s="10"/>
      <c r="G34" s="7">
        <v>0</v>
      </c>
      <c r="H34" s="10"/>
      <c r="I34">
        <v>0</v>
      </c>
      <c r="J34"/>
    </row>
    <row r="35" spans="1:10" ht="15" customHeight="1" x14ac:dyDescent="0.15">
      <c r="A35" s="201">
        <v>34</v>
      </c>
      <c r="B35" s="201" t="s">
        <v>225</v>
      </c>
      <c r="C35" s="8">
        <v>4.6891016960144043</v>
      </c>
      <c r="D35" s="10"/>
      <c r="E35" s="10"/>
      <c r="F35" s="10"/>
      <c r="G35" s="10"/>
      <c r="H35" s="10"/>
      <c r="I35">
        <v>1.4896098375320435</v>
      </c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1" bestFit="1" customWidth="1"/>
    <col min="2" max="4" width="9.5" style="81" bestFit="1" customWidth="1"/>
    <col min="5" max="7" width="9" style="81" bestFit="1" customWidth="1"/>
    <col min="8" max="16" width="12.6640625" style="81" bestFit="1" customWidth="1"/>
    <col min="17" max="17" width="12.33203125" style="81" bestFit="1" customWidth="1"/>
    <col min="18" max="18" width="8.83203125" style="81"/>
    <col min="19" max="21" width="9.33203125" style="81" bestFit="1" customWidth="1"/>
    <col min="22" max="23" width="8.83203125" style="81"/>
    <col min="24" max="24" width="9.33203125" style="81" bestFit="1" customWidth="1"/>
    <col min="25" max="27" width="8.83203125" style="81"/>
    <col min="28" max="58" width="9" style="81" bestFit="1" customWidth="1"/>
    <col min="59" max="59" width="12.33203125" style="81" bestFit="1" customWidth="1"/>
    <col min="60" max="60" width="9" style="81" bestFit="1" customWidth="1"/>
    <col min="61" max="61" width="11.33203125" style="81" bestFit="1" customWidth="1"/>
    <col min="62" max="77" width="9" style="81" bestFit="1" customWidth="1"/>
    <col min="78" max="78" width="12.33203125" style="81" bestFit="1" customWidth="1"/>
    <col min="79" max="79" width="9" style="81" bestFit="1" customWidth="1"/>
    <col min="80" max="80" width="12.33203125" style="81" bestFit="1" customWidth="1"/>
    <col min="81" max="107" width="9" style="81" bestFit="1" customWidth="1"/>
    <col min="108" max="108" width="11.33203125" style="81" bestFit="1" customWidth="1"/>
    <col min="109" max="124" width="9" style="81" bestFit="1" customWidth="1"/>
    <col min="125" max="125" width="10.33203125" style="81" bestFit="1" customWidth="1"/>
    <col min="126" max="129" width="9.33203125" style="81" bestFit="1" customWidth="1"/>
    <col min="130" max="130" width="9" style="81" bestFit="1" customWidth="1"/>
    <col min="131" max="134" width="9.33203125" style="81" bestFit="1" customWidth="1"/>
    <col min="135" max="165" width="9" style="81" bestFit="1" customWidth="1"/>
    <col min="166" max="166" width="12.33203125" style="81" bestFit="1" customWidth="1"/>
    <col min="167" max="170" width="9" style="81" bestFit="1" customWidth="1"/>
    <col min="171" max="176" width="8.83203125" style="81"/>
    <col min="177" max="177" width="13.83203125" style="81" bestFit="1" customWidth="1"/>
    <col min="178" max="16384" width="8.83203125" style="81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230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 t="s">
        <v>221</v>
      </c>
      <c r="AI1" t="s">
        <v>222</v>
      </c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7.26432204246521E-2</v>
      </c>
      <c r="C2">
        <v>6.9309890270233154E-2</v>
      </c>
      <c r="D2" s="202">
        <v>3.3333334140479565E-3</v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0.10290884971618652</v>
      </c>
      <c r="C3">
        <v>5.1454496569931507E-3</v>
      </c>
      <c r="D3" s="203">
        <v>9.7763404250144958E-2</v>
      </c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5.3409654647111893E-2</v>
      </c>
      <c r="C4">
        <v>5.0372228026390076E-2</v>
      </c>
      <c r="D4" s="204">
        <v>3.0374270863831043E-3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0.10934148728847504</v>
      </c>
      <c r="C5">
        <v>5.5495336651802063E-2</v>
      </c>
      <c r="D5" s="205">
        <v>5.3846150636672974E-2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7.0936515927314758E-2</v>
      </c>
      <c r="C6">
        <v>7.0936515927314758E-2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0.40166443586349487</v>
      </c>
      <c r="C7">
        <v>0.28627979755401611</v>
      </c>
      <c r="D7" s="206">
        <v>0.11538462340831757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0.8262019157409668</v>
      </c>
      <c r="C8">
        <v>0.45502927899360657</v>
      </c>
      <c r="D8" s="207">
        <v>0.34544548392295837</v>
      </c>
      <c r="E8" s="14">
        <v>9.5469015650451183E-4</v>
      </c>
      <c r="F8" s="15">
        <v>8.6047342047095299E-3</v>
      </c>
      <c r="G8" s="12">
        <v>2.6069788727909327E-3</v>
      </c>
      <c r="H8" s="16">
        <v>1.3420979492366314E-2</v>
      </c>
      <c r="I8" s="11">
        <v>1.3976045011077076E-4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0.81991076469421387</v>
      </c>
      <c r="C9">
        <v>0.15631476044654846</v>
      </c>
      <c r="D9" s="14">
        <v>1.0975609766319394E-3</v>
      </c>
      <c r="E9" s="24">
        <v>2.2964641451835632E-2</v>
      </c>
      <c r="F9" s="69">
        <v>5.7691335678100586E-2</v>
      </c>
      <c r="G9" s="15">
        <v>7.9848421737551689E-3</v>
      </c>
      <c r="H9" s="140">
        <v>2.4648049846291542E-2</v>
      </c>
      <c r="I9" s="14">
        <v>8.5603265324607491E-4</v>
      </c>
      <c r="J9" s="11">
        <v>2.9332825215533376E-4</v>
      </c>
      <c r="K9" s="243">
        <v>0.3924936056137085</v>
      </c>
      <c r="L9" s="22">
        <v>6.8552843295037746E-3</v>
      </c>
      <c r="M9" s="15">
        <v>7.6788133010268211E-3</v>
      </c>
      <c r="N9" s="14">
        <v>1.6175435157492757E-3</v>
      </c>
      <c r="O9" s="12">
        <v>3.4797000698745251E-3</v>
      </c>
      <c r="P9"/>
      <c r="Q9" s="20">
        <v>3.5345427691936493E-2</v>
      </c>
      <c r="R9" s="16">
        <v>1.3278123922646046E-2</v>
      </c>
      <c r="S9" s="233">
        <v>7.8238047659397125E-2</v>
      </c>
      <c r="T9"/>
      <c r="U9"/>
      <c r="V9"/>
      <c r="W9"/>
      <c r="X9" s="18">
        <v>9.0736178681254387E-3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0.15993750095367432</v>
      </c>
      <c r="C10">
        <v>7.6920874416828156E-3</v>
      </c>
      <c r="D10" s="208">
        <v>0.12741935253143311</v>
      </c>
      <c r="E10"/>
      <c r="F10" s="218">
        <v>2.4815795943140984E-2</v>
      </c>
      <c r="G10" s="11">
        <v>1.0257987923978362E-5</v>
      </c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0.2302841991186142</v>
      </c>
      <c r="C11">
        <v>7.1973696351051331E-2</v>
      </c>
      <c r="D11"/>
      <c r="E11"/>
      <c r="F11" s="226">
        <v>6.7883923649787903E-2</v>
      </c>
      <c r="G11" s="75">
        <v>3.239600732922554E-2</v>
      </c>
      <c r="H11" s="12">
        <v>8.8833511108532548E-4</v>
      </c>
      <c r="I11"/>
      <c r="J11" s="12">
        <v>8.427632856182754E-4</v>
      </c>
      <c r="K11" s="75">
        <v>3.231373056769371E-2</v>
      </c>
      <c r="L11"/>
      <c r="M11" s="202">
        <v>1.0535695590078831E-2</v>
      </c>
      <c r="N11" s="17">
        <v>3.2238536514341831E-3</v>
      </c>
      <c r="O11" s="65">
        <v>9.3413377180695534E-3</v>
      </c>
      <c r="P11"/>
      <c r="Q11" s="12">
        <v>6.8172969622537494E-4</v>
      </c>
      <c r="R11"/>
      <c r="S11" s="11">
        <v>2.0312562992330641E-4</v>
      </c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0.38454899191856384</v>
      </c>
      <c r="C12">
        <v>0.11839108914136887</v>
      </c>
      <c r="D12" s="202">
        <v>1.7264151945710182E-2</v>
      </c>
      <c r="E12"/>
      <c r="F12" s="232">
        <v>5.505651980638504E-2</v>
      </c>
      <c r="G12"/>
      <c r="H12"/>
      <c r="I12"/>
      <c r="J12" s="14">
        <v>3.8162866258062422E-4</v>
      </c>
      <c r="K12" s="237">
        <v>0.15050707757472992</v>
      </c>
      <c r="L12"/>
      <c r="M12" s="11">
        <v>1.4032002945896238E-4</v>
      </c>
      <c r="N12"/>
      <c r="O12" s="69">
        <v>2.7046618983149529E-2</v>
      </c>
      <c r="P12"/>
      <c r="Q12" s="11">
        <v>3.0870779301039875E-4</v>
      </c>
      <c r="R12"/>
      <c r="S12" s="221">
        <v>1.545287761837244E-2</v>
      </c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0.30147188901901245</v>
      </c>
      <c r="C13">
        <v>1.7389943823218346E-2</v>
      </c>
      <c r="D13" s="25">
        <v>9.6428580582141876E-3</v>
      </c>
      <c r="E13"/>
      <c r="F13"/>
      <c r="G13"/>
      <c r="H13"/>
      <c r="I13" s="14">
        <v>4.5580961159430444E-4</v>
      </c>
      <c r="J13" s="14">
        <v>4.8157901619561017E-4</v>
      </c>
      <c r="K13" s="238">
        <v>0.1952013224363327</v>
      </c>
      <c r="L13"/>
      <c r="M13" s="23">
        <v>1.7707051010802388E-3</v>
      </c>
      <c r="N13" s="23">
        <v>1.97378802113235E-3</v>
      </c>
      <c r="O13" s="29">
        <v>1.4072665944695473E-2</v>
      </c>
      <c r="P13"/>
      <c r="Q13" s="228">
        <v>4.8138469457626343E-2</v>
      </c>
      <c r="R13"/>
      <c r="S13" s="65">
        <v>1.2303609400987625E-2</v>
      </c>
      <c r="T13"/>
      <c r="U13"/>
      <c r="V13"/>
      <c r="W13"/>
      <c r="X13" s="11">
        <v>4.1198050894308835E-5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0.20327065885066986</v>
      </c>
      <c r="C14">
        <v>7.7748298645019531E-3</v>
      </c>
      <c r="D14"/>
      <c r="E14"/>
      <c r="F14"/>
      <c r="G14"/>
      <c r="H14"/>
      <c r="I14" s="11">
        <v>8.0152029113378376E-5</v>
      </c>
      <c r="J14" s="22">
        <v>1.7588102491572499E-3</v>
      </c>
      <c r="K14" s="219">
        <v>3.8535624742507935E-2</v>
      </c>
      <c r="L14"/>
      <c r="M14" s="18">
        <v>2.5867691729217768E-3</v>
      </c>
      <c r="N14"/>
      <c r="O14"/>
      <c r="P14"/>
      <c r="Q14" s="223">
        <v>8.0892942845821381E-2</v>
      </c>
      <c r="R14"/>
      <c r="S14" s="222">
        <v>7.1641519665718079E-2</v>
      </c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0.2366979718208313</v>
      </c>
      <c r="C15">
        <v>1.1925095692276955E-2</v>
      </c>
      <c r="D15" s="209">
        <v>4.0502794086933136E-2</v>
      </c>
      <c r="E15" s="11">
        <v>2.0699300512205809E-4</v>
      </c>
      <c r="F15"/>
      <c r="G15" s="11">
        <v>2.1762405231129378E-4</v>
      </c>
      <c r="H15" s="11">
        <v>7.9404253483517095E-6</v>
      </c>
      <c r="I15" s="11">
        <v>8.516368325217627E-6</v>
      </c>
      <c r="J15"/>
      <c r="K15" s="248">
        <v>0.12688231468200684</v>
      </c>
      <c r="L15"/>
      <c r="M15" s="19">
        <v>4.0162359364330769E-3</v>
      </c>
      <c r="N15" s="14">
        <v>6.4837280660867691E-4</v>
      </c>
      <c r="O15" s="11">
        <v>3.7953632272547111E-5</v>
      </c>
      <c r="P15"/>
      <c r="Q15" s="227">
        <v>5.6279427371919155E-3</v>
      </c>
      <c r="R15" s="76">
        <v>4.0044549852609634E-2</v>
      </c>
      <c r="S15" s="24">
        <v>6.5635670907795429E-3</v>
      </c>
      <c r="T15"/>
      <c r="U15"/>
      <c r="V15"/>
      <c r="W15"/>
      <c r="X15" s="11">
        <v>8.0554846135783009E-6</v>
      </c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0.16005188226699829</v>
      </c>
      <c r="C16">
        <v>4.2702261358499527E-2</v>
      </c>
      <c r="D16" s="210">
        <v>1.0851064696907997E-2</v>
      </c>
      <c r="E16" s="225">
        <v>3.0605947598814964E-2</v>
      </c>
      <c r="F16" s="231">
        <v>5.0796825438737869E-2</v>
      </c>
      <c r="G16"/>
      <c r="H16" s="224">
        <v>2.4495368823409081E-2</v>
      </c>
      <c r="I16" s="12">
        <v>6.0041871620342135E-4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0.46524184942245483</v>
      </c>
      <c r="C17">
        <v>2.645433135330677E-2</v>
      </c>
      <c r="D17"/>
      <c r="E17" s="65">
        <v>1.9413407891988754E-2</v>
      </c>
      <c r="F17" s="22">
        <v>3.555195638909936E-3</v>
      </c>
      <c r="G17"/>
      <c r="H17" s="229">
        <v>4.1760906577110291E-2</v>
      </c>
      <c r="I17" s="11">
        <v>2.1636598103214055E-4</v>
      </c>
      <c r="J17" s="12">
        <v>1.803405350074172E-3</v>
      </c>
      <c r="K17"/>
      <c r="L17" s="235">
        <v>9.7836419939994812E-2</v>
      </c>
      <c r="M17" s="236">
        <v>0.12624943256378174</v>
      </c>
      <c r="N17" s="204">
        <v>2.6322599500417709E-2</v>
      </c>
      <c r="O17" s="22">
        <v>3.6419837269932032E-3</v>
      </c>
      <c r="P17"/>
      <c r="Q17" s="230">
        <v>4.8192966729402542E-2</v>
      </c>
      <c r="R17" s="24">
        <v>1.2472006492316723E-2</v>
      </c>
      <c r="S17" s="229">
        <v>4.1814558207988739E-2</v>
      </c>
      <c r="T17" s="220">
        <v>1.5508251264691353E-2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0.95944863557815552</v>
      </c>
      <c r="C18">
        <v>4.8836033791303635E-2</v>
      </c>
      <c r="D18" s="12">
        <v>2.8571428265422583E-3</v>
      </c>
      <c r="E18" s="29">
        <v>4.4780775904655457E-2</v>
      </c>
      <c r="F18" s="12">
        <v>3.0883415602147579E-3</v>
      </c>
      <c r="G18" s="11">
        <v>1.7703647245070897E-5</v>
      </c>
      <c r="H18" s="11">
        <v>8.8087006588466465E-5</v>
      </c>
      <c r="I18" s="11">
        <v>1.3167833094485104E-4</v>
      </c>
      <c r="J18" s="14">
        <v>2.5150824803858995E-3</v>
      </c>
      <c r="K18" s="250">
        <v>0.35343381762504578</v>
      </c>
      <c r="L18" s="27">
        <v>7.2593830525875092E-2</v>
      </c>
      <c r="M18" s="19">
        <v>1.7759127542376518E-2</v>
      </c>
      <c r="N18" s="247">
        <v>7.9532042145729065E-2</v>
      </c>
      <c r="O18" s="245">
        <v>5.0096403807401657E-2</v>
      </c>
      <c r="P18" s="12">
        <v>4.1939672082662582E-3</v>
      </c>
      <c r="Q18"/>
      <c r="R18" s="249">
        <v>0.26813501119613647</v>
      </c>
      <c r="S18" s="15">
        <v>9.6680959686636925E-3</v>
      </c>
      <c r="T18" s="14">
        <v>1.5801474219188094E-3</v>
      </c>
      <c r="U18"/>
      <c r="V18"/>
      <c r="W18" s="11">
        <v>1.4138758706394583E-4</v>
      </c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1.0891538858413696</v>
      </c>
      <c r="C19">
        <v>5.7782318443059921E-2</v>
      </c>
      <c r="D19"/>
      <c r="E19" s="13">
        <v>3.9766579866409302E-2</v>
      </c>
      <c r="F19"/>
      <c r="G19"/>
      <c r="H19" s="16">
        <v>1.6706936061382294E-2</v>
      </c>
      <c r="I19"/>
      <c r="J19" s="202">
        <v>4.8710037022829056E-2</v>
      </c>
      <c r="K19" s="14">
        <v>2.4296038318425417E-3</v>
      </c>
      <c r="L19" s="140">
        <v>3.2776609063148499E-2</v>
      </c>
      <c r="M19" s="11">
        <v>8.69819923536852E-5</v>
      </c>
      <c r="N19" s="12">
        <v>3.9752786979079247E-3</v>
      </c>
      <c r="O19" s="11">
        <v>4.7675086534582078E-4</v>
      </c>
      <c r="P19" s="11">
        <v>1.48090097354725E-4</v>
      </c>
      <c r="Q19" s="13">
        <v>4.1006296873092651E-2</v>
      </c>
      <c r="R19" s="239">
        <v>0.14963126182556152</v>
      </c>
      <c r="S19" s="234">
        <v>8.0737084150314331E-2</v>
      </c>
      <c r="T19" s="18">
        <v>1.319561805576086E-2</v>
      </c>
      <c r="U19" s="246">
        <v>0.59555208683013916</v>
      </c>
      <c r="V19"/>
      <c r="W19"/>
      <c r="X19" s="23">
        <v>6.1724791303277016E-3</v>
      </c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0.53134012222290039</v>
      </c>
      <c r="C20">
        <v>5.3729299455881119E-2</v>
      </c>
      <c r="D20"/>
      <c r="E20"/>
      <c r="F20"/>
      <c r="G20" s="65">
        <v>2.2259833291172981E-2</v>
      </c>
      <c r="H20"/>
      <c r="I20"/>
      <c r="J20"/>
      <c r="K20"/>
      <c r="L20"/>
      <c r="M20"/>
      <c r="N20"/>
      <c r="O20" s="214">
        <v>6.1143301427364349E-2</v>
      </c>
      <c r="P20"/>
      <c r="Q20" s="25">
        <v>1.636151410639286E-2</v>
      </c>
      <c r="R20"/>
      <c r="S20"/>
      <c r="T20" s="217">
        <v>0.37607511878013611</v>
      </c>
      <c r="U20"/>
      <c r="V20"/>
      <c r="W20" s="12">
        <v>1.7710657557472587E-3</v>
      </c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0.25074762105941772</v>
      </c>
      <c r="C21">
        <v>7.2199337184429169E-2</v>
      </c>
      <c r="D21" s="211">
        <v>3.7500001490116119E-2</v>
      </c>
      <c r="E21" s="216">
        <v>5.8846894651651382E-2</v>
      </c>
      <c r="F21" s="106">
        <v>1.6579519957304001E-2</v>
      </c>
      <c r="G21"/>
      <c r="H21" s="215">
        <v>4.9036096781492233E-2</v>
      </c>
      <c r="I21" s="66">
        <v>1.5492462553083897E-2</v>
      </c>
      <c r="J21" s="12">
        <v>1.0933143785223365E-3</v>
      </c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0.31900715827941895</v>
      </c>
      <c r="C22">
        <v>9.8409637808799744E-2</v>
      </c>
      <c r="D22" s="28">
        <v>1.1084905825555325E-2</v>
      </c>
      <c r="E22" s="241">
        <v>8.6769349873065948E-2</v>
      </c>
      <c r="F22"/>
      <c r="G22" s="12">
        <v>1.0799919255077839E-3</v>
      </c>
      <c r="H22" s="17">
        <v>4.1902600787580013E-3</v>
      </c>
      <c r="I22" s="15">
        <v>2.9966856818646193E-3</v>
      </c>
      <c r="J22" s="28">
        <v>1.1087859980762005E-2</v>
      </c>
      <c r="K22"/>
      <c r="L22"/>
      <c r="M22" s="21">
        <v>6.4079477451741695E-3</v>
      </c>
      <c r="N22" s="19">
        <v>5.5787446908652782E-3</v>
      </c>
      <c r="O22" s="11">
        <v>6.4091509557329118E-5</v>
      </c>
      <c r="P22"/>
      <c r="Q22" s="67">
        <v>1.5964604914188385E-2</v>
      </c>
      <c r="R22" s="202">
        <v>1.4266328886151314E-2</v>
      </c>
      <c r="S22" s="211">
        <v>4.769236221909523E-2</v>
      </c>
      <c r="T22" s="12">
        <v>1.4191515510901809E-3</v>
      </c>
      <c r="U22"/>
      <c r="V22"/>
      <c r="W22"/>
      <c r="X22" s="13">
        <v>1.1995238251984119E-2</v>
      </c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0.47900000214576721</v>
      </c>
      <c r="C23">
        <v>2.5666868314146996E-2</v>
      </c>
      <c r="D23" s="212">
        <v>0.13612903654575348</v>
      </c>
      <c r="E23" s="28">
        <v>1.6873659566044807E-2</v>
      </c>
      <c r="F23" s="137">
        <v>5.7047810405492783E-2</v>
      </c>
      <c r="G23"/>
      <c r="H23" s="11">
        <v>6.41893784631975E-5</v>
      </c>
      <c r="I23" s="12">
        <v>1.5370097244158387E-3</v>
      </c>
      <c r="J23" s="14">
        <v>5.6429137475788593E-4</v>
      </c>
      <c r="K23" s="105">
        <v>7.4693858623504639E-2</v>
      </c>
      <c r="L23"/>
      <c r="M23" s="67">
        <v>2.4565963074564934E-2</v>
      </c>
      <c r="N23"/>
      <c r="O23" s="11">
        <v>1.7532128549646586E-4</v>
      </c>
      <c r="P23"/>
      <c r="Q23" s="23">
        <v>2.7746714185923338E-3</v>
      </c>
      <c r="R23" s="240">
        <v>0.11473441869020462</v>
      </c>
      <c r="S23" s="202">
        <v>2.126135490834713E-2</v>
      </c>
      <c r="T23" s="23">
        <v>2.9115492943674326E-3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1.9333261251449585</v>
      </c>
      <c r="C24">
        <v>9.3725182116031647E-2</v>
      </c>
      <c r="D24" s="66">
        <v>0.12220587581396103</v>
      </c>
      <c r="E24" s="11">
        <v>1.025653793476522E-3</v>
      </c>
      <c r="F24"/>
      <c r="G24"/>
      <c r="H24" s="11">
        <v>2.0902001779177226E-5</v>
      </c>
      <c r="I24" s="11">
        <v>1.8455820390954614E-3</v>
      </c>
      <c r="J24"/>
      <c r="K24" s="72">
        <v>0.18247751891613007</v>
      </c>
      <c r="L24" s="242">
        <v>0.46925488114356995</v>
      </c>
      <c r="M24" s="27">
        <v>0.14801010489463806</v>
      </c>
      <c r="N24" s="73">
        <v>0.15165658295154572</v>
      </c>
      <c r="O24" s="22">
        <v>1.3987029902637005E-2</v>
      </c>
      <c r="P24"/>
      <c r="Q24" s="12">
        <v>5.7059060782194138E-3</v>
      </c>
      <c r="R24" s="244">
        <v>0.62268328666687012</v>
      </c>
      <c r="S24" s="20">
        <v>8.4452465176582336E-2</v>
      </c>
      <c r="T24" s="18">
        <v>2.2122064605355263E-2</v>
      </c>
      <c r="U24"/>
      <c r="V24"/>
      <c r="W24"/>
      <c r="X24" s="11">
        <v>2.5445851497352123E-4</v>
      </c>
      <c r="Y24" s="12">
        <v>7.2380895726382732E-3</v>
      </c>
      <c r="Z24"/>
      <c r="AA24"/>
      <c r="AB24" s="12">
        <v>6.6605880856513977E-3</v>
      </c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0.29834362864494324</v>
      </c>
      <c r="C25">
        <v>0.17864091694355011</v>
      </c>
      <c r="D25" s="213">
        <v>2.6540879160165787E-2</v>
      </c>
      <c r="E25"/>
      <c r="F25"/>
      <c r="G25"/>
      <c r="H25" s="11">
        <v>6.2574545154348016E-5</v>
      </c>
      <c r="I25" s="11">
        <v>3.5674827813636512E-5</v>
      </c>
      <c r="J25"/>
      <c r="K25" s="202">
        <v>1.3239047490060329E-2</v>
      </c>
      <c r="L25" s="26">
        <v>7.4867918156087399E-3</v>
      </c>
      <c r="M25"/>
      <c r="N25"/>
      <c r="O25" s="11">
        <v>8.545534365111962E-5</v>
      </c>
      <c r="P25" s="12">
        <v>1.2210448039695621E-3</v>
      </c>
      <c r="Q25" s="75">
        <v>4.2043063789606094E-2</v>
      </c>
      <c r="R25"/>
      <c r="S25" s="21">
        <v>5.9481309726834297E-3</v>
      </c>
      <c r="T25" s="25">
        <v>9.4610089436173439E-3</v>
      </c>
      <c r="U25"/>
      <c r="V25"/>
      <c r="W25"/>
      <c r="X25" s="11">
        <v>1.451000298402505E-5</v>
      </c>
      <c r="Y25"/>
      <c r="Z25"/>
      <c r="AA25"/>
      <c r="AB25" s="202">
        <v>1.3564541004598141E-2</v>
      </c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0.4102400541305542</v>
      </c>
      <c r="C26">
        <v>0.40071937441825867</v>
      </c>
      <c r="D26"/>
      <c r="E26"/>
      <c r="F26"/>
      <c r="G26"/>
      <c r="H26"/>
      <c r="I26"/>
      <c r="J26"/>
      <c r="K26" s="11">
        <v>3.9906019810587168E-4</v>
      </c>
      <c r="L26" s="11">
        <v>4.4411881390260532E-5</v>
      </c>
      <c r="M26" s="11">
        <v>6.0536916635101079E-7</v>
      </c>
      <c r="N26"/>
      <c r="O26" s="19">
        <v>7.1985013782978058E-3</v>
      </c>
      <c r="P26" s="11">
        <v>3.8134552596602589E-5</v>
      </c>
      <c r="Q26" s="11">
        <v>1.1415673361625522E-4</v>
      </c>
      <c r="R26"/>
      <c r="S26" s="14">
        <v>6.488114595413208E-4</v>
      </c>
      <c r="T26" s="14">
        <v>9.1837625950574875E-4</v>
      </c>
      <c r="U26"/>
      <c r="V26"/>
      <c r="W26"/>
      <c r="X26" s="11">
        <v>1.6408794181188568E-5</v>
      </c>
      <c r="Y26"/>
      <c r="Z26"/>
      <c r="AA26"/>
      <c r="AB26" s="11">
        <v>1.4220408047549427E-4</v>
      </c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0.42948219180107117</v>
      </c>
      <c r="C27">
        <v>0.42011985182762146</v>
      </c>
      <c r="D27" s="14">
        <v>6.4558384474366903E-4</v>
      </c>
      <c r="E27"/>
      <c r="F27"/>
      <c r="G27"/>
      <c r="H27"/>
      <c r="I27" s="11">
        <v>5.3071647698743618E-7</v>
      </c>
      <c r="J27" s="11">
        <v>8.1834912180056563E-7</v>
      </c>
      <c r="K27" s="12">
        <v>2.0420672371983528E-3</v>
      </c>
      <c r="L27" s="11">
        <v>4.950099901179783E-5</v>
      </c>
      <c r="M27"/>
      <c r="N27" s="11">
        <v>1.861506825662218E-5</v>
      </c>
      <c r="O27" s="11">
        <v>1.0932976147159934E-4</v>
      </c>
      <c r="P27" s="12">
        <v>1.6585314879193902E-3</v>
      </c>
      <c r="Q27" s="11">
        <v>1.7495203064754605E-4</v>
      </c>
      <c r="R27" s="11">
        <v>2.2638187147094868E-5</v>
      </c>
      <c r="S27" s="14">
        <v>1.2151048285886645E-3</v>
      </c>
      <c r="T27" s="12">
        <v>1.4074667124077678E-3</v>
      </c>
      <c r="U27"/>
      <c r="V27"/>
      <c r="W27"/>
      <c r="X27"/>
      <c r="Y27" s="11">
        <v>9.2101443442516029E-5</v>
      </c>
      <c r="Z27"/>
      <c r="AA27"/>
      <c r="AB27" s="12">
        <v>1.925103715620935E-3</v>
      </c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2.1105225086212158</v>
      </c>
      <c r="C28">
        <v>0.95381760597229004</v>
      </c>
      <c r="D28"/>
      <c r="E28"/>
      <c r="F28"/>
      <c r="G28"/>
      <c r="H28"/>
      <c r="I28"/>
      <c r="J28"/>
      <c r="K28" s="12">
        <v>7.1392967365682125E-3</v>
      </c>
      <c r="L28" s="14">
        <v>4.5516868121922016E-3</v>
      </c>
      <c r="M28" s="11">
        <v>1.0036384992417879E-5</v>
      </c>
      <c r="N28"/>
      <c r="O28" s="11">
        <v>7.1512628346681595E-4</v>
      </c>
      <c r="P28" s="15">
        <v>2.0111773163080215E-2</v>
      </c>
      <c r="Q28" s="12">
        <v>7.2549604810774326E-3</v>
      </c>
      <c r="R28"/>
      <c r="S28" s="14">
        <v>5.2631734870374203E-3</v>
      </c>
      <c r="T28" s="22">
        <v>1.6240760684013367E-2</v>
      </c>
      <c r="U28"/>
      <c r="V28"/>
      <c r="W28"/>
      <c r="X28" s="11">
        <v>6.6161505856143776E-6</v>
      </c>
      <c r="Y28"/>
      <c r="Z28"/>
      <c r="AA28" s="12">
        <v>6.6525572910904884E-3</v>
      </c>
      <c r="AB28" s="24">
        <v>5.6465834379196167E-2</v>
      </c>
      <c r="AC28"/>
      <c r="AD28"/>
      <c r="AE28" s="251">
        <v>1.0322930812835693</v>
      </c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1.6093621253967285</v>
      </c>
      <c r="C29">
        <v>1.0828217267990112</v>
      </c>
      <c r="D29"/>
      <c r="E29"/>
      <c r="F29"/>
      <c r="G29"/>
      <c r="H29"/>
      <c r="I29" s="11">
        <v>2.4878499971237034E-6</v>
      </c>
      <c r="J29" s="11">
        <v>2.704514772631228E-4</v>
      </c>
      <c r="K29" s="14">
        <v>2.6239720173180103E-3</v>
      </c>
      <c r="L29" s="11">
        <v>1.1022221297025681E-3</v>
      </c>
      <c r="M29" s="11">
        <v>8.6981999629642814E-6</v>
      </c>
      <c r="N29"/>
      <c r="O29" s="21">
        <v>3.170393779873848E-2</v>
      </c>
      <c r="P29" s="202">
        <v>7.2119876742362976E-2</v>
      </c>
      <c r="Q29"/>
      <c r="R29"/>
      <c r="S29" s="11">
        <v>8.5526570910587907E-4</v>
      </c>
      <c r="T29" s="230">
        <v>0.16626478731632233</v>
      </c>
      <c r="U29"/>
      <c r="V29" s="11">
        <v>6.4578460296615958E-4</v>
      </c>
      <c r="W29"/>
      <c r="X29" s="14">
        <v>2.3576845414936543E-3</v>
      </c>
      <c r="Y29"/>
      <c r="Z29" s="24">
        <v>4.4293493032455444E-2</v>
      </c>
      <c r="AA29" s="15">
        <v>1.7296649515628815E-2</v>
      </c>
      <c r="AB29" s="214">
        <v>0.18699504435062408</v>
      </c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2.6291470527648926</v>
      </c>
      <c r="C30">
        <v>1.1998820304870605</v>
      </c>
      <c r="D30"/>
      <c r="E30" s="14">
        <v>3.0525075271725655E-3</v>
      </c>
      <c r="F30" s="14">
        <v>7.4389483779668808E-3</v>
      </c>
      <c r="G30"/>
      <c r="H30"/>
      <c r="I30"/>
      <c r="J30"/>
      <c r="K30" s="14">
        <v>4.5281988568603992E-3</v>
      </c>
      <c r="L30" s="245">
        <v>0.13762758672237396</v>
      </c>
      <c r="M30" s="11">
        <v>6.2819011509418488E-4</v>
      </c>
      <c r="N30" s="23">
        <v>1.3108748011291027E-2</v>
      </c>
      <c r="O30" s="11">
        <v>2.1288159769028425E-3</v>
      </c>
      <c r="P30" s="11">
        <v>5.1750826969509944E-5</v>
      </c>
      <c r="Q30" s="11">
        <v>6.3688255613669753E-4</v>
      </c>
      <c r="R30" s="76">
        <v>0.44171974062919617</v>
      </c>
      <c r="S30" s="12">
        <v>1.2287161312997341E-2</v>
      </c>
      <c r="T30" s="11">
        <v>2.5618195068091154E-3</v>
      </c>
      <c r="U30" s="241">
        <v>0.71550518274307251</v>
      </c>
      <c r="V30" s="21">
        <v>5.2845019847154617E-2</v>
      </c>
      <c r="W30" s="11">
        <v>1.5442533185705543E-3</v>
      </c>
      <c r="X30" s="11">
        <v>1.771964889485389E-4</v>
      </c>
      <c r="Y30" s="23">
        <v>1.4970222488045692E-2</v>
      </c>
      <c r="Z30"/>
      <c r="AA30" s="23">
        <v>1.7909333109855652E-2</v>
      </c>
      <c r="AB30" s="11">
        <v>5.4359802743420005E-4</v>
      </c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4.8150138854980469</v>
      </c>
      <c r="C31">
        <v>0.98820996284484863</v>
      </c>
      <c r="D31"/>
      <c r="E31" s="11">
        <v>1.0069562122225761E-3</v>
      </c>
      <c r="F31"/>
      <c r="G31"/>
      <c r="H31"/>
      <c r="I31"/>
      <c r="J31" s="11">
        <v>3.3471912956883898E-6</v>
      </c>
      <c r="K31" s="11">
        <v>6.1669874412473291E-5</v>
      </c>
      <c r="L31" s="11">
        <v>6.3961406704038382E-4</v>
      </c>
      <c r="M31" s="11">
        <v>6.8994899038443691E-7</v>
      </c>
      <c r="N31" s="11">
        <v>7.6907972470507957E-6</v>
      </c>
      <c r="O31" s="11">
        <v>5.6724470596236642E-6</v>
      </c>
      <c r="P31" s="11">
        <v>5.8733203331939876E-6</v>
      </c>
      <c r="Q31" s="11">
        <v>3.9031879168760497E-6</v>
      </c>
      <c r="R31" s="23">
        <v>2.7104830369353294E-2</v>
      </c>
      <c r="S31" s="11">
        <v>1.8859644478652626E-4</v>
      </c>
      <c r="T31" s="11">
        <v>5.2334414795041084E-4</v>
      </c>
      <c r="U31" s="64">
        <v>0.26805901527404785</v>
      </c>
      <c r="V31" s="227">
        <v>0.11714978516101837</v>
      </c>
      <c r="W31" s="11">
        <v>1.5822768909856677E-4</v>
      </c>
      <c r="X31"/>
      <c r="Y31" s="23">
        <v>3.105468675494194E-2</v>
      </c>
      <c r="Z31" s="23">
        <v>3.162059560418129E-2</v>
      </c>
      <c r="AA31" s="14">
        <v>7.3172561824321747E-3</v>
      </c>
      <c r="AB31" s="11">
        <v>1.4706559013575315E-3</v>
      </c>
      <c r="AC31"/>
      <c r="AD31"/>
      <c r="AE31"/>
      <c r="AF31"/>
      <c r="AG31" s="244">
        <v>1.5492361783981323</v>
      </c>
      <c r="AH31" s="252">
        <v>1.7911851406097412</v>
      </c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105.03494262695312</v>
      </c>
      <c r="C32">
        <v>15.002687454223633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1">
        <v>3.5530622699297965E-4</v>
      </c>
      <c r="W32"/>
      <c r="X32"/>
      <c r="Y32"/>
      <c r="Z32"/>
      <c r="AA32" s="11">
        <v>4.3276786804199219E-2</v>
      </c>
      <c r="AB32"/>
      <c r="AC32"/>
      <c r="AD32" s="21">
        <v>1.969243049621582</v>
      </c>
      <c r="AE32" s="65">
        <v>4.3287067413330078</v>
      </c>
      <c r="AF32"/>
      <c r="AG32" s="253">
        <v>11.763995170593262</v>
      </c>
      <c r="AH32" s="254">
        <v>71.926689147949219</v>
      </c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/>
      <c r="C33">
        <v>0.60054266452789307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 s="9">
        <v>2.8359119892120361</v>
      </c>
      <c r="AB33"/>
      <c r="AC33" s="9">
        <v>111.99554443359375</v>
      </c>
      <c r="AD33" s="9">
        <v>229.5152587890625</v>
      </c>
      <c r="AE33" s="9">
        <v>42.813201904296875</v>
      </c>
      <c r="AF33" s="9">
        <v>30.577880859375</v>
      </c>
      <c r="AG33" s="9">
        <v>29.296873092651367</v>
      </c>
      <c r="AH33" s="9">
        <v>323.86245727539062</v>
      </c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/>
      <c r="C34">
        <v>0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2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0" t="s">
        <v>192</v>
      </c>
      <c r="E5">
        <v>4</v>
      </c>
      <c r="F5">
        <v>3.13</v>
      </c>
      <c r="G5">
        <v>4</v>
      </c>
      <c r="H5" s="191" t="s">
        <v>192</v>
      </c>
      <c r="J5" s="57"/>
      <c r="K5" s="58"/>
    </row>
    <row r="6" spans="1:12" ht="14" thickBot="1" x14ac:dyDescent="0.2">
      <c r="A6" s="41" t="s">
        <v>121</v>
      </c>
      <c r="D6" s="190" t="s">
        <v>193</v>
      </c>
      <c r="E6">
        <v>5</v>
      </c>
      <c r="F6">
        <v>3.13</v>
      </c>
      <c r="G6">
        <v>5</v>
      </c>
      <c r="H6" s="191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0" t="s">
        <v>194</v>
      </c>
      <c r="E7">
        <v>6</v>
      </c>
      <c r="F7">
        <v>3.13</v>
      </c>
      <c r="G7">
        <v>6</v>
      </c>
      <c r="H7" s="191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0" t="s">
        <v>195</v>
      </c>
      <c r="E8">
        <v>7</v>
      </c>
      <c r="F8">
        <v>3.13</v>
      </c>
      <c r="G8">
        <v>7</v>
      </c>
      <c r="H8" s="191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0" t="s">
        <v>196</v>
      </c>
      <c r="E9">
        <v>8</v>
      </c>
      <c r="F9">
        <v>3.13</v>
      </c>
      <c r="G9">
        <v>8</v>
      </c>
      <c r="H9" s="191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0" t="s">
        <v>197</v>
      </c>
      <c r="E10">
        <v>9</v>
      </c>
      <c r="F10">
        <v>3.13</v>
      </c>
      <c r="G10">
        <v>9</v>
      </c>
      <c r="H10" s="191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0" t="s">
        <v>198</v>
      </c>
      <c r="E11">
        <v>10</v>
      </c>
      <c r="F11">
        <v>3.22</v>
      </c>
      <c r="G11">
        <v>10</v>
      </c>
      <c r="H11" s="191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0" t="s">
        <v>199</v>
      </c>
      <c r="E12">
        <v>11</v>
      </c>
      <c r="F12">
        <v>3.22</v>
      </c>
      <c r="G12">
        <v>11</v>
      </c>
      <c r="H12" s="191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0" t="s">
        <v>200</v>
      </c>
      <c r="E13">
        <v>12</v>
      </c>
      <c r="F13">
        <v>3.22</v>
      </c>
      <c r="G13">
        <v>12</v>
      </c>
      <c r="H13" s="191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0" t="s">
        <v>201</v>
      </c>
      <c r="E14">
        <v>13</v>
      </c>
      <c r="F14">
        <v>3.22</v>
      </c>
      <c r="G14">
        <v>13</v>
      </c>
      <c r="H14" s="191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0" t="s">
        <v>202</v>
      </c>
      <c r="E15">
        <v>14</v>
      </c>
      <c r="F15">
        <v>3.22</v>
      </c>
      <c r="G15">
        <v>14</v>
      </c>
      <c r="H15" s="191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0" t="s">
        <v>203</v>
      </c>
      <c r="E16">
        <v>15</v>
      </c>
      <c r="F16">
        <v>3.22</v>
      </c>
      <c r="G16">
        <v>15</v>
      </c>
      <c r="H16" s="191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0" t="s">
        <v>204</v>
      </c>
      <c r="E17">
        <v>16</v>
      </c>
      <c r="F17">
        <v>3.22</v>
      </c>
      <c r="G17">
        <v>16</v>
      </c>
      <c r="H17" s="191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0" t="s">
        <v>205</v>
      </c>
      <c r="E18">
        <v>17</v>
      </c>
      <c r="F18">
        <v>3</v>
      </c>
      <c r="G18">
        <v>17</v>
      </c>
      <c r="H18" s="191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0" t="s">
        <v>206</v>
      </c>
      <c r="E19">
        <v>18</v>
      </c>
      <c r="F19">
        <v>3.2</v>
      </c>
      <c r="G19">
        <v>18</v>
      </c>
      <c r="H19" s="191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0" t="s">
        <v>207</v>
      </c>
      <c r="E20">
        <v>19</v>
      </c>
      <c r="F20">
        <v>3.2</v>
      </c>
      <c r="G20">
        <v>19</v>
      </c>
      <c r="H20" s="191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0" t="s">
        <v>208</v>
      </c>
      <c r="E21">
        <v>20</v>
      </c>
      <c r="F21">
        <v>3.12</v>
      </c>
      <c r="G21">
        <v>20</v>
      </c>
      <c r="H21" s="191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0" t="s">
        <v>209</v>
      </c>
      <c r="E22">
        <v>21</v>
      </c>
      <c r="F22">
        <v>3.12</v>
      </c>
      <c r="G22">
        <v>21</v>
      </c>
      <c r="H22" s="191" t="s">
        <v>209</v>
      </c>
    </row>
    <row r="23" spans="1:12" x14ac:dyDescent="0.15">
      <c r="A23" s="36" t="s">
        <v>129</v>
      </c>
      <c r="B23" s="44">
        <v>4</v>
      </c>
      <c r="C23" s="38"/>
      <c r="D23" s="190" t="s">
        <v>210</v>
      </c>
      <c r="E23">
        <v>22</v>
      </c>
      <c r="F23">
        <v>3.22</v>
      </c>
      <c r="G23">
        <v>22</v>
      </c>
      <c r="H23" s="191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90" t="s">
        <v>211</v>
      </c>
      <c r="E24">
        <v>23</v>
      </c>
      <c r="F24">
        <v>3.1</v>
      </c>
      <c r="G24">
        <v>23</v>
      </c>
      <c r="H24" s="191" t="s">
        <v>211</v>
      </c>
    </row>
    <row r="25" spans="1:12" x14ac:dyDescent="0.15">
      <c r="A25" s="36" t="s">
        <v>70</v>
      </c>
      <c r="B25" s="44">
        <v>4.2</v>
      </c>
      <c r="C25" s="38"/>
      <c r="D25" s="190" t="s">
        <v>212</v>
      </c>
      <c r="E25">
        <v>24</v>
      </c>
      <c r="F25">
        <v>3.1</v>
      </c>
      <c r="G25">
        <v>24</v>
      </c>
      <c r="H25" s="191" t="s">
        <v>212</v>
      </c>
    </row>
    <row r="26" spans="1:12" x14ac:dyDescent="0.15">
      <c r="A26" s="36" t="s">
        <v>123</v>
      </c>
      <c r="B26" s="44">
        <v>4.3</v>
      </c>
      <c r="C26" s="38"/>
      <c r="D26" s="190" t="s">
        <v>213</v>
      </c>
      <c r="E26">
        <v>25</v>
      </c>
      <c r="F26">
        <v>3.1</v>
      </c>
      <c r="G26">
        <v>25</v>
      </c>
      <c r="H26" s="191" t="s">
        <v>213</v>
      </c>
    </row>
    <row r="27" spans="1:12" x14ac:dyDescent="0.15">
      <c r="A27" s="36" t="s">
        <v>125</v>
      </c>
      <c r="B27" s="44">
        <v>6.1</v>
      </c>
      <c r="D27" s="190" t="s">
        <v>214</v>
      </c>
      <c r="E27">
        <v>26</v>
      </c>
      <c r="F27">
        <v>3</v>
      </c>
      <c r="G27">
        <v>26</v>
      </c>
      <c r="H27" s="191" t="s">
        <v>214</v>
      </c>
    </row>
    <row r="28" spans="1:12" x14ac:dyDescent="0.15">
      <c r="A28" s="36" t="s">
        <v>124</v>
      </c>
      <c r="B28" s="44">
        <v>6.2</v>
      </c>
      <c r="D28" s="190" t="s">
        <v>215</v>
      </c>
      <c r="E28">
        <v>27</v>
      </c>
      <c r="F28">
        <v>3</v>
      </c>
      <c r="G28">
        <v>27</v>
      </c>
      <c r="H28" s="191" t="s">
        <v>215</v>
      </c>
    </row>
    <row r="29" spans="1:12" x14ac:dyDescent="0.15">
      <c r="A29" s="36" t="s">
        <v>44</v>
      </c>
      <c r="B29" s="44">
        <v>5</v>
      </c>
      <c r="D29" s="190" t="s">
        <v>216</v>
      </c>
      <c r="E29">
        <v>28</v>
      </c>
      <c r="F29">
        <v>3.21</v>
      </c>
      <c r="G29">
        <v>28</v>
      </c>
      <c r="H29" s="191" t="s">
        <v>216</v>
      </c>
    </row>
    <row r="30" spans="1:12" x14ac:dyDescent="0.15">
      <c r="A30" s="36" t="s">
        <v>73</v>
      </c>
      <c r="B30" s="44">
        <v>7</v>
      </c>
      <c r="D30" s="190" t="s">
        <v>217</v>
      </c>
      <c r="E30">
        <v>29</v>
      </c>
      <c r="F30">
        <v>3</v>
      </c>
      <c r="G30">
        <v>29</v>
      </c>
      <c r="H30" s="191" t="s">
        <v>217</v>
      </c>
    </row>
    <row r="31" spans="1:12" x14ac:dyDescent="0.15">
      <c r="A31" s="36" t="s">
        <v>169</v>
      </c>
      <c r="B31" s="44">
        <v>3.14</v>
      </c>
      <c r="D31" s="190" t="s">
        <v>218</v>
      </c>
      <c r="E31">
        <v>30</v>
      </c>
      <c r="F31">
        <v>3.21</v>
      </c>
      <c r="G31">
        <v>30</v>
      </c>
      <c r="H31" s="191" t="s">
        <v>218</v>
      </c>
    </row>
    <row r="32" spans="1:12" ht="12" customHeight="1" thickBot="1" x14ac:dyDescent="0.2">
      <c r="A32" s="42" t="s">
        <v>170</v>
      </c>
      <c r="B32" s="45">
        <v>9</v>
      </c>
      <c r="D32" s="190" t="s">
        <v>219</v>
      </c>
      <c r="E32">
        <v>31</v>
      </c>
      <c r="F32">
        <v>3.21</v>
      </c>
      <c r="G32">
        <v>31</v>
      </c>
      <c r="H32" s="191" t="s">
        <v>219</v>
      </c>
    </row>
    <row r="33" spans="4:8" customFormat="1" ht="12" customHeight="1" x14ac:dyDescent="0.15">
      <c r="D33" s="190" t="s">
        <v>220</v>
      </c>
      <c r="E33">
        <v>32</v>
      </c>
      <c r="F33">
        <v>3.11</v>
      </c>
      <c r="G33">
        <v>32</v>
      </c>
      <c r="H33" s="191" t="s">
        <v>220</v>
      </c>
    </row>
    <row r="34" spans="4:8" customFormat="1" ht="12" customHeight="1" x14ac:dyDescent="0.15">
      <c r="D34" s="190" t="s">
        <v>221</v>
      </c>
      <c r="E34">
        <v>33</v>
      </c>
      <c r="F34">
        <v>3.11</v>
      </c>
      <c r="G34">
        <v>33</v>
      </c>
      <c r="H34" s="191" t="s">
        <v>221</v>
      </c>
    </row>
    <row r="35" spans="4:8" customFormat="1" x14ac:dyDescent="0.15">
      <c r="D35" s="190" t="s">
        <v>222</v>
      </c>
      <c r="E35">
        <v>34</v>
      </c>
      <c r="F35">
        <v>2</v>
      </c>
      <c r="G35">
        <v>34</v>
      </c>
      <c r="H35" s="191" t="s">
        <v>222</v>
      </c>
    </row>
    <row r="36" spans="4:8" customFormat="1" x14ac:dyDescent="0.15">
      <c r="D36" s="190" t="s">
        <v>223</v>
      </c>
      <c r="E36">
        <v>35</v>
      </c>
      <c r="F36">
        <v>4.0999999999999996</v>
      </c>
      <c r="G36">
        <v>35</v>
      </c>
      <c r="H36" s="191" t="s">
        <v>223</v>
      </c>
    </row>
    <row r="37" spans="4:8" customFormat="1" ht="12" customHeight="1" x14ac:dyDescent="0.15">
      <c r="D37" s="190" t="s">
        <v>224</v>
      </c>
      <c r="E37">
        <v>36</v>
      </c>
      <c r="F37">
        <v>4.3</v>
      </c>
      <c r="G37">
        <v>36</v>
      </c>
      <c r="H37" s="191" t="s">
        <v>224</v>
      </c>
    </row>
    <row r="38" spans="4:8" customFormat="1" x14ac:dyDescent="0.15">
      <c r="D38" s="190" t="s">
        <v>225</v>
      </c>
      <c r="E38">
        <v>37</v>
      </c>
      <c r="F38">
        <v>5</v>
      </c>
      <c r="G38">
        <v>37</v>
      </c>
      <c r="H38" s="191" t="s">
        <v>225</v>
      </c>
    </row>
    <row r="39" spans="4:8" customFormat="1" x14ac:dyDescent="0.15">
      <c r="D39" s="190" t="s">
        <v>138</v>
      </c>
      <c r="E39">
        <v>38</v>
      </c>
      <c r="F39">
        <v>6.1</v>
      </c>
      <c r="G39">
        <v>38</v>
      </c>
      <c r="H39" s="191" t="s">
        <v>138</v>
      </c>
    </row>
    <row r="40" spans="4:8" customFormat="1" x14ac:dyDescent="0.15">
      <c r="D40" s="190" t="s">
        <v>45</v>
      </c>
      <c r="E40">
        <v>39</v>
      </c>
      <c r="F40">
        <v>6.2</v>
      </c>
      <c r="G40">
        <v>39</v>
      </c>
      <c r="H40" s="191" t="s">
        <v>45</v>
      </c>
    </row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2" bestFit="1" customWidth="1"/>
    <col min="2" max="2" width="5.83203125" style="81" customWidth="1"/>
    <col min="3" max="3" width="13.1640625" style="81" customWidth="1"/>
    <col min="4" max="4" width="39.6640625" style="81" customWidth="1"/>
    <col min="5" max="5" width="8.1640625" style="81" customWidth="1"/>
    <col min="6" max="6" width="21.6640625" style="81" bestFit="1" customWidth="1"/>
    <col min="7" max="9" width="2.33203125" style="81" customWidth="1"/>
    <col min="10" max="10" width="2.33203125" style="81" bestFit="1" customWidth="1"/>
    <col min="11" max="15" width="2.33203125" style="81" customWidth="1"/>
    <col min="16" max="16" width="2.33203125" style="70" customWidth="1"/>
    <col min="17" max="17" width="2.33203125" style="81" customWidth="1"/>
    <col min="18" max="18" width="2.33203125" style="71" customWidth="1"/>
    <col min="19" max="16384" width="11.5" style="81"/>
  </cols>
  <sheetData>
    <row r="1" spans="1:23" ht="15" customHeight="1" thickBot="1" x14ac:dyDescent="0.2">
      <c r="F1" s="1"/>
      <c r="G1" s="68" t="s">
        <v>46</v>
      </c>
      <c r="H1" s="68" t="s">
        <v>47</v>
      </c>
      <c r="I1" s="68" t="s">
        <v>120</v>
      </c>
      <c r="J1" s="68" t="s">
        <v>132</v>
      </c>
      <c r="K1" s="83" t="s">
        <v>48</v>
      </c>
      <c r="L1" s="71"/>
      <c r="M1" s="83" t="s">
        <v>119</v>
      </c>
      <c r="N1" s="71"/>
      <c r="O1" s="83" t="s">
        <v>49</v>
      </c>
      <c r="P1" s="74"/>
      <c r="Q1" s="83" t="s">
        <v>50</v>
      </c>
      <c r="R1" s="68" t="s">
        <v>154</v>
      </c>
    </row>
    <row r="2" spans="1:23" ht="15" customHeight="1" x14ac:dyDescent="0.15">
      <c r="A2" s="83" t="s">
        <v>51</v>
      </c>
      <c r="B2" s="84">
        <v>0.5</v>
      </c>
      <c r="C2" s="82" t="s">
        <v>52</v>
      </c>
      <c r="D2" s="85"/>
      <c r="F2" s="1"/>
      <c r="G2" s="86"/>
      <c r="H2" s="86"/>
      <c r="I2" s="86" t="s">
        <v>133</v>
      </c>
      <c r="J2" s="86" t="s">
        <v>133</v>
      </c>
      <c r="K2" s="86" t="s">
        <v>52</v>
      </c>
      <c r="L2" s="86" t="s">
        <v>53</v>
      </c>
      <c r="M2" s="86" t="s">
        <v>52</v>
      </c>
      <c r="N2" s="86" t="s">
        <v>53</v>
      </c>
      <c r="O2" s="86" t="s">
        <v>52</v>
      </c>
      <c r="P2" s="87" t="s">
        <v>53</v>
      </c>
      <c r="Q2" s="86"/>
      <c r="R2" s="88" t="s">
        <v>155</v>
      </c>
    </row>
    <row r="3" spans="1:23" ht="15" customHeight="1" thickBot="1" x14ac:dyDescent="0.2">
      <c r="A3" s="83" t="s">
        <v>54</v>
      </c>
      <c r="B3" s="89">
        <v>0.5</v>
      </c>
      <c r="C3" s="82" t="s">
        <v>53</v>
      </c>
      <c r="D3" s="85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6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6">
        <v>0</v>
      </c>
      <c r="R4" s="108">
        <v>0</v>
      </c>
    </row>
    <row r="5" spans="1:23" ht="15" customHeight="1" x14ac:dyDescent="0.15">
      <c r="A5" s="83" t="s">
        <v>55</v>
      </c>
      <c r="B5" s="90">
        <v>0.5</v>
      </c>
      <c r="C5" s="82" t="s">
        <v>52</v>
      </c>
      <c r="D5" s="85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6">
        <v>0</v>
      </c>
      <c r="R5" s="108">
        <v>0</v>
      </c>
    </row>
    <row r="6" spans="1:23" ht="15" customHeight="1" thickBot="1" x14ac:dyDescent="0.2">
      <c r="A6" s="83"/>
      <c r="B6" s="91">
        <v>0.5</v>
      </c>
      <c r="C6" s="82" t="s">
        <v>53</v>
      </c>
      <c r="D6" s="85"/>
      <c r="F6" s="192" t="s">
        <v>192</v>
      </c>
      <c r="G6" s="81">
        <v>0</v>
      </c>
      <c r="H6" s="81">
        <v>0</v>
      </c>
      <c r="I6" s="81">
        <v>0</v>
      </c>
      <c r="J6" s="81">
        <v>0</v>
      </c>
      <c r="K6" s="81">
        <v>1</v>
      </c>
      <c r="L6" s="81">
        <v>0</v>
      </c>
      <c r="M6" s="81">
        <v>1</v>
      </c>
      <c r="N6" s="81">
        <v>0</v>
      </c>
      <c r="O6" s="81">
        <v>1</v>
      </c>
      <c r="P6" s="70">
        <v>0</v>
      </c>
      <c r="Q6" s="81">
        <v>0</v>
      </c>
      <c r="R6" s="71">
        <v>1</v>
      </c>
      <c r="S6"/>
      <c r="T6"/>
    </row>
    <row r="7" spans="1:23" ht="15" customHeight="1" thickBot="1" x14ac:dyDescent="0.2">
      <c r="F7" s="192" t="s">
        <v>193</v>
      </c>
      <c r="G7" s="81">
        <v>0</v>
      </c>
      <c r="H7" s="81">
        <v>0</v>
      </c>
      <c r="I7" s="81">
        <v>0</v>
      </c>
      <c r="J7" s="81">
        <v>0</v>
      </c>
      <c r="K7" s="81">
        <v>1</v>
      </c>
      <c r="L7" s="81">
        <v>0</v>
      </c>
      <c r="M7" s="81">
        <v>1</v>
      </c>
      <c r="N7" s="81">
        <v>0</v>
      </c>
      <c r="O7" s="81">
        <v>1</v>
      </c>
      <c r="P7" s="70">
        <v>0</v>
      </c>
      <c r="Q7" s="81">
        <v>0</v>
      </c>
      <c r="R7" s="71">
        <v>1</v>
      </c>
      <c r="S7"/>
      <c r="T7"/>
    </row>
    <row r="8" spans="1:23" ht="15" customHeight="1" x14ac:dyDescent="0.15">
      <c r="A8" s="83" t="s">
        <v>56</v>
      </c>
      <c r="B8" s="90">
        <v>1</v>
      </c>
      <c r="C8" s="193" t="s">
        <v>222</v>
      </c>
      <c r="D8" s="85" t="s">
        <v>160</v>
      </c>
      <c r="F8" s="192" t="s">
        <v>194</v>
      </c>
      <c r="G8" s="81">
        <v>0</v>
      </c>
      <c r="H8" s="81">
        <v>0</v>
      </c>
      <c r="I8" s="81">
        <v>0</v>
      </c>
      <c r="J8" s="81">
        <v>0</v>
      </c>
      <c r="K8" s="81">
        <v>1</v>
      </c>
      <c r="L8" s="81">
        <v>0</v>
      </c>
      <c r="M8" s="81">
        <v>1</v>
      </c>
      <c r="N8" s="81">
        <v>0</v>
      </c>
      <c r="O8" s="81">
        <v>1</v>
      </c>
      <c r="P8" s="70">
        <v>0</v>
      </c>
      <c r="Q8" s="81">
        <v>0</v>
      </c>
      <c r="R8" s="71">
        <v>1</v>
      </c>
      <c r="S8"/>
      <c r="T8"/>
      <c r="W8"/>
    </row>
    <row r="9" spans="1:23" ht="15" customHeight="1" x14ac:dyDescent="0.15">
      <c r="A9" s="122" t="s">
        <v>168</v>
      </c>
      <c r="B9" s="92"/>
      <c r="C9" s="80"/>
      <c r="D9" s="85" t="s">
        <v>160</v>
      </c>
      <c r="F9" s="192" t="s">
        <v>195</v>
      </c>
      <c r="G9" s="81">
        <v>0</v>
      </c>
      <c r="H9" s="81">
        <v>0</v>
      </c>
      <c r="I9" s="81">
        <v>0</v>
      </c>
      <c r="J9" s="81">
        <v>0</v>
      </c>
      <c r="K9" s="81">
        <v>1</v>
      </c>
      <c r="L9" s="81">
        <v>0</v>
      </c>
      <c r="M9" s="81">
        <v>1</v>
      </c>
      <c r="N9" s="81">
        <v>0</v>
      </c>
      <c r="O9" s="81">
        <v>1</v>
      </c>
      <c r="P9" s="70">
        <v>0</v>
      </c>
      <c r="Q9" s="81">
        <v>0</v>
      </c>
      <c r="R9" s="71">
        <v>1</v>
      </c>
      <c r="S9"/>
      <c r="T9"/>
      <c r="W9"/>
    </row>
    <row r="10" spans="1:23" ht="15" customHeight="1" x14ac:dyDescent="0.15">
      <c r="B10" s="92"/>
      <c r="C10" s="80"/>
      <c r="D10" s="85" t="s">
        <v>160</v>
      </c>
      <c r="F10" s="192" t="s">
        <v>196</v>
      </c>
      <c r="G10" s="81">
        <v>0</v>
      </c>
      <c r="H10" s="81">
        <v>0</v>
      </c>
      <c r="I10" s="81">
        <v>0</v>
      </c>
      <c r="J10" s="81">
        <v>0</v>
      </c>
      <c r="K10" s="81">
        <v>1</v>
      </c>
      <c r="L10" s="81">
        <v>0</v>
      </c>
      <c r="M10" s="81">
        <v>1</v>
      </c>
      <c r="N10" s="81">
        <v>0</v>
      </c>
      <c r="O10" s="81">
        <v>1</v>
      </c>
      <c r="P10" s="70">
        <v>0</v>
      </c>
      <c r="Q10" s="81">
        <v>0</v>
      </c>
      <c r="R10" s="71">
        <v>1</v>
      </c>
      <c r="S10"/>
      <c r="T10"/>
      <c r="W10"/>
    </row>
    <row r="11" spans="1:23" ht="15" customHeight="1" x14ac:dyDescent="0.15">
      <c r="A11" s="83"/>
      <c r="B11" s="92"/>
      <c r="C11" s="95"/>
      <c r="D11" s="85" t="s">
        <v>160</v>
      </c>
      <c r="F11" s="192" t="s">
        <v>197</v>
      </c>
      <c r="G11" s="81">
        <v>0</v>
      </c>
      <c r="H11" s="81">
        <v>0</v>
      </c>
      <c r="I11" s="81">
        <v>0</v>
      </c>
      <c r="J11" s="81">
        <v>0</v>
      </c>
      <c r="K11" s="81">
        <v>1</v>
      </c>
      <c r="L11" s="81">
        <v>0</v>
      </c>
      <c r="M11" s="81">
        <v>1</v>
      </c>
      <c r="N11" s="81">
        <v>0</v>
      </c>
      <c r="O11" s="81">
        <v>1</v>
      </c>
      <c r="P11" s="70">
        <v>0</v>
      </c>
      <c r="Q11" s="81">
        <v>0</v>
      </c>
      <c r="R11" s="71">
        <v>1</v>
      </c>
      <c r="S11"/>
      <c r="T11"/>
      <c r="W11"/>
    </row>
    <row r="12" spans="1:23" ht="15" customHeight="1" x14ac:dyDescent="0.15">
      <c r="B12" s="92"/>
      <c r="C12" s="96"/>
      <c r="D12" s="85" t="s">
        <v>160</v>
      </c>
      <c r="F12" s="192" t="s">
        <v>198</v>
      </c>
      <c r="G12" s="81">
        <v>0</v>
      </c>
      <c r="H12" s="81">
        <v>0</v>
      </c>
      <c r="I12" s="81">
        <v>0</v>
      </c>
      <c r="J12" s="81">
        <v>0</v>
      </c>
      <c r="K12" s="81">
        <v>1</v>
      </c>
      <c r="L12" s="81">
        <v>0</v>
      </c>
      <c r="M12" s="81">
        <v>1</v>
      </c>
      <c r="N12" s="81">
        <v>0</v>
      </c>
      <c r="O12" s="81">
        <v>1</v>
      </c>
      <c r="P12" s="70">
        <v>0</v>
      </c>
      <c r="Q12" s="81">
        <v>0</v>
      </c>
      <c r="R12" s="71">
        <v>1</v>
      </c>
      <c r="S12"/>
      <c r="T12"/>
      <c r="W12"/>
    </row>
    <row r="13" spans="1:23" ht="15" customHeight="1" x14ac:dyDescent="0.15">
      <c r="B13" s="92"/>
      <c r="C13" s="96"/>
      <c r="D13" s="85" t="s">
        <v>160</v>
      </c>
      <c r="F13" s="192" t="s">
        <v>199</v>
      </c>
      <c r="G13" s="81">
        <v>0</v>
      </c>
      <c r="H13" s="81">
        <v>0</v>
      </c>
      <c r="I13" s="81">
        <v>0</v>
      </c>
      <c r="J13" s="81">
        <v>0</v>
      </c>
      <c r="K13" s="81">
        <v>1</v>
      </c>
      <c r="L13" s="81">
        <v>0</v>
      </c>
      <c r="M13" s="81">
        <v>1</v>
      </c>
      <c r="N13" s="81">
        <v>0</v>
      </c>
      <c r="O13" s="81">
        <v>1</v>
      </c>
      <c r="P13" s="70">
        <v>0</v>
      </c>
      <c r="Q13" s="81">
        <v>0</v>
      </c>
      <c r="R13" s="71">
        <v>1</v>
      </c>
      <c r="S13"/>
      <c r="T13"/>
      <c r="W13"/>
    </row>
    <row r="14" spans="1:23" ht="15" customHeight="1" x14ac:dyDescent="0.15">
      <c r="B14" s="92"/>
      <c r="C14" s="80"/>
      <c r="D14" s="85" t="s">
        <v>160</v>
      </c>
      <c r="F14" s="192" t="s">
        <v>200</v>
      </c>
      <c r="G14" s="81">
        <v>0</v>
      </c>
      <c r="H14" s="81">
        <v>0</v>
      </c>
      <c r="I14" s="81">
        <v>0</v>
      </c>
      <c r="J14" s="81">
        <v>0</v>
      </c>
      <c r="K14" s="81">
        <v>1</v>
      </c>
      <c r="L14" s="81">
        <v>0</v>
      </c>
      <c r="M14" s="81">
        <v>1</v>
      </c>
      <c r="N14" s="81">
        <v>0</v>
      </c>
      <c r="O14" s="81">
        <v>1</v>
      </c>
      <c r="P14" s="70">
        <v>0</v>
      </c>
      <c r="Q14" s="81">
        <v>0</v>
      </c>
      <c r="R14" s="71">
        <v>1</v>
      </c>
      <c r="S14"/>
      <c r="T14"/>
      <c r="W14"/>
    </row>
    <row r="15" spans="1:23" ht="15" customHeight="1" x14ac:dyDescent="0.15">
      <c r="B15" s="92"/>
      <c r="C15" s="80"/>
      <c r="D15" s="85" t="s">
        <v>160</v>
      </c>
      <c r="F15" s="192" t="s">
        <v>201</v>
      </c>
      <c r="G15" s="81">
        <v>0</v>
      </c>
      <c r="H15" s="81">
        <v>0</v>
      </c>
      <c r="I15" s="81">
        <v>0</v>
      </c>
      <c r="J15" s="81">
        <v>0</v>
      </c>
      <c r="K15" s="81">
        <v>1</v>
      </c>
      <c r="L15" s="81">
        <v>0</v>
      </c>
      <c r="M15" s="81">
        <v>1</v>
      </c>
      <c r="N15" s="81">
        <v>0</v>
      </c>
      <c r="O15" s="81">
        <v>1</v>
      </c>
      <c r="P15" s="70">
        <v>0</v>
      </c>
      <c r="Q15" s="81">
        <v>0</v>
      </c>
      <c r="R15" s="71">
        <v>1</v>
      </c>
      <c r="S15"/>
      <c r="T15"/>
      <c r="W15"/>
    </row>
    <row r="16" spans="1:23" ht="15" customHeight="1" x14ac:dyDescent="0.15">
      <c r="B16" s="92"/>
      <c r="C16" s="80"/>
      <c r="D16" s="85" t="s">
        <v>160</v>
      </c>
      <c r="F16" s="192" t="s">
        <v>202</v>
      </c>
      <c r="G16" s="81">
        <v>0</v>
      </c>
      <c r="H16" s="81">
        <v>0</v>
      </c>
      <c r="I16" s="81">
        <v>0</v>
      </c>
      <c r="J16" s="81">
        <v>0</v>
      </c>
      <c r="K16" s="81">
        <v>1</v>
      </c>
      <c r="L16" s="81">
        <v>0</v>
      </c>
      <c r="M16" s="81">
        <v>1</v>
      </c>
      <c r="N16" s="81">
        <v>0</v>
      </c>
      <c r="O16" s="81">
        <v>1</v>
      </c>
      <c r="P16" s="70">
        <v>0</v>
      </c>
      <c r="Q16" s="81">
        <v>0</v>
      </c>
      <c r="R16" s="71">
        <v>1</v>
      </c>
      <c r="S16"/>
      <c r="T16"/>
    </row>
    <row r="17" spans="1:20" ht="15" customHeight="1" thickBot="1" x14ac:dyDescent="0.2">
      <c r="B17" s="91"/>
      <c r="C17" s="80"/>
      <c r="D17" s="85" t="s">
        <v>160</v>
      </c>
      <c r="F17" s="192" t="s">
        <v>203</v>
      </c>
      <c r="G17" s="81">
        <v>0</v>
      </c>
      <c r="H17" s="81">
        <v>0</v>
      </c>
      <c r="I17" s="81">
        <v>0</v>
      </c>
      <c r="J17" s="81">
        <v>0</v>
      </c>
      <c r="K17" s="81">
        <v>1</v>
      </c>
      <c r="L17" s="81">
        <v>0</v>
      </c>
      <c r="M17" s="81">
        <v>1</v>
      </c>
      <c r="N17" s="81">
        <v>0</v>
      </c>
      <c r="O17" s="81">
        <v>1</v>
      </c>
      <c r="P17" s="70">
        <v>0</v>
      </c>
      <c r="Q17" s="81">
        <v>0</v>
      </c>
      <c r="R17" s="71">
        <v>1</v>
      </c>
      <c r="S17"/>
      <c r="T17"/>
    </row>
    <row r="18" spans="1:20" ht="15" customHeight="1" thickBot="1" x14ac:dyDescent="0.2">
      <c r="B18" s="93"/>
      <c r="F18" s="192" t="s">
        <v>204</v>
      </c>
      <c r="G18" s="81">
        <v>0</v>
      </c>
      <c r="H18" s="81">
        <v>0</v>
      </c>
      <c r="I18" s="81">
        <v>0</v>
      </c>
      <c r="J18" s="81">
        <v>0</v>
      </c>
      <c r="K18" s="81">
        <v>1</v>
      </c>
      <c r="L18" s="81">
        <v>0</v>
      </c>
      <c r="M18" s="81">
        <v>1</v>
      </c>
      <c r="N18" s="81">
        <v>0</v>
      </c>
      <c r="O18" s="81">
        <v>1</v>
      </c>
      <c r="P18" s="70">
        <v>0</v>
      </c>
      <c r="Q18" s="81">
        <v>0</v>
      </c>
      <c r="R18" s="71">
        <v>1</v>
      </c>
      <c r="S18"/>
      <c r="T18"/>
    </row>
    <row r="19" spans="1:20" ht="15" customHeight="1" x14ac:dyDescent="0.15">
      <c r="A19" s="83" t="s">
        <v>57</v>
      </c>
      <c r="B19" s="90">
        <v>1</v>
      </c>
      <c r="C19" s="194" t="s">
        <v>222</v>
      </c>
      <c r="D19" s="85" t="s">
        <v>160</v>
      </c>
      <c r="F19" s="192" t="s">
        <v>205</v>
      </c>
      <c r="G19" s="81">
        <v>0</v>
      </c>
      <c r="H19" s="81">
        <v>0</v>
      </c>
      <c r="I19" s="81">
        <v>0</v>
      </c>
      <c r="J19" s="81">
        <v>0</v>
      </c>
      <c r="K19" s="81">
        <v>1</v>
      </c>
      <c r="L19" s="81">
        <v>0</v>
      </c>
      <c r="M19" s="81">
        <v>1</v>
      </c>
      <c r="N19" s="81">
        <v>0</v>
      </c>
      <c r="O19" s="81">
        <v>1</v>
      </c>
      <c r="P19" s="70">
        <v>0</v>
      </c>
      <c r="Q19" s="81">
        <v>0</v>
      </c>
      <c r="R19" s="71">
        <v>1</v>
      </c>
      <c r="S19"/>
      <c r="T19"/>
    </row>
    <row r="20" spans="1:20" ht="15" customHeight="1" x14ac:dyDescent="0.15">
      <c r="A20" s="122" t="s">
        <v>168</v>
      </c>
      <c r="B20" s="92"/>
      <c r="C20" s="80"/>
      <c r="D20" s="85" t="s">
        <v>160</v>
      </c>
      <c r="F20" s="192" t="s">
        <v>206</v>
      </c>
      <c r="G20" s="81">
        <v>0</v>
      </c>
      <c r="H20" s="81">
        <v>0</v>
      </c>
      <c r="I20" s="81">
        <v>0</v>
      </c>
      <c r="J20" s="81">
        <v>0</v>
      </c>
      <c r="K20" s="81">
        <v>1</v>
      </c>
      <c r="L20" s="81">
        <v>0</v>
      </c>
      <c r="M20" s="81">
        <v>1</v>
      </c>
      <c r="N20" s="81">
        <v>0</v>
      </c>
      <c r="O20" s="81">
        <v>1</v>
      </c>
      <c r="P20" s="70">
        <v>0</v>
      </c>
      <c r="Q20" s="81">
        <v>0</v>
      </c>
      <c r="R20" s="71">
        <v>1</v>
      </c>
      <c r="S20"/>
      <c r="T20"/>
    </row>
    <row r="21" spans="1:20" ht="15" customHeight="1" x14ac:dyDescent="0.15">
      <c r="B21" s="92"/>
      <c r="C21" s="80"/>
      <c r="D21" s="85" t="s">
        <v>160</v>
      </c>
      <c r="F21" s="192" t="s">
        <v>207</v>
      </c>
      <c r="G21" s="81">
        <v>0</v>
      </c>
      <c r="H21" s="81">
        <v>0</v>
      </c>
      <c r="I21" s="81">
        <v>0</v>
      </c>
      <c r="J21" s="81">
        <v>0</v>
      </c>
      <c r="K21" s="81">
        <v>1</v>
      </c>
      <c r="L21" s="81">
        <v>0</v>
      </c>
      <c r="M21" s="81">
        <v>1</v>
      </c>
      <c r="N21" s="81">
        <v>0</v>
      </c>
      <c r="O21" s="81">
        <v>1</v>
      </c>
      <c r="P21" s="70">
        <v>0</v>
      </c>
      <c r="Q21" s="81">
        <v>0</v>
      </c>
      <c r="R21" s="71">
        <v>1</v>
      </c>
      <c r="S21"/>
      <c r="T21"/>
    </row>
    <row r="22" spans="1:20" ht="15" customHeight="1" x14ac:dyDescent="0.15">
      <c r="A22" s="81"/>
      <c r="B22" s="92"/>
      <c r="C22" s="95"/>
      <c r="D22" s="85" t="s">
        <v>160</v>
      </c>
      <c r="F22" s="192" t="s">
        <v>208</v>
      </c>
      <c r="G22" s="81">
        <v>0</v>
      </c>
      <c r="H22" s="81">
        <v>0</v>
      </c>
      <c r="I22" s="81">
        <v>0</v>
      </c>
      <c r="J22" s="81">
        <v>0</v>
      </c>
      <c r="K22" s="81">
        <v>1</v>
      </c>
      <c r="L22" s="81">
        <v>0</v>
      </c>
      <c r="M22" s="81">
        <v>1</v>
      </c>
      <c r="N22" s="81">
        <v>0</v>
      </c>
      <c r="O22" s="81">
        <v>1</v>
      </c>
      <c r="P22" s="70">
        <v>0</v>
      </c>
      <c r="Q22" s="81">
        <v>0</v>
      </c>
      <c r="R22" s="71">
        <v>1</v>
      </c>
      <c r="S22"/>
      <c r="T22"/>
    </row>
    <row r="23" spans="1:20" ht="15" customHeight="1" x14ac:dyDescent="0.15">
      <c r="A23" s="81"/>
      <c r="B23" s="92"/>
      <c r="C23" s="96"/>
      <c r="D23" s="85" t="s">
        <v>160</v>
      </c>
      <c r="F23" s="192" t="s">
        <v>209</v>
      </c>
      <c r="G23" s="81">
        <v>0</v>
      </c>
      <c r="H23" s="81">
        <v>0</v>
      </c>
      <c r="I23" s="81">
        <v>0</v>
      </c>
      <c r="J23" s="81">
        <v>0</v>
      </c>
      <c r="K23" s="81">
        <v>1</v>
      </c>
      <c r="L23" s="81">
        <v>0</v>
      </c>
      <c r="M23" s="81">
        <v>1</v>
      </c>
      <c r="N23" s="81">
        <v>0</v>
      </c>
      <c r="O23" s="81">
        <v>1</v>
      </c>
      <c r="P23" s="70">
        <v>0</v>
      </c>
      <c r="Q23" s="81">
        <v>0</v>
      </c>
      <c r="R23" s="71">
        <v>1</v>
      </c>
      <c r="S23"/>
      <c r="T23"/>
    </row>
    <row r="24" spans="1:20" ht="15" customHeight="1" x14ac:dyDescent="0.15">
      <c r="A24" s="81"/>
      <c r="B24" s="92"/>
      <c r="C24" s="96"/>
      <c r="D24" s="85" t="s">
        <v>160</v>
      </c>
      <c r="F24" s="192" t="s">
        <v>210</v>
      </c>
      <c r="G24" s="81">
        <v>0</v>
      </c>
      <c r="H24" s="81">
        <v>0</v>
      </c>
      <c r="I24" s="81">
        <v>0</v>
      </c>
      <c r="J24" s="81">
        <v>0</v>
      </c>
      <c r="K24" s="81">
        <v>1</v>
      </c>
      <c r="L24" s="81">
        <v>0</v>
      </c>
      <c r="M24" s="81">
        <v>1</v>
      </c>
      <c r="N24" s="81">
        <v>0</v>
      </c>
      <c r="O24" s="81">
        <v>1</v>
      </c>
      <c r="P24" s="70">
        <v>0</v>
      </c>
      <c r="Q24" s="81">
        <v>0</v>
      </c>
      <c r="R24" s="71">
        <v>1</v>
      </c>
      <c r="S24"/>
      <c r="T24"/>
    </row>
    <row r="25" spans="1:20" ht="15" customHeight="1" x14ac:dyDescent="0.15">
      <c r="A25" s="81"/>
      <c r="B25" s="92"/>
      <c r="C25" s="80"/>
      <c r="D25" s="85" t="s">
        <v>160</v>
      </c>
      <c r="F25" s="192" t="s">
        <v>211</v>
      </c>
      <c r="G25" s="81">
        <v>0</v>
      </c>
      <c r="H25" s="81">
        <v>0</v>
      </c>
      <c r="I25" s="81">
        <v>0</v>
      </c>
      <c r="J25" s="81">
        <v>0</v>
      </c>
      <c r="K25" s="81">
        <v>1</v>
      </c>
      <c r="L25" s="81">
        <v>0</v>
      </c>
      <c r="M25" s="81">
        <v>1</v>
      </c>
      <c r="N25" s="81">
        <v>0</v>
      </c>
      <c r="O25" s="81">
        <v>1</v>
      </c>
      <c r="P25" s="70">
        <v>0</v>
      </c>
      <c r="Q25" s="81">
        <v>0</v>
      </c>
      <c r="R25" s="71">
        <v>1</v>
      </c>
      <c r="S25"/>
      <c r="T25"/>
    </row>
    <row r="26" spans="1:20" ht="15" customHeight="1" x14ac:dyDescent="0.15">
      <c r="B26" s="92"/>
      <c r="C26" s="80"/>
      <c r="D26" s="85" t="s">
        <v>160</v>
      </c>
      <c r="F26" s="192" t="s">
        <v>212</v>
      </c>
      <c r="G26" s="81">
        <v>0</v>
      </c>
      <c r="H26" s="81">
        <v>0</v>
      </c>
      <c r="I26" s="81">
        <v>0</v>
      </c>
      <c r="J26" s="81">
        <v>0</v>
      </c>
      <c r="K26" s="81">
        <v>1</v>
      </c>
      <c r="L26" s="81">
        <v>0</v>
      </c>
      <c r="M26" s="81">
        <v>1</v>
      </c>
      <c r="N26" s="81">
        <v>0</v>
      </c>
      <c r="O26" s="81">
        <v>1</v>
      </c>
      <c r="P26" s="70">
        <v>0</v>
      </c>
      <c r="Q26" s="81">
        <v>0</v>
      </c>
      <c r="R26" s="71">
        <v>1</v>
      </c>
      <c r="S26"/>
      <c r="T26"/>
    </row>
    <row r="27" spans="1:20" ht="15" customHeight="1" x14ac:dyDescent="0.15">
      <c r="B27" s="92"/>
      <c r="C27" s="80"/>
      <c r="D27" s="85" t="s">
        <v>160</v>
      </c>
      <c r="F27" s="192" t="s">
        <v>213</v>
      </c>
      <c r="G27" s="81">
        <v>0</v>
      </c>
      <c r="H27" s="81">
        <v>0</v>
      </c>
      <c r="I27" s="81">
        <v>0</v>
      </c>
      <c r="J27" s="81">
        <v>0</v>
      </c>
      <c r="K27" s="81">
        <v>1</v>
      </c>
      <c r="L27" s="81">
        <v>0</v>
      </c>
      <c r="M27" s="81">
        <v>1</v>
      </c>
      <c r="N27" s="81">
        <v>0</v>
      </c>
      <c r="O27" s="81">
        <v>1</v>
      </c>
      <c r="P27" s="70">
        <v>0</v>
      </c>
      <c r="Q27" s="81">
        <v>0</v>
      </c>
      <c r="R27" s="71">
        <v>1</v>
      </c>
      <c r="S27"/>
      <c r="T27"/>
    </row>
    <row r="28" spans="1:20" ht="15" customHeight="1" thickBot="1" x14ac:dyDescent="0.2">
      <c r="B28" s="91"/>
      <c r="C28" s="80"/>
      <c r="D28" s="85" t="s">
        <v>160</v>
      </c>
      <c r="F28" s="192" t="s">
        <v>214</v>
      </c>
      <c r="G28" s="81">
        <v>0</v>
      </c>
      <c r="H28" s="81">
        <v>0</v>
      </c>
      <c r="I28" s="81">
        <v>0</v>
      </c>
      <c r="J28" s="81">
        <v>0</v>
      </c>
      <c r="K28" s="81">
        <v>1</v>
      </c>
      <c r="L28" s="81">
        <v>0</v>
      </c>
      <c r="M28" s="81">
        <v>1</v>
      </c>
      <c r="N28" s="81">
        <v>0</v>
      </c>
      <c r="O28" s="81">
        <v>1</v>
      </c>
      <c r="P28" s="70">
        <v>0</v>
      </c>
      <c r="Q28" s="81">
        <v>0</v>
      </c>
      <c r="R28" s="71">
        <v>1</v>
      </c>
      <c r="S28"/>
      <c r="T28"/>
    </row>
    <row r="29" spans="1:20" ht="15" customHeight="1" x14ac:dyDescent="0.15">
      <c r="F29" s="192" t="s">
        <v>215</v>
      </c>
      <c r="G29" s="81">
        <v>0</v>
      </c>
      <c r="H29" s="81">
        <v>0</v>
      </c>
      <c r="I29" s="81">
        <v>0</v>
      </c>
      <c r="J29" s="81">
        <v>0</v>
      </c>
      <c r="K29" s="81">
        <v>1</v>
      </c>
      <c r="L29" s="81">
        <v>0</v>
      </c>
      <c r="M29" s="81">
        <v>1</v>
      </c>
      <c r="N29" s="81">
        <v>0</v>
      </c>
      <c r="O29" s="81">
        <v>1</v>
      </c>
      <c r="P29" s="70">
        <v>0</v>
      </c>
      <c r="Q29" s="81">
        <v>0</v>
      </c>
      <c r="R29" s="71">
        <v>1</v>
      </c>
      <c r="S29"/>
      <c r="T29"/>
    </row>
    <row r="30" spans="1:20" ht="15" customHeight="1" x14ac:dyDescent="0.15">
      <c r="F30" s="192" t="s">
        <v>216</v>
      </c>
      <c r="G30" s="81">
        <v>0</v>
      </c>
      <c r="H30" s="81">
        <v>0</v>
      </c>
      <c r="I30" s="81">
        <v>0</v>
      </c>
      <c r="J30" s="81">
        <v>0</v>
      </c>
      <c r="K30" s="81">
        <v>1</v>
      </c>
      <c r="L30" s="81">
        <v>0</v>
      </c>
      <c r="M30" s="81">
        <v>1</v>
      </c>
      <c r="N30" s="81">
        <v>0</v>
      </c>
      <c r="O30" s="81">
        <v>1</v>
      </c>
      <c r="P30" s="70">
        <v>0</v>
      </c>
      <c r="Q30" s="81">
        <v>0</v>
      </c>
      <c r="R30" s="71">
        <v>1</v>
      </c>
      <c r="S30"/>
      <c r="T30"/>
    </row>
    <row r="31" spans="1:20" ht="15" customHeight="1" x14ac:dyDescent="0.15">
      <c r="A31" s="123"/>
      <c r="B31" s="134" t="s">
        <v>17</v>
      </c>
      <c r="C31" s="134" t="s">
        <v>1</v>
      </c>
      <c r="D31" s="134" t="s">
        <v>161</v>
      </c>
      <c r="E31" s="135" t="s">
        <v>163</v>
      </c>
      <c r="F31" s="192" t="s">
        <v>217</v>
      </c>
      <c r="G31" s="81">
        <v>0</v>
      </c>
      <c r="H31" s="81">
        <v>0</v>
      </c>
      <c r="I31" s="81">
        <v>0</v>
      </c>
      <c r="J31" s="81">
        <v>0</v>
      </c>
      <c r="K31" s="81">
        <v>1</v>
      </c>
      <c r="L31" s="81">
        <v>0</v>
      </c>
      <c r="M31" s="81">
        <v>1</v>
      </c>
      <c r="N31" s="81">
        <v>0</v>
      </c>
      <c r="O31" s="81">
        <v>1</v>
      </c>
      <c r="P31" s="70">
        <v>0</v>
      </c>
      <c r="Q31" s="81">
        <v>0</v>
      </c>
      <c r="R31" s="71">
        <v>1</v>
      </c>
      <c r="S31"/>
      <c r="T31"/>
    </row>
    <row r="32" spans="1:20" ht="15" customHeight="1" x14ac:dyDescent="0.15">
      <c r="A32" s="195" t="s">
        <v>222</v>
      </c>
      <c r="B32" s="93">
        <v>12.95</v>
      </c>
      <c r="C32" s="93">
        <v>105.034943</v>
      </c>
      <c r="D32" s="93">
        <v>1360.2025118499998</v>
      </c>
      <c r="E32" s="125">
        <v>1</v>
      </c>
      <c r="F32" s="192" t="s">
        <v>218</v>
      </c>
      <c r="G32" s="81">
        <v>0</v>
      </c>
      <c r="H32" s="81">
        <v>0</v>
      </c>
      <c r="I32" s="81">
        <v>0</v>
      </c>
      <c r="J32" s="81">
        <v>0</v>
      </c>
      <c r="K32" s="81">
        <v>1</v>
      </c>
      <c r="L32" s="81">
        <v>0</v>
      </c>
      <c r="M32" s="81">
        <v>1</v>
      </c>
      <c r="N32" s="81">
        <v>0</v>
      </c>
      <c r="O32" s="81">
        <v>1</v>
      </c>
      <c r="P32" s="70">
        <v>0</v>
      </c>
      <c r="Q32" s="81">
        <v>0</v>
      </c>
      <c r="R32" s="71">
        <v>1</v>
      </c>
      <c r="S32"/>
      <c r="T32"/>
    </row>
    <row r="33" spans="1:20" ht="15" customHeight="1" x14ac:dyDescent="0.15">
      <c r="A33" s="124"/>
      <c r="B33" s="93"/>
      <c r="C33" s="93"/>
      <c r="D33" s="93"/>
      <c r="E33" s="125"/>
      <c r="F33" s="192" t="s">
        <v>219</v>
      </c>
      <c r="G33" s="81">
        <v>0</v>
      </c>
      <c r="H33" s="81">
        <v>0</v>
      </c>
      <c r="I33" s="81">
        <v>0</v>
      </c>
      <c r="J33" s="81">
        <v>0</v>
      </c>
      <c r="K33" s="81">
        <v>1</v>
      </c>
      <c r="L33" s="81">
        <v>0</v>
      </c>
      <c r="M33" s="81">
        <v>1</v>
      </c>
      <c r="N33" s="81">
        <v>0</v>
      </c>
      <c r="O33" s="81">
        <v>1</v>
      </c>
      <c r="P33" s="70">
        <v>0</v>
      </c>
      <c r="Q33" s="81">
        <v>0</v>
      </c>
      <c r="R33" s="71">
        <v>1</v>
      </c>
      <c r="S33"/>
      <c r="T33"/>
    </row>
    <row r="34" spans="1:20" ht="15" customHeight="1" x14ac:dyDescent="0.15">
      <c r="A34" s="126"/>
      <c r="B34" s="93"/>
      <c r="C34" s="93"/>
      <c r="D34" s="93"/>
      <c r="E34" s="125"/>
      <c r="F34" s="192" t="s">
        <v>220</v>
      </c>
      <c r="G34" s="81">
        <v>0</v>
      </c>
      <c r="H34" s="81">
        <v>0</v>
      </c>
      <c r="I34" s="81">
        <v>0</v>
      </c>
      <c r="J34" s="81">
        <v>0</v>
      </c>
      <c r="K34" s="81">
        <v>1</v>
      </c>
      <c r="L34" s="81">
        <v>0</v>
      </c>
      <c r="M34" s="81">
        <v>1</v>
      </c>
      <c r="N34" s="81">
        <v>0</v>
      </c>
      <c r="O34" s="81">
        <v>1</v>
      </c>
      <c r="P34" s="70">
        <v>0</v>
      </c>
      <c r="Q34" s="81">
        <v>0</v>
      </c>
      <c r="R34" s="71">
        <v>1</v>
      </c>
      <c r="S34"/>
      <c r="T34"/>
    </row>
    <row r="35" spans="1:20" ht="15" customHeight="1" x14ac:dyDescent="0.15">
      <c r="A35" s="127"/>
      <c r="B35" s="93"/>
      <c r="C35" s="93"/>
      <c r="D35" s="93"/>
      <c r="E35" s="125"/>
      <c r="F35" s="192" t="s">
        <v>221</v>
      </c>
      <c r="G35" s="81">
        <v>0</v>
      </c>
      <c r="H35" s="81">
        <v>0</v>
      </c>
      <c r="I35" s="81">
        <v>0</v>
      </c>
      <c r="J35" s="81">
        <v>0</v>
      </c>
      <c r="K35" s="81">
        <v>1</v>
      </c>
      <c r="L35" s="81">
        <v>0</v>
      </c>
      <c r="M35" s="81">
        <v>1</v>
      </c>
      <c r="N35" s="81">
        <v>0</v>
      </c>
      <c r="O35" s="81">
        <v>1</v>
      </c>
      <c r="P35" s="70">
        <v>0</v>
      </c>
      <c r="Q35" s="81">
        <v>0</v>
      </c>
      <c r="R35" s="71">
        <v>1</v>
      </c>
      <c r="S35"/>
      <c r="T35"/>
    </row>
    <row r="36" spans="1:20" ht="15" customHeight="1" x14ac:dyDescent="0.15">
      <c r="A36" s="128"/>
      <c r="B36" s="93"/>
      <c r="C36" s="93"/>
      <c r="D36" s="93"/>
      <c r="E36" s="125"/>
      <c r="F36" s="192" t="s">
        <v>222</v>
      </c>
      <c r="G36" s="81">
        <v>0</v>
      </c>
      <c r="H36" s="81">
        <v>0</v>
      </c>
      <c r="I36" s="81">
        <v>0</v>
      </c>
      <c r="J36" s="81">
        <v>0</v>
      </c>
      <c r="K36" s="81">
        <v>0</v>
      </c>
      <c r="L36" s="81">
        <v>0</v>
      </c>
      <c r="M36" s="81">
        <v>1</v>
      </c>
      <c r="N36" s="81">
        <v>0</v>
      </c>
      <c r="O36" s="81">
        <v>0</v>
      </c>
      <c r="P36" s="70">
        <v>0</v>
      </c>
      <c r="Q36" s="81">
        <v>0</v>
      </c>
      <c r="R36" s="71">
        <v>1</v>
      </c>
      <c r="S36"/>
      <c r="T36"/>
    </row>
    <row r="37" spans="1:20" ht="15" customHeight="1" x14ac:dyDescent="0.15">
      <c r="A37" s="128"/>
      <c r="B37" s="93"/>
      <c r="C37" s="93"/>
      <c r="D37" s="93"/>
      <c r="E37" s="125"/>
      <c r="F37" s="192" t="s">
        <v>223</v>
      </c>
      <c r="G37" s="81">
        <v>0</v>
      </c>
      <c r="H37" s="81">
        <v>0</v>
      </c>
      <c r="I37" s="81">
        <v>0</v>
      </c>
      <c r="J37" s="81">
        <v>0</v>
      </c>
      <c r="K37" s="81">
        <v>0</v>
      </c>
      <c r="L37" s="81">
        <v>1</v>
      </c>
      <c r="M37" s="81">
        <v>0</v>
      </c>
      <c r="N37" s="81">
        <v>1</v>
      </c>
      <c r="O37" s="81">
        <v>0</v>
      </c>
      <c r="P37" s="70">
        <v>1</v>
      </c>
      <c r="Q37" s="81">
        <v>0</v>
      </c>
      <c r="R37" s="71">
        <v>1</v>
      </c>
      <c r="S37"/>
      <c r="T37"/>
    </row>
    <row r="38" spans="1:20" ht="15" customHeight="1" x14ac:dyDescent="0.15">
      <c r="A38" s="129"/>
      <c r="B38" s="93"/>
      <c r="C38" s="93"/>
      <c r="D38" s="93"/>
      <c r="E38" s="125"/>
      <c r="F38" s="192" t="s">
        <v>224</v>
      </c>
      <c r="G38" s="81">
        <v>0</v>
      </c>
      <c r="H38" s="81">
        <v>0</v>
      </c>
      <c r="I38" s="81">
        <v>0</v>
      </c>
      <c r="J38" s="81">
        <v>0</v>
      </c>
      <c r="K38" s="81">
        <v>0</v>
      </c>
      <c r="L38" s="81">
        <v>1</v>
      </c>
      <c r="M38" s="81">
        <v>0</v>
      </c>
      <c r="N38" s="81">
        <v>1</v>
      </c>
      <c r="O38" s="81">
        <v>0</v>
      </c>
      <c r="P38" s="70">
        <v>1</v>
      </c>
      <c r="Q38" s="81">
        <v>0</v>
      </c>
      <c r="R38" s="71">
        <v>1</v>
      </c>
      <c r="S38"/>
      <c r="T38"/>
    </row>
    <row r="39" spans="1:20" ht="15" customHeight="1" x14ac:dyDescent="0.15">
      <c r="A39" s="129"/>
      <c r="B39" s="93"/>
      <c r="C39" s="93"/>
      <c r="D39" s="93"/>
      <c r="E39" s="125"/>
      <c r="F39" s="192" t="s">
        <v>225</v>
      </c>
      <c r="G39" s="81">
        <v>0</v>
      </c>
      <c r="H39" s="81">
        <v>0</v>
      </c>
      <c r="I39" s="81">
        <v>0</v>
      </c>
      <c r="J39" s="81">
        <v>0</v>
      </c>
      <c r="K39" s="81">
        <v>0</v>
      </c>
      <c r="L39" s="81">
        <v>1</v>
      </c>
      <c r="M39" s="81">
        <v>0</v>
      </c>
      <c r="N39" s="81">
        <v>0</v>
      </c>
      <c r="O39" s="81">
        <v>0</v>
      </c>
      <c r="P39" s="70">
        <v>0</v>
      </c>
      <c r="Q39" s="81">
        <v>0</v>
      </c>
      <c r="R39" s="71">
        <v>1</v>
      </c>
      <c r="S39"/>
      <c r="T39"/>
    </row>
    <row r="40" spans="1:20" ht="15" customHeight="1" x14ac:dyDescent="0.15">
      <c r="A40" s="129"/>
      <c r="B40" s="93"/>
      <c r="C40" s="93"/>
      <c r="D40" s="93"/>
      <c r="E40" s="125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9"/>
      <c r="B41" s="93"/>
      <c r="C41" s="93"/>
      <c r="D41" s="94"/>
      <c r="E41" s="130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31"/>
      <c r="B42" s="132"/>
      <c r="C42" s="132" t="s">
        <v>162</v>
      </c>
      <c r="D42" s="132">
        <f>SUM(D32:D41)</f>
        <v>1360.2025118499998</v>
      </c>
      <c r="E42" s="133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81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81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81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81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1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1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1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1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1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1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1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1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1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1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1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1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1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1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1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1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1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1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1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1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1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1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1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1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1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1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1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1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1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1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1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1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1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1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1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1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1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1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1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1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1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1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1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1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1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1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1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1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1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1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1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1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1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1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1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1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1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1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1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1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1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1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1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1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1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1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1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1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1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1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1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1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1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1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1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1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1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1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1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1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1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1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1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1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1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1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1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1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1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1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1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1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1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1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1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1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1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1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1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1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1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1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1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1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1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1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1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1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1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1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1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1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1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1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1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1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1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1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1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1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1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P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8" customWidth="1"/>
    <col min="3" max="5" width="7.83203125" style="108" customWidth="1"/>
    <col min="6" max="8" width="8.83203125" style="6"/>
    <col min="9" max="9" width="8.1640625" style="6" customWidth="1"/>
    <col min="10" max="10" width="10.1640625" style="6" customWidth="1"/>
    <col min="11" max="11" width="12.5" style="6" customWidth="1"/>
    <col min="12" max="12" width="10.33203125" style="6" customWidth="1"/>
    <col min="13" max="13" width="12.6640625" style="6" customWidth="1"/>
    <col min="14" max="14" width="8.5" style="6" customWidth="1"/>
    <col min="15" max="16" width="9.5" style="6" customWidth="1"/>
    <col min="17" max="17" width="18" style="6" customWidth="1"/>
    <col min="18" max="18" width="18.1640625" style="6" customWidth="1"/>
    <col min="19" max="19" width="14.5" style="6" customWidth="1"/>
    <col min="20" max="20" width="9.5" style="6" customWidth="1"/>
    <col min="21" max="21" width="7.1640625" style="6" customWidth="1"/>
    <col min="22" max="22" width="7.5" style="6" customWidth="1"/>
    <col min="23" max="23" width="15" style="6" customWidth="1"/>
    <col min="24" max="24" width="15.1640625" style="6" customWidth="1"/>
    <col min="25" max="25" width="7.5" style="6" customWidth="1"/>
    <col min="26" max="26" width="10.5" style="6" customWidth="1"/>
    <col min="27" max="27" width="9.6640625" style="6" customWidth="1"/>
    <col min="28" max="28" width="13.33203125" style="6" customWidth="1"/>
    <col min="29" max="29" width="18.5" style="6" customWidth="1"/>
    <col min="30" max="30" width="19" style="6" customWidth="1"/>
    <col min="31" max="31" width="7.1640625" style="6" customWidth="1"/>
    <col min="32" max="32" width="14.5" style="6" customWidth="1"/>
    <col min="33" max="33" width="12.1640625" style="6" customWidth="1"/>
    <col min="34" max="34" width="8.6640625" style="6" customWidth="1"/>
    <col min="35" max="35" width="11.5" style="6" customWidth="1"/>
    <col min="36" max="36" width="14.83203125" style="6" customWidth="1"/>
    <col min="37" max="38" width="16.5" style="6" customWidth="1"/>
    <col min="39" max="39" width="13.1640625" customWidth="1"/>
    <col min="40" max="40" width="7.6640625" customWidth="1"/>
    <col min="41" max="41" width="21.6640625" customWidth="1"/>
    <col min="42" max="42" width="6.5" customWidth="1"/>
    <col min="81" max="81" width="22.1640625" bestFit="1" customWidth="1"/>
  </cols>
  <sheetData>
    <row r="1" spans="1:42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197" t="s">
        <v>192</v>
      </c>
      <c r="J1" s="197" t="s">
        <v>193</v>
      </c>
      <c r="K1" s="197" t="s">
        <v>194</v>
      </c>
      <c r="L1" s="197" t="s">
        <v>195</v>
      </c>
      <c r="M1" s="197" t="s">
        <v>196</v>
      </c>
      <c r="N1" s="197" t="s">
        <v>197</v>
      </c>
      <c r="O1" s="197" t="s">
        <v>198</v>
      </c>
      <c r="P1" s="197" t="s">
        <v>199</v>
      </c>
      <c r="Q1" s="197" t="s">
        <v>200</v>
      </c>
      <c r="R1" s="197" t="s">
        <v>201</v>
      </c>
      <c r="S1" s="197" t="s">
        <v>202</v>
      </c>
      <c r="T1" s="197" t="s">
        <v>203</v>
      </c>
      <c r="U1" s="197" t="s">
        <v>204</v>
      </c>
      <c r="V1" s="197" t="s">
        <v>205</v>
      </c>
      <c r="W1" s="197" t="s">
        <v>206</v>
      </c>
      <c r="X1" s="197" t="s">
        <v>207</v>
      </c>
      <c r="Y1" s="197" t="s">
        <v>208</v>
      </c>
      <c r="Z1" s="197" t="s">
        <v>209</v>
      </c>
      <c r="AA1" s="197" t="s">
        <v>210</v>
      </c>
      <c r="AB1" s="197" t="s">
        <v>211</v>
      </c>
      <c r="AC1" s="197" t="s">
        <v>212</v>
      </c>
      <c r="AD1" s="197" t="s">
        <v>213</v>
      </c>
      <c r="AE1" s="197" t="s">
        <v>214</v>
      </c>
      <c r="AF1" s="197" t="s">
        <v>215</v>
      </c>
      <c r="AG1" s="197" t="s">
        <v>216</v>
      </c>
      <c r="AH1" s="197" t="s">
        <v>217</v>
      </c>
      <c r="AI1" s="197" t="s">
        <v>218</v>
      </c>
      <c r="AJ1" s="197" t="s">
        <v>219</v>
      </c>
      <c r="AK1" s="197" t="s">
        <v>220</v>
      </c>
      <c r="AL1" s="197" t="s">
        <v>221</v>
      </c>
      <c r="AM1" s="197" t="s">
        <v>222</v>
      </c>
      <c r="AN1" s="197" t="s">
        <v>223</v>
      </c>
      <c r="AO1" s="197" t="s">
        <v>224</v>
      </c>
      <c r="AP1" s="197" t="s">
        <v>225</v>
      </c>
    </row>
    <row r="2" spans="1:42" x14ac:dyDescent="0.15">
      <c r="A2" t="s">
        <v>38</v>
      </c>
      <c r="B2" s="108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2" x14ac:dyDescent="0.15">
      <c r="A3" t="s">
        <v>40</v>
      </c>
      <c r="B3" s="108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2" x14ac:dyDescent="0.15">
      <c r="A4" t="s">
        <v>41</v>
      </c>
      <c r="B4" s="108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2" x14ac:dyDescent="0.15">
      <c r="A5" s="196" t="s">
        <v>192</v>
      </c>
      <c r="B5" s="108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2" x14ac:dyDescent="0.15">
      <c r="A6" s="196" t="s">
        <v>193</v>
      </c>
      <c r="B6" s="108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2" x14ac:dyDescent="0.15">
      <c r="A7" s="196" t="s">
        <v>194</v>
      </c>
      <c r="B7" s="108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2" x14ac:dyDescent="0.15">
      <c r="A8" s="196" t="s">
        <v>195</v>
      </c>
      <c r="B8" s="108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2" x14ac:dyDescent="0.15">
      <c r="A9" s="196" t="s">
        <v>196</v>
      </c>
      <c r="B9" s="108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2" x14ac:dyDescent="0.15">
      <c r="A10" s="196" t="s">
        <v>197</v>
      </c>
      <c r="B10" s="108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2" x14ac:dyDescent="0.15">
      <c r="A11" s="196" t="s">
        <v>198</v>
      </c>
      <c r="B11" s="108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2" x14ac:dyDescent="0.15">
      <c r="A12" s="196" t="s">
        <v>199</v>
      </c>
      <c r="B12" s="108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2" x14ac:dyDescent="0.15">
      <c r="A13" s="196" t="s">
        <v>200</v>
      </c>
      <c r="B13" s="108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2" x14ac:dyDescent="0.15">
      <c r="A14" s="196" t="s">
        <v>201</v>
      </c>
      <c r="B14" s="108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2" x14ac:dyDescent="0.15">
      <c r="A15" s="196" t="s">
        <v>202</v>
      </c>
      <c r="B15" s="108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2" x14ac:dyDescent="0.15">
      <c r="A16" s="196" t="s">
        <v>203</v>
      </c>
      <c r="B16" s="108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6" t="s">
        <v>204</v>
      </c>
      <c r="B17" s="108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6" t="s">
        <v>205</v>
      </c>
      <c r="B18" s="108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6" t="s">
        <v>206</v>
      </c>
      <c r="B19" s="108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6" t="s">
        <v>207</v>
      </c>
      <c r="B20" s="108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6" t="s">
        <v>208</v>
      </c>
      <c r="B21" s="108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6" t="s">
        <v>209</v>
      </c>
      <c r="B22" s="108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6" t="s">
        <v>210</v>
      </c>
      <c r="B23" s="108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6" t="s">
        <v>211</v>
      </c>
      <c r="B24" s="108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6" t="s">
        <v>212</v>
      </c>
      <c r="B25" s="108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6" t="s">
        <v>213</v>
      </c>
      <c r="B26" s="108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6" t="s">
        <v>214</v>
      </c>
      <c r="B27" s="108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6" t="s">
        <v>215</v>
      </c>
      <c r="B28" s="108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6" t="s">
        <v>216</v>
      </c>
      <c r="B29" s="108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6" t="s">
        <v>217</v>
      </c>
      <c r="B30" s="108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6" t="s">
        <v>218</v>
      </c>
      <c r="B31" s="108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6" t="s">
        <v>219</v>
      </c>
      <c r="B32" s="108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6" t="s">
        <v>220</v>
      </c>
      <c r="B33" s="108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6" t="s">
        <v>221</v>
      </c>
      <c r="B34" s="108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6" t="s">
        <v>222</v>
      </c>
      <c r="B35" s="108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6" t="s">
        <v>223</v>
      </c>
      <c r="B36" s="108">
        <v>0</v>
      </c>
      <c r="C36"/>
      <c r="D36"/>
    </row>
    <row r="37" spans="1:38" ht="15" customHeight="1" x14ac:dyDescent="0.15">
      <c r="A37" s="196" t="s">
        <v>224</v>
      </c>
      <c r="B37" s="108">
        <v>0</v>
      </c>
      <c r="C37"/>
      <c r="D37"/>
    </row>
    <row r="38" spans="1:38" ht="15" customHeight="1" x14ac:dyDescent="0.15">
      <c r="A38" s="196" t="s">
        <v>225</v>
      </c>
      <c r="B38" s="108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2022-10-24T04:18:36Z</dcterms:modified>
</cp:coreProperties>
</file>