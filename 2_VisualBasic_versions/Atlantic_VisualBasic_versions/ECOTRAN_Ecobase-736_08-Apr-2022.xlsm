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EDD0F9B1-64CD-0B44-BA82-3C6271769503}" xr6:coauthVersionLast="45" xr6:coauthVersionMax="45" xr10:uidLastSave="{00000000-0000-0000-0000-000000000000}"/>
  <bookViews>
    <workbookView xWindow="0" yWindow="460" windowWidth="25600" windowHeight="14240" tabRatio="728" firstSheet="2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Main!$C$2:$N$55</definedName>
    <definedName name="matDetritus">Detritus!$C$2:$F$55</definedName>
    <definedName name="matDiet">Diets!$B$2:$AP$46</definedName>
    <definedName name="matDiscards">Discards!$C$2:$L$45</definedName>
    <definedName name="matFishery">Fishing!$C$2:$L$45</definedName>
    <definedName name="matFishing">Fishing!#REF!</definedName>
    <definedName name="matMort">Mortalities!$A$1:$BE$45</definedName>
    <definedName name="matOut">MainOutputs!$A$2:$I$55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<sst xmlns="http://schemas.openxmlformats.org/spreadsheetml/2006/main" count="1350" uniqueCount="252">
  <si>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</si>
  <si>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</si>
  <si>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</si>
  <si>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</si>
  <si>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</si>
  <si>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</si>
  <si>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</si>
  <si>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</si>
  <si>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</si>
  <si>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</si>
  <si>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</si>
  <si>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</si>
  <si>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</si>
  <si>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</si>
  <si>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</si>
  <si>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</si>
  <si>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</si>
  <si>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</si>
  <si>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</si>
  <si>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</si>
  <si>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</si>
  <si>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</si>
  <si>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</si>
  <si>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</si>
  <si>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</si>
  <si>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</si>
  <si>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</si>
  <si>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</si>
  <si>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</si>
  <si>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</si>
  <si>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</si>
  <si>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</si>
  <si>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</si>
  <si>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</si>
  <si>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</si>
  <si>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</si>
  <si>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</si>
  <si>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</si>
  <si>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</si>
  <si>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</si>
  <si>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</si>
  <si>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</si>
  <si>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</si>
  <si>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</si>
  <si>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</si>
  <si>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</si>
  <si>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</si>
  <si>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</si>
  <si>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</si>
  <si>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</si>
  <si>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</si>
  <si>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</si>
  <si>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</si>
  <si>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</si>
  <si>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</si>
  <si>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</si>
  <si>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</si>
  <si>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</si>
  <si>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</si>
  <si>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</si>
  <si>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</si>
  <si>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</si>
  <si>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</si>
  <si>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</si>
  <si>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</si>
  <si>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</si>
  <si>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</si>
  <si>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</si>
  <si>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</si>
  <si>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</si>
  <si>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</si>
  <si>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</si>
  <si>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</si>
  <si>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</si>
  <si>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</si>
  <si>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</si>
  <si>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</si>
  <si>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</si>
  <si>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</si>
  <si>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</si>
  <si>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</si>
  <si>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</si>
  <si>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</si>
  <si>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</si>
  <si>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</si>
  <si>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</si>
  <si>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</si>
  <si>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</si>
  <si>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</si>
  <si>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</si>
  <si>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</si>
  <si>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</si>
  <si>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</si>
  <si>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</si>
  <si>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</si>
  <si>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</si>
  <si>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</si>
  <si>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</si>
  <si>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</si>
  <si>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</si>
  <si>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</si>
  <si>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</si>
  <si>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</si>
  <si>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</si>
  <si>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</si>
  <si>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</si>
  <si>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</si>
  <si>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</si>
  <si>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</si>
  <si>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</si>
  <si>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</si>
  <si>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</si>
  <si>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</si>
  <si>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</si>
  <si>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</si>
  <si>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</si>
  <si>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</si>
  <si>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</si>
  <si>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</si>
  <si>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</si>
  <si>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</si>
  <si>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</si>
  <si>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</si>
  <si>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</si>
  <si>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</si>
  <si>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</si>
  <si>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</si>
  <si>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</si>
  <si>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</si>
  <si>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</si>
  <si>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</si>
  <si>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</si>
  <si>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</si>
  <si>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</si>
  <si>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</si>
  <si>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</si>
  <si>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</si>
  <si>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</si>
  <si>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</si>
  <si>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</si>
  <si>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</si>
  <si>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</si>
  <si>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</si>
  <si>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</si>
  <si>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</si>
  <si>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</si>
  <si>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</si>
  <si>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</si>
  <si>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</si>
  <si>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</si>
  <si>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</si>
  <si>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</si>
  <si>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</si>
  <si>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</si>
  <si>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</si>
  <si>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</si>
  <si>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</si>
  <si>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</si>
  <si>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</si>
  <si>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</si>
  <si>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</si>
  <si>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</si>
  <si>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</si>
  <si>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</si>
  <si>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</si>
  <si>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</si>
  <si>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</si>
  <si>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</si>
  <si>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</si>
  <si>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</si>
  <si>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</si>
  <si>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</si>
  <si>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</si>
  <si>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</si>
  <si>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</si>
  <si>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</si>
  <si>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</si>
  <si>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</si>
  <si>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</si>
  <si>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</si>
  <si>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</si>
  <si>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</si>
  <si>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</si>
  <si>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</si>
  <si>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</si>
  <si>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Bay of Biscay</t>
  </si>
  <si>
    <t>France</t>
  </si>
  <si>
    <t>BOX(-7.82110734948644 43.2268812876394,-0.415762433859602 48.1458255467467)</t>
  </si>
  <si>
    <t>continental shelf</t>
  </si>
  <si>
    <t>WetWeight</t>
  </si>
  <si>
    <t>Model derived from the "Bay of Biscay 2013 by Moullec et al" model. These two models were built updating and improving the Celtic_Biscay 1980 and 2012 models, innitially developped by Guénette and Gascuel (2009) and by Bentorcha et al. (2017).
Final version, September 2015</t>
  </si>
  <si>
    <t>Moullec F., Gascuel D., Bentorcha K., et al., 2017, Journal of Marine systems, 172: 104–117.</t>
  </si>
  <si>
    <t>https://doi.org/10.1016/j.jmarsys.2017.03.008</t>
  </si>
  <si>
    <t>Plunge and pursuit divers seabirds</t>
  </si>
  <si>
    <t>Surface feeders seabirds</t>
  </si>
  <si>
    <t>Baleen whales</t>
  </si>
  <si>
    <t>Toothed whales</t>
  </si>
  <si>
    <t>Sharks L</t>
  </si>
  <si>
    <t>Sharks/rays</t>
  </si>
  <si>
    <t>Anglerfish</t>
  </si>
  <si>
    <t>Sea bass</t>
  </si>
  <si>
    <t>Blue whitting</t>
  </si>
  <si>
    <t>Hake adulte</t>
  </si>
  <si>
    <t>Hake juvenile</t>
  </si>
  <si>
    <t>Whitting</t>
  </si>
  <si>
    <t>Megrim</t>
  </si>
  <si>
    <t>Sole</t>
  </si>
  <si>
    <t>Plaice</t>
  </si>
  <si>
    <t>Demersal L</t>
  </si>
  <si>
    <t>Demersal M</t>
  </si>
  <si>
    <t>Demersal S</t>
  </si>
  <si>
    <t>Horse mackerel</t>
  </si>
  <si>
    <t>Mackerel</t>
  </si>
  <si>
    <t>Anchovy</t>
  </si>
  <si>
    <t>Sardine</t>
  </si>
  <si>
    <t>Pouts</t>
  </si>
  <si>
    <t>Pelagic L</t>
  </si>
  <si>
    <t>Pelagic M</t>
  </si>
  <si>
    <t>Cephalopods</t>
  </si>
  <si>
    <t>Norway lobster</t>
  </si>
  <si>
    <t>Lobsters/Crabs</t>
  </si>
  <si>
    <t>Shrimps</t>
  </si>
  <si>
    <t>Carnivorous and necrophagous benthic invertebrates</t>
  </si>
  <si>
    <t>Subsurface deposit feeders invertebrates</t>
  </si>
  <si>
    <t>Surface suspension and deposit feeders</t>
  </si>
  <si>
    <t>Benthic meiofauna</t>
  </si>
  <si>
    <t>Suprabenthic invertebrates</t>
  </si>
  <si>
    <t>Macrozooplankton</t>
  </si>
  <si>
    <t>Mesozooplankton</t>
  </si>
  <si>
    <t>Microzooplankton</t>
  </si>
  <si>
    <t>Bacteria</t>
  </si>
  <si>
    <t>Phytoplankton L</t>
  </si>
  <si>
    <t>Phytoplankton S</t>
  </si>
  <si>
    <t xml:space="preserve">Benthic producers </t>
  </si>
  <si>
    <t>Discards</t>
  </si>
  <si>
    <t>Detritus</t>
  </si>
  <si>
    <t>detritus_TerminalBenthic</t>
  </si>
  <si>
    <t>Mixte</t>
  </si>
  <si>
    <t>Import</t>
  </si>
  <si>
    <t>export</t>
  </si>
  <si>
    <t>sum</t>
  </si>
  <si>
    <t>TOTAL</t>
  </si>
  <si>
    <t>F Blue whitting</t>
  </si>
  <si>
    <t>F Hake adulte</t>
  </si>
  <si>
    <t>F Horse mackerel</t>
  </si>
  <si>
    <t>F Mackerel</t>
  </si>
  <si>
    <t>F Anchovy</t>
  </si>
  <si>
    <t>F Sardine</t>
  </si>
  <si>
    <t>F Sole</t>
  </si>
  <si>
    <t>F Megrim</t>
  </si>
  <si>
    <t>F Norway lobster</t>
  </si>
  <si>
    <t>F Mixte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</si>
</sst>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8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F8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0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6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9" t="s">
        <v>171</v>
      </c>
      <c r="C53" s="111">
        <v>736</v>
      </c>
      <c r="D53" s="111"/>
    </row>
    <row r="54" spans="2:4" x14ac:dyDescent="0.15">
      <c r="B54" s="179" t="s">
        <v>172</v>
      </c>
      <c r="C54" s="179" t="s">
        <v>185</v>
      </c>
      <c r="D54" s="111"/>
    </row>
    <row r="55" spans="2:4" x14ac:dyDescent="0.15">
      <c r="B55" s="179" t="s">
        <v>173</v>
      </c>
      <c r="C55" s="179" t="s">
        <v>186</v>
      </c>
      <c r="D55" s="111"/>
    </row>
    <row r="56" spans="2:4" x14ac:dyDescent="0.15">
      <c r="B56" s="179" t="s">
        <v>174</v>
      </c>
      <c r="C56" s="111">
        <v>83466</v>
      </c>
      <c r="D56" s="111"/>
    </row>
    <row r="57" spans="2:4" x14ac:dyDescent="0.15">
      <c r="B57" s="179" t="s">
        <v>175</v>
      </c>
      <c r="C57" s="179" t="s">
        <v>187</v>
      </c>
      <c r="D57" s="111"/>
    </row>
    <row r="58" spans="2:4" x14ac:dyDescent="0.15">
      <c r="B58" s="179" t="s">
        <v>176</v>
      </c>
      <c r="C58" s="179" t="s">
        <v>188</v>
      </c>
      <c r="D58" s="111"/>
    </row>
    <row r="59" spans="2:4" x14ac:dyDescent="0.15">
      <c r="B59" s="179" t="s">
        <v>177</v>
      </c>
      <c r="C59" s="179" t="s">
        <v>189</v>
      </c>
      <c r="D59" s="111"/>
    </row>
    <row r="60" spans="2:4" x14ac:dyDescent="0.15">
      <c r="B60" s="179" t="s">
        <v>178</v>
      </c>
      <c r="C60" s="179" t="s">
        <v>190</v>
      </c>
      <c r="D60" s="111"/>
    </row>
    <row r="61" spans="2:4" x14ac:dyDescent="0.15">
      <c r="B61" s="179" t="s">
        <v>179</v>
      </c>
      <c r="C61" s="111">
        <v>43</v>
      </c>
      <c r="D61" s="111"/>
    </row>
    <row r="62" spans="2:4" x14ac:dyDescent="0.15">
      <c r="B62" s="179" t="s">
        <v>180</v>
      </c>
      <c r="C62" s="111">
        <v>10</v>
      </c>
      <c r="D62" s="111"/>
    </row>
    <row r="63" spans="2:4" x14ac:dyDescent="0.15">
      <c r="B63" s="179" t="s">
        <v>181</v>
      </c>
      <c r="C63" s="111">
        <v>1980</v>
      </c>
      <c r="D63" s="111"/>
    </row>
    <row r="64" spans="2:4" x14ac:dyDescent="0.15">
      <c r="B64" s="179" t="s">
        <v>182</v>
      </c>
      <c r="C64" s="111">
        <v>0</v>
      </c>
      <c r="D64" s="111"/>
    </row>
    <row r="65" spans="2:4" x14ac:dyDescent="0.15">
      <c r="B65" s="179" t="s">
        <v>183</v>
      </c>
      <c r="C65" s="179" t="s">
        <v>191</v>
      </c>
      <c r="D65" s="111"/>
    </row>
    <row r="66" spans="2:4" x14ac:dyDescent="0.15">
      <c r="B66" s="179" t="s">
        <v>184</v>
      </c>
      <c r="C66" s="179" t="s">
        <v>192</v>
      </c>
      <c r="D66" s="111"/>
    </row>
    <row r="67" spans="2:4" x14ac:dyDescent="0.15">
      <c r="B67" s="111"/>
      <c r="C67" s="111"/>
      <c r="D67" s="111"/>
    </row>
    <row r="68" spans="2:4" x14ac:dyDescent="0.15">
      <c r="B68" s="111"/>
      <c r="C68" s="111"/>
      <c r="D68" s="11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44.1640625" style="84" bestFit="1" customWidth="1"/>
    <col min="6" max="6" width="2.33203125" style="84" bestFit="1" customWidth="1"/>
    <col min="7" max="7" width="11.83203125" style="84" bestFit="1" customWidth="1"/>
    <col min="8" max="8" width="11.83203125" style="84" customWidth="1"/>
    <col min="9" max="9" width="10.83203125" style="84" customWidth="1"/>
    <col min="10" max="10" width="11.83203125" style="84" customWidth="1"/>
    <col min="11" max="11" width="13.83203125" style="84" customWidth="1"/>
    <col min="12" max="12" width="2.33203125" style="84" customWidth="1"/>
    <col min="13" max="13" width="3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0" t="s">
        <v>193</v>
      </c>
      <c r="F2" s="84">
        <v>0</v>
      </c>
      <c r="G2" s="84">
        <v>2.2499999999999998E-3</v>
      </c>
      <c r="H2" s="84">
        <v>0.09</v>
      </c>
      <c r="I2" s="6">
        <v>57.66</v>
      </c>
      <c r="J2" s="6">
        <v>0</v>
      </c>
      <c r="K2" s="6">
        <v>1.56087417E-3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41</v>
      </c>
      <c r="C3" s="84">
        <v>2</v>
      </c>
      <c r="D3"/>
      <c r="E3" s="180" t="s">
        <v>194</v>
      </c>
      <c r="F3" s="84">
        <v>0</v>
      </c>
      <c r="G3" s="84">
        <v>5.8299999999999997E-4</v>
      </c>
      <c r="H3" s="84">
        <v>0.09</v>
      </c>
      <c r="I3" s="84">
        <v>69.959999999999994</v>
      </c>
      <c r="J3" s="84">
        <v>0</v>
      </c>
      <c r="K3" s="84">
        <v>1.28644949E-3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3</v>
      </c>
      <c r="C4" s="84">
        <v>3</v>
      </c>
      <c r="D4"/>
      <c r="E4" s="180" t="s">
        <v>195</v>
      </c>
      <c r="F4" s="84">
        <v>0</v>
      </c>
      <c r="G4" s="84">
        <v>6.5135380000000007E-2</v>
      </c>
      <c r="H4" s="84">
        <v>3.5000000000000003E-2</v>
      </c>
      <c r="I4" s="84">
        <v>4.7746110000000002</v>
      </c>
      <c r="J4" s="84">
        <v>0</v>
      </c>
      <c r="K4" s="84">
        <v>7.3304399999999997E-3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10</v>
      </c>
      <c r="C5" s="84">
        <v>4</v>
      </c>
      <c r="D5"/>
      <c r="E5" s="180" t="s">
        <v>196</v>
      </c>
      <c r="F5" s="84">
        <v>0</v>
      </c>
      <c r="G5" s="84">
        <v>3.4000000000000002E-2</v>
      </c>
      <c r="H5" s="84">
        <v>0.13500000000000001</v>
      </c>
      <c r="I5" s="84">
        <v>11.9984</v>
      </c>
      <c r="J5" s="84">
        <v>0</v>
      </c>
      <c r="K5" s="84">
        <v>1.12515008E-2</v>
      </c>
      <c r="L5" s="84">
        <v>0</v>
      </c>
      <c r="M5" s="84">
        <v>0.2</v>
      </c>
      <c r="N5" s="84">
        <v>0</v>
      </c>
      <c r="P5" s="72"/>
      <c r="Q5" s="72"/>
      <c r="R5" s="72"/>
    </row>
    <row r="6" spans="1:46" ht="15" customHeight="1" thickBot="1" x14ac:dyDescent="0.2">
      <c r="B6" s="1"/>
      <c r="C6" s="84">
        <v>5</v>
      </c>
      <c r="D6"/>
      <c r="E6" s="180" t="s">
        <v>197</v>
      </c>
      <c r="F6" s="84">
        <v>0</v>
      </c>
      <c r="G6" s="84">
        <v>8.7102159999999998E-2</v>
      </c>
      <c r="H6" s="84">
        <v>0.19</v>
      </c>
      <c r="I6" s="84">
        <v>1.9</v>
      </c>
      <c r="J6" s="84">
        <v>0.6</v>
      </c>
      <c r="K6" s="84">
        <v>0.1</v>
      </c>
      <c r="L6" s="84">
        <v>0</v>
      </c>
      <c r="M6" s="84">
        <v>0.2</v>
      </c>
      <c r="N6" s="84">
        <v>0</v>
      </c>
      <c r="P6" s="72"/>
      <c r="Q6" s="72"/>
      <c r="R6" s="72"/>
      <c r="W6" s="35" t="s">
        <v>31</v>
      </c>
      <c r="X6" s="51">
        <f>MAX(MainOutputs!G:G)</f>
        <v>0.96215939521789551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389</v>
      </c>
      <c r="C7" s="84">
        <v>6</v>
      </c>
      <c r="D7"/>
      <c r="E7" s="180" t="s">
        <v>198</v>
      </c>
      <c r="F7" s="84">
        <v>0</v>
      </c>
      <c r="G7" s="84">
        <v>0.30019659999999998</v>
      </c>
      <c r="H7" s="84">
        <v>0.35</v>
      </c>
      <c r="I7" s="84">
        <v>3.5</v>
      </c>
      <c r="J7" s="84">
        <v>0.80000009999999999</v>
      </c>
      <c r="K7" s="84">
        <v>0.1</v>
      </c>
      <c r="L7" s="84">
        <v>0</v>
      </c>
      <c r="M7" s="84">
        <v>0.2</v>
      </c>
      <c r="N7" s="84">
        <v>0</v>
      </c>
      <c r="P7" s="72"/>
      <c r="Q7" s="72"/>
      <c r="R7" s="72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148</v>
      </c>
      <c r="C8" s="84">
        <v>7</v>
      </c>
      <c r="D8"/>
      <c r="E8" s="180" t="s">
        <v>199</v>
      </c>
      <c r="F8" s="84">
        <v>0</v>
      </c>
      <c r="G8" s="84">
        <v>0.36679056300000001</v>
      </c>
      <c r="H8" s="84">
        <v>0.4</v>
      </c>
      <c r="I8" s="84">
        <v>2.4</v>
      </c>
      <c r="J8" s="84">
        <v>0.8</v>
      </c>
      <c r="K8" s="84">
        <v>0.166666657</v>
      </c>
      <c r="L8" s="84">
        <v>0</v>
      </c>
      <c r="M8" s="84">
        <v>0.2</v>
      </c>
      <c r="N8" s="84">
        <v>0</v>
      </c>
      <c r="P8" s="72"/>
      <c r="Q8" s="72"/>
      <c r="R8" s="72"/>
    </row>
    <row r="9" spans="1:46" ht="15" customHeight="1" x14ac:dyDescent="0.15">
      <c r="B9" s="1"/>
      <c r="C9" s="84">
        <v>8</v>
      </c>
      <c r="D9"/>
      <c r="E9" s="180" t="s">
        <v>200</v>
      </c>
      <c r="F9" s="84">
        <v>0</v>
      </c>
      <c r="G9" s="84">
        <v>0.100751549</v>
      </c>
      <c r="H9" s="84">
        <v>0.3</v>
      </c>
      <c r="I9" s="84">
        <v>3.754</v>
      </c>
      <c r="J9" s="84">
        <v>0.9</v>
      </c>
      <c r="K9" s="84">
        <v>7.9914760000000001E-2</v>
      </c>
      <c r="L9" s="84">
        <v>0</v>
      </c>
      <c r="M9" s="84">
        <v>0.2</v>
      </c>
      <c r="N9" s="84">
        <v>0</v>
      </c>
      <c r="P9" s="72"/>
      <c r="Q9" s="72"/>
      <c r="R9" s="72"/>
    </row>
    <row r="10" spans="1:46" ht="15" customHeight="1" x14ac:dyDescent="0.15">
      <c r="B10" s="1"/>
      <c r="C10" s="84">
        <v>9</v>
      </c>
      <c r="D10"/>
      <c r="E10" s="180" t="s">
        <v>201</v>
      </c>
      <c r="F10" s="84">
        <v>0</v>
      </c>
      <c r="G10" s="84">
        <v>0.17730981100000001</v>
      </c>
      <c r="H10" s="84">
        <v>0.46755215500000002</v>
      </c>
      <c r="I10" s="84">
        <v>2.3377606900000001</v>
      </c>
      <c r="J10" s="84">
        <v>0.95</v>
      </c>
      <c r="K10" s="84">
        <v>0.2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80" t="s">
        <v>202</v>
      </c>
      <c r="F11" s="84">
        <v>0</v>
      </c>
      <c r="G11" s="84">
        <v>0.55345314700000003</v>
      </c>
      <c r="H11" s="84">
        <v>0.86371430000000005</v>
      </c>
      <c r="I11" s="84">
        <v>2.6</v>
      </c>
      <c r="J11" s="84">
        <v>0.70435386899999997</v>
      </c>
      <c r="K11" s="84">
        <v>0.33219781500000001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80" t="s">
        <v>203</v>
      </c>
      <c r="F12" s="84">
        <v>0</v>
      </c>
      <c r="G12" s="84">
        <v>0.14303965900000001</v>
      </c>
      <c r="H12" s="84">
        <v>1.2</v>
      </c>
      <c r="I12" s="84">
        <v>6.2607746100000004</v>
      </c>
      <c r="J12" s="84">
        <v>0.84505839999999999</v>
      </c>
      <c r="K12" s="84">
        <v>0.191669583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80" t="s">
        <v>204</v>
      </c>
      <c r="F13" s="84">
        <v>0</v>
      </c>
      <c r="G13" s="84">
        <v>0.1929766</v>
      </c>
      <c r="H13" s="84">
        <v>0.4</v>
      </c>
      <c r="I13" s="84">
        <v>4.7080000000000002</v>
      </c>
      <c r="J13" s="84">
        <v>0.95</v>
      </c>
      <c r="K13" s="84">
        <v>8.4961764499999995E-2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80" t="s">
        <v>205</v>
      </c>
      <c r="F14" s="84">
        <v>0</v>
      </c>
      <c r="G14" s="84">
        <v>5.2201329999999997E-2</v>
      </c>
      <c r="H14" s="84">
        <v>0.4</v>
      </c>
      <c r="I14" s="84">
        <v>2</v>
      </c>
      <c r="J14" s="84">
        <v>0.9</v>
      </c>
      <c r="K14" s="84">
        <v>0.2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80" t="s">
        <v>206</v>
      </c>
      <c r="F15" s="84">
        <v>0</v>
      </c>
      <c r="G15" s="84">
        <v>0.16009780000000001</v>
      </c>
      <c r="H15" s="84">
        <v>0.47856262300000002</v>
      </c>
      <c r="I15" s="84">
        <v>3.7</v>
      </c>
      <c r="J15" s="84">
        <v>0.962159455</v>
      </c>
      <c r="K15" s="84">
        <v>0.12934124499999999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80" t="s">
        <v>207</v>
      </c>
      <c r="F16" s="84">
        <v>0</v>
      </c>
      <c r="G16" s="84">
        <v>5.4466430000000003E-2</v>
      </c>
      <c r="H16" s="84">
        <v>0.442</v>
      </c>
      <c r="I16" s="84">
        <v>3.42</v>
      </c>
      <c r="J16" s="84">
        <v>0.89999989999999996</v>
      </c>
      <c r="K16" s="84">
        <v>0.129239768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80" t="s">
        <v>208</v>
      </c>
      <c r="F17" s="84">
        <v>0</v>
      </c>
      <c r="G17" s="84">
        <v>0.49149957300000002</v>
      </c>
      <c r="H17" s="84">
        <v>0.34399999999999997</v>
      </c>
      <c r="I17" s="84">
        <v>1.72</v>
      </c>
      <c r="J17" s="84">
        <v>0.900000036</v>
      </c>
      <c r="K17" s="84">
        <v>0.2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80" t="s">
        <v>209</v>
      </c>
      <c r="F18" s="84">
        <v>0</v>
      </c>
      <c r="G18" s="84">
        <v>1.3788016999999999</v>
      </c>
      <c r="H18" s="84">
        <v>0.43</v>
      </c>
      <c r="I18" s="84">
        <v>2.15</v>
      </c>
      <c r="J18" s="84">
        <v>0.9499997</v>
      </c>
      <c r="K18" s="84">
        <v>0.2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80" t="s">
        <v>210</v>
      </c>
      <c r="F19" s="84">
        <v>0</v>
      </c>
      <c r="G19" s="84">
        <v>0.63638669999999997</v>
      </c>
      <c r="H19" s="84">
        <v>1.0900000000000001</v>
      </c>
      <c r="I19" s="84">
        <v>4.3600000000000003</v>
      </c>
      <c r="J19" s="84">
        <v>0.95000030000000002</v>
      </c>
      <c r="K19" s="84">
        <v>0.25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80" t="s">
        <v>211</v>
      </c>
      <c r="F20" s="84">
        <v>0</v>
      </c>
      <c r="G20" s="84">
        <v>1.4729410000000001</v>
      </c>
      <c r="H20" s="84">
        <v>0.38</v>
      </c>
      <c r="I20" s="84">
        <v>1.52</v>
      </c>
      <c r="J20" s="84">
        <v>0.89252996399999995</v>
      </c>
      <c r="K20" s="84">
        <v>0.25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6" t="s">
        <v>137</v>
      </c>
      <c r="B21" s="102"/>
      <c r="C21" s="84">
        <v>20</v>
      </c>
      <c r="D21"/>
      <c r="E21" s="180" t="s">
        <v>212</v>
      </c>
      <c r="F21" s="84">
        <v>0</v>
      </c>
      <c r="G21" s="84">
        <v>0.42988827800000001</v>
      </c>
      <c r="H21" s="84">
        <v>0.5</v>
      </c>
      <c r="I21" s="84">
        <v>2</v>
      </c>
      <c r="J21" s="84">
        <v>0.81913083799999997</v>
      </c>
      <c r="K21" s="84">
        <v>0.25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80" t="s">
        <v>213</v>
      </c>
      <c r="F22" s="84">
        <v>0</v>
      </c>
      <c r="G22" s="84">
        <v>0.37531536799999998</v>
      </c>
      <c r="H22" s="84">
        <v>1.78764319</v>
      </c>
      <c r="I22" s="84">
        <v>9.1300000000000008</v>
      </c>
      <c r="J22" s="84">
        <v>0.9</v>
      </c>
      <c r="K22" s="84">
        <v>0.19579881399999999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80" t="s">
        <v>214</v>
      </c>
      <c r="F23" s="84">
        <v>0</v>
      </c>
      <c r="G23" s="84">
        <v>2.2053334699999998</v>
      </c>
      <c r="H23" s="84">
        <v>1.095</v>
      </c>
      <c r="I23" s="84">
        <v>6.8</v>
      </c>
      <c r="J23" s="84">
        <v>0.79999995199999996</v>
      </c>
      <c r="K23" s="84">
        <v>0.16102941300000001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80" t="s">
        <v>215</v>
      </c>
      <c r="F24" s="84">
        <v>0</v>
      </c>
      <c r="G24" s="84">
        <v>0.33498898100000002</v>
      </c>
      <c r="H24" s="84">
        <v>1.4</v>
      </c>
      <c r="I24" s="84">
        <v>7</v>
      </c>
      <c r="J24" s="84">
        <v>0.95</v>
      </c>
      <c r="K24" s="84">
        <v>0.2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80" t="s">
        <v>216</v>
      </c>
      <c r="F25" s="84">
        <v>0</v>
      </c>
      <c r="G25" s="84">
        <v>0.121290676</v>
      </c>
      <c r="H25" s="84">
        <v>0.4</v>
      </c>
      <c r="I25" s="84">
        <v>4.13</v>
      </c>
      <c r="J25" s="84">
        <v>0.9</v>
      </c>
      <c r="K25" s="84">
        <v>9.6852300000000002E-2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80" t="s">
        <v>217</v>
      </c>
      <c r="F26" s="84">
        <v>0</v>
      </c>
      <c r="G26" s="84">
        <v>0.37431466600000002</v>
      </c>
      <c r="H26" s="84">
        <v>0.73</v>
      </c>
      <c r="I26" s="84">
        <v>4.92</v>
      </c>
      <c r="J26" s="84">
        <v>0.94999990000000001</v>
      </c>
      <c r="K26" s="84">
        <v>0.14837399100000001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80" t="s">
        <v>218</v>
      </c>
      <c r="F27" s="84">
        <v>0</v>
      </c>
      <c r="G27" s="84">
        <v>0.22269703399999999</v>
      </c>
      <c r="H27" s="84">
        <v>3.12</v>
      </c>
      <c r="I27" s="84">
        <v>10.4</v>
      </c>
      <c r="J27" s="84">
        <v>0.94999979999999995</v>
      </c>
      <c r="K27" s="84">
        <v>0.3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80" t="s">
        <v>219</v>
      </c>
      <c r="F28" s="84">
        <v>0</v>
      </c>
      <c r="G28" s="84">
        <v>0.18796901399999999</v>
      </c>
      <c r="H28" s="84">
        <v>0.96020000000000005</v>
      </c>
      <c r="I28" s="84">
        <v>3.4</v>
      </c>
      <c r="J28" s="84">
        <v>0.80000020000000005</v>
      </c>
      <c r="K28" s="84">
        <v>0.28241175400000001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80" t="s">
        <v>220</v>
      </c>
      <c r="F29" s="84">
        <v>0</v>
      </c>
      <c r="G29" s="84">
        <v>0.46314096500000002</v>
      </c>
      <c r="H29" s="84">
        <v>1.2</v>
      </c>
      <c r="I29" s="84">
        <v>8</v>
      </c>
      <c r="J29" s="84">
        <v>0.79999995199999996</v>
      </c>
      <c r="K29" s="84">
        <v>0.15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80" t="s">
        <v>221</v>
      </c>
      <c r="F30" s="84">
        <v>0</v>
      </c>
      <c r="G30" s="84">
        <v>1.2920794499999999</v>
      </c>
      <c r="H30" s="84">
        <v>3</v>
      </c>
      <c r="I30" s="84">
        <v>20</v>
      </c>
      <c r="J30" s="84">
        <v>0.95000004800000004</v>
      </c>
      <c r="K30" s="84">
        <v>0.15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80" t="s">
        <v>222</v>
      </c>
      <c r="F31" s="84">
        <v>0</v>
      </c>
      <c r="G31" s="84">
        <v>7.7186380000000003</v>
      </c>
      <c r="H31" s="84">
        <v>1.885</v>
      </c>
      <c r="I31" s="84">
        <v>12.5666656</v>
      </c>
      <c r="J31" s="84">
        <v>0.60000010000000004</v>
      </c>
      <c r="K31" s="84">
        <v>0.15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80" t="s">
        <v>223</v>
      </c>
      <c r="F32" s="84">
        <v>0</v>
      </c>
      <c r="G32" s="84">
        <v>22.208652499999999</v>
      </c>
      <c r="H32" s="84">
        <v>1.6</v>
      </c>
      <c r="I32" s="84">
        <v>8</v>
      </c>
      <c r="J32" s="84">
        <v>0.60000014300000004</v>
      </c>
      <c r="K32" s="84">
        <v>0.2</v>
      </c>
      <c r="L32" s="84">
        <v>0</v>
      </c>
      <c r="M32" s="84">
        <v>0.3</v>
      </c>
      <c r="N32" s="84">
        <v>0</v>
      </c>
    </row>
    <row r="33" spans="3:14" customFormat="1" ht="15" customHeight="1" x14ac:dyDescent="0.15">
      <c r="C33" s="84">
        <v>32</v>
      </c>
      <c r="E33" s="180" t="s">
        <v>224</v>
      </c>
      <c r="F33" s="84">
        <v>0</v>
      </c>
      <c r="G33" s="84">
        <v>17.176271400000001</v>
      </c>
      <c r="H33" s="84">
        <v>2.8</v>
      </c>
      <c r="I33" s="84">
        <v>14</v>
      </c>
      <c r="J33" s="84">
        <v>0.80000020000000005</v>
      </c>
      <c r="K33" s="84">
        <v>0.2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80" t="s">
        <v>225</v>
      </c>
      <c r="F34" s="84">
        <v>0</v>
      </c>
      <c r="G34" s="84">
        <v>6.5373020000000004</v>
      </c>
      <c r="H34" s="84">
        <v>10</v>
      </c>
      <c r="I34" s="84">
        <v>50</v>
      </c>
      <c r="J34" s="84">
        <v>0.9</v>
      </c>
      <c r="K34" s="84">
        <v>0.2</v>
      </c>
      <c r="L34" s="84">
        <v>0</v>
      </c>
      <c r="M34" s="84">
        <v>0.4</v>
      </c>
      <c r="N34" s="84">
        <v>0</v>
      </c>
    </row>
    <row r="35" spans="3:14" customFormat="1" ht="15" customHeight="1" x14ac:dyDescent="0.15">
      <c r="C35" s="84">
        <v>34</v>
      </c>
      <c r="E35" s="180" t="s">
        <v>226</v>
      </c>
      <c r="F35" s="84">
        <v>0</v>
      </c>
      <c r="G35" s="84">
        <v>0.204966709</v>
      </c>
      <c r="H35" s="84">
        <v>20</v>
      </c>
      <c r="I35" s="84">
        <v>100</v>
      </c>
      <c r="J35" s="84">
        <v>0.900000036</v>
      </c>
      <c r="K35" s="84">
        <v>0.2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80" t="s">
        <v>227</v>
      </c>
      <c r="F36" s="84">
        <v>0</v>
      </c>
      <c r="G36" s="84">
        <v>2.218</v>
      </c>
      <c r="H36" s="84">
        <v>10.5</v>
      </c>
      <c r="I36" s="84">
        <v>38</v>
      </c>
      <c r="J36" s="84">
        <v>0.75653845099999995</v>
      </c>
      <c r="K36" s="84">
        <v>0.27631577800000001</v>
      </c>
      <c r="L36" s="84">
        <v>0</v>
      </c>
      <c r="M36" s="84">
        <v>0.4</v>
      </c>
      <c r="N36" s="84">
        <v>0</v>
      </c>
    </row>
    <row r="37" spans="3:14" customFormat="1" ht="15" customHeight="1" x14ac:dyDescent="0.15">
      <c r="C37" s="84">
        <v>36</v>
      </c>
      <c r="E37" s="180" t="s">
        <v>228</v>
      </c>
      <c r="F37" s="84">
        <v>0</v>
      </c>
      <c r="G37" s="84">
        <v>4.4109999999999996</v>
      </c>
      <c r="H37" s="84">
        <v>16.45</v>
      </c>
      <c r="I37" s="84">
        <v>80</v>
      </c>
      <c r="J37" s="84">
        <v>0.75227946000000001</v>
      </c>
      <c r="K37" s="84">
        <v>0.205625013</v>
      </c>
      <c r="L37" s="84">
        <v>0</v>
      </c>
      <c r="M37" s="84">
        <v>0.4</v>
      </c>
      <c r="N37" s="84">
        <v>0</v>
      </c>
    </row>
    <row r="38" spans="3:14" customFormat="1" ht="15" customHeight="1" x14ac:dyDescent="0.15">
      <c r="C38" s="84">
        <v>37</v>
      </c>
      <c r="E38" s="180" t="s">
        <v>229</v>
      </c>
      <c r="F38" s="84">
        <v>0</v>
      </c>
      <c r="G38" s="84">
        <v>4.7709999999999999</v>
      </c>
      <c r="H38" s="84">
        <v>45.05</v>
      </c>
      <c r="I38" s="84">
        <v>316</v>
      </c>
      <c r="J38" s="84">
        <v>0.88332509999999997</v>
      </c>
      <c r="K38" s="84">
        <v>0.14256328300000001</v>
      </c>
      <c r="L38" s="84">
        <v>0</v>
      </c>
      <c r="M38" s="84">
        <v>0.4</v>
      </c>
      <c r="N38" s="84">
        <v>0</v>
      </c>
    </row>
    <row r="39" spans="3:14" customFormat="1" ht="15" customHeight="1" x14ac:dyDescent="0.15">
      <c r="C39" s="84">
        <v>38</v>
      </c>
      <c r="E39" s="180" t="s">
        <v>230</v>
      </c>
      <c r="F39" s="84">
        <v>0</v>
      </c>
      <c r="G39" s="84">
        <v>0.68200000000000005</v>
      </c>
      <c r="H39" s="84">
        <v>500</v>
      </c>
      <c r="I39" s="84">
        <v>1428.57141</v>
      </c>
      <c r="J39" s="84">
        <v>0.78402626500000006</v>
      </c>
      <c r="K39" s="84">
        <v>0.35</v>
      </c>
      <c r="L39" s="84">
        <v>0</v>
      </c>
      <c r="M39" s="84">
        <v>0.5</v>
      </c>
      <c r="N39" s="84">
        <v>0</v>
      </c>
    </row>
    <row r="40" spans="3:14" customFormat="1" ht="15" customHeight="1" x14ac:dyDescent="0.15">
      <c r="C40" s="84">
        <v>39</v>
      </c>
      <c r="E40" s="180" t="s">
        <v>231</v>
      </c>
      <c r="F40" s="84">
        <v>1</v>
      </c>
      <c r="G40" s="84">
        <v>7.56</v>
      </c>
      <c r="H40" s="84">
        <v>119</v>
      </c>
      <c r="I40" s="84">
        <v>0</v>
      </c>
      <c r="J40" s="84">
        <v>0.77777194999999999</v>
      </c>
      <c r="K40" s="84">
        <v>0</v>
      </c>
      <c r="L40" s="84">
        <v>0</v>
      </c>
      <c r="M40" s="84">
        <v>0</v>
      </c>
      <c r="N40" s="84">
        <v>0</v>
      </c>
    </row>
    <row r="41" spans="3:14" customFormat="1" ht="15" customHeight="1" x14ac:dyDescent="0.15">
      <c r="C41" s="84">
        <v>40</v>
      </c>
      <c r="E41" s="180" t="s">
        <v>232</v>
      </c>
      <c r="F41" s="84">
        <v>1</v>
      </c>
      <c r="G41" s="84">
        <v>5.2640000000000002</v>
      </c>
      <c r="H41" s="84">
        <v>151</v>
      </c>
      <c r="I41" s="84">
        <v>0</v>
      </c>
      <c r="J41" s="84">
        <v>0.58785770000000004</v>
      </c>
      <c r="K41" s="84">
        <v>0</v>
      </c>
      <c r="L41" s="84">
        <v>0</v>
      </c>
      <c r="M41" s="84">
        <v>0</v>
      </c>
      <c r="N41" s="84">
        <v>0</v>
      </c>
    </row>
    <row r="42" spans="3:14" customFormat="1" ht="15" customHeight="1" x14ac:dyDescent="0.15">
      <c r="C42" s="84">
        <v>41</v>
      </c>
      <c r="E42" s="180" t="s">
        <v>233</v>
      </c>
      <c r="F42" s="84">
        <v>1</v>
      </c>
      <c r="G42" s="84">
        <v>0.32600000000000001</v>
      </c>
      <c r="H42" s="84">
        <v>4.5</v>
      </c>
      <c r="I42" s="84">
        <v>0</v>
      </c>
      <c r="J42" s="84">
        <v>0.105222344</v>
      </c>
      <c r="K42" s="84">
        <v>0</v>
      </c>
      <c r="L42" s="84">
        <v>0</v>
      </c>
      <c r="M42" s="84">
        <v>0</v>
      </c>
      <c r="N42" s="84">
        <v>0</v>
      </c>
    </row>
    <row r="43" spans="3:14" customFormat="1" ht="15" customHeight="1" x14ac:dyDescent="0.15">
      <c r="C43" s="84">
        <v>42</v>
      </c>
      <c r="E43" s="180" t="s">
        <v>234</v>
      </c>
      <c r="F43" s="84">
        <v>2</v>
      </c>
      <c r="G43" s="84">
        <v>1</v>
      </c>
      <c r="H43" s="84">
        <v>0</v>
      </c>
      <c r="I43" s="84">
        <v>0</v>
      </c>
      <c r="J43" s="84">
        <v>0.95693899999999998</v>
      </c>
      <c r="K43" s="84">
        <v>0</v>
      </c>
      <c r="L43" s="84">
        <v>0</v>
      </c>
      <c r="M43" s="84">
        <v>0</v>
      </c>
      <c r="N43" s="84">
        <v>0</v>
      </c>
    </row>
    <row r="44" spans="3:14" customFormat="1" ht="15" customHeight="1" x14ac:dyDescent="0.15">
      <c r="C44" s="84">
        <v>43</v>
      </c>
      <c r="E44" s="180" t="s">
        <v>235</v>
      </c>
      <c r="F44" s="84">
        <v>2</v>
      </c>
      <c r="G44" s="84">
        <v>130</v>
      </c>
      <c r="H44" s="84">
        <v>0</v>
      </c>
      <c r="I44" s="84">
        <v>0</v>
      </c>
      <c r="J44" s="84">
        <v>0.94556885999999996</v>
      </c>
      <c r="K44" s="84">
        <v>0</v>
      </c>
      <c r="L44" s="84">
        <v>0</v>
      </c>
      <c r="M44" s="84">
        <v>0</v>
      </c>
      <c r="N44" s="84">
        <v>0</v>
      </c>
    </row>
    <row r="45" spans="3:14" customFormat="1" ht="15" customHeight="1" x14ac:dyDescent="0.15">
      <c r="C45" s="84">
        <v>44</v>
      </c>
      <c r="E45" s="180" t="s">
        <v>236</v>
      </c>
      <c r="F45" s="84">
        <v>2</v>
      </c>
      <c r="G45" s="84">
        <v>5</v>
      </c>
      <c r="H45" s="84">
        <v>0</v>
      </c>
      <c r="I45" s="84">
        <v>0</v>
      </c>
      <c r="J45" s="84">
        <v>0</v>
      </c>
      <c r="K45" s="84">
        <v>0</v>
      </c>
      <c r="L45" s="84">
        <v>0</v>
      </c>
      <c r="M45" s="84">
        <v>0</v>
      </c>
      <c r="N45" s="84">
        <v>0</v>
      </c>
    </row>
    <row r="46" spans="3:14" customFormat="1" ht="15" customHeight="1" x14ac:dyDescent="0.15">
      <c r="C46" s="84">
        <v>45</v>
      </c>
      <c r="E46" s="180" t="s">
        <v>201</v>
      </c>
      <c r="F46" s="84">
        <v>3</v>
      </c>
      <c r="G46" s="84">
        <v>0</v>
      </c>
      <c r="H46" s="84">
        <v>0</v>
      </c>
      <c r="I46" s="84">
        <v>0</v>
      </c>
      <c r="J46" s="84">
        <v>0</v>
      </c>
      <c r="K46" s="84">
        <v>0</v>
      </c>
      <c r="L46" s="84">
        <v>0</v>
      </c>
      <c r="M46" s="84">
        <v>0</v>
      </c>
      <c r="N46" s="84">
        <v>0</v>
      </c>
    </row>
    <row r="47" spans="3:14" customFormat="1" ht="15" customHeight="1" x14ac:dyDescent="0.15">
      <c r="C47" s="84">
        <v>46</v>
      </c>
      <c r="E47" s="180" t="s">
        <v>202</v>
      </c>
      <c r="F47" s="84">
        <v>3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0</v>
      </c>
      <c r="M47" s="84">
        <v>0</v>
      </c>
      <c r="N47" s="84">
        <v>0</v>
      </c>
    </row>
    <row r="48" spans="3:14" customFormat="1" ht="15" customHeight="1" x14ac:dyDescent="0.15">
      <c r="C48" s="84">
        <v>47</v>
      </c>
      <c r="E48" s="180" t="s">
        <v>211</v>
      </c>
      <c r="F48" s="84">
        <v>3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0</v>
      </c>
      <c r="N48" s="84">
        <v>0</v>
      </c>
    </row>
    <row r="49" spans="3:14" customFormat="1" ht="15" customHeight="1" x14ac:dyDescent="0.15">
      <c r="C49" s="84">
        <v>48</v>
      </c>
      <c r="E49" s="180" t="s">
        <v>212</v>
      </c>
      <c r="F49" s="84">
        <v>3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0</v>
      </c>
      <c r="M49" s="84">
        <v>0</v>
      </c>
      <c r="N49" s="84">
        <v>0</v>
      </c>
    </row>
    <row r="50" spans="3:14" customFormat="1" ht="15" customHeight="1" x14ac:dyDescent="0.15">
      <c r="C50" s="84">
        <v>49</v>
      </c>
      <c r="E50" s="180" t="s">
        <v>213</v>
      </c>
      <c r="F50" s="84">
        <v>3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</row>
    <row r="51" spans="3:14" customFormat="1" ht="15" customHeight="1" x14ac:dyDescent="0.15">
      <c r="C51" s="84">
        <v>50</v>
      </c>
      <c r="E51" s="180" t="s">
        <v>214</v>
      </c>
      <c r="F51" s="84">
        <v>3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0</v>
      </c>
      <c r="M51" s="84">
        <v>0</v>
      </c>
      <c r="N51" s="84">
        <v>0</v>
      </c>
    </row>
    <row r="52" spans="3:14" customFormat="1" ht="15" customHeight="1" x14ac:dyDescent="0.15">
      <c r="C52" s="84">
        <v>51</v>
      </c>
      <c r="E52" s="180" t="s">
        <v>206</v>
      </c>
      <c r="F52" s="84">
        <v>3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0</v>
      </c>
      <c r="M52" s="84">
        <v>0</v>
      </c>
      <c r="N52" s="84">
        <v>0</v>
      </c>
    </row>
    <row r="53" spans="3:14" customFormat="1" ht="15" customHeight="1" x14ac:dyDescent="0.15">
      <c r="C53" s="84">
        <v>52</v>
      </c>
      <c r="E53" s="180" t="s">
        <v>205</v>
      </c>
      <c r="F53" s="84">
        <v>3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0</v>
      </c>
      <c r="M53" s="84">
        <v>0</v>
      </c>
      <c r="N53" s="84">
        <v>0</v>
      </c>
    </row>
    <row r="54" spans="3:14" customFormat="1" ht="15" customHeight="1" x14ac:dyDescent="0.15">
      <c r="C54" s="84">
        <v>53</v>
      </c>
      <c r="E54" s="180" t="s">
        <v>219</v>
      </c>
      <c r="F54" s="84">
        <v>3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0</v>
      </c>
      <c r="M54" s="84">
        <v>0</v>
      </c>
      <c r="N54" s="84">
        <v>0</v>
      </c>
    </row>
    <row r="55" spans="3:14" customFormat="1" ht="15" customHeight="1" x14ac:dyDescent="0.15">
      <c r="C55" s="84">
        <v>54</v>
      </c>
      <c r="E55" s="180" t="s">
        <v>237</v>
      </c>
      <c r="F55" s="84">
        <v>3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</row>
    <row r="56" spans="3:14" customFormat="1" ht="15" customHeight="1" x14ac:dyDescent="0.15"/>
    <row r="57" spans="3:14" customFormat="1" ht="15" customHeight="1" x14ac:dyDescent="0.15"/>
    <row r="58" spans="3:14" customFormat="1" ht="15" customHeight="1" x14ac:dyDescent="0.15"/>
    <row r="59" spans="3:14" customFormat="1" ht="15" customHeight="1" x14ac:dyDescent="0.15"/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S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44.1640625" style="145" bestFit="1" customWidth="1"/>
    <col min="2" max="4" width="13.83203125" style="145" bestFit="1" customWidth="1"/>
    <col min="5" max="6" width="14.83203125" style="145" bestFit="1" customWidth="1"/>
    <col min="7" max="8" width="15.83203125" style="145" bestFit="1" customWidth="1"/>
    <col min="9" max="9" width="13.83203125" style="145" bestFit="1" customWidth="1"/>
    <col min="10" max="12" width="14.83203125" style="145" bestFit="1" customWidth="1"/>
    <col min="13" max="14" width="15.83203125" style="145" bestFit="1" customWidth="1"/>
    <col min="15" max="15" width="9.83203125" style="145" bestFit="1" customWidth="1"/>
    <col min="16" max="16" width="4.83203125" style="145" bestFit="1" customWidth="1"/>
    <col min="17" max="17" width="14.83203125" style="145" bestFit="1" customWidth="1"/>
    <col min="18" max="18" width="15.83203125" style="145" bestFit="1" customWidth="1"/>
    <col min="19" max="19" width="13.83203125" style="145" bestFit="1" customWidth="1"/>
    <col min="20" max="20" width="14.83203125" style="145" bestFit="1" customWidth="1"/>
    <col min="21" max="21" width="13.83203125" style="145" bestFit="1" customWidth="1"/>
    <col min="22" max="23" width="4.83203125" style="145" bestFit="1" customWidth="1"/>
    <col min="24" max="24" width="15.83203125" style="145" bestFit="1" customWidth="1"/>
    <col min="25" max="25" width="14.83203125" style="145" bestFit="1" customWidth="1"/>
    <col min="26" max="27" width="13.83203125" style="145" bestFit="1" customWidth="1"/>
    <col min="28" max="29" width="14.83203125" style="145" bestFit="1" customWidth="1"/>
    <col min="30" max="30" width="13.83203125" style="145" customWidth="1"/>
    <col min="31" max="31" width="15.83203125" style="145" customWidth="1"/>
    <col min="32" max="39" width="4.83203125" style="145" customWidth="1"/>
    <col min="40" max="45" width="2.33203125" style="145" customWidth="1"/>
    <col min="46" max="16384" width="8.83203125" style="145"/>
  </cols>
  <sheetData>
    <row r="1" spans="1:45" x14ac:dyDescent="0.15">
      <c r="A1" s="144" t="s">
        <v>19</v>
      </c>
      <c r="B1" s="182" t="s">
        <v>193</v>
      </c>
      <c r="C1" s="182" t="s">
        <v>194</v>
      </c>
      <c r="D1" s="182" t="s">
        <v>195</v>
      </c>
      <c r="E1" s="182" t="s">
        <v>196</v>
      </c>
      <c r="F1" s="182" t="s">
        <v>197</v>
      </c>
      <c r="G1" s="182" t="s">
        <v>198</v>
      </c>
      <c r="H1" s="182" t="s">
        <v>199</v>
      </c>
      <c r="I1" s="182" t="s">
        <v>200</v>
      </c>
      <c r="J1" s="182" t="s">
        <v>201</v>
      </c>
      <c r="K1" s="182" t="s">
        <v>202</v>
      </c>
      <c r="L1" s="182" t="s">
        <v>203</v>
      </c>
      <c r="M1" s="182" t="s">
        <v>204</v>
      </c>
      <c r="N1" s="182" t="s">
        <v>205</v>
      </c>
      <c r="O1" s="182" t="s">
        <v>206</v>
      </c>
      <c r="P1" s="182" t="s">
        <v>207</v>
      </c>
      <c r="Q1" s="182" t="s">
        <v>208</v>
      </c>
      <c r="R1" s="182" t="s">
        <v>209</v>
      </c>
      <c r="S1" s="182" t="s">
        <v>210</v>
      </c>
      <c r="T1" s="182" t="s">
        <v>211</v>
      </c>
      <c r="U1" s="182" t="s">
        <v>212</v>
      </c>
      <c r="V1" s="182" t="s">
        <v>213</v>
      </c>
      <c r="W1" s="182" t="s">
        <v>214</v>
      </c>
      <c r="X1" s="182" t="s">
        <v>215</v>
      </c>
      <c r="Y1" s="182" t="s">
        <v>216</v>
      </c>
      <c r="Z1" s="182" t="s">
        <v>217</v>
      </c>
      <c r="AA1" s="182" t="s">
        <v>218</v>
      </c>
      <c r="AB1" s="182" t="s">
        <v>219</v>
      </c>
      <c r="AC1" s="182" t="s">
        <v>220</v>
      </c>
      <c r="AD1" s="182" t="s">
        <v>221</v>
      </c>
      <c r="AE1" s="182" t="s">
        <v>222</v>
      </c>
      <c r="AF1" s="182" t="s">
        <v>223</v>
      </c>
      <c r="AG1" s="182" t="s">
        <v>224</v>
      </c>
      <c r="AH1" s="182" t="s">
        <v>225</v>
      </c>
      <c r="AI1" s="182" t="s">
        <v>226</v>
      </c>
      <c r="AJ1" s="182" t="s">
        <v>227</v>
      </c>
      <c r="AK1" s="182" t="s">
        <v>228</v>
      </c>
      <c r="AL1" s="182" t="s">
        <v>229</v>
      </c>
      <c r="AM1" s="182" t="s">
        <v>230</v>
      </c>
      <c r="AN1" s="182" t="s">
        <v>231</v>
      </c>
      <c r="AO1" s="182" t="s">
        <v>232</v>
      </c>
      <c r="AP1" s="182" t="s">
        <v>233</v>
      </c>
      <c r="AQ1" s="182" t="s">
        <v>234</v>
      </c>
      <c r="AR1" s="182" t="s">
        <v>235</v>
      </c>
      <c r="AS1" s="182" t="s">
        <v>236</v>
      </c>
    </row>
    <row r="2" spans="1:45" customFormat="1" x14ac:dyDescent="0.15">
      <c r="A2" s="181" t="s">
        <v>193</v>
      </c>
      <c r="B2" s="145">
        <v>0</v>
      </c>
      <c r="C2" s="145">
        <v>0</v>
      </c>
      <c r="D2" s="145">
        <v>0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0</v>
      </c>
      <c r="AI2" s="145">
        <v>0</v>
      </c>
      <c r="AJ2" s="145">
        <v>0</v>
      </c>
      <c r="AK2" s="145">
        <v>0</v>
      </c>
      <c r="AL2" s="145">
        <v>0</v>
      </c>
      <c r="AM2" s="145">
        <v>0</v>
      </c>
      <c r="AN2" s="145">
        <v>0</v>
      </c>
      <c r="AO2" s="145">
        <v>0</v>
      </c>
      <c r="AP2" s="145">
        <v>0</v>
      </c>
      <c r="AQ2" s="145">
        <v>0</v>
      </c>
      <c r="AR2" s="145">
        <v>0</v>
      </c>
      <c r="AS2" s="145">
        <v>0</v>
      </c>
    </row>
    <row r="3" spans="1:45" customFormat="1" x14ac:dyDescent="0.15">
      <c r="A3" s="181" t="s">
        <v>194</v>
      </c>
      <c r="B3" s="145">
        <v>0</v>
      </c>
      <c r="C3" s="145">
        <v>0</v>
      </c>
      <c r="D3" s="145">
        <v>0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0</v>
      </c>
      <c r="AJ3" s="145">
        <v>0</v>
      </c>
      <c r="AK3" s="145">
        <v>0</v>
      </c>
      <c r="AL3" s="145">
        <v>0</v>
      </c>
      <c r="AM3" s="145">
        <v>0</v>
      </c>
      <c r="AN3" s="145">
        <v>0</v>
      </c>
      <c r="AO3" s="145">
        <v>0</v>
      </c>
      <c r="AP3" s="145">
        <v>0</v>
      </c>
      <c r="AQ3" s="145">
        <v>0</v>
      </c>
      <c r="AR3" s="145">
        <v>0</v>
      </c>
      <c r="AS3" s="145">
        <v>0</v>
      </c>
    </row>
    <row r="4" spans="1:45" customFormat="1" x14ac:dyDescent="0.15">
      <c r="A4" s="181" t="s">
        <v>195</v>
      </c>
      <c r="B4" s="145">
        <v>0</v>
      </c>
      <c r="C4" s="145">
        <v>0</v>
      </c>
      <c r="D4" s="145">
        <v>0</v>
      </c>
      <c r="E4" s="145">
        <v>0</v>
      </c>
      <c r="F4" s="145">
        <v>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0</v>
      </c>
      <c r="M4" s="145">
        <v>0</v>
      </c>
      <c r="N4" s="145">
        <v>0</v>
      </c>
      <c r="O4" s="145">
        <v>0</v>
      </c>
      <c r="P4" s="145">
        <v>0</v>
      </c>
      <c r="Q4" s="145">
        <v>0</v>
      </c>
      <c r="R4" s="145">
        <v>0</v>
      </c>
      <c r="S4" s="145">
        <v>0</v>
      </c>
      <c r="T4" s="145">
        <v>0</v>
      </c>
      <c r="U4" s="145">
        <v>0</v>
      </c>
      <c r="V4" s="145">
        <v>0</v>
      </c>
      <c r="W4" s="145">
        <v>0</v>
      </c>
      <c r="X4" s="145">
        <v>0</v>
      </c>
      <c r="Y4" s="145">
        <v>0</v>
      </c>
      <c r="Z4" s="145">
        <v>0</v>
      </c>
      <c r="AA4" s="145">
        <v>0</v>
      </c>
      <c r="AB4" s="145">
        <v>0</v>
      </c>
      <c r="AC4" s="145">
        <v>0</v>
      </c>
      <c r="AD4" s="145">
        <v>0</v>
      </c>
      <c r="AE4" s="145">
        <v>0</v>
      </c>
      <c r="AF4" s="145">
        <v>0</v>
      </c>
      <c r="AG4" s="145">
        <v>0</v>
      </c>
      <c r="AH4" s="145">
        <v>0</v>
      </c>
      <c r="AI4" s="145">
        <v>0</v>
      </c>
      <c r="AJ4" s="145">
        <v>0</v>
      </c>
      <c r="AK4" s="145">
        <v>0</v>
      </c>
      <c r="AL4" s="145">
        <v>0</v>
      </c>
      <c r="AM4" s="145">
        <v>0</v>
      </c>
      <c r="AN4" s="145">
        <v>0</v>
      </c>
      <c r="AO4" s="145">
        <v>0</v>
      </c>
      <c r="AP4" s="145">
        <v>0</v>
      </c>
      <c r="AQ4" s="145">
        <v>0</v>
      </c>
      <c r="AR4" s="145">
        <v>0</v>
      </c>
      <c r="AS4" s="145">
        <v>0</v>
      </c>
    </row>
    <row r="5" spans="1:45" customFormat="1" x14ac:dyDescent="0.15">
      <c r="A5" s="181" t="s">
        <v>196</v>
      </c>
      <c r="B5" s="145">
        <v>0</v>
      </c>
      <c r="C5" s="145">
        <v>0</v>
      </c>
      <c r="D5" s="145">
        <v>0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145">
        <v>0</v>
      </c>
      <c r="R5" s="145">
        <v>0</v>
      </c>
      <c r="S5" s="145">
        <v>0</v>
      </c>
      <c r="T5" s="145">
        <v>0</v>
      </c>
      <c r="U5" s="145">
        <v>0</v>
      </c>
      <c r="V5" s="145">
        <v>0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>
        <v>0</v>
      </c>
      <c r="AC5" s="145">
        <v>0</v>
      </c>
      <c r="AD5" s="145">
        <v>0</v>
      </c>
      <c r="AE5" s="145">
        <v>0</v>
      </c>
      <c r="AF5" s="145">
        <v>0</v>
      </c>
      <c r="AG5" s="145">
        <v>0</v>
      </c>
      <c r="AH5" s="145">
        <v>0</v>
      </c>
      <c r="AI5" s="145">
        <v>0</v>
      </c>
      <c r="AJ5" s="145">
        <v>0</v>
      </c>
      <c r="AK5" s="145">
        <v>0</v>
      </c>
      <c r="AL5" s="145">
        <v>0</v>
      </c>
      <c r="AM5" s="145">
        <v>0</v>
      </c>
      <c r="AN5" s="145">
        <v>0</v>
      </c>
      <c r="AO5" s="145">
        <v>0</v>
      </c>
      <c r="AP5" s="145">
        <v>0</v>
      </c>
      <c r="AQ5" s="145">
        <v>0</v>
      </c>
      <c r="AR5" s="145">
        <v>0</v>
      </c>
      <c r="AS5" s="145">
        <v>0</v>
      </c>
    </row>
    <row r="6" spans="1:45" customFormat="1" x14ac:dyDescent="0.15">
      <c r="A6" s="181" t="s">
        <v>197</v>
      </c>
      <c r="B6" s="145">
        <v>0</v>
      </c>
      <c r="C6" s="145">
        <v>0</v>
      </c>
      <c r="D6" s="145">
        <v>0</v>
      </c>
      <c r="E6" s="145">
        <v>0</v>
      </c>
      <c r="F6" s="145">
        <v>1.0123000111818367E-2</v>
      </c>
      <c r="G6" s="145">
        <v>0</v>
      </c>
      <c r="H6" s="145">
        <v>0</v>
      </c>
      <c r="I6" s="145">
        <v>0</v>
      </c>
      <c r="J6" s="145">
        <v>0</v>
      </c>
      <c r="K6" s="145">
        <v>0</v>
      </c>
      <c r="L6" s="145">
        <v>0</v>
      </c>
      <c r="M6" s="145">
        <v>0</v>
      </c>
      <c r="N6" s="145">
        <v>0</v>
      </c>
      <c r="O6" s="145">
        <v>0</v>
      </c>
      <c r="P6" s="145">
        <v>0</v>
      </c>
      <c r="Q6" s="145">
        <v>0</v>
      </c>
      <c r="R6" s="145">
        <v>0</v>
      </c>
      <c r="S6" s="145">
        <v>0</v>
      </c>
      <c r="T6" s="145">
        <v>0</v>
      </c>
      <c r="U6" s="145">
        <v>0</v>
      </c>
      <c r="V6" s="145">
        <v>0</v>
      </c>
      <c r="W6" s="145">
        <v>0</v>
      </c>
      <c r="X6" s="145">
        <v>0</v>
      </c>
      <c r="Y6" s="145">
        <v>0</v>
      </c>
      <c r="Z6" s="145">
        <v>0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0</v>
      </c>
      <c r="AG6" s="145">
        <v>0</v>
      </c>
      <c r="AH6" s="145">
        <v>0</v>
      </c>
      <c r="AI6" s="145">
        <v>0</v>
      </c>
      <c r="AJ6" s="145">
        <v>0</v>
      </c>
      <c r="AK6" s="145">
        <v>0</v>
      </c>
      <c r="AL6" s="145">
        <v>0</v>
      </c>
      <c r="AM6" s="145">
        <v>0</v>
      </c>
      <c r="AN6" s="145">
        <v>0</v>
      </c>
      <c r="AO6" s="145">
        <v>0</v>
      </c>
      <c r="AP6" s="145">
        <v>0</v>
      </c>
      <c r="AQ6" s="145">
        <v>0</v>
      </c>
      <c r="AR6" s="145">
        <v>0</v>
      </c>
      <c r="AS6" s="145">
        <v>0</v>
      </c>
    </row>
    <row r="7" spans="1:45" customFormat="1" x14ac:dyDescent="0.15">
      <c r="A7" s="181" t="s">
        <v>198</v>
      </c>
      <c r="B7" s="145">
        <v>0</v>
      </c>
      <c r="C7" s="145">
        <v>0</v>
      </c>
      <c r="D7" s="145">
        <v>0</v>
      </c>
      <c r="E7" s="145">
        <v>0</v>
      </c>
      <c r="F7" s="145">
        <v>4.4541202372608731E-2</v>
      </c>
      <c r="G7" s="145">
        <v>0</v>
      </c>
      <c r="H7" s="145">
        <v>2.2274612797427176E-2</v>
      </c>
      <c r="I7" s="145">
        <v>0</v>
      </c>
      <c r="J7" s="145">
        <v>0</v>
      </c>
      <c r="K7" s="145">
        <v>0</v>
      </c>
      <c r="L7" s="145">
        <v>0</v>
      </c>
      <c r="M7" s="145">
        <v>0</v>
      </c>
      <c r="N7" s="145">
        <v>0</v>
      </c>
      <c r="O7" s="145">
        <v>0</v>
      </c>
      <c r="P7" s="145">
        <v>0</v>
      </c>
      <c r="Q7" s="145">
        <v>0</v>
      </c>
      <c r="R7" s="145">
        <v>0</v>
      </c>
      <c r="S7" s="145">
        <v>0</v>
      </c>
      <c r="T7" s="145">
        <v>0</v>
      </c>
      <c r="U7" s="145">
        <v>0</v>
      </c>
      <c r="V7" s="145">
        <v>0</v>
      </c>
      <c r="W7" s="145">
        <v>0</v>
      </c>
      <c r="X7" s="145">
        <v>0</v>
      </c>
      <c r="Y7" s="145">
        <v>0</v>
      </c>
      <c r="Z7" s="145">
        <v>0</v>
      </c>
      <c r="AA7" s="145">
        <v>0</v>
      </c>
      <c r="AB7" s="145">
        <v>0</v>
      </c>
      <c r="AC7" s="145">
        <v>0</v>
      </c>
      <c r="AD7" s="145">
        <v>0</v>
      </c>
      <c r="AE7" s="145">
        <v>0</v>
      </c>
      <c r="AF7" s="145">
        <v>0</v>
      </c>
      <c r="AG7" s="145">
        <v>0</v>
      </c>
      <c r="AH7" s="145">
        <v>0</v>
      </c>
      <c r="AI7" s="145">
        <v>0</v>
      </c>
      <c r="AJ7" s="145">
        <v>0</v>
      </c>
      <c r="AK7" s="145">
        <v>0</v>
      </c>
      <c r="AL7" s="145">
        <v>0</v>
      </c>
      <c r="AM7" s="145">
        <v>0</v>
      </c>
      <c r="AN7" s="145">
        <v>0</v>
      </c>
      <c r="AO7" s="145">
        <v>0</v>
      </c>
      <c r="AP7" s="145">
        <v>0</v>
      </c>
      <c r="AQ7" s="145">
        <v>0</v>
      </c>
      <c r="AR7" s="145">
        <v>0</v>
      </c>
      <c r="AS7" s="145">
        <v>0</v>
      </c>
    </row>
    <row r="8" spans="1:45" customFormat="1" x14ac:dyDescent="0.15">
      <c r="A8" s="181" t="s">
        <v>199</v>
      </c>
      <c r="B8" s="145">
        <v>0</v>
      </c>
      <c r="C8" s="145">
        <v>0</v>
      </c>
      <c r="D8" s="145">
        <v>0</v>
      </c>
      <c r="E8" s="145">
        <v>3.5768658425799287E-2</v>
      </c>
      <c r="F8" s="145">
        <v>3.8467394783086049E-2</v>
      </c>
      <c r="G8" s="145">
        <v>1.0012476733491733E-3</v>
      </c>
      <c r="H8" s="145">
        <v>0</v>
      </c>
      <c r="I8" s="145">
        <v>0</v>
      </c>
      <c r="J8" s="145">
        <v>0</v>
      </c>
      <c r="K8" s="145">
        <v>0</v>
      </c>
      <c r="L8" s="145">
        <v>0</v>
      </c>
      <c r="M8" s="145">
        <v>0</v>
      </c>
      <c r="N8" s="145">
        <v>0</v>
      </c>
      <c r="O8" s="145">
        <v>0</v>
      </c>
      <c r="P8" s="145">
        <v>0</v>
      </c>
      <c r="Q8" s="145">
        <v>0</v>
      </c>
      <c r="R8" s="145">
        <v>0</v>
      </c>
      <c r="S8" s="145">
        <v>0</v>
      </c>
      <c r="T8" s="145">
        <v>0</v>
      </c>
      <c r="U8" s="145">
        <v>0</v>
      </c>
      <c r="V8" s="145">
        <v>0</v>
      </c>
      <c r="W8" s="145">
        <v>0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  <c r="AD8" s="145">
        <v>0</v>
      </c>
      <c r="AE8" s="145">
        <v>0</v>
      </c>
      <c r="AF8" s="145">
        <v>0</v>
      </c>
      <c r="AG8" s="145">
        <v>0</v>
      </c>
      <c r="AH8" s="145">
        <v>0</v>
      </c>
      <c r="AI8" s="145">
        <v>0</v>
      </c>
      <c r="AJ8" s="145">
        <v>0</v>
      </c>
      <c r="AK8" s="145">
        <v>0</v>
      </c>
      <c r="AL8" s="145">
        <v>0</v>
      </c>
      <c r="AM8" s="145">
        <v>0</v>
      </c>
      <c r="AN8" s="145">
        <v>0</v>
      </c>
      <c r="AO8" s="145">
        <v>0</v>
      </c>
      <c r="AP8" s="145">
        <v>0</v>
      </c>
      <c r="AQ8" s="145">
        <v>0</v>
      </c>
      <c r="AR8" s="145">
        <v>0</v>
      </c>
      <c r="AS8" s="145">
        <v>0</v>
      </c>
    </row>
    <row r="9" spans="1:45" customFormat="1" x14ac:dyDescent="0.15">
      <c r="A9" s="181" t="s">
        <v>200</v>
      </c>
      <c r="B9" s="145">
        <v>0</v>
      </c>
      <c r="C9" s="145">
        <v>0</v>
      </c>
      <c r="D9" s="145">
        <v>0</v>
      </c>
      <c r="E9" s="145">
        <v>1.9000000279300006E-2</v>
      </c>
      <c r="F9" s="145">
        <v>0</v>
      </c>
      <c r="G9" s="145">
        <v>0</v>
      </c>
      <c r="H9" s="145">
        <v>0</v>
      </c>
      <c r="I9" s="145">
        <v>0</v>
      </c>
      <c r="J9" s="145">
        <v>0</v>
      </c>
      <c r="K9" s="145">
        <v>0</v>
      </c>
      <c r="L9" s="145">
        <v>0</v>
      </c>
      <c r="M9" s="145">
        <v>0</v>
      </c>
      <c r="N9" s="145">
        <v>0</v>
      </c>
      <c r="O9" s="145">
        <v>0</v>
      </c>
      <c r="P9" s="145">
        <v>0</v>
      </c>
      <c r="Q9" s="145">
        <v>0</v>
      </c>
      <c r="R9" s="145">
        <v>0</v>
      </c>
      <c r="S9" s="145">
        <v>0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0</v>
      </c>
      <c r="AC9" s="145">
        <v>0</v>
      </c>
      <c r="AD9" s="145">
        <v>0</v>
      </c>
      <c r="AE9" s="145">
        <v>0</v>
      </c>
      <c r="AF9" s="145">
        <v>0</v>
      </c>
      <c r="AG9" s="145">
        <v>0</v>
      </c>
      <c r="AH9" s="145">
        <v>0</v>
      </c>
      <c r="AI9" s="145">
        <v>0</v>
      </c>
      <c r="AJ9" s="145">
        <v>0</v>
      </c>
      <c r="AK9" s="145">
        <v>0</v>
      </c>
      <c r="AL9" s="145">
        <v>0</v>
      </c>
      <c r="AM9" s="145">
        <v>0</v>
      </c>
      <c r="AN9" s="145">
        <v>0</v>
      </c>
      <c r="AO9" s="145">
        <v>0</v>
      </c>
      <c r="AP9" s="145">
        <v>0</v>
      </c>
      <c r="AQ9" s="145">
        <v>0</v>
      </c>
      <c r="AR9" s="145">
        <v>0</v>
      </c>
      <c r="AS9" s="145">
        <v>0</v>
      </c>
    </row>
    <row r="10" spans="1:45" customFormat="1" x14ac:dyDescent="0.15">
      <c r="A10" s="181" t="s">
        <v>201</v>
      </c>
      <c r="B10" s="145">
        <v>0</v>
      </c>
      <c r="C10" s="145">
        <v>0</v>
      </c>
      <c r="D10" s="145">
        <v>0</v>
      </c>
      <c r="E10" s="145">
        <v>1.0012148047178577E-2</v>
      </c>
      <c r="F10" s="145">
        <v>5.0016167983383741E-3</v>
      </c>
      <c r="G10" s="145">
        <v>0</v>
      </c>
      <c r="H10" s="145">
        <v>8.1275243001342132E-3</v>
      </c>
      <c r="I10" s="145">
        <v>0</v>
      </c>
      <c r="J10" s="145">
        <v>1.4549415453659648E-3</v>
      </c>
      <c r="K10" s="145">
        <v>2.034838497982441E-2</v>
      </c>
      <c r="L10" s="145">
        <v>1.9691556759271586E-2</v>
      </c>
      <c r="M10" s="145">
        <v>1.4519842117137111E-2</v>
      </c>
      <c r="N10" s="145">
        <v>0</v>
      </c>
      <c r="O10" s="145">
        <v>0</v>
      </c>
      <c r="P10" s="145">
        <v>0</v>
      </c>
      <c r="Q10" s="145">
        <v>3.0127609886720186E-3</v>
      </c>
      <c r="R10" s="145">
        <v>0</v>
      </c>
      <c r="S10" s="145">
        <v>0</v>
      </c>
      <c r="T10" s="145">
        <v>0</v>
      </c>
      <c r="U10" s="145">
        <v>0</v>
      </c>
      <c r="V10" s="145">
        <v>0</v>
      </c>
      <c r="W10" s="145">
        <v>0</v>
      </c>
      <c r="X10" s="145">
        <v>0</v>
      </c>
      <c r="Y10" s="145">
        <v>0</v>
      </c>
      <c r="Z10" s="145">
        <v>0</v>
      </c>
      <c r="AA10" s="145">
        <v>0</v>
      </c>
      <c r="AB10" s="145">
        <v>0</v>
      </c>
      <c r="AC10" s="145">
        <v>0</v>
      </c>
      <c r="AD10" s="145">
        <v>0</v>
      </c>
      <c r="AE10" s="145">
        <v>0</v>
      </c>
      <c r="AF10" s="145">
        <v>0</v>
      </c>
      <c r="AG10" s="145">
        <v>0</v>
      </c>
      <c r="AH10" s="145">
        <v>0</v>
      </c>
      <c r="AI10" s="145">
        <v>0</v>
      </c>
      <c r="AJ10" s="145">
        <v>0</v>
      </c>
      <c r="AK10" s="145">
        <v>0</v>
      </c>
      <c r="AL10" s="145">
        <v>0</v>
      </c>
      <c r="AM10" s="145">
        <v>0</v>
      </c>
      <c r="AN10" s="145">
        <v>0</v>
      </c>
      <c r="AO10" s="145">
        <v>0</v>
      </c>
      <c r="AP10" s="145">
        <v>0</v>
      </c>
      <c r="AQ10" s="145">
        <v>0</v>
      </c>
      <c r="AR10" s="145">
        <v>0</v>
      </c>
      <c r="AS10" s="145">
        <v>0</v>
      </c>
    </row>
    <row r="11" spans="1:45" customFormat="1" x14ac:dyDescent="0.15">
      <c r="A11" s="181" t="s">
        <v>202</v>
      </c>
      <c r="B11" s="145">
        <v>0</v>
      </c>
      <c r="C11" s="145">
        <v>0</v>
      </c>
      <c r="D11" s="145">
        <v>0</v>
      </c>
      <c r="E11" s="145">
        <v>0</v>
      </c>
      <c r="F11" s="145">
        <v>4.6139424806225258E-2</v>
      </c>
      <c r="G11" s="145">
        <v>0</v>
      </c>
      <c r="H11" s="145">
        <v>1.8623659496192765E-2</v>
      </c>
      <c r="I11" s="145">
        <v>0</v>
      </c>
      <c r="J11" s="145">
        <v>0</v>
      </c>
      <c r="K11" s="145">
        <v>2.9996710536725181E-2</v>
      </c>
      <c r="L11" s="145">
        <v>0</v>
      </c>
      <c r="M11" s="145">
        <v>0</v>
      </c>
      <c r="N11" s="145">
        <v>0</v>
      </c>
      <c r="O11" s="145">
        <v>0</v>
      </c>
      <c r="P11" s="145">
        <v>0</v>
      </c>
      <c r="Q11" s="145">
        <v>0</v>
      </c>
      <c r="R11" s="145">
        <v>0</v>
      </c>
      <c r="S11" s="145">
        <v>0</v>
      </c>
      <c r="T11" s="145">
        <v>0</v>
      </c>
      <c r="U11" s="145">
        <v>0</v>
      </c>
      <c r="V11" s="145">
        <v>0</v>
      </c>
      <c r="W11" s="145">
        <v>0</v>
      </c>
      <c r="X11" s="145">
        <v>0</v>
      </c>
      <c r="Y11" s="145">
        <v>0</v>
      </c>
      <c r="Z11" s="145">
        <v>0</v>
      </c>
      <c r="AA11" s="145">
        <v>0</v>
      </c>
      <c r="AB11" s="145">
        <v>0</v>
      </c>
      <c r="AC11" s="145">
        <v>0</v>
      </c>
      <c r="AD11" s="145">
        <v>0</v>
      </c>
      <c r="AE11" s="145">
        <v>0</v>
      </c>
      <c r="AF11" s="145">
        <v>0</v>
      </c>
      <c r="AG11" s="145">
        <v>0</v>
      </c>
      <c r="AH11" s="145">
        <v>0</v>
      </c>
      <c r="AI11" s="145">
        <v>0</v>
      </c>
      <c r="AJ11" s="145">
        <v>0</v>
      </c>
      <c r="AK11" s="145">
        <v>0</v>
      </c>
      <c r="AL11" s="145">
        <v>0</v>
      </c>
      <c r="AM11" s="145">
        <v>0</v>
      </c>
      <c r="AN11" s="145">
        <v>0</v>
      </c>
      <c r="AO11" s="145">
        <v>0</v>
      </c>
      <c r="AP11" s="145">
        <v>0</v>
      </c>
      <c r="AQ11" s="145">
        <v>0</v>
      </c>
      <c r="AR11" s="145">
        <v>0</v>
      </c>
      <c r="AS11" s="145">
        <v>0</v>
      </c>
    </row>
    <row r="12" spans="1:45" customFormat="1" x14ac:dyDescent="0.15">
      <c r="A12" s="181" t="s">
        <v>203</v>
      </c>
      <c r="B12" s="145">
        <v>0</v>
      </c>
      <c r="C12" s="145">
        <v>0</v>
      </c>
      <c r="D12" s="145">
        <v>0</v>
      </c>
      <c r="E12" s="145">
        <v>9.8718011451154782E-3</v>
      </c>
      <c r="F12" s="145">
        <v>0</v>
      </c>
      <c r="G12" s="145">
        <v>0</v>
      </c>
      <c r="H12" s="145">
        <v>9.624382739641198E-3</v>
      </c>
      <c r="I12" s="145">
        <v>0</v>
      </c>
      <c r="J12" s="145">
        <v>0</v>
      </c>
      <c r="K12" s="145">
        <v>4.9994517561208637E-2</v>
      </c>
      <c r="L12" s="145">
        <v>3.9043642717521358E-2</v>
      </c>
      <c r="M12" s="145">
        <v>0</v>
      </c>
      <c r="N12" s="145">
        <v>0</v>
      </c>
      <c r="O12" s="145">
        <v>0</v>
      </c>
      <c r="P12" s="145">
        <v>0</v>
      </c>
      <c r="Q12" s="145">
        <v>0</v>
      </c>
      <c r="R12" s="145">
        <v>0</v>
      </c>
      <c r="S12" s="145">
        <v>0</v>
      </c>
      <c r="T12" s="145">
        <v>0</v>
      </c>
      <c r="U12" s="145"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  <c r="AD12" s="145">
        <v>0</v>
      </c>
      <c r="AE12" s="145">
        <v>0</v>
      </c>
      <c r="AF12" s="145">
        <v>0</v>
      </c>
      <c r="AG12" s="145">
        <v>0</v>
      </c>
      <c r="AH12" s="145">
        <v>0</v>
      </c>
      <c r="AI12" s="145">
        <v>0</v>
      </c>
      <c r="AJ12" s="145">
        <v>0</v>
      </c>
      <c r="AK12" s="145">
        <v>0</v>
      </c>
      <c r="AL12" s="145">
        <v>0</v>
      </c>
      <c r="AM12" s="145">
        <v>0</v>
      </c>
      <c r="AN12" s="145">
        <v>0</v>
      </c>
      <c r="AO12" s="145">
        <v>0</v>
      </c>
      <c r="AP12" s="145">
        <v>0</v>
      </c>
      <c r="AQ12" s="145">
        <v>0</v>
      </c>
      <c r="AR12" s="145">
        <v>0</v>
      </c>
      <c r="AS12" s="145">
        <v>0</v>
      </c>
    </row>
    <row r="13" spans="1:45" customFormat="1" x14ac:dyDescent="0.15">
      <c r="A13" s="181" t="s">
        <v>204</v>
      </c>
      <c r="B13" s="145">
        <v>0</v>
      </c>
      <c r="C13" s="145">
        <v>0</v>
      </c>
      <c r="D13" s="145">
        <v>0</v>
      </c>
      <c r="E13" s="145">
        <v>0</v>
      </c>
      <c r="F13" s="145">
        <v>5.0016167983383741E-3</v>
      </c>
      <c r="G13" s="145">
        <v>0</v>
      </c>
      <c r="H13" s="145">
        <v>0</v>
      </c>
      <c r="I13" s="145">
        <v>0</v>
      </c>
      <c r="J13" s="145">
        <v>0</v>
      </c>
      <c r="K13" s="145">
        <v>1.0174192489912205E-2</v>
      </c>
      <c r="L13" s="145">
        <v>0</v>
      </c>
      <c r="M13" s="145">
        <v>0</v>
      </c>
      <c r="N13" s="145">
        <v>0</v>
      </c>
      <c r="O13" s="145">
        <v>0</v>
      </c>
      <c r="P13" s="145">
        <v>0</v>
      </c>
      <c r="Q13" s="145">
        <v>8.0340299697920451E-3</v>
      </c>
      <c r="R13" s="145">
        <v>0</v>
      </c>
      <c r="S13" s="145">
        <v>0</v>
      </c>
      <c r="T13" s="145">
        <v>0</v>
      </c>
      <c r="U13" s="145">
        <v>0</v>
      </c>
      <c r="V13" s="145">
        <v>0</v>
      </c>
      <c r="W13" s="145">
        <v>0</v>
      </c>
      <c r="X13" s="145">
        <v>0</v>
      </c>
      <c r="Y13" s="145">
        <v>2.1111228731532462E-2</v>
      </c>
      <c r="Z13" s="145">
        <v>0</v>
      </c>
      <c r="AA13" s="145">
        <v>0</v>
      </c>
      <c r="AB13" s="145">
        <v>0</v>
      </c>
      <c r="AC13" s="145">
        <v>0</v>
      </c>
      <c r="AD13" s="145">
        <v>0</v>
      </c>
      <c r="AE13" s="145">
        <v>0</v>
      </c>
      <c r="AF13" s="145">
        <v>0</v>
      </c>
      <c r="AG13" s="145">
        <v>0</v>
      </c>
      <c r="AH13" s="145">
        <v>0</v>
      </c>
      <c r="AI13" s="145">
        <v>0</v>
      </c>
      <c r="AJ13" s="145">
        <v>0</v>
      </c>
      <c r="AK13" s="145">
        <v>0</v>
      </c>
      <c r="AL13" s="145">
        <v>0</v>
      </c>
      <c r="AM13" s="145">
        <v>0</v>
      </c>
      <c r="AN13" s="145">
        <v>0</v>
      </c>
      <c r="AO13" s="145">
        <v>0</v>
      </c>
      <c r="AP13" s="145">
        <v>0</v>
      </c>
      <c r="AQ13" s="145">
        <v>0</v>
      </c>
      <c r="AR13" s="145">
        <v>0</v>
      </c>
      <c r="AS13" s="145">
        <v>0</v>
      </c>
    </row>
    <row r="14" spans="1:45" customFormat="1" x14ac:dyDescent="0.15">
      <c r="A14" s="181" t="s">
        <v>205</v>
      </c>
      <c r="B14" s="145">
        <v>0</v>
      </c>
      <c r="C14" s="145">
        <v>0</v>
      </c>
      <c r="D14" s="145">
        <v>0</v>
      </c>
      <c r="E14" s="145">
        <v>0</v>
      </c>
      <c r="F14" s="145">
        <v>1.1519273064227077E-2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0</v>
      </c>
      <c r="M14" s="145">
        <v>0</v>
      </c>
      <c r="N14" s="145">
        <v>0</v>
      </c>
      <c r="O14" s="145">
        <v>0</v>
      </c>
      <c r="P14" s="145">
        <v>0</v>
      </c>
      <c r="Q14" s="145">
        <v>7.0297759735680415E-3</v>
      </c>
      <c r="R14" s="145">
        <v>0</v>
      </c>
      <c r="S14" s="145">
        <v>0</v>
      </c>
      <c r="T14" s="145">
        <v>0</v>
      </c>
      <c r="U14" s="145">
        <v>0</v>
      </c>
      <c r="V14" s="145">
        <v>0</v>
      </c>
      <c r="W14" s="145">
        <v>0</v>
      </c>
      <c r="X14" s="145">
        <v>0</v>
      </c>
      <c r="Y14" s="145">
        <v>0</v>
      </c>
      <c r="Z14" s="145">
        <v>0</v>
      </c>
      <c r="AA14" s="145">
        <v>0</v>
      </c>
      <c r="AB14" s="145">
        <v>0</v>
      </c>
      <c r="AC14" s="145">
        <v>0</v>
      </c>
      <c r="AD14" s="145">
        <v>0</v>
      </c>
      <c r="AE14" s="145">
        <v>0</v>
      </c>
      <c r="AF14" s="145">
        <v>0</v>
      </c>
      <c r="AG14" s="145">
        <v>0</v>
      </c>
      <c r="AH14" s="145">
        <v>0</v>
      </c>
      <c r="AI14" s="145">
        <v>0</v>
      </c>
      <c r="AJ14" s="145">
        <v>0</v>
      </c>
      <c r="AK14" s="145">
        <v>0</v>
      </c>
      <c r="AL14" s="145">
        <v>0</v>
      </c>
      <c r="AM14" s="145">
        <v>0</v>
      </c>
      <c r="AN14" s="145">
        <v>0</v>
      </c>
      <c r="AO14" s="145">
        <v>0</v>
      </c>
      <c r="AP14" s="145">
        <v>0</v>
      </c>
      <c r="AQ14" s="145">
        <v>0</v>
      </c>
      <c r="AR14" s="145">
        <v>0</v>
      </c>
      <c r="AS14" s="145">
        <v>0</v>
      </c>
    </row>
    <row r="15" spans="1:45" customFormat="1" x14ac:dyDescent="0.15">
      <c r="A15" s="181" t="s">
        <v>206</v>
      </c>
      <c r="B15" s="145">
        <v>0</v>
      </c>
      <c r="C15" s="145">
        <v>0</v>
      </c>
      <c r="D15" s="145">
        <v>0</v>
      </c>
      <c r="E15" s="145">
        <v>1.6953178249211722E-3</v>
      </c>
      <c r="F15" s="145">
        <v>0</v>
      </c>
      <c r="G15" s="145">
        <v>5.9313094398402303E-3</v>
      </c>
      <c r="H15" s="145">
        <v>8.4383020917270526E-4</v>
      </c>
      <c r="I15" s="145">
        <v>0</v>
      </c>
      <c r="J15" s="145">
        <v>0</v>
      </c>
      <c r="K15" s="145">
        <v>0</v>
      </c>
      <c r="L15" s="145">
        <v>0</v>
      </c>
      <c r="M15" s="145">
        <v>2.4917018286195075E-3</v>
      </c>
      <c r="N15" s="145">
        <v>8.5933484855766392E-4</v>
      </c>
      <c r="O15" s="145">
        <v>0</v>
      </c>
      <c r="P15" s="145">
        <v>0</v>
      </c>
      <c r="Q15" s="145">
        <v>2.5506949904093867E-2</v>
      </c>
      <c r="R15" s="145">
        <v>0</v>
      </c>
      <c r="S15" s="145">
        <v>0</v>
      </c>
      <c r="T15" s="145">
        <v>0</v>
      </c>
      <c r="U15" s="145">
        <v>0</v>
      </c>
      <c r="V15" s="145">
        <v>0</v>
      </c>
      <c r="W15" s="145">
        <v>0</v>
      </c>
      <c r="X15" s="145">
        <v>4.235515087251611E-4</v>
      </c>
      <c r="Y15" s="145">
        <v>0</v>
      </c>
      <c r="Z15" s="145">
        <v>0</v>
      </c>
      <c r="AA15" s="145">
        <v>0</v>
      </c>
      <c r="AB15" s="145">
        <v>0</v>
      </c>
      <c r="AC15" s="145">
        <v>0</v>
      </c>
      <c r="AD15" s="145">
        <v>0</v>
      </c>
      <c r="AE15" s="145">
        <v>0</v>
      </c>
      <c r="AF15" s="145">
        <v>0</v>
      </c>
      <c r="AG15" s="145">
        <v>0</v>
      </c>
      <c r="AH15" s="145">
        <v>0</v>
      </c>
      <c r="AI15" s="145">
        <v>0</v>
      </c>
      <c r="AJ15" s="145">
        <v>0</v>
      </c>
      <c r="AK15" s="145">
        <v>0</v>
      </c>
      <c r="AL15" s="145">
        <v>0</v>
      </c>
      <c r="AM15" s="145">
        <v>0</v>
      </c>
      <c r="AN15" s="145">
        <v>0</v>
      </c>
      <c r="AO15" s="145">
        <v>0</v>
      </c>
      <c r="AP15" s="145">
        <v>0</v>
      </c>
      <c r="AQ15" s="145">
        <v>0</v>
      </c>
      <c r="AR15" s="145">
        <v>0</v>
      </c>
      <c r="AS15" s="145">
        <v>0</v>
      </c>
    </row>
    <row r="16" spans="1:45" customFormat="1" x14ac:dyDescent="0.15">
      <c r="A16" s="181" t="s">
        <v>207</v>
      </c>
      <c r="B16" s="145">
        <v>0</v>
      </c>
      <c r="C16" s="145">
        <v>0</v>
      </c>
      <c r="D16" s="145">
        <v>0</v>
      </c>
      <c r="E16" s="145">
        <v>0</v>
      </c>
      <c r="F16" s="145">
        <v>0</v>
      </c>
      <c r="G16" s="145">
        <v>5.0041306667388159E-4</v>
      </c>
      <c r="H16" s="145">
        <v>0</v>
      </c>
      <c r="I16" s="145">
        <v>0</v>
      </c>
      <c r="J16" s="145">
        <v>0</v>
      </c>
      <c r="K16" s="145">
        <v>0</v>
      </c>
      <c r="L16" s="145">
        <v>0</v>
      </c>
      <c r="M16" s="145">
        <v>9.8102658764495144E-4</v>
      </c>
      <c r="N16" s="145">
        <v>0</v>
      </c>
      <c r="O16" s="145">
        <v>0</v>
      </c>
      <c r="P16" s="145">
        <v>0</v>
      </c>
      <c r="Q16" s="145">
        <v>2.0085073924480123E-2</v>
      </c>
      <c r="R16" s="145">
        <v>0</v>
      </c>
      <c r="S16" s="145">
        <v>0</v>
      </c>
      <c r="T16" s="145">
        <v>0</v>
      </c>
      <c r="U16" s="145">
        <v>0</v>
      </c>
      <c r="V16" s="145">
        <v>0</v>
      </c>
      <c r="W16" s="145">
        <v>0</v>
      </c>
      <c r="X16" s="145">
        <v>0</v>
      </c>
      <c r="Y16" s="145">
        <v>0</v>
      </c>
      <c r="Z16" s="145">
        <v>0</v>
      </c>
      <c r="AA16" s="145">
        <v>0</v>
      </c>
      <c r="AB16" s="145">
        <v>0</v>
      </c>
      <c r="AC16" s="145">
        <v>0</v>
      </c>
      <c r="AD16" s="145">
        <v>0</v>
      </c>
      <c r="AE16" s="145">
        <v>0</v>
      </c>
      <c r="AF16" s="145">
        <v>0</v>
      </c>
      <c r="AG16" s="145">
        <v>0</v>
      </c>
      <c r="AH16" s="145">
        <v>0</v>
      </c>
      <c r="AI16" s="145">
        <v>0</v>
      </c>
      <c r="AJ16" s="145">
        <v>0</v>
      </c>
      <c r="AK16" s="145">
        <v>0</v>
      </c>
      <c r="AL16" s="145">
        <v>0</v>
      </c>
      <c r="AM16" s="145">
        <v>0</v>
      </c>
      <c r="AN16" s="145">
        <v>0</v>
      </c>
      <c r="AO16" s="145">
        <v>0</v>
      </c>
      <c r="AP16" s="145">
        <v>0</v>
      </c>
      <c r="AQ16" s="145">
        <v>0</v>
      </c>
      <c r="AR16" s="145">
        <v>0</v>
      </c>
      <c r="AS16" s="145">
        <v>0</v>
      </c>
    </row>
    <row r="17" spans="1:45" customFormat="1" x14ac:dyDescent="0.15">
      <c r="A17" s="181" t="s">
        <v>208</v>
      </c>
      <c r="B17" s="145">
        <v>0</v>
      </c>
      <c r="C17" s="145">
        <v>0</v>
      </c>
      <c r="D17" s="145">
        <v>0</v>
      </c>
      <c r="E17" s="145">
        <v>1.1922891475266506E-2</v>
      </c>
      <c r="F17" s="145">
        <v>1.4172203937768014E-2</v>
      </c>
      <c r="G17" s="145">
        <v>0</v>
      </c>
      <c r="H17" s="145">
        <v>3.4872195656637364E-2</v>
      </c>
      <c r="I17" s="145">
        <v>0</v>
      </c>
      <c r="J17" s="145">
        <v>0</v>
      </c>
      <c r="K17" s="145">
        <v>0</v>
      </c>
      <c r="L17" s="145">
        <v>1.9484967958649751E-3</v>
      </c>
      <c r="M17" s="145">
        <v>1.1555453654470619E-2</v>
      </c>
      <c r="N17" s="145">
        <v>1.0357207799562678E-2</v>
      </c>
      <c r="O17" s="145">
        <v>0</v>
      </c>
      <c r="P17" s="145">
        <v>0</v>
      </c>
      <c r="Q17" s="145">
        <v>2.2783072614335646E-2</v>
      </c>
      <c r="R17" s="145">
        <v>0</v>
      </c>
      <c r="S17" s="145">
        <v>0</v>
      </c>
      <c r="T17" s="145">
        <v>0</v>
      </c>
      <c r="U17" s="145">
        <v>0</v>
      </c>
      <c r="V17" s="145">
        <v>0</v>
      </c>
      <c r="W17" s="145">
        <v>0</v>
      </c>
      <c r="X17" s="145">
        <v>0</v>
      </c>
      <c r="Y17" s="145">
        <v>0</v>
      </c>
      <c r="Z17" s="145">
        <v>0</v>
      </c>
      <c r="AA17" s="145">
        <v>0</v>
      </c>
      <c r="AB17" s="145">
        <v>0</v>
      </c>
      <c r="AC17" s="145">
        <v>0</v>
      </c>
      <c r="AD17" s="145">
        <v>0</v>
      </c>
      <c r="AE17" s="145">
        <v>0</v>
      </c>
      <c r="AF17" s="145">
        <v>0</v>
      </c>
      <c r="AG17" s="145">
        <v>0</v>
      </c>
      <c r="AH17" s="145">
        <v>0</v>
      </c>
      <c r="AI17" s="145">
        <v>0</v>
      </c>
      <c r="AJ17" s="145">
        <v>0</v>
      </c>
      <c r="AK17" s="145">
        <v>0</v>
      </c>
      <c r="AL17" s="145">
        <v>0</v>
      </c>
      <c r="AM17" s="145">
        <v>0</v>
      </c>
      <c r="AN17" s="145">
        <v>0</v>
      </c>
      <c r="AO17" s="145">
        <v>0</v>
      </c>
      <c r="AP17" s="145">
        <v>0</v>
      </c>
      <c r="AQ17" s="145">
        <v>0</v>
      </c>
      <c r="AR17" s="145">
        <v>0</v>
      </c>
      <c r="AS17" s="145">
        <v>0</v>
      </c>
    </row>
    <row r="18" spans="1:45" customFormat="1" x14ac:dyDescent="0.15">
      <c r="A18" s="181" t="s">
        <v>209</v>
      </c>
      <c r="B18" s="145">
        <v>9.7589366080482132E-2</v>
      </c>
      <c r="C18" s="145">
        <v>0</v>
      </c>
      <c r="D18" s="145">
        <v>0</v>
      </c>
      <c r="E18" s="145">
        <v>3.5768658425799287E-2</v>
      </c>
      <c r="F18" s="145">
        <v>9.2154199318602331E-2</v>
      </c>
      <c r="G18" s="145">
        <v>7.8716665763307242E-2</v>
      </c>
      <c r="H18" s="145">
        <v>0.25738709303716434</v>
      </c>
      <c r="I18" s="145">
        <v>0</v>
      </c>
      <c r="J18" s="145">
        <v>1.0395656238814293E-2</v>
      </c>
      <c r="K18" s="145">
        <v>2.80347233898053E-2</v>
      </c>
      <c r="L18" s="145">
        <v>5.7475010172999778E-3</v>
      </c>
      <c r="M18" s="145">
        <v>1.852958256663844E-2</v>
      </c>
      <c r="N18" s="145">
        <v>0.32107338918644207</v>
      </c>
      <c r="O18" s="145">
        <v>0</v>
      </c>
      <c r="P18" s="145">
        <v>0</v>
      </c>
      <c r="Q18" s="145">
        <v>0.10252385561451029</v>
      </c>
      <c r="R18" s="145">
        <v>0</v>
      </c>
      <c r="S18" s="145">
        <v>0</v>
      </c>
      <c r="T18" s="145">
        <v>0</v>
      </c>
      <c r="U18" s="145">
        <v>0</v>
      </c>
      <c r="V18" s="145">
        <v>0</v>
      </c>
      <c r="W18" s="145">
        <v>0</v>
      </c>
      <c r="X18" s="145">
        <v>0</v>
      </c>
      <c r="Y18" s="145">
        <v>1.1190850691860689E-2</v>
      </c>
      <c r="Z18" s="145">
        <v>0</v>
      </c>
      <c r="AA18" s="145">
        <v>0</v>
      </c>
      <c r="AB18" s="145">
        <v>0</v>
      </c>
      <c r="AC18" s="145">
        <v>0</v>
      </c>
      <c r="AD18" s="145">
        <v>0</v>
      </c>
      <c r="AE18" s="145">
        <v>0</v>
      </c>
      <c r="AF18" s="145">
        <v>0</v>
      </c>
      <c r="AG18" s="145">
        <v>0</v>
      </c>
      <c r="AH18" s="145">
        <v>0</v>
      </c>
      <c r="AI18" s="145">
        <v>0</v>
      </c>
      <c r="AJ18" s="145">
        <v>0</v>
      </c>
      <c r="AK18" s="145">
        <v>0</v>
      </c>
      <c r="AL18" s="145">
        <v>0</v>
      </c>
      <c r="AM18" s="145">
        <v>0</v>
      </c>
      <c r="AN18" s="145">
        <v>0</v>
      </c>
      <c r="AO18" s="145">
        <v>0</v>
      </c>
      <c r="AP18" s="145">
        <v>0</v>
      </c>
      <c r="AQ18" s="145">
        <v>0</v>
      </c>
      <c r="AR18" s="145">
        <v>0</v>
      </c>
      <c r="AS18" s="145">
        <v>0</v>
      </c>
    </row>
    <row r="19" spans="1:45" customFormat="1" x14ac:dyDescent="0.15">
      <c r="A19" s="181" t="s">
        <v>210</v>
      </c>
      <c r="B19" s="145">
        <v>0</v>
      </c>
      <c r="C19" s="145">
        <v>0</v>
      </c>
      <c r="D19" s="145">
        <v>9.1575948635518351E-2</v>
      </c>
      <c r="E19" s="145">
        <v>0.14070363506834344</v>
      </c>
      <c r="F19" s="145">
        <v>9.2154199318602331E-2</v>
      </c>
      <c r="G19" s="145">
        <v>8.6110780288040548E-2</v>
      </c>
      <c r="H19" s="145">
        <v>8.30260939539781E-2</v>
      </c>
      <c r="I19" s="145">
        <v>0</v>
      </c>
      <c r="J19" s="145">
        <v>0.12474784867018848</v>
      </c>
      <c r="K19" s="145">
        <v>1.1192496921833557E-2</v>
      </c>
      <c r="L19" s="145">
        <v>2.7376942382404592E-2</v>
      </c>
      <c r="M19" s="145">
        <v>1.1555453654470619E-2</v>
      </c>
      <c r="N19" s="145">
        <v>0.25893015198906616</v>
      </c>
      <c r="O19" s="145">
        <v>0</v>
      </c>
      <c r="P19" s="145">
        <v>0</v>
      </c>
      <c r="Q19" s="145">
        <v>9.3830234947198304E-2</v>
      </c>
      <c r="R19" s="145">
        <v>0</v>
      </c>
      <c r="S19" s="145">
        <v>0</v>
      </c>
      <c r="T19" s="145">
        <v>1.0001296448055969E-2</v>
      </c>
      <c r="U19" s="145">
        <v>1.0003158897548258E-2</v>
      </c>
      <c r="V19" s="145">
        <v>0</v>
      </c>
      <c r="W19" s="145">
        <v>0</v>
      </c>
      <c r="X19" s="145">
        <v>1.1294597032668699E-2</v>
      </c>
      <c r="Y19" s="145">
        <v>2.5557889413506878E-2</v>
      </c>
      <c r="Z19" s="145">
        <v>3.1546395814206256E-2</v>
      </c>
      <c r="AA19" s="145">
        <v>2.2105256338736771E-2</v>
      </c>
      <c r="AB19" s="145">
        <v>0</v>
      </c>
      <c r="AC19" s="145">
        <v>0</v>
      </c>
      <c r="AD19" s="145">
        <v>0</v>
      </c>
      <c r="AE19" s="145">
        <v>0</v>
      </c>
      <c r="AF19" s="145">
        <v>0</v>
      </c>
      <c r="AG19" s="145">
        <v>0</v>
      </c>
      <c r="AH19" s="145">
        <v>0</v>
      </c>
      <c r="AI19" s="145">
        <v>0</v>
      </c>
      <c r="AJ19" s="145">
        <v>0</v>
      </c>
      <c r="AK19" s="145">
        <v>0</v>
      </c>
      <c r="AL19" s="145">
        <v>0</v>
      </c>
      <c r="AM19" s="145">
        <v>0</v>
      </c>
      <c r="AN19" s="145">
        <v>0</v>
      </c>
      <c r="AO19" s="145">
        <v>0</v>
      </c>
      <c r="AP19" s="145">
        <v>0</v>
      </c>
      <c r="AQ19" s="145">
        <v>0</v>
      </c>
      <c r="AR19" s="145">
        <v>0</v>
      </c>
      <c r="AS19" s="145">
        <v>0</v>
      </c>
    </row>
    <row r="20" spans="1:45" customFormat="1" x14ac:dyDescent="0.15">
      <c r="A20" s="181" t="s">
        <v>211</v>
      </c>
      <c r="B20" s="145">
        <v>0.19239075496152183</v>
      </c>
      <c r="C20" s="145">
        <v>9.8243499970526948E-2</v>
      </c>
      <c r="D20" s="145">
        <v>0</v>
      </c>
      <c r="E20" s="145">
        <v>3.3578787493608181E-2</v>
      </c>
      <c r="F20" s="145">
        <v>4.7066998349140736E-2</v>
      </c>
      <c r="G20" s="145">
        <v>0</v>
      </c>
      <c r="H20" s="145">
        <v>3.2737216914392811E-2</v>
      </c>
      <c r="I20" s="145">
        <v>0</v>
      </c>
      <c r="J20" s="145">
        <v>0</v>
      </c>
      <c r="K20" s="145">
        <v>0.1432694589565153</v>
      </c>
      <c r="L20" s="145">
        <v>8.3142020250257465E-2</v>
      </c>
      <c r="M20" s="145">
        <v>6.9084059129955369E-2</v>
      </c>
      <c r="N20" s="145">
        <v>0</v>
      </c>
      <c r="O20" s="145">
        <v>0</v>
      </c>
      <c r="P20" s="145">
        <v>0</v>
      </c>
      <c r="Q20" s="145">
        <v>7.07077651341388E-3</v>
      </c>
      <c r="R20" s="145">
        <v>0</v>
      </c>
      <c r="S20" s="145">
        <v>0</v>
      </c>
      <c r="T20" s="145">
        <v>0</v>
      </c>
      <c r="U20" s="145">
        <v>0</v>
      </c>
      <c r="V20" s="145">
        <v>0</v>
      </c>
      <c r="W20" s="145">
        <v>0</v>
      </c>
      <c r="X20" s="145">
        <v>0</v>
      </c>
      <c r="Y20" s="145">
        <v>2.7939064864471647E-2</v>
      </c>
      <c r="Z20" s="145">
        <v>0</v>
      </c>
      <c r="AA20" s="145">
        <v>0</v>
      </c>
      <c r="AB20" s="145">
        <v>0</v>
      </c>
      <c r="AC20" s="145">
        <v>0</v>
      </c>
      <c r="AD20" s="145">
        <v>0</v>
      </c>
      <c r="AE20" s="145">
        <v>0</v>
      </c>
      <c r="AF20" s="145">
        <v>0</v>
      </c>
      <c r="AG20" s="145">
        <v>0</v>
      </c>
      <c r="AH20" s="145">
        <v>0</v>
      </c>
      <c r="AI20" s="145">
        <v>0</v>
      </c>
      <c r="AJ20" s="145">
        <v>0</v>
      </c>
      <c r="AK20" s="145">
        <v>0</v>
      </c>
      <c r="AL20" s="145">
        <v>0</v>
      </c>
      <c r="AM20" s="145">
        <v>0</v>
      </c>
      <c r="AN20" s="145">
        <v>0</v>
      </c>
      <c r="AO20" s="145">
        <v>0</v>
      </c>
      <c r="AP20" s="145">
        <v>0</v>
      </c>
      <c r="AQ20" s="145">
        <v>0</v>
      </c>
      <c r="AR20" s="145">
        <v>0</v>
      </c>
      <c r="AS20" s="145">
        <v>0</v>
      </c>
    </row>
    <row r="21" spans="1:45" customFormat="1" x14ac:dyDescent="0.15">
      <c r="A21" s="181" t="s">
        <v>212</v>
      </c>
      <c r="B21" s="145">
        <v>5.6171156488765771E-2</v>
      </c>
      <c r="C21" s="145">
        <v>4.4618867286614336E-2</v>
      </c>
      <c r="D21" s="145">
        <v>1.3014792306079593E-2</v>
      </c>
      <c r="E21" s="145">
        <v>1.5250346824180101E-2</v>
      </c>
      <c r="F21" s="145">
        <v>2.5907110606666155E-2</v>
      </c>
      <c r="G21" s="145">
        <v>0</v>
      </c>
      <c r="H21" s="145">
        <v>0</v>
      </c>
      <c r="I21" s="145">
        <v>8.7181815813381774E-2</v>
      </c>
      <c r="J21" s="145">
        <v>0</v>
      </c>
      <c r="K21" s="145">
        <v>3.9995614048966913E-2</v>
      </c>
      <c r="L21" s="145">
        <v>0</v>
      </c>
      <c r="M21" s="145">
        <v>9.412686221456631E-4</v>
      </c>
      <c r="N21" s="145">
        <v>2.6495434810514036E-2</v>
      </c>
      <c r="O21" s="145">
        <v>0</v>
      </c>
      <c r="P21" s="145">
        <v>0</v>
      </c>
      <c r="Q21" s="145">
        <v>3.211306857925486E-3</v>
      </c>
      <c r="R21" s="145">
        <v>0</v>
      </c>
      <c r="S21" s="145">
        <v>0</v>
      </c>
      <c r="T21" s="145">
        <v>0</v>
      </c>
      <c r="U21" s="145">
        <v>0</v>
      </c>
      <c r="V21" s="145">
        <v>0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0</v>
      </c>
      <c r="AH21" s="145">
        <v>0</v>
      </c>
      <c r="AI21" s="145">
        <v>0</v>
      </c>
      <c r="AJ21" s="145">
        <v>0</v>
      </c>
      <c r="AK21" s="145">
        <v>0</v>
      </c>
      <c r="AL21" s="145">
        <v>0</v>
      </c>
      <c r="AM21" s="145">
        <v>0</v>
      </c>
      <c r="AN21" s="145">
        <v>0</v>
      </c>
      <c r="AO21" s="145">
        <v>0</v>
      </c>
      <c r="AP21" s="145">
        <v>0</v>
      </c>
      <c r="AQ21" s="145">
        <v>0</v>
      </c>
      <c r="AR21" s="145">
        <v>0</v>
      </c>
      <c r="AS21" s="145">
        <v>0</v>
      </c>
    </row>
    <row r="22" spans="1:45" customFormat="1" x14ac:dyDescent="0.15">
      <c r="A22" s="181" t="s">
        <v>213</v>
      </c>
      <c r="B22" s="145">
        <v>6.8312555586337489E-2</v>
      </c>
      <c r="C22" s="145">
        <v>0.12956730996112981</v>
      </c>
      <c r="D22" s="145">
        <v>0.17297679742264568</v>
      </c>
      <c r="E22" s="145">
        <v>7.1537316851598573E-2</v>
      </c>
      <c r="F22" s="145">
        <v>1.1519273064227077E-2</v>
      </c>
      <c r="G22" s="145">
        <v>0</v>
      </c>
      <c r="H22" s="145">
        <v>0</v>
      </c>
      <c r="I22" s="145">
        <v>0.10486102318110929</v>
      </c>
      <c r="J22" s="145">
        <v>0</v>
      </c>
      <c r="K22" s="145">
        <v>0.10174192889868346</v>
      </c>
      <c r="L22" s="145">
        <v>2.3577921170969539E-2</v>
      </c>
      <c r="M22" s="145">
        <v>0</v>
      </c>
      <c r="N22" s="145">
        <v>0</v>
      </c>
      <c r="O22" s="145">
        <v>0</v>
      </c>
      <c r="P22" s="145">
        <v>0</v>
      </c>
      <c r="Q22" s="145">
        <v>5.0212684811200307E-3</v>
      </c>
      <c r="R22" s="145">
        <v>0</v>
      </c>
      <c r="S22" s="145">
        <v>0</v>
      </c>
      <c r="T22" s="145">
        <v>0</v>
      </c>
      <c r="U22" s="145">
        <v>7.0022112282837806E-2</v>
      </c>
      <c r="V22" s="145">
        <v>0</v>
      </c>
      <c r="W22" s="145">
        <v>0</v>
      </c>
      <c r="X22" s="145">
        <v>0</v>
      </c>
      <c r="Y22" s="145">
        <v>0.22357366695333275</v>
      </c>
      <c r="Z22" s="145">
        <v>0</v>
      </c>
      <c r="AA22" s="145">
        <v>0</v>
      </c>
      <c r="AB22" s="145">
        <v>0</v>
      </c>
      <c r="AC22" s="145">
        <v>0</v>
      </c>
      <c r="AD22" s="145">
        <v>0</v>
      </c>
      <c r="AE22" s="145">
        <v>0</v>
      </c>
      <c r="AF22" s="145">
        <v>0</v>
      </c>
      <c r="AG22" s="145">
        <v>0</v>
      </c>
      <c r="AH22" s="145">
        <v>0</v>
      </c>
      <c r="AI22" s="145">
        <v>0</v>
      </c>
      <c r="AJ22" s="145">
        <v>0</v>
      </c>
      <c r="AK22" s="145">
        <v>0</v>
      </c>
      <c r="AL22" s="145">
        <v>0</v>
      </c>
      <c r="AM22" s="145">
        <v>0</v>
      </c>
      <c r="AN22" s="145">
        <v>0</v>
      </c>
      <c r="AO22" s="145">
        <v>0</v>
      </c>
      <c r="AP22" s="145">
        <v>0</v>
      </c>
      <c r="AQ22" s="145">
        <v>0</v>
      </c>
      <c r="AR22" s="145">
        <v>0</v>
      </c>
      <c r="AS22" s="145">
        <v>0</v>
      </c>
    </row>
    <row r="23" spans="1:45" customFormat="1" x14ac:dyDescent="0.15">
      <c r="A23" s="181" t="s">
        <v>214</v>
      </c>
      <c r="B23" s="145">
        <v>0.37083956592583212</v>
      </c>
      <c r="C23" s="145">
        <v>0.20930105393720966</v>
      </c>
      <c r="D23" s="145">
        <v>0</v>
      </c>
      <c r="E23" s="145">
        <v>0.18327726669417582</v>
      </c>
      <c r="F23" s="145">
        <v>3.3419863142538919E-2</v>
      </c>
      <c r="G23" s="145">
        <v>4.2511962542202512E-2</v>
      </c>
      <c r="H23" s="145">
        <v>9.9698827302947325E-4</v>
      </c>
      <c r="I23" s="145">
        <v>0.25378478127872345</v>
      </c>
      <c r="J23" s="145">
        <v>0</v>
      </c>
      <c r="K23" s="145">
        <v>0.36396008784559886</v>
      </c>
      <c r="L23" s="145">
        <v>0.27553302082935438</v>
      </c>
      <c r="M23" s="145">
        <v>0.31986873897157314</v>
      </c>
      <c r="N23" s="145">
        <v>0</v>
      </c>
      <c r="O23" s="145">
        <v>0</v>
      </c>
      <c r="P23" s="145">
        <v>0</v>
      </c>
      <c r="Q23" s="145">
        <v>0.1004253696224006</v>
      </c>
      <c r="R23" s="145">
        <v>0</v>
      </c>
      <c r="S23" s="145">
        <v>0</v>
      </c>
      <c r="T23" s="145">
        <v>6.000777868833581E-2</v>
      </c>
      <c r="U23" s="145">
        <v>7.3707486087031426E-2</v>
      </c>
      <c r="V23" s="145">
        <v>0</v>
      </c>
      <c r="W23" s="145">
        <v>0</v>
      </c>
      <c r="X23" s="145">
        <v>1.0401118714263047E-2</v>
      </c>
      <c r="Y23" s="145">
        <v>0.29761133419090446</v>
      </c>
      <c r="Z23" s="145">
        <v>2.0000001726000027E-2</v>
      </c>
      <c r="AA23" s="145">
        <v>1.0526318213684237E-2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S23" s="145">
        <v>0</v>
      </c>
    </row>
    <row r="24" spans="1:45" customFormat="1" x14ac:dyDescent="0.15">
      <c r="A24" s="181" t="s">
        <v>215</v>
      </c>
      <c r="B24" s="145">
        <v>0</v>
      </c>
      <c r="C24" s="145">
        <v>0</v>
      </c>
      <c r="D24" s="145">
        <v>0</v>
      </c>
      <c r="E24" s="145">
        <v>5.00807207361866E-2</v>
      </c>
      <c r="F24" s="145">
        <v>1.0003233596676748E-2</v>
      </c>
      <c r="G24" s="145">
        <v>7.0087346434442171E-3</v>
      </c>
      <c r="H24" s="145">
        <v>6.1435638338043115E-2</v>
      </c>
      <c r="I24" s="145">
        <v>1.1033359229493871E-2</v>
      </c>
      <c r="J24" s="145">
        <v>0</v>
      </c>
      <c r="K24" s="145">
        <v>8.1321307140401949E-2</v>
      </c>
      <c r="L24" s="145">
        <v>2.5526413776834504E-2</v>
      </c>
      <c r="M24" s="145">
        <v>0.19618049752930286</v>
      </c>
      <c r="N24" s="145">
        <v>0</v>
      </c>
      <c r="O24" s="145">
        <v>0</v>
      </c>
      <c r="P24" s="145">
        <v>0</v>
      </c>
      <c r="Q24" s="145">
        <v>0</v>
      </c>
      <c r="R24" s="145">
        <v>0</v>
      </c>
      <c r="S24" s="145">
        <v>0</v>
      </c>
      <c r="T24" s="145">
        <v>0</v>
      </c>
      <c r="U24" s="145">
        <v>0</v>
      </c>
      <c r="V24" s="145">
        <v>0</v>
      </c>
      <c r="W24" s="145">
        <v>0</v>
      </c>
      <c r="X24" s="145">
        <v>0</v>
      </c>
      <c r="Y24" s="145">
        <v>0</v>
      </c>
      <c r="Z24" s="145">
        <v>0</v>
      </c>
      <c r="AA24" s="145">
        <v>0</v>
      </c>
      <c r="AB24" s="145">
        <v>0</v>
      </c>
      <c r="AC24" s="145">
        <v>0</v>
      </c>
      <c r="AD24" s="145">
        <v>0</v>
      </c>
      <c r="AE24" s="145">
        <v>0</v>
      </c>
      <c r="AF24" s="145">
        <v>0</v>
      </c>
      <c r="AG24" s="145">
        <v>0</v>
      </c>
      <c r="AH24" s="145">
        <v>0</v>
      </c>
      <c r="AI24" s="145">
        <v>0</v>
      </c>
      <c r="AJ24" s="145">
        <v>0</v>
      </c>
      <c r="AK24" s="145">
        <v>0</v>
      </c>
      <c r="AL24" s="145">
        <v>0</v>
      </c>
      <c r="AM24" s="145">
        <v>0</v>
      </c>
      <c r="AN24" s="145">
        <v>0</v>
      </c>
      <c r="AO24" s="145">
        <v>0</v>
      </c>
      <c r="AP24" s="145">
        <v>0</v>
      </c>
      <c r="AQ24" s="145">
        <v>0</v>
      </c>
      <c r="AR24" s="145">
        <v>0</v>
      </c>
      <c r="AS24" s="145">
        <v>0</v>
      </c>
    </row>
    <row r="25" spans="1:45" customFormat="1" x14ac:dyDescent="0.15">
      <c r="A25" s="181" t="s">
        <v>216</v>
      </c>
      <c r="B25" s="145">
        <v>0</v>
      </c>
      <c r="C25" s="145">
        <v>0</v>
      </c>
      <c r="D25" s="145">
        <v>0</v>
      </c>
      <c r="E25" s="145">
        <v>1.1922891475266506E-2</v>
      </c>
      <c r="F25" s="145">
        <v>0.12671203631703937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0</v>
      </c>
      <c r="M25" s="145">
        <v>0</v>
      </c>
      <c r="N25" s="145">
        <v>0</v>
      </c>
      <c r="O25" s="145">
        <v>0</v>
      </c>
      <c r="P25" s="145">
        <v>0</v>
      </c>
      <c r="Q25" s="145">
        <v>0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1.2704730921416956E-3</v>
      </c>
      <c r="Z25" s="145">
        <v>0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S25" s="145">
        <v>0</v>
      </c>
    </row>
    <row r="26" spans="1:45" customFormat="1" x14ac:dyDescent="0.15">
      <c r="A26" s="181" t="s">
        <v>217</v>
      </c>
      <c r="B26" s="145">
        <v>0.13662511097267496</v>
      </c>
      <c r="C26" s="145">
        <v>0.10963388496710984</v>
      </c>
      <c r="D26" s="145">
        <v>5.087552144195473E-2</v>
      </c>
      <c r="E26" s="145">
        <v>4.769155450106586E-2</v>
      </c>
      <c r="F26" s="145">
        <v>1.1519273064227077E-2</v>
      </c>
      <c r="G26" s="145">
        <v>2.2490477275230646E-2</v>
      </c>
      <c r="H26" s="145">
        <v>0</v>
      </c>
      <c r="I26" s="145">
        <v>6.8368071422055893E-2</v>
      </c>
      <c r="J26" s="145">
        <v>0</v>
      </c>
      <c r="K26" s="145">
        <v>9.9989035122417282E-3</v>
      </c>
      <c r="L26" s="145">
        <v>0</v>
      </c>
      <c r="M26" s="145">
        <v>4.6221814417882479E-2</v>
      </c>
      <c r="N26" s="145">
        <v>0</v>
      </c>
      <c r="O26" s="145">
        <v>0</v>
      </c>
      <c r="P26" s="145">
        <v>0</v>
      </c>
      <c r="Q26" s="145">
        <v>0</v>
      </c>
      <c r="R26" s="145">
        <v>0</v>
      </c>
      <c r="S26" s="145">
        <v>0</v>
      </c>
      <c r="T26" s="145">
        <v>0</v>
      </c>
      <c r="U26" s="145">
        <v>0</v>
      </c>
      <c r="V26" s="145">
        <v>0</v>
      </c>
      <c r="W26" s="145">
        <v>0</v>
      </c>
      <c r="X26" s="145">
        <v>0</v>
      </c>
      <c r="Y26" s="145">
        <v>6.4604156647022376E-2</v>
      </c>
      <c r="Z26" s="145">
        <v>0</v>
      </c>
      <c r="AA26" s="145">
        <v>0</v>
      </c>
      <c r="AB26" s="145">
        <v>0</v>
      </c>
      <c r="AC26" s="145">
        <v>0</v>
      </c>
      <c r="AD26" s="145">
        <v>0</v>
      </c>
      <c r="AE26" s="145">
        <v>0</v>
      </c>
      <c r="AF26" s="145">
        <v>0</v>
      </c>
      <c r="AG26" s="145">
        <v>0</v>
      </c>
      <c r="AH26" s="145">
        <v>0</v>
      </c>
      <c r="AI26" s="145">
        <v>0</v>
      </c>
      <c r="AJ26" s="145">
        <v>0</v>
      </c>
      <c r="AK26" s="145">
        <v>0</v>
      </c>
      <c r="AL26" s="145">
        <v>0</v>
      </c>
      <c r="AM26" s="145">
        <v>0</v>
      </c>
      <c r="AN26" s="145">
        <v>0</v>
      </c>
      <c r="AO26" s="145">
        <v>0</v>
      </c>
      <c r="AP26" s="145">
        <v>0</v>
      </c>
      <c r="AQ26" s="145">
        <v>0</v>
      </c>
      <c r="AR26" s="145">
        <v>0</v>
      </c>
      <c r="AS26" s="145">
        <v>0</v>
      </c>
    </row>
    <row r="27" spans="1:45" customFormat="1" x14ac:dyDescent="0.15">
      <c r="A27" s="181" t="s">
        <v>218</v>
      </c>
      <c r="B27" s="145">
        <v>0</v>
      </c>
      <c r="C27" s="145">
        <v>0</v>
      </c>
      <c r="D27" s="145">
        <v>5.087552144195473E-2</v>
      </c>
      <c r="E27" s="145">
        <v>0.32191800473219467</v>
      </c>
      <c r="F27" s="145">
        <v>0.27646266797844216</v>
      </c>
      <c r="G27" s="145">
        <v>0.15743336152661458</v>
      </c>
      <c r="H27" s="145">
        <v>3.4872195656637364E-2</v>
      </c>
      <c r="I27" s="145">
        <v>2.206670725898751E-2</v>
      </c>
      <c r="J27" s="145">
        <v>0</v>
      </c>
      <c r="K27" s="145">
        <v>1.4998355268362591E-2</v>
      </c>
      <c r="L27" s="145">
        <v>0</v>
      </c>
      <c r="M27" s="145">
        <v>2.9435772029285892E-2</v>
      </c>
      <c r="N27" s="145">
        <v>8.2857651596501228E-2</v>
      </c>
      <c r="O27" s="145">
        <v>0</v>
      </c>
      <c r="P27" s="145">
        <v>0</v>
      </c>
      <c r="Q27" s="145">
        <v>3.5148879867840208E-3</v>
      </c>
      <c r="R27" s="145">
        <v>0</v>
      </c>
      <c r="S27" s="145">
        <v>0</v>
      </c>
      <c r="T27" s="145">
        <v>2.0002592896111938E-2</v>
      </c>
      <c r="U27" s="145">
        <v>1.0003158897548258E-2</v>
      </c>
      <c r="V27" s="145">
        <v>0</v>
      </c>
      <c r="W27" s="145">
        <v>0</v>
      </c>
      <c r="X27" s="145">
        <v>1.0008818706181666E-2</v>
      </c>
      <c r="Y27" s="145">
        <v>0.15833419048917621</v>
      </c>
      <c r="Z27" s="145">
        <v>0</v>
      </c>
      <c r="AA27" s="145">
        <v>1.0526318213684237E-2</v>
      </c>
      <c r="AB27" s="145">
        <v>0</v>
      </c>
      <c r="AC27" s="145">
        <v>0</v>
      </c>
      <c r="AD27" s="145">
        <v>0</v>
      </c>
      <c r="AE27" s="145">
        <v>0</v>
      </c>
      <c r="AF27" s="145">
        <v>0</v>
      </c>
      <c r="AG27" s="145">
        <v>0</v>
      </c>
      <c r="AH27" s="145">
        <v>0</v>
      </c>
      <c r="AI27" s="145">
        <v>0</v>
      </c>
      <c r="AJ27" s="145">
        <v>0</v>
      </c>
      <c r="AK27" s="145">
        <v>0</v>
      </c>
      <c r="AL27" s="145">
        <v>0</v>
      </c>
      <c r="AM27" s="145">
        <v>0</v>
      </c>
      <c r="AN27" s="145">
        <v>0</v>
      </c>
      <c r="AO27" s="145">
        <v>0</v>
      </c>
      <c r="AP27" s="145">
        <v>0</v>
      </c>
      <c r="AQ27" s="145">
        <v>0</v>
      </c>
      <c r="AR27" s="145">
        <v>0</v>
      </c>
      <c r="AS27" s="145">
        <v>0</v>
      </c>
    </row>
    <row r="28" spans="1:45" customFormat="1" x14ac:dyDescent="0.15">
      <c r="A28" s="181" t="s">
        <v>219</v>
      </c>
      <c r="B28" s="145">
        <v>0</v>
      </c>
      <c r="C28" s="145">
        <v>0</v>
      </c>
      <c r="D28" s="145">
        <v>0</v>
      </c>
      <c r="E28" s="145">
        <v>0</v>
      </c>
      <c r="F28" s="145">
        <v>0</v>
      </c>
      <c r="G28" s="145">
        <v>1.0012476733491733E-3</v>
      </c>
      <c r="H28" s="145">
        <v>2.9900274391137776E-2</v>
      </c>
      <c r="I28" s="145">
        <v>0</v>
      </c>
      <c r="J28" s="145">
        <v>0</v>
      </c>
      <c r="K28" s="145">
        <v>9.9989035122417282E-3</v>
      </c>
      <c r="L28" s="145">
        <v>0</v>
      </c>
      <c r="M28" s="145">
        <v>0</v>
      </c>
      <c r="N28" s="145">
        <v>0</v>
      </c>
      <c r="O28" s="145">
        <v>0</v>
      </c>
      <c r="P28" s="145">
        <v>0</v>
      </c>
      <c r="Q28" s="145">
        <v>5.0212684811200307E-3</v>
      </c>
      <c r="R28" s="145">
        <v>0</v>
      </c>
      <c r="S28" s="145">
        <v>0</v>
      </c>
      <c r="T28" s="145">
        <v>0</v>
      </c>
      <c r="U28" s="145">
        <v>0</v>
      </c>
      <c r="V28" s="145">
        <v>0</v>
      </c>
      <c r="W28" s="145">
        <v>0</v>
      </c>
      <c r="X28" s="145">
        <v>0</v>
      </c>
      <c r="Y28" s="145">
        <v>0</v>
      </c>
      <c r="Z28" s="145">
        <v>0</v>
      </c>
      <c r="AA28" s="145">
        <v>0</v>
      </c>
      <c r="AB28" s="145">
        <v>0</v>
      </c>
      <c r="AC28" s="145">
        <v>0</v>
      </c>
      <c r="AD28" s="145">
        <v>0</v>
      </c>
      <c r="AE28" s="145">
        <v>0</v>
      </c>
      <c r="AF28" s="145">
        <v>0</v>
      </c>
      <c r="AG28" s="145">
        <v>0</v>
      </c>
      <c r="AH28" s="145">
        <v>0</v>
      </c>
      <c r="AI28" s="145">
        <v>0</v>
      </c>
      <c r="AJ28" s="145">
        <v>0</v>
      </c>
      <c r="AK28" s="145">
        <v>0</v>
      </c>
      <c r="AL28" s="145">
        <v>0</v>
      </c>
      <c r="AM28" s="145">
        <v>0</v>
      </c>
      <c r="AN28" s="145">
        <v>0</v>
      </c>
      <c r="AO28" s="145">
        <v>0</v>
      </c>
      <c r="AP28" s="145">
        <v>0</v>
      </c>
      <c r="AQ28" s="145">
        <v>0</v>
      </c>
      <c r="AR28" s="145">
        <v>0</v>
      </c>
      <c r="AS28" s="145">
        <v>0</v>
      </c>
    </row>
    <row r="29" spans="1:45" customFormat="1" x14ac:dyDescent="0.15">
      <c r="A29" s="181" t="s">
        <v>220</v>
      </c>
      <c r="B29" s="145">
        <v>0</v>
      </c>
      <c r="C29" s="145">
        <v>0</v>
      </c>
      <c r="D29" s="145">
        <v>0</v>
      </c>
      <c r="E29" s="145">
        <v>0</v>
      </c>
      <c r="F29" s="145">
        <v>0</v>
      </c>
      <c r="G29" s="145">
        <v>1.1245238637615323E-2</v>
      </c>
      <c r="H29" s="145">
        <v>7.9733883643038989E-2</v>
      </c>
      <c r="I29" s="145">
        <v>0.10488008918150586</v>
      </c>
      <c r="J29" s="145">
        <v>3.1982002462010731E-2</v>
      </c>
      <c r="K29" s="145">
        <v>0</v>
      </c>
      <c r="L29" s="145">
        <v>0</v>
      </c>
      <c r="M29" s="145">
        <v>0</v>
      </c>
      <c r="N29" s="145">
        <v>0</v>
      </c>
      <c r="O29" s="145">
        <v>0</v>
      </c>
      <c r="P29" s="145">
        <v>0</v>
      </c>
      <c r="Q29" s="145">
        <v>5.0212684811200307E-3</v>
      </c>
      <c r="R29" s="145">
        <v>0</v>
      </c>
      <c r="S29" s="145">
        <v>2.0833328289583359E-2</v>
      </c>
      <c r="T29" s="145">
        <v>1.0001296448055969E-2</v>
      </c>
      <c r="U29" s="145">
        <v>0</v>
      </c>
      <c r="V29" s="145">
        <v>0</v>
      </c>
      <c r="W29" s="145">
        <v>0</v>
      </c>
      <c r="X29" s="145">
        <v>3.0016754418345143E-2</v>
      </c>
      <c r="Y29" s="145">
        <v>0</v>
      </c>
      <c r="Z29" s="145">
        <v>0</v>
      </c>
      <c r="AA29" s="145">
        <v>0</v>
      </c>
      <c r="AB29" s="145">
        <v>0</v>
      </c>
      <c r="AC29" s="145">
        <v>2.0993808148844578E-2</v>
      </c>
      <c r="AD29" s="145">
        <v>0</v>
      </c>
      <c r="AE29" s="145">
        <v>0</v>
      </c>
      <c r="AF29" s="145">
        <v>0</v>
      </c>
      <c r="AG29" s="145">
        <v>0</v>
      </c>
      <c r="AH29" s="145">
        <v>0</v>
      </c>
      <c r="AI29" s="145">
        <v>0</v>
      </c>
      <c r="AJ29" s="145">
        <v>0</v>
      </c>
      <c r="AK29" s="145">
        <v>0</v>
      </c>
      <c r="AL29" s="145">
        <v>0</v>
      </c>
      <c r="AM29" s="145">
        <v>0</v>
      </c>
      <c r="AN29" s="145">
        <v>0</v>
      </c>
      <c r="AO29" s="145">
        <v>0</v>
      </c>
      <c r="AP29" s="145">
        <v>0</v>
      </c>
      <c r="AQ29" s="145">
        <v>0</v>
      </c>
      <c r="AR29" s="145">
        <v>0</v>
      </c>
      <c r="AS29" s="145">
        <v>0</v>
      </c>
    </row>
    <row r="30" spans="1:45" customFormat="1" x14ac:dyDescent="0.15">
      <c r="A30" s="181" t="s">
        <v>221</v>
      </c>
      <c r="B30" s="145">
        <v>0</v>
      </c>
      <c r="C30" s="145">
        <v>0</v>
      </c>
      <c r="D30" s="145">
        <v>0</v>
      </c>
      <c r="E30" s="145">
        <v>0</v>
      </c>
      <c r="F30" s="145">
        <v>7.9971701263487974E-2</v>
      </c>
      <c r="G30" s="145">
        <v>0.32340310108178333</v>
      </c>
      <c r="H30" s="145">
        <v>6.9744388113274824E-2</v>
      </c>
      <c r="I30" s="145">
        <v>7.7233487506456547E-2</v>
      </c>
      <c r="J30" s="145">
        <v>9.3560879053897344E-2</v>
      </c>
      <c r="K30" s="145">
        <v>1.4998355268362591E-2</v>
      </c>
      <c r="L30" s="145">
        <v>0.14146750042581716</v>
      </c>
      <c r="M30" s="145">
        <v>0</v>
      </c>
      <c r="N30" s="145">
        <v>0.29942682976935614</v>
      </c>
      <c r="O30" s="145">
        <v>0.1110988</v>
      </c>
      <c r="P30" s="145">
        <v>0</v>
      </c>
      <c r="Q30" s="145">
        <v>0.21509015519126101</v>
      </c>
      <c r="R30" s="145">
        <v>0.1799699801379438</v>
      </c>
      <c r="S30" s="145">
        <v>0.16666668611666657</v>
      </c>
      <c r="T30" s="145">
        <v>3.2876111664602858E-2</v>
      </c>
      <c r="U30" s="145">
        <v>0</v>
      </c>
      <c r="V30" s="145">
        <v>0</v>
      </c>
      <c r="W30" s="145">
        <v>0</v>
      </c>
      <c r="X30" s="145">
        <v>0.36120160744075314</v>
      </c>
      <c r="Y30" s="145">
        <v>1.055561906526188E-2</v>
      </c>
      <c r="Z30" s="145">
        <v>3.0927844804123871E-2</v>
      </c>
      <c r="AA30" s="145">
        <v>0.12631578836421054</v>
      </c>
      <c r="AB30" s="145">
        <v>1.9999993836001897E-2</v>
      </c>
      <c r="AC30" s="145">
        <v>4.3452214087144052E-2</v>
      </c>
      <c r="AD30" s="145">
        <v>1.2120779004231551E-2</v>
      </c>
      <c r="AE30" s="145">
        <v>0</v>
      </c>
      <c r="AF30" s="145">
        <v>0</v>
      </c>
      <c r="AG30" s="145">
        <v>0</v>
      </c>
      <c r="AH30" s="145">
        <v>0</v>
      </c>
      <c r="AI30" s="145">
        <v>0</v>
      </c>
      <c r="AJ30" s="145">
        <v>0</v>
      </c>
      <c r="AK30" s="145">
        <v>0</v>
      </c>
      <c r="AL30" s="145">
        <v>0</v>
      </c>
      <c r="AM30" s="145">
        <v>0</v>
      </c>
      <c r="AN30" s="145">
        <v>0</v>
      </c>
      <c r="AO30" s="145">
        <v>0</v>
      </c>
      <c r="AP30" s="145">
        <v>0</v>
      </c>
      <c r="AQ30" s="145">
        <v>0</v>
      </c>
      <c r="AR30" s="145">
        <v>0</v>
      </c>
      <c r="AS30" s="145">
        <v>0</v>
      </c>
    </row>
    <row r="31" spans="1:45" customFormat="1" x14ac:dyDescent="0.15">
      <c r="A31" s="181" t="s">
        <v>222</v>
      </c>
      <c r="B31" s="145">
        <v>0</v>
      </c>
      <c r="C31" s="145">
        <v>0</v>
      </c>
      <c r="D31" s="145">
        <v>0</v>
      </c>
      <c r="E31" s="145">
        <v>0</v>
      </c>
      <c r="F31" s="145">
        <v>7.0022635176737232E-3</v>
      </c>
      <c r="G31" s="145">
        <v>5.6226182888076577E-2</v>
      </c>
      <c r="H31" s="145">
        <v>1.9933862060749166E-2</v>
      </c>
      <c r="I31" s="145">
        <v>0.21815062053753292</v>
      </c>
      <c r="J31" s="145">
        <v>9.9943748007916711E-3</v>
      </c>
      <c r="K31" s="145">
        <v>1.0174192489912205E-2</v>
      </c>
      <c r="L31" s="145">
        <v>9.8404650296197993E-3</v>
      </c>
      <c r="M31" s="145">
        <v>0</v>
      </c>
      <c r="N31" s="145">
        <v>0</v>
      </c>
      <c r="O31" s="145">
        <v>0</v>
      </c>
      <c r="P31" s="145">
        <v>0</v>
      </c>
      <c r="Q31" s="145">
        <v>1.0042536962240061E-2</v>
      </c>
      <c r="R31" s="145">
        <v>6.3812729694337031E-2</v>
      </c>
      <c r="S31" s="145">
        <v>3.124999793437501E-2</v>
      </c>
      <c r="T31" s="145">
        <v>9.9998182564409455E-3</v>
      </c>
      <c r="U31" s="145">
        <v>0</v>
      </c>
      <c r="V31" s="145">
        <v>0</v>
      </c>
      <c r="W31" s="145">
        <v>0</v>
      </c>
      <c r="X31" s="145">
        <v>9.1050827875647056E-2</v>
      </c>
      <c r="Y31" s="145">
        <v>2.1111228731532462E-2</v>
      </c>
      <c r="Z31" s="145">
        <v>0</v>
      </c>
      <c r="AA31" s="145">
        <v>0.31526315540484207</v>
      </c>
      <c r="AB31" s="145">
        <v>0.23999992603202275</v>
      </c>
      <c r="AC31" s="145">
        <v>0.12796229007867149</v>
      </c>
      <c r="AD31" s="145">
        <v>0.10530199364308002</v>
      </c>
      <c r="AE31" s="145">
        <v>4.0377129713322378E-2</v>
      </c>
      <c r="AF31" s="145">
        <v>0</v>
      </c>
      <c r="AG31" s="145">
        <v>0</v>
      </c>
      <c r="AH31" s="145">
        <v>0</v>
      </c>
      <c r="AI31" s="145">
        <v>0</v>
      </c>
      <c r="AJ31" s="145">
        <v>0</v>
      </c>
      <c r="AK31" s="145">
        <v>0</v>
      </c>
      <c r="AL31" s="145">
        <v>0</v>
      </c>
      <c r="AM31" s="145">
        <v>0</v>
      </c>
      <c r="AN31" s="145">
        <v>0</v>
      </c>
      <c r="AO31" s="145">
        <v>0</v>
      </c>
      <c r="AP31" s="145">
        <v>0</v>
      </c>
      <c r="AQ31" s="145">
        <v>0</v>
      </c>
      <c r="AR31" s="145">
        <v>0</v>
      </c>
      <c r="AS31" s="145">
        <v>0</v>
      </c>
    </row>
    <row r="32" spans="1:45" customFormat="1" x14ac:dyDescent="0.15">
      <c r="A32" s="181" t="s">
        <v>223</v>
      </c>
      <c r="B32" s="145">
        <v>0</v>
      </c>
      <c r="C32" s="145">
        <v>0</v>
      </c>
      <c r="D32" s="145">
        <v>0</v>
      </c>
      <c r="E32" s="145">
        <v>0</v>
      </c>
      <c r="F32" s="145">
        <v>1.012858891842883E-2</v>
      </c>
      <c r="G32" s="145">
        <v>0</v>
      </c>
      <c r="H32" s="145">
        <v>9.9669307303745895E-3</v>
      </c>
      <c r="I32" s="145">
        <v>5.2440044590752931E-2</v>
      </c>
      <c r="J32" s="145">
        <v>0</v>
      </c>
      <c r="K32" s="145">
        <v>0</v>
      </c>
      <c r="L32" s="145">
        <v>6.8883255307338589E-2</v>
      </c>
      <c r="M32" s="145">
        <v>4.2184149468732828E-2</v>
      </c>
      <c r="N32" s="145">
        <v>0</v>
      </c>
      <c r="O32" s="145">
        <v>0.18897900000000001</v>
      </c>
      <c r="P32" s="145">
        <v>0.25</v>
      </c>
      <c r="Q32" s="145">
        <v>1.0042536962240061E-2</v>
      </c>
      <c r="R32" s="145">
        <v>0</v>
      </c>
      <c r="S32" s="145">
        <v>4.1666656479166717E-2</v>
      </c>
      <c r="T32" s="145">
        <v>1.0001296448055969E-2</v>
      </c>
      <c r="U32" s="145">
        <v>0</v>
      </c>
      <c r="V32" s="145">
        <v>0</v>
      </c>
      <c r="W32" s="145">
        <v>0.04</v>
      </c>
      <c r="X32" s="145">
        <v>5.2029044471798319E-2</v>
      </c>
      <c r="Y32" s="145">
        <v>0</v>
      </c>
      <c r="Z32" s="145">
        <v>2.0618562036082561E-2</v>
      </c>
      <c r="AA32" s="145">
        <v>0.10526318913684243</v>
      </c>
      <c r="AB32" s="145">
        <v>0.21899993250422076</v>
      </c>
      <c r="AC32" s="145">
        <v>3.9988197112084976E-2</v>
      </c>
      <c r="AD32" s="145">
        <v>0</v>
      </c>
      <c r="AE32" s="145">
        <v>0.20188569856661157</v>
      </c>
      <c r="AF32" s="145">
        <v>0</v>
      </c>
      <c r="AG32" s="145">
        <v>0</v>
      </c>
      <c r="AH32" s="145">
        <v>0</v>
      </c>
      <c r="AI32" s="145">
        <v>0</v>
      </c>
      <c r="AJ32" s="145">
        <v>0</v>
      </c>
      <c r="AK32" s="145">
        <v>0</v>
      </c>
      <c r="AL32" s="145">
        <v>0</v>
      </c>
      <c r="AM32" s="145">
        <v>0</v>
      </c>
      <c r="AN32" s="145">
        <v>0</v>
      </c>
      <c r="AO32" s="145">
        <v>0</v>
      </c>
      <c r="AP32" s="145">
        <v>0</v>
      </c>
      <c r="AQ32" s="145">
        <v>0</v>
      </c>
      <c r="AR32" s="145">
        <v>0</v>
      </c>
      <c r="AS32" s="145">
        <v>0</v>
      </c>
    </row>
    <row r="33" spans="1:45" customFormat="1" x14ac:dyDescent="0.15">
      <c r="A33" s="181" t="s">
        <v>224</v>
      </c>
      <c r="B33" s="145">
        <v>0</v>
      </c>
      <c r="C33" s="145">
        <v>0</v>
      </c>
      <c r="D33" s="145">
        <v>0</v>
      </c>
      <c r="E33" s="145">
        <v>0</v>
      </c>
      <c r="F33" s="145">
        <v>0</v>
      </c>
      <c r="G33" s="145">
        <v>0.11245238837615323</v>
      </c>
      <c r="H33" s="145">
        <v>0</v>
      </c>
      <c r="I33" s="145">
        <v>0</v>
      </c>
      <c r="J33" s="145">
        <v>5.1978261597375758E-2</v>
      </c>
      <c r="K33" s="145">
        <v>0</v>
      </c>
      <c r="L33" s="145">
        <v>0</v>
      </c>
      <c r="M33" s="145">
        <v>2.4525668191123739E-2</v>
      </c>
      <c r="N33" s="145">
        <v>0</v>
      </c>
      <c r="O33" s="145">
        <v>0.69992220000000005</v>
      </c>
      <c r="P33" s="145">
        <v>0.75</v>
      </c>
      <c r="Q33" s="145">
        <v>0.28343936693426797</v>
      </c>
      <c r="R33" s="145">
        <v>0.31906378147168452</v>
      </c>
      <c r="S33" s="145">
        <v>0.38541665495729172</v>
      </c>
      <c r="T33" s="145">
        <v>3.0003889344167905E-2</v>
      </c>
      <c r="U33" s="145">
        <v>0</v>
      </c>
      <c r="V33" s="145">
        <v>0</v>
      </c>
      <c r="W33" s="145">
        <v>0.05</v>
      </c>
      <c r="X33" s="145">
        <v>6.2054706178326952E-2</v>
      </c>
      <c r="Y33" s="145">
        <v>3.869688212971352E-2</v>
      </c>
      <c r="Z33" s="145">
        <v>0.12371132001649451</v>
      </c>
      <c r="AA33" s="145">
        <v>0.10526318913684243</v>
      </c>
      <c r="AB33" s="145">
        <v>0.19999993836001898</v>
      </c>
      <c r="AC33" s="145">
        <v>0.14121968898321824</v>
      </c>
      <c r="AD33" s="145">
        <v>0.41215179434500998</v>
      </c>
      <c r="AE33" s="145">
        <v>0.23391269833921985</v>
      </c>
      <c r="AF33" s="145">
        <v>0</v>
      </c>
      <c r="AG33" s="145">
        <v>0</v>
      </c>
      <c r="AH33" s="145">
        <v>0</v>
      </c>
      <c r="AI33" s="145">
        <v>0</v>
      </c>
      <c r="AJ33" s="145">
        <v>0</v>
      </c>
      <c r="AK33" s="145">
        <v>0</v>
      </c>
      <c r="AL33" s="145">
        <v>0</v>
      </c>
      <c r="AM33" s="145">
        <v>0</v>
      </c>
      <c r="AN33" s="145">
        <v>0</v>
      </c>
      <c r="AO33" s="145">
        <v>0</v>
      </c>
      <c r="AP33" s="145">
        <v>0</v>
      </c>
      <c r="AQ33" s="145">
        <v>0</v>
      </c>
      <c r="AR33" s="145">
        <v>0</v>
      </c>
      <c r="AS33" s="145">
        <v>0</v>
      </c>
    </row>
    <row r="34" spans="1:45" customFormat="1" x14ac:dyDescent="0.15">
      <c r="A34" s="181" t="s">
        <v>225</v>
      </c>
      <c r="B34" s="145">
        <v>0</v>
      </c>
      <c r="C34" s="145">
        <v>0</v>
      </c>
      <c r="D34" s="145">
        <v>0</v>
      </c>
      <c r="E34" s="145">
        <v>0</v>
      </c>
      <c r="F34" s="145">
        <v>0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0</v>
      </c>
      <c r="M34" s="145">
        <v>0</v>
      </c>
      <c r="N34" s="145">
        <v>0</v>
      </c>
      <c r="O34" s="145">
        <v>0</v>
      </c>
      <c r="P34" s="145">
        <v>0</v>
      </c>
      <c r="Q34" s="145">
        <v>0</v>
      </c>
      <c r="R34" s="145">
        <v>0</v>
      </c>
      <c r="S34" s="145">
        <v>0</v>
      </c>
      <c r="T34" s="145">
        <v>0</v>
      </c>
      <c r="U34" s="145">
        <v>0</v>
      </c>
      <c r="V34" s="145">
        <v>0</v>
      </c>
      <c r="W34" s="145">
        <v>0</v>
      </c>
      <c r="X34" s="145">
        <v>0</v>
      </c>
      <c r="Y34" s="145">
        <v>0</v>
      </c>
      <c r="Z34" s="145">
        <v>0</v>
      </c>
      <c r="AA34" s="145">
        <v>0</v>
      </c>
      <c r="AB34" s="145">
        <v>2.9999990754002843E-2</v>
      </c>
      <c r="AC34" s="145">
        <v>0</v>
      </c>
      <c r="AD34" s="145">
        <v>0.10530199364308002</v>
      </c>
      <c r="AE34" s="145">
        <v>0.21197989849494273</v>
      </c>
      <c r="AF34" s="145">
        <v>0.2</v>
      </c>
      <c r="AG34" s="145">
        <v>0</v>
      </c>
      <c r="AH34" s="145">
        <v>0</v>
      </c>
      <c r="AI34" s="145">
        <v>0</v>
      </c>
      <c r="AJ34" s="145">
        <v>0</v>
      </c>
      <c r="AK34" s="145">
        <v>0</v>
      </c>
      <c r="AL34" s="145">
        <v>0</v>
      </c>
      <c r="AM34" s="145">
        <v>0</v>
      </c>
      <c r="AN34" s="145">
        <v>0</v>
      </c>
      <c r="AO34" s="145">
        <v>0</v>
      </c>
      <c r="AP34" s="145">
        <v>0</v>
      </c>
      <c r="AQ34" s="145">
        <v>0</v>
      </c>
      <c r="AR34" s="145">
        <v>0</v>
      </c>
      <c r="AS34" s="145">
        <v>0</v>
      </c>
    </row>
    <row r="35" spans="1:45" customFormat="1" x14ac:dyDescent="0.15">
      <c r="A35" s="181" t="s">
        <v>226</v>
      </c>
      <c r="B35" s="145">
        <v>0</v>
      </c>
      <c r="C35" s="145">
        <v>0</v>
      </c>
      <c r="D35" s="145">
        <v>0</v>
      </c>
      <c r="E35" s="145">
        <v>0</v>
      </c>
      <c r="F35" s="145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3.4579967933052493E-2</v>
      </c>
      <c r="L35" s="145">
        <v>4.9202326848098998E-2</v>
      </c>
      <c r="M35" s="145">
        <v>0</v>
      </c>
      <c r="N35" s="145">
        <v>0</v>
      </c>
      <c r="O35" s="145">
        <v>0</v>
      </c>
      <c r="P35" s="145">
        <v>0</v>
      </c>
      <c r="Q35" s="145">
        <v>0</v>
      </c>
      <c r="R35" s="145">
        <v>0</v>
      </c>
      <c r="S35" s="145">
        <v>0</v>
      </c>
      <c r="T35" s="145">
        <v>0</v>
      </c>
      <c r="U35" s="145">
        <v>0</v>
      </c>
      <c r="V35" s="145">
        <v>0</v>
      </c>
      <c r="W35" s="145">
        <v>0</v>
      </c>
      <c r="X35" s="145">
        <v>0</v>
      </c>
      <c r="Y35" s="145">
        <v>0</v>
      </c>
      <c r="Z35" s="145">
        <v>0</v>
      </c>
      <c r="AA35" s="145">
        <v>0.27315783795010468</v>
      </c>
      <c r="AB35" s="145">
        <v>3.9999987672003794E-2</v>
      </c>
      <c r="AC35" s="145">
        <v>0</v>
      </c>
      <c r="AD35" s="145">
        <v>0</v>
      </c>
      <c r="AE35" s="145">
        <v>3.028284978499177E-2</v>
      </c>
      <c r="AF35" s="145">
        <v>0</v>
      </c>
      <c r="AG35" s="145">
        <v>0</v>
      </c>
      <c r="AH35" s="145">
        <v>0</v>
      </c>
      <c r="AI35" s="145">
        <v>0</v>
      </c>
      <c r="AJ35" s="145">
        <v>0</v>
      </c>
      <c r="AK35" s="145">
        <v>0</v>
      </c>
      <c r="AL35" s="145">
        <v>0</v>
      </c>
      <c r="AM35" s="145">
        <v>0</v>
      </c>
      <c r="AN35" s="145">
        <v>0</v>
      </c>
      <c r="AO35" s="145">
        <v>0</v>
      </c>
      <c r="AP35" s="145">
        <v>0</v>
      </c>
      <c r="AQ35" s="145">
        <v>0</v>
      </c>
      <c r="AR35" s="145">
        <v>0</v>
      </c>
      <c r="AS35" s="145">
        <v>0</v>
      </c>
    </row>
    <row r="36" spans="1:45" customFormat="1" x14ac:dyDescent="0.15">
      <c r="A36" s="181" t="s">
        <v>227</v>
      </c>
      <c r="B36" s="145">
        <v>0</v>
      </c>
      <c r="C36" s="145">
        <v>0.11960059996411981</v>
      </c>
      <c r="D36" s="145">
        <v>0.45787969317759253</v>
      </c>
      <c r="E36" s="145">
        <v>0</v>
      </c>
      <c r="F36" s="145">
        <v>0</v>
      </c>
      <c r="G36" s="145">
        <v>6.74714202256919E-2</v>
      </c>
      <c r="H36" s="145">
        <v>2.9899234991165896E-2</v>
      </c>
      <c r="I36" s="145">
        <v>0</v>
      </c>
      <c r="J36" s="145">
        <v>7.5987187437867212E-2</v>
      </c>
      <c r="K36" s="145">
        <v>1.3223215031661059E-2</v>
      </c>
      <c r="L36" s="145">
        <v>0.19456684658564619</v>
      </c>
      <c r="M36" s="145">
        <v>9.8119242764286269E-2</v>
      </c>
      <c r="N36" s="145">
        <v>0</v>
      </c>
      <c r="O36" s="145">
        <v>0</v>
      </c>
      <c r="P36" s="145">
        <v>0</v>
      </c>
      <c r="Q36" s="145">
        <v>5.0212684811200302E-2</v>
      </c>
      <c r="R36" s="145">
        <v>0.34033456236979748</v>
      </c>
      <c r="S36" s="145">
        <v>3.124999793437501E-2</v>
      </c>
      <c r="T36" s="145">
        <v>0.22902968866048171</v>
      </c>
      <c r="U36" s="145">
        <v>0.27208592201331261</v>
      </c>
      <c r="V36" s="145">
        <v>0.08</v>
      </c>
      <c r="W36" s="145">
        <v>0.21</v>
      </c>
      <c r="X36" s="145">
        <v>0.31828055455657944</v>
      </c>
      <c r="Y36" s="145">
        <v>0</v>
      </c>
      <c r="Z36" s="145">
        <v>0.41237113572164952</v>
      </c>
      <c r="AA36" s="145">
        <v>3.1578947241052632E-2</v>
      </c>
      <c r="AB36" s="145">
        <v>4.9999966690010257E-2</v>
      </c>
      <c r="AC36" s="145">
        <v>0.4888374774803701</v>
      </c>
      <c r="AD36" s="145">
        <v>9.5035002385378542E-2</v>
      </c>
      <c r="AE36" s="145">
        <v>6.056569956998354E-2</v>
      </c>
      <c r="AF36" s="145">
        <v>0</v>
      </c>
      <c r="AG36" s="145">
        <v>0</v>
      </c>
      <c r="AH36" s="145">
        <v>0</v>
      </c>
      <c r="AI36" s="145">
        <v>0</v>
      </c>
      <c r="AJ36" s="145">
        <v>0</v>
      </c>
      <c r="AK36" s="145">
        <v>0</v>
      </c>
      <c r="AL36" s="145">
        <v>0</v>
      </c>
      <c r="AM36" s="145">
        <v>0</v>
      </c>
      <c r="AN36" s="145">
        <v>0</v>
      </c>
      <c r="AO36" s="145">
        <v>0</v>
      </c>
      <c r="AP36" s="145">
        <v>0</v>
      </c>
      <c r="AQ36" s="145">
        <v>0</v>
      </c>
      <c r="AR36" s="145">
        <v>0</v>
      </c>
      <c r="AS36" s="145">
        <v>0</v>
      </c>
    </row>
    <row r="37" spans="1:45" customFormat="1" x14ac:dyDescent="0.15">
      <c r="A37" s="181" t="s">
        <v>228</v>
      </c>
      <c r="B37" s="145">
        <v>0</v>
      </c>
      <c r="C37" s="145">
        <v>0</v>
      </c>
      <c r="D37" s="145">
        <v>0.16280172557425426</v>
      </c>
      <c r="E37" s="145">
        <v>0</v>
      </c>
      <c r="F37" s="145">
        <v>0</v>
      </c>
      <c r="G37" s="145">
        <v>2.2490477275230646E-2</v>
      </c>
      <c r="H37" s="145">
        <v>0</v>
      </c>
      <c r="I37" s="145">
        <v>0</v>
      </c>
      <c r="J37" s="145">
        <v>0.59989884819368855</v>
      </c>
      <c r="K37" s="145">
        <v>1.1998684214690074E-2</v>
      </c>
      <c r="L37" s="145">
        <v>3.4452090103700789E-2</v>
      </c>
      <c r="M37" s="145">
        <v>3.9247694905714531E-2</v>
      </c>
      <c r="N37" s="145">
        <v>0</v>
      </c>
      <c r="O37" s="145">
        <v>0</v>
      </c>
      <c r="P37" s="145">
        <v>0</v>
      </c>
      <c r="Q37" s="145">
        <v>1.8076565032032116E-2</v>
      </c>
      <c r="R37" s="145">
        <v>9.5719113441505452E-2</v>
      </c>
      <c r="S37" s="145">
        <v>0.19791668595104156</v>
      </c>
      <c r="T37" s="145">
        <v>0.58807623114569096</v>
      </c>
      <c r="U37" s="145">
        <v>0.56417816182172165</v>
      </c>
      <c r="V37" s="145">
        <v>0.77</v>
      </c>
      <c r="W37" s="145">
        <v>0.5</v>
      </c>
      <c r="X37" s="145">
        <v>5.323841909671144E-2</v>
      </c>
      <c r="Y37" s="145">
        <v>8.444491732587231E-2</v>
      </c>
      <c r="Z37" s="145">
        <v>0.36082473988144326</v>
      </c>
      <c r="AA37" s="145">
        <v>0</v>
      </c>
      <c r="AB37" s="145">
        <v>0</v>
      </c>
      <c r="AC37" s="145">
        <v>3.2589155965358066E-2</v>
      </c>
      <c r="AD37" s="145">
        <v>2.000736870218495E-2</v>
      </c>
      <c r="AE37" s="145">
        <v>0.1110370992116366</v>
      </c>
      <c r="AF37" s="145">
        <v>0</v>
      </c>
      <c r="AG37" s="145">
        <v>0</v>
      </c>
      <c r="AH37" s="145">
        <v>0</v>
      </c>
      <c r="AI37" s="145">
        <v>0.05</v>
      </c>
      <c r="AJ37" s="145">
        <v>0.25</v>
      </c>
      <c r="AK37" s="145">
        <v>0.02</v>
      </c>
      <c r="AL37" s="145">
        <v>0</v>
      </c>
      <c r="AM37" s="145">
        <v>0</v>
      </c>
      <c r="AN37" s="145">
        <v>0</v>
      </c>
      <c r="AO37" s="145">
        <v>0</v>
      </c>
      <c r="AP37" s="145">
        <v>0</v>
      </c>
      <c r="AQ37" s="145">
        <v>0</v>
      </c>
      <c r="AR37" s="145">
        <v>0</v>
      </c>
      <c r="AS37" s="145">
        <v>0</v>
      </c>
    </row>
    <row r="38" spans="1:45" customFormat="1" x14ac:dyDescent="0.15">
      <c r="A38" s="181" t="s">
        <v>229</v>
      </c>
      <c r="B38" s="145">
        <v>0</v>
      </c>
      <c r="C38" s="145">
        <v>0</v>
      </c>
      <c r="D38" s="145">
        <v>0</v>
      </c>
      <c r="E38" s="145">
        <v>0</v>
      </c>
      <c r="F38" s="145">
        <v>0</v>
      </c>
      <c r="G38" s="145">
        <v>0</v>
      </c>
      <c r="H38" s="145">
        <v>0</v>
      </c>
      <c r="I38" s="145">
        <v>0</v>
      </c>
      <c r="J38" s="145">
        <v>0</v>
      </c>
      <c r="K38" s="145">
        <v>0</v>
      </c>
      <c r="L38" s="145">
        <v>0</v>
      </c>
      <c r="M38" s="145">
        <v>0</v>
      </c>
      <c r="N38" s="145">
        <v>0</v>
      </c>
      <c r="O38" s="145">
        <v>0</v>
      </c>
      <c r="P38" s="145">
        <v>0</v>
      </c>
      <c r="Q38" s="145">
        <v>0</v>
      </c>
      <c r="R38" s="145">
        <v>0</v>
      </c>
      <c r="S38" s="145">
        <v>0</v>
      </c>
      <c r="T38" s="145">
        <v>0</v>
      </c>
      <c r="U38" s="145">
        <v>0</v>
      </c>
      <c r="V38" s="145">
        <v>0.15</v>
      </c>
      <c r="W38" s="145">
        <v>0.2</v>
      </c>
      <c r="X38" s="145">
        <v>0</v>
      </c>
      <c r="Y38" s="145">
        <v>0</v>
      </c>
      <c r="Z38" s="145">
        <v>0</v>
      </c>
      <c r="AA38" s="145">
        <v>0</v>
      </c>
      <c r="AB38" s="145">
        <v>0</v>
      </c>
      <c r="AC38" s="145">
        <v>0</v>
      </c>
      <c r="AD38" s="145">
        <v>0</v>
      </c>
      <c r="AE38" s="145">
        <v>0</v>
      </c>
      <c r="AF38" s="145">
        <v>0</v>
      </c>
      <c r="AG38" s="145">
        <v>0</v>
      </c>
      <c r="AH38" s="145">
        <v>0</v>
      </c>
      <c r="AI38" s="145">
        <v>0.05</v>
      </c>
      <c r="AJ38" s="145">
        <v>0.25</v>
      </c>
      <c r="AK38" s="145">
        <v>0.38</v>
      </c>
      <c r="AL38" s="145">
        <v>2.0000000000000004E-2</v>
      </c>
      <c r="AM38" s="145">
        <v>0</v>
      </c>
      <c r="AN38" s="145">
        <v>0</v>
      </c>
      <c r="AO38" s="145">
        <v>0</v>
      </c>
      <c r="AP38" s="145">
        <v>0</v>
      </c>
      <c r="AQ38" s="145">
        <v>0</v>
      </c>
      <c r="AR38" s="145">
        <v>0</v>
      </c>
      <c r="AS38" s="145">
        <v>0</v>
      </c>
    </row>
    <row r="39" spans="1:45" x14ac:dyDescent="0.15">
      <c r="A39" s="181" t="s">
        <v>230</v>
      </c>
      <c r="B39" s="145">
        <v>0</v>
      </c>
      <c r="C39" s="145">
        <v>0</v>
      </c>
      <c r="D39" s="145">
        <v>0</v>
      </c>
      <c r="E39" s="145">
        <v>0</v>
      </c>
      <c r="F39" s="145">
        <v>0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0</v>
      </c>
      <c r="M39" s="145">
        <v>0</v>
      </c>
      <c r="N39" s="145">
        <v>0</v>
      </c>
      <c r="O39" s="145">
        <v>0</v>
      </c>
      <c r="P39" s="145">
        <v>0</v>
      </c>
      <c r="Q39" s="145">
        <v>0</v>
      </c>
      <c r="R39" s="145">
        <v>0</v>
      </c>
      <c r="S39" s="145">
        <v>0</v>
      </c>
      <c r="T39" s="145">
        <v>0</v>
      </c>
      <c r="U39" s="145">
        <v>0</v>
      </c>
      <c r="V39" s="145">
        <v>0</v>
      </c>
      <c r="W39" s="145">
        <v>0</v>
      </c>
      <c r="X39" s="145">
        <v>0</v>
      </c>
      <c r="Y39" s="145">
        <v>0</v>
      </c>
      <c r="Z39" s="145">
        <v>0</v>
      </c>
      <c r="AA39" s="145">
        <v>0</v>
      </c>
      <c r="AB39" s="145">
        <v>0</v>
      </c>
      <c r="AC39" s="145">
        <v>0</v>
      </c>
      <c r="AD39" s="145">
        <v>0</v>
      </c>
      <c r="AE39" s="145">
        <v>0</v>
      </c>
      <c r="AF39" s="145">
        <v>0.15</v>
      </c>
      <c r="AG39" s="145">
        <v>0.05</v>
      </c>
      <c r="AH39" s="145">
        <v>0.1</v>
      </c>
      <c r="AI39" s="145">
        <v>0</v>
      </c>
      <c r="AJ39" s="145">
        <v>0</v>
      </c>
      <c r="AK39" s="145">
        <v>0</v>
      </c>
      <c r="AL39" s="145">
        <v>0.13000000000000003</v>
      </c>
      <c r="AM39" s="145">
        <v>0</v>
      </c>
      <c r="AN39" s="145">
        <v>0</v>
      </c>
      <c r="AO39" s="145">
        <v>0</v>
      </c>
      <c r="AP39" s="145">
        <v>0</v>
      </c>
      <c r="AQ39" s="145">
        <v>0</v>
      </c>
      <c r="AR39" s="145">
        <v>0</v>
      </c>
      <c r="AS39" s="145">
        <v>0</v>
      </c>
    </row>
    <row r="40" spans="1:45" x14ac:dyDescent="0.15">
      <c r="A40" s="181" t="s">
        <v>231</v>
      </c>
      <c r="B40" s="145">
        <v>0</v>
      </c>
      <c r="C40" s="145">
        <v>0</v>
      </c>
      <c r="D40" s="145">
        <v>0</v>
      </c>
      <c r="E40" s="145">
        <v>0</v>
      </c>
      <c r="F40" s="145">
        <v>0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0</v>
      </c>
      <c r="M40" s="145">
        <v>0</v>
      </c>
      <c r="N40" s="145">
        <v>0</v>
      </c>
      <c r="O40" s="145">
        <v>0</v>
      </c>
      <c r="P40" s="145">
        <v>0</v>
      </c>
      <c r="Q40" s="145">
        <v>0</v>
      </c>
      <c r="R40" s="145">
        <v>0</v>
      </c>
      <c r="S40" s="145">
        <v>0.12499999233750005</v>
      </c>
      <c r="T40" s="145">
        <v>0</v>
      </c>
      <c r="U40" s="145">
        <v>0</v>
      </c>
      <c r="V40" s="145">
        <v>0</v>
      </c>
      <c r="W40" s="145">
        <v>0</v>
      </c>
      <c r="X40" s="145">
        <v>0</v>
      </c>
      <c r="Y40" s="145">
        <v>0</v>
      </c>
      <c r="Z40" s="145">
        <v>0</v>
      </c>
      <c r="AA40" s="145">
        <v>0</v>
      </c>
      <c r="AB40" s="145">
        <v>4.9999966690010257E-2</v>
      </c>
      <c r="AC40" s="145">
        <v>0</v>
      </c>
      <c r="AD40" s="145">
        <v>0</v>
      </c>
      <c r="AE40" s="145">
        <v>0</v>
      </c>
      <c r="AF40" s="145">
        <v>0</v>
      </c>
      <c r="AG40" s="145">
        <v>0.55000000000000004</v>
      </c>
      <c r="AH40" s="145">
        <v>0.05</v>
      </c>
      <c r="AI40" s="145">
        <v>0.9</v>
      </c>
      <c r="AJ40" s="145">
        <v>0.5</v>
      </c>
      <c r="AK40" s="145">
        <v>0.15</v>
      </c>
      <c r="AL40" s="145">
        <v>0.29000000000000004</v>
      </c>
      <c r="AM40" s="145">
        <v>0</v>
      </c>
      <c r="AN40" s="145">
        <v>0</v>
      </c>
      <c r="AO40" s="145">
        <v>0</v>
      </c>
      <c r="AP40" s="145">
        <v>0</v>
      </c>
      <c r="AQ40" s="145">
        <v>0</v>
      </c>
      <c r="AR40" s="145">
        <v>0</v>
      </c>
      <c r="AS40" s="145">
        <v>0</v>
      </c>
    </row>
    <row r="41" spans="1:45" x14ac:dyDescent="0.15">
      <c r="A41" s="181" t="s">
        <v>232</v>
      </c>
      <c r="B41" s="145">
        <v>0</v>
      </c>
      <c r="C41" s="145">
        <v>0</v>
      </c>
      <c r="D41" s="145">
        <v>0</v>
      </c>
      <c r="E41" s="145">
        <v>0</v>
      </c>
      <c r="F41" s="145">
        <v>0</v>
      </c>
      <c r="G41" s="145">
        <v>0</v>
      </c>
      <c r="H41" s="145">
        <v>0</v>
      </c>
      <c r="I41" s="145">
        <v>0</v>
      </c>
      <c r="J41" s="145">
        <v>0</v>
      </c>
      <c r="K41" s="145">
        <v>0</v>
      </c>
      <c r="L41" s="145">
        <v>0</v>
      </c>
      <c r="M41" s="145">
        <v>0</v>
      </c>
      <c r="N41" s="145">
        <v>0</v>
      </c>
      <c r="O41" s="145">
        <v>0</v>
      </c>
      <c r="P41" s="145">
        <v>0</v>
      </c>
      <c r="Q41" s="145">
        <v>0</v>
      </c>
      <c r="R41" s="145">
        <v>0</v>
      </c>
      <c r="S41" s="145">
        <v>0</v>
      </c>
      <c r="T41" s="145">
        <v>0</v>
      </c>
      <c r="U41" s="145">
        <v>0</v>
      </c>
      <c r="V41" s="145">
        <v>0</v>
      </c>
      <c r="W41" s="145">
        <v>0</v>
      </c>
      <c r="X41" s="145">
        <v>0</v>
      </c>
      <c r="Y41" s="145">
        <v>0</v>
      </c>
      <c r="Z41" s="145">
        <v>0</v>
      </c>
      <c r="AA41" s="145">
        <v>0</v>
      </c>
      <c r="AB41" s="145">
        <v>0</v>
      </c>
      <c r="AC41" s="145">
        <v>0</v>
      </c>
      <c r="AD41" s="145">
        <v>0</v>
      </c>
      <c r="AE41" s="145">
        <v>0</v>
      </c>
      <c r="AF41" s="145">
        <v>0</v>
      </c>
      <c r="AG41" s="145">
        <v>0.1</v>
      </c>
      <c r="AH41" s="145">
        <v>0.05</v>
      </c>
      <c r="AI41" s="145">
        <v>0</v>
      </c>
      <c r="AJ41" s="145">
        <v>0</v>
      </c>
      <c r="AK41" s="145">
        <v>0.3</v>
      </c>
      <c r="AL41" s="145">
        <v>0.20000000000000004</v>
      </c>
      <c r="AM41" s="145">
        <v>0.02</v>
      </c>
      <c r="AN41" s="145">
        <v>0</v>
      </c>
      <c r="AO41" s="145">
        <v>0</v>
      </c>
      <c r="AP41" s="145">
        <v>0</v>
      </c>
      <c r="AQ41" s="145">
        <v>0</v>
      </c>
      <c r="AR41" s="145">
        <v>0</v>
      </c>
      <c r="AS41" s="145">
        <v>0</v>
      </c>
    </row>
    <row r="42" spans="1:45" x14ac:dyDescent="0.15">
      <c r="A42" s="181" t="s">
        <v>233</v>
      </c>
      <c r="B42" s="145">
        <v>0</v>
      </c>
      <c r="C42" s="145">
        <v>0</v>
      </c>
      <c r="D42" s="145">
        <v>0</v>
      </c>
      <c r="E42" s="145">
        <v>0</v>
      </c>
      <c r="F42" s="145">
        <v>0</v>
      </c>
      <c r="G42" s="145">
        <v>0</v>
      </c>
      <c r="H42" s="145">
        <v>0</v>
      </c>
      <c r="I42" s="145">
        <v>0</v>
      </c>
      <c r="J42" s="145">
        <v>0</v>
      </c>
      <c r="K42" s="145">
        <v>0</v>
      </c>
      <c r="L42" s="145">
        <v>0</v>
      </c>
      <c r="M42" s="145">
        <v>0</v>
      </c>
      <c r="N42" s="145">
        <v>0</v>
      </c>
      <c r="O42" s="145">
        <v>0</v>
      </c>
      <c r="P42" s="145">
        <v>0</v>
      </c>
      <c r="Q42" s="145">
        <v>0</v>
      </c>
      <c r="R42" s="145">
        <v>0</v>
      </c>
      <c r="S42" s="145">
        <v>0</v>
      </c>
      <c r="T42" s="145">
        <v>0</v>
      </c>
      <c r="U42" s="145">
        <v>0</v>
      </c>
      <c r="V42" s="145">
        <v>0</v>
      </c>
      <c r="W42" s="145">
        <v>0</v>
      </c>
      <c r="X42" s="145">
        <v>0</v>
      </c>
      <c r="Y42" s="145">
        <v>1.399849767367047E-2</v>
      </c>
      <c r="Z42" s="145">
        <v>0</v>
      </c>
      <c r="AA42" s="145">
        <v>0</v>
      </c>
      <c r="AB42" s="145">
        <v>0</v>
      </c>
      <c r="AC42" s="145">
        <v>3.8976635519368218E-2</v>
      </c>
      <c r="AD42" s="145">
        <v>0</v>
      </c>
      <c r="AE42" s="145">
        <v>0</v>
      </c>
      <c r="AF42" s="145">
        <v>0</v>
      </c>
      <c r="AG42" s="145">
        <v>0</v>
      </c>
      <c r="AH42" s="145">
        <v>0</v>
      </c>
      <c r="AI42" s="145">
        <v>0</v>
      </c>
      <c r="AJ42" s="145">
        <v>0</v>
      </c>
      <c r="AK42" s="145">
        <v>0</v>
      </c>
      <c r="AL42" s="145">
        <v>0</v>
      </c>
      <c r="AM42" s="145">
        <v>0</v>
      </c>
      <c r="AN42" s="145">
        <v>0</v>
      </c>
      <c r="AO42" s="145">
        <v>0</v>
      </c>
      <c r="AP42" s="145">
        <v>0</v>
      </c>
      <c r="AQ42" s="145">
        <v>0</v>
      </c>
      <c r="AR42" s="145">
        <v>0</v>
      </c>
      <c r="AS42" s="145">
        <v>0</v>
      </c>
    </row>
    <row r="43" spans="1:45" x14ac:dyDescent="0.15">
      <c r="A43" s="181" t="s">
        <v>234</v>
      </c>
      <c r="B43" s="145">
        <v>7.8071489984385692E-2</v>
      </c>
      <c r="C43" s="145">
        <v>0.28903478391328957</v>
      </c>
      <c r="D43" s="1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5">
        <v>0</v>
      </c>
      <c r="O43" s="145">
        <v>0</v>
      </c>
      <c r="P43" s="145">
        <v>0</v>
      </c>
      <c r="Q43" s="145">
        <v>0</v>
      </c>
      <c r="R43" s="145">
        <v>9.9999989521000053E-5</v>
      </c>
      <c r="S43" s="145">
        <v>0</v>
      </c>
      <c r="T43" s="145">
        <v>0</v>
      </c>
      <c r="U43" s="145">
        <v>0</v>
      </c>
      <c r="V43" s="145">
        <v>0</v>
      </c>
      <c r="W43" s="145">
        <v>0</v>
      </c>
      <c r="X43" s="145">
        <v>0</v>
      </c>
      <c r="Y43" s="145">
        <v>0</v>
      </c>
      <c r="Z43" s="145">
        <v>0</v>
      </c>
      <c r="AA43" s="145">
        <v>0</v>
      </c>
      <c r="AB43" s="145">
        <v>5.0004044588753448E-3</v>
      </c>
      <c r="AC43" s="145">
        <v>4.9985255640106153E-3</v>
      </c>
      <c r="AD43" s="145">
        <v>0</v>
      </c>
      <c r="AE43" s="145">
        <v>9.9962709290264771E-4</v>
      </c>
      <c r="AF43" s="145">
        <v>0</v>
      </c>
      <c r="AG43" s="145">
        <v>0</v>
      </c>
      <c r="AH43" s="145">
        <v>0</v>
      </c>
      <c r="AI43" s="145">
        <v>0</v>
      </c>
      <c r="AJ43" s="145">
        <v>0</v>
      </c>
      <c r="AK43" s="145">
        <v>0</v>
      </c>
      <c r="AL43" s="145">
        <v>0</v>
      </c>
      <c r="AM43" s="145">
        <v>0</v>
      </c>
      <c r="AN43" s="145">
        <v>0</v>
      </c>
      <c r="AO43" s="145">
        <v>0</v>
      </c>
      <c r="AP43" s="145">
        <v>0</v>
      </c>
      <c r="AQ43" s="145">
        <v>0</v>
      </c>
      <c r="AR43" s="145">
        <v>0</v>
      </c>
      <c r="AS43" s="145">
        <v>0</v>
      </c>
    </row>
    <row r="44" spans="1:45" x14ac:dyDescent="0.15">
      <c r="A44" s="181" t="s">
        <v>235</v>
      </c>
      <c r="B44" s="145">
        <v>0</v>
      </c>
      <c r="C44" s="145">
        <v>0</v>
      </c>
      <c r="D44" s="145">
        <v>0</v>
      </c>
      <c r="E44" s="145">
        <v>0</v>
      </c>
      <c r="F44" s="145">
        <v>1.0128588718364157E-3</v>
      </c>
      <c r="G44" s="145">
        <v>4.0049916233966965E-3</v>
      </c>
      <c r="H44" s="145">
        <v>0</v>
      </c>
      <c r="I44" s="145">
        <v>0</v>
      </c>
      <c r="J44" s="145">
        <v>0</v>
      </c>
      <c r="K44" s="145">
        <v>0</v>
      </c>
      <c r="L44" s="145">
        <v>0</v>
      </c>
      <c r="M44" s="145">
        <v>7.4558033561016132E-2</v>
      </c>
      <c r="N44" s="145">
        <v>0</v>
      </c>
      <c r="O44" s="145">
        <v>0</v>
      </c>
      <c r="P44" s="145">
        <v>0</v>
      </c>
      <c r="Q44" s="145">
        <v>1.0042537462240056E-3</v>
      </c>
      <c r="R44" s="145">
        <v>9.9983289521080065E-4</v>
      </c>
      <c r="S44" s="145">
        <v>0</v>
      </c>
      <c r="T44" s="145">
        <v>0</v>
      </c>
      <c r="U44" s="145">
        <v>0</v>
      </c>
      <c r="V44" s="145">
        <v>0</v>
      </c>
      <c r="W44" s="145">
        <v>0</v>
      </c>
      <c r="X44" s="145">
        <v>0</v>
      </c>
      <c r="Y44" s="145">
        <v>0</v>
      </c>
      <c r="Z44" s="145">
        <v>0</v>
      </c>
      <c r="AA44" s="145">
        <v>0</v>
      </c>
      <c r="AB44" s="145">
        <v>0.14599989300283295</v>
      </c>
      <c r="AC44" s="145">
        <v>6.0982007060929537E-2</v>
      </c>
      <c r="AD44" s="145">
        <v>0.2500810682770348</v>
      </c>
      <c r="AE44" s="145">
        <v>0.10895929922638897</v>
      </c>
      <c r="AF44" s="145">
        <v>0.65</v>
      </c>
      <c r="AG44" s="145">
        <v>0.3</v>
      </c>
      <c r="AH44" s="145">
        <v>0.8</v>
      </c>
      <c r="AI44" s="145">
        <v>0</v>
      </c>
      <c r="AJ44" s="145">
        <v>0</v>
      </c>
      <c r="AK44" s="145">
        <v>0.15</v>
      </c>
      <c r="AL44" s="145">
        <v>0.36000000000000004</v>
      </c>
      <c r="AM44" s="145">
        <v>0.98</v>
      </c>
      <c r="AN44" s="145">
        <v>0</v>
      </c>
      <c r="AO44" s="145">
        <v>0</v>
      </c>
      <c r="AP44" s="145">
        <v>0</v>
      </c>
      <c r="AQ44" s="145">
        <v>0</v>
      </c>
      <c r="AR44" s="145">
        <v>0</v>
      </c>
      <c r="AS44" s="145">
        <v>0</v>
      </c>
    </row>
    <row r="45" spans="1:45" x14ac:dyDescent="0.15">
      <c r="A45" s="181" t="s">
        <v>236</v>
      </c>
      <c r="B45" s="145">
        <v>0</v>
      </c>
      <c r="C45" s="145">
        <v>0</v>
      </c>
      <c r="D45" s="145">
        <v>0</v>
      </c>
      <c r="E45" s="145">
        <v>0</v>
      </c>
      <c r="F45" s="145">
        <v>0</v>
      </c>
      <c r="G45" s="145">
        <v>0</v>
      </c>
      <c r="H45" s="145">
        <v>0</v>
      </c>
      <c r="I45" s="145">
        <v>0</v>
      </c>
      <c r="J45" s="145">
        <v>0</v>
      </c>
      <c r="K45" s="145">
        <v>0</v>
      </c>
      <c r="L45" s="145">
        <v>0</v>
      </c>
      <c r="M45" s="145">
        <v>0</v>
      </c>
      <c r="N45" s="145">
        <v>0</v>
      </c>
      <c r="O45" s="145">
        <v>0</v>
      </c>
      <c r="P45" s="145">
        <v>0</v>
      </c>
      <c r="Q45" s="145">
        <v>0</v>
      </c>
      <c r="R45" s="145">
        <v>0</v>
      </c>
      <c r="S45" s="145">
        <v>0</v>
      </c>
      <c r="T45" s="145">
        <v>0</v>
      </c>
      <c r="U45" s="145">
        <v>0</v>
      </c>
      <c r="V45" s="145">
        <v>0</v>
      </c>
      <c r="W45" s="145">
        <v>0</v>
      </c>
      <c r="X45" s="145">
        <v>0</v>
      </c>
      <c r="Y45" s="145">
        <v>0</v>
      </c>
      <c r="Z45" s="145">
        <v>0</v>
      </c>
      <c r="AA45" s="145">
        <v>0</v>
      </c>
      <c r="AB45" s="145">
        <v>0</v>
      </c>
      <c r="AC45" s="145">
        <v>0</v>
      </c>
      <c r="AD45" s="145">
        <v>0</v>
      </c>
      <c r="AE45" s="145">
        <v>0</v>
      </c>
      <c r="AF45" s="145">
        <v>0</v>
      </c>
      <c r="AG45" s="145">
        <v>0</v>
      </c>
      <c r="AH45" s="145">
        <v>0</v>
      </c>
      <c r="AI45" s="145">
        <v>0</v>
      </c>
      <c r="AJ45" s="145">
        <v>0</v>
      </c>
      <c r="AK45" s="145">
        <v>0</v>
      </c>
      <c r="AL45" s="145">
        <v>0</v>
      </c>
      <c r="AM45" s="145">
        <v>0</v>
      </c>
      <c r="AN45" s="145">
        <v>0</v>
      </c>
      <c r="AO45" s="145">
        <v>0</v>
      </c>
      <c r="AP45" s="145">
        <v>0</v>
      </c>
      <c r="AQ45" s="145">
        <v>0</v>
      </c>
      <c r="AR45" s="145">
        <v>0</v>
      </c>
      <c r="AS45" s="145">
        <v>0</v>
      </c>
    </row>
    <row r="46" spans="1:45" x14ac:dyDescent="0.15">
      <c r="A46" s="181" t="s">
        <v>238</v>
      </c>
      <c r="B46" s="145">
        <v>0</v>
      </c>
      <c r="C46" s="145">
        <v>0</v>
      </c>
      <c r="D46" s="145">
        <v>0</v>
      </c>
      <c r="E46" s="145">
        <v>0</v>
      </c>
      <c r="F46" s="145">
        <v>0</v>
      </c>
      <c r="G46" s="145">
        <v>0</v>
      </c>
      <c r="H46" s="145">
        <v>0.19599999469780816</v>
      </c>
      <c r="I46" s="145">
        <v>0</v>
      </c>
      <c r="J46" s="145">
        <v>0</v>
      </c>
      <c r="K46" s="145">
        <v>0</v>
      </c>
      <c r="L46" s="145">
        <v>0</v>
      </c>
      <c r="M46" s="145">
        <v>0</v>
      </c>
      <c r="N46" s="145">
        <v>0</v>
      </c>
      <c r="O46" s="145">
        <v>0</v>
      </c>
      <c r="P46" s="145">
        <v>0</v>
      </c>
      <c r="Q46" s="145">
        <v>0</v>
      </c>
      <c r="R46" s="145">
        <v>0</v>
      </c>
      <c r="S46" s="145">
        <v>0</v>
      </c>
      <c r="T46" s="145">
        <v>0</v>
      </c>
      <c r="U46" s="145">
        <v>0</v>
      </c>
      <c r="V46" s="145">
        <v>0</v>
      </c>
      <c r="W46" s="145">
        <v>0</v>
      </c>
      <c r="X46" s="145">
        <v>0</v>
      </c>
      <c r="Y46" s="145">
        <v>0</v>
      </c>
      <c r="Z46" s="145">
        <v>0</v>
      </c>
      <c r="AA46" s="145">
        <v>0</v>
      </c>
      <c r="AB46" s="145">
        <v>0</v>
      </c>
      <c r="AC46" s="145">
        <v>0</v>
      </c>
      <c r="AD46" s="145">
        <v>0</v>
      </c>
      <c r="AE46" s="145">
        <v>0</v>
      </c>
      <c r="AF46" s="145">
        <v>0</v>
      </c>
      <c r="AG46" s="145">
        <v>0</v>
      </c>
      <c r="AH46" s="145">
        <v>0</v>
      </c>
      <c r="AI46" s="145">
        <v>0</v>
      </c>
      <c r="AJ46" s="145">
        <v>0</v>
      </c>
      <c r="AK46" s="145">
        <v>0</v>
      </c>
      <c r="AL46" s="145">
        <v>0</v>
      </c>
      <c r="AM46" s="145">
        <v>0</v>
      </c>
      <c r="AN46" s="145">
        <v>0</v>
      </c>
      <c r="AO46" s="145">
        <v>0</v>
      </c>
      <c r="AP46" s="145">
        <v>0</v>
      </c>
      <c r="AQ46" s="145">
        <v>0</v>
      </c>
      <c r="AR46" s="145">
        <v>0</v>
      </c>
      <c r="AS46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36" activePane="bottomRight" state="frozen"/>
      <selection pane="topRight" activeCell="C1" sqref="C1"/>
      <selection pane="bottomLeft" activeCell="A2" sqref="A2"/>
      <selection pane="bottomRight" activeCell="I58" sqref="I58"/>
    </sheetView>
  </sheetViews>
  <sheetFormatPr baseColWidth="10" defaultColWidth="8.83203125" defaultRowHeight="13" x14ac:dyDescent="0.15"/>
  <cols>
    <col min="1" max="1" width="3.33203125" customWidth="1"/>
    <col min="2" max="2" width="44.1640625" customWidth="1"/>
    <col min="3" max="4" width="20.6640625" style="113" customWidth="1"/>
    <col min="5" max="6" width="20.6640625" style="112" customWidth="1"/>
    <col min="7" max="7" width="20.6640625" style="113" customWidth="1"/>
    <col min="8" max="8" width="8.83203125" style="113"/>
  </cols>
  <sheetData>
    <row r="1" spans="1:8" ht="70" x14ac:dyDescent="0.15">
      <c r="A1" s="5" t="s">
        <v>20</v>
      </c>
      <c r="B1" s="1" t="s">
        <v>0</v>
      </c>
      <c r="C1" s="184" t="s">
        <v>234</v>
      </c>
      <c r="D1" s="184" t="s">
        <v>235</v>
      </c>
      <c r="E1" s="184" t="s">
        <v>236</v>
      </c>
      <c r="F1" s="184" t="s">
        <v>239</v>
      </c>
      <c r="G1" s="184" t="s">
        <v>240</v>
      </c>
      <c r="H1"/>
    </row>
    <row r="2" spans="1:8" x14ac:dyDescent="0.15">
      <c r="A2">
        <v>1</v>
      </c>
      <c r="B2" s="183" t="s">
        <v>193</v>
      </c>
      <c r="C2" s="113">
        <v>0</v>
      </c>
      <c r="D2" s="113">
        <v>1</v>
      </c>
      <c r="E2" s="112">
        <v>0</v>
      </c>
      <c r="F2" s="112">
        <v>0</v>
      </c>
      <c r="G2" s="113">
        <v>1</v>
      </c>
      <c r="H2"/>
    </row>
    <row r="3" spans="1:8" x14ac:dyDescent="0.15">
      <c r="A3">
        <v>2</v>
      </c>
      <c r="B3" s="183" t="s">
        <v>194</v>
      </c>
      <c r="C3" s="113">
        <v>0</v>
      </c>
      <c r="D3" s="113">
        <v>1</v>
      </c>
      <c r="E3" s="112">
        <v>0</v>
      </c>
      <c r="F3" s="112">
        <v>0</v>
      </c>
      <c r="G3" s="113">
        <v>1</v>
      </c>
      <c r="H3"/>
    </row>
    <row r="4" spans="1:8" x14ac:dyDescent="0.15">
      <c r="A4">
        <v>3</v>
      </c>
      <c r="B4" s="183" t="s">
        <v>195</v>
      </c>
      <c r="C4" s="113">
        <v>0</v>
      </c>
      <c r="D4" s="113">
        <v>1</v>
      </c>
      <c r="E4" s="112">
        <v>0</v>
      </c>
      <c r="F4" s="112">
        <v>0</v>
      </c>
      <c r="G4" s="113">
        <v>1</v>
      </c>
      <c r="H4"/>
    </row>
    <row r="5" spans="1:8" x14ac:dyDescent="0.15">
      <c r="A5">
        <v>4</v>
      </c>
      <c r="B5" s="183" t="s">
        <v>196</v>
      </c>
      <c r="C5" s="113">
        <v>0</v>
      </c>
      <c r="D5" s="113">
        <v>1</v>
      </c>
      <c r="E5" s="112">
        <v>0</v>
      </c>
      <c r="F5" s="112">
        <v>0</v>
      </c>
      <c r="G5" s="113">
        <v>1</v>
      </c>
      <c r="H5"/>
    </row>
    <row r="6" spans="1:8" x14ac:dyDescent="0.15">
      <c r="A6">
        <v>5</v>
      </c>
      <c r="B6" s="183" t="s">
        <v>197</v>
      </c>
      <c r="C6" s="113">
        <v>0</v>
      </c>
      <c r="D6" s="113">
        <v>1</v>
      </c>
      <c r="E6" s="112">
        <v>0</v>
      </c>
      <c r="F6" s="112">
        <v>0</v>
      </c>
      <c r="G6" s="113">
        <v>1</v>
      </c>
      <c r="H6"/>
    </row>
    <row r="7" spans="1:8" x14ac:dyDescent="0.15">
      <c r="A7">
        <v>6</v>
      </c>
      <c r="B7" s="183" t="s">
        <v>198</v>
      </c>
      <c r="C7" s="113">
        <v>0</v>
      </c>
      <c r="D7" s="113">
        <v>1</v>
      </c>
      <c r="E7" s="112">
        <v>0</v>
      </c>
      <c r="F7" s="112">
        <v>0</v>
      </c>
      <c r="G7" s="113">
        <v>1</v>
      </c>
      <c r="H7"/>
    </row>
    <row r="8" spans="1:8" x14ac:dyDescent="0.15">
      <c r="A8">
        <v>7</v>
      </c>
      <c r="B8" s="183" t="s">
        <v>199</v>
      </c>
      <c r="C8" s="113">
        <v>0</v>
      </c>
      <c r="D8" s="113">
        <v>1</v>
      </c>
      <c r="E8" s="112">
        <v>0</v>
      </c>
      <c r="F8" s="112">
        <v>0</v>
      </c>
      <c r="G8" s="113">
        <v>1</v>
      </c>
      <c r="H8"/>
    </row>
    <row r="9" spans="1:8" x14ac:dyDescent="0.15">
      <c r="A9">
        <v>8</v>
      </c>
      <c r="B9" s="183" t="s">
        <v>200</v>
      </c>
      <c r="C9" s="113">
        <v>0</v>
      </c>
      <c r="D9" s="113">
        <v>1</v>
      </c>
      <c r="E9" s="112">
        <v>0</v>
      </c>
      <c r="F9" s="112">
        <v>0</v>
      </c>
      <c r="G9" s="113">
        <v>1</v>
      </c>
      <c r="H9"/>
    </row>
    <row r="10" spans="1:8" x14ac:dyDescent="0.15">
      <c r="A10">
        <v>9</v>
      </c>
      <c r="B10" s="183" t="s">
        <v>201</v>
      </c>
      <c r="C10" s="113">
        <v>0</v>
      </c>
      <c r="D10" s="113">
        <v>1</v>
      </c>
      <c r="E10" s="112">
        <v>0</v>
      </c>
      <c r="F10" s="112">
        <v>0</v>
      </c>
      <c r="G10" s="113">
        <v>1</v>
      </c>
      <c r="H10"/>
    </row>
    <row r="11" spans="1:8" x14ac:dyDescent="0.15">
      <c r="A11">
        <v>10</v>
      </c>
      <c r="B11" s="183" t="s">
        <v>202</v>
      </c>
      <c r="C11" s="113">
        <v>0</v>
      </c>
      <c r="D11" s="113">
        <v>0</v>
      </c>
      <c r="E11" s="112">
        <v>0</v>
      </c>
      <c r="F11" s="112">
        <v>1</v>
      </c>
      <c r="G11" s="113">
        <v>1</v>
      </c>
      <c r="H11"/>
    </row>
    <row r="12" spans="1:8" x14ac:dyDescent="0.15">
      <c r="A12">
        <v>11</v>
      </c>
      <c r="B12" s="183" t="s">
        <v>203</v>
      </c>
      <c r="C12" s="113">
        <v>0</v>
      </c>
      <c r="D12" s="113">
        <v>0</v>
      </c>
      <c r="E12" s="112">
        <v>0</v>
      </c>
      <c r="F12" s="112">
        <v>1</v>
      </c>
      <c r="G12" s="113">
        <v>1</v>
      </c>
      <c r="H12"/>
    </row>
    <row r="13" spans="1:8" x14ac:dyDescent="0.15">
      <c r="A13">
        <v>12</v>
      </c>
      <c r="B13" s="183" t="s">
        <v>204</v>
      </c>
      <c r="C13" s="113">
        <v>0</v>
      </c>
      <c r="D13" s="113">
        <v>1</v>
      </c>
      <c r="E13" s="112">
        <v>0</v>
      </c>
      <c r="F13" s="112">
        <v>0</v>
      </c>
      <c r="G13" s="113">
        <v>1</v>
      </c>
      <c r="H13"/>
    </row>
    <row r="14" spans="1:8" x14ac:dyDescent="0.15">
      <c r="A14">
        <v>13</v>
      </c>
      <c r="B14" s="183" t="s">
        <v>205</v>
      </c>
      <c r="C14" s="113">
        <v>0</v>
      </c>
      <c r="D14" s="113">
        <v>1</v>
      </c>
      <c r="E14" s="112">
        <v>0</v>
      </c>
      <c r="F14" s="112">
        <v>0</v>
      </c>
      <c r="G14" s="113">
        <v>1</v>
      </c>
      <c r="H14"/>
    </row>
    <row r="15" spans="1:8" x14ac:dyDescent="0.15">
      <c r="A15">
        <v>14</v>
      </c>
      <c r="B15" s="183" t="s">
        <v>206</v>
      </c>
      <c r="C15" s="113">
        <v>0</v>
      </c>
      <c r="D15" s="113">
        <v>1</v>
      </c>
      <c r="E15" s="112">
        <v>0</v>
      </c>
      <c r="F15" s="112">
        <v>0</v>
      </c>
      <c r="G15" s="113">
        <v>1</v>
      </c>
      <c r="H15"/>
    </row>
    <row r="16" spans="1:8" x14ac:dyDescent="0.15">
      <c r="A16">
        <v>15</v>
      </c>
      <c r="B16" s="183" t="s">
        <v>207</v>
      </c>
      <c r="C16" s="113">
        <v>0</v>
      </c>
      <c r="D16" s="113">
        <v>1</v>
      </c>
      <c r="E16" s="112">
        <v>0</v>
      </c>
      <c r="F16" s="112">
        <v>0</v>
      </c>
      <c r="G16" s="113">
        <v>1</v>
      </c>
      <c r="H16"/>
    </row>
    <row r="17" spans="1:8" ht="15" customHeight="1" x14ac:dyDescent="0.15">
      <c r="A17">
        <v>16</v>
      </c>
      <c r="B17" s="183" t="s">
        <v>208</v>
      </c>
      <c r="C17" s="113">
        <v>0</v>
      </c>
      <c r="D17" s="113">
        <v>1</v>
      </c>
      <c r="E17" s="112">
        <v>0</v>
      </c>
      <c r="F17" s="112">
        <v>0</v>
      </c>
      <c r="G17" s="113">
        <v>1</v>
      </c>
      <c r="H17"/>
    </row>
    <row r="18" spans="1:8" ht="15" customHeight="1" x14ac:dyDescent="0.15">
      <c r="A18">
        <v>17</v>
      </c>
      <c r="B18" s="183" t="s">
        <v>209</v>
      </c>
      <c r="C18" s="113">
        <v>0</v>
      </c>
      <c r="D18" s="113">
        <v>1</v>
      </c>
      <c r="E18" s="112">
        <v>0</v>
      </c>
      <c r="F18" s="112">
        <v>0</v>
      </c>
      <c r="G18" s="113">
        <v>1</v>
      </c>
      <c r="H18"/>
    </row>
    <row r="19" spans="1:8" ht="15" customHeight="1" x14ac:dyDescent="0.15">
      <c r="A19">
        <v>18</v>
      </c>
      <c r="B19" s="183" t="s">
        <v>210</v>
      </c>
      <c r="C19" s="113">
        <v>0</v>
      </c>
      <c r="D19" s="113">
        <v>1</v>
      </c>
      <c r="E19" s="112">
        <v>0</v>
      </c>
      <c r="F19" s="112">
        <v>0</v>
      </c>
      <c r="G19" s="113">
        <v>1</v>
      </c>
      <c r="H19"/>
    </row>
    <row r="20" spans="1:8" ht="15" customHeight="1" x14ac:dyDescent="0.15">
      <c r="A20">
        <v>19</v>
      </c>
      <c r="B20" s="183" t="s">
        <v>211</v>
      </c>
      <c r="C20" s="113">
        <v>0</v>
      </c>
      <c r="D20" s="113">
        <v>1</v>
      </c>
      <c r="E20" s="112">
        <v>0</v>
      </c>
      <c r="F20" s="112">
        <v>0</v>
      </c>
      <c r="G20" s="113">
        <v>1</v>
      </c>
      <c r="H20"/>
    </row>
    <row r="21" spans="1:8" ht="15" customHeight="1" x14ac:dyDescent="0.15">
      <c r="A21">
        <v>20</v>
      </c>
      <c r="B21" s="183" t="s">
        <v>212</v>
      </c>
      <c r="C21" s="113">
        <v>0</v>
      </c>
      <c r="D21" s="113">
        <v>1</v>
      </c>
      <c r="E21" s="112">
        <v>0</v>
      </c>
      <c r="F21" s="112">
        <v>0</v>
      </c>
      <c r="G21" s="113">
        <v>1</v>
      </c>
      <c r="H21"/>
    </row>
    <row r="22" spans="1:8" ht="15" customHeight="1" x14ac:dyDescent="0.15">
      <c r="A22">
        <v>21</v>
      </c>
      <c r="B22" s="183" t="s">
        <v>213</v>
      </c>
      <c r="C22" s="113">
        <v>0</v>
      </c>
      <c r="D22" s="113">
        <v>1</v>
      </c>
      <c r="E22" s="112">
        <v>0</v>
      </c>
      <c r="F22" s="112">
        <v>0</v>
      </c>
      <c r="G22" s="113">
        <v>1</v>
      </c>
      <c r="H22"/>
    </row>
    <row r="23" spans="1:8" ht="15" customHeight="1" x14ac:dyDescent="0.15">
      <c r="A23">
        <v>22</v>
      </c>
      <c r="B23" s="183" t="s">
        <v>214</v>
      </c>
      <c r="C23" s="113">
        <v>0</v>
      </c>
      <c r="D23" s="113">
        <v>1</v>
      </c>
      <c r="E23" s="112">
        <v>0</v>
      </c>
      <c r="F23" s="112">
        <v>0</v>
      </c>
      <c r="G23" s="113">
        <v>1</v>
      </c>
      <c r="H23"/>
    </row>
    <row r="24" spans="1:8" ht="15" customHeight="1" x14ac:dyDescent="0.15">
      <c r="A24">
        <v>23</v>
      </c>
      <c r="B24" s="183" t="s">
        <v>215</v>
      </c>
      <c r="C24" s="113">
        <v>0</v>
      </c>
      <c r="D24" s="113">
        <v>1</v>
      </c>
      <c r="E24" s="112">
        <v>0</v>
      </c>
      <c r="F24" s="112">
        <v>0</v>
      </c>
      <c r="G24" s="113">
        <v>1</v>
      </c>
      <c r="H24"/>
    </row>
    <row r="25" spans="1:8" ht="15" customHeight="1" x14ac:dyDescent="0.15">
      <c r="A25">
        <v>24</v>
      </c>
      <c r="B25" s="183" t="s">
        <v>216</v>
      </c>
      <c r="C25" s="113">
        <v>0</v>
      </c>
      <c r="D25" s="113">
        <v>1</v>
      </c>
      <c r="E25" s="112">
        <v>0</v>
      </c>
      <c r="F25" s="112">
        <v>0</v>
      </c>
      <c r="G25" s="113">
        <v>1</v>
      </c>
      <c r="H25"/>
    </row>
    <row r="26" spans="1:8" ht="15" customHeight="1" x14ac:dyDescent="0.15">
      <c r="A26">
        <v>25</v>
      </c>
      <c r="B26" s="183" t="s">
        <v>217</v>
      </c>
      <c r="C26" s="113">
        <v>0</v>
      </c>
      <c r="D26" s="113">
        <v>1</v>
      </c>
      <c r="E26" s="112">
        <v>0</v>
      </c>
      <c r="F26" s="112">
        <v>0</v>
      </c>
      <c r="G26" s="113">
        <v>1</v>
      </c>
      <c r="H26"/>
    </row>
    <row r="27" spans="1:8" ht="15" customHeight="1" x14ac:dyDescent="0.15">
      <c r="A27">
        <v>26</v>
      </c>
      <c r="B27" s="183" t="s">
        <v>218</v>
      </c>
      <c r="C27" s="113">
        <v>0</v>
      </c>
      <c r="D27" s="113">
        <v>1</v>
      </c>
      <c r="E27" s="112">
        <v>0</v>
      </c>
      <c r="F27" s="112">
        <v>0</v>
      </c>
      <c r="G27" s="113">
        <v>1</v>
      </c>
      <c r="H27"/>
    </row>
    <row r="28" spans="1:8" ht="15" customHeight="1" x14ac:dyDescent="0.15">
      <c r="A28">
        <v>27</v>
      </c>
      <c r="B28" s="183" t="s">
        <v>219</v>
      </c>
      <c r="C28" s="113">
        <v>0</v>
      </c>
      <c r="D28" s="113">
        <v>1</v>
      </c>
      <c r="E28" s="112">
        <v>0</v>
      </c>
      <c r="F28" s="112">
        <v>0</v>
      </c>
      <c r="G28" s="113">
        <v>1</v>
      </c>
      <c r="H28"/>
    </row>
    <row r="29" spans="1:8" ht="15" customHeight="1" x14ac:dyDescent="0.15">
      <c r="A29">
        <v>28</v>
      </c>
      <c r="B29" s="183" t="s">
        <v>220</v>
      </c>
      <c r="C29" s="113">
        <v>0</v>
      </c>
      <c r="D29" s="113">
        <v>1</v>
      </c>
      <c r="E29" s="112">
        <v>0</v>
      </c>
      <c r="F29" s="112">
        <v>0</v>
      </c>
      <c r="G29" s="113">
        <v>1</v>
      </c>
      <c r="H29"/>
    </row>
    <row r="30" spans="1:8" ht="15" customHeight="1" x14ac:dyDescent="0.15">
      <c r="A30">
        <v>29</v>
      </c>
      <c r="B30" s="183" t="s">
        <v>221</v>
      </c>
      <c r="C30" s="113">
        <v>0</v>
      </c>
      <c r="D30" s="113">
        <v>1</v>
      </c>
      <c r="E30" s="112">
        <v>0</v>
      </c>
      <c r="F30" s="112">
        <v>0</v>
      </c>
      <c r="G30" s="113">
        <v>1</v>
      </c>
      <c r="H30"/>
    </row>
    <row r="31" spans="1:8" ht="15" customHeight="1" x14ac:dyDescent="0.15">
      <c r="A31">
        <v>30</v>
      </c>
      <c r="B31" s="183" t="s">
        <v>222</v>
      </c>
      <c r="C31" s="113">
        <v>0</v>
      </c>
      <c r="D31" s="113">
        <v>1</v>
      </c>
      <c r="E31" s="112">
        <v>0</v>
      </c>
      <c r="F31" s="112">
        <v>0</v>
      </c>
      <c r="G31" s="113">
        <v>1</v>
      </c>
      <c r="H31"/>
    </row>
    <row r="32" spans="1:8" ht="15" customHeight="1" x14ac:dyDescent="0.15">
      <c r="A32">
        <v>31</v>
      </c>
      <c r="B32" s="183" t="s">
        <v>223</v>
      </c>
      <c r="C32" s="113">
        <v>0</v>
      </c>
      <c r="D32" s="113">
        <v>1</v>
      </c>
      <c r="E32" s="112">
        <v>0</v>
      </c>
      <c r="F32" s="112">
        <v>0</v>
      </c>
      <c r="G32" s="113">
        <v>1</v>
      </c>
    </row>
    <row r="33" spans="1:8" ht="15" customHeight="1" x14ac:dyDescent="0.15">
      <c r="A33">
        <v>32</v>
      </c>
      <c r="B33" s="183" t="s">
        <v>224</v>
      </c>
      <c r="C33" s="113">
        <v>0</v>
      </c>
      <c r="D33" s="113">
        <v>1</v>
      </c>
      <c r="E33" s="112">
        <v>0</v>
      </c>
      <c r="F33" s="112">
        <v>0</v>
      </c>
      <c r="G33" s="113">
        <v>1</v>
      </c>
    </row>
    <row r="34" spans="1:8" ht="15" customHeight="1" x14ac:dyDescent="0.15">
      <c r="A34">
        <v>33</v>
      </c>
      <c r="B34" s="183" t="s">
        <v>225</v>
      </c>
      <c r="C34" s="113">
        <v>0</v>
      </c>
      <c r="D34" s="113">
        <v>1</v>
      </c>
      <c r="E34" s="112">
        <v>0</v>
      </c>
      <c r="F34" s="112">
        <v>0</v>
      </c>
      <c r="G34" s="113">
        <v>1</v>
      </c>
    </row>
    <row r="35" spans="1:8" ht="15" customHeight="1" x14ac:dyDescent="0.15">
      <c r="A35">
        <v>34</v>
      </c>
      <c r="B35" s="183" t="s">
        <v>226</v>
      </c>
      <c r="C35" s="113">
        <v>0</v>
      </c>
      <c r="D35" s="113">
        <v>1</v>
      </c>
      <c r="E35" s="112">
        <v>0</v>
      </c>
      <c r="F35" s="112">
        <v>0</v>
      </c>
      <c r="G35" s="113">
        <v>1</v>
      </c>
    </row>
    <row r="36" spans="1:8" ht="15" customHeight="1" x14ac:dyDescent="0.15">
      <c r="A36">
        <v>35</v>
      </c>
      <c r="B36" s="183" t="s">
        <v>227</v>
      </c>
      <c r="C36" s="113">
        <v>0</v>
      </c>
      <c r="D36" s="113">
        <v>1</v>
      </c>
      <c r="E36" s="113">
        <v>0</v>
      </c>
      <c r="F36" s="113">
        <v>0</v>
      </c>
      <c r="G36" s="113">
        <v>1</v>
      </c>
      <c r="H36"/>
    </row>
    <row r="37" spans="1:8" ht="15" customHeight="1" x14ac:dyDescent="0.15">
      <c r="A37">
        <v>36</v>
      </c>
      <c r="B37" s="183" t="s">
        <v>228</v>
      </c>
      <c r="C37" s="113">
        <v>0</v>
      </c>
      <c r="D37" s="113">
        <v>1</v>
      </c>
      <c r="E37" s="113">
        <v>0</v>
      </c>
      <c r="F37" s="113">
        <v>0</v>
      </c>
      <c r="G37" s="113">
        <v>1</v>
      </c>
      <c r="H37"/>
    </row>
    <row r="38" spans="1:8" ht="15" customHeight="1" x14ac:dyDescent="0.15">
      <c r="A38">
        <v>37</v>
      </c>
      <c r="B38" s="183" t="s">
        <v>229</v>
      </c>
      <c r="C38" s="113">
        <v>0</v>
      </c>
      <c r="D38" s="113">
        <v>1</v>
      </c>
      <c r="E38" s="113">
        <v>0</v>
      </c>
      <c r="F38" s="113">
        <v>0</v>
      </c>
      <c r="G38" s="113">
        <v>1</v>
      </c>
      <c r="H38"/>
    </row>
    <row r="39" spans="1:8" ht="15" customHeight="1" x14ac:dyDescent="0.15">
      <c r="A39">
        <v>38</v>
      </c>
      <c r="B39" s="183" t="s">
        <v>230</v>
      </c>
      <c r="C39" s="113">
        <v>0</v>
      </c>
      <c r="D39" s="113">
        <v>1</v>
      </c>
      <c r="E39" s="113">
        <v>0</v>
      </c>
      <c r="F39" s="113">
        <v>0</v>
      </c>
      <c r="G39" s="113">
        <v>1</v>
      </c>
      <c r="H39"/>
    </row>
    <row r="40" spans="1:8" ht="15" customHeight="1" x14ac:dyDescent="0.15">
      <c r="A40">
        <v>39</v>
      </c>
      <c r="B40" s="183" t="s">
        <v>231</v>
      </c>
      <c r="C40" s="113">
        <v>0</v>
      </c>
      <c r="D40" s="113">
        <v>1</v>
      </c>
      <c r="E40" s="113">
        <v>0</v>
      </c>
      <c r="F40" s="113">
        <v>0</v>
      </c>
      <c r="G40" s="113">
        <v>1</v>
      </c>
      <c r="H40"/>
    </row>
    <row r="41" spans="1:8" ht="15" customHeight="1" x14ac:dyDescent="0.15">
      <c r="A41">
        <v>40</v>
      </c>
      <c r="B41" s="183" t="s">
        <v>232</v>
      </c>
      <c r="C41" s="113">
        <v>0</v>
      </c>
      <c r="D41" s="113">
        <v>1</v>
      </c>
      <c r="E41" s="113">
        <v>0</v>
      </c>
      <c r="F41" s="113">
        <v>0</v>
      </c>
      <c r="G41" s="113">
        <v>1</v>
      </c>
      <c r="H41"/>
    </row>
    <row r="42" spans="1:8" ht="15" customHeight="1" x14ac:dyDescent="0.15">
      <c r="A42">
        <v>41</v>
      </c>
      <c r="B42" s="183" t="s">
        <v>233</v>
      </c>
      <c r="C42" s="113">
        <v>0</v>
      </c>
      <c r="D42" s="113">
        <v>1</v>
      </c>
      <c r="E42" s="113">
        <v>0</v>
      </c>
      <c r="F42" s="113">
        <v>0</v>
      </c>
      <c r="G42" s="113">
        <v>1</v>
      </c>
      <c r="H42"/>
    </row>
    <row r="43" spans="1:8" ht="15" customHeight="1" x14ac:dyDescent="0.15">
      <c r="A43">
        <v>42</v>
      </c>
      <c r="B43" s="183" t="s">
        <v>234</v>
      </c>
      <c r="C43" s="113">
        <v>0</v>
      </c>
      <c r="D43" s="113">
        <v>0</v>
      </c>
      <c r="E43" s="113">
        <v>0</v>
      </c>
      <c r="F43" s="113">
        <v>1</v>
      </c>
      <c r="G43" s="113">
        <v>1</v>
      </c>
      <c r="H43"/>
    </row>
    <row r="44" spans="1:8" ht="15" customHeight="1" x14ac:dyDescent="0.15">
      <c r="A44">
        <v>43</v>
      </c>
      <c r="B44" s="183" t="s">
        <v>235</v>
      </c>
      <c r="C44" s="113">
        <v>0</v>
      </c>
      <c r="D44" s="113">
        <v>0</v>
      </c>
      <c r="E44" s="112">
        <v>1</v>
      </c>
      <c r="F44" s="112">
        <v>0</v>
      </c>
      <c r="G44" s="113">
        <v>1</v>
      </c>
      <c r="H44"/>
    </row>
    <row r="45" spans="1:8" ht="15" customHeight="1" x14ac:dyDescent="0.15">
      <c r="A45">
        <v>44</v>
      </c>
      <c r="B45" s="183" t="s">
        <v>236</v>
      </c>
      <c r="C45" s="113">
        <v>0</v>
      </c>
      <c r="D45" s="113">
        <v>0</v>
      </c>
      <c r="E45" s="112">
        <v>0</v>
      </c>
      <c r="F45" s="112">
        <v>1</v>
      </c>
      <c r="G45" s="113">
        <v>1</v>
      </c>
      <c r="H45"/>
    </row>
    <row r="46" spans="1:8" ht="15" customHeight="1" x14ac:dyDescent="0.15">
      <c r="A46">
        <v>45</v>
      </c>
      <c r="B46" s="183" t="s">
        <v>201</v>
      </c>
      <c r="C46" s="113">
        <v>1</v>
      </c>
      <c r="D46" s="113">
        <v>0</v>
      </c>
      <c r="E46" s="113">
        <v>0</v>
      </c>
      <c r="F46" s="113">
        <v>0</v>
      </c>
      <c r="G46" s="113">
        <v>1</v>
      </c>
      <c r="H46"/>
    </row>
    <row r="47" spans="1:8" ht="15" customHeight="1" x14ac:dyDescent="0.15">
      <c r="A47">
        <v>46</v>
      </c>
      <c r="B47" s="183" t="s">
        <v>202</v>
      </c>
      <c r="C47" s="113">
        <v>1</v>
      </c>
      <c r="D47" s="113">
        <v>0</v>
      </c>
      <c r="E47" s="112">
        <v>0</v>
      </c>
      <c r="F47" s="112">
        <v>0</v>
      </c>
      <c r="G47" s="113">
        <v>1</v>
      </c>
      <c r="H47"/>
    </row>
    <row r="48" spans="1:8" ht="15" customHeight="1" x14ac:dyDescent="0.15">
      <c r="A48">
        <v>47</v>
      </c>
      <c r="B48" s="183" t="s">
        <v>211</v>
      </c>
      <c r="C48" s="113">
        <v>1</v>
      </c>
      <c r="D48" s="113">
        <v>0</v>
      </c>
      <c r="E48" s="112">
        <v>0</v>
      </c>
      <c r="F48" s="112">
        <v>0</v>
      </c>
      <c r="G48" s="113">
        <v>1</v>
      </c>
      <c r="H48"/>
    </row>
    <row r="49" spans="1:8" ht="15" customHeight="1" x14ac:dyDescent="0.15">
      <c r="A49">
        <v>48</v>
      </c>
      <c r="B49" s="183" t="s">
        <v>212</v>
      </c>
      <c r="C49" s="113">
        <v>1</v>
      </c>
      <c r="D49" s="113">
        <v>0</v>
      </c>
      <c r="E49" s="112">
        <v>0</v>
      </c>
      <c r="F49" s="112">
        <v>0</v>
      </c>
      <c r="G49" s="113">
        <v>1</v>
      </c>
      <c r="H49"/>
    </row>
    <row r="50" spans="1:8" ht="15" customHeight="1" x14ac:dyDescent="0.15">
      <c r="A50">
        <v>49</v>
      </c>
      <c r="B50" s="183" t="s">
        <v>213</v>
      </c>
      <c r="C50" s="113">
        <v>1</v>
      </c>
      <c r="D50" s="113">
        <v>0</v>
      </c>
      <c r="E50" s="112">
        <v>0</v>
      </c>
      <c r="F50" s="112">
        <v>0</v>
      </c>
      <c r="G50" s="113">
        <v>1</v>
      </c>
      <c r="H50"/>
    </row>
    <row r="51" spans="1:8" ht="15" customHeight="1" x14ac:dyDescent="0.15">
      <c r="A51">
        <v>50</v>
      </c>
      <c r="B51" s="183" t="s">
        <v>214</v>
      </c>
      <c r="C51" s="113">
        <v>1</v>
      </c>
      <c r="D51" s="113">
        <v>0</v>
      </c>
      <c r="E51" s="112">
        <v>0</v>
      </c>
      <c r="F51" s="112">
        <v>0</v>
      </c>
      <c r="G51" s="113">
        <v>1</v>
      </c>
      <c r="H51"/>
    </row>
    <row r="52" spans="1:8" ht="15" customHeight="1" x14ac:dyDescent="0.15">
      <c r="A52">
        <v>51</v>
      </c>
      <c r="B52" s="183" t="s">
        <v>206</v>
      </c>
      <c r="C52" s="113">
        <v>1</v>
      </c>
      <c r="D52" s="113">
        <v>0</v>
      </c>
      <c r="E52" s="112">
        <v>0</v>
      </c>
      <c r="F52" s="112">
        <v>0</v>
      </c>
      <c r="G52" s="113">
        <v>1</v>
      </c>
      <c r="H52"/>
    </row>
    <row r="53" spans="1:8" ht="15" customHeight="1" x14ac:dyDescent="0.15">
      <c r="A53">
        <v>52</v>
      </c>
      <c r="B53" s="183" t="s">
        <v>205</v>
      </c>
      <c r="C53" s="113">
        <v>1</v>
      </c>
      <c r="D53" s="113">
        <v>0</v>
      </c>
      <c r="E53" s="112">
        <v>0</v>
      </c>
      <c r="F53" s="112">
        <v>0</v>
      </c>
      <c r="G53" s="113">
        <v>1</v>
      </c>
      <c r="H53"/>
    </row>
    <row r="54" spans="1:8" ht="15" customHeight="1" x14ac:dyDescent="0.15">
      <c r="A54">
        <v>53</v>
      </c>
      <c r="B54" s="183" t="s">
        <v>219</v>
      </c>
      <c r="C54" s="113">
        <v>1</v>
      </c>
      <c r="D54" s="113">
        <v>0</v>
      </c>
      <c r="E54" s="112">
        <v>0</v>
      </c>
      <c r="F54" s="112">
        <v>0</v>
      </c>
      <c r="G54" s="113">
        <v>1</v>
      </c>
      <c r="H54"/>
    </row>
    <row r="55" spans="1:8" ht="15" customHeight="1" x14ac:dyDescent="0.15">
      <c r="A55">
        <v>54</v>
      </c>
      <c r="B55" s="183" t="s">
        <v>237</v>
      </c>
      <c r="C55" s="113">
        <v>1</v>
      </c>
      <c r="D55" s="113">
        <v>0</v>
      </c>
      <c r="E55" s="112">
        <v>0</v>
      </c>
      <c r="F55" s="112">
        <v>0</v>
      </c>
      <c r="G55" s="113">
        <v>1</v>
      </c>
      <c r="H55"/>
    </row>
    <row r="56" spans="1:8" ht="15" customHeight="1" x14ac:dyDescent="0.15">
      <c r="C56"/>
      <c r="D56"/>
      <c r="E56"/>
      <c r="F56"/>
      <c r="G56"/>
      <c r="H56"/>
    </row>
    <row r="57" spans="1:8" ht="15" customHeight="1" x14ac:dyDescent="0.15">
      <c r="C57"/>
      <c r="D57"/>
      <c r="E57"/>
      <c r="F57"/>
      <c r="G57"/>
      <c r="H57"/>
    </row>
    <row r="58" spans="1:8" ht="15" customHeight="1" x14ac:dyDescent="0.15">
      <c r="C58"/>
      <c r="D58"/>
      <c r="E58"/>
      <c r="F58"/>
      <c r="G58"/>
      <c r="H58"/>
    </row>
    <row r="59" spans="1:8" ht="15" customHeight="1" x14ac:dyDescent="0.15">
      <c r="C59"/>
      <c r="D59"/>
      <c r="E59"/>
      <c r="F59"/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M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44.1640625" bestFit="1" customWidth="1"/>
    <col min="3" max="3" width="11.83203125" bestFit="1" customWidth="1"/>
    <col min="4" max="4" width="9.83203125" bestFit="1" customWidth="1"/>
    <col min="5" max="5" width="12.83203125" bestFit="1" customWidth="1"/>
    <col min="6" max="6" width="12.83203125" customWidth="1"/>
    <col min="7" max="7" width="11.83203125" customWidth="1"/>
    <col min="8" max="8" width="12.83203125" customWidth="1"/>
    <col min="9" max="9" width="10.83203125" customWidth="1"/>
    <col min="10" max="10" width="11.83203125" customWidth="1"/>
    <col min="11" max="11" width="10.83203125" customWidth="1"/>
    <col min="12" max="13" width="12.83203125" customWidth="1"/>
  </cols>
  <sheetData>
    <row r="1" spans="1:13" s="114" customFormat="1" ht="112" x14ac:dyDescent="0.15">
      <c r="A1" s="5" t="s">
        <v>21</v>
      </c>
      <c r="B1" s="3" t="s">
        <v>0</v>
      </c>
      <c r="C1" s="186" t="s">
        <v>201</v>
      </c>
      <c r="D1" s="186" t="s">
        <v>202</v>
      </c>
      <c r="E1" s="186" t="s">
        <v>211</v>
      </c>
      <c r="F1" s="186" t="s">
        <v>212</v>
      </c>
      <c r="G1" s="186" t="s">
        <v>213</v>
      </c>
      <c r="H1" s="186" t="s">
        <v>214</v>
      </c>
      <c r="I1" s="186" t="s">
        <v>206</v>
      </c>
      <c r="J1" s="186" t="s">
        <v>205</v>
      </c>
      <c r="K1" s="186" t="s">
        <v>219</v>
      </c>
      <c r="L1" s="186" t="s">
        <v>237</v>
      </c>
      <c r="M1" s="186" t="s">
        <v>241</v>
      </c>
    </row>
    <row r="2" spans="1:13" ht="15" customHeight="1" x14ac:dyDescent="0.15">
      <c r="A2">
        <v>1</v>
      </c>
      <c r="B2" s="18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ht="15" customHeight="1" x14ac:dyDescent="0.15">
      <c r="A3">
        <v>2</v>
      </c>
      <c r="B3" s="18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ht="15" customHeight="1" x14ac:dyDescent="0.15">
      <c r="A4">
        <v>3</v>
      </c>
      <c r="B4" s="185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ht="15" customHeight="1" x14ac:dyDescent="0.15">
      <c r="A5">
        <v>4</v>
      </c>
      <c r="B5" s="18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ht="15" customHeight="1" x14ac:dyDescent="0.15">
      <c r="A6">
        <v>5</v>
      </c>
      <c r="B6" s="185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8.2548910000000003E-3</v>
      </c>
      <c r="M6">
        <v>8.2548910000000003E-3</v>
      </c>
    </row>
    <row r="7" spans="1:13" ht="15" customHeight="1" x14ac:dyDescent="0.15">
      <c r="A7">
        <v>6</v>
      </c>
      <c r="B7" s="185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5.2699999999999997E-2</v>
      </c>
      <c r="M7">
        <v>5.2699999999999997E-2</v>
      </c>
    </row>
    <row r="8" spans="1:13" ht="15" customHeight="1" x14ac:dyDescent="0.15">
      <c r="A8">
        <v>7</v>
      </c>
      <c r="B8" s="185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8.2926310000000003E-2</v>
      </c>
      <c r="M8">
        <v>8.2926310000000003E-2</v>
      </c>
    </row>
    <row r="9" spans="1:13" ht="15" customHeight="1" x14ac:dyDescent="0.15">
      <c r="A9">
        <v>8</v>
      </c>
      <c r="B9" s="185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1.6914740000000001E-2</v>
      </c>
      <c r="M9">
        <v>1.6914740000000001E-2</v>
      </c>
    </row>
    <row r="10" spans="1:13" ht="15" customHeight="1" x14ac:dyDescent="0.15">
      <c r="A10">
        <v>9</v>
      </c>
      <c r="B10" s="185" t="s">
        <v>201</v>
      </c>
      <c r="C10">
        <v>2.9821320000000002E-3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2.9821320000000002E-3</v>
      </c>
    </row>
    <row r="11" spans="1:13" ht="15" customHeight="1" x14ac:dyDescent="0.15">
      <c r="A11">
        <v>10</v>
      </c>
      <c r="B11" s="185" t="s">
        <v>202</v>
      </c>
      <c r="C11">
        <v>0</v>
      </c>
      <c r="D11">
        <v>0.25664409999999999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0.25664409999999999</v>
      </c>
    </row>
    <row r="12" spans="1:13" ht="15" customHeight="1" x14ac:dyDescent="0.15">
      <c r="A12">
        <v>11</v>
      </c>
      <c r="B12" s="185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ht="15" customHeight="1" x14ac:dyDescent="0.15">
      <c r="A13">
        <v>12</v>
      </c>
      <c r="B13" s="185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3.5211649999999997E-2</v>
      </c>
      <c r="M13">
        <v>3.5211649999999997E-2</v>
      </c>
    </row>
    <row r="14" spans="1:13" ht="15" customHeight="1" x14ac:dyDescent="0.15">
      <c r="A14">
        <v>13</v>
      </c>
      <c r="B14" s="185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9.9322270000000001E-3</v>
      </c>
      <c r="K14">
        <v>0</v>
      </c>
      <c r="L14">
        <v>0</v>
      </c>
      <c r="M14">
        <v>9.9322270000000001E-3</v>
      </c>
    </row>
    <row r="15" spans="1:13" ht="15" customHeight="1" x14ac:dyDescent="0.15">
      <c r="A15">
        <v>14</v>
      </c>
      <c r="B15" s="185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3.5775189999999998E-2</v>
      </c>
      <c r="J15">
        <v>0</v>
      </c>
      <c r="K15">
        <v>0</v>
      </c>
      <c r="L15">
        <v>0</v>
      </c>
      <c r="M15">
        <v>3.5775189999999998E-2</v>
      </c>
    </row>
    <row r="16" spans="1:13" ht="15" customHeight="1" x14ac:dyDescent="0.15">
      <c r="A16">
        <v>15</v>
      </c>
      <c r="B16" s="185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2.8436220000000001E-3</v>
      </c>
      <c r="M16">
        <v>2.8436220000000001E-3</v>
      </c>
    </row>
    <row r="17" spans="1:13" ht="15" customHeight="1" x14ac:dyDescent="0.15">
      <c r="A17">
        <v>16</v>
      </c>
      <c r="B17" s="185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7.1023210000000003E-2</v>
      </c>
      <c r="M17">
        <v>7.1023210000000003E-2</v>
      </c>
    </row>
    <row r="18" spans="1:13" ht="15" customHeight="1" x14ac:dyDescent="0.15">
      <c r="A18">
        <v>17</v>
      </c>
      <c r="B18" s="185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1.65405385E-2</v>
      </c>
      <c r="M18">
        <v>1.65405385E-2</v>
      </c>
    </row>
    <row r="19" spans="1:13" ht="15" customHeight="1" x14ac:dyDescent="0.15">
      <c r="A19">
        <v>18</v>
      </c>
      <c r="B19" s="185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4.804371E-3</v>
      </c>
      <c r="M19">
        <v>4.804371E-3</v>
      </c>
    </row>
    <row r="20" spans="1:13" ht="15" customHeight="1" x14ac:dyDescent="0.15">
      <c r="A20">
        <v>19</v>
      </c>
      <c r="B20" s="185" t="s">
        <v>211</v>
      </c>
      <c r="C20">
        <v>0</v>
      </c>
      <c r="D20">
        <v>0</v>
      </c>
      <c r="E20">
        <v>4.9489904199999997E-2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4.9489904199999997E-2</v>
      </c>
    </row>
    <row r="21" spans="1:13" ht="15" customHeight="1" x14ac:dyDescent="0.15">
      <c r="A21">
        <v>20</v>
      </c>
      <c r="B21" s="185" t="s">
        <v>212</v>
      </c>
      <c r="C21">
        <v>0</v>
      </c>
      <c r="D21">
        <v>0</v>
      </c>
      <c r="E21">
        <v>0</v>
      </c>
      <c r="F21">
        <v>5.3903646800000003E-2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5.3903646800000003E-2</v>
      </c>
    </row>
    <row r="22" spans="1:13" ht="15" customHeight="1" x14ac:dyDescent="0.15">
      <c r="A22">
        <v>21</v>
      </c>
      <c r="B22" s="185" t="s">
        <v>213</v>
      </c>
      <c r="C22">
        <v>0</v>
      </c>
      <c r="D22">
        <v>0</v>
      </c>
      <c r="E22">
        <v>0</v>
      </c>
      <c r="F22">
        <v>0</v>
      </c>
      <c r="G22">
        <v>0.121173434</v>
      </c>
      <c r="H22">
        <v>0</v>
      </c>
      <c r="I22">
        <v>0</v>
      </c>
      <c r="J22">
        <v>0</v>
      </c>
      <c r="K22">
        <v>0</v>
      </c>
      <c r="L22">
        <v>0</v>
      </c>
      <c r="M22">
        <v>0.121173434</v>
      </c>
    </row>
    <row r="23" spans="1:13" ht="15" customHeight="1" x14ac:dyDescent="0.15">
      <c r="A23">
        <v>22</v>
      </c>
      <c r="B23" s="185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7.4964955400000005E-2</v>
      </c>
      <c r="I23">
        <v>0</v>
      </c>
      <c r="J23">
        <v>0</v>
      </c>
      <c r="K23">
        <v>0</v>
      </c>
      <c r="L23">
        <v>0</v>
      </c>
      <c r="M23">
        <v>7.4964955400000005E-2</v>
      </c>
    </row>
    <row r="24" spans="1:13" ht="15" customHeight="1" x14ac:dyDescent="0.15">
      <c r="A24">
        <v>23</v>
      </c>
      <c r="B24" s="185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2.83589642E-2</v>
      </c>
      <c r="M24">
        <v>2.83589642E-2</v>
      </c>
    </row>
    <row r="25" spans="1:13" ht="15" customHeight="1" x14ac:dyDescent="0.15">
      <c r="A25">
        <v>24</v>
      </c>
      <c r="B25" s="185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1.72009487E-2</v>
      </c>
      <c r="M25">
        <v>1.72009487E-2</v>
      </c>
    </row>
    <row r="26" spans="1:13" ht="15" customHeight="1" x14ac:dyDescent="0.15">
      <c r="A26">
        <v>25</v>
      </c>
      <c r="B26" s="185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5.1700000000000003E-2</v>
      </c>
      <c r="M26">
        <v>5.1700000000000003E-2</v>
      </c>
    </row>
    <row r="27" spans="1:13" ht="15" customHeight="1" x14ac:dyDescent="0.15">
      <c r="A27">
        <v>26</v>
      </c>
      <c r="B27" s="185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1.9333630000000001E-2</v>
      </c>
      <c r="M27">
        <v>1.9333630000000001E-2</v>
      </c>
    </row>
    <row r="28" spans="1:13" ht="15" customHeight="1" x14ac:dyDescent="0.15">
      <c r="A28">
        <v>27</v>
      </c>
      <c r="B28" s="185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7.727349E-2</v>
      </c>
      <c r="L28">
        <v>0</v>
      </c>
      <c r="M28">
        <v>7.727349E-2</v>
      </c>
    </row>
    <row r="29" spans="1:13" ht="15" customHeight="1" x14ac:dyDescent="0.15">
      <c r="A29">
        <v>28</v>
      </c>
      <c r="B29" s="185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6.6400000000000001E-2</v>
      </c>
      <c r="M29">
        <v>6.6400000000000001E-2</v>
      </c>
    </row>
    <row r="30" spans="1:13" ht="15" customHeight="1" x14ac:dyDescent="0.15">
      <c r="A30">
        <v>29</v>
      </c>
      <c r="B30" s="185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1.1950000000000001E-2</v>
      </c>
      <c r="M30">
        <v>1.1950000000000001E-2</v>
      </c>
    </row>
    <row r="31" spans="1:13" ht="15" customHeight="1" x14ac:dyDescent="0.15">
      <c r="A31">
        <v>30</v>
      </c>
      <c r="B31" s="185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1.36867529E-2</v>
      </c>
      <c r="M31">
        <v>1.36867529E-2</v>
      </c>
    </row>
    <row r="32" spans="1:13" ht="15" customHeight="1" x14ac:dyDescent="0.15">
      <c r="A32">
        <v>31</v>
      </c>
      <c r="B32" s="185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9.4363490000000001E-3</v>
      </c>
      <c r="M32">
        <v>9.4363490000000001E-3</v>
      </c>
    </row>
    <row r="33" spans="1:13" ht="15" customHeight="1" x14ac:dyDescent="0.15">
      <c r="A33">
        <v>32</v>
      </c>
      <c r="B33" s="185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5.1767613699999999E-2</v>
      </c>
      <c r="M33">
        <v>5.1767613699999999E-2</v>
      </c>
    </row>
    <row r="34" spans="1:13" ht="15" customHeight="1" x14ac:dyDescent="0.15">
      <c r="A34">
        <v>33</v>
      </c>
      <c r="B34" s="185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ht="15" customHeight="1" x14ac:dyDescent="0.15">
      <c r="A35">
        <v>34</v>
      </c>
      <c r="B35" s="185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ht="15" customHeight="1" x14ac:dyDescent="0.15">
      <c r="A36">
        <v>35</v>
      </c>
      <c r="B36" s="185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ht="15" customHeight="1" x14ac:dyDescent="0.15">
      <c r="A37">
        <v>36</v>
      </c>
      <c r="B37" s="185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ht="15" customHeight="1" x14ac:dyDescent="0.15">
      <c r="A38">
        <v>37</v>
      </c>
      <c r="B38" s="185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ht="15" customHeight="1" x14ac:dyDescent="0.15">
      <c r="A39">
        <v>38</v>
      </c>
      <c r="B39" s="185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ht="15" customHeight="1" x14ac:dyDescent="0.15">
      <c r="A40">
        <v>39</v>
      </c>
      <c r="B40" s="185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ht="15" customHeight="1" x14ac:dyDescent="0.15">
      <c r="A41">
        <v>40</v>
      </c>
      <c r="B41" s="185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ht="15" customHeight="1" x14ac:dyDescent="0.15">
      <c r="A42">
        <v>41</v>
      </c>
      <c r="B42" s="185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2.5519470000000002E-3</v>
      </c>
      <c r="M42">
        <v>2.5519470000000002E-3</v>
      </c>
    </row>
    <row r="43" spans="1:13" ht="15" customHeight="1" x14ac:dyDescent="0.15">
      <c r="A43">
        <v>42</v>
      </c>
      <c r="B43" s="185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ht="15" customHeight="1" x14ac:dyDescent="0.15">
      <c r="A44">
        <v>43</v>
      </c>
      <c r="B44" s="185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ht="15" customHeight="1" x14ac:dyDescent="0.15">
      <c r="A45">
        <v>44</v>
      </c>
      <c r="B45" s="185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ht="15" customHeight="1" x14ac:dyDescent="0.15"/>
    <row r="47" spans="1:13" ht="15" customHeight="1" x14ac:dyDescent="0.15"/>
    <row r="48" spans="1:13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M4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44.1640625" bestFit="1" customWidth="1"/>
    <col min="3" max="3" width="10.83203125" bestFit="1" customWidth="1"/>
    <col min="4" max="4" width="12.83203125" bestFit="1" customWidth="1"/>
    <col min="5" max="5" width="11.83203125" bestFit="1" customWidth="1"/>
    <col min="6" max="6" width="11.83203125" customWidth="1"/>
    <col min="7" max="8" width="2.33203125" customWidth="1"/>
    <col min="9" max="10" width="11.83203125" customWidth="1"/>
    <col min="11" max="13" width="12.83203125" customWidth="1"/>
  </cols>
  <sheetData>
    <row r="1" spans="1:13" s="114" customFormat="1" ht="112" x14ac:dyDescent="0.15">
      <c r="A1" s="5" t="s">
        <v>22</v>
      </c>
      <c r="B1" s="3" t="s">
        <v>0</v>
      </c>
      <c r="C1" s="188" t="s">
        <v>201</v>
      </c>
      <c r="D1" s="188" t="s">
        <v>202</v>
      </c>
      <c r="E1" s="188" t="s">
        <v>211</v>
      </c>
      <c r="F1" s="188" t="s">
        <v>212</v>
      </c>
      <c r="G1" s="188" t="s">
        <v>213</v>
      </c>
      <c r="H1" s="188" t="s">
        <v>214</v>
      </c>
      <c r="I1" s="188" t="s">
        <v>206</v>
      </c>
      <c r="J1" s="188" t="s">
        <v>205</v>
      </c>
      <c r="K1" s="188" t="s">
        <v>219</v>
      </c>
      <c r="L1" s="188" t="s">
        <v>237</v>
      </c>
      <c r="M1" s="188" t="s">
        <v>241</v>
      </c>
    </row>
    <row r="2" spans="1:13" x14ac:dyDescent="0.15">
      <c r="A2">
        <v>1</v>
      </c>
      <c r="B2" s="187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87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15">
      <c r="A4">
        <v>3</v>
      </c>
      <c r="B4" s="187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87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15">
      <c r="A6">
        <v>5</v>
      </c>
      <c r="B6" s="187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15">
      <c r="A7">
        <v>6</v>
      </c>
      <c r="B7" s="187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4.3778480000000002E-3</v>
      </c>
      <c r="M7">
        <v>4.3778480000000002E-3</v>
      </c>
    </row>
    <row r="8" spans="1:13" x14ac:dyDescent="0.15">
      <c r="A8">
        <v>7</v>
      </c>
      <c r="B8" s="187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1.2438947299999999E-2</v>
      </c>
      <c r="M8">
        <v>1.2438947299999999E-2</v>
      </c>
    </row>
    <row r="9" spans="1:13" x14ac:dyDescent="0.15">
      <c r="A9">
        <v>8</v>
      </c>
      <c r="B9" s="187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2.5372110000000002E-3</v>
      </c>
      <c r="M9">
        <v>2.5372110000000002E-3</v>
      </c>
    </row>
    <row r="10" spans="1:13" x14ac:dyDescent="0.15">
      <c r="A10">
        <v>9</v>
      </c>
      <c r="B10" s="187" t="s">
        <v>201</v>
      </c>
      <c r="C10">
        <v>4.4732000000000002E-4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4.4732000000000002E-4</v>
      </c>
    </row>
    <row r="11" spans="1:13" x14ac:dyDescent="0.15">
      <c r="A11">
        <v>10</v>
      </c>
      <c r="B11" s="187" t="s">
        <v>202</v>
      </c>
      <c r="C11">
        <v>0</v>
      </c>
      <c r="D11">
        <v>1.28578693E-2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1.28578693E-2</v>
      </c>
    </row>
    <row r="12" spans="1:13" x14ac:dyDescent="0.15">
      <c r="A12">
        <v>11</v>
      </c>
      <c r="B12" s="187" t="s">
        <v>203</v>
      </c>
      <c r="C12">
        <v>0</v>
      </c>
      <c r="D12">
        <v>2.5638746099999998E-2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2.5638746099999998E-2</v>
      </c>
    </row>
    <row r="13" spans="1:13" x14ac:dyDescent="0.15">
      <c r="A13">
        <v>12</v>
      </c>
      <c r="B13" s="187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5.2817480000000002E-3</v>
      </c>
      <c r="M13">
        <v>5.2817480000000002E-3</v>
      </c>
    </row>
    <row r="14" spans="1:13" x14ac:dyDescent="0.15">
      <c r="A14">
        <v>13</v>
      </c>
      <c r="B14" s="187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1.011669E-3</v>
      </c>
      <c r="K14">
        <v>0</v>
      </c>
      <c r="L14">
        <v>0</v>
      </c>
      <c r="M14">
        <v>1.011669E-3</v>
      </c>
    </row>
    <row r="15" spans="1:13" x14ac:dyDescent="0.15">
      <c r="A15">
        <v>14</v>
      </c>
      <c r="B15" s="187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5.3662789999999998E-3</v>
      </c>
      <c r="J15">
        <v>0</v>
      </c>
      <c r="K15">
        <v>0</v>
      </c>
      <c r="L15">
        <v>0</v>
      </c>
      <c r="M15">
        <v>5.3662789999999998E-3</v>
      </c>
    </row>
    <row r="16" spans="1:13" x14ac:dyDescent="0.15">
      <c r="A16">
        <v>15</v>
      </c>
      <c r="B16" s="187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4.2654299999999999E-4</v>
      </c>
      <c r="M16">
        <v>4.2654299999999999E-4</v>
      </c>
    </row>
    <row r="17" spans="1:13" x14ac:dyDescent="0.15">
      <c r="A17">
        <v>16</v>
      </c>
      <c r="B17" s="187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1.06534818E-2</v>
      </c>
      <c r="M17">
        <v>1.06534818E-2</v>
      </c>
    </row>
    <row r="18" spans="1:13" x14ac:dyDescent="0.15">
      <c r="A18">
        <v>17</v>
      </c>
      <c r="B18" s="187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2.481081E-3</v>
      </c>
      <c r="M18">
        <v>2.481081E-3</v>
      </c>
    </row>
    <row r="19" spans="1:13" x14ac:dyDescent="0.15">
      <c r="A19">
        <v>18</v>
      </c>
      <c r="B19" s="187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7.2065599999999997E-4</v>
      </c>
      <c r="M19">
        <v>7.2065599999999997E-4</v>
      </c>
    </row>
    <row r="20" spans="1:13" x14ac:dyDescent="0.15">
      <c r="A20">
        <v>19</v>
      </c>
      <c r="B20" s="187" t="s">
        <v>211</v>
      </c>
      <c r="C20">
        <v>0</v>
      </c>
      <c r="D20">
        <v>0</v>
      </c>
      <c r="E20">
        <v>7.4234849999999996E-3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7.4234849999999996E-3</v>
      </c>
    </row>
    <row r="21" spans="1:13" x14ac:dyDescent="0.15">
      <c r="A21">
        <v>20</v>
      </c>
      <c r="B21" s="187" t="s">
        <v>212</v>
      </c>
      <c r="C21">
        <v>0</v>
      </c>
      <c r="D21">
        <v>0</v>
      </c>
      <c r="E21">
        <v>0</v>
      </c>
      <c r="F21">
        <v>1.632274E-3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1.632274E-3</v>
      </c>
    </row>
    <row r="22" spans="1:13" x14ac:dyDescent="0.15">
      <c r="A22">
        <v>21</v>
      </c>
      <c r="B22" s="187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x14ac:dyDescent="0.15">
      <c r="A23">
        <v>22</v>
      </c>
      <c r="B23" s="187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15">
      <c r="A24">
        <v>23</v>
      </c>
      <c r="B24" s="187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1.13435844E-2</v>
      </c>
      <c r="M24">
        <v>1.13435844E-2</v>
      </c>
    </row>
    <row r="25" spans="1:13" x14ac:dyDescent="0.15">
      <c r="A25">
        <v>24</v>
      </c>
      <c r="B25" s="187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15">
      <c r="A26">
        <v>25</v>
      </c>
      <c r="B26" s="187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1.0268895E-2</v>
      </c>
      <c r="M26">
        <v>1.0268895E-2</v>
      </c>
    </row>
    <row r="27" spans="1:13" x14ac:dyDescent="0.15">
      <c r="A27">
        <v>26</v>
      </c>
      <c r="B27" s="18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2.9000440000000001E-3</v>
      </c>
      <c r="M27">
        <v>2.9000440000000001E-3</v>
      </c>
    </row>
    <row r="28" spans="1:13" x14ac:dyDescent="0.15">
      <c r="A28">
        <v>27</v>
      </c>
      <c r="B28" s="187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2.11090315E-2</v>
      </c>
      <c r="L28">
        <v>0</v>
      </c>
      <c r="M28">
        <v>2.11090315E-2</v>
      </c>
    </row>
    <row r="29" spans="1:13" x14ac:dyDescent="0.15">
      <c r="A29">
        <v>28</v>
      </c>
      <c r="B29" s="187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1.067325E-2</v>
      </c>
      <c r="M29">
        <v>1.067325E-2</v>
      </c>
    </row>
    <row r="30" spans="1:13" x14ac:dyDescent="0.15">
      <c r="A30">
        <v>29</v>
      </c>
      <c r="B30" s="187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2.5447590000000002E-3</v>
      </c>
      <c r="M30">
        <v>2.5447590000000002E-3</v>
      </c>
    </row>
    <row r="31" spans="1:13" x14ac:dyDescent="0.15">
      <c r="A31">
        <v>30</v>
      </c>
      <c r="B31" s="187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2.0530129999999998E-3</v>
      </c>
      <c r="M31">
        <v>2.0530129999999998E-3</v>
      </c>
    </row>
    <row r="32" spans="1:13" x14ac:dyDescent="0.15">
      <c r="A32">
        <v>31</v>
      </c>
      <c r="B32" s="187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1.415452E-3</v>
      </c>
      <c r="M32">
        <v>1.415452E-3</v>
      </c>
    </row>
    <row r="33" spans="1:13" x14ac:dyDescent="0.15">
      <c r="A33">
        <v>32</v>
      </c>
      <c r="B33" s="187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7.7651420000000001E-3</v>
      </c>
      <c r="M33">
        <v>7.7651420000000001E-3</v>
      </c>
    </row>
    <row r="34" spans="1:13" x14ac:dyDescent="0.15">
      <c r="A34">
        <v>33</v>
      </c>
      <c r="B34" s="187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15">
      <c r="A35">
        <v>34</v>
      </c>
      <c r="B35" s="187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15">
      <c r="A36">
        <v>35</v>
      </c>
      <c r="B36" s="187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15">
      <c r="A37">
        <v>36</v>
      </c>
      <c r="B37" s="187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15">
      <c r="A38">
        <v>37</v>
      </c>
      <c r="B38" s="187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x14ac:dyDescent="0.15">
      <c r="A39">
        <v>38</v>
      </c>
      <c r="B39" s="187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15">
      <c r="A40">
        <v>39</v>
      </c>
      <c r="B40" s="187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15">
      <c r="A41">
        <v>40</v>
      </c>
      <c r="B41" s="187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15">
      <c r="A42">
        <v>41</v>
      </c>
      <c r="B42" s="187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3.8279200000000002E-4</v>
      </c>
      <c r="M42">
        <v>3.8279200000000002E-4</v>
      </c>
    </row>
    <row r="43" spans="1:13" x14ac:dyDescent="0.15">
      <c r="A43">
        <v>42</v>
      </c>
      <c r="B43" s="187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15">
      <c r="A44">
        <v>43</v>
      </c>
      <c r="B44" s="187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15">
      <c r="A45">
        <v>44</v>
      </c>
      <c r="B45" s="187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44.1640625" bestFit="1" customWidth="1"/>
    <col min="6" max="6" width="4.83203125" bestFit="1" customWidth="1"/>
    <col min="7" max="9" width="3.83203125" bestFit="1" customWidth="1"/>
    <col min="10" max="11" width="4.83203125" style="11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5" customFormat="1" ht="14" thickBot="1" x14ac:dyDescent="0.2">
      <c r="D1" s="116" t="s">
        <v>8</v>
      </c>
      <c r="E1" s="116" t="s">
        <v>0</v>
      </c>
      <c r="F1" s="117" t="s">
        <v>99</v>
      </c>
      <c r="G1" s="118" t="s">
        <v>84</v>
      </c>
      <c r="H1" s="118" t="s">
        <v>85</v>
      </c>
      <c r="I1" s="118" t="s">
        <v>86</v>
      </c>
      <c r="J1" s="118" t="s">
        <v>87</v>
      </c>
      <c r="K1" s="118" t="s">
        <v>88</v>
      </c>
      <c r="L1" s="119" t="s">
        <v>89</v>
      </c>
      <c r="M1" s="119" t="s">
        <v>93</v>
      </c>
      <c r="N1" s="119" t="s">
        <v>92</v>
      </c>
      <c r="O1" s="119" t="s">
        <v>90</v>
      </c>
      <c r="P1" s="119" t="s">
        <v>91</v>
      </c>
      <c r="Q1" s="120" t="s">
        <v>94</v>
      </c>
      <c r="R1" s="120" t="s">
        <v>95</v>
      </c>
      <c r="S1" s="120" t="s">
        <v>96</v>
      </c>
      <c r="T1" s="120" t="s">
        <v>97</v>
      </c>
      <c r="U1" s="120" t="s">
        <v>98</v>
      </c>
      <c r="V1" s="118" t="s">
        <v>100</v>
      </c>
      <c r="W1" s="118" t="s">
        <v>101</v>
      </c>
      <c r="X1" s="118" t="s">
        <v>102</v>
      </c>
      <c r="Y1" s="118" t="s">
        <v>134</v>
      </c>
      <c r="Z1" s="119" t="s">
        <v>103</v>
      </c>
      <c r="AA1" s="119" t="s">
        <v>104</v>
      </c>
      <c r="AB1" s="119" t="s">
        <v>105</v>
      </c>
      <c r="AC1" s="121" t="s">
        <v>135</v>
      </c>
      <c r="AD1" s="120" t="s">
        <v>106</v>
      </c>
      <c r="AE1" s="120" t="s">
        <v>107</v>
      </c>
      <c r="AF1" s="120" t="s">
        <v>108</v>
      </c>
      <c r="AG1" s="120" t="s">
        <v>136</v>
      </c>
      <c r="AH1" s="118" t="s">
        <v>109</v>
      </c>
      <c r="AI1" s="118" t="s">
        <v>111</v>
      </c>
      <c r="AJ1" s="118" t="s">
        <v>110</v>
      </c>
      <c r="AK1" s="119" t="s">
        <v>115</v>
      </c>
      <c r="AL1" s="119" t="s">
        <v>116</v>
      </c>
      <c r="AM1" s="119" t="s">
        <v>117</v>
      </c>
      <c r="AN1" s="120" t="s">
        <v>112</v>
      </c>
      <c r="AO1" s="120" t="s">
        <v>113</v>
      </c>
      <c r="AP1" s="120" t="s">
        <v>114</v>
      </c>
    </row>
    <row r="2" spans="1:42" x14ac:dyDescent="0.15">
      <c r="A2" s="122" t="s">
        <v>74</v>
      </c>
      <c r="B2" s="123">
        <v>1</v>
      </c>
      <c r="D2">
        <v>1</v>
      </c>
      <c r="E2" s="189" t="s">
        <v>193</v>
      </c>
      <c r="F2">
        <v>0.98</v>
      </c>
      <c r="G2">
        <v>0.8</v>
      </c>
      <c r="H2">
        <v>0.8</v>
      </c>
      <c r="I2">
        <v>0.8</v>
      </c>
      <c r="J2" s="113">
        <v>0.25</v>
      </c>
      <c r="K2" s="113">
        <v>0.05</v>
      </c>
    </row>
    <row r="3" spans="1:42" x14ac:dyDescent="0.15">
      <c r="A3" s="122" t="s">
        <v>75</v>
      </c>
      <c r="B3" s="124">
        <v>1</v>
      </c>
      <c r="D3">
        <v>2</v>
      </c>
      <c r="E3" s="189" t="s">
        <v>194</v>
      </c>
      <c r="F3">
        <v>0.98</v>
      </c>
      <c r="G3">
        <v>0.8</v>
      </c>
      <c r="H3">
        <v>0.8</v>
      </c>
      <c r="I3">
        <v>0.8</v>
      </c>
      <c r="J3" s="113">
        <v>0.25</v>
      </c>
      <c r="K3" s="113">
        <v>0.05</v>
      </c>
    </row>
    <row r="4" spans="1:42" x14ac:dyDescent="0.15">
      <c r="A4" s="122" t="s">
        <v>76</v>
      </c>
      <c r="B4" s="124">
        <v>1</v>
      </c>
      <c r="D4">
        <v>3</v>
      </c>
      <c r="E4" s="189" t="s">
        <v>195</v>
      </c>
      <c r="F4">
        <v>0.98</v>
      </c>
      <c r="G4">
        <v>0.8</v>
      </c>
      <c r="H4">
        <v>0.8</v>
      </c>
      <c r="I4">
        <v>0.8</v>
      </c>
      <c r="J4" s="113">
        <v>0.25</v>
      </c>
      <c r="K4" s="113">
        <v>0.05</v>
      </c>
    </row>
    <row r="5" spans="1:42" x14ac:dyDescent="0.15">
      <c r="A5" s="122" t="s">
        <v>77</v>
      </c>
      <c r="B5" s="124">
        <v>1</v>
      </c>
      <c r="D5">
        <v>4</v>
      </c>
      <c r="E5" s="189" t="s">
        <v>196</v>
      </c>
      <c r="F5">
        <v>0.98</v>
      </c>
      <c r="G5">
        <v>0.8</v>
      </c>
      <c r="H5">
        <v>0.8</v>
      </c>
      <c r="I5">
        <v>0.8</v>
      </c>
      <c r="J5" s="113">
        <v>0.25</v>
      </c>
      <c r="K5" s="113">
        <v>0.05</v>
      </c>
    </row>
    <row r="6" spans="1:42" x14ac:dyDescent="0.15">
      <c r="A6" s="122" t="s">
        <v>78</v>
      </c>
      <c r="B6" s="124">
        <v>1</v>
      </c>
      <c r="D6">
        <v>5</v>
      </c>
      <c r="E6" s="189" t="s">
        <v>197</v>
      </c>
      <c r="F6">
        <v>0.98</v>
      </c>
      <c r="G6">
        <v>0.8</v>
      </c>
      <c r="H6">
        <v>0.8</v>
      </c>
      <c r="I6">
        <v>0.8</v>
      </c>
      <c r="J6" s="113">
        <v>0.25</v>
      </c>
      <c r="K6" s="113">
        <v>0.05</v>
      </c>
    </row>
    <row r="7" spans="1:42" x14ac:dyDescent="0.15">
      <c r="A7" s="122" t="s">
        <v>79</v>
      </c>
      <c r="B7" s="124">
        <v>1</v>
      </c>
      <c r="D7">
        <v>6</v>
      </c>
      <c r="E7" s="189" t="s">
        <v>198</v>
      </c>
      <c r="F7">
        <v>0.98</v>
      </c>
      <c r="G7">
        <v>0.8</v>
      </c>
      <c r="H7">
        <v>0.8</v>
      </c>
      <c r="I7">
        <v>0.8</v>
      </c>
      <c r="J7" s="113">
        <v>0.25</v>
      </c>
      <c r="K7" s="113">
        <v>0.05</v>
      </c>
    </row>
    <row r="8" spans="1:42" x14ac:dyDescent="0.15">
      <c r="A8" s="122" t="s">
        <v>80</v>
      </c>
      <c r="B8" s="124">
        <v>1</v>
      </c>
      <c r="D8">
        <v>7</v>
      </c>
      <c r="E8" s="189" t="s">
        <v>199</v>
      </c>
      <c r="F8">
        <v>0.98</v>
      </c>
      <c r="G8">
        <v>0.8</v>
      </c>
      <c r="H8">
        <v>0.8</v>
      </c>
      <c r="I8">
        <v>0.8</v>
      </c>
      <c r="J8" s="113">
        <v>0.25</v>
      </c>
      <c r="K8" s="113">
        <v>0.05</v>
      </c>
    </row>
    <row r="9" spans="1:42" x14ac:dyDescent="0.15">
      <c r="A9" s="122" t="s">
        <v>81</v>
      </c>
      <c r="B9" s="124">
        <v>0.1</v>
      </c>
      <c r="C9" s="60" t="s">
        <v>150</v>
      </c>
      <c r="D9">
        <v>8</v>
      </c>
      <c r="E9" s="189" t="s">
        <v>200</v>
      </c>
      <c r="F9">
        <v>0.98</v>
      </c>
      <c r="G9">
        <v>0.8</v>
      </c>
      <c r="H9">
        <v>0.8</v>
      </c>
      <c r="I9">
        <v>0.8</v>
      </c>
      <c r="J9" s="113">
        <v>0.25</v>
      </c>
      <c r="K9" s="113">
        <v>0.05</v>
      </c>
    </row>
    <row r="10" spans="1:42" ht="14" thickBot="1" x14ac:dyDescent="0.2">
      <c r="A10" s="122" t="s">
        <v>149</v>
      </c>
      <c r="B10" s="125">
        <f>1/3</f>
        <v>0.33333333333333331</v>
      </c>
      <c r="C10" s="60" t="s">
        <v>150</v>
      </c>
      <c r="D10">
        <v>9</v>
      </c>
      <c r="E10" s="189" t="s">
        <v>201</v>
      </c>
      <c r="F10">
        <v>0.98</v>
      </c>
      <c r="G10">
        <v>0.8</v>
      </c>
      <c r="H10">
        <v>0.8</v>
      </c>
      <c r="I10">
        <v>0.8</v>
      </c>
      <c r="J10" s="113">
        <v>0.25</v>
      </c>
      <c r="K10" s="113">
        <v>0.05</v>
      </c>
    </row>
    <row r="11" spans="1:42" x14ac:dyDescent="0.15">
      <c r="D11">
        <v>10</v>
      </c>
      <c r="E11" s="189" t="s">
        <v>202</v>
      </c>
      <c r="F11">
        <v>0.98</v>
      </c>
      <c r="G11">
        <v>0.8</v>
      </c>
      <c r="H11">
        <v>0.8</v>
      </c>
      <c r="I11">
        <v>0.8</v>
      </c>
      <c r="J11" s="113">
        <v>0.25</v>
      </c>
      <c r="K11" s="113">
        <v>0.05</v>
      </c>
    </row>
    <row r="12" spans="1:42" x14ac:dyDescent="0.15">
      <c r="D12">
        <v>11</v>
      </c>
      <c r="E12" s="189" t="s">
        <v>203</v>
      </c>
      <c r="F12">
        <v>0.98</v>
      </c>
      <c r="G12">
        <v>0.8</v>
      </c>
      <c r="H12">
        <v>0.8</v>
      </c>
      <c r="I12">
        <v>0.8</v>
      </c>
      <c r="J12" s="113">
        <v>0.25</v>
      </c>
      <c r="K12" s="113">
        <v>0.05</v>
      </c>
    </row>
    <row r="13" spans="1:42" x14ac:dyDescent="0.15">
      <c r="D13">
        <v>12</v>
      </c>
      <c r="E13" s="189" t="s">
        <v>204</v>
      </c>
      <c r="F13">
        <v>0.98</v>
      </c>
      <c r="G13">
        <v>0.8</v>
      </c>
      <c r="H13">
        <v>0.8</v>
      </c>
      <c r="I13">
        <v>0.8</v>
      </c>
      <c r="J13" s="113">
        <v>0.25</v>
      </c>
      <c r="K13" s="113">
        <v>0.05</v>
      </c>
    </row>
    <row r="14" spans="1:42" x14ac:dyDescent="0.15">
      <c r="D14">
        <v>13</v>
      </c>
      <c r="E14" s="189" t="s">
        <v>205</v>
      </c>
      <c r="F14">
        <v>0.98</v>
      </c>
      <c r="G14">
        <v>0.8</v>
      </c>
      <c r="H14">
        <v>0.8</v>
      </c>
      <c r="I14">
        <v>0.8</v>
      </c>
      <c r="J14" s="113">
        <v>0.25</v>
      </c>
      <c r="K14" s="113">
        <v>0.05</v>
      </c>
    </row>
    <row r="15" spans="1:42" x14ac:dyDescent="0.15">
      <c r="D15">
        <v>14</v>
      </c>
      <c r="E15" s="189" t="s">
        <v>206</v>
      </c>
      <c r="F15">
        <v>0.98</v>
      </c>
      <c r="G15">
        <v>0.8</v>
      </c>
      <c r="H15">
        <v>0.8</v>
      </c>
      <c r="I15">
        <v>0.8</v>
      </c>
      <c r="J15" s="113">
        <v>0.25</v>
      </c>
      <c r="K15" s="113">
        <v>0.05</v>
      </c>
    </row>
    <row r="16" spans="1:42" x14ac:dyDescent="0.15">
      <c r="D16">
        <v>15</v>
      </c>
      <c r="E16" s="189" t="s">
        <v>207</v>
      </c>
      <c r="F16">
        <v>0.98</v>
      </c>
      <c r="G16">
        <v>0.8</v>
      </c>
      <c r="H16">
        <v>0.8</v>
      </c>
      <c r="I16">
        <v>0.8</v>
      </c>
      <c r="J16" s="113">
        <v>0.25</v>
      </c>
      <c r="K16" s="113">
        <v>0.05</v>
      </c>
    </row>
    <row r="17" spans="4:33" ht="15" customHeight="1" x14ac:dyDescent="0.15">
      <c r="D17">
        <v>16</v>
      </c>
      <c r="E17" s="189" t="s">
        <v>208</v>
      </c>
      <c r="F17">
        <v>0.98</v>
      </c>
      <c r="G17">
        <v>0.8</v>
      </c>
      <c r="H17">
        <v>0.8</v>
      </c>
      <c r="I17">
        <v>0.8</v>
      </c>
      <c r="J17" s="113">
        <v>0.25</v>
      </c>
      <c r="K17" s="113">
        <v>0.05</v>
      </c>
    </row>
    <row r="18" spans="4:33" ht="15" customHeight="1" x14ac:dyDescent="0.15">
      <c r="D18">
        <v>17</v>
      </c>
      <c r="E18" s="189" t="s">
        <v>209</v>
      </c>
      <c r="F18">
        <v>0.98</v>
      </c>
      <c r="G18">
        <v>0.8</v>
      </c>
      <c r="H18">
        <v>0.8</v>
      </c>
      <c r="I18">
        <v>0.8</v>
      </c>
      <c r="J18" s="113">
        <v>0.25</v>
      </c>
      <c r="K18" s="113">
        <v>0.05</v>
      </c>
    </row>
    <row r="19" spans="4:33" ht="15" customHeight="1" x14ac:dyDescent="0.15">
      <c r="D19">
        <v>18</v>
      </c>
      <c r="E19" s="189" t="s">
        <v>210</v>
      </c>
      <c r="F19">
        <v>0.98</v>
      </c>
      <c r="G19">
        <v>0.8</v>
      </c>
      <c r="H19">
        <v>0.8</v>
      </c>
      <c r="I19">
        <v>0.8</v>
      </c>
      <c r="J19" s="113">
        <v>0.25</v>
      </c>
      <c r="K19" s="113">
        <v>0.05</v>
      </c>
    </row>
    <row r="20" spans="4:33" ht="15" customHeight="1" x14ac:dyDescent="0.15">
      <c r="D20">
        <v>19</v>
      </c>
      <c r="E20" s="189" t="s">
        <v>211</v>
      </c>
      <c r="F20">
        <v>0.98</v>
      </c>
      <c r="G20">
        <v>0.8</v>
      </c>
      <c r="H20">
        <v>0.8</v>
      </c>
      <c r="I20">
        <v>0.8</v>
      </c>
      <c r="J20" s="113">
        <v>0.25</v>
      </c>
      <c r="K20" s="113">
        <v>0.05</v>
      </c>
    </row>
    <row r="21" spans="4:33" ht="15" customHeight="1" x14ac:dyDescent="0.15">
      <c r="D21">
        <v>20</v>
      </c>
      <c r="E21" s="189" t="s">
        <v>212</v>
      </c>
      <c r="F21">
        <v>0.98</v>
      </c>
      <c r="G21">
        <v>0.8</v>
      </c>
      <c r="H21">
        <v>0.8</v>
      </c>
      <c r="I21">
        <v>0.8</v>
      </c>
      <c r="J21" s="113">
        <v>0.25</v>
      </c>
      <c r="K21" s="113">
        <v>0.05</v>
      </c>
    </row>
    <row r="22" spans="4:33" ht="15" customHeight="1" x14ac:dyDescent="0.15">
      <c r="D22">
        <v>21</v>
      </c>
      <c r="E22" s="189" t="s">
        <v>213</v>
      </c>
      <c r="F22">
        <v>0.98</v>
      </c>
      <c r="G22">
        <v>0.8</v>
      </c>
      <c r="H22">
        <v>0.8</v>
      </c>
      <c r="I22">
        <v>0.8</v>
      </c>
      <c r="J22" s="113">
        <v>0.25</v>
      </c>
      <c r="K22" s="113">
        <v>0.05</v>
      </c>
    </row>
    <row r="23" spans="4:33" ht="15" customHeight="1" x14ac:dyDescent="0.15">
      <c r="D23">
        <v>22</v>
      </c>
      <c r="E23" s="189" t="s">
        <v>214</v>
      </c>
      <c r="F23">
        <v>0.98</v>
      </c>
      <c r="G23">
        <v>0.8</v>
      </c>
      <c r="H23">
        <v>0.8</v>
      </c>
      <c r="I23">
        <v>0.8</v>
      </c>
      <c r="J23" s="113">
        <v>0.25</v>
      </c>
      <c r="K23" s="113">
        <v>0.05</v>
      </c>
    </row>
    <row r="24" spans="4:33" ht="15" customHeight="1" x14ac:dyDescent="0.15">
      <c r="D24">
        <v>23</v>
      </c>
      <c r="E24" s="189" t="s">
        <v>215</v>
      </c>
      <c r="F24">
        <v>0.98</v>
      </c>
      <c r="G24">
        <v>0.8</v>
      </c>
      <c r="H24">
        <v>0.8</v>
      </c>
      <c r="I24">
        <v>0.8</v>
      </c>
      <c r="J24" s="113">
        <v>0.25</v>
      </c>
      <c r="K24" s="113">
        <v>0.05</v>
      </c>
    </row>
    <row r="25" spans="4:33" ht="15" customHeight="1" x14ac:dyDescent="0.15">
      <c r="D25">
        <v>24</v>
      </c>
      <c r="E25" s="189" t="s">
        <v>216</v>
      </c>
      <c r="F25">
        <v>0.98</v>
      </c>
      <c r="G25">
        <v>0.8</v>
      </c>
      <c r="H25">
        <v>0.8</v>
      </c>
      <c r="I25">
        <v>0.8</v>
      </c>
      <c r="J25" s="113">
        <v>0.25</v>
      </c>
      <c r="K25" s="113">
        <v>0.05</v>
      </c>
    </row>
    <row r="26" spans="4:33" ht="15" customHeight="1" x14ac:dyDescent="0.15">
      <c r="D26">
        <v>25</v>
      </c>
      <c r="E26" s="189" t="s">
        <v>217</v>
      </c>
      <c r="F26">
        <v>0.98</v>
      </c>
      <c r="G26">
        <v>0.8</v>
      </c>
      <c r="H26">
        <v>0.8</v>
      </c>
      <c r="I26">
        <v>0.8</v>
      </c>
      <c r="J26" s="113">
        <v>0.25</v>
      </c>
      <c r="K26" s="113">
        <v>0.05</v>
      </c>
    </row>
    <row r="27" spans="4:33" ht="15" customHeight="1" x14ac:dyDescent="0.15">
      <c r="D27">
        <v>26</v>
      </c>
      <c r="E27" s="189" t="s">
        <v>218</v>
      </c>
      <c r="F27">
        <v>0.98</v>
      </c>
      <c r="G27">
        <v>0.8</v>
      </c>
      <c r="H27">
        <v>0.8</v>
      </c>
      <c r="I27">
        <v>0.8</v>
      </c>
      <c r="J27" s="113">
        <v>0.25</v>
      </c>
      <c r="K27" s="113">
        <v>0.05</v>
      </c>
    </row>
    <row r="28" spans="4:33" ht="15" customHeight="1" x14ac:dyDescent="0.15">
      <c r="D28">
        <v>27</v>
      </c>
      <c r="E28" s="189" t="s">
        <v>219</v>
      </c>
      <c r="F28">
        <v>0.98</v>
      </c>
      <c r="G28">
        <v>0.8</v>
      </c>
      <c r="H28">
        <v>0.8</v>
      </c>
      <c r="I28">
        <v>0.8</v>
      </c>
      <c r="J28" s="113">
        <v>0.25</v>
      </c>
      <c r="K28" s="113">
        <v>0.05</v>
      </c>
    </row>
    <row r="29" spans="4:33" ht="15" customHeight="1" x14ac:dyDescent="0.15">
      <c r="D29">
        <v>28</v>
      </c>
      <c r="E29" s="189" t="s">
        <v>220</v>
      </c>
      <c r="F29">
        <v>0.98</v>
      </c>
      <c r="G29">
        <v>0.8</v>
      </c>
      <c r="H29">
        <v>0.8</v>
      </c>
      <c r="I29">
        <v>0.8</v>
      </c>
      <c r="J29" s="113">
        <v>0.25</v>
      </c>
      <c r="K29" s="113">
        <v>0.05</v>
      </c>
      <c r="Y29"/>
      <c r="AC29"/>
      <c r="AG29"/>
    </row>
    <row r="30" spans="4:33" ht="15" customHeight="1" x14ac:dyDescent="0.15">
      <c r="D30">
        <v>29</v>
      </c>
      <c r="E30" s="189" t="s">
        <v>221</v>
      </c>
      <c r="F30">
        <v>0.98</v>
      </c>
      <c r="G30">
        <v>0.8</v>
      </c>
      <c r="H30">
        <v>0.8</v>
      </c>
      <c r="I30">
        <v>0.8</v>
      </c>
      <c r="J30" s="113">
        <v>0.25</v>
      </c>
      <c r="K30" s="113">
        <v>0.05</v>
      </c>
      <c r="Y30"/>
      <c r="AC30"/>
      <c r="AG30"/>
    </row>
    <row r="31" spans="4:33" ht="15" customHeight="1" x14ac:dyDescent="0.15">
      <c r="D31">
        <v>30</v>
      </c>
      <c r="E31" s="189" t="s">
        <v>222</v>
      </c>
      <c r="F31">
        <v>0.98</v>
      </c>
      <c r="G31">
        <v>0.8</v>
      </c>
      <c r="H31">
        <v>0.8</v>
      </c>
      <c r="I31">
        <v>0.8</v>
      </c>
      <c r="J31" s="113">
        <v>0.25</v>
      </c>
      <c r="K31" s="113">
        <v>0.05</v>
      </c>
      <c r="Y31"/>
      <c r="AC31"/>
      <c r="AG31"/>
    </row>
    <row r="32" spans="4:33" ht="15" customHeight="1" x14ac:dyDescent="0.15">
      <c r="D32">
        <v>31</v>
      </c>
      <c r="E32" s="189" t="s">
        <v>223</v>
      </c>
      <c r="F32">
        <v>0.98</v>
      </c>
      <c r="G32">
        <v>0.8</v>
      </c>
      <c r="H32">
        <v>0.8</v>
      </c>
      <c r="I32">
        <v>0.8</v>
      </c>
      <c r="J32" s="113">
        <v>0.25</v>
      </c>
      <c r="K32" s="113">
        <v>0.05</v>
      </c>
      <c r="Y32"/>
      <c r="AC32"/>
      <c r="AG32"/>
    </row>
    <row r="33" spans="4:33" ht="15" customHeight="1" x14ac:dyDescent="0.15">
      <c r="D33">
        <v>32</v>
      </c>
      <c r="E33" s="189" t="s">
        <v>224</v>
      </c>
      <c r="F33">
        <v>0.98</v>
      </c>
      <c r="G33">
        <v>0.8</v>
      </c>
      <c r="H33">
        <v>0.8</v>
      </c>
      <c r="I33">
        <v>0.8</v>
      </c>
      <c r="J33" s="113">
        <v>0.25</v>
      </c>
      <c r="K33" s="113">
        <v>0.05</v>
      </c>
      <c r="Y33"/>
      <c r="AC33"/>
      <c r="AG33"/>
    </row>
    <row r="34" spans="4:33" ht="15" customHeight="1" x14ac:dyDescent="0.15">
      <c r="D34">
        <v>33</v>
      </c>
      <c r="E34" s="189" t="s">
        <v>225</v>
      </c>
      <c r="F34">
        <v>0.98</v>
      </c>
      <c r="G34">
        <v>0.8</v>
      </c>
      <c r="H34">
        <v>0.8</v>
      </c>
      <c r="I34">
        <v>0.8</v>
      </c>
      <c r="J34" s="113">
        <v>0.25</v>
      </c>
      <c r="K34" s="113">
        <v>0.05</v>
      </c>
      <c r="Y34"/>
      <c r="AC34"/>
      <c r="AG34"/>
    </row>
    <row r="35" spans="4:33" ht="15" customHeight="1" x14ac:dyDescent="0.15">
      <c r="D35">
        <v>34</v>
      </c>
      <c r="E35" s="189" t="s">
        <v>226</v>
      </c>
      <c r="F35">
        <v>0.98</v>
      </c>
      <c r="G35">
        <v>0.8</v>
      </c>
      <c r="H35">
        <v>0.8</v>
      </c>
      <c r="I35">
        <v>0.8</v>
      </c>
      <c r="J35" s="113">
        <v>0.25</v>
      </c>
      <c r="K35" s="113">
        <v>0.05</v>
      </c>
      <c r="Y35"/>
      <c r="AC35"/>
      <c r="AG35"/>
    </row>
    <row r="36" spans="4:33" ht="15" customHeight="1" x14ac:dyDescent="0.15">
      <c r="D36">
        <v>35</v>
      </c>
      <c r="E36" s="189" t="s">
        <v>227</v>
      </c>
      <c r="F36">
        <v>0.98</v>
      </c>
      <c r="G36">
        <v>0.8</v>
      </c>
      <c r="H36">
        <v>0.8</v>
      </c>
      <c r="I36">
        <v>0.8</v>
      </c>
      <c r="J36" s="113">
        <v>0.25</v>
      </c>
      <c r="K36" s="113">
        <v>0.05</v>
      </c>
      <c r="Y36"/>
      <c r="AC36"/>
      <c r="AG36"/>
    </row>
    <row r="37" spans="4:33" ht="15" customHeight="1" x14ac:dyDescent="0.15">
      <c r="D37">
        <v>36</v>
      </c>
      <c r="E37" s="189" t="s">
        <v>228</v>
      </c>
      <c r="F37">
        <v>0.98</v>
      </c>
      <c r="G37">
        <v>0.8</v>
      </c>
      <c r="H37">
        <v>0.8</v>
      </c>
      <c r="I37">
        <v>0.8</v>
      </c>
      <c r="J37" s="113">
        <v>0.25</v>
      </c>
      <c r="K37" s="113">
        <v>0.05</v>
      </c>
      <c r="Y37"/>
      <c r="AC37"/>
      <c r="AG37"/>
    </row>
    <row r="38" spans="4:33" ht="15" customHeight="1" x14ac:dyDescent="0.15">
      <c r="D38">
        <v>37</v>
      </c>
      <c r="E38" s="189" t="s">
        <v>229</v>
      </c>
      <c r="F38">
        <v>0.98</v>
      </c>
      <c r="G38">
        <v>0.8</v>
      </c>
      <c r="H38">
        <v>0.8</v>
      </c>
      <c r="I38">
        <v>0.8</v>
      </c>
      <c r="J38" s="113">
        <v>0.25</v>
      </c>
      <c r="K38" s="113">
        <v>0.05</v>
      </c>
      <c r="Y38"/>
      <c r="AC38"/>
      <c r="AG38"/>
    </row>
    <row r="39" spans="4:33" ht="15" customHeight="1" x14ac:dyDescent="0.15">
      <c r="D39">
        <v>38</v>
      </c>
      <c r="E39" s="189" t="s">
        <v>230</v>
      </c>
      <c r="F39">
        <v>0.98</v>
      </c>
      <c r="G39">
        <v>0.8</v>
      </c>
      <c r="H39">
        <v>0.8</v>
      </c>
      <c r="I39">
        <v>0.8</v>
      </c>
      <c r="J39" s="113">
        <v>0.25</v>
      </c>
      <c r="K39" s="113">
        <v>0.05</v>
      </c>
    </row>
    <row r="40" spans="4:33" ht="15" customHeight="1" x14ac:dyDescent="0.15">
      <c r="D40">
        <v>39</v>
      </c>
      <c r="E40" s="189" t="s">
        <v>231</v>
      </c>
      <c r="F40">
        <v>0.98</v>
      </c>
      <c r="G40">
        <v>0.8</v>
      </c>
      <c r="H40">
        <v>0.8</v>
      </c>
      <c r="I40">
        <v>0</v>
      </c>
      <c r="J40" s="113">
        <v>0</v>
      </c>
      <c r="K40" s="113">
        <v>0</v>
      </c>
      <c r="Y40"/>
      <c r="AC40"/>
      <c r="AG40"/>
    </row>
    <row r="41" spans="4:33" ht="15" customHeight="1" x14ac:dyDescent="0.15">
      <c r="D41">
        <v>40</v>
      </c>
      <c r="E41" s="189" t="s">
        <v>232</v>
      </c>
      <c r="F41">
        <v>0.98</v>
      </c>
      <c r="G41">
        <v>0.8</v>
      </c>
      <c r="H41">
        <v>0.8</v>
      </c>
      <c r="I41">
        <v>0</v>
      </c>
      <c r="J41" s="113">
        <v>0</v>
      </c>
      <c r="K41" s="113">
        <v>0</v>
      </c>
      <c r="Y41"/>
      <c r="AC41"/>
      <c r="AG41"/>
    </row>
    <row r="42" spans="4:33" ht="15" customHeight="1" x14ac:dyDescent="0.15">
      <c r="D42">
        <v>41</v>
      </c>
      <c r="E42" s="189" t="s">
        <v>233</v>
      </c>
      <c r="F42">
        <v>0.98</v>
      </c>
      <c r="G42">
        <v>0.8</v>
      </c>
      <c r="H42">
        <v>0.8</v>
      </c>
      <c r="I42">
        <v>0</v>
      </c>
      <c r="J42" s="113">
        <v>0</v>
      </c>
      <c r="K42" s="113">
        <v>0</v>
      </c>
      <c r="Y42"/>
      <c r="AC42"/>
      <c r="AG42"/>
    </row>
    <row r="43" spans="4:33" ht="15" customHeight="1" x14ac:dyDescent="0.15">
      <c r="D43">
        <v>42</v>
      </c>
      <c r="E43" s="189" t="s">
        <v>234</v>
      </c>
      <c r="F43">
        <v>0.98</v>
      </c>
      <c r="G43">
        <v>0.8</v>
      </c>
      <c r="H43">
        <v>0</v>
      </c>
      <c r="I43">
        <v>0</v>
      </c>
      <c r="J43" s="113">
        <v>0</v>
      </c>
      <c r="K43" s="113">
        <v>0</v>
      </c>
      <c r="Y43"/>
      <c r="AC43"/>
      <c r="AG43"/>
    </row>
    <row r="44" spans="4:33" ht="15" customHeight="1" x14ac:dyDescent="0.15">
      <c r="D44">
        <v>43</v>
      </c>
      <c r="E44" s="189" t="s">
        <v>235</v>
      </c>
      <c r="F44">
        <v>0.98</v>
      </c>
      <c r="G44">
        <v>0.8</v>
      </c>
      <c r="H44">
        <v>0</v>
      </c>
      <c r="I44">
        <v>0</v>
      </c>
      <c r="J44" s="113">
        <v>0</v>
      </c>
      <c r="K44" s="113">
        <v>0</v>
      </c>
      <c r="Y44"/>
      <c r="AC44"/>
      <c r="AG44"/>
    </row>
    <row r="45" spans="4:33" ht="15" customHeight="1" x14ac:dyDescent="0.15">
      <c r="D45">
        <v>44</v>
      </c>
      <c r="E45" s="189" t="s">
        <v>236</v>
      </c>
      <c r="F45">
        <v>0.98</v>
      </c>
      <c r="G45">
        <v>0.8</v>
      </c>
      <c r="H45">
        <v>0</v>
      </c>
      <c r="I45">
        <v>0</v>
      </c>
      <c r="J45" s="113">
        <v>0</v>
      </c>
      <c r="K45" s="113">
        <v>0</v>
      </c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S46"/>
  <sheetViews>
    <sheetView workbookViewId="0">
      <selection activeCell="A3" sqref="A3"/>
    </sheetView>
  </sheetViews>
  <sheetFormatPr baseColWidth="10" defaultRowHeight="13" x14ac:dyDescent="0.15"/>
  <cols>
    <col min="1" max="1" width="44.1640625" style="111" bestFit="1" customWidth="1"/>
    <col min="2" max="39" width="3.83203125" style="111" customWidth="1"/>
    <col min="40" max="45" width="2.33203125" style="111" customWidth="1"/>
    <col min="46" max="16384" width="10.83203125" style="111"/>
  </cols>
  <sheetData>
    <row r="1" spans="1:45" x14ac:dyDescent="0.15">
      <c r="A1" s="62" t="s">
        <v>118</v>
      </c>
      <c r="B1" s="191" t="s">
        <v>193</v>
      </c>
      <c r="C1" s="191" t="s">
        <v>194</v>
      </c>
      <c r="D1" s="191" t="s">
        <v>195</v>
      </c>
      <c r="E1" s="191" t="s">
        <v>196</v>
      </c>
      <c r="F1" s="191" t="s">
        <v>197</v>
      </c>
      <c r="G1" s="191" t="s">
        <v>198</v>
      </c>
      <c r="H1" s="191" t="s">
        <v>199</v>
      </c>
      <c r="I1" s="191" t="s">
        <v>200</v>
      </c>
      <c r="J1" s="191" t="s">
        <v>201</v>
      </c>
      <c r="K1" s="191" t="s">
        <v>202</v>
      </c>
      <c r="L1" s="191" t="s">
        <v>203</v>
      </c>
      <c r="M1" s="191" t="s">
        <v>204</v>
      </c>
      <c r="N1" s="191" t="s">
        <v>205</v>
      </c>
      <c r="O1" s="191" t="s">
        <v>206</v>
      </c>
      <c r="P1" s="191" t="s">
        <v>207</v>
      </c>
      <c r="Q1" s="191" t="s">
        <v>208</v>
      </c>
      <c r="R1" s="191" t="s">
        <v>209</v>
      </c>
      <c r="S1" s="191" t="s">
        <v>210</v>
      </c>
      <c r="T1" s="191" t="s">
        <v>211</v>
      </c>
      <c r="U1" s="191" t="s">
        <v>212</v>
      </c>
      <c r="V1" s="191" t="s">
        <v>213</v>
      </c>
      <c r="W1" s="191" t="s">
        <v>214</v>
      </c>
      <c r="X1" s="191" t="s">
        <v>215</v>
      </c>
      <c r="Y1" s="191" t="s">
        <v>216</v>
      </c>
      <c r="Z1" s="191" t="s">
        <v>217</v>
      </c>
      <c r="AA1" s="191" t="s">
        <v>218</v>
      </c>
      <c r="AB1" s="191" t="s">
        <v>219</v>
      </c>
      <c r="AC1" s="191" t="s">
        <v>220</v>
      </c>
      <c r="AD1" s="191" t="s">
        <v>221</v>
      </c>
      <c r="AE1" s="191" t="s">
        <v>222</v>
      </c>
      <c r="AF1" s="191" t="s">
        <v>223</v>
      </c>
      <c r="AG1" s="191" t="s">
        <v>224</v>
      </c>
      <c r="AH1" s="191" t="s">
        <v>225</v>
      </c>
      <c r="AI1" s="191" t="s">
        <v>226</v>
      </c>
      <c r="AJ1" s="191" t="s">
        <v>227</v>
      </c>
      <c r="AK1" s="191" t="s">
        <v>228</v>
      </c>
      <c r="AL1" s="191" t="s">
        <v>229</v>
      </c>
      <c r="AM1" s="191" t="s">
        <v>230</v>
      </c>
      <c r="AN1" s="191" t="s">
        <v>231</v>
      </c>
      <c r="AO1" s="191" t="s">
        <v>232</v>
      </c>
      <c r="AP1" s="191" t="s">
        <v>233</v>
      </c>
      <c r="AQ1" s="191" t="s">
        <v>234</v>
      </c>
      <c r="AR1" s="191" t="s">
        <v>235</v>
      </c>
      <c r="AS1" s="191" t="s">
        <v>236</v>
      </c>
    </row>
    <row r="2" spans="1:45" customFormat="1" x14ac:dyDescent="0.15">
      <c r="A2" s="190" t="s">
        <v>193</v>
      </c>
      <c r="B2" s="111">
        <v>0</v>
      </c>
      <c r="C2" s="111">
        <v>0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</row>
    <row r="3" spans="1:45" customFormat="1" x14ac:dyDescent="0.15">
      <c r="A3" s="190" t="s">
        <v>194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</row>
    <row r="4" spans="1:45" customFormat="1" x14ac:dyDescent="0.15">
      <c r="A4" s="190" t="s">
        <v>195</v>
      </c>
      <c r="B4" s="111">
        <v>0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0</v>
      </c>
      <c r="AQ4" s="111">
        <v>0</v>
      </c>
      <c r="AR4" s="111">
        <v>0</v>
      </c>
      <c r="AS4" s="111">
        <v>0</v>
      </c>
    </row>
    <row r="5" spans="1:45" customFormat="1" x14ac:dyDescent="0.15">
      <c r="A5" s="190" t="s">
        <v>196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  <c r="AN5" s="111">
        <v>0</v>
      </c>
      <c r="AO5" s="111">
        <v>0</v>
      </c>
      <c r="AP5" s="111">
        <v>0</v>
      </c>
      <c r="AQ5" s="111">
        <v>0</v>
      </c>
      <c r="AR5" s="111">
        <v>0</v>
      </c>
      <c r="AS5" s="111">
        <v>0</v>
      </c>
    </row>
    <row r="6" spans="1:45" customFormat="1" x14ac:dyDescent="0.15">
      <c r="A6" s="190" t="s">
        <v>197</v>
      </c>
      <c r="B6" s="111">
        <v>0</v>
      </c>
      <c r="C6" s="111">
        <v>0</v>
      </c>
      <c r="D6" s="111">
        <v>0</v>
      </c>
      <c r="E6" s="111">
        <v>0</v>
      </c>
      <c r="F6" s="111">
        <v>0.8</v>
      </c>
      <c r="G6" s="111">
        <v>0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</row>
    <row r="7" spans="1:45" customFormat="1" x14ac:dyDescent="0.15">
      <c r="A7" s="190" t="s">
        <v>198</v>
      </c>
      <c r="B7" s="111">
        <v>0</v>
      </c>
      <c r="C7" s="111">
        <v>0</v>
      </c>
      <c r="D7" s="111">
        <v>0</v>
      </c>
      <c r="E7" s="111">
        <v>0</v>
      </c>
      <c r="F7" s="111">
        <v>0.8</v>
      </c>
      <c r="G7" s="111">
        <v>0</v>
      </c>
      <c r="H7" s="111">
        <v>0.8</v>
      </c>
      <c r="I7" s="111">
        <v>0</v>
      </c>
      <c r="J7" s="111">
        <v>0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  <c r="AN7" s="111">
        <v>0</v>
      </c>
      <c r="AO7" s="111">
        <v>0</v>
      </c>
      <c r="AP7" s="111">
        <v>0</v>
      </c>
      <c r="AQ7" s="111">
        <v>0</v>
      </c>
      <c r="AR7" s="111">
        <v>0</v>
      </c>
      <c r="AS7" s="111">
        <v>0</v>
      </c>
    </row>
    <row r="8" spans="1:45" customFormat="1" x14ac:dyDescent="0.15">
      <c r="A8" s="190" t="s">
        <v>199</v>
      </c>
      <c r="B8" s="111">
        <v>0</v>
      </c>
      <c r="C8" s="111">
        <v>0</v>
      </c>
      <c r="D8" s="111">
        <v>0</v>
      </c>
      <c r="E8" s="111">
        <v>0.8</v>
      </c>
      <c r="F8" s="111">
        <v>0.8</v>
      </c>
      <c r="G8" s="111">
        <v>0.8</v>
      </c>
      <c r="H8" s="111">
        <v>0</v>
      </c>
      <c r="I8" s="111">
        <v>0</v>
      </c>
      <c r="J8" s="111">
        <v>0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  <c r="AN8" s="111">
        <v>0</v>
      </c>
      <c r="AO8" s="111">
        <v>0</v>
      </c>
      <c r="AP8" s="111">
        <v>0</v>
      </c>
      <c r="AQ8" s="111">
        <v>0</v>
      </c>
      <c r="AR8" s="111">
        <v>0</v>
      </c>
      <c r="AS8" s="111">
        <v>0</v>
      </c>
    </row>
    <row r="9" spans="1:45" customFormat="1" x14ac:dyDescent="0.15">
      <c r="A9" s="190" t="s">
        <v>200</v>
      </c>
      <c r="B9" s="111">
        <v>0</v>
      </c>
      <c r="C9" s="111">
        <v>0</v>
      </c>
      <c r="D9" s="111">
        <v>0</v>
      </c>
      <c r="E9" s="111">
        <v>0.8</v>
      </c>
      <c r="F9" s="111">
        <v>0</v>
      </c>
      <c r="G9" s="111">
        <v>0</v>
      </c>
      <c r="H9" s="111">
        <v>0</v>
      </c>
      <c r="I9" s="111">
        <v>0</v>
      </c>
      <c r="J9" s="111">
        <v>0</v>
      </c>
      <c r="K9" s="111">
        <v>0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0</v>
      </c>
      <c r="AQ9" s="111">
        <v>0</v>
      </c>
      <c r="AR9" s="111">
        <v>0</v>
      </c>
      <c r="AS9" s="111">
        <v>0</v>
      </c>
    </row>
    <row r="10" spans="1:45" customFormat="1" x14ac:dyDescent="0.15">
      <c r="A10" s="190" t="s">
        <v>201</v>
      </c>
      <c r="B10" s="111">
        <v>0</v>
      </c>
      <c r="C10" s="111">
        <v>0</v>
      </c>
      <c r="D10" s="111">
        <v>0</v>
      </c>
      <c r="E10" s="111">
        <v>0.8</v>
      </c>
      <c r="F10" s="111">
        <v>0.8</v>
      </c>
      <c r="G10" s="111">
        <v>0</v>
      </c>
      <c r="H10" s="111">
        <v>0.8</v>
      </c>
      <c r="I10" s="111">
        <v>0</v>
      </c>
      <c r="J10" s="111">
        <v>0.8</v>
      </c>
      <c r="K10" s="111">
        <v>0.8</v>
      </c>
      <c r="L10" s="111">
        <v>0.8</v>
      </c>
      <c r="M10" s="111">
        <v>0.8</v>
      </c>
      <c r="N10" s="111">
        <v>0</v>
      </c>
      <c r="O10" s="111">
        <v>0</v>
      </c>
      <c r="P10" s="111">
        <v>0</v>
      </c>
      <c r="Q10" s="111">
        <v>0.8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</row>
    <row r="11" spans="1:45" customFormat="1" x14ac:dyDescent="0.15">
      <c r="A11" s="190" t="s">
        <v>202</v>
      </c>
      <c r="B11" s="111">
        <v>0</v>
      </c>
      <c r="C11" s="111">
        <v>0</v>
      </c>
      <c r="D11" s="111">
        <v>0</v>
      </c>
      <c r="E11" s="111">
        <v>0</v>
      </c>
      <c r="F11" s="111">
        <v>0.8</v>
      </c>
      <c r="G11" s="111">
        <v>0</v>
      </c>
      <c r="H11" s="111">
        <v>0.8</v>
      </c>
      <c r="I11" s="111">
        <v>0</v>
      </c>
      <c r="J11" s="111">
        <v>0</v>
      </c>
      <c r="K11" s="111">
        <v>0.8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  <c r="AN11" s="111">
        <v>0</v>
      </c>
      <c r="AO11" s="111">
        <v>0</v>
      </c>
      <c r="AP11" s="111">
        <v>0</v>
      </c>
      <c r="AQ11" s="111">
        <v>0</v>
      </c>
      <c r="AR11" s="111">
        <v>0</v>
      </c>
      <c r="AS11" s="111">
        <v>0</v>
      </c>
    </row>
    <row r="12" spans="1:45" customFormat="1" x14ac:dyDescent="0.15">
      <c r="A12" s="190" t="s">
        <v>203</v>
      </c>
      <c r="B12" s="111">
        <v>0</v>
      </c>
      <c r="C12" s="111">
        <v>0</v>
      </c>
      <c r="D12" s="111">
        <v>0</v>
      </c>
      <c r="E12" s="111">
        <v>0.8</v>
      </c>
      <c r="F12" s="111">
        <v>0</v>
      </c>
      <c r="G12" s="111">
        <v>0</v>
      </c>
      <c r="H12" s="111">
        <v>0.8</v>
      </c>
      <c r="I12" s="111">
        <v>0</v>
      </c>
      <c r="J12" s="111">
        <v>0</v>
      </c>
      <c r="K12" s="111">
        <v>0.8</v>
      </c>
      <c r="L12" s="111">
        <v>0.8</v>
      </c>
      <c r="M12" s="111">
        <v>0</v>
      </c>
      <c r="N12" s="111">
        <v>0</v>
      </c>
      <c r="O12" s="111">
        <v>0</v>
      </c>
      <c r="P12" s="111">
        <v>0</v>
      </c>
      <c r="Q12" s="111">
        <v>0</v>
      </c>
      <c r="R12" s="111">
        <v>0</v>
      </c>
      <c r="S12" s="111">
        <v>0</v>
      </c>
      <c r="T12" s="111">
        <v>0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</row>
    <row r="13" spans="1:45" customFormat="1" x14ac:dyDescent="0.15">
      <c r="A13" s="190" t="s">
        <v>204</v>
      </c>
      <c r="B13" s="111">
        <v>0</v>
      </c>
      <c r="C13" s="111">
        <v>0</v>
      </c>
      <c r="D13" s="111">
        <v>0</v>
      </c>
      <c r="E13" s="111">
        <v>0</v>
      </c>
      <c r="F13" s="111">
        <v>0.8</v>
      </c>
      <c r="G13" s="111">
        <v>0</v>
      </c>
      <c r="H13" s="111">
        <v>0</v>
      </c>
      <c r="I13" s="111">
        <v>0</v>
      </c>
      <c r="J13" s="111">
        <v>0</v>
      </c>
      <c r="K13" s="111">
        <v>0.8</v>
      </c>
      <c r="L13" s="111">
        <v>0</v>
      </c>
      <c r="M13" s="111">
        <v>0</v>
      </c>
      <c r="N13" s="111">
        <v>0</v>
      </c>
      <c r="O13" s="111">
        <v>0</v>
      </c>
      <c r="P13" s="111">
        <v>0</v>
      </c>
      <c r="Q13" s="111">
        <v>0.8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0.8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</row>
    <row r="14" spans="1:45" customFormat="1" x14ac:dyDescent="0.15">
      <c r="A14" s="190" t="s">
        <v>205</v>
      </c>
      <c r="B14" s="111">
        <v>0</v>
      </c>
      <c r="C14" s="111">
        <v>0</v>
      </c>
      <c r="D14" s="111">
        <v>0</v>
      </c>
      <c r="E14" s="111">
        <v>0</v>
      </c>
      <c r="F14" s="111">
        <v>0.8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111">
        <v>0</v>
      </c>
      <c r="O14" s="111">
        <v>0</v>
      </c>
      <c r="P14" s="111">
        <v>0</v>
      </c>
      <c r="Q14" s="111">
        <v>0.8</v>
      </c>
      <c r="R14" s="111">
        <v>0</v>
      </c>
      <c r="S14" s="111">
        <v>0</v>
      </c>
      <c r="T14" s="111">
        <v>0</v>
      </c>
      <c r="U14" s="111">
        <v>0</v>
      </c>
      <c r="V14" s="111">
        <v>0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0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</row>
    <row r="15" spans="1:45" customFormat="1" x14ac:dyDescent="0.15">
      <c r="A15" s="190" t="s">
        <v>206</v>
      </c>
      <c r="B15" s="111">
        <v>0</v>
      </c>
      <c r="C15" s="111">
        <v>0</v>
      </c>
      <c r="D15" s="111">
        <v>0</v>
      </c>
      <c r="E15" s="111">
        <v>0.8</v>
      </c>
      <c r="F15" s="111">
        <v>0</v>
      </c>
      <c r="G15" s="111">
        <v>0.8</v>
      </c>
      <c r="H15" s="111">
        <v>0.8</v>
      </c>
      <c r="I15" s="111">
        <v>0</v>
      </c>
      <c r="J15" s="111">
        <v>0</v>
      </c>
      <c r="K15" s="111">
        <v>0</v>
      </c>
      <c r="L15" s="111">
        <v>0</v>
      </c>
      <c r="M15" s="111">
        <v>0.8</v>
      </c>
      <c r="N15" s="111">
        <v>0.8</v>
      </c>
      <c r="O15" s="111">
        <v>0</v>
      </c>
      <c r="P15" s="111">
        <v>0</v>
      </c>
      <c r="Q15" s="111">
        <v>0.8</v>
      </c>
      <c r="R15" s="111">
        <v>0</v>
      </c>
      <c r="S15" s="111">
        <v>0</v>
      </c>
      <c r="T15" s="111">
        <v>0</v>
      </c>
      <c r="U15" s="111">
        <v>0</v>
      </c>
      <c r="V15" s="111">
        <v>0</v>
      </c>
      <c r="W15" s="111">
        <v>0</v>
      </c>
      <c r="X15" s="111">
        <v>0.8</v>
      </c>
      <c r="Y15" s="111">
        <v>0</v>
      </c>
      <c r="Z15" s="111">
        <v>0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  <c r="AL15" s="111">
        <v>0</v>
      </c>
      <c r="AM15" s="111">
        <v>0</v>
      </c>
      <c r="AN15" s="111">
        <v>0</v>
      </c>
      <c r="AO15" s="111">
        <v>0</v>
      </c>
      <c r="AP15" s="111">
        <v>0</v>
      </c>
      <c r="AQ15" s="111">
        <v>0</v>
      </c>
      <c r="AR15" s="111">
        <v>0</v>
      </c>
      <c r="AS15" s="111">
        <v>0</v>
      </c>
    </row>
    <row r="16" spans="1:45" customFormat="1" x14ac:dyDescent="0.15">
      <c r="A16" s="190" t="s">
        <v>207</v>
      </c>
      <c r="B16" s="111">
        <v>0</v>
      </c>
      <c r="C16" s="111">
        <v>0</v>
      </c>
      <c r="D16" s="111">
        <v>0</v>
      </c>
      <c r="E16" s="111">
        <v>0</v>
      </c>
      <c r="F16" s="111">
        <v>0</v>
      </c>
      <c r="G16" s="111">
        <v>0.8</v>
      </c>
      <c r="H16" s="111">
        <v>0</v>
      </c>
      <c r="I16" s="111">
        <v>0</v>
      </c>
      <c r="J16" s="111">
        <v>0</v>
      </c>
      <c r="K16" s="111">
        <v>0</v>
      </c>
      <c r="L16" s="111">
        <v>0</v>
      </c>
      <c r="M16" s="111">
        <v>0.8</v>
      </c>
      <c r="N16" s="111">
        <v>0</v>
      </c>
      <c r="O16" s="111">
        <v>0</v>
      </c>
      <c r="P16" s="111">
        <v>0</v>
      </c>
      <c r="Q16" s="111">
        <v>0.8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0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0</v>
      </c>
      <c r="AN16" s="111">
        <v>0</v>
      </c>
      <c r="AO16" s="111">
        <v>0</v>
      </c>
      <c r="AP16" s="111">
        <v>0</v>
      </c>
      <c r="AQ16" s="111">
        <v>0</v>
      </c>
      <c r="AR16" s="111">
        <v>0</v>
      </c>
      <c r="AS16" s="111">
        <v>0</v>
      </c>
    </row>
    <row r="17" spans="1:45" customFormat="1" x14ac:dyDescent="0.15">
      <c r="A17" s="190" t="s">
        <v>208</v>
      </c>
      <c r="B17" s="111">
        <v>0</v>
      </c>
      <c r="C17" s="111">
        <v>0</v>
      </c>
      <c r="D17" s="111">
        <v>0</v>
      </c>
      <c r="E17" s="111">
        <v>0.8</v>
      </c>
      <c r="F17" s="111">
        <v>0.8</v>
      </c>
      <c r="G17" s="111">
        <v>0</v>
      </c>
      <c r="H17" s="111">
        <v>0.8</v>
      </c>
      <c r="I17" s="111">
        <v>0</v>
      </c>
      <c r="J17" s="111">
        <v>0</v>
      </c>
      <c r="K17" s="111">
        <v>0</v>
      </c>
      <c r="L17" s="111">
        <v>0.8</v>
      </c>
      <c r="M17" s="111">
        <v>0.8</v>
      </c>
      <c r="N17" s="111">
        <v>0.8</v>
      </c>
      <c r="O17" s="111">
        <v>0</v>
      </c>
      <c r="P17" s="111">
        <v>0</v>
      </c>
      <c r="Q17" s="111">
        <v>0.8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</row>
    <row r="18" spans="1:45" customFormat="1" x14ac:dyDescent="0.15">
      <c r="A18" s="190" t="s">
        <v>209</v>
      </c>
      <c r="B18" s="111">
        <v>0.8</v>
      </c>
      <c r="C18" s="111">
        <v>0</v>
      </c>
      <c r="D18" s="111">
        <v>0</v>
      </c>
      <c r="E18" s="111">
        <v>0.8</v>
      </c>
      <c r="F18" s="111">
        <v>0.8</v>
      </c>
      <c r="G18" s="111">
        <v>0.8</v>
      </c>
      <c r="H18" s="111">
        <v>0.8</v>
      </c>
      <c r="I18" s="111">
        <v>0</v>
      </c>
      <c r="J18" s="111">
        <v>0.8</v>
      </c>
      <c r="K18" s="111">
        <v>0.8</v>
      </c>
      <c r="L18" s="111">
        <v>0.8</v>
      </c>
      <c r="M18" s="111">
        <v>0.8</v>
      </c>
      <c r="N18" s="111">
        <v>0.8</v>
      </c>
      <c r="O18" s="111">
        <v>0</v>
      </c>
      <c r="P18" s="111">
        <v>0</v>
      </c>
      <c r="Q18" s="111">
        <v>0.8</v>
      </c>
      <c r="R18" s="111">
        <v>0</v>
      </c>
      <c r="S18" s="111">
        <v>0</v>
      </c>
      <c r="T18" s="111">
        <v>0</v>
      </c>
      <c r="U18" s="111">
        <v>0</v>
      </c>
      <c r="V18" s="111">
        <v>0</v>
      </c>
      <c r="W18" s="111">
        <v>0</v>
      </c>
      <c r="X18" s="111">
        <v>0</v>
      </c>
      <c r="Y18" s="111">
        <v>0.8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  <c r="AL18" s="111">
        <v>0</v>
      </c>
      <c r="AM18" s="111">
        <v>0</v>
      </c>
      <c r="AN18" s="111">
        <v>0</v>
      </c>
      <c r="AO18" s="111">
        <v>0</v>
      </c>
      <c r="AP18" s="111">
        <v>0</v>
      </c>
      <c r="AQ18" s="111">
        <v>0</v>
      </c>
      <c r="AR18" s="111">
        <v>0</v>
      </c>
      <c r="AS18" s="111">
        <v>0</v>
      </c>
    </row>
    <row r="19" spans="1:45" customFormat="1" x14ac:dyDescent="0.15">
      <c r="A19" s="190" t="s">
        <v>210</v>
      </c>
      <c r="B19" s="111">
        <v>0</v>
      </c>
      <c r="C19" s="111">
        <v>0</v>
      </c>
      <c r="D19" s="111">
        <v>0.8</v>
      </c>
      <c r="E19" s="111">
        <v>0.8</v>
      </c>
      <c r="F19" s="111">
        <v>0.8</v>
      </c>
      <c r="G19" s="111">
        <v>0.8</v>
      </c>
      <c r="H19" s="111">
        <v>0.8</v>
      </c>
      <c r="I19" s="111">
        <v>0</v>
      </c>
      <c r="J19" s="111">
        <v>0.8</v>
      </c>
      <c r="K19" s="111">
        <v>0.8</v>
      </c>
      <c r="L19" s="111">
        <v>0.8</v>
      </c>
      <c r="M19" s="111">
        <v>0.8</v>
      </c>
      <c r="N19" s="111">
        <v>0.8</v>
      </c>
      <c r="O19" s="111">
        <v>0</v>
      </c>
      <c r="P19" s="111">
        <v>0</v>
      </c>
      <c r="Q19" s="111">
        <v>0.8</v>
      </c>
      <c r="R19" s="111">
        <v>0</v>
      </c>
      <c r="S19" s="111">
        <v>0</v>
      </c>
      <c r="T19" s="111">
        <v>0.8</v>
      </c>
      <c r="U19" s="111">
        <v>0.8</v>
      </c>
      <c r="V19" s="111">
        <v>0</v>
      </c>
      <c r="W19" s="111">
        <v>0</v>
      </c>
      <c r="X19" s="111">
        <v>0.8</v>
      </c>
      <c r="Y19" s="111">
        <v>0.8</v>
      </c>
      <c r="Z19" s="111">
        <v>0.8</v>
      </c>
      <c r="AA19" s="111">
        <v>0.8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  <c r="AL19" s="111">
        <v>0</v>
      </c>
      <c r="AM19" s="111">
        <v>0</v>
      </c>
      <c r="AN19" s="111">
        <v>0</v>
      </c>
      <c r="AO19" s="111">
        <v>0</v>
      </c>
      <c r="AP19" s="111">
        <v>0</v>
      </c>
      <c r="AQ19" s="111">
        <v>0</v>
      </c>
      <c r="AR19" s="111">
        <v>0</v>
      </c>
      <c r="AS19" s="111">
        <v>0</v>
      </c>
    </row>
    <row r="20" spans="1:45" customFormat="1" x14ac:dyDescent="0.15">
      <c r="A20" s="190" t="s">
        <v>211</v>
      </c>
      <c r="B20" s="111">
        <v>0.8</v>
      </c>
      <c r="C20" s="111">
        <v>0.8</v>
      </c>
      <c r="D20" s="111">
        <v>0</v>
      </c>
      <c r="E20" s="111">
        <v>0.8</v>
      </c>
      <c r="F20" s="111">
        <v>0.8</v>
      </c>
      <c r="G20" s="111">
        <v>0</v>
      </c>
      <c r="H20" s="111">
        <v>0.8</v>
      </c>
      <c r="I20" s="111">
        <v>0</v>
      </c>
      <c r="J20" s="111">
        <v>0</v>
      </c>
      <c r="K20" s="111">
        <v>0.8</v>
      </c>
      <c r="L20" s="111">
        <v>0.8</v>
      </c>
      <c r="M20" s="111">
        <v>0.8</v>
      </c>
      <c r="N20" s="111">
        <v>0</v>
      </c>
      <c r="O20" s="111">
        <v>0</v>
      </c>
      <c r="P20" s="111">
        <v>0</v>
      </c>
      <c r="Q20" s="111">
        <v>0.8</v>
      </c>
      <c r="R20" s="111">
        <v>0</v>
      </c>
      <c r="S20" s="111">
        <v>0</v>
      </c>
      <c r="T20" s="111">
        <v>0</v>
      </c>
      <c r="U20" s="111">
        <v>0</v>
      </c>
      <c r="V20" s="111">
        <v>0</v>
      </c>
      <c r="W20" s="111">
        <v>0</v>
      </c>
      <c r="X20" s="111">
        <v>0</v>
      </c>
      <c r="Y20" s="111">
        <v>0.8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  <c r="AL20" s="111">
        <v>0</v>
      </c>
      <c r="AM20" s="111">
        <v>0</v>
      </c>
      <c r="AN20" s="111">
        <v>0</v>
      </c>
      <c r="AO20" s="111">
        <v>0</v>
      </c>
      <c r="AP20" s="111">
        <v>0</v>
      </c>
      <c r="AQ20" s="111">
        <v>0</v>
      </c>
      <c r="AR20" s="111">
        <v>0</v>
      </c>
      <c r="AS20" s="111">
        <v>0</v>
      </c>
    </row>
    <row r="21" spans="1:45" customFormat="1" x14ac:dyDescent="0.15">
      <c r="A21" s="190" t="s">
        <v>212</v>
      </c>
      <c r="B21" s="111">
        <v>0.8</v>
      </c>
      <c r="C21" s="111">
        <v>0.8</v>
      </c>
      <c r="D21" s="111">
        <v>0.8</v>
      </c>
      <c r="E21" s="111">
        <v>0.8</v>
      </c>
      <c r="F21" s="111">
        <v>0.8</v>
      </c>
      <c r="G21" s="111">
        <v>0</v>
      </c>
      <c r="H21" s="111">
        <v>0</v>
      </c>
      <c r="I21" s="111">
        <v>0.8</v>
      </c>
      <c r="J21" s="111">
        <v>0</v>
      </c>
      <c r="K21" s="111">
        <v>0.8</v>
      </c>
      <c r="L21" s="111">
        <v>0</v>
      </c>
      <c r="M21" s="111">
        <v>0.8</v>
      </c>
      <c r="N21" s="111">
        <v>0.8</v>
      </c>
      <c r="O21" s="111">
        <v>0</v>
      </c>
      <c r="P21" s="111">
        <v>0</v>
      </c>
      <c r="Q21" s="111">
        <v>0.8</v>
      </c>
      <c r="R21" s="111">
        <v>0</v>
      </c>
      <c r="S21" s="111">
        <v>0</v>
      </c>
      <c r="T21" s="111">
        <v>0</v>
      </c>
      <c r="U21" s="111">
        <v>0</v>
      </c>
      <c r="V21" s="111">
        <v>0</v>
      </c>
      <c r="W21" s="111">
        <v>0</v>
      </c>
      <c r="X21" s="111">
        <v>0</v>
      </c>
      <c r="Y21" s="111">
        <v>0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  <c r="AN21" s="111">
        <v>0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</row>
    <row r="22" spans="1:45" customFormat="1" x14ac:dyDescent="0.15">
      <c r="A22" s="190" t="s">
        <v>213</v>
      </c>
      <c r="B22" s="111">
        <v>0.8</v>
      </c>
      <c r="C22" s="111">
        <v>0.8</v>
      </c>
      <c r="D22" s="111">
        <v>0.8</v>
      </c>
      <c r="E22" s="111">
        <v>0.8</v>
      </c>
      <c r="F22" s="111">
        <v>0.8</v>
      </c>
      <c r="G22" s="111">
        <v>0</v>
      </c>
      <c r="H22" s="111">
        <v>0</v>
      </c>
      <c r="I22" s="111">
        <v>0.8</v>
      </c>
      <c r="J22" s="111">
        <v>0</v>
      </c>
      <c r="K22" s="111">
        <v>0.8</v>
      </c>
      <c r="L22" s="111">
        <v>0.8</v>
      </c>
      <c r="M22" s="111">
        <v>0</v>
      </c>
      <c r="N22" s="111">
        <v>0</v>
      </c>
      <c r="O22" s="111">
        <v>0</v>
      </c>
      <c r="P22" s="111">
        <v>0</v>
      </c>
      <c r="Q22" s="111">
        <v>0.8</v>
      </c>
      <c r="R22" s="111">
        <v>0</v>
      </c>
      <c r="S22" s="111">
        <v>0</v>
      </c>
      <c r="T22" s="111">
        <v>0</v>
      </c>
      <c r="U22" s="111">
        <v>0.8</v>
      </c>
      <c r="V22" s="111">
        <v>0</v>
      </c>
      <c r="W22" s="111">
        <v>0</v>
      </c>
      <c r="X22" s="111">
        <v>0</v>
      </c>
      <c r="Y22" s="111">
        <v>0.8</v>
      </c>
      <c r="Z22" s="111">
        <v>0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</row>
    <row r="23" spans="1:45" customFormat="1" x14ac:dyDescent="0.15">
      <c r="A23" s="190" t="s">
        <v>214</v>
      </c>
      <c r="B23" s="111">
        <v>0.8</v>
      </c>
      <c r="C23" s="111">
        <v>0.8</v>
      </c>
      <c r="D23" s="111">
        <v>0</v>
      </c>
      <c r="E23" s="111">
        <v>0.8</v>
      </c>
      <c r="F23" s="111">
        <v>0.8</v>
      </c>
      <c r="G23" s="111">
        <v>0.8</v>
      </c>
      <c r="H23" s="111">
        <v>0.8</v>
      </c>
      <c r="I23" s="111">
        <v>0.8</v>
      </c>
      <c r="J23" s="111">
        <v>0</v>
      </c>
      <c r="K23" s="111">
        <v>0.8</v>
      </c>
      <c r="L23" s="111">
        <v>0.8</v>
      </c>
      <c r="M23" s="111">
        <v>0.8</v>
      </c>
      <c r="N23" s="111">
        <v>0</v>
      </c>
      <c r="O23" s="111">
        <v>0</v>
      </c>
      <c r="P23" s="111">
        <v>0</v>
      </c>
      <c r="Q23" s="111">
        <v>0.8</v>
      </c>
      <c r="R23" s="111">
        <v>0</v>
      </c>
      <c r="S23" s="111">
        <v>0</v>
      </c>
      <c r="T23" s="111">
        <v>0.8</v>
      </c>
      <c r="U23" s="111">
        <v>0.8</v>
      </c>
      <c r="V23" s="111">
        <v>0</v>
      </c>
      <c r="W23" s="111">
        <v>0</v>
      </c>
      <c r="X23" s="111">
        <v>0.8</v>
      </c>
      <c r="Y23" s="111">
        <v>0.8</v>
      </c>
      <c r="Z23" s="111">
        <v>0.8</v>
      </c>
      <c r="AA23" s="111">
        <v>0.8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</row>
    <row r="24" spans="1:45" customFormat="1" x14ac:dyDescent="0.15">
      <c r="A24" s="190" t="s">
        <v>215</v>
      </c>
      <c r="B24" s="111">
        <v>0</v>
      </c>
      <c r="C24" s="111">
        <v>0</v>
      </c>
      <c r="D24" s="111">
        <v>0</v>
      </c>
      <c r="E24" s="111">
        <v>0.8</v>
      </c>
      <c r="F24" s="111">
        <v>0.8</v>
      </c>
      <c r="G24" s="111">
        <v>0.8</v>
      </c>
      <c r="H24" s="111">
        <v>0.8</v>
      </c>
      <c r="I24" s="111">
        <v>0.8</v>
      </c>
      <c r="J24" s="111">
        <v>0</v>
      </c>
      <c r="K24" s="111">
        <v>0.8</v>
      </c>
      <c r="L24" s="111">
        <v>0.8</v>
      </c>
      <c r="M24" s="111">
        <v>0.8</v>
      </c>
      <c r="N24" s="111">
        <v>0</v>
      </c>
      <c r="O24" s="111">
        <v>0</v>
      </c>
      <c r="P24" s="111">
        <v>0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</row>
    <row r="25" spans="1:45" customFormat="1" x14ac:dyDescent="0.15">
      <c r="A25" s="190" t="s">
        <v>216</v>
      </c>
      <c r="B25" s="111">
        <v>0</v>
      </c>
      <c r="C25" s="111">
        <v>0</v>
      </c>
      <c r="D25" s="111">
        <v>0</v>
      </c>
      <c r="E25" s="111">
        <v>0.8</v>
      </c>
      <c r="F25" s="111">
        <v>0.8</v>
      </c>
      <c r="G25" s="111">
        <v>0</v>
      </c>
      <c r="H25" s="111">
        <v>0</v>
      </c>
      <c r="I25" s="111">
        <v>0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0.8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</row>
    <row r="26" spans="1:45" customFormat="1" x14ac:dyDescent="0.15">
      <c r="A26" s="190" t="s">
        <v>217</v>
      </c>
      <c r="B26" s="111">
        <v>0.8</v>
      </c>
      <c r="C26" s="111">
        <v>0.8</v>
      </c>
      <c r="D26" s="111">
        <v>0.8</v>
      </c>
      <c r="E26" s="111">
        <v>0.8</v>
      </c>
      <c r="F26" s="111">
        <v>0.8</v>
      </c>
      <c r="G26" s="111">
        <v>0.8</v>
      </c>
      <c r="H26" s="111">
        <v>0</v>
      </c>
      <c r="I26" s="111">
        <v>0.8</v>
      </c>
      <c r="J26" s="111">
        <v>0</v>
      </c>
      <c r="K26" s="111">
        <v>0.8</v>
      </c>
      <c r="L26" s="111">
        <v>0</v>
      </c>
      <c r="M26" s="111">
        <v>0.8</v>
      </c>
      <c r="N26" s="111">
        <v>0</v>
      </c>
      <c r="O26" s="111">
        <v>0</v>
      </c>
      <c r="P26" s="111">
        <v>0</v>
      </c>
      <c r="Q26" s="111">
        <v>0</v>
      </c>
      <c r="R26" s="111">
        <v>0</v>
      </c>
      <c r="S26" s="111">
        <v>0</v>
      </c>
      <c r="T26" s="111">
        <v>0</v>
      </c>
      <c r="U26" s="111">
        <v>0</v>
      </c>
      <c r="V26" s="111">
        <v>0</v>
      </c>
      <c r="W26" s="111">
        <v>0</v>
      </c>
      <c r="X26" s="111">
        <v>0</v>
      </c>
      <c r="Y26" s="111">
        <v>0.8</v>
      </c>
      <c r="Z26" s="111">
        <v>0</v>
      </c>
      <c r="AA26" s="111">
        <v>0</v>
      </c>
      <c r="AB26" s="111">
        <v>0</v>
      </c>
      <c r="AC26" s="111">
        <v>0</v>
      </c>
      <c r="AD26" s="111">
        <v>0</v>
      </c>
      <c r="AE26" s="111">
        <v>0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  <c r="AL26" s="111">
        <v>0</v>
      </c>
      <c r="AM26" s="111">
        <v>0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</row>
    <row r="27" spans="1:45" customFormat="1" x14ac:dyDescent="0.15">
      <c r="A27" s="190" t="s">
        <v>218</v>
      </c>
      <c r="B27" s="111">
        <v>0</v>
      </c>
      <c r="C27" s="111">
        <v>0</v>
      </c>
      <c r="D27" s="111">
        <v>0.8</v>
      </c>
      <c r="E27" s="111">
        <v>0.8</v>
      </c>
      <c r="F27" s="111">
        <v>0.8</v>
      </c>
      <c r="G27" s="111">
        <v>0.8</v>
      </c>
      <c r="H27" s="111">
        <v>0.8</v>
      </c>
      <c r="I27" s="111">
        <v>0.8</v>
      </c>
      <c r="J27" s="111">
        <v>0</v>
      </c>
      <c r="K27" s="111">
        <v>0.8</v>
      </c>
      <c r="L27" s="111">
        <v>0</v>
      </c>
      <c r="M27" s="111">
        <v>0.8</v>
      </c>
      <c r="N27" s="111">
        <v>0.8</v>
      </c>
      <c r="O27" s="111">
        <v>0</v>
      </c>
      <c r="P27" s="111">
        <v>0</v>
      </c>
      <c r="Q27" s="111">
        <v>0.8</v>
      </c>
      <c r="R27" s="111">
        <v>0</v>
      </c>
      <c r="S27" s="111">
        <v>0</v>
      </c>
      <c r="T27" s="111">
        <v>0.8</v>
      </c>
      <c r="U27" s="111">
        <v>0.8</v>
      </c>
      <c r="V27" s="111">
        <v>0</v>
      </c>
      <c r="W27" s="111">
        <v>0</v>
      </c>
      <c r="X27" s="111">
        <v>0.8</v>
      </c>
      <c r="Y27" s="111">
        <v>0.8</v>
      </c>
      <c r="Z27" s="111">
        <v>0</v>
      </c>
      <c r="AA27" s="111">
        <v>0.8</v>
      </c>
      <c r="AB27" s="111">
        <v>0</v>
      </c>
      <c r="AC27" s="111">
        <v>0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  <c r="AL27" s="111">
        <v>0</v>
      </c>
      <c r="AM27" s="111">
        <v>0</v>
      </c>
      <c r="AN27" s="111">
        <v>0</v>
      </c>
      <c r="AO27" s="111">
        <v>0</v>
      </c>
      <c r="AP27" s="111">
        <v>0</v>
      </c>
      <c r="AQ27" s="111">
        <v>0</v>
      </c>
      <c r="AR27" s="111">
        <v>0</v>
      </c>
      <c r="AS27" s="111">
        <v>0</v>
      </c>
    </row>
    <row r="28" spans="1:45" customFormat="1" x14ac:dyDescent="0.15">
      <c r="A28" s="190" t="s">
        <v>219</v>
      </c>
      <c r="B28" s="111">
        <v>0</v>
      </c>
      <c r="C28" s="111">
        <v>0</v>
      </c>
      <c r="D28" s="111">
        <v>0</v>
      </c>
      <c r="E28" s="111">
        <v>0</v>
      </c>
      <c r="F28" s="111">
        <v>0</v>
      </c>
      <c r="G28" s="111">
        <v>0.8</v>
      </c>
      <c r="H28" s="111">
        <v>0.8</v>
      </c>
      <c r="I28" s="111">
        <v>0</v>
      </c>
      <c r="J28" s="111">
        <v>0</v>
      </c>
      <c r="K28" s="111">
        <v>0.8</v>
      </c>
      <c r="L28" s="111">
        <v>0</v>
      </c>
      <c r="M28" s="111">
        <v>0</v>
      </c>
      <c r="N28" s="111">
        <v>0</v>
      </c>
      <c r="O28" s="111">
        <v>0</v>
      </c>
      <c r="P28" s="111">
        <v>0</v>
      </c>
      <c r="Q28" s="111">
        <v>0.8</v>
      </c>
      <c r="R28" s="111">
        <v>0</v>
      </c>
      <c r="S28" s="111">
        <v>0</v>
      </c>
      <c r="T28" s="111">
        <v>0</v>
      </c>
      <c r="U28" s="111">
        <v>0</v>
      </c>
      <c r="V28" s="111">
        <v>0</v>
      </c>
      <c r="W28" s="111">
        <v>0</v>
      </c>
      <c r="X28" s="111">
        <v>0</v>
      </c>
      <c r="Y28" s="111">
        <v>0</v>
      </c>
      <c r="Z28" s="111">
        <v>0</v>
      </c>
      <c r="AA28" s="111">
        <v>0</v>
      </c>
      <c r="AB28" s="111">
        <v>0</v>
      </c>
      <c r="AC28" s="111">
        <v>0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  <c r="AL28" s="111">
        <v>0</v>
      </c>
      <c r="AM28" s="111">
        <v>0</v>
      </c>
      <c r="AN28" s="111">
        <v>0</v>
      </c>
      <c r="AO28" s="111">
        <v>0</v>
      </c>
      <c r="AP28" s="111">
        <v>0</v>
      </c>
      <c r="AQ28" s="111">
        <v>0</v>
      </c>
      <c r="AR28" s="111">
        <v>0</v>
      </c>
      <c r="AS28" s="111">
        <v>0</v>
      </c>
    </row>
    <row r="29" spans="1:45" customFormat="1" x14ac:dyDescent="0.15">
      <c r="A29" s="190" t="s">
        <v>220</v>
      </c>
      <c r="B29" s="111">
        <v>0</v>
      </c>
      <c r="C29" s="111">
        <v>0</v>
      </c>
      <c r="D29" s="111">
        <v>0</v>
      </c>
      <c r="E29" s="111">
        <v>0</v>
      </c>
      <c r="F29" s="111">
        <v>0</v>
      </c>
      <c r="G29" s="111">
        <v>0.8</v>
      </c>
      <c r="H29" s="111">
        <v>0.8</v>
      </c>
      <c r="I29" s="111">
        <v>0.8</v>
      </c>
      <c r="J29" s="111">
        <v>0.8</v>
      </c>
      <c r="K29" s="111">
        <v>0</v>
      </c>
      <c r="L29" s="111">
        <v>0</v>
      </c>
      <c r="M29" s="111">
        <v>0</v>
      </c>
      <c r="N29" s="111">
        <v>0</v>
      </c>
      <c r="O29" s="111">
        <v>0</v>
      </c>
      <c r="P29" s="111">
        <v>0</v>
      </c>
      <c r="Q29" s="111">
        <v>0.8</v>
      </c>
      <c r="R29" s="111">
        <v>0</v>
      </c>
      <c r="S29" s="111">
        <v>0.8</v>
      </c>
      <c r="T29" s="111">
        <v>0.8</v>
      </c>
      <c r="U29" s="111">
        <v>0</v>
      </c>
      <c r="V29" s="111">
        <v>0</v>
      </c>
      <c r="W29" s="111">
        <v>0</v>
      </c>
      <c r="X29" s="111">
        <v>0.8</v>
      </c>
      <c r="Y29" s="111">
        <v>0</v>
      </c>
      <c r="Z29" s="111">
        <v>0</v>
      </c>
      <c r="AA29" s="111">
        <v>0</v>
      </c>
      <c r="AB29" s="111">
        <v>0</v>
      </c>
      <c r="AC29" s="111">
        <v>0.8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  <c r="AL29" s="111">
        <v>0</v>
      </c>
      <c r="AM29" s="111">
        <v>0</v>
      </c>
      <c r="AN29" s="111">
        <v>0</v>
      </c>
      <c r="AO29" s="111">
        <v>0</v>
      </c>
      <c r="AP29" s="111">
        <v>0</v>
      </c>
      <c r="AQ29" s="111">
        <v>0</v>
      </c>
      <c r="AR29" s="111">
        <v>0</v>
      </c>
      <c r="AS29" s="111">
        <v>0</v>
      </c>
    </row>
    <row r="30" spans="1:45" customFormat="1" x14ac:dyDescent="0.15">
      <c r="A30" s="190" t="s">
        <v>221</v>
      </c>
      <c r="B30" s="111">
        <v>0</v>
      </c>
      <c r="C30" s="111">
        <v>0</v>
      </c>
      <c r="D30" s="111">
        <v>0</v>
      </c>
      <c r="E30" s="111">
        <v>0</v>
      </c>
      <c r="F30" s="111">
        <v>0.8</v>
      </c>
      <c r="G30" s="111">
        <v>0.8</v>
      </c>
      <c r="H30" s="111">
        <v>0.8</v>
      </c>
      <c r="I30" s="111">
        <v>0.8</v>
      </c>
      <c r="J30" s="111">
        <v>0.8</v>
      </c>
      <c r="K30" s="111">
        <v>0.8</v>
      </c>
      <c r="L30" s="111">
        <v>0.8</v>
      </c>
      <c r="M30" s="111">
        <v>0</v>
      </c>
      <c r="N30" s="111">
        <v>0.8</v>
      </c>
      <c r="O30" s="111">
        <v>0.8</v>
      </c>
      <c r="P30" s="111">
        <v>0</v>
      </c>
      <c r="Q30" s="111">
        <v>0.8</v>
      </c>
      <c r="R30" s="111">
        <v>0.8</v>
      </c>
      <c r="S30" s="111">
        <v>0.8</v>
      </c>
      <c r="T30" s="111">
        <v>0.8</v>
      </c>
      <c r="U30" s="111">
        <v>0</v>
      </c>
      <c r="V30" s="111">
        <v>0</v>
      </c>
      <c r="W30" s="111">
        <v>0</v>
      </c>
      <c r="X30" s="111">
        <v>0.8</v>
      </c>
      <c r="Y30" s="111">
        <v>0.8</v>
      </c>
      <c r="Z30" s="111">
        <v>0.8</v>
      </c>
      <c r="AA30" s="111">
        <v>0.8</v>
      </c>
      <c r="AB30" s="111">
        <v>0.8</v>
      </c>
      <c r="AC30" s="111">
        <v>0.8</v>
      </c>
      <c r="AD30" s="111">
        <v>0.8</v>
      </c>
      <c r="AE30" s="111">
        <v>0</v>
      </c>
      <c r="AF30" s="111">
        <v>0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  <c r="AL30" s="111">
        <v>0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</row>
    <row r="31" spans="1:45" customFormat="1" x14ac:dyDescent="0.15">
      <c r="A31" s="190" t="s">
        <v>222</v>
      </c>
      <c r="B31" s="111">
        <v>0</v>
      </c>
      <c r="C31" s="111">
        <v>0</v>
      </c>
      <c r="D31" s="111">
        <v>0</v>
      </c>
      <c r="E31" s="111">
        <v>0</v>
      </c>
      <c r="F31" s="111">
        <v>0.8</v>
      </c>
      <c r="G31" s="111">
        <v>0.8</v>
      </c>
      <c r="H31" s="111">
        <v>0.8</v>
      </c>
      <c r="I31" s="111">
        <v>0.8</v>
      </c>
      <c r="J31" s="111">
        <v>0.8</v>
      </c>
      <c r="K31" s="111">
        <v>0.8</v>
      </c>
      <c r="L31" s="111">
        <v>0.8</v>
      </c>
      <c r="M31" s="111">
        <v>0</v>
      </c>
      <c r="N31" s="111">
        <v>0</v>
      </c>
      <c r="O31" s="111">
        <v>0</v>
      </c>
      <c r="P31" s="111">
        <v>0</v>
      </c>
      <c r="Q31" s="111">
        <v>0.8</v>
      </c>
      <c r="R31" s="111">
        <v>0.8</v>
      </c>
      <c r="S31" s="111">
        <v>0.8</v>
      </c>
      <c r="T31" s="111">
        <v>0.8</v>
      </c>
      <c r="U31" s="111">
        <v>0</v>
      </c>
      <c r="V31" s="111">
        <v>0</v>
      </c>
      <c r="W31" s="111">
        <v>0</v>
      </c>
      <c r="X31" s="111">
        <v>0.8</v>
      </c>
      <c r="Y31" s="111">
        <v>0.8</v>
      </c>
      <c r="Z31" s="111">
        <v>0</v>
      </c>
      <c r="AA31" s="111">
        <v>0.8</v>
      </c>
      <c r="AB31" s="111">
        <v>0.8</v>
      </c>
      <c r="AC31" s="111">
        <v>0.8</v>
      </c>
      <c r="AD31" s="111">
        <v>0.8</v>
      </c>
      <c r="AE31" s="111">
        <v>0.8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  <c r="AL31" s="111">
        <v>0</v>
      </c>
      <c r="AM31" s="111">
        <v>0</v>
      </c>
      <c r="AN31" s="111">
        <v>0</v>
      </c>
      <c r="AO31" s="111">
        <v>0</v>
      </c>
      <c r="AP31" s="111">
        <v>0</v>
      </c>
      <c r="AQ31" s="111">
        <v>0</v>
      </c>
      <c r="AR31" s="111">
        <v>0</v>
      </c>
      <c r="AS31" s="111">
        <v>0</v>
      </c>
    </row>
    <row r="32" spans="1:45" customFormat="1" x14ac:dyDescent="0.15">
      <c r="A32" s="190" t="s">
        <v>223</v>
      </c>
      <c r="B32" s="111">
        <v>0</v>
      </c>
      <c r="C32" s="111">
        <v>0</v>
      </c>
      <c r="D32" s="111">
        <v>0</v>
      </c>
      <c r="E32" s="111">
        <v>0</v>
      </c>
      <c r="F32" s="111">
        <v>0.8</v>
      </c>
      <c r="G32" s="111">
        <v>0</v>
      </c>
      <c r="H32" s="111">
        <v>0.8</v>
      </c>
      <c r="I32" s="111">
        <v>0.8</v>
      </c>
      <c r="J32" s="111">
        <v>0</v>
      </c>
      <c r="K32" s="111">
        <v>0</v>
      </c>
      <c r="L32" s="111">
        <v>0.8</v>
      </c>
      <c r="M32" s="111">
        <v>0.8</v>
      </c>
      <c r="N32" s="111">
        <v>0</v>
      </c>
      <c r="O32" s="111">
        <v>0.8</v>
      </c>
      <c r="P32" s="111">
        <v>0.8</v>
      </c>
      <c r="Q32" s="111">
        <v>0.8</v>
      </c>
      <c r="R32" s="111">
        <v>0</v>
      </c>
      <c r="S32" s="111">
        <v>0.8</v>
      </c>
      <c r="T32" s="111">
        <v>0.8</v>
      </c>
      <c r="U32" s="111">
        <v>0</v>
      </c>
      <c r="V32" s="111">
        <v>0</v>
      </c>
      <c r="W32" s="111">
        <v>0.8</v>
      </c>
      <c r="X32" s="111">
        <v>0.8</v>
      </c>
      <c r="Y32" s="111">
        <v>0</v>
      </c>
      <c r="Z32" s="111">
        <v>0.8</v>
      </c>
      <c r="AA32" s="111">
        <v>0.8</v>
      </c>
      <c r="AB32" s="111">
        <v>0.8</v>
      </c>
      <c r="AC32" s="111">
        <v>0.8</v>
      </c>
      <c r="AD32" s="111">
        <v>0</v>
      </c>
      <c r="AE32" s="111">
        <v>0.8</v>
      </c>
      <c r="AF32" s="111">
        <v>0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  <c r="AL32" s="111">
        <v>0</v>
      </c>
      <c r="AM32" s="111">
        <v>0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</row>
    <row r="33" spans="1:45" x14ac:dyDescent="0.15">
      <c r="A33" s="190" t="s">
        <v>224</v>
      </c>
      <c r="B33" s="111">
        <v>0</v>
      </c>
      <c r="C33" s="111">
        <v>0</v>
      </c>
      <c r="D33" s="111">
        <v>0</v>
      </c>
      <c r="E33" s="111">
        <v>0</v>
      </c>
      <c r="F33" s="111">
        <v>0</v>
      </c>
      <c r="G33" s="111">
        <v>0.8</v>
      </c>
      <c r="H33" s="111">
        <v>0</v>
      </c>
      <c r="I33" s="111">
        <v>0</v>
      </c>
      <c r="J33" s="111">
        <v>0.8</v>
      </c>
      <c r="K33" s="111">
        <v>0</v>
      </c>
      <c r="L33" s="111">
        <v>0</v>
      </c>
      <c r="M33" s="111">
        <v>0.8</v>
      </c>
      <c r="N33" s="111">
        <v>0</v>
      </c>
      <c r="O33" s="111">
        <v>0.8</v>
      </c>
      <c r="P33" s="111">
        <v>0.8</v>
      </c>
      <c r="Q33" s="111">
        <v>0.8</v>
      </c>
      <c r="R33" s="111">
        <v>0.8</v>
      </c>
      <c r="S33" s="111">
        <v>0.8</v>
      </c>
      <c r="T33" s="111">
        <v>0.8</v>
      </c>
      <c r="U33" s="111">
        <v>0</v>
      </c>
      <c r="V33" s="111">
        <v>0</v>
      </c>
      <c r="W33" s="111">
        <v>0.8</v>
      </c>
      <c r="X33" s="111">
        <v>0.8</v>
      </c>
      <c r="Y33" s="111">
        <v>0.8</v>
      </c>
      <c r="Z33" s="111">
        <v>0.8</v>
      </c>
      <c r="AA33" s="111">
        <v>0.8</v>
      </c>
      <c r="AB33" s="111">
        <v>0.8</v>
      </c>
      <c r="AC33" s="111">
        <v>0.8</v>
      </c>
      <c r="AD33" s="111">
        <v>0.8</v>
      </c>
      <c r="AE33" s="111">
        <v>0.8</v>
      </c>
      <c r="AF33" s="111">
        <v>0</v>
      </c>
      <c r="AG33" s="111">
        <v>0</v>
      </c>
      <c r="AH33" s="111">
        <v>0</v>
      </c>
      <c r="AI33" s="111">
        <v>0</v>
      </c>
      <c r="AJ33" s="111">
        <v>0</v>
      </c>
      <c r="AK33" s="111">
        <v>0</v>
      </c>
      <c r="AL33" s="111">
        <v>0</v>
      </c>
      <c r="AM33" s="111">
        <v>0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</row>
    <row r="34" spans="1:45" x14ac:dyDescent="0.15">
      <c r="A34" s="190" t="s">
        <v>225</v>
      </c>
      <c r="B34" s="111">
        <v>0</v>
      </c>
      <c r="C34" s="111">
        <v>0</v>
      </c>
      <c r="D34" s="111">
        <v>0</v>
      </c>
      <c r="E34" s="111">
        <v>0</v>
      </c>
      <c r="F34" s="111">
        <v>0</v>
      </c>
      <c r="G34" s="111">
        <v>0</v>
      </c>
      <c r="H34" s="111">
        <v>0</v>
      </c>
      <c r="I34" s="111">
        <v>0</v>
      </c>
      <c r="J34" s="111">
        <v>0</v>
      </c>
      <c r="K34" s="111">
        <v>0</v>
      </c>
      <c r="L34" s="111">
        <v>0</v>
      </c>
      <c r="M34" s="111">
        <v>0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0</v>
      </c>
      <c r="V34" s="111">
        <v>0</v>
      </c>
      <c r="W34" s="111">
        <v>0</v>
      </c>
      <c r="X34" s="111">
        <v>0</v>
      </c>
      <c r="Y34" s="111">
        <v>0</v>
      </c>
      <c r="Z34" s="111">
        <v>0</v>
      </c>
      <c r="AA34" s="111">
        <v>0</v>
      </c>
      <c r="AB34" s="111">
        <v>0.8</v>
      </c>
      <c r="AC34" s="111">
        <v>0</v>
      </c>
      <c r="AD34" s="111">
        <v>0.8</v>
      </c>
      <c r="AE34" s="111">
        <v>0.8</v>
      </c>
      <c r="AF34" s="111">
        <v>0.8</v>
      </c>
      <c r="AG34" s="111">
        <v>0</v>
      </c>
      <c r="AH34" s="111">
        <v>0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  <c r="AN34" s="111">
        <v>0</v>
      </c>
      <c r="AO34" s="111">
        <v>0</v>
      </c>
      <c r="AP34" s="111">
        <v>0</v>
      </c>
      <c r="AQ34" s="111">
        <v>0</v>
      </c>
      <c r="AR34" s="111">
        <v>0</v>
      </c>
      <c r="AS34" s="111">
        <v>0</v>
      </c>
    </row>
    <row r="35" spans="1:45" x14ac:dyDescent="0.15">
      <c r="A35" s="190" t="s">
        <v>226</v>
      </c>
      <c r="B35" s="111">
        <v>0</v>
      </c>
      <c r="C35" s="111">
        <v>0</v>
      </c>
      <c r="D35" s="111">
        <v>0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0.8</v>
      </c>
      <c r="L35" s="111">
        <v>0.8</v>
      </c>
      <c r="M35" s="111">
        <v>0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0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0.8</v>
      </c>
      <c r="AB35" s="111">
        <v>0.8</v>
      </c>
      <c r="AC35" s="111">
        <v>0</v>
      </c>
      <c r="AD35" s="111">
        <v>0</v>
      </c>
      <c r="AE35" s="111">
        <v>0.8</v>
      </c>
      <c r="AF35" s="111">
        <v>0</v>
      </c>
      <c r="AG35" s="111">
        <v>0</v>
      </c>
      <c r="AH35" s="111">
        <v>0</v>
      </c>
      <c r="AI35" s="111">
        <v>0</v>
      </c>
      <c r="AJ35" s="111">
        <v>0</v>
      </c>
      <c r="AK35" s="111">
        <v>0</v>
      </c>
      <c r="AL35" s="111">
        <v>0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</row>
    <row r="36" spans="1:45" x14ac:dyDescent="0.15">
      <c r="A36" s="190" t="s">
        <v>227</v>
      </c>
      <c r="B36" s="111">
        <v>0</v>
      </c>
      <c r="C36" s="111">
        <v>0.8</v>
      </c>
      <c r="D36" s="111">
        <v>0.8</v>
      </c>
      <c r="E36" s="111">
        <v>0</v>
      </c>
      <c r="F36" s="111">
        <v>0</v>
      </c>
      <c r="G36" s="111">
        <v>0.8</v>
      </c>
      <c r="H36" s="111">
        <v>0.8</v>
      </c>
      <c r="I36" s="111">
        <v>0</v>
      </c>
      <c r="J36" s="111">
        <v>0.8</v>
      </c>
      <c r="K36" s="111">
        <v>0.8</v>
      </c>
      <c r="L36" s="111">
        <v>0.8</v>
      </c>
      <c r="M36" s="111">
        <v>0.8</v>
      </c>
      <c r="N36" s="111">
        <v>0</v>
      </c>
      <c r="O36" s="111">
        <v>0</v>
      </c>
      <c r="P36" s="111">
        <v>0</v>
      </c>
      <c r="Q36" s="111">
        <v>0.8</v>
      </c>
      <c r="R36" s="111">
        <v>0.8</v>
      </c>
      <c r="S36" s="111">
        <v>0.8</v>
      </c>
      <c r="T36" s="111">
        <v>0.8</v>
      </c>
      <c r="U36" s="111">
        <v>0.8</v>
      </c>
      <c r="V36" s="111">
        <v>0.8</v>
      </c>
      <c r="W36" s="111">
        <v>0.8</v>
      </c>
      <c r="X36" s="111">
        <v>0.8</v>
      </c>
      <c r="Y36" s="111">
        <v>0</v>
      </c>
      <c r="Z36" s="111">
        <v>0.8</v>
      </c>
      <c r="AA36" s="111">
        <v>0.8</v>
      </c>
      <c r="AB36" s="111">
        <v>0.8</v>
      </c>
      <c r="AC36" s="111">
        <v>0.8</v>
      </c>
      <c r="AD36" s="111">
        <v>0.8</v>
      </c>
      <c r="AE36" s="111">
        <v>0.8</v>
      </c>
      <c r="AF36" s="111">
        <v>0</v>
      </c>
      <c r="AG36" s="111">
        <v>0</v>
      </c>
      <c r="AH36" s="111">
        <v>0</v>
      </c>
      <c r="AI36" s="111">
        <v>0</v>
      </c>
      <c r="AJ36" s="111">
        <v>0</v>
      </c>
      <c r="AK36" s="111">
        <v>0</v>
      </c>
      <c r="AL36" s="111">
        <v>0</v>
      </c>
      <c r="AM36" s="111">
        <v>0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</row>
    <row r="37" spans="1:45" x14ac:dyDescent="0.15">
      <c r="A37" s="190" t="s">
        <v>228</v>
      </c>
      <c r="B37" s="111">
        <v>0</v>
      </c>
      <c r="C37" s="111">
        <v>0</v>
      </c>
      <c r="D37" s="111">
        <v>0.8</v>
      </c>
      <c r="E37" s="111">
        <v>0</v>
      </c>
      <c r="F37" s="111">
        <v>0</v>
      </c>
      <c r="G37" s="111">
        <v>0.8</v>
      </c>
      <c r="H37" s="111">
        <v>0</v>
      </c>
      <c r="I37" s="111">
        <v>0</v>
      </c>
      <c r="J37" s="111">
        <v>0.8</v>
      </c>
      <c r="K37" s="111">
        <v>0.8</v>
      </c>
      <c r="L37" s="111">
        <v>0.8</v>
      </c>
      <c r="M37" s="111">
        <v>0.8</v>
      </c>
      <c r="N37" s="111">
        <v>0</v>
      </c>
      <c r="O37" s="111">
        <v>0</v>
      </c>
      <c r="P37" s="111">
        <v>0</v>
      </c>
      <c r="Q37" s="111">
        <v>0.8</v>
      </c>
      <c r="R37" s="111">
        <v>0.8</v>
      </c>
      <c r="S37" s="111">
        <v>0.8</v>
      </c>
      <c r="T37" s="111">
        <v>0.8</v>
      </c>
      <c r="U37" s="111">
        <v>0.8</v>
      </c>
      <c r="V37" s="111">
        <v>0.8</v>
      </c>
      <c r="W37" s="111">
        <v>0.8</v>
      </c>
      <c r="X37" s="111">
        <v>0.8</v>
      </c>
      <c r="Y37" s="111">
        <v>0.8</v>
      </c>
      <c r="Z37" s="111">
        <v>0.8</v>
      </c>
      <c r="AA37" s="111">
        <v>0</v>
      </c>
      <c r="AB37" s="111">
        <v>0</v>
      </c>
      <c r="AC37" s="111">
        <v>0.8</v>
      </c>
      <c r="AD37" s="111">
        <v>0.8</v>
      </c>
      <c r="AE37" s="111">
        <v>0.8</v>
      </c>
      <c r="AF37" s="111">
        <v>0</v>
      </c>
      <c r="AG37" s="111">
        <v>0</v>
      </c>
      <c r="AH37" s="111">
        <v>0</v>
      </c>
      <c r="AI37" s="111">
        <v>0.8</v>
      </c>
      <c r="AJ37" s="111">
        <v>0.8</v>
      </c>
      <c r="AK37" s="111">
        <v>0.8</v>
      </c>
      <c r="AL37" s="111">
        <v>0</v>
      </c>
      <c r="AM37" s="111">
        <v>0</v>
      </c>
      <c r="AN37" s="111">
        <v>0</v>
      </c>
      <c r="AO37" s="111">
        <v>0</v>
      </c>
      <c r="AP37" s="111">
        <v>0</v>
      </c>
      <c r="AQ37" s="111">
        <v>0</v>
      </c>
      <c r="AR37" s="111">
        <v>0</v>
      </c>
      <c r="AS37" s="111">
        <v>0</v>
      </c>
    </row>
    <row r="38" spans="1:45" x14ac:dyDescent="0.15">
      <c r="A38" s="190" t="s">
        <v>229</v>
      </c>
      <c r="B38" s="111">
        <v>0</v>
      </c>
      <c r="C38" s="111">
        <v>0</v>
      </c>
      <c r="D38" s="111">
        <v>0</v>
      </c>
      <c r="E38" s="111">
        <v>0</v>
      </c>
      <c r="F38" s="111">
        <v>0</v>
      </c>
      <c r="G38" s="111">
        <v>0</v>
      </c>
      <c r="H38" s="111">
        <v>0</v>
      </c>
      <c r="I38" s="111">
        <v>0</v>
      </c>
      <c r="J38" s="111">
        <v>0</v>
      </c>
      <c r="K38" s="111">
        <v>0</v>
      </c>
      <c r="L38" s="111">
        <v>0</v>
      </c>
      <c r="M38" s="111">
        <v>0</v>
      </c>
      <c r="N38" s="111">
        <v>0</v>
      </c>
      <c r="O38" s="111">
        <v>0</v>
      </c>
      <c r="P38" s="111">
        <v>0</v>
      </c>
      <c r="Q38" s="111">
        <v>0</v>
      </c>
      <c r="R38" s="111">
        <v>0</v>
      </c>
      <c r="S38" s="111">
        <v>0</v>
      </c>
      <c r="T38" s="111">
        <v>0</v>
      </c>
      <c r="U38" s="111">
        <v>0</v>
      </c>
      <c r="V38" s="111">
        <v>0.8</v>
      </c>
      <c r="W38" s="111">
        <v>0.8</v>
      </c>
      <c r="X38" s="111">
        <v>0</v>
      </c>
      <c r="Y38" s="111">
        <v>0</v>
      </c>
      <c r="Z38" s="111">
        <v>0</v>
      </c>
      <c r="AA38" s="111">
        <v>0</v>
      </c>
      <c r="AB38" s="111">
        <v>0</v>
      </c>
      <c r="AC38" s="111">
        <v>0</v>
      </c>
      <c r="AD38" s="111">
        <v>0</v>
      </c>
      <c r="AE38" s="111">
        <v>0</v>
      </c>
      <c r="AF38" s="111">
        <v>0</v>
      </c>
      <c r="AG38" s="111">
        <v>0</v>
      </c>
      <c r="AH38" s="111">
        <v>0</v>
      </c>
      <c r="AI38" s="111">
        <v>0.8</v>
      </c>
      <c r="AJ38" s="111">
        <v>0.8</v>
      </c>
      <c r="AK38" s="111">
        <v>0.8</v>
      </c>
      <c r="AL38" s="111">
        <v>0.8</v>
      </c>
      <c r="AM38" s="111">
        <v>0</v>
      </c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</row>
    <row r="39" spans="1:45" x14ac:dyDescent="0.15">
      <c r="A39" s="190" t="s">
        <v>230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0.8</v>
      </c>
      <c r="AG39" s="111">
        <v>0.8</v>
      </c>
      <c r="AH39" s="111">
        <v>0.8</v>
      </c>
      <c r="AI39" s="111">
        <v>0</v>
      </c>
      <c r="AJ39" s="111">
        <v>0</v>
      </c>
      <c r="AK39" s="111">
        <v>0</v>
      </c>
      <c r="AL39" s="111">
        <v>0.8</v>
      </c>
      <c r="AM39" s="111">
        <v>0</v>
      </c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</row>
    <row r="40" spans="1:45" x14ac:dyDescent="0.15">
      <c r="A40" s="190" t="s">
        <v>231</v>
      </c>
      <c r="B40" s="111">
        <v>0</v>
      </c>
      <c r="C40" s="111">
        <v>0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  <c r="N40" s="111">
        <v>0</v>
      </c>
      <c r="O40" s="111">
        <v>0</v>
      </c>
      <c r="P40" s="111">
        <v>0</v>
      </c>
      <c r="Q40" s="111">
        <v>0</v>
      </c>
      <c r="R40" s="111">
        <v>0</v>
      </c>
      <c r="S40" s="111">
        <v>0.8</v>
      </c>
      <c r="T40" s="111">
        <v>0</v>
      </c>
      <c r="U40" s="111">
        <v>0</v>
      </c>
      <c r="V40" s="111">
        <v>0</v>
      </c>
      <c r="W40" s="111">
        <v>0</v>
      </c>
      <c r="X40" s="111">
        <v>0</v>
      </c>
      <c r="Y40" s="111">
        <v>0</v>
      </c>
      <c r="Z40" s="111">
        <v>0</v>
      </c>
      <c r="AA40" s="111">
        <v>0</v>
      </c>
      <c r="AB40" s="111">
        <v>0.8</v>
      </c>
      <c r="AC40" s="111">
        <v>0</v>
      </c>
      <c r="AD40" s="111">
        <v>0</v>
      </c>
      <c r="AE40" s="111">
        <v>0</v>
      </c>
      <c r="AF40" s="111">
        <v>0</v>
      </c>
      <c r="AG40" s="111">
        <v>0.8</v>
      </c>
      <c r="AH40" s="111">
        <v>0.8</v>
      </c>
      <c r="AI40" s="111">
        <v>0.8</v>
      </c>
      <c r="AJ40" s="111">
        <v>0.8</v>
      </c>
      <c r="AK40" s="111">
        <v>0.8</v>
      </c>
      <c r="AL40" s="111">
        <v>0.8</v>
      </c>
      <c r="AM40" s="111">
        <v>0</v>
      </c>
      <c r="AN40" s="111">
        <v>0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</row>
    <row r="41" spans="1:45" x14ac:dyDescent="0.15">
      <c r="A41" s="190" t="s">
        <v>232</v>
      </c>
      <c r="B41" s="111">
        <v>0</v>
      </c>
      <c r="C41" s="111">
        <v>0</v>
      </c>
      <c r="D41" s="111">
        <v>0</v>
      </c>
      <c r="E41" s="111">
        <v>0</v>
      </c>
      <c r="F41" s="111">
        <v>0</v>
      </c>
      <c r="G41" s="111">
        <v>0</v>
      </c>
      <c r="H41" s="111">
        <v>0</v>
      </c>
      <c r="I41" s="111">
        <v>0</v>
      </c>
      <c r="J41" s="111">
        <v>0</v>
      </c>
      <c r="K41" s="111">
        <v>0</v>
      </c>
      <c r="L41" s="111">
        <v>0</v>
      </c>
      <c r="M41" s="111">
        <v>0</v>
      </c>
      <c r="N41" s="111">
        <v>0</v>
      </c>
      <c r="O41" s="111">
        <v>0</v>
      </c>
      <c r="P41" s="111">
        <v>0</v>
      </c>
      <c r="Q41" s="111">
        <v>0</v>
      </c>
      <c r="R41" s="111">
        <v>0</v>
      </c>
      <c r="S41" s="111">
        <v>0</v>
      </c>
      <c r="T41" s="111">
        <v>0</v>
      </c>
      <c r="U41" s="111">
        <v>0</v>
      </c>
      <c r="V41" s="111">
        <v>0</v>
      </c>
      <c r="W41" s="111">
        <v>0</v>
      </c>
      <c r="X41" s="111">
        <v>0</v>
      </c>
      <c r="Y41" s="111">
        <v>0</v>
      </c>
      <c r="Z41" s="111">
        <v>0</v>
      </c>
      <c r="AA41" s="111">
        <v>0</v>
      </c>
      <c r="AB41" s="111">
        <v>0</v>
      </c>
      <c r="AC41" s="111">
        <v>0</v>
      </c>
      <c r="AD41" s="111">
        <v>0</v>
      </c>
      <c r="AE41" s="111">
        <v>0</v>
      </c>
      <c r="AF41" s="111">
        <v>0</v>
      </c>
      <c r="AG41" s="111">
        <v>0.8</v>
      </c>
      <c r="AH41" s="111">
        <v>0.8</v>
      </c>
      <c r="AI41" s="111">
        <v>0</v>
      </c>
      <c r="AJ41" s="111">
        <v>0</v>
      </c>
      <c r="AK41" s="111">
        <v>0.8</v>
      </c>
      <c r="AL41" s="111">
        <v>0.8</v>
      </c>
      <c r="AM41" s="111">
        <v>0.8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0</v>
      </c>
    </row>
    <row r="42" spans="1:45" x14ac:dyDescent="0.15">
      <c r="A42" s="190" t="s">
        <v>233</v>
      </c>
      <c r="B42" s="111">
        <v>0</v>
      </c>
      <c r="C42" s="111">
        <v>0</v>
      </c>
      <c r="D42" s="111">
        <v>0</v>
      </c>
      <c r="E42" s="111">
        <v>0</v>
      </c>
      <c r="F42" s="111">
        <v>0</v>
      </c>
      <c r="G42" s="111">
        <v>0</v>
      </c>
      <c r="H42" s="111">
        <v>0</v>
      </c>
      <c r="I42" s="111">
        <v>0</v>
      </c>
      <c r="J42" s="111">
        <v>0</v>
      </c>
      <c r="K42" s="111">
        <v>0</v>
      </c>
      <c r="L42" s="111">
        <v>0</v>
      </c>
      <c r="M42" s="111">
        <v>0</v>
      </c>
      <c r="N42" s="111">
        <v>0</v>
      </c>
      <c r="O42" s="111">
        <v>0</v>
      </c>
      <c r="P42" s="111">
        <v>0</v>
      </c>
      <c r="Q42" s="111">
        <v>0</v>
      </c>
      <c r="R42" s="111">
        <v>0</v>
      </c>
      <c r="S42" s="111">
        <v>0</v>
      </c>
      <c r="T42" s="111">
        <v>0</v>
      </c>
      <c r="U42" s="111">
        <v>0</v>
      </c>
      <c r="V42" s="111">
        <v>0</v>
      </c>
      <c r="W42" s="111">
        <v>0</v>
      </c>
      <c r="X42" s="111">
        <v>0</v>
      </c>
      <c r="Y42" s="111">
        <v>0.8</v>
      </c>
      <c r="Z42" s="111">
        <v>0</v>
      </c>
      <c r="AA42" s="111">
        <v>0</v>
      </c>
      <c r="AB42" s="111">
        <v>0</v>
      </c>
      <c r="AC42" s="111">
        <v>0.8</v>
      </c>
      <c r="AD42" s="111">
        <v>0</v>
      </c>
      <c r="AE42" s="111">
        <v>0</v>
      </c>
      <c r="AF42" s="111">
        <v>0</v>
      </c>
      <c r="AG42" s="111">
        <v>0</v>
      </c>
      <c r="AH42" s="111">
        <v>0</v>
      </c>
      <c r="AI42" s="111">
        <v>0</v>
      </c>
      <c r="AJ42" s="111">
        <v>0</v>
      </c>
      <c r="AK42" s="111">
        <v>0</v>
      </c>
      <c r="AL42" s="111">
        <v>0</v>
      </c>
      <c r="AM42" s="111">
        <v>0</v>
      </c>
      <c r="AN42" s="111">
        <v>0</v>
      </c>
      <c r="AO42" s="111">
        <v>0</v>
      </c>
      <c r="AP42" s="111">
        <v>0</v>
      </c>
      <c r="AQ42" s="111">
        <v>0</v>
      </c>
      <c r="AR42" s="111">
        <v>0</v>
      </c>
      <c r="AS42" s="111">
        <v>0</v>
      </c>
    </row>
    <row r="43" spans="1:45" x14ac:dyDescent="0.15">
      <c r="A43" s="190" t="s">
        <v>234</v>
      </c>
      <c r="B43" s="111">
        <v>0.8</v>
      </c>
      <c r="C43" s="111">
        <v>0.8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>
        <v>0</v>
      </c>
      <c r="O43" s="111">
        <v>0</v>
      </c>
      <c r="P43" s="111">
        <v>0</v>
      </c>
      <c r="Q43" s="111">
        <v>0</v>
      </c>
      <c r="R43" s="111">
        <v>0.8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</v>
      </c>
      <c r="Y43" s="111">
        <v>0</v>
      </c>
      <c r="Z43" s="111">
        <v>0</v>
      </c>
      <c r="AA43" s="111">
        <v>0</v>
      </c>
      <c r="AB43" s="111">
        <v>0.8</v>
      </c>
      <c r="AC43" s="111">
        <v>0.8</v>
      </c>
      <c r="AD43" s="111">
        <v>0</v>
      </c>
      <c r="AE43" s="111">
        <v>0.8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0</v>
      </c>
      <c r="AN43" s="111">
        <v>0</v>
      </c>
      <c r="AO43" s="111">
        <v>0</v>
      </c>
      <c r="AP43" s="111">
        <v>0</v>
      </c>
      <c r="AQ43" s="111">
        <v>0</v>
      </c>
      <c r="AR43" s="111">
        <v>0</v>
      </c>
      <c r="AS43" s="111">
        <v>0</v>
      </c>
    </row>
    <row r="44" spans="1:45" x14ac:dyDescent="0.15">
      <c r="A44" s="190" t="s">
        <v>235</v>
      </c>
      <c r="B44" s="111">
        <v>0</v>
      </c>
      <c r="C44" s="111">
        <v>0</v>
      </c>
      <c r="D44" s="111">
        <v>0</v>
      </c>
      <c r="E44" s="111">
        <v>0</v>
      </c>
      <c r="F44" s="111">
        <v>0.8</v>
      </c>
      <c r="G44" s="111">
        <v>0.8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0.8</v>
      </c>
      <c r="N44" s="111">
        <v>0</v>
      </c>
      <c r="O44" s="111">
        <v>0</v>
      </c>
      <c r="P44" s="111">
        <v>0</v>
      </c>
      <c r="Q44" s="111">
        <v>0.8</v>
      </c>
      <c r="R44" s="111">
        <v>0.8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0.8</v>
      </c>
      <c r="AC44" s="111">
        <v>0.8</v>
      </c>
      <c r="AD44" s="111">
        <v>0.8</v>
      </c>
      <c r="AE44" s="111">
        <v>0.8</v>
      </c>
      <c r="AF44" s="111">
        <v>0.8</v>
      </c>
      <c r="AG44" s="111">
        <v>0.8</v>
      </c>
      <c r="AH44" s="111">
        <v>0.8</v>
      </c>
      <c r="AI44" s="111">
        <v>0</v>
      </c>
      <c r="AJ44" s="111">
        <v>0</v>
      </c>
      <c r="AK44" s="111">
        <v>0.8</v>
      </c>
      <c r="AL44" s="111">
        <v>0.8</v>
      </c>
      <c r="AM44" s="111">
        <v>0.8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</row>
    <row r="45" spans="1:45" x14ac:dyDescent="0.15">
      <c r="A45" s="190" t="s">
        <v>236</v>
      </c>
      <c r="B45" s="111">
        <v>0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0</v>
      </c>
      <c r="L45" s="111">
        <v>0</v>
      </c>
      <c r="M45" s="111">
        <v>0</v>
      </c>
      <c r="N45" s="111">
        <v>0</v>
      </c>
      <c r="O45" s="111">
        <v>0</v>
      </c>
      <c r="P45" s="111">
        <v>0</v>
      </c>
      <c r="Q45" s="111">
        <v>0</v>
      </c>
      <c r="R45" s="111">
        <v>0</v>
      </c>
      <c r="S45" s="111">
        <v>0</v>
      </c>
      <c r="T45" s="111">
        <v>0</v>
      </c>
      <c r="U45" s="111">
        <v>0</v>
      </c>
      <c r="V45" s="111">
        <v>0</v>
      </c>
      <c r="W45" s="111">
        <v>0</v>
      </c>
      <c r="X45" s="111">
        <v>0</v>
      </c>
      <c r="Y45" s="111">
        <v>0</v>
      </c>
      <c r="Z45" s="111">
        <v>0</v>
      </c>
      <c r="AA45" s="111">
        <v>0</v>
      </c>
      <c r="AB45" s="111">
        <v>0</v>
      </c>
      <c r="AC45" s="111">
        <v>0</v>
      </c>
      <c r="AD45" s="111">
        <v>0</v>
      </c>
      <c r="AE45" s="111">
        <v>0</v>
      </c>
      <c r="AF45" s="111">
        <v>0</v>
      </c>
      <c r="AG45" s="111">
        <v>0</v>
      </c>
      <c r="AH45" s="111">
        <v>0</v>
      </c>
      <c r="AI45" s="111">
        <v>0</v>
      </c>
      <c r="AJ45" s="111">
        <v>0</v>
      </c>
      <c r="AK45" s="111">
        <v>0</v>
      </c>
      <c r="AL45" s="111">
        <v>0</v>
      </c>
      <c r="AM45" s="111">
        <v>0</v>
      </c>
      <c r="AN45" s="111">
        <v>0</v>
      </c>
      <c r="AO45" s="111">
        <v>0</v>
      </c>
      <c r="AP45" s="111">
        <v>0</v>
      </c>
      <c r="AQ45" s="111">
        <v>0</v>
      </c>
      <c r="AR45" s="111">
        <v>0</v>
      </c>
      <c r="AS45" s="111">
        <v>0</v>
      </c>
    </row>
    <row r="46" spans="1:45" x14ac:dyDescent="0.15">
      <c r="A46" s="190" t="s">
        <v>238</v>
      </c>
      <c r="B46" s="111">
        <v>0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0.8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111">
        <v>0</v>
      </c>
      <c r="O46" s="111">
        <v>0</v>
      </c>
      <c r="P46" s="111">
        <v>0</v>
      </c>
      <c r="Q46" s="111">
        <v>0</v>
      </c>
      <c r="R46" s="111">
        <v>0</v>
      </c>
      <c r="S46" s="111">
        <v>0</v>
      </c>
      <c r="T46" s="111">
        <v>0</v>
      </c>
      <c r="U46" s="111">
        <v>0</v>
      </c>
      <c r="V46" s="111">
        <v>0</v>
      </c>
      <c r="W46" s="111">
        <v>0</v>
      </c>
      <c r="X46" s="111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111">
        <v>0</v>
      </c>
      <c r="AF46" s="111">
        <v>0</v>
      </c>
      <c r="AG46" s="111">
        <v>0</v>
      </c>
      <c r="AH46" s="111">
        <v>0</v>
      </c>
      <c r="AI46" s="111">
        <v>0</v>
      </c>
      <c r="AJ46" s="111">
        <v>0</v>
      </c>
      <c r="AK46" s="111">
        <v>0</v>
      </c>
      <c r="AL46" s="111">
        <v>0</v>
      </c>
      <c r="AM46" s="111">
        <v>0</v>
      </c>
      <c r="AN46" s="111">
        <v>0</v>
      </c>
      <c r="AO46" s="111">
        <v>0</v>
      </c>
      <c r="AP46" s="111">
        <v>0</v>
      </c>
      <c r="AQ46" s="111">
        <v>0</v>
      </c>
      <c r="AR46" s="111">
        <v>0</v>
      </c>
      <c r="AS46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S46"/>
  <sheetViews>
    <sheetView workbookViewId="0">
      <selection activeCell="A3" sqref="A3"/>
    </sheetView>
  </sheetViews>
  <sheetFormatPr baseColWidth="10" defaultRowHeight="13" x14ac:dyDescent="0.15"/>
  <cols>
    <col min="1" max="1" width="44.1640625" style="111" bestFit="1" customWidth="1"/>
    <col min="2" max="45" width="2.33203125" style="111" customWidth="1"/>
    <col min="46" max="16384" width="10.83203125" style="111"/>
  </cols>
  <sheetData>
    <row r="1" spans="1:45" x14ac:dyDescent="0.15">
      <c r="A1" s="62" t="s">
        <v>139</v>
      </c>
      <c r="B1" s="193" t="s">
        <v>193</v>
      </c>
      <c r="C1" s="193" t="s">
        <v>194</v>
      </c>
      <c r="D1" s="193" t="s">
        <v>195</v>
      </c>
      <c r="E1" s="193" t="s">
        <v>196</v>
      </c>
      <c r="F1" s="193" t="s">
        <v>197</v>
      </c>
      <c r="G1" s="193" t="s">
        <v>198</v>
      </c>
      <c r="H1" s="193" t="s">
        <v>199</v>
      </c>
      <c r="I1" s="193" t="s">
        <v>200</v>
      </c>
      <c r="J1" s="193" t="s">
        <v>201</v>
      </c>
      <c r="K1" s="193" t="s">
        <v>202</v>
      </c>
      <c r="L1" s="193" t="s">
        <v>203</v>
      </c>
      <c r="M1" s="193" t="s">
        <v>204</v>
      </c>
      <c r="N1" s="193" t="s">
        <v>205</v>
      </c>
      <c r="O1" s="193" t="s">
        <v>206</v>
      </c>
      <c r="P1" s="193" t="s">
        <v>207</v>
      </c>
      <c r="Q1" s="193" t="s">
        <v>208</v>
      </c>
      <c r="R1" s="193" t="s">
        <v>209</v>
      </c>
      <c r="S1" s="193" t="s">
        <v>210</v>
      </c>
      <c r="T1" s="193" t="s">
        <v>211</v>
      </c>
      <c r="U1" s="193" t="s">
        <v>212</v>
      </c>
      <c r="V1" s="193" t="s">
        <v>213</v>
      </c>
      <c r="W1" s="193" t="s">
        <v>214</v>
      </c>
      <c r="X1" s="193" t="s">
        <v>215</v>
      </c>
      <c r="Y1" s="193" t="s">
        <v>216</v>
      </c>
      <c r="Z1" s="193" t="s">
        <v>217</v>
      </c>
      <c r="AA1" s="193" t="s">
        <v>218</v>
      </c>
      <c r="AB1" s="193" t="s">
        <v>219</v>
      </c>
      <c r="AC1" s="193" t="s">
        <v>220</v>
      </c>
      <c r="AD1" s="193" t="s">
        <v>221</v>
      </c>
      <c r="AE1" s="193" t="s">
        <v>222</v>
      </c>
      <c r="AF1" s="193" t="s">
        <v>223</v>
      </c>
      <c r="AG1" s="193" t="s">
        <v>224</v>
      </c>
      <c r="AH1" s="193" t="s">
        <v>225</v>
      </c>
      <c r="AI1" s="193" t="s">
        <v>226</v>
      </c>
      <c r="AJ1" s="193" t="s">
        <v>227</v>
      </c>
      <c r="AK1" s="193" t="s">
        <v>228</v>
      </c>
      <c r="AL1" s="193" t="s">
        <v>229</v>
      </c>
      <c r="AM1" s="193" t="s">
        <v>230</v>
      </c>
      <c r="AN1" s="193" t="s">
        <v>231</v>
      </c>
      <c r="AO1" s="193" t="s">
        <v>232</v>
      </c>
      <c r="AP1" s="193" t="s">
        <v>233</v>
      </c>
      <c r="AQ1" s="193" t="s">
        <v>234</v>
      </c>
      <c r="AR1" s="193" t="s">
        <v>235</v>
      </c>
      <c r="AS1" s="193" t="s">
        <v>236</v>
      </c>
    </row>
    <row r="2" spans="1:45" customFormat="1" x14ac:dyDescent="0.15">
      <c r="A2" s="192" t="s">
        <v>193</v>
      </c>
      <c r="B2" s="111">
        <v>0</v>
      </c>
      <c r="C2" s="111">
        <v>0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</row>
    <row r="3" spans="1:45" customFormat="1" x14ac:dyDescent="0.15">
      <c r="A3" s="192" t="s">
        <v>194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</row>
    <row r="4" spans="1:45" customFormat="1" x14ac:dyDescent="0.15">
      <c r="A4" s="192" t="s">
        <v>195</v>
      </c>
      <c r="B4" s="111">
        <v>0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0</v>
      </c>
      <c r="AQ4" s="111">
        <v>0</v>
      </c>
      <c r="AR4" s="111">
        <v>0</v>
      </c>
      <c r="AS4" s="111">
        <v>0</v>
      </c>
    </row>
    <row r="5" spans="1:45" customFormat="1" x14ac:dyDescent="0.15">
      <c r="A5" s="192" t="s">
        <v>196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  <c r="AN5" s="111">
        <v>0</v>
      </c>
      <c r="AO5" s="111">
        <v>0</v>
      </c>
      <c r="AP5" s="111">
        <v>0</v>
      </c>
      <c r="AQ5" s="111">
        <v>0</v>
      </c>
      <c r="AR5" s="111">
        <v>0</v>
      </c>
      <c r="AS5" s="111">
        <v>0</v>
      </c>
    </row>
    <row r="6" spans="1:45" customFormat="1" x14ac:dyDescent="0.15">
      <c r="A6" s="192" t="s">
        <v>197</v>
      </c>
      <c r="B6" s="111">
        <v>0</v>
      </c>
      <c r="C6" s="111">
        <v>0</v>
      </c>
      <c r="D6" s="111">
        <v>0</v>
      </c>
      <c r="E6" s="111">
        <v>0</v>
      </c>
      <c r="F6" s="111">
        <v>1</v>
      </c>
      <c r="G6" s="111">
        <v>0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</row>
    <row r="7" spans="1:45" customFormat="1" x14ac:dyDescent="0.15">
      <c r="A7" s="192" t="s">
        <v>198</v>
      </c>
      <c r="B7" s="111">
        <v>0</v>
      </c>
      <c r="C7" s="111">
        <v>0</v>
      </c>
      <c r="D7" s="111">
        <v>0</v>
      </c>
      <c r="E7" s="111">
        <v>0</v>
      </c>
      <c r="F7" s="111">
        <v>1</v>
      </c>
      <c r="G7" s="111">
        <v>0</v>
      </c>
      <c r="H7" s="111">
        <v>1</v>
      </c>
      <c r="I7" s="111">
        <v>0</v>
      </c>
      <c r="J7" s="111">
        <v>0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  <c r="AN7" s="111">
        <v>0</v>
      </c>
      <c r="AO7" s="111">
        <v>0</v>
      </c>
      <c r="AP7" s="111">
        <v>0</v>
      </c>
      <c r="AQ7" s="111">
        <v>0</v>
      </c>
      <c r="AR7" s="111">
        <v>0</v>
      </c>
      <c r="AS7" s="111">
        <v>0</v>
      </c>
    </row>
    <row r="8" spans="1:45" customFormat="1" x14ac:dyDescent="0.15">
      <c r="A8" s="192" t="s">
        <v>199</v>
      </c>
      <c r="B8" s="111">
        <v>0</v>
      </c>
      <c r="C8" s="111">
        <v>0</v>
      </c>
      <c r="D8" s="111">
        <v>0</v>
      </c>
      <c r="E8" s="111">
        <v>1</v>
      </c>
      <c r="F8" s="111">
        <v>1</v>
      </c>
      <c r="G8" s="111">
        <v>1</v>
      </c>
      <c r="H8" s="111">
        <v>0</v>
      </c>
      <c r="I8" s="111">
        <v>0</v>
      </c>
      <c r="J8" s="111">
        <v>0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  <c r="AN8" s="111">
        <v>0</v>
      </c>
      <c r="AO8" s="111">
        <v>0</v>
      </c>
      <c r="AP8" s="111">
        <v>0</v>
      </c>
      <c r="AQ8" s="111">
        <v>0</v>
      </c>
      <c r="AR8" s="111">
        <v>0</v>
      </c>
      <c r="AS8" s="111">
        <v>0</v>
      </c>
    </row>
    <row r="9" spans="1:45" customFormat="1" x14ac:dyDescent="0.15">
      <c r="A9" s="192" t="s">
        <v>200</v>
      </c>
      <c r="B9" s="111">
        <v>0</v>
      </c>
      <c r="C9" s="111">
        <v>0</v>
      </c>
      <c r="D9" s="111">
        <v>0</v>
      </c>
      <c r="E9" s="111">
        <v>1</v>
      </c>
      <c r="F9" s="111">
        <v>0</v>
      </c>
      <c r="G9" s="111">
        <v>0</v>
      </c>
      <c r="H9" s="111">
        <v>0</v>
      </c>
      <c r="I9" s="111">
        <v>0</v>
      </c>
      <c r="J9" s="111">
        <v>0</v>
      </c>
      <c r="K9" s="111">
        <v>0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0</v>
      </c>
      <c r="AQ9" s="111">
        <v>0</v>
      </c>
      <c r="AR9" s="111">
        <v>0</v>
      </c>
      <c r="AS9" s="111">
        <v>0</v>
      </c>
    </row>
    <row r="10" spans="1:45" customFormat="1" x14ac:dyDescent="0.15">
      <c r="A10" s="192" t="s">
        <v>201</v>
      </c>
      <c r="B10" s="111">
        <v>0</v>
      </c>
      <c r="C10" s="111">
        <v>0</v>
      </c>
      <c r="D10" s="111">
        <v>0</v>
      </c>
      <c r="E10" s="111">
        <v>1</v>
      </c>
      <c r="F10" s="111">
        <v>1</v>
      </c>
      <c r="G10" s="111">
        <v>0</v>
      </c>
      <c r="H10" s="111">
        <v>1</v>
      </c>
      <c r="I10" s="111">
        <v>0</v>
      </c>
      <c r="J10" s="111">
        <v>1</v>
      </c>
      <c r="K10" s="111">
        <v>1</v>
      </c>
      <c r="L10" s="111">
        <v>1</v>
      </c>
      <c r="M10" s="111">
        <v>1</v>
      </c>
      <c r="N10" s="111">
        <v>0</v>
      </c>
      <c r="O10" s="111">
        <v>0</v>
      </c>
      <c r="P10" s="111">
        <v>0</v>
      </c>
      <c r="Q10" s="111">
        <v>1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</row>
    <row r="11" spans="1:45" customFormat="1" x14ac:dyDescent="0.15">
      <c r="A11" s="192" t="s">
        <v>202</v>
      </c>
      <c r="B11" s="111">
        <v>0</v>
      </c>
      <c r="C11" s="111">
        <v>0</v>
      </c>
      <c r="D11" s="111">
        <v>0</v>
      </c>
      <c r="E11" s="111">
        <v>0</v>
      </c>
      <c r="F11" s="111">
        <v>1</v>
      </c>
      <c r="G11" s="111">
        <v>0</v>
      </c>
      <c r="H11" s="111">
        <v>1</v>
      </c>
      <c r="I11" s="111">
        <v>0</v>
      </c>
      <c r="J11" s="111">
        <v>0</v>
      </c>
      <c r="K11" s="111">
        <v>1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  <c r="AN11" s="111">
        <v>0</v>
      </c>
      <c r="AO11" s="111">
        <v>0</v>
      </c>
      <c r="AP11" s="111">
        <v>0</v>
      </c>
      <c r="AQ11" s="111">
        <v>0</v>
      </c>
      <c r="AR11" s="111">
        <v>0</v>
      </c>
      <c r="AS11" s="111">
        <v>0</v>
      </c>
    </row>
    <row r="12" spans="1:45" customFormat="1" x14ac:dyDescent="0.15">
      <c r="A12" s="192" t="s">
        <v>203</v>
      </c>
      <c r="B12" s="111">
        <v>0</v>
      </c>
      <c r="C12" s="111">
        <v>0</v>
      </c>
      <c r="D12" s="111">
        <v>0</v>
      </c>
      <c r="E12" s="111">
        <v>1</v>
      </c>
      <c r="F12" s="111">
        <v>0</v>
      </c>
      <c r="G12" s="111">
        <v>0</v>
      </c>
      <c r="H12" s="111">
        <v>1</v>
      </c>
      <c r="I12" s="111">
        <v>0</v>
      </c>
      <c r="J12" s="111">
        <v>0</v>
      </c>
      <c r="K12" s="111">
        <v>1</v>
      </c>
      <c r="L12" s="111">
        <v>1</v>
      </c>
      <c r="M12" s="111">
        <v>0</v>
      </c>
      <c r="N12" s="111">
        <v>0</v>
      </c>
      <c r="O12" s="111">
        <v>0</v>
      </c>
      <c r="P12" s="111">
        <v>0</v>
      </c>
      <c r="Q12" s="111">
        <v>0</v>
      </c>
      <c r="R12" s="111">
        <v>0</v>
      </c>
      <c r="S12" s="111">
        <v>0</v>
      </c>
      <c r="T12" s="111">
        <v>0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</row>
    <row r="13" spans="1:45" customFormat="1" x14ac:dyDescent="0.15">
      <c r="A13" s="192" t="s">
        <v>204</v>
      </c>
      <c r="B13" s="111">
        <v>0</v>
      </c>
      <c r="C13" s="111">
        <v>0</v>
      </c>
      <c r="D13" s="111">
        <v>0</v>
      </c>
      <c r="E13" s="111">
        <v>0</v>
      </c>
      <c r="F13" s="111">
        <v>1</v>
      </c>
      <c r="G13" s="111">
        <v>0</v>
      </c>
      <c r="H13" s="111">
        <v>0</v>
      </c>
      <c r="I13" s="111">
        <v>0</v>
      </c>
      <c r="J13" s="111">
        <v>0</v>
      </c>
      <c r="K13" s="111">
        <v>1</v>
      </c>
      <c r="L13" s="111">
        <v>0</v>
      </c>
      <c r="M13" s="111">
        <v>0</v>
      </c>
      <c r="N13" s="111">
        <v>0</v>
      </c>
      <c r="O13" s="111">
        <v>0</v>
      </c>
      <c r="P13" s="111">
        <v>0</v>
      </c>
      <c r="Q13" s="111">
        <v>1</v>
      </c>
      <c r="R13" s="111">
        <v>0</v>
      </c>
      <c r="S13" s="111">
        <v>0</v>
      </c>
      <c r="T13" s="111">
        <v>0</v>
      </c>
      <c r="U13" s="111">
        <v>0</v>
      </c>
      <c r="V13" s="111">
        <v>0</v>
      </c>
      <c r="W13" s="111">
        <v>0</v>
      </c>
      <c r="X13" s="111">
        <v>0</v>
      </c>
      <c r="Y13" s="111">
        <v>1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</row>
    <row r="14" spans="1:45" customFormat="1" x14ac:dyDescent="0.15">
      <c r="A14" s="192" t="s">
        <v>205</v>
      </c>
      <c r="B14" s="111">
        <v>0</v>
      </c>
      <c r="C14" s="111">
        <v>0</v>
      </c>
      <c r="D14" s="111">
        <v>0</v>
      </c>
      <c r="E14" s="111">
        <v>0</v>
      </c>
      <c r="F14" s="111">
        <v>1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111">
        <v>0</v>
      </c>
      <c r="O14" s="111">
        <v>0</v>
      </c>
      <c r="P14" s="111">
        <v>0</v>
      </c>
      <c r="Q14" s="111">
        <v>1</v>
      </c>
      <c r="R14" s="111">
        <v>0</v>
      </c>
      <c r="S14" s="111">
        <v>0</v>
      </c>
      <c r="T14" s="111">
        <v>0</v>
      </c>
      <c r="U14" s="111">
        <v>0</v>
      </c>
      <c r="V14" s="111">
        <v>0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0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</row>
    <row r="15" spans="1:45" customFormat="1" x14ac:dyDescent="0.15">
      <c r="A15" s="192" t="s">
        <v>206</v>
      </c>
      <c r="B15" s="111">
        <v>0</v>
      </c>
      <c r="C15" s="111">
        <v>0</v>
      </c>
      <c r="D15" s="111">
        <v>0</v>
      </c>
      <c r="E15" s="111">
        <v>1</v>
      </c>
      <c r="F15" s="111">
        <v>0</v>
      </c>
      <c r="G15" s="111">
        <v>1</v>
      </c>
      <c r="H15" s="111">
        <v>1</v>
      </c>
      <c r="I15" s="111">
        <v>0</v>
      </c>
      <c r="J15" s="111">
        <v>0</v>
      </c>
      <c r="K15" s="111">
        <v>0</v>
      </c>
      <c r="L15" s="111">
        <v>0</v>
      </c>
      <c r="M15" s="111">
        <v>1</v>
      </c>
      <c r="N15" s="111">
        <v>1</v>
      </c>
      <c r="O15" s="111">
        <v>0</v>
      </c>
      <c r="P15" s="111">
        <v>0</v>
      </c>
      <c r="Q15" s="111">
        <v>1</v>
      </c>
      <c r="R15" s="111">
        <v>0</v>
      </c>
      <c r="S15" s="111">
        <v>0</v>
      </c>
      <c r="T15" s="111">
        <v>0</v>
      </c>
      <c r="U15" s="111">
        <v>0</v>
      </c>
      <c r="V15" s="111">
        <v>0</v>
      </c>
      <c r="W15" s="111">
        <v>0</v>
      </c>
      <c r="X15" s="111">
        <v>1</v>
      </c>
      <c r="Y15" s="111">
        <v>0</v>
      </c>
      <c r="Z15" s="111">
        <v>0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  <c r="AL15" s="111">
        <v>0</v>
      </c>
      <c r="AM15" s="111">
        <v>0</v>
      </c>
      <c r="AN15" s="111">
        <v>0</v>
      </c>
      <c r="AO15" s="111">
        <v>0</v>
      </c>
      <c r="AP15" s="111">
        <v>0</v>
      </c>
      <c r="AQ15" s="111">
        <v>0</v>
      </c>
      <c r="AR15" s="111">
        <v>0</v>
      </c>
      <c r="AS15" s="111">
        <v>0</v>
      </c>
    </row>
    <row r="16" spans="1:45" customFormat="1" x14ac:dyDescent="0.15">
      <c r="A16" s="192" t="s">
        <v>207</v>
      </c>
      <c r="B16" s="111">
        <v>0</v>
      </c>
      <c r="C16" s="111">
        <v>0</v>
      </c>
      <c r="D16" s="111">
        <v>0</v>
      </c>
      <c r="E16" s="111">
        <v>0</v>
      </c>
      <c r="F16" s="111">
        <v>0</v>
      </c>
      <c r="G16" s="111">
        <v>1</v>
      </c>
      <c r="H16" s="111">
        <v>0</v>
      </c>
      <c r="I16" s="111">
        <v>0</v>
      </c>
      <c r="J16" s="111">
        <v>0</v>
      </c>
      <c r="K16" s="111">
        <v>0</v>
      </c>
      <c r="L16" s="111">
        <v>0</v>
      </c>
      <c r="M16" s="111">
        <v>1</v>
      </c>
      <c r="N16" s="111">
        <v>0</v>
      </c>
      <c r="O16" s="111">
        <v>0</v>
      </c>
      <c r="P16" s="111">
        <v>0</v>
      </c>
      <c r="Q16" s="111">
        <v>1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0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0</v>
      </c>
      <c r="AN16" s="111">
        <v>0</v>
      </c>
      <c r="AO16" s="111">
        <v>0</v>
      </c>
      <c r="AP16" s="111">
        <v>0</v>
      </c>
      <c r="AQ16" s="111">
        <v>0</v>
      </c>
      <c r="AR16" s="111">
        <v>0</v>
      </c>
      <c r="AS16" s="111">
        <v>0</v>
      </c>
    </row>
    <row r="17" spans="1:45" customFormat="1" x14ac:dyDescent="0.15">
      <c r="A17" s="192" t="s">
        <v>208</v>
      </c>
      <c r="B17" s="111">
        <v>0</v>
      </c>
      <c r="C17" s="111">
        <v>0</v>
      </c>
      <c r="D17" s="111">
        <v>0</v>
      </c>
      <c r="E17" s="111">
        <v>1</v>
      </c>
      <c r="F17" s="111">
        <v>1</v>
      </c>
      <c r="G17" s="111">
        <v>0</v>
      </c>
      <c r="H17" s="111">
        <v>1</v>
      </c>
      <c r="I17" s="111">
        <v>0</v>
      </c>
      <c r="J17" s="111">
        <v>0</v>
      </c>
      <c r="K17" s="111">
        <v>0</v>
      </c>
      <c r="L17" s="111">
        <v>1</v>
      </c>
      <c r="M17" s="111">
        <v>1</v>
      </c>
      <c r="N17" s="111">
        <v>1</v>
      </c>
      <c r="O17" s="111">
        <v>0</v>
      </c>
      <c r="P17" s="111">
        <v>0</v>
      </c>
      <c r="Q17" s="111">
        <v>1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</row>
    <row r="18" spans="1:45" customFormat="1" x14ac:dyDescent="0.15">
      <c r="A18" s="192" t="s">
        <v>209</v>
      </c>
      <c r="B18" s="111">
        <v>1</v>
      </c>
      <c r="C18" s="111">
        <v>0</v>
      </c>
      <c r="D18" s="111">
        <v>0</v>
      </c>
      <c r="E18" s="111">
        <v>1</v>
      </c>
      <c r="F18" s="111">
        <v>1</v>
      </c>
      <c r="G18" s="111">
        <v>1</v>
      </c>
      <c r="H18" s="111">
        <v>1</v>
      </c>
      <c r="I18" s="111">
        <v>0</v>
      </c>
      <c r="J18" s="111">
        <v>1</v>
      </c>
      <c r="K18" s="111">
        <v>1</v>
      </c>
      <c r="L18" s="111">
        <v>1</v>
      </c>
      <c r="M18" s="111">
        <v>1</v>
      </c>
      <c r="N18" s="111">
        <v>1</v>
      </c>
      <c r="O18" s="111">
        <v>0</v>
      </c>
      <c r="P18" s="111">
        <v>0</v>
      </c>
      <c r="Q18" s="111">
        <v>1</v>
      </c>
      <c r="R18" s="111">
        <v>0</v>
      </c>
      <c r="S18" s="111">
        <v>0</v>
      </c>
      <c r="T18" s="111">
        <v>0</v>
      </c>
      <c r="U18" s="111">
        <v>0</v>
      </c>
      <c r="V18" s="111">
        <v>0</v>
      </c>
      <c r="W18" s="111">
        <v>0</v>
      </c>
      <c r="X18" s="111">
        <v>0</v>
      </c>
      <c r="Y18" s="111">
        <v>1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  <c r="AL18" s="111">
        <v>0</v>
      </c>
      <c r="AM18" s="111">
        <v>0</v>
      </c>
      <c r="AN18" s="111">
        <v>0</v>
      </c>
      <c r="AO18" s="111">
        <v>0</v>
      </c>
      <c r="AP18" s="111">
        <v>0</v>
      </c>
      <c r="AQ18" s="111">
        <v>0</v>
      </c>
      <c r="AR18" s="111">
        <v>0</v>
      </c>
      <c r="AS18" s="111">
        <v>0</v>
      </c>
    </row>
    <row r="19" spans="1:45" customFormat="1" x14ac:dyDescent="0.15">
      <c r="A19" s="192" t="s">
        <v>210</v>
      </c>
      <c r="B19" s="111">
        <v>0</v>
      </c>
      <c r="C19" s="111">
        <v>0</v>
      </c>
      <c r="D19" s="111">
        <v>1</v>
      </c>
      <c r="E19" s="111">
        <v>1</v>
      </c>
      <c r="F19" s="111">
        <v>1</v>
      </c>
      <c r="G19" s="111">
        <v>1</v>
      </c>
      <c r="H19" s="111">
        <v>1</v>
      </c>
      <c r="I19" s="111">
        <v>0</v>
      </c>
      <c r="J19" s="111">
        <v>1</v>
      </c>
      <c r="K19" s="111">
        <v>1</v>
      </c>
      <c r="L19" s="111">
        <v>1</v>
      </c>
      <c r="M19" s="111">
        <v>1</v>
      </c>
      <c r="N19" s="111">
        <v>1</v>
      </c>
      <c r="O19" s="111">
        <v>0</v>
      </c>
      <c r="P19" s="111">
        <v>0</v>
      </c>
      <c r="Q19" s="111">
        <v>1</v>
      </c>
      <c r="R19" s="111">
        <v>0</v>
      </c>
      <c r="S19" s="111">
        <v>0</v>
      </c>
      <c r="T19" s="111">
        <v>1</v>
      </c>
      <c r="U19" s="111">
        <v>1</v>
      </c>
      <c r="V19" s="111">
        <v>0</v>
      </c>
      <c r="W19" s="111">
        <v>0</v>
      </c>
      <c r="X19" s="111">
        <v>1</v>
      </c>
      <c r="Y19" s="111">
        <v>1</v>
      </c>
      <c r="Z19" s="111">
        <v>1</v>
      </c>
      <c r="AA19" s="111">
        <v>1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  <c r="AL19" s="111">
        <v>0</v>
      </c>
      <c r="AM19" s="111">
        <v>0</v>
      </c>
      <c r="AN19" s="111">
        <v>0</v>
      </c>
      <c r="AO19" s="111">
        <v>0</v>
      </c>
      <c r="AP19" s="111">
        <v>0</v>
      </c>
      <c r="AQ19" s="111">
        <v>0</v>
      </c>
      <c r="AR19" s="111">
        <v>0</v>
      </c>
      <c r="AS19" s="111">
        <v>0</v>
      </c>
    </row>
    <row r="20" spans="1:45" customFormat="1" x14ac:dyDescent="0.15">
      <c r="A20" s="192" t="s">
        <v>211</v>
      </c>
      <c r="B20" s="111">
        <v>1</v>
      </c>
      <c r="C20" s="111">
        <v>1</v>
      </c>
      <c r="D20" s="111">
        <v>0</v>
      </c>
      <c r="E20" s="111">
        <v>1</v>
      </c>
      <c r="F20" s="111">
        <v>1</v>
      </c>
      <c r="G20" s="111">
        <v>0</v>
      </c>
      <c r="H20" s="111">
        <v>1</v>
      </c>
      <c r="I20" s="111">
        <v>0</v>
      </c>
      <c r="J20" s="111">
        <v>0</v>
      </c>
      <c r="K20" s="111">
        <v>1</v>
      </c>
      <c r="L20" s="111">
        <v>1</v>
      </c>
      <c r="M20" s="111">
        <v>1</v>
      </c>
      <c r="N20" s="111">
        <v>0</v>
      </c>
      <c r="O20" s="111">
        <v>0</v>
      </c>
      <c r="P20" s="111">
        <v>0</v>
      </c>
      <c r="Q20" s="111">
        <v>1</v>
      </c>
      <c r="R20" s="111">
        <v>0</v>
      </c>
      <c r="S20" s="111">
        <v>0</v>
      </c>
      <c r="T20" s="111">
        <v>0</v>
      </c>
      <c r="U20" s="111">
        <v>0</v>
      </c>
      <c r="V20" s="111">
        <v>0</v>
      </c>
      <c r="W20" s="111">
        <v>0</v>
      </c>
      <c r="X20" s="111">
        <v>0</v>
      </c>
      <c r="Y20" s="111">
        <v>1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  <c r="AL20" s="111">
        <v>0</v>
      </c>
      <c r="AM20" s="111">
        <v>0</v>
      </c>
      <c r="AN20" s="111">
        <v>0</v>
      </c>
      <c r="AO20" s="111">
        <v>0</v>
      </c>
      <c r="AP20" s="111">
        <v>0</v>
      </c>
      <c r="AQ20" s="111">
        <v>0</v>
      </c>
      <c r="AR20" s="111">
        <v>0</v>
      </c>
      <c r="AS20" s="111">
        <v>0</v>
      </c>
    </row>
    <row r="21" spans="1:45" customFormat="1" x14ac:dyDescent="0.15">
      <c r="A21" s="192" t="s">
        <v>212</v>
      </c>
      <c r="B21" s="111">
        <v>1</v>
      </c>
      <c r="C21" s="111">
        <v>1</v>
      </c>
      <c r="D21" s="111">
        <v>1</v>
      </c>
      <c r="E21" s="111">
        <v>1</v>
      </c>
      <c r="F21" s="111">
        <v>1</v>
      </c>
      <c r="G21" s="111">
        <v>0</v>
      </c>
      <c r="H21" s="111">
        <v>0</v>
      </c>
      <c r="I21" s="111">
        <v>1</v>
      </c>
      <c r="J21" s="111">
        <v>0</v>
      </c>
      <c r="K21" s="111">
        <v>1</v>
      </c>
      <c r="L21" s="111">
        <v>0</v>
      </c>
      <c r="M21" s="111">
        <v>1</v>
      </c>
      <c r="N21" s="111">
        <v>1</v>
      </c>
      <c r="O21" s="111">
        <v>0</v>
      </c>
      <c r="P21" s="111">
        <v>0</v>
      </c>
      <c r="Q21" s="111">
        <v>1</v>
      </c>
      <c r="R21" s="111">
        <v>0</v>
      </c>
      <c r="S21" s="111">
        <v>0</v>
      </c>
      <c r="T21" s="111">
        <v>0</v>
      </c>
      <c r="U21" s="111">
        <v>0</v>
      </c>
      <c r="V21" s="111">
        <v>0</v>
      </c>
      <c r="W21" s="111">
        <v>0</v>
      </c>
      <c r="X21" s="111">
        <v>0</v>
      </c>
      <c r="Y21" s="111">
        <v>0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  <c r="AN21" s="111">
        <v>0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</row>
    <row r="22" spans="1:45" customFormat="1" x14ac:dyDescent="0.15">
      <c r="A22" s="192" t="s">
        <v>213</v>
      </c>
      <c r="B22" s="111">
        <v>1</v>
      </c>
      <c r="C22" s="111">
        <v>1</v>
      </c>
      <c r="D22" s="111">
        <v>1</v>
      </c>
      <c r="E22" s="111">
        <v>1</v>
      </c>
      <c r="F22" s="111">
        <v>1</v>
      </c>
      <c r="G22" s="111">
        <v>0</v>
      </c>
      <c r="H22" s="111">
        <v>0</v>
      </c>
      <c r="I22" s="111">
        <v>1</v>
      </c>
      <c r="J22" s="111">
        <v>0</v>
      </c>
      <c r="K22" s="111">
        <v>1</v>
      </c>
      <c r="L22" s="111">
        <v>1</v>
      </c>
      <c r="M22" s="111">
        <v>0</v>
      </c>
      <c r="N22" s="111">
        <v>0</v>
      </c>
      <c r="O22" s="111">
        <v>0</v>
      </c>
      <c r="P22" s="111">
        <v>0</v>
      </c>
      <c r="Q22" s="111">
        <v>1</v>
      </c>
      <c r="R22" s="111">
        <v>0</v>
      </c>
      <c r="S22" s="111">
        <v>0</v>
      </c>
      <c r="T22" s="111">
        <v>0</v>
      </c>
      <c r="U22" s="111">
        <v>1</v>
      </c>
      <c r="V22" s="111">
        <v>0</v>
      </c>
      <c r="W22" s="111">
        <v>0</v>
      </c>
      <c r="X22" s="111">
        <v>0</v>
      </c>
      <c r="Y22" s="111">
        <v>1</v>
      </c>
      <c r="Z22" s="111">
        <v>0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</row>
    <row r="23" spans="1:45" customFormat="1" x14ac:dyDescent="0.15">
      <c r="A23" s="192" t="s">
        <v>214</v>
      </c>
      <c r="B23" s="111">
        <v>1</v>
      </c>
      <c r="C23" s="111">
        <v>1</v>
      </c>
      <c r="D23" s="111">
        <v>0</v>
      </c>
      <c r="E23" s="111">
        <v>1</v>
      </c>
      <c r="F23" s="111">
        <v>1</v>
      </c>
      <c r="G23" s="111">
        <v>1</v>
      </c>
      <c r="H23" s="111">
        <v>1</v>
      </c>
      <c r="I23" s="111">
        <v>1</v>
      </c>
      <c r="J23" s="111">
        <v>0</v>
      </c>
      <c r="K23" s="111">
        <v>1</v>
      </c>
      <c r="L23" s="111">
        <v>1</v>
      </c>
      <c r="M23" s="111">
        <v>1</v>
      </c>
      <c r="N23" s="111">
        <v>0</v>
      </c>
      <c r="O23" s="111">
        <v>0</v>
      </c>
      <c r="P23" s="111">
        <v>0</v>
      </c>
      <c r="Q23" s="111">
        <v>1</v>
      </c>
      <c r="R23" s="111">
        <v>0</v>
      </c>
      <c r="S23" s="111">
        <v>0</v>
      </c>
      <c r="T23" s="111">
        <v>1</v>
      </c>
      <c r="U23" s="111">
        <v>1</v>
      </c>
      <c r="V23" s="111">
        <v>0</v>
      </c>
      <c r="W23" s="111">
        <v>0</v>
      </c>
      <c r="X23" s="111">
        <v>1</v>
      </c>
      <c r="Y23" s="111">
        <v>1</v>
      </c>
      <c r="Z23" s="111">
        <v>1</v>
      </c>
      <c r="AA23" s="111">
        <v>1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</row>
    <row r="24" spans="1:45" customFormat="1" x14ac:dyDescent="0.15">
      <c r="A24" s="192" t="s">
        <v>215</v>
      </c>
      <c r="B24" s="111">
        <v>0</v>
      </c>
      <c r="C24" s="111">
        <v>0</v>
      </c>
      <c r="D24" s="111">
        <v>0</v>
      </c>
      <c r="E24" s="111">
        <v>1</v>
      </c>
      <c r="F24" s="111">
        <v>1</v>
      </c>
      <c r="G24" s="111">
        <v>1</v>
      </c>
      <c r="H24" s="111">
        <v>1</v>
      </c>
      <c r="I24" s="111">
        <v>1</v>
      </c>
      <c r="J24" s="111">
        <v>0</v>
      </c>
      <c r="K24" s="111">
        <v>1</v>
      </c>
      <c r="L24" s="111">
        <v>1</v>
      </c>
      <c r="M24" s="111">
        <v>1</v>
      </c>
      <c r="N24" s="111">
        <v>0</v>
      </c>
      <c r="O24" s="111">
        <v>0</v>
      </c>
      <c r="P24" s="111">
        <v>0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</row>
    <row r="25" spans="1:45" customFormat="1" x14ac:dyDescent="0.15">
      <c r="A25" s="192" t="s">
        <v>216</v>
      </c>
      <c r="B25" s="111">
        <v>0</v>
      </c>
      <c r="C25" s="111">
        <v>0</v>
      </c>
      <c r="D25" s="111">
        <v>0</v>
      </c>
      <c r="E25" s="111">
        <v>1</v>
      </c>
      <c r="F25" s="111">
        <v>1</v>
      </c>
      <c r="G25" s="111">
        <v>0</v>
      </c>
      <c r="H25" s="111">
        <v>0</v>
      </c>
      <c r="I25" s="111">
        <v>0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1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</row>
    <row r="26" spans="1:45" customFormat="1" x14ac:dyDescent="0.15">
      <c r="A26" s="192" t="s">
        <v>217</v>
      </c>
      <c r="B26" s="111">
        <v>1</v>
      </c>
      <c r="C26" s="111">
        <v>1</v>
      </c>
      <c r="D26" s="111">
        <v>1</v>
      </c>
      <c r="E26" s="111">
        <v>1</v>
      </c>
      <c r="F26" s="111">
        <v>1</v>
      </c>
      <c r="G26" s="111">
        <v>1</v>
      </c>
      <c r="H26" s="111">
        <v>0</v>
      </c>
      <c r="I26" s="111">
        <v>1</v>
      </c>
      <c r="J26" s="111">
        <v>0</v>
      </c>
      <c r="K26" s="111">
        <v>1</v>
      </c>
      <c r="L26" s="111">
        <v>0</v>
      </c>
      <c r="M26" s="111">
        <v>1</v>
      </c>
      <c r="N26" s="111">
        <v>0</v>
      </c>
      <c r="O26" s="111">
        <v>0</v>
      </c>
      <c r="P26" s="111">
        <v>0</v>
      </c>
      <c r="Q26" s="111">
        <v>0</v>
      </c>
      <c r="R26" s="111">
        <v>0</v>
      </c>
      <c r="S26" s="111">
        <v>0</v>
      </c>
      <c r="T26" s="111">
        <v>0</v>
      </c>
      <c r="U26" s="111">
        <v>0</v>
      </c>
      <c r="V26" s="111">
        <v>0</v>
      </c>
      <c r="W26" s="111">
        <v>0</v>
      </c>
      <c r="X26" s="111">
        <v>0</v>
      </c>
      <c r="Y26" s="111">
        <v>1</v>
      </c>
      <c r="Z26" s="111">
        <v>0</v>
      </c>
      <c r="AA26" s="111">
        <v>0</v>
      </c>
      <c r="AB26" s="111">
        <v>0</v>
      </c>
      <c r="AC26" s="111">
        <v>0</v>
      </c>
      <c r="AD26" s="111">
        <v>0</v>
      </c>
      <c r="AE26" s="111">
        <v>0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  <c r="AL26" s="111">
        <v>0</v>
      </c>
      <c r="AM26" s="111">
        <v>0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</row>
    <row r="27" spans="1:45" customFormat="1" x14ac:dyDescent="0.15">
      <c r="A27" s="192" t="s">
        <v>218</v>
      </c>
      <c r="B27" s="111">
        <v>0</v>
      </c>
      <c r="C27" s="111">
        <v>0</v>
      </c>
      <c r="D27" s="111">
        <v>1</v>
      </c>
      <c r="E27" s="111">
        <v>1</v>
      </c>
      <c r="F27" s="111">
        <v>1</v>
      </c>
      <c r="G27" s="111">
        <v>1</v>
      </c>
      <c r="H27" s="111">
        <v>1</v>
      </c>
      <c r="I27" s="111">
        <v>1</v>
      </c>
      <c r="J27" s="111">
        <v>0</v>
      </c>
      <c r="K27" s="111">
        <v>1</v>
      </c>
      <c r="L27" s="111">
        <v>0</v>
      </c>
      <c r="M27" s="111">
        <v>1</v>
      </c>
      <c r="N27" s="111">
        <v>1</v>
      </c>
      <c r="O27" s="111">
        <v>0</v>
      </c>
      <c r="P27" s="111">
        <v>0</v>
      </c>
      <c r="Q27" s="111">
        <v>1</v>
      </c>
      <c r="R27" s="111">
        <v>0</v>
      </c>
      <c r="S27" s="111">
        <v>0</v>
      </c>
      <c r="T27" s="111">
        <v>1</v>
      </c>
      <c r="U27" s="111">
        <v>1</v>
      </c>
      <c r="V27" s="111">
        <v>0</v>
      </c>
      <c r="W27" s="111">
        <v>0</v>
      </c>
      <c r="X27" s="111">
        <v>1</v>
      </c>
      <c r="Y27" s="111">
        <v>1</v>
      </c>
      <c r="Z27" s="111">
        <v>0</v>
      </c>
      <c r="AA27" s="111">
        <v>1</v>
      </c>
      <c r="AB27" s="111">
        <v>0</v>
      </c>
      <c r="AC27" s="111">
        <v>0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  <c r="AL27" s="111">
        <v>0</v>
      </c>
      <c r="AM27" s="111">
        <v>0</v>
      </c>
      <c r="AN27" s="111">
        <v>0</v>
      </c>
      <c r="AO27" s="111">
        <v>0</v>
      </c>
      <c r="AP27" s="111">
        <v>0</v>
      </c>
      <c r="AQ27" s="111">
        <v>0</v>
      </c>
      <c r="AR27" s="111">
        <v>0</v>
      </c>
      <c r="AS27" s="111">
        <v>0</v>
      </c>
    </row>
    <row r="28" spans="1:45" customFormat="1" x14ac:dyDescent="0.15">
      <c r="A28" s="192" t="s">
        <v>219</v>
      </c>
      <c r="B28" s="111">
        <v>0</v>
      </c>
      <c r="C28" s="111">
        <v>0</v>
      </c>
      <c r="D28" s="111">
        <v>0</v>
      </c>
      <c r="E28" s="111">
        <v>0</v>
      </c>
      <c r="F28" s="111">
        <v>0</v>
      </c>
      <c r="G28" s="111">
        <v>1</v>
      </c>
      <c r="H28" s="111">
        <v>1</v>
      </c>
      <c r="I28" s="111">
        <v>0</v>
      </c>
      <c r="J28" s="111">
        <v>0</v>
      </c>
      <c r="K28" s="111">
        <v>1</v>
      </c>
      <c r="L28" s="111">
        <v>0</v>
      </c>
      <c r="M28" s="111">
        <v>0</v>
      </c>
      <c r="N28" s="111">
        <v>0</v>
      </c>
      <c r="O28" s="111">
        <v>0</v>
      </c>
      <c r="P28" s="111">
        <v>0</v>
      </c>
      <c r="Q28" s="111">
        <v>1</v>
      </c>
      <c r="R28" s="111">
        <v>0</v>
      </c>
      <c r="S28" s="111">
        <v>0</v>
      </c>
      <c r="T28" s="111">
        <v>0</v>
      </c>
      <c r="U28" s="111">
        <v>0</v>
      </c>
      <c r="V28" s="111">
        <v>0</v>
      </c>
      <c r="W28" s="111">
        <v>0</v>
      </c>
      <c r="X28" s="111">
        <v>0</v>
      </c>
      <c r="Y28" s="111">
        <v>0</v>
      </c>
      <c r="Z28" s="111">
        <v>0</v>
      </c>
      <c r="AA28" s="111">
        <v>0</v>
      </c>
      <c r="AB28" s="111">
        <v>0</v>
      </c>
      <c r="AC28" s="111">
        <v>0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  <c r="AL28" s="111">
        <v>0</v>
      </c>
      <c r="AM28" s="111">
        <v>0</v>
      </c>
      <c r="AN28" s="111">
        <v>0</v>
      </c>
      <c r="AO28" s="111">
        <v>0</v>
      </c>
      <c r="AP28" s="111">
        <v>0</v>
      </c>
      <c r="AQ28" s="111">
        <v>0</v>
      </c>
      <c r="AR28" s="111">
        <v>0</v>
      </c>
      <c r="AS28" s="111">
        <v>0</v>
      </c>
    </row>
    <row r="29" spans="1:45" customFormat="1" x14ac:dyDescent="0.15">
      <c r="A29" s="192" t="s">
        <v>220</v>
      </c>
      <c r="B29" s="111">
        <v>0</v>
      </c>
      <c r="C29" s="111">
        <v>0</v>
      </c>
      <c r="D29" s="111">
        <v>0</v>
      </c>
      <c r="E29" s="111">
        <v>0</v>
      </c>
      <c r="F29" s="111">
        <v>0</v>
      </c>
      <c r="G29" s="111">
        <v>1</v>
      </c>
      <c r="H29" s="111">
        <v>1</v>
      </c>
      <c r="I29" s="111">
        <v>1</v>
      </c>
      <c r="J29" s="111">
        <v>1</v>
      </c>
      <c r="K29" s="111">
        <v>0</v>
      </c>
      <c r="L29" s="111">
        <v>0</v>
      </c>
      <c r="M29" s="111">
        <v>0</v>
      </c>
      <c r="N29" s="111">
        <v>0</v>
      </c>
      <c r="O29" s="111">
        <v>0</v>
      </c>
      <c r="P29" s="111">
        <v>0</v>
      </c>
      <c r="Q29" s="111">
        <v>1</v>
      </c>
      <c r="R29" s="111">
        <v>0</v>
      </c>
      <c r="S29" s="111">
        <v>1</v>
      </c>
      <c r="T29" s="111">
        <v>1</v>
      </c>
      <c r="U29" s="111">
        <v>0</v>
      </c>
      <c r="V29" s="111">
        <v>0</v>
      </c>
      <c r="W29" s="111">
        <v>0</v>
      </c>
      <c r="X29" s="111">
        <v>1</v>
      </c>
      <c r="Y29" s="111">
        <v>0</v>
      </c>
      <c r="Z29" s="111">
        <v>0</v>
      </c>
      <c r="AA29" s="111">
        <v>0</v>
      </c>
      <c r="AB29" s="111">
        <v>0</v>
      </c>
      <c r="AC29" s="111">
        <v>1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  <c r="AL29" s="111">
        <v>0</v>
      </c>
      <c r="AM29" s="111">
        <v>0</v>
      </c>
      <c r="AN29" s="111">
        <v>0</v>
      </c>
      <c r="AO29" s="111">
        <v>0</v>
      </c>
      <c r="AP29" s="111">
        <v>0</v>
      </c>
      <c r="AQ29" s="111">
        <v>0</v>
      </c>
      <c r="AR29" s="111">
        <v>0</v>
      </c>
      <c r="AS29" s="111">
        <v>0</v>
      </c>
    </row>
    <row r="30" spans="1:45" customFormat="1" x14ac:dyDescent="0.15">
      <c r="A30" s="192" t="s">
        <v>221</v>
      </c>
      <c r="B30" s="111">
        <v>0</v>
      </c>
      <c r="C30" s="111">
        <v>0</v>
      </c>
      <c r="D30" s="111">
        <v>0</v>
      </c>
      <c r="E30" s="111">
        <v>0</v>
      </c>
      <c r="F30" s="111">
        <v>1</v>
      </c>
      <c r="G30" s="111">
        <v>1</v>
      </c>
      <c r="H30" s="111">
        <v>1</v>
      </c>
      <c r="I30" s="111">
        <v>1</v>
      </c>
      <c r="J30" s="111">
        <v>1</v>
      </c>
      <c r="K30" s="111">
        <v>1</v>
      </c>
      <c r="L30" s="111">
        <v>1</v>
      </c>
      <c r="M30" s="111">
        <v>0</v>
      </c>
      <c r="N30" s="111">
        <v>1</v>
      </c>
      <c r="O30" s="111">
        <v>1</v>
      </c>
      <c r="P30" s="111">
        <v>0</v>
      </c>
      <c r="Q30" s="111">
        <v>1</v>
      </c>
      <c r="R30" s="111">
        <v>1</v>
      </c>
      <c r="S30" s="111">
        <v>1</v>
      </c>
      <c r="T30" s="111">
        <v>1</v>
      </c>
      <c r="U30" s="111">
        <v>0</v>
      </c>
      <c r="V30" s="111">
        <v>0</v>
      </c>
      <c r="W30" s="111">
        <v>0</v>
      </c>
      <c r="X30" s="111">
        <v>1</v>
      </c>
      <c r="Y30" s="111">
        <v>1</v>
      </c>
      <c r="Z30" s="111">
        <v>1</v>
      </c>
      <c r="AA30" s="111">
        <v>1</v>
      </c>
      <c r="AB30" s="111">
        <v>1</v>
      </c>
      <c r="AC30" s="111">
        <v>1</v>
      </c>
      <c r="AD30" s="111">
        <v>1</v>
      </c>
      <c r="AE30" s="111">
        <v>0</v>
      </c>
      <c r="AF30" s="111">
        <v>0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  <c r="AL30" s="111">
        <v>0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</row>
    <row r="31" spans="1:45" customFormat="1" x14ac:dyDescent="0.15">
      <c r="A31" s="192" t="s">
        <v>222</v>
      </c>
      <c r="B31" s="111">
        <v>0</v>
      </c>
      <c r="C31" s="111">
        <v>0</v>
      </c>
      <c r="D31" s="111">
        <v>0</v>
      </c>
      <c r="E31" s="111">
        <v>0</v>
      </c>
      <c r="F31" s="111">
        <v>1</v>
      </c>
      <c r="G31" s="111">
        <v>1</v>
      </c>
      <c r="H31" s="111">
        <v>1</v>
      </c>
      <c r="I31" s="111">
        <v>1</v>
      </c>
      <c r="J31" s="111">
        <v>1</v>
      </c>
      <c r="K31" s="111">
        <v>1</v>
      </c>
      <c r="L31" s="111">
        <v>1</v>
      </c>
      <c r="M31" s="111">
        <v>0</v>
      </c>
      <c r="N31" s="111">
        <v>0</v>
      </c>
      <c r="O31" s="111">
        <v>0</v>
      </c>
      <c r="P31" s="111">
        <v>0</v>
      </c>
      <c r="Q31" s="111">
        <v>1</v>
      </c>
      <c r="R31" s="111">
        <v>1</v>
      </c>
      <c r="S31" s="111">
        <v>1</v>
      </c>
      <c r="T31" s="111">
        <v>1</v>
      </c>
      <c r="U31" s="111">
        <v>0</v>
      </c>
      <c r="V31" s="111">
        <v>0</v>
      </c>
      <c r="W31" s="111">
        <v>0</v>
      </c>
      <c r="X31" s="111">
        <v>1</v>
      </c>
      <c r="Y31" s="111">
        <v>1</v>
      </c>
      <c r="Z31" s="111">
        <v>0</v>
      </c>
      <c r="AA31" s="111">
        <v>1</v>
      </c>
      <c r="AB31" s="111">
        <v>1</v>
      </c>
      <c r="AC31" s="111">
        <v>1</v>
      </c>
      <c r="AD31" s="111">
        <v>1</v>
      </c>
      <c r="AE31" s="111">
        <v>1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  <c r="AL31" s="111">
        <v>0</v>
      </c>
      <c r="AM31" s="111">
        <v>0</v>
      </c>
      <c r="AN31" s="111">
        <v>0</v>
      </c>
      <c r="AO31" s="111">
        <v>0</v>
      </c>
      <c r="AP31" s="111">
        <v>0</v>
      </c>
      <c r="AQ31" s="111">
        <v>0</v>
      </c>
      <c r="AR31" s="111">
        <v>0</v>
      </c>
      <c r="AS31" s="111">
        <v>0</v>
      </c>
    </row>
    <row r="32" spans="1:45" x14ac:dyDescent="0.15">
      <c r="A32" s="192" t="s">
        <v>223</v>
      </c>
      <c r="B32" s="111">
        <v>0</v>
      </c>
      <c r="C32" s="111">
        <v>0</v>
      </c>
      <c r="D32" s="111">
        <v>0</v>
      </c>
      <c r="E32" s="111">
        <v>0</v>
      </c>
      <c r="F32" s="111">
        <v>1</v>
      </c>
      <c r="G32" s="111">
        <v>0</v>
      </c>
      <c r="H32" s="111">
        <v>1</v>
      </c>
      <c r="I32" s="111">
        <v>1</v>
      </c>
      <c r="J32" s="111">
        <v>0</v>
      </c>
      <c r="K32" s="111">
        <v>0</v>
      </c>
      <c r="L32" s="111">
        <v>1</v>
      </c>
      <c r="M32" s="111">
        <v>1</v>
      </c>
      <c r="N32" s="111">
        <v>0</v>
      </c>
      <c r="O32" s="111">
        <v>1</v>
      </c>
      <c r="P32" s="111">
        <v>1</v>
      </c>
      <c r="Q32" s="111">
        <v>1</v>
      </c>
      <c r="R32" s="111">
        <v>0</v>
      </c>
      <c r="S32" s="111">
        <v>1</v>
      </c>
      <c r="T32" s="111">
        <v>1</v>
      </c>
      <c r="U32" s="111">
        <v>0</v>
      </c>
      <c r="V32" s="111">
        <v>0</v>
      </c>
      <c r="W32" s="111">
        <v>1</v>
      </c>
      <c r="X32" s="111">
        <v>1</v>
      </c>
      <c r="Y32" s="111">
        <v>0</v>
      </c>
      <c r="Z32" s="111">
        <v>1</v>
      </c>
      <c r="AA32" s="111">
        <v>1</v>
      </c>
      <c r="AB32" s="111">
        <v>1</v>
      </c>
      <c r="AC32" s="111">
        <v>1</v>
      </c>
      <c r="AD32" s="111">
        <v>0</v>
      </c>
      <c r="AE32" s="111">
        <v>1</v>
      </c>
      <c r="AF32" s="111">
        <v>0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  <c r="AL32" s="111">
        <v>0</v>
      </c>
      <c r="AM32" s="111">
        <v>0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</row>
    <row r="33" spans="1:45" x14ac:dyDescent="0.15">
      <c r="A33" s="192" t="s">
        <v>224</v>
      </c>
      <c r="B33" s="111">
        <v>0</v>
      </c>
      <c r="C33" s="111">
        <v>0</v>
      </c>
      <c r="D33" s="111">
        <v>0</v>
      </c>
      <c r="E33" s="111">
        <v>0</v>
      </c>
      <c r="F33" s="111">
        <v>0</v>
      </c>
      <c r="G33" s="111">
        <v>1</v>
      </c>
      <c r="H33" s="111">
        <v>0</v>
      </c>
      <c r="I33" s="111">
        <v>0</v>
      </c>
      <c r="J33" s="111">
        <v>1</v>
      </c>
      <c r="K33" s="111">
        <v>0</v>
      </c>
      <c r="L33" s="111">
        <v>0</v>
      </c>
      <c r="M33" s="111">
        <v>1</v>
      </c>
      <c r="N33" s="111">
        <v>0</v>
      </c>
      <c r="O33" s="111">
        <v>1</v>
      </c>
      <c r="P33" s="111">
        <v>1</v>
      </c>
      <c r="Q33" s="111">
        <v>1</v>
      </c>
      <c r="R33" s="111">
        <v>1</v>
      </c>
      <c r="S33" s="111">
        <v>1</v>
      </c>
      <c r="T33" s="111">
        <v>1</v>
      </c>
      <c r="U33" s="111">
        <v>0</v>
      </c>
      <c r="V33" s="111">
        <v>0</v>
      </c>
      <c r="W33" s="111">
        <v>1</v>
      </c>
      <c r="X33" s="111">
        <v>1</v>
      </c>
      <c r="Y33" s="111">
        <v>1</v>
      </c>
      <c r="Z33" s="111">
        <v>1</v>
      </c>
      <c r="AA33" s="111">
        <v>1</v>
      </c>
      <c r="AB33" s="111">
        <v>1</v>
      </c>
      <c r="AC33" s="111">
        <v>1</v>
      </c>
      <c r="AD33" s="111">
        <v>1</v>
      </c>
      <c r="AE33" s="111">
        <v>1</v>
      </c>
      <c r="AF33" s="111">
        <v>0</v>
      </c>
      <c r="AG33" s="111">
        <v>0</v>
      </c>
      <c r="AH33" s="111">
        <v>0</v>
      </c>
      <c r="AI33" s="111">
        <v>0</v>
      </c>
      <c r="AJ33" s="111">
        <v>0</v>
      </c>
      <c r="AK33" s="111">
        <v>0</v>
      </c>
      <c r="AL33" s="111">
        <v>0</v>
      </c>
      <c r="AM33" s="111">
        <v>0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</row>
    <row r="34" spans="1:45" x14ac:dyDescent="0.15">
      <c r="A34" s="192" t="s">
        <v>225</v>
      </c>
      <c r="B34" s="111">
        <v>0</v>
      </c>
      <c r="C34" s="111">
        <v>0</v>
      </c>
      <c r="D34" s="111">
        <v>0</v>
      </c>
      <c r="E34" s="111">
        <v>0</v>
      </c>
      <c r="F34" s="111">
        <v>0</v>
      </c>
      <c r="G34" s="111">
        <v>0</v>
      </c>
      <c r="H34" s="111">
        <v>0</v>
      </c>
      <c r="I34" s="111">
        <v>0</v>
      </c>
      <c r="J34" s="111">
        <v>0</v>
      </c>
      <c r="K34" s="111">
        <v>0</v>
      </c>
      <c r="L34" s="111">
        <v>0</v>
      </c>
      <c r="M34" s="111">
        <v>0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0</v>
      </c>
      <c r="V34" s="111">
        <v>0</v>
      </c>
      <c r="W34" s="111">
        <v>0</v>
      </c>
      <c r="X34" s="111">
        <v>0</v>
      </c>
      <c r="Y34" s="111">
        <v>0</v>
      </c>
      <c r="Z34" s="111">
        <v>0</v>
      </c>
      <c r="AA34" s="111">
        <v>0</v>
      </c>
      <c r="AB34" s="111">
        <v>1</v>
      </c>
      <c r="AC34" s="111">
        <v>0</v>
      </c>
      <c r="AD34" s="111">
        <v>1</v>
      </c>
      <c r="AE34" s="111">
        <v>1</v>
      </c>
      <c r="AF34" s="111">
        <v>1</v>
      </c>
      <c r="AG34" s="111">
        <v>0</v>
      </c>
      <c r="AH34" s="111">
        <v>0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  <c r="AN34" s="111">
        <v>0</v>
      </c>
      <c r="AO34" s="111">
        <v>0</v>
      </c>
      <c r="AP34" s="111">
        <v>0</v>
      </c>
      <c r="AQ34" s="111">
        <v>0</v>
      </c>
      <c r="AR34" s="111">
        <v>0</v>
      </c>
      <c r="AS34" s="111">
        <v>0</v>
      </c>
    </row>
    <row r="35" spans="1:45" x14ac:dyDescent="0.15">
      <c r="A35" s="192" t="s">
        <v>226</v>
      </c>
      <c r="B35" s="111">
        <v>0</v>
      </c>
      <c r="C35" s="111">
        <v>0</v>
      </c>
      <c r="D35" s="111">
        <v>0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1</v>
      </c>
      <c r="L35" s="111">
        <v>1</v>
      </c>
      <c r="M35" s="111">
        <v>0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0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1</v>
      </c>
      <c r="AB35" s="111">
        <v>1</v>
      </c>
      <c r="AC35" s="111">
        <v>0</v>
      </c>
      <c r="AD35" s="111">
        <v>0</v>
      </c>
      <c r="AE35" s="111">
        <v>1</v>
      </c>
      <c r="AF35" s="111">
        <v>0</v>
      </c>
      <c r="AG35" s="111">
        <v>0</v>
      </c>
      <c r="AH35" s="111">
        <v>0</v>
      </c>
      <c r="AI35" s="111">
        <v>0</v>
      </c>
      <c r="AJ35" s="111">
        <v>0</v>
      </c>
      <c r="AK35" s="111">
        <v>0</v>
      </c>
      <c r="AL35" s="111">
        <v>0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</row>
    <row r="36" spans="1:45" x14ac:dyDescent="0.15">
      <c r="A36" s="192" t="s">
        <v>227</v>
      </c>
      <c r="B36" s="111">
        <v>0</v>
      </c>
      <c r="C36" s="111">
        <v>1</v>
      </c>
      <c r="D36" s="111">
        <v>1</v>
      </c>
      <c r="E36" s="111">
        <v>0</v>
      </c>
      <c r="F36" s="111">
        <v>0</v>
      </c>
      <c r="G36" s="111">
        <v>1</v>
      </c>
      <c r="H36" s="111">
        <v>1</v>
      </c>
      <c r="I36" s="111">
        <v>0</v>
      </c>
      <c r="J36" s="111">
        <v>1</v>
      </c>
      <c r="K36" s="111">
        <v>1</v>
      </c>
      <c r="L36" s="111">
        <v>1</v>
      </c>
      <c r="M36" s="111">
        <v>1</v>
      </c>
      <c r="N36" s="111">
        <v>0</v>
      </c>
      <c r="O36" s="111">
        <v>0</v>
      </c>
      <c r="P36" s="111">
        <v>0</v>
      </c>
      <c r="Q36" s="111">
        <v>1</v>
      </c>
      <c r="R36" s="111">
        <v>1</v>
      </c>
      <c r="S36" s="111">
        <v>1</v>
      </c>
      <c r="T36" s="111">
        <v>1</v>
      </c>
      <c r="U36" s="111">
        <v>1</v>
      </c>
      <c r="V36" s="111">
        <v>1</v>
      </c>
      <c r="W36" s="111">
        <v>1</v>
      </c>
      <c r="X36" s="111">
        <v>1</v>
      </c>
      <c r="Y36" s="111">
        <v>0</v>
      </c>
      <c r="Z36" s="111">
        <v>1</v>
      </c>
      <c r="AA36" s="111">
        <v>1</v>
      </c>
      <c r="AB36" s="111">
        <v>1</v>
      </c>
      <c r="AC36" s="111">
        <v>1</v>
      </c>
      <c r="AD36" s="111">
        <v>1</v>
      </c>
      <c r="AE36" s="111">
        <v>1</v>
      </c>
      <c r="AF36" s="111">
        <v>0</v>
      </c>
      <c r="AG36" s="111">
        <v>0</v>
      </c>
      <c r="AH36" s="111">
        <v>0</v>
      </c>
      <c r="AI36" s="111">
        <v>0</v>
      </c>
      <c r="AJ36" s="111">
        <v>0</v>
      </c>
      <c r="AK36" s="111">
        <v>0</v>
      </c>
      <c r="AL36" s="111">
        <v>0</v>
      </c>
      <c r="AM36" s="111">
        <v>0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</row>
    <row r="37" spans="1:45" x14ac:dyDescent="0.15">
      <c r="A37" s="192" t="s">
        <v>228</v>
      </c>
      <c r="B37" s="111">
        <v>0</v>
      </c>
      <c r="C37" s="111">
        <v>0</v>
      </c>
      <c r="D37" s="111">
        <v>1</v>
      </c>
      <c r="E37" s="111">
        <v>0</v>
      </c>
      <c r="F37" s="111">
        <v>0</v>
      </c>
      <c r="G37" s="111">
        <v>1</v>
      </c>
      <c r="H37" s="111">
        <v>0</v>
      </c>
      <c r="I37" s="111">
        <v>0</v>
      </c>
      <c r="J37" s="111">
        <v>1</v>
      </c>
      <c r="K37" s="111">
        <v>1</v>
      </c>
      <c r="L37" s="111">
        <v>1</v>
      </c>
      <c r="M37" s="111">
        <v>1</v>
      </c>
      <c r="N37" s="111">
        <v>0</v>
      </c>
      <c r="O37" s="111">
        <v>0</v>
      </c>
      <c r="P37" s="111">
        <v>0</v>
      </c>
      <c r="Q37" s="111">
        <v>1</v>
      </c>
      <c r="R37" s="111">
        <v>1</v>
      </c>
      <c r="S37" s="111">
        <v>1</v>
      </c>
      <c r="T37" s="111">
        <v>1</v>
      </c>
      <c r="U37" s="111">
        <v>1</v>
      </c>
      <c r="V37" s="111">
        <v>1</v>
      </c>
      <c r="W37" s="111">
        <v>1</v>
      </c>
      <c r="X37" s="111">
        <v>1</v>
      </c>
      <c r="Y37" s="111">
        <v>1</v>
      </c>
      <c r="Z37" s="111">
        <v>1</v>
      </c>
      <c r="AA37" s="111">
        <v>0</v>
      </c>
      <c r="AB37" s="111">
        <v>0</v>
      </c>
      <c r="AC37" s="111">
        <v>1</v>
      </c>
      <c r="AD37" s="111">
        <v>1</v>
      </c>
      <c r="AE37" s="111">
        <v>1</v>
      </c>
      <c r="AF37" s="111">
        <v>0</v>
      </c>
      <c r="AG37" s="111">
        <v>0</v>
      </c>
      <c r="AH37" s="111">
        <v>0</v>
      </c>
      <c r="AI37" s="111">
        <v>1</v>
      </c>
      <c r="AJ37" s="111">
        <v>1</v>
      </c>
      <c r="AK37" s="111">
        <v>1</v>
      </c>
      <c r="AL37" s="111">
        <v>0</v>
      </c>
      <c r="AM37" s="111">
        <v>0</v>
      </c>
      <c r="AN37" s="111">
        <v>0</v>
      </c>
      <c r="AO37" s="111">
        <v>0</v>
      </c>
      <c r="AP37" s="111">
        <v>0</v>
      </c>
      <c r="AQ37" s="111">
        <v>0</v>
      </c>
      <c r="AR37" s="111">
        <v>0</v>
      </c>
      <c r="AS37" s="111">
        <v>0</v>
      </c>
    </row>
    <row r="38" spans="1:45" x14ac:dyDescent="0.15">
      <c r="A38" s="192" t="s">
        <v>229</v>
      </c>
      <c r="B38" s="111">
        <v>0</v>
      </c>
      <c r="C38" s="111">
        <v>0</v>
      </c>
      <c r="D38" s="111">
        <v>0</v>
      </c>
      <c r="E38" s="111">
        <v>0</v>
      </c>
      <c r="F38" s="111">
        <v>0</v>
      </c>
      <c r="G38" s="111">
        <v>0</v>
      </c>
      <c r="H38" s="111">
        <v>0</v>
      </c>
      <c r="I38" s="111">
        <v>0</v>
      </c>
      <c r="J38" s="111">
        <v>0</v>
      </c>
      <c r="K38" s="111">
        <v>0</v>
      </c>
      <c r="L38" s="111">
        <v>0</v>
      </c>
      <c r="M38" s="111">
        <v>0</v>
      </c>
      <c r="N38" s="111">
        <v>0</v>
      </c>
      <c r="O38" s="111">
        <v>0</v>
      </c>
      <c r="P38" s="111">
        <v>0</v>
      </c>
      <c r="Q38" s="111">
        <v>0</v>
      </c>
      <c r="R38" s="111">
        <v>0</v>
      </c>
      <c r="S38" s="111">
        <v>0</v>
      </c>
      <c r="T38" s="111">
        <v>0</v>
      </c>
      <c r="U38" s="111">
        <v>0</v>
      </c>
      <c r="V38" s="111">
        <v>1</v>
      </c>
      <c r="W38" s="111">
        <v>1</v>
      </c>
      <c r="X38" s="111">
        <v>0</v>
      </c>
      <c r="Y38" s="111">
        <v>0</v>
      </c>
      <c r="Z38" s="111">
        <v>0</v>
      </c>
      <c r="AA38" s="111">
        <v>0</v>
      </c>
      <c r="AB38" s="111">
        <v>0</v>
      </c>
      <c r="AC38" s="111">
        <v>0</v>
      </c>
      <c r="AD38" s="111">
        <v>0</v>
      </c>
      <c r="AE38" s="111">
        <v>0</v>
      </c>
      <c r="AF38" s="111">
        <v>0</v>
      </c>
      <c r="AG38" s="111">
        <v>0</v>
      </c>
      <c r="AH38" s="111">
        <v>0</v>
      </c>
      <c r="AI38" s="111">
        <v>1</v>
      </c>
      <c r="AJ38" s="111">
        <v>1</v>
      </c>
      <c r="AK38" s="111">
        <v>1</v>
      </c>
      <c r="AL38" s="111">
        <v>1</v>
      </c>
      <c r="AM38" s="111">
        <v>0</v>
      </c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</row>
    <row r="39" spans="1:45" x14ac:dyDescent="0.15">
      <c r="A39" s="192" t="s">
        <v>230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1</v>
      </c>
      <c r="AG39" s="111">
        <v>1</v>
      </c>
      <c r="AH39" s="111">
        <v>1</v>
      </c>
      <c r="AI39" s="111">
        <v>0</v>
      </c>
      <c r="AJ39" s="111">
        <v>0</v>
      </c>
      <c r="AK39" s="111">
        <v>0</v>
      </c>
      <c r="AL39" s="111">
        <v>1</v>
      </c>
      <c r="AM39" s="111">
        <v>0</v>
      </c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</row>
    <row r="40" spans="1:45" x14ac:dyDescent="0.15">
      <c r="A40" s="192" t="s">
        <v>231</v>
      </c>
      <c r="B40" s="111">
        <v>0</v>
      </c>
      <c r="C40" s="111">
        <v>0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  <c r="N40" s="111">
        <v>0</v>
      </c>
      <c r="O40" s="111">
        <v>0</v>
      </c>
      <c r="P40" s="111">
        <v>0</v>
      </c>
      <c r="Q40" s="111">
        <v>0</v>
      </c>
      <c r="R40" s="111">
        <v>0</v>
      </c>
      <c r="S40" s="111">
        <v>1</v>
      </c>
      <c r="T40" s="111">
        <v>0</v>
      </c>
      <c r="U40" s="111">
        <v>0</v>
      </c>
      <c r="V40" s="111">
        <v>0</v>
      </c>
      <c r="W40" s="111">
        <v>0</v>
      </c>
      <c r="X40" s="111">
        <v>0</v>
      </c>
      <c r="Y40" s="111">
        <v>0</v>
      </c>
      <c r="Z40" s="111">
        <v>0</v>
      </c>
      <c r="AA40" s="111">
        <v>0</v>
      </c>
      <c r="AB40" s="111">
        <v>1</v>
      </c>
      <c r="AC40" s="111">
        <v>0</v>
      </c>
      <c r="AD40" s="111">
        <v>0</v>
      </c>
      <c r="AE40" s="111">
        <v>0</v>
      </c>
      <c r="AF40" s="111">
        <v>0</v>
      </c>
      <c r="AG40" s="111">
        <v>1</v>
      </c>
      <c r="AH40" s="111">
        <v>1</v>
      </c>
      <c r="AI40" s="111">
        <v>1</v>
      </c>
      <c r="AJ40" s="111">
        <v>1</v>
      </c>
      <c r="AK40" s="111">
        <v>1</v>
      </c>
      <c r="AL40" s="111">
        <v>1</v>
      </c>
      <c r="AM40" s="111">
        <v>0</v>
      </c>
      <c r="AN40" s="111">
        <v>0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</row>
    <row r="41" spans="1:45" x14ac:dyDescent="0.15">
      <c r="A41" s="192" t="s">
        <v>232</v>
      </c>
      <c r="B41" s="111">
        <v>0</v>
      </c>
      <c r="C41" s="111">
        <v>0</v>
      </c>
      <c r="D41" s="111">
        <v>0</v>
      </c>
      <c r="E41" s="111">
        <v>0</v>
      </c>
      <c r="F41" s="111">
        <v>0</v>
      </c>
      <c r="G41" s="111">
        <v>0</v>
      </c>
      <c r="H41" s="111">
        <v>0</v>
      </c>
      <c r="I41" s="111">
        <v>0</v>
      </c>
      <c r="J41" s="111">
        <v>0</v>
      </c>
      <c r="K41" s="111">
        <v>0</v>
      </c>
      <c r="L41" s="111">
        <v>0</v>
      </c>
      <c r="M41" s="111">
        <v>0</v>
      </c>
      <c r="N41" s="111">
        <v>0</v>
      </c>
      <c r="O41" s="111">
        <v>0</v>
      </c>
      <c r="P41" s="111">
        <v>0</v>
      </c>
      <c r="Q41" s="111">
        <v>0</v>
      </c>
      <c r="R41" s="111">
        <v>0</v>
      </c>
      <c r="S41" s="111">
        <v>0</v>
      </c>
      <c r="T41" s="111">
        <v>0</v>
      </c>
      <c r="U41" s="111">
        <v>0</v>
      </c>
      <c r="V41" s="111">
        <v>0</v>
      </c>
      <c r="W41" s="111">
        <v>0</v>
      </c>
      <c r="X41" s="111">
        <v>0</v>
      </c>
      <c r="Y41" s="111">
        <v>0</v>
      </c>
      <c r="Z41" s="111">
        <v>0</v>
      </c>
      <c r="AA41" s="111">
        <v>0</v>
      </c>
      <c r="AB41" s="111">
        <v>0</v>
      </c>
      <c r="AC41" s="111">
        <v>0</v>
      </c>
      <c r="AD41" s="111">
        <v>0</v>
      </c>
      <c r="AE41" s="111">
        <v>0</v>
      </c>
      <c r="AF41" s="111">
        <v>0</v>
      </c>
      <c r="AG41" s="111">
        <v>1</v>
      </c>
      <c r="AH41" s="111">
        <v>1</v>
      </c>
      <c r="AI41" s="111">
        <v>0</v>
      </c>
      <c r="AJ41" s="111">
        <v>0</v>
      </c>
      <c r="AK41" s="111">
        <v>1</v>
      </c>
      <c r="AL41" s="111">
        <v>1</v>
      </c>
      <c r="AM41" s="111">
        <v>1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0</v>
      </c>
    </row>
    <row r="42" spans="1:45" x14ac:dyDescent="0.15">
      <c r="A42" s="192" t="s">
        <v>233</v>
      </c>
      <c r="B42" s="111">
        <v>0</v>
      </c>
      <c r="C42" s="111">
        <v>0</v>
      </c>
      <c r="D42" s="111">
        <v>0</v>
      </c>
      <c r="E42" s="111">
        <v>0</v>
      </c>
      <c r="F42" s="111">
        <v>0</v>
      </c>
      <c r="G42" s="111">
        <v>0</v>
      </c>
      <c r="H42" s="111">
        <v>0</v>
      </c>
      <c r="I42" s="111">
        <v>0</v>
      </c>
      <c r="J42" s="111">
        <v>0</v>
      </c>
      <c r="K42" s="111">
        <v>0</v>
      </c>
      <c r="L42" s="111">
        <v>0</v>
      </c>
      <c r="M42" s="111">
        <v>0</v>
      </c>
      <c r="N42" s="111">
        <v>0</v>
      </c>
      <c r="O42" s="111">
        <v>0</v>
      </c>
      <c r="P42" s="111">
        <v>0</v>
      </c>
      <c r="Q42" s="111">
        <v>0</v>
      </c>
      <c r="R42" s="111">
        <v>0</v>
      </c>
      <c r="S42" s="111">
        <v>0</v>
      </c>
      <c r="T42" s="111">
        <v>0</v>
      </c>
      <c r="U42" s="111">
        <v>0</v>
      </c>
      <c r="V42" s="111">
        <v>0</v>
      </c>
      <c r="W42" s="111">
        <v>0</v>
      </c>
      <c r="X42" s="111">
        <v>0</v>
      </c>
      <c r="Y42" s="111">
        <v>1</v>
      </c>
      <c r="Z42" s="111">
        <v>0</v>
      </c>
      <c r="AA42" s="111">
        <v>0</v>
      </c>
      <c r="AB42" s="111">
        <v>0</v>
      </c>
      <c r="AC42" s="111">
        <v>1</v>
      </c>
      <c r="AD42" s="111">
        <v>0</v>
      </c>
      <c r="AE42" s="111">
        <v>0</v>
      </c>
      <c r="AF42" s="111">
        <v>0</v>
      </c>
      <c r="AG42" s="111">
        <v>0</v>
      </c>
      <c r="AH42" s="111">
        <v>0</v>
      </c>
      <c r="AI42" s="111">
        <v>0</v>
      </c>
      <c r="AJ42" s="111">
        <v>0</v>
      </c>
      <c r="AK42" s="111">
        <v>0</v>
      </c>
      <c r="AL42" s="111">
        <v>0</v>
      </c>
      <c r="AM42" s="111">
        <v>0</v>
      </c>
      <c r="AN42" s="111">
        <v>0</v>
      </c>
      <c r="AO42" s="111">
        <v>0</v>
      </c>
      <c r="AP42" s="111">
        <v>0</v>
      </c>
      <c r="AQ42" s="111">
        <v>0</v>
      </c>
      <c r="AR42" s="111">
        <v>0</v>
      </c>
      <c r="AS42" s="111">
        <v>0</v>
      </c>
    </row>
    <row r="43" spans="1:45" x14ac:dyDescent="0.15">
      <c r="A43" s="192" t="s">
        <v>234</v>
      </c>
      <c r="B43" s="111">
        <v>1</v>
      </c>
      <c r="C43" s="111">
        <v>1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>
        <v>0</v>
      </c>
      <c r="O43" s="111">
        <v>0</v>
      </c>
      <c r="P43" s="111">
        <v>0</v>
      </c>
      <c r="Q43" s="111">
        <v>0</v>
      </c>
      <c r="R43" s="111">
        <v>1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</v>
      </c>
      <c r="Y43" s="111">
        <v>0</v>
      </c>
      <c r="Z43" s="111">
        <v>0</v>
      </c>
      <c r="AA43" s="111">
        <v>0</v>
      </c>
      <c r="AB43" s="111">
        <v>1</v>
      </c>
      <c r="AC43" s="111">
        <v>1</v>
      </c>
      <c r="AD43" s="111">
        <v>0</v>
      </c>
      <c r="AE43" s="111">
        <v>1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0</v>
      </c>
      <c r="AN43" s="111">
        <v>0</v>
      </c>
      <c r="AO43" s="111">
        <v>0</v>
      </c>
      <c r="AP43" s="111">
        <v>0</v>
      </c>
      <c r="AQ43" s="111">
        <v>0</v>
      </c>
      <c r="AR43" s="111">
        <v>0</v>
      </c>
      <c r="AS43" s="111">
        <v>0</v>
      </c>
    </row>
    <row r="44" spans="1:45" x14ac:dyDescent="0.15">
      <c r="A44" s="192" t="s">
        <v>235</v>
      </c>
      <c r="B44" s="111">
        <v>0</v>
      </c>
      <c r="C44" s="111">
        <v>0</v>
      </c>
      <c r="D44" s="111">
        <v>0</v>
      </c>
      <c r="E44" s="111">
        <v>0</v>
      </c>
      <c r="F44" s="111">
        <v>1</v>
      </c>
      <c r="G44" s="111">
        <v>1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1</v>
      </c>
      <c r="N44" s="111">
        <v>0</v>
      </c>
      <c r="O44" s="111">
        <v>0</v>
      </c>
      <c r="P44" s="111">
        <v>0</v>
      </c>
      <c r="Q44" s="111">
        <v>1</v>
      </c>
      <c r="R44" s="111">
        <v>1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1</v>
      </c>
      <c r="AC44" s="111">
        <v>1</v>
      </c>
      <c r="AD44" s="111">
        <v>1</v>
      </c>
      <c r="AE44" s="111">
        <v>1</v>
      </c>
      <c r="AF44" s="111">
        <v>1</v>
      </c>
      <c r="AG44" s="111">
        <v>1</v>
      </c>
      <c r="AH44" s="111">
        <v>1</v>
      </c>
      <c r="AI44" s="111">
        <v>0</v>
      </c>
      <c r="AJ44" s="111">
        <v>0</v>
      </c>
      <c r="AK44" s="111">
        <v>1</v>
      </c>
      <c r="AL44" s="111">
        <v>1</v>
      </c>
      <c r="AM44" s="111">
        <v>1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</row>
    <row r="45" spans="1:45" x14ac:dyDescent="0.15">
      <c r="A45" s="192" t="s">
        <v>236</v>
      </c>
      <c r="B45" s="111">
        <v>0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0</v>
      </c>
      <c r="L45" s="111">
        <v>0</v>
      </c>
      <c r="M45" s="111">
        <v>0</v>
      </c>
      <c r="N45" s="111">
        <v>0</v>
      </c>
      <c r="O45" s="111">
        <v>0</v>
      </c>
      <c r="P45" s="111">
        <v>0</v>
      </c>
      <c r="Q45" s="111">
        <v>0</v>
      </c>
      <c r="R45" s="111">
        <v>0</v>
      </c>
      <c r="S45" s="111">
        <v>0</v>
      </c>
      <c r="T45" s="111">
        <v>0</v>
      </c>
      <c r="U45" s="111">
        <v>0</v>
      </c>
      <c r="V45" s="111">
        <v>0</v>
      </c>
      <c r="W45" s="111">
        <v>0</v>
      </c>
      <c r="X45" s="111">
        <v>0</v>
      </c>
      <c r="Y45" s="111">
        <v>0</v>
      </c>
      <c r="Z45" s="111">
        <v>0</v>
      </c>
      <c r="AA45" s="111">
        <v>0</v>
      </c>
      <c r="AB45" s="111">
        <v>0</v>
      </c>
      <c r="AC45" s="111">
        <v>0</v>
      </c>
      <c r="AD45" s="111">
        <v>0</v>
      </c>
      <c r="AE45" s="111">
        <v>0</v>
      </c>
      <c r="AF45" s="111">
        <v>0</v>
      </c>
      <c r="AG45" s="111">
        <v>0</v>
      </c>
      <c r="AH45" s="111">
        <v>0</v>
      </c>
      <c r="AI45" s="111">
        <v>0</v>
      </c>
      <c r="AJ45" s="111">
        <v>0</v>
      </c>
      <c r="AK45" s="111">
        <v>0</v>
      </c>
      <c r="AL45" s="111">
        <v>0</v>
      </c>
      <c r="AM45" s="111">
        <v>0</v>
      </c>
      <c r="AN45" s="111">
        <v>0</v>
      </c>
      <c r="AO45" s="111">
        <v>0</v>
      </c>
      <c r="AP45" s="111">
        <v>0</v>
      </c>
      <c r="AQ45" s="111">
        <v>0</v>
      </c>
      <c r="AR45" s="111">
        <v>0</v>
      </c>
      <c r="AS45" s="111">
        <v>0</v>
      </c>
    </row>
    <row r="46" spans="1:45" x14ac:dyDescent="0.15">
      <c r="A46" s="192" t="s">
        <v>238</v>
      </c>
      <c r="B46" s="111">
        <v>0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1</v>
      </c>
      <c r="I46" s="111">
        <v>0</v>
      </c>
      <c r="J46" s="111">
        <v>0</v>
      </c>
      <c r="K46" s="111">
        <v>0</v>
      </c>
      <c r="L46" s="111">
        <v>0</v>
      </c>
      <c r="M46" s="111">
        <v>0</v>
      </c>
      <c r="N46" s="111">
        <v>0</v>
      </c>
      <c r="O46" s="111">
        <v>0</v>
      </c>
      <c r="P46" s="111">
        <v>0</v>
      </c>
      <c r="Q46" s="111">
        <v>0</v>
      </c>
      <c r="R46" s="111">
        <v>0</v>
      </c>
      <c r="S46" s="111">
        <v>0</v>
      </c>
      <c r="T46" s="111">
        <v>0</v>
      </c>
      <c r="U46" s="111">
        <v>0</v>
      </c>
      <c r="V46" s="111">
        <v>0</v>
      </c>
      <c r="W46" s="111">
        <v>0</v>
      </c>
      <c r="X46" s="111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111">
        <v>0</v>
      </c>
      <c r="AF46" s="111">
        <v>0</v>
      </c>
      <c r="AG46" s="111">
        <v>0</v>
      </c>
      <c r="AH46" s="111">
        <v>0</v>
      </c>
      <c r="AI46" s="111">
        <v>0</v>
      </c>
      <c r="AJ46" s="111">
        <v>0</v>
      </c>
      <c r="AK46" s="111">
        <v>0</v>
      </c>
      <c r="AL46" s="111">
        <v>0</v>
      </c>
      <c r="AM46" s="111">
        <v>0</v>
      </c>
      <c r="AN46" s="111">
        <v>0</v>
      </c>
      <c r="AO46" s="111">
        <v>0</v>
      </c>
      <c r="AP46" s="111">
        <v>0</v>
      </c>
      <c r="AQ46" s="111">
        <v>0</v>
      </c>
      <c r="AR46" s="111">
        <v>0</v>
      </c>
      <c r="AS46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L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44.1640625" bestFit="1" customWidth="1"/>
    <col min="3" max="4" width="3.83203125" bestFit="1" customWidth="1"/>
    <col min="5" max="12" width="3.83203125" customWidth="1"/>
  </cols>
  <sheetData>
    <row r="1" spans="1:12" ht="112" x14ac:dyDescent="0.15">
      <c r="A1" s="5" t="s">
        <v>83</v>
      </c>
      <c r="B1" s="3" t="s">
        <v>0</v>
      </c>
      <c r="C1" s="195" t="s">
        <v>201</v>
      </c>
      <c r="D1" s="195" t="s">
        <v>202</v>
      </c>
      <c r="E1" s="195" t="s">
        <v>211</v>
      </c>
      <c r="F1" s="195" t="s">
        <v>212</v>
      </c>
      <c r="G1" s="195" t="s">
        <v>213</v>
      </c>
      <c r="H1" s="195" t="s">
        <v>214</v>
      </c>
      <c r="I1" s="195" t="s">
        <v>206</v>
      </c>
      <c r="J1" s="195" t="s">
        <v>205</v>
      </c>
      <c r="K1" s="195" t="s">
        <v>219</v>
      </c>
      <c r="L1" s="195" t="s">
        <v>237</v>
      </c>
    </row>
    <row r="2" spans="1:12" x14ac:dyDescent="0.15">
      <c r="A2">
        <v>1</v>
      </c>
      <c r="B2" s="194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15">
      <c r="A3">
        <v>2</v>
      </c>
      <c r="B3" s="194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15">
      <c r="A4">
        <v>3</v>
      </c>
      <c r="B4" s="194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15">
      <c r="A5">
        <v>4</v>
      </c>
      <c r="B5" s="194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15">
      <c r="A6">
        <v>5</v>
      </c>
      <c r="B6" s="194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0.8</v>
      </c>
    </row>
    <row r="7" spans="1:12" x14ac:dyDescent="0.15">
      <c r="A7">
        <v>6</v>
      </c>
      <c r="B7" s="194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0.8</v>
      </c>
    </row>
    <row r="8" spans="1:12" x14ac:dyDescent="0.15">
      <c r="A8">
        <v>7</v>
      </c>
      <c r="B8" s="194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0.8</v>
      </c>
    </row>
    <row r="9" spans="1:12" x14ac:dyDescent="0.15">
      <c r="A9">
        <v>8</v>
      </c>
      <c r="B9" s="194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0.8</v>
      </c>
    </row>
    <row r="10" spans="1:12" x14ac:dyDescent="0.15">
      <c r="A10">
        <v>9</v>
      </c>
      <c r="B10" s="194" t="s">
        <v>201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15">
      <c r="A11">
        <v>10</v>
      </c>
      <c r="B11" s="194" t="s">
        <v>202</v>
      </c>
      <c r="C11">
        <v>0</v>
      </c>
      <c r="D11">
        <v>0.8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15">
      <c r="A12">
        <v>11</v>
      </c>
      <c r="B12" s="194" t="s">
        <v>203</v>
      </c>
      <c r="C12">
        <v>0</v>
      </c>
      <c r="D12">
        <v>0.8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15">
      <c r="A13">
        <v>12</v>
      </c>
      <c r="B13" s="194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0.8</v>
      </c>
    </row>
    <row r="14" spans="1:12" x14ac:dyDescent="0.15">
      <c r="A14">
        <v>13</v>
      </c>
      <c r="B14" s="194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0.8</v>
      </c>
      <c r="K14">
        <v>0</v>
      </c>
      <c r="L14">
        <v>0</v>
      </c>
    </row>
    <row r="15" spans="1:12" x14ac:dyDescent="0.15">
      <c r="A15">
        <v>14</v>
      </c>
      <c r="B15" s="194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</row>
    <row r="16" spans="1:12" x14ac:dyDescent="0.15">
      <c r="A16">
        <v>15</v>
      </c>
      <c r="B16" s="194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0.8</v>
      </c>
    </row>
    <row r="17" spans="1:12" x14ac:dyDescent="0.15">
      <c r="A17">
        <v>16</v>
      </c>
      <c r="B17" s="194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0.8</v>
      </c>
    </row>
    <row r="18" spans="1:12" x14ac:dyDescent="0.15">
      <c r="A18">
        <v>17</v>
      </c>
      <c r="B18" s="194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0.8</v>
      </c>
    </row>
    <row r="19" spans="1:12" x14ac:dyDescent="0.15">
      <c r="A19">
        <v>18</v>
      </c>
      <c r="B19" s="194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0.8</v>
      </c>
    </row>
    <row r="20" spans="1:12" x14ac:dyDescent="0.15">
      <c r="A20">
        <v>19</v>
      </c>
      <c r="B20" s="194" t="s">
        <v>211</v>
      </c>
      <c r="C20">
        <v>0</v>
      </c>
      <c r="D20">
        <v>0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15">
      <c r="A21">
        <v>20</v>
      </c>
      <c r="B21" s="194" t="s">
        <v>212</v>
      </c>
      <c r="C21">
        <v>0</v>
      </c>
      <c r="D21">
        <v>0</v>
      </c>
      <c r="E21">
        <v>0</v>
      </c>
      <c r="F21">
        <v>0.8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x14ac:dyDescent="0.15">
      <c r="A22">
        <v>21</v>
      </c>
      <c r="B22" s="194" t="s">
        <v>213</v>
      </c>
      <c r="C22">
        <v>0</v>
      </c>
      <c r="D22">
        <v>0</v>
      </c>
      <c r="E22">
        <v>0</v>
      </c>
      <c r="F22">
        <v>0</v>
      </c>
      <c r="G22">
        <v>0.8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15">
      <c r="A23">
        <v>22</v>
      </c>
      <c r="B23" s="194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0.8</v>
      </c>
      <c r="I23">
        <v>0</v>
      </c>
      <c r="J23">
        <v>0</v>
      </c>
      <c r="K23">
        <v>0</v>
      </c>
      <c r="L23">
        <v>0</v>
      </c>
    </row>
    <row r="24" spans="1:12" x14ac:dyDescent="0.15">
      <c r="A24">
        <v>23</v>
      </c>
      <c r="B24" s="194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0.8</v>
      </c>
    </row>
    <row r="25" spans="1:12" x14ac:dyDescent="0.15">
      <c r="A25">
        <v>24</v>
      </c>
      <c r="B25" s="194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0.8</v>
      </c>
    </row>
    <row r="26" spans="1:12" x14ac:dyDescent="0.15">
      <c r="A26">
        <v>25</v>
      </c>
      <c r="B26" s="194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0.8</v>
      </c>
    </row>
    <row r="27" spans="1:12" x14ac:dyDescent="0.15">
      <c r="A27">
        <v>26</v>
      </c>
      <c r="B27" s="194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0.8</v>
      </c>
    </row>
    <row r="28" spans="1:12" x14ac:dyDescent="0.15">
      <c r="A28">
        <v>27</v>
      </c>
      <c r="B28" s="194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0.8</v>
      </c>
      <c r="L28">
        <v>0</v>
      </c>
    </row>
    <row r="29" spans="1:12" x14ac:dyDescent="0.15">
      <c r="A29">
        <v>28</v>
      </c>
      <c r="B29" s="194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0.8</v>
      </c>
    </row>
    <row r="30" spans="1:12" x14ac:dyDescent="0.15">
      <c r="A30">
        <v>29</v>
      </c>
      <c r="B30" s="194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0.8</v>
      </c>
    </row>
    <row r="31" spans="1:12" x14ac:dyDescent="0.15">
      <c r="A31">
        <v>30</v>
      </c>
      <c r="B31" s="194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0.8</v>
      </c>
    </row>
    <row r="32" spans="1:12" x14ac:dyDescent="0.15">
      <c r="A32">
        <v>31</v>
      </c>
      <c r="B32" s="194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0.8</v>
      </c>
    </row>
    <row r="33" spans="1:12" x14ac:dyDescent="0.15">
      <c r="A33">
        <v>32</v>
      </c>
      <c r="B33" s="194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0.8</v>
      </c>
    </row>
    <row r="34" spans="1:12" x14ac:dyDescent="0.15">
      <c r="A34">
        <v>33</v>
      </c>
      <c r="B34" s="194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x14ac:dyDescent="0.15">
      <c r="A35">
        <v>34</v>
      </c>
      <c r="B35" s="194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 x14ac:dyDescent="0.15">
      <c r="A36">
        <v>35</v>
      </c>
      <c r="B36" s="194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 x14ac:dyDescent="0.15">
      <c r="A37">
        <v>36</v>
      </c>
      <c r="B37" s="194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</row>
    <row r="38" spans="1:12" x14ac:dyDescent="0.15">
      <c r="A38">
        <v>37</v>
      </c>
      <c r="B38" s="194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15">
      <c r="A39">
        <v>38</v>
      </c>
      <c r="B39" s="194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15">
      <c r="A40">
        <v>39</v>
      </c>
      <c r="B40" s="194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</row>
    <row r="41" spans="1:12" x14ac:dyDescent="0.15">
      <c r="A41">
        <v>40</v>
      </c>
      <c r="B41" s="194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x14ac:dyDescent="0.15">
      <c r="A42">
        <v>41</v>
      </c>
      <c r="B42" s="194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0.8</v>
      </c>
    </row>
    <row r="43" spans="1:12" x14ac:dyDescent="0.15">
      <c r="A43">
        <v>42</v>
      </c>
      <c r="B43" s="194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 x14ac:dyDescent="0.15">
      <c r="A44">
        <v>43</v>
      </c>
      <c r="B44" s="194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15">
      <c r="A45">
        <v>44</v>
      </c>
      <c r="B45" s="194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L4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44.1640625" bestFit="1" customWidth="1"/>
    <col min="3" max="4" width="3.83203125" bestFit="1" customWidth="1"/>
    <col min="5" max="12" width="3.83203125" customWidth="1"/>
  </cols>
  <sheetData>
    <row r="1" spans="1:12" ht="112" x14ac:dyDescent="0.15">
      <c r="A1" s="5" t="s">
        <v>82</v>
      </c>
      <c r="B1" s="3" t="s">
        <v>0</v>
      </c>
      <c r="C1" s="197" t="s">
        <v>201</v>
      </c>
      <c r="D1" s="197" t="s">
        <v>202</v>
      </c>
      <c r="E1" s="197" t="s">
        <v>211</v>
      </c>
      <c r="F1" s="197" t="s">
        <v>212</v>
      </c>
      <c r="G1" s="197" t="s">
        <v>213</v>
      </c>
      <c r="H1" s="197" t="s">
        <v>214</v>
      </c>
      <c r="I1" s="197" t="s">
        <v>206</v>
      </c>
      <c r="J1" s="197" t="s">
        <v>205</v>
      </c>
      <c r="K1" s="197" t="s">
        <v>219</v>
      </c>
      <c r="L1" s="197" t="s">
        <v>237</v>
      </c>
    </row>
    <row r="2" spans="1:12" x14ac:dyDescent="0.15">
      <c r="A2">
        <v>1</v>
      </c>
      <c r="B2" s="196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15">
      <c r="A3">
        <v>2</v>
      </c>
      <c r="B3" s="196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15">
      <c r="A4">
        <v>3</v>
      </c>
      <c r="B4" s="196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15">
      <c r="A5">
        <v>4</v>
      </c>
      <c r="B5" s="196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15">
      <c r="A6">
        <v>5</v>
      </c>
      <c r="B6" s="196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0.8</v>
      </c>
    </row>
    <row r="7" spans="1:12" x14ac:dyDescent="0.15">
      <c r="A7">
        <v>6</v>
      </c>
      <c r="B7" s="196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0.8</v>
      </c>
    </row>
    <row r="8" spans="1:12" x14ac:dyDescent="0.15">
      <c r="A8">
        <v>7</v>
      </c>
      <c r="B8" s="196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0.8</v>
      </c>
    </row>
    <row r="9" spans="1:12" x14ac:dyDescent="0.15">
      <c r="A9">
        <v>8</v>
      </c>
      <c r="B9" s="196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0.8</v>
      </c>
    </row>
    <row r="10" spans="1:12" x14ac:dyDescent="0.15">
      <c r="A10">
        <v>9</v>
      </c>
      <c r="B10" s="196" t="s">
        <v>201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15">
      <c r="A11">
        <v>10</v>
      </c>
      <c r="B11" s="196" t="s">
        <v>202</v>
      </c>
      <c r="C11">
        <v>0</v>
      </c>
      <c r="D11">
        <v>0.8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15">
      <c r="A12">
        <v>11</v>
      </c>
      <c r="B12" s="196" t="s">
        <v>203</v>
      </c>
      <c r="C12">
        <v>0</v>
      </c>
      <c r="D12">
        <v>0.8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15">
      <c r="A13">
        <v>12</v>
      </c>
      <c r="B13" s="196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0.8</v>
      </c>
    </row>
    <row r="14" spans="1:12" x14ac:dyDescent="0.15">
      <c r="A14">
        <v>13</v>
      </c>
      <c r="B14" s="196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0.8</v>
      </c>
      <c r="K14">
        <v>0</v>
      </c>
      <c r="L14">
        <v>0</v>
      </c>
    </row>
    <row r="15" spans="1:12" x14ac:dyDescent="0.15">
      <c r="A15">
        <v>14</v>
      </c>
      <c r="B15" s="196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</row>
    <row r="16" spans="1:12" x14ac:dyDescent="0.15">
      <c r="A16">
        <v>15</v>
      </c>
      <c r="B16" s="196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0.8</v>
      </c>
    </row>
    <row r="17" spans="1:12" x14ac:dyDescent="0.15">
      <c r="A17">
        <v>16</v>
      </c>
      <c r="B17" s="196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0.8</v>
      </c>
    </row>
    <row r="18" spans="1:12" x14ac:dyDescent="0.15">
      <c r="A18">
        <v>17</v>
      </c>
      <c r="B18" s="196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0.8</v>
      </c>
    </row>
    <row r="19" spans="1:12" x14ac:dyDescent="0.15">
      <c r="A19">
        <v>18</v>
      </c>
      <c r="B19" s="196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0.8</v>
      </c>
    </row>
    <row r="20" spans="1:12" x14ac:dyDescent="0.15">
      <c r="A20">
        <v>19</v>
      </c>
      <c r="B20" s="196" t="s">
        <v>211</v>
      </c>
      <c r="C20">
        <v>0</v>
      </c>
      <c r="D20">
        <v>0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15">
      <c r="A21">
        <v>20</v>
      </c>
      <c r="B21" s="196" t="s">
        <v>212</v>
      </c>
      <c r="C21">
        <v>0</v>
      </c>
      <c r="D21">
        <v>0</v>
      </c>
      <c r="E21">
        <v>0</v>
      </c>
      <c r="F21">
        <v>0.8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x14ac:dyDescent="0.15">
      <c r="A22">
        <v>21</v>
      </c>
      <c r="B22" s="196" t="s">
        <v>213</v>
      </c>
      <c r="C22">
        <v>0</v>
      </c>
      <c r="D22">
        <v>0</v>
      </c>
      <c r="E22">
        <v>0</v>
      </c>
      <c r="F22">
        <v>0</v>
      </c>
      <c r="G22">
        <v>0.8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15">
      <c r="A23">
        <v>22</v>
      </c>
      <c r="B23" s="196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0.8</v>
      </c>
      <c r="I23">
        <v>0</v>
      </c>
      <c r="J23">
        <v>0</v>
      </c>
      <c r="K23">
        <v>0</v>
      </c>
      <c r="L23">
        <v>0</v>
      </c>
    </row>
    <row r="24" spans="1:12" x14ac:dyDescent="0.15">
      <c r="A24">
        <v>23</v>
      </c>
      <c r="B24" s="196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0.8</v>
      </c>
    </row>
    <row r="25" spans="1:12" x14ac:dyDescent="0.15">
      <c r="A25">
        <v>24</v>
      </c>
      <c r="B25" s="196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0.8</v>
      </c>
    </row>
    <row r="26" spans="1:12" x14ac:dyDescent="0.15">
      <c r="A26">
        <v>25</v>
      </c>
      <c r="B26" s="196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0.8</v>
      </c>
    </row>
    <row r="27" spans="1:12" x14ac:dyDescent="0.15">
      <c r="A27">
        <v>26</v>
      </c>
      <c r="B27" s="196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0.8</v>
      </c>
    </row>
    <row r="28" spans="1:12" x14ac:dyDescent="0.15">
      <c r="A28">
        <v>27</v>
      </c>
      <c r="B28" s="196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0.8</v>
      </c>
      <c r="L28">
        <v>0</v>
      </c>
    </row>
    <row r="29" spans="1:12" x14ac:dyDescent="0.15">
      <c r="A29">
        <v>28</v>
      </c>
      <c r="B29" s="196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0.8</v>
      </c>
    </row>
    <row r="30" spans="1:12" x14ac:dyDescent="0.15">
      <c r="A30">
        <v>29</v>
      </c>
      <c r="B30" s="196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0.8</v>
      </c>
    </row>
    <row r="31" spans="1:12" x14ac:dyDescent="0.15">
      <c r="A31">
        <v>30</v>
      </c>
      <c r="B31" s="196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0.8</v>
      </c>
    </row>
    <row r="32" spans="1:12" x14ac:dyDescent="0.15">
      <c r="A32">
        <v>31</v>
      </c>
      <c r="B32" s="196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0.8</v>
      </c>
    </row>
    <row r="33" spans="1:12" x14ac:dyDescent="0.15">
      <c r="A33">
        <v>32</v>
      </c>
      <c r="B33" s="196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0.8</v>
      </c>
    </row>
    <row r="34" spans="1:12" x14ac:dyDescent="0.15">
      <c r="A34">
        <v>33</v>
      </c>
      <c r="B34" s="196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x14ac:dyDescent="0.15">
      <c r="A35">
        <v>34</v>
      </c>
      <c r="B35" s="196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 x14ac:dyDescent="0.15">
      <c r="A36">
        <v>35</v>
      </c>
      <c r="B36" s="196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 x14ac:dyDescent="0.15">
      <c r="A37">
        <v>36</v>
      </c>
      <c r="B37" s="196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</row>
    <row r="38" spans="1:12" x14ac:dyDescent="0.15">
      <c r="A38">
        <v>37</v>
      </c>
      <c r="B38" s="196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15">
      <c r="A39">
        <v>38</v>
      </c>
      <c r="B39" s="196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15">
      <c r="A40">
        <v>39</v>
      </c>
      <c r="B40" s="196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</row>
    <row r="41" spans="1:12" x14ac:dyDescent="0.15">
      <c r="A41">
        <v>40</v>
      </c>
      <c r="B41" s="196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x14ac:dyDescent="0.15">
      <c r="A42">
        <v>41</v>
      </c>
      <c r="B42" s="196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0.8</v>
      </c>
    </row>
    <row r="43" spans="1:12" x14ac:dyDescent="0.15">
      <c r="A43">
        <v>42</v>
      </c>
      <c r="B43" s="196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 x14ac:dyDescent="0.15">
      <c r="A44">
        <v>43</v>
      </c>
      <c r="B44" s="196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15">
      <c r="A45">
        <v>44</v>
      </c>
      <c r="B45" s="196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9">
        <v>1</v>
      </c>
      <c r="B2" s="149" t="s">
        <v>193</v>
      </c>
      <c r="C2" s="8">
        <v>4.3134346008300781</v>
      </c>
      <c r="D2" s="9">
        <v>2.2499999031424522E-3</v>
      </c>
      <c r="E2" s="9">
        <v>9.0000003576278687E-2</v>
      </c>
      <c r="F2" s="9">
        <v>57.659999847412109</v>
      </c>
      <c r="G2" s="7">
        <v>0</v>
      </c>
      <c r="H2" s="9">
        <v>1.5608741668984294E-3</v>
      </c>
      <c r="I2">
        <v>0</v>
      </c>
      <c r="J2"/>
    </row>
    <row r="3" spans="1:10" ht="15" customHeight="1" x14ac:dyDescent="0.15">
      <c r="A3" s="150">
        <v>2</v>
      </c>
      <c r="B3" s="150" t="s">
        <v>194</v>
      </c>
      <c r="C3" s="8">
        <v>3.6762585639953613</v>
      </c>
      <c r="D3" s="9">
        <v>5.8300001546740532E-4</v>
      </c>
      <c r="E3" s="9">
        <v>9.0000003576278687E-2</v>
      </c>
      <c r="F3" s="9">
        <v>69.959999084472656</v>
      </c>
      <c r="G3" s="7">
        <v>0</v>
      </c>
      <c r="H3" s="9">
        <v>1.2864494929090142E-3</v>
      </c>
      <c r="I3">
        <v>0</v>
      </c>
      <c r="J3"/>
    </row>
    <row r="4" spans="1:10" ht="15" customHeight="1" x14ac:dyDescent="0.15">
      <c r="A4" s="151">
        <v>3</v>
      </c>
      <c r="B4" s="151" t="s">
        <v>195</v>
      </c>
      <c r="C4" s="8">
        <v>3.9234917163848877</v>
      </c>
      <c r="D4" s="9">
        <v>6.5135382115840912E-2</v>
      </c>
      <c r="E4" s="9">
        <v>3.5000000149011612E-2</v>
      </c>
      <c r="F4" s="9">
        <v>4.7746109962463379</v>
      </c>
      <c r="G4" s="7">
        <v>0</v>
      </c>
      <c r="H4" s="9">
        <v>7.3304399847984314E-3</v>
      </c>
      <c r="I4">
        <v>0</v>
      </c>
      <c r="J4"/>
    </row>
    <row r="5" spans="1:10" ht="15" customHeight="1" x14ac:dyDescent="0.15">
      <c r="A5" s="152">
        <v>4</v>
      </c>
      <c r="B5" s="152" t="s">
        <v>196</v>
      </c>
      <c r="C5" s="8">
        <v>4.5891313552856445</v>
      </c>
      <c r="D5" s="9">
        <v>3.4000001847743988E-2</v>
      </c>
      <c r="E5" s="9">
        <v>0.13500000536441803</v>
      </c>
      <c r="F5" s="9">
        <v>11.99839973449707</v>
      </c>
      <c r="G5" s="7">
        <v>0</v>
      </c>
      <c r="H5" s="9">
        <v>1.1251500807702541E-2</v>
      </c>
      <c r="I5">
        <v>0</v>
      </c>
      <c r="J5"/>
    </row>
    <row r="6" spans="1:10" ht="15" customHeight="1" x14ac:dyDescent="0.15">
      <c r="A6" s="153">
        <v>5</v>
      </c>
      <c r="B6" s="153" t="s">
        <v>197</v>
      </c>
      <c r="C6" s="8">
        <v>4.7147073745727539</v>
      </c>
      <c r="D6" s="9">
        <v>8.7102159857749939E-2</v>
      </c>
      <c r="E6" s="9">
        <v>0.18999999761581421</v>
      </c>
      <c r="F6" s="9">
        <v>1.8999999761581421</v>
      </c>
      <c r="G6" s="9">
        <v>0.6000327467918396</v>
      </c>
      <c r="H6" s="9">
        <v>0.10000000149011612</v>
      </c>
      <c r="I6">
        <v>8.2548912614583969E-3</v>
      </c>
      <c r="J6"/>
    </row>
    <row r="7" spans="1:10" ht="15" customHeight="1" x14ac:dyDescent="0.15">
      <c r="A7" s="154">
        <v>6</v>
      </c>
      <c r="B7" s="154" t="s">
        <v>198</v>
      </c>
      <c r="C7" s="8">
        <v>4.0620617866516113</v>
      </c>
      <c r="D7" s="9">
        <v>0.30019658803939819</v>
      </c>
      <c r="E7" s="9">
        <v>0.34999999403953552</v>
      </c>
      <c r="F7" s="9">
        <v>3.5</v>
      </c>
      <c r="G7" s="9">
        <v>0.80002284049987793</v>
      </c>
      <c r="H7" s="9">
        <v>0.10000000149011612</v>
      </c>
      <c r="I7">
        <v>5.7077851146459579E-2</v>
      </c>
      <c r="J7"/>
    </row>
    <row r="8" spans="1:10" ht="15" customHeight="1" x14ac:dyDescent="0.15">
      <c r="A8" s="155">
        <v>7</v>
      </c>
      <c r="B8" s="155" t="s">
        <v>199</v>
      </c>
      <c r="C8" s="8">
        <v>4.4705214500427246</v>
      </c>
      <c r="D8" s="9">
        <v>0.36679056286811829</v>
      </c>
      <c r="E8" s="9">
        <v>0.40000000596046448</v>
      </c>
      <c r="F8" s="9">
        <v>2.4000000953674316</v>
      </c>
      <c r="G8" s="9">
        <v>0.80001407861709595</v>
      </c>
      <c r="H8" s="9">
        <v>0.1666666567325592</v>
      </c>
      <c r="I8">
        <v>9.5365256071090698E-2</v>
      </c>
      <c r="J8"/>
    </row>
    <row r="9" spans="1:10" ht="15" customHeight="1" x14ac:dyDescent="0.15">
      <c r="A9" s="156">
        <v>8</v>
      </c>
      <c r="B9" s="156" t="s">
        <v>200</v>
      </c>
      <c r="C9" s="8">
        <v>4.3173885345458984</v>
      </c>
      <c r="D9" s="9">
        <v>0.10075154900550842</v>
      </c>
      <c r="E9" s="9">
        <v>0.30000001192092896</v>
      </c>
      <c r="F9" s="9">
        <v>3.7539999485015869</v>
      </c>
      <c r="G9" s="9">
        <v>0.89999997615814209</v>
      </c>
      <c r="H9" s="9">
        <v>7.9914763569831848E-2</v>
      </c>
      <c r="I9">
        <v>1.945195160806179E-2</v>
      </c>
      <c r="J9"/>
    </row>
    <row r="10" spans="1:10" ht="15" customHeight="1" x14ac:dyDescent="0.15">
      <c r="A10" s="157">
        <v>9</v>
      </c>
      <c r="B10" s="157" t="s">
        <v>201</v>
      </c>
      <c r="C10" s="8">
        <v>3.6580753326416016</v>
      </c>
      <c r="D10" s="9">
        <v>0.17730981111526489</v>
      </c>
      <c r="E10" s="9">
        <v>0.46755215525627136</v>
      </c>
      <c r="F10" s="9">
        <v>2.3377606868743896</v>
      </c>
      <c r="G10" s="9">
        <v>0.9499632716178894</v>
      </c>
      <c r="H10" s="9">
        <v>0.20000000298023224</v>
      </c>
      <c r="I10">
        <v>3.4294519573450089E-3</v>
      </c>
      <c r="J10"/>
    </row>
    <row r="11" spans="1:10" ht="15" customHeight="1" x14ac:dyDescent="0.15">
      <c r="A11" s="158">
        <v>10</v>
      </c>
      <c r="B11" s="158" t="s">
        <v>202</v>
      </c>
      <c r="C11" s="8">
        <v>4.4982395172119141</v>
      </c>
      <c r="D11" s="9">
        <v>0.55345314741134644</v>
      </c>
      <c r="E11" s="9">
        <v>0.86371427774429321</v>
      </c>
      <c r="F11" s="9">
        <v>2.5999999046325684</v>
      </c>
      <c r="G11" s="9">
        <v>0.7043491005897522</v>
      </c>
      <c r="H11" s="9">
        <v>0.33219781517982483</v>
      </c>
      <c r="I11">
        <v>0.26950198411941528</v>
      </c>
      <c r="J11"/>
    </row>
    <row r="12" spans="1:10" ht="15" customHeight="1" x14ac:dyDescent="0.15">
      <c r="A12" s="159">
        <v>11</v>
      </c>
      <c r="B12" s="159" t="s">
        <v>203</v>
      </c>
      <c r="C12" s="8">
        <v>4.0927314758300781</v>
      </c>
      <c r="D12" s="9">
        <v>0.14303965866565704</v>
      </c>
      <c r="E12" s="9">
        <v>1.2000000476837158</v>
      </c>
      <c r="F12" s="9">
        <v>6.2607746124267578</v>
      </c>
      <c r="G12" s="9">
        <v>0.84501224756240845</v>
      </c>
      <c r="H12" s="9">
        <v>0.19166958332061768</v>
      </c>
      <c r="I12">
        <v>2.5638746097683907E-2</v>
      </c>
      <c r="J12"/>
    </row>
    <row r="13" spans="1:10" ht="15" customHeight="1" x14ac:dyDescent="0.15">
      <c r="A13" s="160">
        <v>12</v>
      </c>
      <c r="B13" s="160" t="s">
        <v>204</v>
      </c>
      <c r="C13" s="8">
        <v>4.1593270301818848</v>
      </c>
      <c r="D13" s="9">
        <v>0.19297659397125244</v>
      </c>
      <c r="E13" s="9">
        <v>0.40000000596046448</v>
      </c>
      <c r="F13" s="9">
        <v>4.7080001831054688</v>
      </c>
      <c r="G13" s="9">
        <v>0.94996792078018188</v>
      </c>
      <c r="H13" s="9">
        <v>8.4961764514446259E-2</v>
      </c>
      <c r="I13">
        <v>4.0493395179510117E-2</v>
      </c>
      <c r="J13"/>
    </row>
    <row r="14" spans="1:10" ht="15" customHeight="1" x14ac:dyDescent="0.15">
      <c r="A14" s="161">
        <v>13</v>
      </c>
      <c r="B14" s="161" t="s">
        <v>205</v>
      </c>
      <c r="C14" s="8">
        <v>4.3124122619628906</v>
      </c>
      <c r="D14" s="9">
        <v>5.2201330661773682E-2</v>
      </c>
      <c r="E14" s="9">
        <v>0.40000000596046448</v>
      </c>
      <c r="F14" s="9">
        <v>2</v>
      </c>
      <c r="G14" s="9">
        <v>0.90002948045730591</v>
      </c>
      <c r="H14" s="9">
        <v>0.20000000298023224</v>
      </c>
      <c r="I14">
        <v>1.0943896137177944E-2</v>
      </c>
      <c r="J14"/>
    </row>
    <row r="15" spans="1:10" ht="15" customHeight="1" x14ac:dyDescent="0.15">
      <c r="A15" s="162">
        <v>14</v>
      </c>
      <c r="B15" s="162" t="s">
        <v>206</v>
      </c>
      <c r="C15" s="8">
        <v>3.2143023014068604</v>
      </c>
      <c r="D15" s="9">
        <v>0.16009779274463654</v>
      </c>
      <c r="E15" s="9">
        <v>0.4785626232624054</v>
      </c>
      <c r="F15" s="9">
        <v>3.7000000476837158</v>
      </c>
      <c r="G15" s="9">
        <v>0.96215939521789551</v>
      </c>
      <c r="H15" s="9">
        <v>0.1293412446975708</v>
      </c>
      <c r="I15">
        <v>4.1141465306282043E-2</v>
      </c>
      <c r="J15"/>
    </row>
    <row r="16" spans="1:10" ht="15" customHeight="1" x14ac:dyDescent="0.15">
      <c r="A16" s="163">
        <v>15</v>
      </c>
      <c r="B16" s="163" t="s">
        <v>207</v>
      </c>
      <c r="C16" s="8">
        <v>3.1299998760223389</v>
      </c>
      <c r="D16" s="9">
        <v>5.4466430097818375E-2</v>
      </c>
      <c r="E16" s="9">
        <v>0.44200000166893005</v>
      </c>
      <c r="F16" s="9">
        <v>3.4200000762939453</v>
      </c>
      <c r="G16" s="9">
        <v>0.89999991655349731</v>
      </c>
      <c r="H16" s="9">
        <v>0.1292397677898407</v>
      </c>
      <c r="I16">
        <v>3.2701648306101561E-3</v>
      </c>
      <c r="J16"/>
    </row>
    <row r="17" spans="1:10" ht="15" customHeight="1" x14ac:dyDescent="0.15">
      <c r="A17" s="164">
        <v>16</v>
      </c>
      <c r="B17" s="164" t="s">
        <v>208</v>
      </c>
      <c r="C17" s="8">
        <v>3.8770463466644287</v>
      </c>
      <c r="D17" s="9">
        <v>0.49149957299232483</v>
      </c>
      <c r="E17" s="9">
        <v>0.34400001168251038</v>
      </c>
      <c r="F17" s="9">
        <v>1.7200000286102295</v>
      </c>
      <c r="G17" s="9">
        <v>0.90000450611114502</v>
      </c>
      <c r="H17" s="9">
        <v>0.20000000298023224</v>
      </c>
      <c r="I17">
        <v>8.1676691770553589E-2</v>
      </c>
      <c r="J17"/>
    </row>
    <row r="18" spans="1:10" ht="15" customHeight="1" x14ac:dyDescent="0.15">
      <c r="A18" s="165">
        <v>17</v>
      </c>
      <c r="B18" s="165" t="s">
        <v>209</v>
      </c>
      <c r="C18" s="8">
        <v>3.5324580669403076</v>
      </c>
      <c r="D18" s="9">
        <v>1.378801703453064</v>
      </c>
      <c r="E18" s="9">
        <v>0.43000000715255737</v>
      </c>
      <c r="F18" s="9">
        <v>2.1500000953674316</v>
      </c>
      <c r="G18" s="9">
        <v>0.94999819993972778</v>
      </c>
      <c r="H18" s="9">
        <v>0.19999998807907104</v>
      </c>
      <c r="I18">
        <v>1.9021619111299515E-2</v>
      </c>
      <c r="J18"/>
    </row>
    <row r="19" spans="1:10" ht="15" customHeight="1" x14ac:dyDescent="0.15">
      <c r="A19" s="166">
        <v>18</v>
      </c>
      <c r="B19" s="166" t="s">
        <v>210</v>
      </c>
      <c r="C19" s="8">
        <v>3.2530467510223389</v>
      </c>
      <c r="D19" s="9">
        <v>0.6363866925239563</v>
      </c>
      <c r="E19" s="9">
        <v>1.0900000333786011</v>
      </c>
      <c r="F19" s="9">
        <v>4.3600001335144043</v>
      </c>
      <c r="G19" s="9">
        <v>0.94999825954437256</v>
      </c>
      <c r="H19" s="9">
        <v>0.25</v>
      </c>
      <c r="I19">
        <v>5.5250269360840321E-3</v>
      </c>
      <c r="J19"/>
    </row>
    <row r="20" spans="1:10" ht="15" customHeight="1" x14ac:dyDescent="0.15">
      <c r="A20" s="167">
        <v>19</v>
      </c>
      <c r="B20" s="167" t="s">
        <v>211</v>
      </c>
      <c r="C20" s="8">
        <v>3.6192474365234375</v>
      </c>
      <c r="D20" s="9">
        <v>1.4729410409927368</v>
      </c>
      <c r="E20" s="9">
        <v>0.37999999523162842</v>
      </c>
      <c r="F20" s="9">
        <v>1.5199999809265137</v>
      </c>
      <c r="G20" s="9">
        <v>0.89249134063720703</v>
      </c>
      <c r="H20" s="9">
        <v>0.25</v>
      </c>
      <c r="I20">
        <v>5.6913390755653381E-2</v>
      </c>
      <c r="J20"/>
    </row>
    <row r="21" spans="1:10" ht="15" customHeight="1" x14ac:dyDescent="0.15">
      <c r="A21" s="168">
        <v>20</v>
      </c>
      <c r="B21" s="168" t="s">
        <v>212</v>
      </c>
      <c r="C21" s="8">
        <v>3.6761133670806885</v>
      </c>
      <c r="D21" s="9">
        <v>0.4298882782459259</v>
      </c>
      <c r="E21" s="9">
        <v>0.5</v>
      </c>
      <c r="F21" s="9">
        <v>2</v>
      </c>
      <c r="G21" s="9">
        <v>0.81910789012908936</v>
      </c>
      <c r="H21" s="9">
        <v>0.25</v>
      </c>
      <c r="I21">
        <v>5.5535919964313507E-2</v>
      </c>
      <c r="J21"/>
    </row>
    <row r="22" spans="1:10" ht="15" customHeight="1" x14ac:dyDescent="0.15">
      <c r="A22" s="169">
        <v>21</v>
      </c>
      <c r="B22" s="169" t="s">
        <v>213</v>
      </c>
      <c r="C22" s="8">
        <v>3.4353559017181396</v>
      </c>
      <c r="D22" s="9">
        <v>0.37531536817550659</v>
      </c>
      <c r="E22" s="9">
        <v>1.7876431941986084</v>
      </c>
      <c r="F22" s="9">
        <v>9.130000114440918</v>
      </c>
      <c r="G22" s="9">
        <v>0.89998739957809448</v>
      </c>
      <c r="H22" s="9">
        <v>0.19579881429672241</v>
      </c>
      <c r="I22">
        <v>0.1211734339594841</v>
      </c>
      <c r="J22"/>
    </row>
    <row r="23" spans="1:10" ht="15" customHeight="1" x14ac:dyDescent="0.15">
      <c r="A23" s="170">
        <v>22</v>
      </c>
      <c r="B23" s="170" t="s">
        <v>214</v>
      </c>
      <c r="C23" s="8">
        <v>3.4192492961883545</v>
      </c>
      <c r="D23" s="9">
        <v>2.2053334712982178</v>
      </c>
      <c r="E23" s="9">
        <v>1.0950000286102295</v>
      </c>
      <c r="F23" s="9">
        <v>6.8000001907348633</v>
      </c>
      <c r="G23" s="9">
        <v>0.79998582601547241</v>
      </c>
      <c r="H23" s="9">
        <v>0.16102941334247589</v>
      </c>
      <c r="I23">
        <v>7.4964955449104309E-2</v>
      </c>
      <c r="J23"/>
    </row>
    <row r="24" spans="1:10" ht="15" customHeight="1" x14ac:dyDescent="0.15">
      <c r="A24" s="171">
        <v>23</v>
      </c>
      <c r="B24" s="171" t="s">
        <v>215</v>
      </c>
      <c r="C24" s="8">
        <v>3.805178165435791</v>
      </c>
      <c r="D24" s="9">
        <v>0.33498898148536682</v>
      </c>
      <c r="E24" s="9">
        <v>1.3999999761581421</v>
      </c>
      <c r="F24" s="9">
        <v>7</v>
      </c>
      <c r="G24" s="9">
        <v>0.9499737024307251</v>
      </c>
      <c r="H24" s="9">
        <v>0.20000000298023224</v>
      </c>
      <c r="I24">
        <v>3.9702549576759338E-2</v>
      </c>
      <c r="J24"/>
    </row>
    <row r="25" spans="1:10" ht="15" customHeight="1" x14ac:dyDescent="0.15">
      <c r="A25" s="172">
        <v>24</v>
      </c>
      <c r="B25" s="172" t="s">
        <v>216</v>
      </c>
      <c r="C25" s="8">
        <v>4.3086123466491699</v>
      </c>
      <c r="D25" s="9">
        <v>0.12129067629575729</v>
      </c>
      <c r="E25" s="9">
        <v>0.40000000596046448</v>
      </c>
      <c r="F25" s="9">
        <v>4.130000114440918</v>
      </c>
      <c r="G25" s="9">
        <v>0.90013831853866577</v>
      </c>
      <c r="H25" s="9">
        <v>9.6852302551269531E-2</v>
      </c>
      <c r="I25">
        <v>1.7200948670506477E-2</v>
      </c>
      <c r="J25"/>
    </row>
    <row r="26" spans="1:10" ht="15" customHeight="1" x14ac:dyDescent="0.15">
      <c r="A26" s="173">
        <v>25</v>
      </c>
      <c r="B26" s="173" t="s">
        <v>217</v>
      </c>
      <c r="C26" s="8">
        <v>3.5510318279266357</v>
      </c>
      <c r="D26" s="9">
        <v>0.37431466579437256</v>
      </c>
      <c r="E26" s="9">
        <v>0.73000001907348633</v>
      </c>
      <c r="F26" s="9">
        <v>4.9200000762939453</v>
      </c>
      <c r="G26" s="9">
        <v>0.94998377561569214</v>
      </c>
      <c r="H26" s="9">
        <v>0.14837399125099182</v>
      </c>
      <c r="I26">
        <v>6.1968892812728882E-2</v>
      </c>
      <c r="J26"/>
    </row>
    <row r="27" spans="1:10" ht="15" customHeight="1" x14ac:dyDescent="0.15">
      <c r="A27" s="174">
        <v>26</v>
      </c>
      <c r="B27" s="174" t="s">
        <v>218</v>
      </c>
      <c r="C27" s="8">
        <v>3.6441459655761719</v>
      </c>
      <c r="D27" s="9">
        <v>0.22269703447818756</v>
      </c>
      <c r="E27" s="9">
        <v>3.119999885559082</v>
      </c>
      <c r="F27" s="9">
        <v>10.399999618530273</v>
      </c>
      <c r="G27" s="9">
        <v>0.95001780986785889</v>
      </c>
      <c r="H27" s="9">
        <v>0.30000001192092896</v>
      </c>
      <c r="I27">
        <v>2.2233674302697182E-2</v>
      </c>
      <c r="J27"/>
    </row>
    <row r="28" spans="1:10" ht="15" customHeight="1" x14ac:dyDescent="0.15">
      <c r="A28" s="175">
        <v>27</v>
      </c>
      <c r="B28" s="175" t="s">
        <v>219</v>
      </c>
      <c r="C28" s="8">
        <v>3.2241244316101074</v>
      </c>
      <c r="D28" s="9">
        <v>0.18796901404857635</v>
      </c>
      <c r="E28" s="9">
        <v>0.96020001173019409</v>
      </c>
      <c r="F28" s="9">
        <v>3.4000000953674316</v>
      </c>
      <c r="G28" s="9">
        <v>0.7999914288520813</v>
      </c>
      <c r="H28" s="9">
        <v>0.28241175413131714</v>
      </c>
      <c r="I28">
        <v>9.8382517695426941E-2</v>
      </c>
      <c r="J28"/>
    </row>
    <row r="29" spans="1:10" ht="15" customHeight="1" x14ac:dyDescent="0.15">
      <c r="A29" s="176">
        <v>28</v>
      </c>
      <c r="B29" s="176" t="s">
        <v>220</v>
      </c>
      <c r="C29" s="8">
        <v>3.471848726272583</v>
      </c>
      <c r="D29" s="9">
        <v>0.46314096450805664</v>
      </c>
      <c r="E29" s="9">
        <v>1.2000000476837158</v>
      </c>
      <c r="F29" s="9">
        <v>8</v>
      </c>
      <c r="G29" s="9">
        <v>0.80000114440917969</v>
      </c>
      <c r="H29" s="9">
        <v>0.15000000596046448</v>
      </c>
      <c r="I29">
        <v>7.7073246240615845E-2</v>
      </c>
      <c r="J29"/>
    </row>
    <row r="30" spans="1:10" ht="15" customHeight="1" x14ac:dyDescent="0.15">
      <c r="A30" s="177">
        <v>29</v>
      </c>
      <c r="B30" s="177" t="s">
        <v>221</v>
      </c>
      <c r="C30" s="8">
        <v>2.9845645427703857</v>
      </c>
      <c r="D30" s="9">
        <v>1.2920794486999512</v>
      </c>
      <c r="E30" s="9">
        <v>3</v>
      </c>
      <c r="F30" s="9">
        <v>20</v>
      </c>
      <c r="G30" s="9">
        <v>0.95000118017196655</v>
      </c>
      <c r="H30" s="9">
        <v>0.15000000596046448</v>
      </c>
      <c r="I30">
        <v>1.4494759030640125E-2</v>
      </c>
      <c r="J30"/>
    </row>
    <row r="31" spans="1:10" ht="15" customHeight="1" x14ac:dyDescent="0.15">
      <c r="A31" s="178">
        <v>30</v>
      </c>
      <c r="B31" s="178" t="s">
        <v>222</v>
      </c>
      <c r="C31" s="8">
        <v>3.139188289642334</v>
      </c>
      <c r="D31" s="9">
        <v>7.7186379432678223</v>
      </c>
      <c r="E31" s="9">
        <v>1.8849999904632568</v>
      </c>
      <c r="F31" s="9">
        <v>12.566665649414062</v>
      </c>
      <c r="G31" s="9">
        <v>0.60000008344650269</v>
      </c>
      <c r="H31" s="9">
        <v>0.15000000596046448</v>
      </c>
      <c r="I31">
        <v>1.5739765018224716E-2</v>
      </c>
      <c r="J31"/>
    </row>
    <row r="32" spans="1:10" ht="15" customHeight="1" x14ac:dyDescent="0.15">
      <c r="A32" s="206">
        <v>31</v>
      </c>
      <c r="B32" s="206" t="s">
        <v>223</v>
      </c>
      <c r="C32" s="8">
        <v>2.369999885559082</v>
      </c>
      <c r="D32" s="9">
        <v>22.208652496337891</v>
      </c>
      <c r="E32" s="9">
        <v>1.6000000238418579</v>
      </c>
      <c r="F32" s="9">
        <v>8</v>
      </c>
      <c r="G32" s="9">
        <v>0.60000026226043701</v>
      </c>
      <c r="H32" s="9">
        <v>0.20000000298023224</v>
      </c>
      <c r="I32">
        <v>1.0851801373064518E-2</v>
      </c>
      <c r="J32"/>
    </row>
    <row r="33" spans="1:10" ht="15" customHeight="1" x14ac:dyDescent="0.15">
      <c r="A33" s="207">
        <v>32</v>
      </c>
      <c r="B33" s="207" t="s">
        <v>224</v>
      </c>
      <c r="C33" s="8">
        <v>2.0499999523162842</v>
      </c>
      <c r="D33" s="9">
        <v>17.176271438598633</v>
      </c>
      <c r="E33" s="9">
        <v>2.7999999523162842</v>
      </c>
      <c r="F33" s="9">
        <v>14</v>
      </c>
      <c r="G33" s="9">
        <v>0.80000013113021851</v>
      </c>
      <c r="H33" s="9">
        <v>0.20000000298023224</v>
      </c>
      <c r="I33">
        <v>5.9532754123210907E-2</v>
      </c>
      <c r="J33"/>
    </row>
    <row r="34" spans="1:10" ht="15" customHeight="1" x14ac:dyDescent="0.15">
      <c r="A34" s="208">
        <v>33</v>
      </c>
      <c r="B34" s="208" t="s">
        <v>225</v>
      </c>
      <c r="C34" s="8">
        <v>2.0999999046325684</v>
      </c>
      <c r="D34" s="9">
        <v>6.5373020172119141</v>
      </c>
      <c r="E34" s="9">
        <v>10</v>
      </c>
      <c r="F34" s="9">
        <v>50</v>
      </c>
      <c r="G34" s="9">
        <v>0.89999997615814209</v>
      </c>
      <c r="H34" s="9">
        <v>0.20000000298023224</v>
      </c>
      <c r="I34">
        <v>0</v>
      </c>
      <c r="J34"/>
    </row>
    <row r="35" spans="1:10" ht="15" customHeight="1" x14ac:dyDescent="0.15">
      <c r="A35" s="209">
        <v>34</v>
      </c>
      <c r="B35" s="209" t="s">
        <v>226</v>
      </c>
      <c r="C35" s="8">
        <v>2.1310288906097412</v>
      </c>
      <c r="D35" s="9">
        <v>0.2049667090177536</v>
      </c>
      <c r="E35" s="9">
        <v>20</v>
      </c>
      <c r="F35" s="9">
        <v>100</v>
      </c>
      <c r="G35" s="9">
        <v>0.89999866485595703</v>
      </c>
      <c r="H35" s="9">
        <v>0.20000000298023224</v>
      </c>
      <c r="I35">
        <v>0</v>
      </c>
      <c r="J35"/>
    </row>
    <row r="36" spans="1:10" ht="15" customHeight="1" x14ac:dyDescent="0.15">
      <c r="A36" s="210">
        <v>35</v>
      </c>
      <c r="B36" s="210" t="s">
        <v>227</v>
      </c>
      <c r="C36" s="8">
        <v>2.6551437377929688</v>
      </c>
      <c r="D36" s="9">
        <v>2.2179999351501465</v>
      </c>
      <c r="E36" s="9">
        <v>10.5</v>
      </c>
      <c r="F36" s="9">
        <v>38</v>
      </c>
      <c r="G36" s="9">
        <v>0.75654411315917969</v>
      </c>
      <c r="H36" s="9">
        <v>0.27631577849388123</v>
      </c>
      <c r="I36">
        <v>0</v>
      </c>
      <c r="J36"/>
    </row>
    <row r="37" spans="1:10" ht="15" customHeight="1" x14ac:dyDescent="0.15">
      <c r="A37" s="211">
        <v>36</v>
      </c>
      <c r="B37" s="211" t="s">
        <v>228</v>
      </c>
      <c r="C37" s="8">
        <v>2.4675135612487793</v>
      </c>
      <c r="D37" s="9">
        <v>4.4109997749328613</v>
      </c>
      <c r="E37" s="9">
        <v>16.450000762939453</v>
      </c>
      <c r="F37" s="9">
        <v>80</v>
      </c>
      <c r="G37" s="9">
        <v>0.75228327512741089</v>
      </c>
      <c r="H37" s="9">
        <v>0.2056250125169754</v>
      </c>
      <c r="I37">
        <v>0</v>
      </c>
      <c r="J37"/>
    </row>
    <row r="38" spans="1:10" ht="15" customHeight="1" x14ac:dyDescent="0.15">
      <c r="A38" s="212">
        <v>37</v>
      </c>
      <c r="B38" s="212" t="s">
        <v>229</v>
      </c>
      <c r="C38" s="8">
        <v>2.1530613899230957</v>
      </c>
      <c r="D38" s="9">
        <v>4.7709999084472656</v>
      </c>
      <c r="E38" s="9">
        <v>45.049999237060547</v>
      </c>
      <c r="F38" s="9">
        <v>316</v>
      </c>
      <c r="G38" s="9">
        <v>0.88332515954971313</v>
      </c>
      <c r="H38" s="9">
        <v>0.14256328344345093</v>
      </c>
      <c r="I38">
        <v>0</v>
      </c>
      <c r="J38"/>
    </row>
    <row r="39" spans="1:10" ht="15" customHeight="1" x14ac:dyDescent="0.15">
      <c r="A39" s="213">
        <v>38</v>
      </c>
      <c r="B39" s="213" t="s">
        <v>230</v>
      </c>
      <c r="C39" s="8">
        <v>2</v>
      </c>
      <c r="D39" s="9">
        <v>0.68199998140335083</v>
      </c>
      <c r="E39" s="9">
        <v>500</v>
      </c>
      <c r="F39" s="9">
        <v>1428.5714111328125</v>
      </c>
      <c r="G39" s="9">
        <v>0.78402632474899292</v>
      </c>
      <c r="H39" s="9">
        <v>0.34999999403953552</v>
      </c>
      <c r="I39">
        <v>0</v>
      </c>
      <c r="J39"/>
    </row>
    <row r="40" spans="1:10" ht="15" customHeight="1" x14ac:dyDescent="0.15">
      <c r="A40" s="214">
        <v>39</v>
      </c>
      <c r="B40" s="214" t="s">
        <v>231</v>
      </c>
      <c r="C40" s="8">
        <v>1</v>
      </c>
      <c r="D40" s="9">
        <v>7.559999942779541</v>
      </c>
      <c r="E40" s="9">
        <v>119</v>
      </c>
      <c r="F40" s="10"/>
      <c r="G40" s="9">
        <v>0.77777200937271118</v>
      </c>
      <c r="H40" s="10"/>
      <c r="I40">
        <v>0</v>
      </c>
      <c r="J40"/>
    </row>
    <row r="41" spans="1:10" ht="15" customHeight="1" x14ac:dyDescent="0.15">
      <c r="A41" s="215">
        <v>40</v>
      </c>
      <c r="B41" s="215" t="s">
        <v>232</v>
      </c>
      <c r="C41" s="8">
        <v>1</v>
      </c>
      <c r="D41" s="9">
        <v>5.2639999389648438</v>
      </c>
      <c r="E41" s="9">
        <v>151</v>
      </c>
      <c r="F41" s="10"/>
      <c r="G41" s="9">
        <v>0.58785772323608398</v>
      </c>
      <c r="H41" s="10"/>
      <c r="I41">
        <v>0</v>
      </c>
      <c r="J41"/>
    </row>
    <row r="42" spans="1:10" ht="15" customHeight="1" x14ac:dyDescent="0.15">
      <c r="A42" s="216">
        <v>41</v>
      </c>
      <c r="B42" s="216" t="s">
        <v>233</v>
      </c>
      <c r="C42" s="8">
        <v>1</v>
      </c>
      <c r="D42" s="9">
        <v>0.32600000500679016</v>
      </c>
      <c r="E42" s="9">
        <v>4.5</v>
      </c>
      <c r="F42" s="10"/>
      <c r="G42" s="9">
        <v>0.10522183030843735</v>
      </c>
      <c r="H42" s="10"/>
      <c r="I42">
        <v>2.9347389936447144E-3</v>
      </c>
      <c r="J42"/>
    </row>
    <row r="43" spans="1:10" ht="15" customHeight="1" x14ac:dyDescent="0.15">
      <c r="A43" s="217">
        <v>42</v>
      </c>
      <c r="B43" s="217" t="s">
        <v>234</v>
      </c>
      <c r="C43" s="8">
        <v>1</v>
      </c>
      <c r="D43" s="9">
        <v>1</v>
      </c>
      <c r="E43" s="10"/>
      <c r="F43" s="10"/>
      <c r="G43" s="9">
        <v>0.86039769649505615</v>
      </c>
      <c r="H43" s="10"/>
      <c r="I43">
        <v>0</v>
      </c>
      <c r="J43"/>
    </row>
    <row r="44" spans="1:10" ht="15" customHeight="1" x14ac:dyDescent="0.15">
      <c r="A44" s="218">
        <v>43</v>
      </c>
      <c r="B44" s="218" t="s">
        <v>235</v>
      </c>
      <c r="C44" s="8">
        <v>1</v>
      </c>
      <c r="D44" s="9">
        <v>130</v>
      </c>
      <c r="E44" s="10"/>
      <c r="F44" s="10"/>
      <c r="G44" s="9">
        <v>0.90697276592254639</v>
      </c>
      <c r="H44" s="10"/>
      <c r="I44">
        <v>0</v>
      </c>
      <c r="J44"/>
    </row>
    <row r="45" spans="1:10" ht="15" customHeight="1" x14ac:dyDescent="0.15">
      <c r="A45" s="219">
        <v>44</v>
      </c>
      <c r="B45" s="219" t="s">
        <v>236</v>
      </c>
      <c r="C45" s="8">
        <v>1</v>
      </c>
      <c r="D45" s="9">
        <v>5</v>
      </c>
      <c r="E45" s="10"/>
      <c r="F45" s="10"/>
      <c r="G45" s="7">
        <v>0</v>
      </c>
      <c r="H45" s="10"/>
      <c r="I45">
        <v>0</v>
      </c>
      <c r="J45"/>
    </row>
    <row r="46" spans="1:10" ht="15" customHeight="1" x14ac:dyDescent="0.15">
      <c r="A46" s="220">
        <v>45</v>
      </c>
      <c r="B46" s="220" t="s">
        <v>201</v>
      </c>
      <c r="C46" s="8">
        <v>4.6580753326416016</v>
      </c>
      <c r="D46" s="10"/>
      <c r="E46" s="10"/>
      <c r="F46" s="10"/>
      <c r="G46" s="10"/>
      <c r="H46" s="10"/>
      <c r="I46">
        <v>3.4294519573450089E-3</v>
      </c>
      <c r="J46"/>
    </row>
    <row r="47" spans="1:10" ht="15" customHeight="1" x14ac:dyDescent="0.15">
      <c r="A47" s="221">
        <v>46</v>
      </c>
      <c r="B47" s="221" t="s">
        <v>202</v>
      </c>
      <c r="C47" s="8">
        <v>5.4630122184753418</v>
      </c>
      <c r="D47" s="10"/>
      <c r="E47" s="10"/>
      <c r="F47" s="10"/>
      <c r="G47" s="10"/>
      <c r="H47" s="10"/>
      <c r="I47">
        <v>0.29514074325561523</v>
      </c>
      <c r="J47"/>
    </row>
    <row r="48" spans="1:10" ht="15" customHeight="1" x14ac:dyDescent="0.15">
      <c r="A48" s="222">
        <v>47</v>
      </c>
      <c r="B48" s="222" t="s">
        <v>211</v>
      </c>
      <c r="C48" s="8">
        <v>4.6192469596862793</v>
      </c>
      <c r="D48" s="10"/>
      <c r="E48" s="10"/>
      <c r="F48" s="10"/>
      <c r="G48" s="10"/>
      <c r="H48" s="10"/>
      <c r="I48">
        <v>5.6913390755653381E-2</v>
      </c>
      <c r="J48"/>
    </row>
    <row r="49" spans="1:10" ht="15" customHeight="1" x14ac:dyDescent="0.15">
      <c r="A49" s="223">
        <v>48</v>
      </c>
      <c r="B49" s="223" t="s">
        <v>212</v>
      </c>
      <c r="C49" s="8">
        <v>4.6761131286621094</v>
      </c>
      <c r="D49" s="10"/>
      <c r="E49" s="10"/>
      <c r="F49" s="10"/>
      <c r="G49" s="10"/>
      <c r="H49" s="10"/>
      <c r="I49">
        <v>5.5535919964313507E-2</v>
      </c>
      <c r="J49"/>
    </row>
    <row r="50" spans="1:10" ht="15" customHeight="1" x14ac:dyDescent="0.15">
      <c r="A50" s="224">
        <v>49</v>
      </c>
      <c r="B50" s="224" t="s">
        <v>213</v>
      </c>
      <c r="C50" s="8">
        <v>4.4353561401367188</v>
      </c>
      <c r="D50" s="10"/>
      <c r="E50" s="10"/>
      <c r="F50" s="10"/>
      <c r="G50" s="10"/>
      <c r="H50" s="10"/>
      <c r="I50">
        <v>0.1211734339594841</v>
      </c>
      <c r="J50"/>
    </row>
    <row r="51" spans="1:10" ht="15" customHeight="1" x14ac:dyDescent="0.15">
      <c r="A51" s="225">
        <v>50</v>
      </c>
      <c r="B51" s="225" t="s">
        <v>214</v>
      </c>
      <c r="C51" s="8">
        <v>4.4192490577697754</v>
      </c>
      <c r="D51" s="10"/>
      <c r="E51" s="10"/>
      <c r="F51" s="10"/>
      <c r="G51" s="10"/>
      <c r="H51" s="10"/>
      <c r="I51">
        <v>7.4964955449104309E-2</v>
      </c>
      <c r="J51"/>
    </row>
    <row r="52" spans="1:10" ht="15" customHeight="1" x14ac:dyDescent="0.15">
      <c r="A52" s="226">
        <v>51</v>
      </c>
      <c r="B52" s="226" t="s">
        <v>206</v>
      </c>
      <c r="C52" s="8">
        <v>4.2143020629882812</v>
      </c>
      <c r="D52" s="10"/>
      <c r="E52" s="10"/>
      <c r="F52" s="10"/>
      <c r="G52" s="10"/>
      <c r="H52" s="10"/>
      <c r="I52">
        <v>4.1141465306282043E-2</v>
      </c>
      <c r="J52"/>
    </row>
    <row r="53" spans="1:10" ht="15" customHeight="1" x14ac:dyDescent="0.15">
      <c r="A53" s="227">
        <v>52</v>
      </c>
      <c r="B53" s="227" t="s">
        <v>205</v>
      </c>
      <c r="C53" s="8">
        <v>5.3124122619628906</v>
      </c>
      <c r="D53" s="10"/>
      <c r="E53" s="10"/>
      <c r="F53" s="10"/>
      <c r="G53" s="10"/>
      <c r="H53" s="10"/>
      <c r="I53">
        <v>1.0943896137177944E-2</v>
      </c>
      <c r="J53"/>
    </row>
    <row r="54" spans="1:10" ht="15" customHeight="1" x14ac:dyDescent="0.15">
      <c r="A54" s="228">
        <v>53</v>
      </c>
      <c r="B54" s="228" t="s">
        <v>219</v>
      </c>
      <c r="C54" s="8">
        <v>4.2241239547729492</v>
      </c>
      <c r="D54" s="10"/>
      <c r="E54" s="10"/>
      <c r="F54" s="10"/>
      <c r="G54" s="10"/>
      <c r="H54" s="10"/>
      <c r="I54">
        <v>9.8382517695426941E-2</v>
      </c>
      <c r="J54"/>
    </row>
    <row r="55" spans="1:10" ht="15" customHeight="1" x14ac:dyDescent="0.15">
      <c r="A55" s="229">
        <v>54</v>
      </c>
      <c r="B55" s="229" t="s">
        <v>237</v>
      </c>
      <c r="C55" s="8">
        <v>4.6798677444458008</v>
      </c>
      <c r="D55" s="10"/>
      <c r="E55" s="10"/>
      <c r="F55" s="10"/>
      <c r="G55" s="10"/>
      <c r="H55" s="10"/>
      <c r="I55">
        <v>0.6518700122833252</v>
      </c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251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 t="s">
        <v>225</v>
      </c>
      <c r="AU1" t="s">
        <v>226</v>
      </c>
      <c r="AV1" t="s">
        <v>227</v>
      </c>
      <c r="AW1" t="s">
        <v>228</v>
      </c>
      <c r="AX1" t="s">
        <v>229</v>
      </c>
      <c r="AY1" t="s">
        <v>230</v>
      </c>
      <c r="AZ1" t="s">
        <v>231</v>
      </c>
      <c r="BA1" t="s">
        <v>232</v>
      </c>
      <c r="BB1" t="s">
        <v>233</v>
      </c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9.0000003576278687E-2</v>
      </c>
      <c r="C2">
        <v>9.0000003576278687E-2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9.0000003576278687E-2</v>
      </c>
      <c r="C3">
        <v>9.0000003576278687E-2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3.5000000149011612E-2</v>
      </c>
      <c r="C4">
        <v>3.5000000149011612E-2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0.13500000536441803</v>
      </c>
      <c r="C5">
        <v>0.13500000536441803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0.18999999761581421</v>
      </c>
      <c r="C6">
        <v>7.5993776321411133E-2</v>
      </c>
      <c r="D6"/>
      <c r="E6"/>
      <c r="F6"/>
      <c r="G6"/>
      <c r="H6"/>
      <c r="I6"/>
      <c r="J6"/>
      <c r="K6"/>
      <c r="L6"/>
      <c r="M6" s="238">
        <v>9.4772517681121826E-2</v>
      </c>
      <c r="N6"/>
      <c r="O6"/>
      <c r="P6"/>
      <c r="Q6"/>
      <c r="R6" s="232">
        <v>1.9233701750636101E-2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0.34999999403953552</v>
      </c>
      <c r="C7">
        <v>6.9992005825042725E-2</v>
      </c>
      <c r="D7"/>
      <c r="E7"/>
      <c r="F7"/>
      <c r="G7"/>
      <c r="H7"/>
      <c r="I7"/>
      <c r="J7"/>
      <c r="K7"/>
      <c r="L7"/>
      <c r="M7" s="142">
        <v>0.19013489782810211</v>
      </c>
      <c r="N7"/>
      <c r="O7"/>
      <c r="P7"/>
      <c r="Q7"/>
      <c r="R7" s="71">
        <v>2.4554930627346039E-2</v>
      </c>
      <c r="S7"/>
      <c r="T7" s="262">
        <v>6.5318144857883453E-2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0.40000000596046448</v>
      </c>
      <c r="C8">
        <v>7.9994373023509979E-2</v>
      </c>
      <c r="D8"/>
      <c r="E8"/>
      <c r="F8"/>
      <c r="G8"/>
      <c r="H8"/>
      <c r="I8"/>
      <c r="J8"/>
      <c r="K8"/>
      <c r="L8"/>
      <c r="M8" s="239">
        <v>0.25999921560287476</v>
      </c>
      <c r="N8"/>
      <c r="O8"/>
      <c r="P8"/>
      <c r="Q8" s="143">
        <v>3.9782013744115829E-2</v>
      </c>
      <c r="R8" s="20">
        <v>1.7356300726532936E-2</v>
      </c>
      <c r="S8" s="22">
        <v>2.868118928745389E-3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0.30000001192092896</v>
      </c>
      <c r="C9">
        <v>3.0000008642673492E-2</v>
      </c>
      <c r="D9"/>
      <c r="E9"/>
      <c r="F9"/>
      <c r="G9"/>
      <c r="H9"/>
      <c r="I9"/>
      <c r="J9"/>
      <c r="K9"/>
      <c r="L9"/>
      <c r="M9" s="140">
        <v>0.19306850433349609</v>
      </c>
      <c r="N9"/>
      <c r="O9"/>
      <c r="P9"/>
      <c r="Q9" s="254">
        <v>7.6931491494178772E-2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0.46755215525627136</v>
      </c>
      <c r="C10">
        <v>2.3394780233502388E-2</v>
      </c>
      <c r="D10" s="65">
        <v>1.934158056974411E-2</v>
      </c>
      <c r="E10"/>
      <c r="F10"/>
      <c r="G10"/>
      <c r="H10"/>
      <c r="I10"/>
      <c r="J10"/>
      <c r="K10"/>
      <c r="L10"/>
      <c r="M10"/>
      <c r="N10"/>
      <c r="O10"/>
      <c r="P10"/>
      <c r="Q10" s="248">
        <v>2.3035453632473946E-2</v>
      </c>
      <c r="R10" s="15">
        <v>4.6683154068887234E-3</v>
      </c>
      <c r="S10"/>
      <c r="T10" s="252">
        <v>4.0351059287786484E-2</v>
      </c>
      <c r="U10"/>
      <c r="V10" s="22">
        <v>3.4013052936643362E-3</v>
      </c>
      <c r="W10" s="268">
        <v>0.16513961553573608</v>
      </c>
      <c r="X10" s="260">
        <v>9.9456183612346649E-2</v>
      </c>
      <c r="Y10" s="256">
        <v>7.4399545788764954E-2</v>
      </c>
      <c r="Z10"/>
      <c r="AA10"/>
      <c r="AB10"/>
      <c r="AC10" s="25">
        <v>1.4364268630743027E-2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0.86371427774429321</v>
      </c>
      <c r="C11">
        <v>0.25535789132118225</v>
      </c>
      <c r="D11"/>
      <c r="E11" s="230">
        <v>0.48694631457328796</v>
      </c>
      <c r="F11"/>
      <c r="G11"/>
      <c r="H11"/>
      <c r="I11"/>
      <c r="J11"/>
      <c r="K11"/>
      <c r="L11"/>
      <c r="M11"/>
      <c r="N11"/>
      <c r="O11"/>
      <c r="P11"/>
      <c r="Q11"/>
      <c r="R11" s="16">
        <v>1.3796656392514706E-2</v>
      </c>
      <c r="S11"/>
      <c r="T11" s="253">
        <v>2.9621943831443787E-2</v>
      </c>
      <c r="U11"/>
      <c r="V11"/>
      <c r="W11" s="274">
        <v>7.799142599105835E-2</v>
      </c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1.2000000476837158</v>
      </c>
      <c r="C12">
        <v>0.18598531186580658</v>
      </c>
      <c r="D12"/>
      <c r="E12" s="231">
        <v>0.17924222350120544</v>
      </c>
      <c r="F12"/>
      <c r="G12"/>
      <c r="H12"/>
      <c r="I12"/>
      <c r="J12"/>
      <c r="K12"/>
      <c r="L12"/>
      <c r="M12"/>
      <c r="N12"/>
      <c r="O12"/>
      <c r="P12"/>
      <c r="Q12" s="247">
        <v>2.815413661301136E-2</v>
      </c>
      <c r="R12"/>
      <c r="S12"/>
      <c r="T12" s="248">
        <v>5.9230558574199677E-2</v>
      </c>
      <c r="U12"/>
      <c r="V12"/>
      <c r="W12" s="283">
        <v>0.50294440984725952</v>
      </c>
      <c r="X12" s="272">
        <v>0.24444343149662018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0.40000000596046448</v>
      </c>
      <c r="C13">
        <v>2.0012831315398216E-2</v>
      </c>
      <c r="D13"/>
      <c r="E13"/>
      <c r="F13"/>
      <c r="G13"/>
      <c r="H13"/>
      <c r="I13"/>
      <c r="J13"/>
      <c r="K13"/>
      <c r="L13"/>
      <c r="M13" s="240">
        <v>0.20983579754829407</v>
      </c>
      <c r="N13"/>
      <c r="O13"/>
      <c r="P13"/>
      <c r="Q13"/>
      <c r="R13" s="15">
        <v>4.2893183417618275E-3</v>
      </c>
      <c r="S13"/>
      <c r="T13"/>
      <c r="U13"/>
      <c r="V13"/>
      <c r="W13" s="258">
        <v>7.5866386294364929E-2</v>
      </c>
      <c r="X13"/>
      <c r="Y13"/>
      <c r="Z13"/>
      <c r="AA13"/>
      <c r="AB13"/>
      <c r="AC13" s="251">
        <v>3.5194955766201019E-2</v>
      </c>
      <c r="AD13"/>
      <c r="AE13"/>
      <c r="AF13"/>
      <c r="AG13"/>
      <c r="AH13"/>
      <c r="AI13"/>
      <c r="AJ13"/>
      <c r="AK13" s="255">
        <v>5.4800733923912048E-2</v>
      </c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0.40000000596046448</v>
      </c>
      <c r="C14">
        <v>3.9988208562135696E-2</v>
      </c>
      <c r="D14"/>
      <c r="E14"/>
      <c r="F14"/>
      <c r="G14"/>
      <c r="H14"/>
      <c r="I14"/>
      <c r="J14"/>
      <c r="K14" s="236">
        <v>0.20964784920215607</v>
      </c>
      <c r="L14"/>
      <c r="M14"/>
      <c r="N14"/>
      <c r="O14"/>
      <c r="P14"/>
      <c r="Q14"/>
      <c r="R14" s="68">
        <v>3.6519598215818405E-2</v>
      </c>
      <c r="S14"/>
      <c r="T14"/>
      <c r="U14"/>
      <c r="V14"/>
      <c r="W14"/>
      <c r="X14"/>
      <c r="Y14"/>
      <c r="Z14"/>
      <c r="AA14"/>
      <c r="AB14"/>
      <c r="AC14" s="249">
        <v>0.11384435743093491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0.4785626232624054</v>
      </c>
      <c r="C15">
        <v>1.8109099939465523E-2</v>
      </c>
      <c r="D15"/>
      <c r="E15"/>
      <c r="F15"/>
      <c r="G15"/>
      <c r="H15"/>
      <c r="I15"/>
      <c r="J15" s="235">
        <v>0.25697711110115051</v>
      </c>
      <c r="K15"/>
      <c r="L15"/>
      <c r="M15"/>
      <c r="N15"/>
      <c r="O15"/>
      <c r="P15"/>
      <c r="Q15" s="15">
        <v>4.3198438361287117E-3</v>
      </c>
      <c r="R15"/>
      <c r="S15" s="250">
        <v>3.8925934582948685E-2</v>
      </c>
      <c r="T15" s="15">
        <v>4.6397987753152847E-3</v>
      </c>
      <c r="U15"/>
      <c r="V15"/>
      <c r="W15"/>
      <c r="X15"/>
      <c r="Y15" s="146">
        <v>1.4140079729259014E-2</v>
      </c>
      <c r="Z15" s="14">
        <v>5.6038773618638515E-4</v>
      </c>
      <c r="AA15"/>
      <c r="AB15"/>
      <c r="AC15" s="264">
        <v>0.13468670845031738</v>
      </c>
      <c r="AD15"/>
      <c r="AE15"/>
      <c r="AF15"/>
      <c r="AG15"/>
      <c r="AH15"/>
      <c r="AI15"/>
      <c r="AJ15" s="17">
        <v>6.2036807648837566E-3</v>
      </c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0.44200000166893005</v>
      </c>
      <c r="C16">
        <v>4.420003667473793E-2</v>
      </c>
      <c r="D16"/>
      <c r="E16"/>
      <c r="F16"/>
      <c r="G16"/>
      <c r="H16"/>
      <c r="I16"/>
      <c r="J16"/>
      <c r="K16"/>
      <c r="L16"/>
      <c r="M16" s="241">
        <v>6.0040008276700974E-2</v>
      </c>
      <c r="N16"/>
      <c r="O16"/>
      <c r="P16"/>
      <c r="Q16"/>
      <c r="R16"/>
      <c r="S16" s="64">
        <v>9.6532497555017471E-3</v>
      </c>
      <c r="T16"/>
      <c r="U16"/>
      <c r="V16"/>
      <c r="W16"/>
      <c r="X16"/>
      <c r="Y16" s="13">
        <v>1.6364134848117828E-2</v>
      </c>
      <c r="Z16"/>
      <c r="AA16"/>
      <c r="AB16"/>
      <c r="AC16" s="259">
        <v>0.31174260377883911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0.34400001168251038</v>
      </c>
      <c r="C17">
        <v>3.4398451447486877E-2</v>
      </c>
      <c r="D17"/>
      <c r="E17"/>
      <c r="F17"/>
      <c r="G17"/>
      <c r="H17"/>
      <c r="I17"/>
      <c r="J17"/>
      <c r="K17"/>
      <c r="L17"/>
      <c r="M17" s="242">
        <v>0.16617856919765472</v>
      </c>
      <c r="N17"/>
      <c r="O17"/>
      <c r="P17"/>
      <c r="Q17" s="146">
        <v>9.8960231989622116E-3</v>
      </c>
      <c r="R17" s="17">
        <v>4.7719599679112434E-3</v>
      </c>
      <c r="S17"/>
      <c r="T17" s="110">
        <v>6.245763972401619E-2</v>
      </c>
      <c r="U17"/>
      <c r="V17"/>
      <c r="W17"/>
      <c r="X17" s="15">
        <v>3.5502675455063581E-3</v>
      </c>
      <c r="Y17" s="67">
        <v>2.1360184997320175E-2</v>
      </c>
      <c r="Z17" s="23">
        <v>2.2000425960868597E-3</v>
      </c>
      <c r="AA17"/>
      <c r="AB17"/>
      <c r="AC17" s="261">
        <v>3.9186887443065643E-2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0.43000000715255737</v>
      </c>
      <c r="C18">
        <v>2.1500773727893829E-2</v>
      </c>
      <c r="D18"/>
      <c r="E18"/>
      <c r="F18"/>
      <c r="G18"/>
      <c r="H18"/>
      <c r="I18"/>
      <c r="J18"/>
      <c r="K18"/>
      <c r="L18"/>
      <c r="M18" s="25">
        <v>1.37957613915205E-2</v>
      </c>
      <c r="N18" s="64">
        <v>9.1824335977435112E-3</v>
      </c>
      <c r="O18"/>
      <c r="P18"/>
      <c r="Q18" s="26">
        <v>1.0582861490547657E-2</v>
      </c>
      <c r="R18" s="26">
        <v>1.1061036959290504E-2</v>
      </c>
      <c r="S18" s="246">
        <v>5.9984449297189713E-2</v>
      </c>
      <c r="T18" s="296">
        <v>0.16432906687259674</v>
      </c>
      <c r="U18"/>
      <c r="V18" s="22">
        <v>3.1252368353307247E-3</v>
      </c>
      <c r="W18" s="273">
        <v>2.9258264228701591E-2</v>
      </c>
      <c r="X18" s="22">
        <v>3.7330326158553362E-3</v>
      </c>
      <c r="Y18" s="24">
        <v>1.2209699489176273E-2</v>
      </c>
      <c r="Z18" s="271">
        <v>2.4311628192663193E-2</v>
      </c>
      <c r="AA18"/>
      <c r="AB18"/>
      <c r="AC18" s="286">
        <v>6.2860049307346344E-2</v>
      </c>
      <c r="AD18"/>
      <c r="AE18"/>
      <c r="AF18"/>
      <c r="AG18"/>
      <c r="AH18"/>
      <c r="AI18"/>
      <c r="AJ18"/>
      <c r="AK18" s="15">
        <v>4.0657320059835911E-3</v>
      </c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1.0900000333786011</v>
      </c>
      <c r="C19">
        <v>5.4501898586750031E-2</v>
      </c>
      <c r="D19"/>
      <c r="E19"/>
      <c r="F19"/>
      <c r="G19"/>
      <c r="H19"/>
      <c r="I19"/>
      <c r="J19"/>
      <c r="K19"/>
      <c r="L19"/>
      <c r="M19" s="22">
        <v>8.6818709969520569E-3</v>
      </c>
      <c r="N19"/>
      <c r="O19"/>
      <c r="P19" s="65">
        <v>4.4752292335033417E-2</v>
      </c>
      <c r="Q19" s="277">
        <v>9.0195834636688232E-2</v>
      </c>
      <c r="R19" s="64">
        <v>2.3964950814843178E-2</v>
      </c>
      <c r="S19" s="287">
        <v>0.1421707421541214</v>
      </c>
      <c r="T19" s="284">
        <v>0.11484786868095398</v>
      </c>
      <c r="U19"/>
      <c r="V19" s="275">
        <v>8.1254012882709503E-2</v>
      </c>
      <c r="W19" s="247">
        <v>2.5308128446340561E-2</v>
      </c>
      <c r="X19" s="27">
        <v>3.8525506854057312E-2</v>
      </c>
      <c r="Y19" s="16">
        <v>1.6497079282999039E-2</v>
      </c>
      <c r="Z19" s="267">
        <v>4.2478881776332855E-2</v>
      </c>
      <c r="AA19"/>
      <c r="AB19"/>
      <c r="AC19" s="261">
        <v>0.12464455515146255</v>
      </c>
      <c r="AD19"/>
      <c r="AE19"/>
      <c r="AF19" s="25">
        <v>3.5185534507036209E-2</v>
      </c>
      <c r="AG19" s="18">
        <v>1.351455319672823E-2</v>
      </c>
      <c r="AH19"/>
      <c r="AI19"/>
      <c r="AJ19" s="13">
        <v>4.1617713868618011E-2</v>
      </c>
      <c r="AK19" s="19">
        <v>2.011784166097641E-2</v>
      </c>
      <c r="AL19" s="243">
        <v>9.1291554272174835E-2</v>
      </c>
      <c r="AM19" s="275">
        <v>8.0449290573596954E-2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0.37999999523162842</v>
      </c>
      <c r="C20">
        <v>4.0853291749954224E-2</v>
      </c>
      <c r="D20"/>
      <c r="E20"/>
      <c r="F20" s="232">
        <v>3.8639284670352936E-2</v>
      </c>
      <c r="G20"/>
      <c r="H20"/>
      <c r="I20"/>
      <c r="J20"/>
      <c r="K20"/>
      <c r="L20"/>
      <c r="M20"/>
      <c r="N20" s="265">
        <v>1.6945561394095421E-2</v>
      </c>
      <c r="O20" s="22">
        <v>2.720425371080637E-3</v>
      </c>
      <c r="P20"/>
      <c r="Q20" s="247">
        <v>9.29997768253088E-3</v>
      </c>
      <c r="R20" s="17">
        <v>5.2882703021168709E-3</v>
      </c>
      <c r="S20"/>
      <c r="T20" s="69">
        <v>1.9565269351005554E-2</v>
      </c>
      <c r="U20"/>
      <c r="V20"/>
      <c r="W20" s="295">
        <v>0.13996595144271851</v>
      </c>
      <c r="X20" s="285">
        <v>5.0549838691949844E-2</v>
      </c>
      <c r="Y20" s="280">
        <v>4.2612168937921524E-2</v>
      </c>
      <c r="Z20"/>
      <c r="AA20"/>
      <c r="AB20"/>
      <c r="AC20" s="15">
        <v>4.0581990033388138E-3</v>
      </c>
      <c r="AD20"/>
      <c r="AE20"/>
      <c r="AF20"/>
      <c r="AG20"/>
      <c r="AH20"/>
      <c r="AI20"/>
      <c r="AJ20"/>
      <c r="AK20" s="26">
        <v>9.5017589628696442E-3</v>
      </c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0.5</v>
      </c>
      <c r="C21">
        <v>9.0446054935455322E-2</v>
      </c>
      <c r="D21"/>
      <c r="E21"/>
      <c r="F21"/>
      <c r="G21" s="233">
        <v>0.12918686866760254</v>
      </c>
      <c r="H21"/>
      <c r="I21"/>
      <c r="J21"/>
      <c r="K21"/>
      <c r="L21"/>
      <c r="M21"/>
      <c r="N21" s="253">
        <v>1.6951762139797211E-2</v>
      </c>
      <c r="O21" s="22">
        <v>4.2333221063017845E-3</v>
      </c>
      <c r="P21" s="21">
        <v>9.4153527170419693E-3</v>
      </c>
      <c r="Q21" s="146">
        <v>1.4471927657723427E-2</v>
      </c>
      <c r="R21" s="21">
        <v>9.9734608083963394E-3</v>
      </c>
      <c r="S21"/>
      <c r="T21"/>
      <c r="U21" s="270">
        <v>7.6703697443008423E-2</v>
      </c>
      <c r="V21"/>
      <c r="W21" s="278">
        <v>0.13387851417064667</v>
      </c>
      <c r="X21"/>
      <c r="Y21" s="12">
        <v>1.9892945419996977E-3</v>
      </c>
      <c r="Z21" s="17">
        <v>6.4346808940172195E-3</v>
      </c>
      <c r="AA21"/>
      <c r="AB21"/>
      <c r="AC21" s="18">
        <v>6.3150646165013313E-3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1.7876431941986084</v>
      </c>
      <c r="C22">
        <v>0.17878684401512146</v>
      </c>
      <c r="D22"/>
      <c r="E22"/>
      <c r="F22"/>
      <c r="G22"/>
      <c r="H22" s="234">
        <v>0.32285764813423157</v>
      </c>
      <c r="I22"/>
      <c r="J22"/>
      <c r="K22"/>
      <c r="L22"/>
      <c r="M22"/>
      <c r="N22" s="17">
        <v>2.3613551631569862E-2</v>
      </c>
      <c r="O22" s="22">
        <v>1.4080479741096497E-2</v>
      </c>
      <c r="P22" s="250">
        <v>0.14333309233188629</v>
      </c>
      <c r="Q22" s="20">
        <v>7.7756829559803009E-2</v>
      </c>
      <c r="R22" s="14">
        <v>5.0793862901628017E-3</v>
      </c>
      <c r="S22"/>
      <c r="T22"/>
      <c r="U22" s="66">
        <v>0.1056729257106781</v>
      </c>
      <c r="V22"/>
      <c r="W22" s="292">
        <v>0.39008361101150513</v>
      </c>
      <c r="X22" s="25">
        <v>5.6259218603372574E-2</v>
      </c>
      <c r="Y22"/>
      <c r="Z22"/>
      <c r="AA22"/>
      <c r="AB22"/>
      <c r="AC22" s="23">
        <v>1.1310159228742123E-2</v>
      </c>
      <c r="AD22"/>
      <c r="AE22"/>
      <c r="AF22"/>
      <c r="AG22" s="274">
        <v>0.1604074239730835</v>
      </c>
      <c r="AH22"/>
      <c r="AI22"/>
      <c r="AJ22"/>
      <c r="AK22" s="288">
        <v>0.29840204119682312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1.0950000286102295</v>
      </c>
      <c r="C23">
        <v>0.21901552379131317</v>
      </c>
      <c r="D23"/>
      <c r="E23"/>
      <c r="F23"/>
      <c r="G23"/>
      <c r="H23"/>
      <c r="I23" s="25">
        <v>3.3992569893598557E-2</v>
      </c>
      <c r="J23"/>
      <c r="K23"/>
      <c r="L23"/>
      <c r="M23"/>
      <c r="N23" s="21">
        <v>2.1815689280629158E-2</v>
      </c>
      <c r="O23" s="12">
        <v>3.8709319196641445E-3</v>
      </c>
      <c r="P23"/>
      <c r="Q23" s="25">
        <v>3.3902879804372787E-2</v>
      </c>
      <c r="R23" s="14">
        <v>2.5079154875129461E-3</v>
      </c>
      <c r="S23" s="19">
        <v>2.0253993570804596E-2</v>
      </c>
      <c r="T23" s="11">
        <v>3.979652829002589E-4</v>
      </c>
      <c r="U23" s="267">
        <v>4.3524853885173798E-2</v>
      </c>
      <c r="V23"/>
      <c r="W23" s="292">
        <v>0.23748359084129333</v>
      </c>
      <c r="X23" s="232">
        <v>0.1118881031870842</v>
      </c>
      <c r="Y23" s="139">
        <v>0.13177670538425446</v>
      </c>
      <c r="Z23"/>
      <c r="AA23"/>
      <c r="AB23"/>
      <c r="AC23" s="27">
        <v>3.8496457040309906E-2</v>
      </c>
      <c r="AD23"/>
      <c r="AE23"/>
      <c r="AF23" s="63">
        <v>6.0920324176549911E-2</v>
      </c>
      <c r="AG23" s="26">
        <v>2.8735773637890816E-2</v>
      </c>
      <c r="AH23"/>
      <c r="AI23"/>
      <c r="AJ23" s="15">
        <v>1.1059470474720001E-2</v>
      </c>
      <c r="AK23" s="147">
        <v>6.7600928246974945E-2</v>
      </c>
      <c r="AL23" s="16">
        <v>1.6701586544513702E-2</v>
      </c>
      <c r="AM23" s="15">
        <v>1.1054776608943939E-2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1.3999999761581421</v>
      </c>
      <c r="C24">
        <v>7.0036813616752625E-2</v>
      </c>
      <c r="D24"/>
      <c r="E24"/>
      <c r="F24"/>
      <c r="G24"/>
      <c r="H24"/>
      <c r="I24"/>
      <c r="J24"/>
      <c r="K24"/>
      <c r="L24"/>
      <c r="M24" s="243">
        <v>0.11851897090673447</v>
      </c>
      <c r="N24"/>
      <c r="O24"/>
      <c r="P24"/>
      <c r="Q24" s="20">
        <v>6.0987710952758789E-2</v>
      </c>
      <c r="R24" s="12">
        <v>4.9418825656175613E-3</v>
      </c>
      <c r="S24" s="16">
        <v>2.1982794627547264E-2</v>
      </c>
      <c r="T24" s="276">
        <v>0.16144302487373352</v>
      </c>
      <c r="U24" s="15">
        <v>1.2457280419766903E-2</v>
      </c>
      <c r="V24"/>
      <c r="W24" s="289">
        <v>0.34932363033294678</v>
      </c>
      <c r="X24" s="248">
        <v>6.8240754306316376E-2</v>
      </c>
      <c r="Y24" s="294">
        <v>0.53206717967987061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0.40000000596046448</v>
      </c>
      <c r="C25">
        <v>3.994467481970787E-2</v>
      </c>
      <c r="D25"/>
      <c r="E25"/>
      <c r="F25"/>
      <c r="G25"/>
      <c r="H25"/>
      <c r="I25"/>
      <c r="J25"/>
      <c r="K25"/>
      <c r="L25"/>
      <c r="M25" s="244">
        <v>0.1418159157037735</v>
      </c>
      <c r="N25"/>
      <c r="O25"/>
      <c r="P25"/>
      <c r="Q25" s="143">
        <v>4.010111466050148E-2</v>
      </c>
      <c r="R25" s="263">
        <v>0.17289122939109802</v>
      </c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17">
        <v>5.2470541559159756E-3</v>
      </c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0.73000001907348633</v>
      </c>
      <c r="C26">
        <v>3.6511845886707306E-2</v>
      </c>
      <c r="D26"/>
      <c r="E26"/>
      <c r="F26"/>
      <c r="G26"/>
      <c r="H26"/>
      <c r="I26"/>
      <c r="J26"/>
      <c r="K26"/>
      <c r="L26"/>
      <c r="M26" s="245">
        <v>0.16555294394493103</v>
      </c>
      <c r="N26" s="77">
        <v>4.7353360801935196E-2</v>
      </c>
      <c r="O26" s="16">
        <v>1.1946105398237705E-2</v>
      </c>
      <c r="P26" s="66">
        <v>4.2269490659236908E-2</v>
      </c>
      <c r="Q26" s="71">
        <v>5.1976483315229416E-2</v>
      </c>
      <c r="R26" s="22">
        <v>5.0929654389619827E-3</v>
      </c>
      <c r="S26" s="252">
        <v>6.3129976391792297E-2</v>
      </c>
      <c r="T26"/>
      <c r="U26" s="74">
        <v>6.9081611931324005E-2</v>
      </c>
      <c r="V26"/>
      <c r="W26" s="257">
        <v>3.8438785821199417E-2</v>
      </c>
      <c r="X26"/>
      <c r="Y26" s="270">
        <v>0.11218926310539246</v>
      </c>
      <c r="Z26"/>
      <c r="AA26"/>
      <c r="AB26"/>
      <c r="AC26"/>
      <c r="AD26"/>
      <c r="AE26"/>
      <c r="AF26"/>
      <c r="AG26"/>
      <c r="AH26"/>
      <c r="AI26"/>
      <c r="AJ26"/>
      <c r="AK26" s="269">
        <v>8.6457185447216034E-2</v>
      </c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3.119999885559082</v>
      </c>
      <c r="C27">
        <v>0.15594442188739777</v>
      </c>
      <c r="D27"/>
      <c r="E27"/>
      <c r="F27"/>
      <c r="G27"/>
      <c r="H27"/>
      <c r="I27"/>
      <c r="J27"/>
      <c r="K27"/>
      <c r="L27"/>
      <c r="M27" s="25">
        <v>9.9838219583034515E-2</v>
      </c>
      <c r="N27"/>
      <c r="O27"/>
      <c r="P27" s="247">
        <v>7.1047604084014893E-2</v>
      </c>
      <c r="Q27" s="290">
        <v>0.58970266580581665</v>
      </c>
      <c r="R27" s="109">
        <v>0.20544926822185516</v>
      </c>
      <c r="S27" s="293">
        <v>0.74277299642562866</v>
      </c>
      <c r="T27" s="265">
        <v>0.13784603774547577</v>
      </c>
      <c r="U27" s="18">
        <v>3.7477366626262665E-2</v>
      </c>
      <c r="V27"/>
      <c r="W27" s="25">
        <v>9.6913278102874756E-2</v>
      </c>
      <c r="X27"/>
      <c r="Y27" s="267">
        <v>0.12008869647979736</v>
      </c>
      <c r="Z27" s="18">
        <v>3.8844522088766098E-2</v>
      </c>
      <c r="AA27"/>
      <c r="AB27"/>
      <c r="AC27" s="12">
        <v>1.3342851772904396E-2</v>
      </c>
      <c r="AD27"/>
      <c r="AE27"/>
      <c r="AF27" s="77">
        <v>0.20109479129314423</v>
      </c>
      <c r="AG27" s="18">
        <v>3.8619652390480042E-2</v>
      </c>
      <c r="AH27"/>
      <c r="AI27"/>
      <c r="AJ27" s="253">
        <v>0.10538940876722336</v>
      </c>
      <c r="AK27" s="261">
        <v>0.3561539351940155</v>
      </c>
      <c r="AL27"/>
      <c r="AM27" s="27">
        <v>0.10947370529174805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0.96020001173019409</v>
      </c>
      <c r="C28">
        <v>0.19204823672771454</v>
      </c>
      <c r="D28"/>
      <c r="E28"/>
      <c r="F28"/>
      <c r="G28"/>
      <c r="H28"/>
      <c r="I28"/>
      <c r="J28"/>
      <c r="K28"/>
      <c r="L28" s="237">
        <v>0.52339756488800049</v>
      </c>
      <c r="M28"/>
      <c r="N28"/>
      <c r="O28"/>
      <c r="P28"/>
      <c r="Q28"/>
      <c r="R28"/>
      <c r="S28" s="23">
        <v>5.5966614745557308E-3</v>
      </c>
      <c r="T28" s="266">
        <v>0.14002910256385803</v>
      </c>
      <c r="U28"/>
      <c r="V28"/>
      <c r="W28" s="250">
        <v>7.6545596122741699E-2</v>
      </c>
      <c r="X28"/>
      <c r="Y28"/>
      <c r="Z28"/>
      <c r="AA28"/>
      <c r="AB28"/>
      <c r="AC28" s="247">
        <v>2.2582853212952614E-2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1.2000000476837158</v>
      </c>
      <c r="C29">
        <v>0.23999863862991333</v>
      </c>
      <c r="D29"/>
      <c r="E29"/>
      <c r="F29"/>
      <c r="G29"/>
      <c r="H29"/>
      <c r="I29"/>
      <c r="J29"/>
      <c r="K29"/>
      <c r="L29"/>
      <c r="M29" s="246">
        <v>0.16641423106193542</v>
      </c>
      <c r="N29"/>
      <c r="O29"/>
      <c r="P29"/>
      <c r="Q29"/>
      <c r="R29"/>
      <c r="S29" s="64">
        <v>2.5511104613542557E-2</v>
      </c>
      <c r="T29" s="281">
        <v>0.15155111253261566</v>
      </c>
      <c r="U29" s="71">
        <v>8.5649698972702026E-2</v>
      </c>
      <c r="V29" s="247">
        <v>2.8623664751648903E-2</v>
      </c>
      <c r="W29"/>
      <c r="X29"/>
      <c r="Y29"/>
      <c r="Z29"/>
      <c r="AA29"/>
      <c r="AB29"/>
      <c r="AC29" s="22">
        <v>9.1654090210795403E-3</v>
      </c>
      <c r="AD29"/>
      <c r="AE29" s="279">
        <v>0.12481106072664261</v>
      </c>
      <c r="AF29" s="65">
        <v>4.834727942943573E-2</v>
      </c>
      <c r="AG29"/>
      <c r="AH29"/>
      <c r="AI29"/>
      <c r="AJ29" s="282">
        <v>0.15197743475437164</v>
      </c>
      <c r="AK29"/>
      <c r="AL29"/>
      <c r="AM29"/>
      <c r="AN29"/>
      <c r="AO29" s="246">
        <v>0.16795046627521515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3</v>
      </c>
      <c r="C30">
        <v>0.14999645948410034</v>
      </c>
      <c r="D30"/>
      <c r="E30"/>
      <c r="F30"/>
      <c r="G30"/>
      <c r="H30"/>
      <c r="I30"/>
      <c r="J30"/>
      <c r="K30"/>
      <c r="L30"/>
      <c r="M30" s="12">
        <v>1.121816411614418E-2</v>
      </c>
      <c r="N30"/>
      <c r="O30"/>
      <c r="P30"/>
      <c r="Q30"/>
      <c r="R30" s="12">
        <v>1.0243058204650879E-2</v>
      </c>
      <c r="S30" s="251">
        <v>0.26298364996910095</v>
      </c>
      <c r="T30" s="16">
        <v>4.7517050057649612E-2</v>
      </c>
      <c r="U30" s="22">
        <v>2.2608013823628426E-2</v>
      </c>
      <c r="V30" s="15">
        <v>3.0014969408512115E-2</v>
      </c>
      <c r="W30" s="23">
        <v>1.6703538596630096E-2</v>
      </c>
      <c r="X30" s="253">
        <v>9.8050989210605621E-2</v>
      </c>
      <c r="Y30"/>
      <c r="Z30" s="22">
        <v>2.4194298312067986E-2</v>
      </c>
      <c r="AA30" s="19">
        <v>5.0933938473463058E-2</v>
      </c>
      <c r="AB30"/>
      <c r="AC30" s="28">
        <v>0.14072877168655396</v>
      </c>
      <c r="AD30" s="255">
        <v>0.41290593147277832</v>
      </c>
      <c r="AE30" s="139">
        <v>0.35790449380874634</v>
      </c>
      <c r="AF30" s="21">
        <v>5.6966584175825119E-2</v>
      </c>
      <c r="AG30"/>
      <c r="AH30"/>
      <c r="AI30"/>
      <c r="AJ30" s="292">
        <v>0.65552467107772827</v>
      </c>
      <c r="AK30" s="14">
        <v>4.0923426859080791E-3</v>
      </c>
      <c r="AL30" s="17">
        <v>4.4082112610340118E-2</v>
      </c>
      <c r="AM30" s="275">
        <v>0.22642073035240173</v>
      </c>
      <c r="AN30" s="12">
        <v>9.8924962803721428E-3</v>
      </c>
      <c r="AO30" s="65">
        <v>0.12460225075483322</v>
      </c>
      <c r="AP30" s="250">
        <v>0.24241556227207184</v>
      </c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1.8849999904632568</v>
      </c>
      <c r="C31">
        <v>0.75399982929229736</v>
      </c>
      <c r="D31"/>
      <c r="E31"/>
      <c r="F31"/>
      <c r="G31"/>
      <c r="H31"/>
      <c r="I31"/>
      <c r="J31"/>
      <c r="K31"/>
      <c r="L31"/>
      <c r="M31" s="14">
        <v>2.039189450442791E-3</v>
      </c>
      <c r="N31"/>
      <c r="O31"/>
      <c r="P31"/>
      <c r="Q31"/>
      <c r="R31" s="11">
        <v>1.5013442316558212E-4</v>
      </c>
      <c r="S31" s="12">
        <v>7.6537053100764751E-3</v>
      </c>
      <c r="T31" s="14">
        <v>2.2734226658940315E-3</v>
      </c>
      <c r="U31" s="23">
        <v>1.0689607821404934E-2</v>
      </c>
      <c r="V31" s="11">
        <v>5.3671997739002109E-4</v>
      </c>
      <c r="W31" s="14">
        <v>1.8967643845826387E-3</v>
      </c>
      <c r="X31" s="11">
        <v>1.1417196365073323E-3</v>
      </c>
      <c r="Y31"/>
      <c r="Z31"/>
      <c r="AA31"/>
      <c r="AB31"/>
      <c r="AC31" s="11">
        <v>1.0999030200764537E-3</v>
      </c>
      <c r="AD31" s="17">
        <v>2.4507947266101837E-2</v>
      </c>
      <c r="AE31" s="23">
        <v>1.1233546771109104E-2</v>
      </c>
      <c r="AF31" s="14">
        <v>2.9005501419305801E-3</v>
      </c>
      <c r="AG31"/>
      <c r="AH31"/>
      <c r="AI31"/>
      <c r="AJ31" s="17">
        <v>2.7661249041557312E-2</v>
      </c>
      <c r="AK31" s="11">
        <v>1.3700939016416669E-3</v>
      </c>
      <c r="AL31"/>
      <c r="AM31" s="69">
        <v>9.4597645103931427E-2</v>
      </c>
      <c r="AN31" s="15">
        <v>1.9871728494763374E-2</v>
      </c>
      <c r="AO31" s="253">
        <v>6.1424907296895981E-2</v>
      </c>
      <c r="AP31" s="262">
        <v>0.35254544019699097</v>
      </c>
      <c r="AQ31" s="278">
        <v>0.50740587711334229</v>
      </c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1.6000000238418579</v>
      </c>
      <c r="C32">
        <v>0.63999956846237183</v>
      </c>
      <c r="D32"/>
      <c r="E32"/>
      <c r="F32"/>
      <c r="G32"/>
      <c r="H32"/>
      <c r="I32"/>
      <c r="J32"/>
      <c r="K32"/>
      <c r="L32"/>
      <c r="M32" s="11">
        <v>4.8862944822758436E-4</v>
      </c>
      <c r="N32"/>
      <c r="O32"/>
      <c r="P32"/>
      <c r="Q32"/>
      <c r="R32" s="11">
        <v>7.5476069469004869E-5</v>
      </c>
      <c r="S32"/>
      <c r="T32" s="11">
        <v>3.9506505709141493E-4</v>
      </c>
      <c r="U32" s="11">
        <v>8.9307274902239442E-4</v>
      </c>
      <c r="V32"/>
      <c r="W32"/>
      <c r="X32" s="14">
        <v>2.7776402421295643E-3</v>
      </c>
      <c r="Y32" s="14">
        <v>1.725711626932025E-3</v>
      </c>
      <c r="Z32"/>
      <c r="AA32" s="12">
        <v>5.0405552610754967E-3</v>
      </c>
      <c r="AB32" s="14">
        <v>2.0968765020370483E-3</v>
      </c>
      <c r="AC32" s="11">
        <v>3.8227232289500535E-4</v>
      </c>
      <c r="AD32"/>
      <c r="AE32" s="12">
        <v>5.2056391723453999E-3</v>
      </c>
      <c r="AF32" s="11">
        <v>1.0082379449158907E-3</v>
      </c>
      <c r="AG32"/>
      <c r="AH32"/>
      <c r="AI32" s="19">
        <v>2.700977586209774E-2</v>
      </c>
      <c r="AJ32" s="12">
        <v>5.4935389198362827E-3</v>
      </c>
      <c r="AK32"/>
      <c r="AL32" s="14">
        <v>1.7097715754061937E-3</v>
      </c>
      <c r="AM32" s="23">
        <v>1.0977464728057384E-2</v>
      </c>
      <c r="AN32" s="12">
        <v>6.3021248206496239E-3</v>
      </c>
      <c r="AO32" s="12">
        <v>6.6713360138237476E-3</v>
      </c>
      <c r="AP32"/>
      <c r="AQ32" s="299">
        <v>0.88174718618392944</v>
      </c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2.7999999523162842</v>
      </c>
      <c r="C33">
        <v>0.55999964475631714</v>
      </c>
      <c r="D33"/>
      <c r="E33"/>
      <c r="F33"/>
      <c r="G33"/>
      <c r="H33"/>
      <c r="I33"/>
      <c r="J33"/>
      <c r="K33"/>
      <c r="L33"/>
      <c r="M33" s="14">
        <v>3.4659882076084614E-3</v>
      </c>
      <c r="N33"/>
      <c r="O33"/>
      <c r="P33"/>
      <c r="Q33"/>
      <c r="R33"/>
      <c r="S33" s="14">
        <v>6.8788141943514347E-3</v>
      </c>
      <c r="T33"/>
      <c r="U33"/>
      <c r="V33" s="11">
        <v>1.2543699704110622E-3</v>
      </c>
      <c r="W33"/>
      <c r="X33"/>
      <c r="Y33" s="11">
        <v>1.2972780968993902E-3</v>
      </c>
      <c r="Z33"/>
      <c r="AA33" s="22">
        <v>2.4138370528817177E-2</v>
      </c>
      <c r="AB33" s="14">
        <v>8.1336861476302147E-3</v>
      </c>
      <c r="AC33" s="23">
        <v>1.3950278982520103E-2</v>
      </c>
      <c r="AD33" s="21">
        <v>5.5066678673028946E-2</v>
      </c>
      <c r="AE33" s="64">
        <v>6.2260009348392487E-2</v>
      </c>
      <c r="AF33" s="14">
        <v>3.9109080098569393E-3</v>
      </c>
      <c r="AG33"/>
      <c r="AH33"/>
      <c r="AI33" s="16">
        <v>4.3654028326272964E-2</v>
      </c>
      <c r="AJ33" s="12">
        <v>8.4717739373445511E-3</v>
      </c>
      <c r="AK33" s="11">
        <v>1.1285596992820501E-3</v>
      </c>
      <c r="AL33" s="12">
        <v>1.3264243490993977E-2</v>
      </c>
      <c r="AM33" s="23">
        <v>1.4193692244589329E-2</v>
      </c>
      <c r="AN33" s="14">
        <v>7.4415984563529491E-3</v>
      </c>
      <c r="AO33" s="18">
        <v>3.0462780967354774E-2</v>
      </c>
      <c r="AP33" s="79">
        <v>0.62007969617843628</v>
      </c>
      <c r="AQ33" s="301">
        <v>1.3209476470947266</v>
      </c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10</v>
      </c>
      <c r="C34">
        <v>1.0000002384185791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 s="11">
        <v>2.9328358359634876E-3</v>
      </c>
      <c r="AO34"/>
      <c r="AP34" s="65">
        <v>0.41625285148620605</v>
      </c>
      <c r="AQ34" s="300">
        <v>3.1452622413635254</v>
      </c>
      <c r="AR34" s="142">
        <v>5.435551643371582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20</v>
      </c>
      <c r="C35">
        <v>2.0000267028808594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 s="18">
        <v>0.24277018010616302</v>
      </c>
      <c r="X35" s="15">
        <v>0.21497446298599243</v>
      </c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 s="297">
        <v>3.0865840911865234</v>
      </c>
      <c r="AN35" s="23">
        <v>0.12472163140773773</v>
      </c>
      <c r="AO35"/>
      <c r="AP35"/>
      <c r="AQ35" s="298">
        <v>14.33092212677002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>
        <v>10.5</v>
      </c>
      <c r="C36">
        <v>2.5562868118286133</v>
      </c>
      <c r="D36"/>
      <c r="E36"/>
      <c r="F36"/>
      <c r="G36"/>
      <c r="H36"/>
      <c r="I36"/>
      <c r="J36"/>
      <c r="K36"/>
      <c r="L36"/>
      <c r="M36"/>
      <c r="N36"/>
      <c r="O36" s="11">
        <v>2.1993289701640606E-3</v>
      </c>
      <c r="P36" s="23">
        <v>6.4201444387435913E-2</v>
      </c>
      <c r="Q36"/>
      <c r="R36"/>
      <c r="S36" s="12">
        <v>3.1961865723133087E-2</v>
      </c>
      <c r="T36" s="14">
        <v>1.1866645887494087E-2</v>
      </c>
      <c r="U36"/>
      <c r="V36" s="14">
        <v>1.4200763776898384E-2</v>
      </c>
      <c r="W36" s="11">
        <v>8.5788602009415627E-3</v>
      </c>
      <c r="X36" s="22">
        <v>7.8558258712291718E-2</v>
      </c>
      <c r="Y36" s="12">
        <v>4.0191464126110077E-2</v>
      </c>
      <c r="Z36"/>
      <c r="AA36"/>
      <c r="AB36"/>
      <c r="AC36" s="14">
        <v>1.9138306379318237E-2</v>
      </c>
      <c r="AD36" s="20">
        <v>0.45486739277839661</v>
      </c>
      <c r="AE36" s="12">
        <v>3.9092734456062317E-2</v>
      </c>
      <c r="AF36" s="64">
        <v>0.23118476569652557</v>
      </c>
      <c r="AG36" s="15">
        <v>0.10547029227018356</v>
      </c>
      <c r="AH36" s="18">
        <v>0.12359348684549332</v>
      </c>
      <c r="AI36" s="241">
        <v>1.4198449850082397</v>
      </c>
      <c r="AJ36" s="25">
        <v>0.3364938497543335</v>
      </c>
      <c r="AK36"/>
      <c r="AL36" s="253">
        <v>0.34239599108695984</v>
      </c>
      <c r="AM36" s="12">
        <v>3.2974928617477417E-2</v>
      </c>
      <c r="AN36" s="14">
        <v>1.4406994916498661E-2</v>
      </c>
      <c r="AO36" s="75">
        <v>0.81659388542175293</v>
      </c>
      <c r="AP36" s="284">
        <v>1.1072386503219604</v>
      </c>
      <c r="AQ36" s="148">
        <v>2.648658275604248</v>
      </c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>
        <v>16.450000762939453</v>
      </c>
      <c r="C37">
        <v>4.0749402046203613</v>
      </c>
      <c r="D37"/>
      <c r="E37"/>
      <c r="F37"/>
      <c r="G37"/>
      <c r="H37"/>
      <c r="I37"/>
      <c r="J37"/>
      <c r="K37"/>
      <c r="L37"/>
      <c r="M37"/>
      <c r="N37"/>
      <c r="O37"/>
      <c r="P37" s="11">
        <v>1.1478282511234283E-2</v>
      </c>
      <c r="Q37"/>
      <c r="R37"/>
      <c r="S37" s="11">
        <v>5.3571700118482113E-3</v>
      </c>
      <c r="T37"/>
      <c r="U37"/>
      <c r="V37" s="12">
        <v>5.6373350322246552E-2</v>
      </c>
      <c r="W37" s="11">
        <v>3.9142691530287266E-3</v>
      </c>
      <c r="X37" s="11">
        <v>6.9946032017469406E-3</v>
      </c>
      <c r="Y37" s="11">
        <v>8.0838510766625404E-3</v>
      </c>
      <c r="Z37"/>
      <c r="AA37"/>
      <c r="AB37"/>
      <c r="AC37" s="11">
        <v>3.4644193947315216E-3</v>
      </c>
      <c r="AD37" s="12">
        <v>6.4328275620937347E-2</v>
      </c>
      <c r="AE37" s="22">
        <v>0.12449529767036438</v>
      </c>
      <c r="AF37" s="19">
        <v>0.29848706722259521</v>
      </c>
      <c r="AG37" s="23">
        <v>0.10996761918067932</v>
      </c>
      <c r="AH37" s="13">
        <v>0.59816473722457886</v>
      </c>
      <c r="AI37" s="279">
        <v>1.6998717784881592</v>
      </c>
      <c r="AJ37" s="14">
        <v>2.8301971033215523E-2</v>
      </c>
      <c r="AK37" s="11">
        <v>9.5898974686861038E-3</v>
      </c>
      <c r="AL37" s="15">
        <v>0.15064725279808044</v>
      </c>
      <c r="AM37"/>
      <c r="AN37"/>
      <c r="AO37" s="14">
        <v>2.7374062687158585E-2</v>
      </c>
      <c r="AP37" s="22">
        <v>0.11721201986074448</v>
      </c>
      <c r="AQ37" s="231">
        <v>2.4416971206665039</v>
      </c>
      <c r="AR37"/>
      <c r="AS37"/>
      <c r="AT37"/>
      <c r="AU37" s="17">
        <v>0.2323358952999115</v>
      </c>
      <c r="AV37" s="108">
        <v>4.776921272277832</v>
      </c>
      <c r="AW37" s="291">
        <v>1.6000000238418579</v>
      </c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229</v>
      </c>
      <c r="B38">
        <v>45.049999237060547</v>
      </c>
      <c r="C38">
        <v>5.2562012672424316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 s="14">
        <v>0.10773305594921112</v>
      </c>
      <c r="AI38" s="17">
        <v>0.62864261865615845</v>
      </c>
      <c r="AJ38"/>
      <c r="AK38"/>
      <c r="AL38"/>
      <c r="AM38"/>
      <c r="AN38"/>
      <c r="AO38"/>
      <c r="AP38"/>
      <c r="AQ38"/>
      <c r="AR38"/>
      <c r="AS38"/>
      <c r="AT38"/>
      <c r="AU38" s="12">
        <v>0.21480476856231689</v>
      </c>
      <c r="AV38" s="291">
        <v>4.4164743423461914</v>
      </c>
      <c r="AW38" s="303">
        <v>28.10614013671875</v>
      </c>
      <c r="AX38" s="78">
        <v>6.320000171661377</v>
      </c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230</v>
      </c>
      <c r="B39">
        <v>500</v>
      </c>
      <c r="C39">
        <v>107.98683929443359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 s="75">
        <v>39.076812744140625</v>
      </c>
      <c r="AS39" s="27">
        <v>17.629604339599609</v>
      </c>
      <c r="AT39" s="302">
        <v>47.927436828613281</v>
      </c>
      <c r="AU39"/>
      <c r="AV39"/>
      <c r="AW39"/>
      <c r="AX39" s="304">
        <v>287.37930297851562</v>
      </c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231</v>
      </c>
      <c r="B40">
        <v>119</v>
      </c>
      <c r="C40">
        <v>26.445131301879883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 s="11">
        <v>4.5877080410718918E-2</v>
      </c>
      <c r="AF40"/>
      <c r="AG40"/>
      <c r="AH40"/>
      <c r="AI40"/>
      <c r="AJ40"/>
      <c r="AK40"/>
      <c r="AL40"/>
      <c r="AM40"/>
      <c r="AN40" s="11">
        <v>4.2268140241503716E-3</v>
      </c>
      <c r="AO40"/>
      <c r="AP40"/>
      <c r="AQ40"/>
      <c r="AR40"/>
      <c r="AS40" s="286">
        <v>17.494350433349609</v>
      </c>
      <c r="AT40" s="19">
        <v>2.1618063449859619</v>
      </c>
      <c r="AU40" s="21">
        <v>2.4400796890258789</v>
      </c>
      <c r="AV40" s="28">
        <v>5.574338436126709</v>
      </c>
      <c r="AW40" s="66">
        <v>7.0015873908996582</v>
      </c>
      <c r="AX40" s="305">
        <v>57.832595825195312</v>
      </c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232</v>
      </c>
      <c r="B41">
        <v>151</v>
      </c>
      <c r="C41">
        <v>62.233482360839844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 s="146">
        <v>4.5681571960449219</v>
      </c>
      <c r="AT41" s="21">
        <v>3.1047220230102539</v>
      </c>
      <c r="AU41"/>
      <c r="AV41"/>
      <c r="AW41" s="285">
        <v>20.110942840576172</v>
      </c>
      <c r="AX41" s="141">
        <v>57.281002044677734</v>
      </c>
      <c r="AY41" s="26">
        <v>3.7016935348510742</v>
      </c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233</v>
      </c>
      <c r="B42">
        <v>4.5</v>
      </c>
      <c r="C42">
        <v>4.0265016555786133</v>
      </c>
      <c r="D42"/>
      <c r="E42"/>
      <c r="F42"/>
      <c r="G42"/>
      <c r="H42"/>
      <c r="I42"/>
      <c r="J42"/>
      <c r="K42"/>
      <c r="L42"/>
      <c r="M42" s="14">
        <v>9.002266451716423E-3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 s="12">
        <v>2.1510042250156403E-2</v>
      </c>
      <c r="AL42"/>
      <c r="AM42"/>
      <c r="AN42"/>
      <c r="AO42" s="291">
        <v>0.44298592209815979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234</v>
      </c>
      <c r="B43"/>
      <c r="C43">
        <v>0.86039769649505615</v>
      </c>
      <c r="D43"/>
      <c r="E43"/>
      <c r="F43"/>
      <c r="G43"/>
      <c r="H43"/>
      <c r="I43"/>
      <c r="J43"/>
      <c r="K43"/>
      <c r="L43"/>
      <c r="M43"/>
      <c r="N43" s="9">
        <v>1.0128604248166084E-2</v>
      </c>
      <c r="O43" s="9">
        <v>1.1788769625127316E-2</v>
      </c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 s="9">
        <v>2.9644236201420426E-4</v>
      </c>
      <c r="AE43"/>
      <c r="AF43"/>
      <c r="AG43"/>
      <c r="AH43"/>
      <c r="AI43"/>
      <c r="AJ43"/>
      <c r="AK43"/>
      <c r="AL43"/>
      <c r="AM43"/>
      <c r="AN43" s="9">
        <v>3.1957321334630251E-3</v>
      </c>
      <c r="AO43" s="9">
        <v>1.8520176410675049E-2</v>
      </c>
      <c r="AP43"/>
      <c r="AQ43" s="9">
        <v>9.6961364150047302E-2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235</v>
      </c>
      <c r="B44"/>
      <c r="C44">
        <v>0.90697276592254639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 s="9">
        <v>1.6762215818744153E-4</v>
      </c>
      <c r="S44" s="9">
        <v>4.2079966515302658E-3</v>
      </c>
      <c r="T44"/>
      <c r="U44"/>
      <c r="V44"/>
      <c r="W44"/>
      <c r="X44"/>
      <c r="Y44" s="9">
        <v>6.7738503217697144E-2</v>
      </c>
      <c r="Z44"/>
      <c r="AA44"/>
      <c r="AB44"/>
      <c r="AC44" s="9">
        <v>8.4897532360628247E-4</v>
      </c>
      <c r="AD44" s="9">
        <v>2.963928272947669E-3</v>
      </c>
      <c r="AE44"/>
      <c r="AF44"/>
      <c r="AG44"/>
      <c r="AH44"/>
      <c r="AI44"/>
      <c r="AJ44"/>
      <c r="AK44"/>
      <c r="AL44"/>
      <c r="AM44"/>
      <c r="AN44" s="9">
        <v>9.3307763338088989E-2</v>
      </c>
      <c r="AO44" s="9">
        <v>0.22594611346721649</v>
      </c>
      <c r="AP44" s="9">
        <v>6.4624919891357422</v>
      </c>
      <c r="AQ44" s="9">
        <v>10.568784713745117</v>
      </c>
      <c r="AR44" s="9">
        <v>115.4849853515625</v>
      </c>
      <c r="AS44" s="9">
        <v>72.140342712402344</v>
      </c>
      <c r="AT44" s="9">
        <v>261.49209594726562</v>
      </c>
      <c r="AU44"/>
      <c r="AV44"/>
      <c r="AW44" s="9">
        <v>52.931999206542969</v>
      </c>
      <c r="AX44" s="9">
        <v>542.74896240234375</v>
      </c>
      <c r="AY44" s="9">
        <v>954.79998779296875</v>
      </c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236</v>
      </c>
      <c r="B45"/>
      <c r="C45">
        <v>0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0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44.1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44.1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8" t="s">
        <v>193</v>
      </c>
      <c r="E5">
        <v>4</v>
      </c>
      <c r="F5">
        <v>3.13</v>
      </c>
      <c r="G5">
        <v>4</v>
      </c>
      <c r="H5" s="199" t="s">
        <v>193</v>
      </c>
      <c r="J5" s="56"/>
      <c r="K5" s="57"/>
    </row>
    <row r="6" spans="1:12" ht="14" thickBot="1" x14ac:dyDescent="0.2">
      <c r="A6" s="40" t="s">
        <v>121</v>
      </c>
      <c r="D6" s="198" t="s">
        <v>194</v>
      </c>
      <c r="E6">
        <v>5</v>
      </c>
      <c r="F6">
        <v>3.13</v>
      </c>
      <c r="G6">
        <v>5</v>
      </c>
      <c r="H6" s="199" t="s">
        <v>194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8" t="s">
        <v>195</v>
      </c>
      <c r="E7">
        <v>6</v>
      </c>
      <c r="F7">
        <v>3.13</v>
      </c>
      <c r="G7">
        <v>6</v>
      </c>
      <c r="H7" s="199" t="s">
        <v>195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8" t="s">
        <v>196</v>
      </c>
      <c r="E8">
        <v>7</v>
      </c>
      <c r="F8">
        <v>3.13</v>
      </c>
      <c r="G8">
        <v>7</v>
      </c>
      <c r="H8" s="199" t="s">
        <v>196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8" t="s">
        <v>197</v>
      </c>
      <c r="E9">
        <v>8</v>
      </c>
      <c r="F9">
        <v>3.12</v>
      </c>
      <c r="G9">
        <v>8</v>
      </c>
      <c r="H9" s="199" t="s">
        <v>197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8" t="s">
        <v>198</v>
      </c>
      <c r="E10">
        <v>9</v>
      </c>
      <c r="F10">
        <v>3.12</v>
      </c>
      <c r="G10">
        <v>9</v>
      </c>
      <c r="H10" s="199" t="s">
        <v>198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8" t="s">
        <v>199</v>
      </c>
      <c r="E11">
        <v>10</v>
      </c>
      <c r="F11">
        <v>3</v>
      </c>
      <c r="G11">
        <v>10</v>
      </c>
      <c r="H11" s="199" t="s">
        <v>199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8" t="s">
        <v>200</v>
      </c>
      <c r="E12">
        <v>11</v>
      </c>
      <c r="F12">
        <v>3.22</v>
      </c>
      <c r="G12">
        <v>11</v>
      </c>
      <c r="H12" s="199" t="s">
        <v>200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8" t="s">
        <v>201</v>
      </c>
      <c r="E13">
        <v>12</v>
      </c>
      <c r="F13">
        <v>3.12</v>
      </c>
      <c r="G13">
        <v>12</v>
      </c>
      <c r="H13" s="199" t="s">
        <v>201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8" t="s">
        <v>202</v>
      </c>
      <c r="E14">
        <v>13</v>
      </c>
      <c r="F14">
        <v>3.12</v>
      </c>
      <c r="G14">
        <v>13</v>
      </c>
      <c r="H14" s="199" t="s">
        <v>202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8" t="s">
        <v>203</v>
      </c>
      <c r="E15">
        <v>14</v>
      </c>
      <c r="F15">
        <v>3.12</v>
      </c>
      <c r="G15">
        <v>14</v>
      </c>
      <c r="H15" s="199" t="s">
        <v>203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8" t="s">
        <v>204</v>
      </c>
      <c r="E16">
        <v>15</v>
      </c>
      <c r="F16">
        <v>3.12</v>
      </c>
      <c r="G16">
        <v>15</v>
      </c>
      <c r="H16" s="199" t="s">
        <v>204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8" t="s">
        <v>205</v>
      </c>
      <c r="E17">
        <v>16</v>
      </c>
      <c r="F17">
        <v>3.22</v>
      </c>
      <c r="G17">
        <v>16</v>
      </c>
      <c r="H17" s="199" t="s">
        <v>205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8" t="s">
        <v>206</v>
      </c>
      <c r="E18">
        <v>17</v>
      </c>
      <c r="F18">
        <v>3.22</v>
      </c>
      <c r="G18">
        <v>17</v>
      </c>
      <c r="H18" s="199" t="s">
        <v>206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8" t="s">
        <v>207</v>
      </c>
      <c r="E19">
        <v>18</v>
      </c>
      <c r="F19">
        <v>3.22</v>
      </c>
      <c r="G19">
        <v>18</v>
      </c>
      <c r="H19" s="199" t="s">
        <v>207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8" t="s">
        <v>208</v>
      </c>
      <c r="E20">
        <v>19</v>
      </c>
      <c r="F20">
        <v>3.21</v>
      </c>
      <c r="G20">
        <v>19</v>
      </c>
      <c r="H20" s="199" t="s">
        <v>208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8" t="s">
        <v>209</v>
      </c>
      <c r="E21">
        <v>20</v>
      </c>
      <c r="F21">
        <v>3.21</v>
      </c>
      <c r="G21">
        <v>20</v>
      </c>
      <c r="H21" s="199" t="s">
        <v>209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8" t="s">
        <v>210</v>
      </c>
      <c r="E22">
        <v>21</v>
      </c>
      <c r="F22">
        <v>3.21</v>
      </c>
      <c r="G22">
        <v>21</v>
      </c>
      <c r="H22" s="199" t="s">
        <v>210</v>
      </c>
    </row>
    <row r="23" spans="1:12" x14ac:dyDescent="0.15">
      <c r="A23" s="35" t="s">
        <v>129</v>
      </c>
      <c r="B23" s="43">
        <v>4</v>
      </c>
      <c r="C23" s="37"/>
      <c r="D23" s="198" t="s">
        <v>211</v>
      </c>
      <c r="E23">
        <v>22</v>
      </c>
      <c r="F23">
        <v>3.12</v>
      </c>
      <c r="G23">
        <v>22</v>
      </c>
      <c r="H23" s="199" t="s">
        <v>211</v>
      </c>
    </row>
    <row r="24" spans="1:12" x14ac:dyDescent="0.15">
      <c r="A24" s="35" t="s">
        <v>122</v>
      </c>
      <c r="B24" s="43">
        <v>4.0999999999999996</v>
      </c>
      <c r="C24" s="37"/>
      <c r="D24" s="198" t="s">
        <v>212</v>
      </c>
      <c r="E24">
        <v>23</v>
      </c>
      <c r="F24">
        <v>3.12</v>
      </c>
      <c r="G24">
        <v>23</v>
      </c>
      <c r="H24" s="199" t="s">
        <v>212</v>
      </c>
    </row>
    <row r="25" spans="1:12" x14ac:dyDescent="0.15">
      <c r="A25" s="35" t="s">
        <v>70</v>
      </c>
      <c r="B25" s="43">
        <v>4.2</v>
      </c>
      <c r="C25" s="37"/>
      <c r="D25" s="198" t="s">
        <v>213</v>
      </c>
      <c r="E25">
        <v>24</v>
      </c>
      <c r="F25">
        <v>3.12</v>
      </c>
      <c r="G25">
        <v>24</v>
      </c>
      <c r="H25" s="199" t="s">
        <v>213</v>
      </c>
    </row>
    <row r="26" spans="1:12" x14ac:dyDescent="0.15">
      <c r="A26" s="35" t="s">
        <v>123</v>
      </c>
      <c r="B26" s="43">
        <v>4.3</v>
      </c>
      <c r="C26" s="37"/>
      <c r="D26" s="198" t="s">
        <v>214</v>
      </c>
      <c r="E26">
        <v>25</v>
      </c>
      <c r="F26">
        <v>3.12</v>
      </c>
      <c r="G26">
        <v>25</v>
      </c>
      <c r="H26" s="199" t="s">
        <v>214</v>
      </c>
    </row>
    <row r="27" spans="1:12" x14ac:dyDescent="0.15">
      <c r="A27" s="35" t="s">
        <v>125</v>
      </c>
      <c r="B27" s="43">
        <v>6.1</v>
      </c>
      <c r="D27" s="198" t="s">
        <v>215</v>
      </c>
      <c r="E27">
        <v>26</v>
      </c>
      <c r="F27">
        <v>3.22</v>
      </c>
      <c r="G27">
        <v>26</v>
      </c>
      <c r="H27" s="199" t="s">
        <v>215</v>
      </c>
    </row>
    <row r="28" spans="1:12" x14ac:dyDescent="0.15">
      <c r="A28" s="35" t="s">
        <v>124</v>
      </c>
      <c r="B28" s="43">
        <v>6.2</v>
      </c>
      <c r="D28" s="198" t="s">
        <v>216</v>
      </c>
      <c r="E28">
        <v>27</v>
      </c>
      <c r="F28">
        <v>3.12</v>
      </c>
      <c r="G28">
        <v>27</v>
      </c>
      <c r="H28" s="199" t="s">
        <v>216</v>
      </c>
    </row>
    <row r="29" spans="1:12" x14ac:dyDescent="0.15">
      <c r="A29" s="35" t="s">
        <v>44</v>
      </c>
      <c r="B29" s="43">
        <v>5</v>
      </c>
      <c r="D29" s="198" t="s">
        <v>217</v>
      </c>
      <c r="E29">
        <v>28</v>
      </c>
      <c r="F29">
        <v>3.12</v>
      </c>
      <c r="G29">
        <v>28</v>
      </c>
      <c r="H29" s="199" t="s">
        <v>217</v>
      </c>
    </row>
    <row r="30" spans="1:12" x14ac:dyDescent="0.15">
      <c r="A30" s="35" t="s">
        <v>73</v>
      </c>
      <c r="B30" s="43">
        <v>7</v>
      </c>
      <c r="D30" s="198" t="s">
        <v>218</v>
      </c>
      <c r="E30">
        <v>29</v>
      </c>
      <c r="F30">
        <v>3.12</v>
      </c>
      <c r="G30">
        <v>29</v>
      </c>
      <c r="H30" s="199" t="s">
        <v>218</v>
      </c>
    </row>
    <row r="31" spans="1:12" x14ac:dyDescent="0.15">
      <c r="A31" s="35" t="s">
        <v>169</v>
      </c>
      <c r="B31" s="43">
        <v>3.14</v>
      </c>
      <c r="D31" s="198" t="s">
        <v>219</v>
      </c>
      <c r="E31">
        <v>30</v>
      </c>
      <c r="F31">
        <v>3.21</v>
      </c>
      <c r="G31">
        <v>30</v>
      </c>
      <c r="H31" s="199" t="s">
        <v>219</v>
      </c>
    </row>
    <row r="32" spans="1:12" ht="12" customHeight="1" thickBot="1" x14ac:dyDescent="0.2">
      <c r="A32" s="41" t="s">
        <v>170</v>
      </c>
      <c r="B32" s="44">
        <v>9</v>
      </c>
      <c r="D32" s="198" t="s">
        <v>220</v>
      </c>
      <c r="E32">
        <v>31</v>
      </c>
      <c r="F32">
        <v>3.21</v>
      </c>
      <c r="G32">
        <v>31</v>
      </c>
      <c r="H32" s="199" t="s">
        <v>220</v>
      </c>
    </row>
    <row r="33" spans="4:8" customFormat="1" ht="12" customHeight="1" x14ac:dyDescent="0.15">
      <c r="D33" s="198" t="s">
        <v>221</v>
      </c>
      <c r="E33">
        <v>32</v>
      </c>
      <c r="F33">
        <v>3</v>
      </c>
      <c r="G33">
        <v>32</v>
      </c>
      <c r="H33" s="199" t="s">
        <v>221</v>
      </c>
    </row>
    <row r="34" spans="4:8" customFormat="1" ht="12" customHeight="1" x14ac:dyDescent="0.15">
      <c r="D34" s="198" t="s">
        <v>222</v>
      </c>
      <c r="E34">
        <v>33</v>
      </c>
      <c r="F34">
        <v>3.21</v>
      </c>
      <c r="G34">
        <v>33</v>
      </c>
      <c r="H34" s="199" t="s">
        <v>222</v>
      </c>
    </row>
    <row r="35" spans="4:8" customFormat="1" x14ac:dyDescent="0.15">
      <c r="D35" s="198" t="s">
        <v>223</v>
      </c>
      <c r="E35">
        <v>34</v>
      </c>
      <c r="F35">
        <v>3.21</v>
      </c>
      <c r="G35">
        <v>34</v>
      </c>
      <c r="H35" s="199" t="s">
        <v>223</v>
      </c>
    </row>
    <row r="36" spans="4:8" customFormat="1" x14ac:dyDescent="0.15">
      <c r="D36" s="198" t="s">
        <v>224</v>
      </c>
      <c r="E36">
        <v>35</v>
      </c>
      <c r="F36">
        <v>3.2</v>
      </c>
      <c r="G36">
        <v>35</v>
      </c>
      <c r="H36" s="199" t="s">
        <v>224</v>
      </c>
    </row>
    <row r="37" spans="4:8" customFormat="1" ht="12" customHeight="1" x14ac:dyDescent="0.15">
      <c r="D37" s="198" t="s">
        <v>225</v>
      </c>
      <c r="E37">
        <v>36</v>
      </c>
      <c r="F37">
        <v>3.21</v>
      </c>
      <c r="G37">
        <v>36</v>
      </c>
      <c r="H37" s="199" t="s">
        <v>225</v>
      </c>
    </row>
    <row r="38" spans="4:8" customFormat="1" x14ac:dyDescent="0.15">
      <c r="D38" s="198" t="s">
        <v>226</v>
      </c>
      <c r="E38">
        <v>37</v>
      </c>
      <c r="F38">
        <v>3.21</v>
      </c>
      <c r="G38">
        <v>37</v>
      </c>
      <c r="H38" s="199" t="s">
        <v>226</v>
      </c>
    </row>
    <row r="39" spans="4:8" customFormat="1" x14ac:dyDescent="0.15">
      <c r="D39" s="198" t="s">
        <v>227</v>
      </c>
      <c r="E39">
        <v>38</v>
      </c>
      <c r="F39">
        <v>3.11</v>
      </c>
      <c r="G39">
        <v>38</v>
      </c>
      <c r="H39" s="199" t="s">
        <v>227</v>
      </c>
    </row>
    <row r="40" spans="4:8" customFormat="1" x14ac:dyDescent="0.15">
      <c r="D40" s="198" t="s">
        <v>228</v>
      </c>
      <c r="E40">
        <v>39</v>
      </c>
      <c r="F40">
        <v>3.11</v>
      </c>
      <c r="G40">
        <v>39</v>
      </c>
      <c r="H40" s="199" t="s">
        <v>228</v>
      </c>
    </row>
    <row r="41" spans="4:8" customFormat="1" x14ac:dyDescent="0.15">
      <c r="D41" s="198" t="s">
        <v>229</v>
      </c>
      <c r="E41">
        <v>40</v>
      </c>
      <c r="F41">
        <v>3.14</v>
      </c>
      <c r="G41">
        <v>40</v>
      </c>
      <c r="H41" s="199" t="s">
        <v>229</v>
      </c>
    </row>
    <row r="42" spans="4:8" customFormat="1" x14ac:dyDescent="0.15">
      <c r="D42" s="198" t="s">
        <v>230</v>
      </c>
      <c r="E42">
        <v>41</v>
      </c>
      <c r="F42">
        <v>9</v>
      </c>
      <c r="G42">
        <v>41</v>
      </c>
      <c r="H42" s="199" t="s">
        <v>230</v>
      </c>
    </row>
    <row r="43" spans="4:8" customFormat="1" x14ac:dyDescent="0.15">
      <c r="D43" s="198" t="s">
        <v>231</v>
      </c>
      <c r="E43">
        <v>42</v>
      </c>
      <c r="F43">
        <v>2.1</v>
      </c>
      <c r="G43">
        <v>42</v>
      </c>
      <c r="H43" s="199" t="s">
        <v>231</v>
      </c>
    </row>
    <row r="44" spans="4:8" customFormat="1" x14ac:dyDescent="0.15">
      <c r="D44" s="198" t="s">
        <v>232</v>
      </c>
      <c r="E44">
        <v>43</v>
      </c>
      <c r="F44">
        <v>2.2000000000000002</v>
      </c>
      <c r="G44">
        <v>43</v>
      </c>
      <c r="H44" s="199" t="s">
        <v>232</v>
      </c>
    </row>
    <row r="45" spans="4:8" customFormat="1" x14ac:dyDescent="0.15">
      <c r="D45" s="198" t="s">
        <v>233</v>
      </c>
      <c r="E45">
        <v>44</v>
      </c>
      <c r="F45">
        <v>2</v>
      </c>
      <c r="G45">
        <v>44</v>
      </c>
      <c r="H45" s="199" t="s">
        <v>233</v>
      </c>
    </row>
    <row r="46" spans="4:8" customFormat="1" x14ac:dyDescent="0.15">
      <c r="D46" s="198" t="s">
        <v>234</v>
      </c>
      <c r="E46">
        <v>45</v>
      </c>
      <c r="F46">
        <v>4.2</v>
      </c>
      <c r="G46">
        <v>45</v>
      </c>
      <c r="H46" s="199" t="s">
        <v>234</v>
      </c>
    </row>
    <row r="47" spans="4:8" customFormat="1" x14ac:dyDescent="0.15">
      <c r="D47" s="198" t="s">
        <v>235</v>
      </c>
      <c r="E47">
        <v>46</v>
      </c>
      <c r="F47">
        <v>4.0999999999999996</v>
      </c>
      <c r="G47">
        <v>46</v>
      </c>
      <c r="H47" s="199" t="s">
        <v>235</v>
      </c>
    </row>
    <row r="48" spans="4:8" customFormat="1" x14ac:dyDescent="0.15">
      <c r="D48" s="198" t="s">
        <v>236</v>
      </c>
      <c r="E48">
        <v>47</v>
      </c>
      <c r="F48">
        <v>4.3</v>
      </c>
      <c r="G48">
        <v>47</v>
      </c>
      <c r="H48" s="199" t="s">
        <v>236</v>
      </c>
    </row>
    <row r="49" spans="4:8" customFormat="1" x14ac:dyDescent="0.15">
      <c r="D49" s="198" t="s">
        <v>201</v>
      </c>
      <c r="E49">
        <v>48</v>
      </c>
      <c r="F49">
        <v>5</v>
      </c>
      <c r="G49">
        <v>48</v>
      </c>
      <c r="H49" s="199" t="s">
        <v>201</v>
      </c>
    </row>
    <row r="50" spans="4:8" customFormat="1" ht="12" customHeight="1" x14ac:dyDescent="0.15">
      <c r="D50" s="198" t="s">
        <v>202</v>
      </c>
      <c r="E50">
        <v>49</v>
      </c>
      <c r="F50">
        <v>5</v>
      </c>
      <c r="G50">
        <v>49</v>
      </c>
      <c r="H50" s="199" t="s">
        <v>202</v>
      </c>
    </row>
    <row r="51" spans="4:8" customFormat="1" x14ac:dyDescent="0.15">
      <c r="D51" s="198" t="s">
        <v>211</v>
      </c>
      <c r="E51">
        <v>50</v>
      </c>
      <c r="F51">
        <v>5</v>
      </c>
      <c r="G51">
        <v>50</v>
      </c>
      <c r="H51" s="199" t="s">
        <v>211</v>
      </c>
    </row>
    <row r="52" spans="4:8" customFormat="1" ht="12" customHeight="1" x14ac:dyDescent="0.15">
      <c r="D52" s="198" t="s">
        <v>212</v>
      </c>
      <c r="E52">
        <v>51</v>
      </c>
      <c r="F52">
        <v>5</v>
      </c>
      <c r="G52">
        <v>51</v>
      </c>
      <c r="H52" s="199" t="s">
        <v>212</v>
      </c>
    </row>
    <row r="53" spans="4:8" customFormat="1" x14ac:dyDescent="0.15">
      <c r="D53" s="198" t="s">
        <v>213</v>
      </c>
      <c r="E53">
        <v>52</v>
      </c>
      <c r="F53">
        <v>5</v>
      </c>
      <c r="G53">
        <v>52</v>
      </c>
      <c r="H53" s="199" t="s">
        <v>213</v>
      </c>
    </row>
    <row r="54" spans="4:8" customFormat="1" ht="12" customHeight="1" x14ac:dyDescent="0.15">
      <c r="D54" s="198" t="s">
        <v>214</v>
      </c>
      <c r="E54">
        <v>53</v>
      </c>
      <c r="F54">
        <v>5</v>
      </c>
      <c r="G54">
        <v>53</v>
      </c>
      <c r="H54" s="199" t="s">
        <v>214</v>
      </c>
    </row>
    <row r="55" spans="4:8" customFormat="1" ht="12" customHeight="1" x14ac:dyDescent="0.15">
      <c r="D55" s="198" t="s">
        <v>206</v>
      </c>
      <c r="E55">
        <v>54</v>
      </c>
      <c r="F55">
        <v>5</v>
      </c>
      <c r="G55">
        <v>54</v>
      </c>
      <c r="H55" s="199" t="s">
        <v>206</v>
      </c>
    </row>
    <row r="56" spans="4:8" customFormat="1" x14ac:dyDescent="0.15">
      <c r="D56" s="198" t="s">
        <v>205</v>
      </c>
      <c r="E56">
        <v>55</v>
      </c>
      <c r="F56">
        <v>5</v>
      </c>
      <c r="G56">
        <v>55</v>
      </c>
      <c r="H56" s="199" t="s">
        <v>205</v>
      </c>
    </row>
    <row r="57" spans="4:8" customFormat="1" x14ac:dyDescent="0.15">
      <c r="D57" s="198" t="s">
        <v>219</v>
      </c>
      <c r="E57">
        <v>56</v>
      </c>
      <c r="F57">
        <v>5</v>
      </c>
      <c r="G57">
        <v>56</v>
      </c>
      <c r="H57" s="199" t="s">
        <v>219</v>
      </c>
    </row>
    <row r="58" spans="4:8" customFormat="1" x14ac:dyDescent="0.15">
      <c r="D58" s="198" t="s">
        <v>237</v>
      </c>
      <c r="E58">
        <v>57</v>
      </c>
      <c r="F58">
        <v>5</v>
      </c>
      <c r="G58">
        <v>57</v>
      </c>
      <c r="H58" s="199" t="s">
        <v>237</v>
      </c>
    </row>
    <row r="59" spans="4:8" customFormat="1" x14ac:dyDescent="0.15">
      <c r="D59" s="198" t="s">
        <v>138</v>
      </c>
      <c r="E59">
        <v>58</v>
      </c>
      <c r="F59">
        <v>6.1</v>
      </c>
      <c r="G59">
        <v>58</v>
      </c>
      <c r="H59" s="199" t="s">
        <v>138</v>
      </c>
    </row>
    <row r="60" spans="4:8" customFormat="1" x14ac:dyDescent="0.15">
      <c r="D60" s="198" t="s">
        <v>45</v>
      </c>
      <c r="E60">
        <v>59</v>
      </c>
      <c r="F60">
        <v>6.2</v>
      </c>
      <c r="G60">
        <v>59</v>
      </c>
      <c r="H60" s="199" t="s">
        <v>45</v>
      </c>
    </row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5" style="85" bestFit="1" customWidth="1"/>
    <col min="2" max="2" width="12.83203125" style="84" customWidth="1"/>
    <col min="3" max="3" width="15" style="84" customWidth="1"/>
    <col min="4" max="4" width="7.83203125" style="84" customWidth="1"/>
    <col min="5" max="5" width="12.83203125" style="84" customWidth="1"/>
    <col min="6" max="6" width="44.16406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2" customWidth="1"/>
    <col min="17" max="17" width="2.33203125" style="84" customWidth="1"/>
    <col min="18" max="18" width="2.33203125" style="73" customWidth="1"/>
    <col min="19" max="16384" width="11.5" style="84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6" t="s">
        <v>48</v>
      </c>
      <c r="L1" s="73"/>
      <c r="M1" s="86" t="s">
        <v>119</v>
      </c>
      <c r="N1" s="73"/>
      <c r="O1" s="86" t="s">
        <v>49</v>
      </c>
      <c r="P1" s="76"/>
      <c r="Q1" s="86" t="s">
        <v>50</v>
      </c>
      <c r="R1" s="70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8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8">
        <v>0</v>
      </c>
      <c r="R4" s="112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8">
        <v>0</v>
      </c>
      <c r="R5" s="112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200" t="s">
        <v>193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2">
        <v>0</v>
      </c>
      <c r="Q6" s="84">
        <v>0</v>
      </c>
      <c r="R6" s="73">
        <v>1</v>
      </c>
      <c r="S6"/>
      <c r="T6"/>
    </row>
    <row r="7" spans="1:23" ht="15" customHeight="1" thickBot="1" x14ac:dyDescent="0.2">
      <c r="F7" s="200" t="s">
        <v>194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2">
        <v>0</v>
      </c>
      <c r="Q7" s="84">
        <v>0</v>
      </c>
      <c r="R7" s="73">
        <v>1</v>
      </c>
      <c r="S7"/>
      <c r="T7"/>
    </row>
    <row r="8" spans="1:23" ht="15" customHeight="1" x14ac:dyDescent="0.15">
      <c r="A8" s="86" t="s">
        <v>56</v>
      </c>
      <c r="B8" s="93">
        <v>0.53045718352495408</v>
      </c>
      <c r="C8" s="201" t="s">
        <v>231</v>
      </c>
      <c r="D8" s="88" t="s">
        <v>160</v>
      </c>
      <c r="F8" s="200" t="s">
        <v>195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2">
        <v>0</v>
      </c>
      <c r="Q8" s="84">
        <v>0</v>
      </c>
      <c r="R8" s="73">
        <v>1</v>
      </c>
      <c r="S8"/>
      <c r="T8"/>
      <c r="W8"/>
    </row>
    <row r="9" spans="1:23" ht="15" customHeight="1" x14ac:dyDescent="0.15">
      <c r="A9" s="126" t="s">
        <v>168</v>
      </c>
      <c r="B9" s="95">
        <v>0.46867782526941792</v>
      </c>
      <c r="C9" s="201" t="s">
        <v>232</v>
      </c>
      <c r="D9" s="88" t="s">
        <v>160</v>
      </c>
      <c r="F9" s="200" t="s">
        <v>196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2">
        <v>0</v>
      </c>
      <c r="Q9" s="84">
        <v>0</v>
      </c>
      <c r="R9" s="73">
        <v>1</v>
      </c>
      <c r="S9"/>
      <c r="T9"/>
      <c r="W9"/>
    </row>
    <row r="10" spans="1:23" ht="15" customHeight="1" x14ac:dyDescent="0.15">
      <c r="B10" s="95">
        <v>8.6499120562792643E-4</v>
      </c>
      <c r="C10" s="201" t="s">
        <v>233</v>
      </c>
      <c r="D10" s="88" t="s">
        <v>160</v>
      </c>
      <c r="F10" s="200" t="s">
        <v>197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2">
        <v>0</v>
      </c>
      <c r="Q10" s="84">
        <v>0</v>
      </c>
      <c r="R10" s="73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200" t="s">
        <v>198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2">
        <v>0</v>
      </c>
      <c r="Q11" s="84">
        <v>0</v>
      </c>
      <c r="R11" s="73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200" t="s">
        <v>199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2">
        <v>0</v>
      </c>
      <c r="Q12" s="84">
        <v>0</v>
      </c>
      <c r="R12" s="73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200" t="s">
        <v>200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2">
        <v>0</v>
      </c>
      <c r="Q13" s="84">
        <v>0</v>
      </c>
      <c r="R13" s="73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200" t="s">
        <v>201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2">
        <v>0</v>
      </c>
      <c r="Q14" s="84">
        <v>0</v>
      </c>
      <c r="R14" s="73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200" t="s">
        <v>202</v>
      </c>
      <c r="G15" s="84">
        <v>0</v>
      </c>
      <c r="H15" s="84">
        <v>0</v>
      </c>
      <c r="I15" s="84">
        <v>0</v>
      </c>
      <c r="J15" s="84">
        <v>0</v>
      </c>
      <c r="K15" s="84">
        <v>0</v>
      </c>
      <c r="L15" s="84">
        <v>1</v>
      </c>
      <c r="M15" s="84">
        <v>0</v>
      </c>
      <c r="N15" s="84">
        <v>1</v>
      </c>
      <c r="O15" s="84">
        <v>0</v>
      </c>
      <c r="P15" s="72">
        <v>1</v>
      </c>
      <c r="Q15" s="84">
        <v>0</v>
      </c>
      <c r="R15" s="73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200" t="s">
        <v>203</v>
      </c>
      <c r="G16" s="84">
        <v>0</v>
      </c>
      <c r="H16" s="84">
        <v>0</v>
      </c>
      <c r="I16" s="84">
        <v>0</v>
      </c>
      <c r="J16" s="84">
        <v>0</v>
      </c>
      <c r="K16" s="84">
        <v>0</v>
      </c>
      <c r="L16" s="84">
        <v>1</v>
      </c>
      <c r="M16" s="84">
        <v>0</v>
      </c>
      <c r="N16" s="84">
        <v>1</v>
      </c>
      <c r="O16" s="84">
        <v>0</v>
      </c>
      <c r="P16" s="72">
        <v>1</v>
      </c>
      <c r="Q16" s="84">
        <v>0</v>
      </c>
      <c r="R16" s="73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200" t="s">
        <v>204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2">
        <v>0</v>
      </c>
      <c r="Q17" s="84">
        <v>0</v>
      </c>
      <c r="R17" s="73">
        <v>1</v>
      </c>
      <c r="S17"/>
      <c r="T17"/>
    </row>
    <row r="18" spans="1:20" ht="15" customHeight="1" thickBot="1" x14ac:dyDescent="0.2">
      <c r="B18" s="96"/>
      <c r="F18" s="200" t="s">
        <v>205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2">
        <v>0</v>
      </c>
      <c r="Q18" s="84">
        <v>0</v>
      </c>
      <c r="R18" s="73">
        <v>1</v>
      </c>
      <c r="S18"/>
      <c r="T18"/>
    </row>
    <row r="19" spans="1:20" ht="15" customHeight="1" x14ac:dyDescent="0.15">
      <c r="A19" s="86" t="s">
        <v>57</v>
      </c>
      <c r="B19" s="93">
        <v>0.53045718352495408</v>
      </c>
      <c r="C19" s="202" t="s">
        <v>231</v>
      </c>
      <c r="D19" s="88" t="s">
        <v>160</v>
      </c>
      <c r="F19" s="200" t="s">
        <v>206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2">
        <v>0</v>
      </c>
      <c r="Q19" s="84">
        <v>0</v>
      </c>
      <c r="R19" s="73">
        <v>1</v>
      </c>
      <c r="S19"/>
      <c r="T19"/>
    </row>
    <row r="20" spans="1:20" ht="15" customHeight="1" x14ac:dyDescent="0.15">
      <c r="A20" s="126" t="s">
        <v>168</v>
      </c>
      <c r="B20" s="95">
        <v>0.46867782526941792</v>
      </c>
      <c r="C20" s="202" t="s">
        <v>232</v>
      </c>
      <c r="D20" s="88" t="s">
        <v>160</v>
      </c>
      <c r="F20" s="200" t="s">
        <v>207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2">
        <v>0</v>
      </c>
      <c r="Q20" s="84">
        <v>0</v>
      </c>
      <c r="R20" s="73">
        <v>1</v>
      </c>
      <c r="S20"/>
      <c r="T20"/>
    </row>
    <row r="21" spans="1:20" ht="15" customHeight="1" x14ac:dyDescent="0.15">
      <c r="B21" s="95">
        <v>8.6499120562792643E-4</v>
      </c>
      <c r="C21" s="202" t="s">
        <v>233</v>
      </c>
      <c r="D21" s="88" t="s">
        <v>160</v>
      </c>
      <c r="F21" s="200" t="s">
        <v>208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2">
        <v>0</v>
      </c>
      <c r="Q21" s="84">
        <v>0</v>
      </c>
      <c r="R21" s="73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200" t="s">
        <v>209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2">
        <v>0</v>
      </c>
      <c r="Q22" s="84">
        <v>0</v>
      </c>
      <c r="R22" s="73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200" t="s">
        <v>210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2">
        <v>0</v>
      </c>
      <c r="Q23" s="84">
        <v>0</v>
      </c>
      <c r="R23" s="73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200" t="s">
        <v>211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2">
        <v>0</v>
      </c>
      <c r="Q24" s="84">
        <v>0</v>
      </c>
      <c r="R24" s="73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200" t="s">
        <v>212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2">
        <v>0</v>
      </c>
      <c r="Q25" s="84">
        <v>0</v>
      </c>
      <c r="R25" s="73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200" t="s">
        <v>213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2">
        <v>0</v>
      </c>
      <c r="Q26" s="84">
        <v>0</v>
      </c>
      <c r="R26" s="73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200" t="s">
        <v>214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2">
        <v>0</v>
      </c>
      <c r="Q27" s="84">
        <v>0</v>
      </c>
      <c r="R27" s="73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200" t="s">
        <v>215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2">
        <v>0</v>
      </c>
      <c r="Q28" s="84">
        <v>0</v>
      </c>
      <c r="R28" s="73">
        <v>1</v>
      </c>
      <c r="S28"/>
      <c r="T28"/>
    </row>
    <row r="29" spans="1:20" ht="15" customHeight="1" x14ac:dyDescent="0.15">
      <c r="F29" s="200" t="s">
        <v>216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2">
        <v>0</v>
      </c>
      <c r="Q29" s="84">
        <v>0</v>
      </c>
      <c r="R29" s="73">
        <v>1</v>
      </c>
      <c r="S29"/>
      <c r="T29"/>
    </row>
    <row r="30" spans="1:20" ht="15" customHeight="1" x14ac:dyDescent="0.15">
      <c r="F30" s="200" t="s">
        <v>217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2">
        <v>0</v>
      </c>
      <c r="Q30" s="84">
        <v>0</v>
      </c>
      <c r="R30" s="73">
        <v>1</v>
      </c>
      <c r="S30"/>
      <c r="T30"/>
    </row>
    <row r="31" spans="1:20" ht="15" customHeight="1" x14ac:dyDescent="0.15">
      <c r="A31" s="127"/>
      <c r="B31" s="136" t="s">
        <v>17</v>
      </c>
      <c r="C31" s="136" t="s">
        <v>1</v>
      </c>
      <c r="D31" s="136" t="s">
        <v>161</v>
      </c>
      <c r="E31" s="137" t="s">
        <v>163</v>
      </c>
      <c r="F31" s="200" t="s">
        <v>218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2">
        <v>0</v>
      </c>
      <c r="Q31" s="84">
        <v>0</v>
      </c>
      <c r="R31" s="73">
        <v>1</v>
      </c>
      <c r="S31"/>
      <c r="T31"/>
    </row>
    <row r="32" spans="1:20" ht="15" customHeight="1" x14ac:dyDescent="0.15">
      <c r="A32" s="203" t="s">
        <v>231</v>
      </c>
      <c r="B32" s="96">
        <v>7.56</v>
      </c>
      <c r="C32" s="96">
        <v>119</v>
      </c>
      <c r="D32" s="96">
        <v>899.64</v>
      </c>
      <c r="E32" s="128">
        <v>0.53045718352495408</v>
      </c>
      <c r="F32" s="200" t="s">
        <v>219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2">
        <v>0</v>
      </c>
      <c r="Q32" s="84">
        <v>0</v>
      </c>
      <c r="R32" s="73">
        <v>1</v>
      </c>
      <c r="S32"/>
      <c r="T32"/>
    </row>
    <row r="33" spans="1:20" ht="15" customHeight="1" x14ac:dyDescent="0.15">
      <c r="A33" s="203" t="s">
        <v>232</v>
      </c>
      <c r="B33" s="96">
        <v>5.2640000000000002</v>
      </c>
      <c r="C33" s="96">
        <v>151</v>
      </c>
      <c r="D33" s="96">
        <v>794.86400000000003</v>
      </c>
      <c r="E33" s="128">
        <v>0.46867782526941792</v>
      </c>
      <c r="F33" s="200" t="s">
        <v>220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2">
        <v>0</v>
      </c>
      <c r="Q33" s="84">
        <v>0</v>
      </c>
      <c r="R33" s="73">
        <v>1</v>
      </c>
      <c r="S33"/>
      <c r="T33"/>
    </row>
    <row r="34" spans="1:20" ht="15" customHeight="1" x14ac:dyDescent="0.15">
      <c r="A34" s="203" t="s">
        <v>233</v>
      </c>
      <c r="B34" s="96">
        <v>0.32600000000000001</v>
      </c>
      <c r="C34" s="96">
        <v>4.5</v>
      </c>
      <c r="D34" s="96">
        <v>1.4670000000000001</v>
      </c>
      <c r="E34" s="128">
        <v>8.6499120562792643E-4</v>
      </c>
      <c r="F34" s="200" t="s">
        <v>221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2">
        <v>0</v>
      </c>
      <c r="Q34" s="84">
        <v>0</v>
      </c>
      <c r="R34" s="73">
        <v>1</v>
      </c>
      <c r="S34"/>
      <c r="T34"/>
    </row>
    <row r="35" spans="1:20" ht="15" customHeight="1" x14ac:dyDescent="0.15">
      <c r="A35" s="129"/>
      <c r="B35" s="96"/>
      <c r="C35" s="96"/>
      <c r="D35" s="96"/>
      <c r="E35" s="128"/>
      <c r="F35" s="200" t="s">
        <v>222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2">
        <v>0</v>
      </c>
      <c r="Q35" s="84">
        <v>0</v>
      </c>
      <c r="R35" s="73">
        <v>1</v>
      </c>
      <c r="S35"/>
      <c r="T35"/>
    </row>
    <row r="36" spans="1:20" ht="15" customHeight="1" x14ac:dyDescent="0.15">
      <c r="A36" s="130"/>
      <c r="B36" s="96"/>
      <c r="C36" s="96"/>
      <c r="D36" s="96"/>
      <c r="E36" s="128"/>
      <c r="F36" s="200" t="s">
        <v>223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2">
        <v>0</v>
      </c>
      <c r="Q36" s="84">
        <v>0</v>
      </c>
      <c r="R36" s="73">
        <v>1</v>
      </c>
      <c r="S36"/>
      <c r="T36"/>
    </row>
    <row r="37" spans="1:20" ht="15" customHeight="1" x14ac:dyDescent="0.15">
      <c r="A37" s="130"/>
      <c r="B37" s="96"/>
      <c r="C37" s="96"/>
      <c r="D37" s="96"/>
      <c r="E37" s="128"/>
      <c r="F37" s="200" t="s">
        <v>224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2">
        <v>0</v>
      </c>
      <c r="Q37" s="84">
        <v>0</v>
      </c>
      <c r="R37" s="73">
        <v>1</v>
      </c>
      <c r="S37"/>
      <c r="T37"/>
    </row>
    <row r="38" spans="1:20" ht="15" customHeight="1" x14ac:dyDescent="0.15">
      <c r="A38" s="131"/>
      <c r="B38" s="96"/>
      <c r="C38" s="96"/>
      <c r="D38" s="96"/>
      <c r="E38" s="128"/>
      <c r="F38" s="200" t="s">
        <v>225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2">
        <v>0</v>
      </c>
      <c r="Q38" s="84">
        <v>0</v>
      </c>
      <c r="R38" s="73">
        <v>1</v>
      </c>
      <c r="S38"/>
      <c r="T38"/>
    </row>
    <row r="39" spans="1:20" ht="15" customHeight="1" x14ac:dyDescent="0.15">
      <c r="A39" s="131"/>
      <c r="B39" s="96"/>
      <c r="C39" s="96"/>
      <c r="D39" s="96"/>
      <c r="E39" s="128"/>
      <c r="F39" s="200" t="s">
        <v>226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2">
        <v>0</v>
      </c>
      <c r="Q39" s="84">
        <v>0</v>
      </c>
      <c r="R39" s="73">
        <v>1</v>
      </c>
      <c r="S39"/>
      <c r="T39"/>
    </row>
    <row r="40" spans="1:20" ht="15" customHeight="1" x14ac:dyDescent="0.15">
      <c r="A40" s="131"/>
      <c r="B40" s="96"/>
      <c r="C40" s="96"/>
      <c r="D40" s="96"/>
      <c r="E40" s="128"/>
      <c r="F40" s="200" t="s">
        <v>227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2">
        <v>0</v>
      </c>
      <c r="Q40" s="84">
        <v>0</v>
      </c>
      <c r="R40" s="73">
        <v>1</v>
      </c>
      <c r="S40"/>
      <c r="T40"/>
    </row>
    <row r="41" spans="1:20" ht="15" customHeight="1" thickBot="1" x14ac:dyDescent="0.2">
      <c r="A41" s="131"/>
      <c r="B41" s="96"/>
      <c r="C41" s="96"/>
      <c r="D41" s="97"/>
      <c r="E41" s="132"/>
      <c r="F41" s="200" t="s">
        <v>228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2">
        <v>0</v>
      </c>
      <c r="Q41" s="84">
        <v>0</v>
      </c>
      <c r="R41" s="73">
        <v>1</v>
      </c>
      <c r="S41"/>
      <c r="T41"/>
    </row>
    <row r="42" spans="1:20" ht="15" customHeight="1" x14ac:dyDescent="0.15">
      <c r="A42" s="133"/>
      <c r="B42" s="134"/>
      <c r="C42" s="134" t="s">
        <v>162</v>
      </c>
      <c r="D42" s="134">
        <f>SUM(D32:D41)</f>
        <v>1695.971</v>
      </c>
      <c r="E42" s="135">
        <f>SUM(E32:E41)</f>
        <v>0.99999999999999989</v>
      </c>
      <c r="F42" s="200" t="s">
        <v>229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2">
        <v>0</v>
      </c>
      <c r="Q42" s="84">
        <v>0</v>
      </c>
      <c r="R42" s="73">
        <v>1</v>
      </c>
      <c r="S42"/>
      <c r="T42"/>
    </row>
    <row r="43" spans="1:20" ht="15" customHeight="1" x14ac:dyDescent="0.15">
      <c r="A43" s="84"/>
      <c r="F43" s="200" t="s">
        <v>230</v>
      </c>
      <c r="G43" s="84">
        <v>0</v>
      </c>
      <c r="H43" s="84">
        <v>0</v>
      </c>
      <c r="I43" s="84">
        <v>0</v>
      </c>
      <c r="J43" s="84">
        <v>0</v>
      </c>
      <c r="K43" s="84">
        <v>1</v>
      </c>
      <c r="L43" s="84">
        <v>0</v>
      </c>
      <c r="M43" s="84">
        <v>1</v>
      </c>
      <c r="N43" s="84">
        <v>0</v>
      </c>
      <c r="O43" s="84">
        <v>1</v>
      </c>
      <c r="P43" s="72">
        <v>0</v>
      </c>
      <c r="Q43" s="84">
        <v>0</v>
      </c>
      <c r="R43" s="73">
        <v>1</v>
      </c>
      <c r="S43"/>
      <c r="T43"/>
    </row>
    <row r="44" spans="1:20" ht="15" customHeight="1" x14ac:dyDescent="0.15">
      <c r="A44" s="84"/>
      <c r="F44" s="200" t="s">
        <v>231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0</v>
      </c>
      <c r="M44" s="84">
        <v>1</v>
      </c>
      <c r="N44" s="84">
        <v>0</v>
      </c>
      <c r="O44" s="84">
        <v>0</v>
      </c>
      <c r="P44" s="72">
        <v>0</v>
      </c>
      <c r="Q44" s="84">
        <v>0</v>
      </c>
      <c r="R44" s="73">
        <v>1</v>
      </c>
    </row>
    <row r="45" spans="1:20" ht="15" customHeight="1" x14ac:dyDescent="0.15">
      <c r="A45" s="84"/>
      <c r="F45" s="200" t="s">
        <v>232</v>
      </c>
      <c r="G45" s="84">
        <v>0</v>
      </c>
      <c r="H45" s="84">
        <v>0</v>
      </c>
      <c r="I45" s="84">
        <v>0</v>
      </c>
      <c r="J45" s="84">
        <v>0</v>
      </c>
      <c r="K45" s="84">
        <v>0</v>
      </c>
      <c r="L45" s="84">
        <v>0</v>
      </c>
      <c r="M45" s="84">
        <v>1</v>
      </c>
      <c r="N45" s="84">
        <v>0</v>
      </c>
      <c r="O45" s="84">
        <v>0</v>
      </c>
      <c r="P45" s="72">
        <v>0</v>
      </c>
      <c r="Q45" s="84">
        <v>0</v>
      </c>
      <c r="R45" s="73">
        <v>1</v>
      </c>
    </row>
    <row r="46" spans="1:20" ht="15" customHeight="1" x14ac:dyDescent="0.15">
      <c r="A46" s="84"/>
      <c r="F46" s="200" t="s">
        <v>233</v>
      </c>
      <c r="G46" s="84">
        <v>0</v>
      </c>
      <c r="H46" s="84">
        <v>0</v>
      </c>
      <c r="I46" s="84">
        <v>0</v>
      </c>
      <c r="J46" s="84">
        <v>0</v>
      </c>
      <c r="K46" s="84">
        <v>0</v>
      </c>
      <c r="L46" s="84">
        <v>0</v>
      </c>
      <c r="M46" s="84">
        <v>1</v>
      </c>
      <c r="N46" s="84">
        <v>0</v>
      </c>
      <c r="O46" s="84">
        <v>0</v>
      </c>
      <c r="P46" s="72">
        <v>0</v>
      </c>
      <c r="Q46" s="84">
        <v>0</v>
      </c>
      <c r="R46" s="73">
        <v>1</v>
      </c>
    </row>
    <row r="47" spans="1:20" ht="15" customHeight="1" x14ac:dyDescent="0.15">
      <c r="A47" s="84"/>
      <c r="F47" s="200" t="s">
        <v>234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1</v>
      </c>
      <c r="M47" s="84">
        <v>0</v>
      </c>
      <c r="N47" s="84">
        <v>1</v>
      </c>
      <c r="O47" s="84">
        <v>0</v>
      </c>
      <c r="P47" s="72">
        <v>1</v>
      </c>
      <c r="Q47" s="84">
        <v>0</v>
      </c>
      <c r="R47" s="73">
        <v>1</v>
      </c>
    </row>
    <row r="48" spans="1:20" ht="15" customHeight="1" x14ac:dyDescent="0.15">
      <c r="A48" s="84"/>
      <c r="F48" s="200" t="s">
        <v>235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1</v>
      </c>
      <c r="M48" s="84">
        <v>0</v>
      </c>
      <c r="N48" s="84">
        <v>1</v>
      </c>
      <c r="O48" s="84">
        <v>0</v>
      </c>
      <c r="P48" s="72">
        <v>1</v>
      </c>
      <c r="Q48" s="84">
        <v>0</v>
      </c>
      <c r="R48" s="73">
        <v>1</v>
      </c>
    </row>
    <row r="49" spans="6:18" s="84" customFormat="1" ht="15" customHeight="1" x14ac:dyDescent="0.15">
      <c r="F49" s="200" t="s">
        <v>236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1</v>
      </c>
      <c r="M49" s="84">
        <v>0</v>
      </c>
      <c r="N49" s="84">
        <v>1</v>
      </c>
      <c r="O49" s="84">
        <v>0</v>
      </c>
      <c r="P49" s="72">
        <v>1</v>
      </c>
      <c r="Q49" s="84">
        <v>0</v>
      </c>
      <c r="R49" s="73">
        <v>1</v>
      </c>
    </row>
    <row r="50" spans="6:18" s="84" customFormat="1" ht="15" customHeight="1" x14ac:dyDescent="0.15">
      <c r="F50" s="200" t="s">
        <v>201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1</v>
      </c>
      <c r="M50" s="84">
        <v>0</v>
      </c>
      <c r="N50" s="84">
        <v>0</v>
      </c>
      <c r="O50" s="84">
        <v>0</v>
      </c>
      <c r="P50" s="72">
        <v>0</v>
      </c>
      <c r="Q50" s="84">
        <v>0</v>
      </c>
      <c r="R50" s="73">
        <v>1</v>
      </c>
    </row>
    <row r="51" spans="6:18" s="84" customFormat="1" ht="15" customHeight="1" x14ac:dyDescent="0.15">
      <c r="F51" s="200" t="s">
        <v>202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1</v>
      </c>
      <c r="M51" s="84">
        <v>0</v>
      </c>
      <c r="N51" s="84">
        <v>0</v>
      </c>
      <c r="O51" s="84">
        <v>0</v>
      </c>
      <c r="P51" s="72">
        <v>0</v>
      </c>
      <c r="Q51" s="84">
        <v>0</v>
      </c>
      <c r="R51" s="73">
        <v>1</v>
      </c>
    </row>
    <row r="52" spans="6:18" s="84" customFormat="1" ht="15" customHeight="1" x14ac:dyDescent="0.15">
      <c r="F52" s="200" t="s">
        <v>211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1</v>
      </c>
      <c r="M52" s="84">
        <v>0</v>
      </c>
      <c r="N52" s="84">
        <v>0</v>
      </c>
      <c r="O52" s="84">
        <v>0</v>
      </c>
      <c r="P52" s="72">
        <v>0</v>
      </c>
      <c r="Q52" s="84">
        <v>0</v>
      </c>
      <c r="R52" s="73">
        <v>1</v>
      </c>
    </row>
    <row r="53" spans="6:18" s="84" customFormat="1" ht="15" customHeight="1" x14ac:dyDescent="0.15">
      <c r="F53" s="200" t="s">
        <v>212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1</v>
      </c>
      <c r="M53" s="84">
        <v>0</v>
      </c>
      <c r="N53" s="84">
        <v>0</v>
      </c>
      <c r="O53" s="84">
        <v>0</v>
      </c>
      <c r="P53" s="72">
        <v>0</v>
      </c>
      <c r="Q53" s="84">
        <v>0</v>
      </c>
      <c r="R53" s="73">
        <v>1</v>
      </c>
    </row>
    <row r="54" spans="6:18" s="84" customFormat="1" ht="15" customHeight="1" x14ac:dyDescent="0.15">
      <c r="F54" s="200" t="s">
        <v>213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1</v>
      </c>
      <c r="M54" s="84">
        <v>0</v>
      </c>
      <c r="N54" s="84">
        <v>0</v>
      </c>
      <c r="O54" s="84">
        <v>0</v>
      </c>
      <c r="P54" s="72">
        <v>0</v>
      </c>
      <c r="Q54" s="84">
        <v>0</v>
      </c>
      <c r="R54" s="73">
        <v>1</v>
      </c>
    </row>
    <row r="55" spans="6:18" s="84" customFormat="1" ht="15" customHeight="1" x14ac:dyDescent="0.15">
      <c r="F55" s="200" t="s">
        <v>214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1</v>
      </c>
      <c r="M55" s="84">
        <v>0</v>
      </c>
      <c r="N55" s="84">
        <v>0</v>
      </c>
      <c r="O55" s="84">
        <v>0</v>
      </c>
      <c r="P55" s="72">
        <v>0</v>
      </c>
      <c r="Q55" s="84">
        <v>0</v>
      </c>
      <c r="R55" s="73">
        <v>1</v>
      </c>
    </row>
    <row r="56" spans="6:18" s="84" customFormat="1" ht="15" customHeight="1" x14ac:dyDescent="0.15">
      <c r="F56" s="200" t="s">
        <v>206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1</v>
      </c>
      <c r="M56" s="84">
        <v>0</v>
      </c>
      <c r="N56" s="84">
        <v>0</v>
      </c>
      <c r="O56" s="84">
        <v>0</v>
      </c>
      <c r="P56" s="72">
        <v>0</v>
      </c>
      <c r="Q56" s="84">
        <v>0</v>
      </c>
      <c r="R56" s="73">
        <v>1</v>
      </c>
    </row>
    <row r="57" spans="6:18" s="84" customFormat="1" ht="15" customHeight="1" x14ac:dyDescent="0.15">
      <c r="F57" s="200" t="s">
        <v>205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1</v>
      </c>
      <c r="M57" s="84">
        <v>0</v>
      </c>
      <c r="N57" s="84">
        <v>0</v>
      </c>
      <c r="O57" s="84">
        <v>0</v>
      </c>
      <c r="P57" s="72">
        <v>0</v>
      </c>
      <c r="Q57" s="84">
        <v>0</v>
      </c>
      <c r="R57" s="73">
        <v>1</v>
      </c>
    </row>
    <row r="58" spans="6:18" s="84" customFormat="1" ht="15" customHeight="1" x14ac:dyDescent="0.15">
      <c r="F58" s="200" t="s">
        <v>219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1</v>
      </c>
      <c r="M58" s="84">
        <v>0</v>
      </c>
      <c r="N58" s="84">
        <v>0</v>
      </c>
      <c r="O58" s="84">
        <v>0</v>
      </c>
      <c r="P58" s="72">
        <v>0</v>
      </c>
      <c r="Q58" s="84">
        <v>0</v>
      </c>
      <c r="R58" s="73">
        <v>1</v>
      </c>
    </row>
    <row r="59" spans="6:18" s="84" customFormat="1" ht="15" customHeight="1" x14ac:dyDescent="0.15">
      <c r="F59" s="200" t="s">
        <v>237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1</v>
      </c>
      <c r="M59" s="84">
        <v>0</v>
      </c>
      <c r="N59" s="84">
        <v>0</v>
      </c>
      <c r="O59" s="84">
        <v>0</v>
      </c>
      <c r="P59" s="72">
        <v>0</v>
      </c>
      <c r="Q59" s="84">
        <v>0</v>
      </c>
      <c r="R59" s="73">
        <v>1</v>
      </c>
    </row>
    <row r="60" spans="6:18" s="8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J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44.1640625" bestFit="1" customWidth="1"/>
    <col min="2" max="2" width="2.33203125" style="112" customWidth="1"/>
    <col min="3" max="5" width="7.83203125" style="112" customWidth="1"/>
    <col min="6" max="8" width="8.83203125" style="6"/>
    <col min="9" max="9" width="29.5" style="6" customWidth="1"/>
    <col min="10" max="10" width="21.6640625" style="6" customWidth="1"/>
    <col min="11" max="11" width="13.33203125" style="6" customWidth="1"/>
    <col min="12" max="12" width="14.1640625" style="6" customWidth="1"/>
    <col min="13" max="13" width="8.6640625" style="6" customWidth="1"/>
    <col min="14" max="14" width="11.33203125" style="6" customWidth="1"/>
    <col min="15" max="15" width="9.5" style="6" customWidth="1"/>
    <col min="16" max="16" width="9.1640625" style="6" customWidth="1"/>
    <col min="17" max="17" width="11.83203125" style="6" customWidth="1"/>
    <col min="18" max="18" width="11.1640625" style="6" customWidth="1"/>
    <col min="19" max="19" width="12.1640625" style="6" customWidth="1"/>
    <col min="20" max="20" width="8.1640625" style="6" customWidth="1"/>
    <col min="21" max="21" width="7.5" style="6" customWidth="1"/>
    <col min="22" max="22" width="5" style="6" customWidth="1"/>
    <col min="23" max="23" width="6.5" style="6" customWidth="1"/>
    <col min="24" max="24" width="10.6640625" style="6" customWidth="1"/>
    <col min="25" max="25" width="11.33203125" style="6" customWidth="1"/>
    <col min="26" max="26" width="11" style="6" customWidth="1"/>
    <col min="27" max="27" width="14.33203125" style="6" customWidth="1"/>
    <col min="28" max="28" width="8.83203125" style="6" customWidth="1"/>
    <col min="29" max="29" width="8.33203125" style="6" customWidth="1"/>
    <col min="30" max="30" width="7.5" style="6" customWidth="1"/>
    <col min="31" max="31" width="6.1640625" style="6" customWidth="1"/>
    <col min="32" max="32" width="9" style="6" customWidth="1"/>
    <col min="33" max="33" width="9.5" style="6" customWidth="1"/>
    <col min="34" max="34" width="12" style="6" customWidth="1"/>
    <col min="35" max="35" width="13.5" style="6" customWidth="1"/>
    <col min="36" max="36" width="13.83203125" style="6" customWidth="1"/>
    <col min="37" max="37" width="8.1640625" style="6" customWidth="1"/>
    <col min="38" max="38" width="44.1640625" style="6" customWidth="1"/>
    <col min="39" max="39" width="34.6640625" customWidth="1"/>
    <col min="40" max="40" width="34.33203125" customWidth="1"/>
    <col min="41" max="41" width="16.5" customWidth="1"/>
    <col min="42" max="42" width="23.1640625" customWidth="1"/>
    <col min="43" max="43" width="16.5" customWidth="1"/>
    <col min="44" max="45" width="15.83203125" customWidth="1"/>
    <col min="46" max="46" width="8.1640625" customWidth="1"/>
    <col min="47" max="47" width="14.6640625" customWidth="1"/>
    <col min="48" max="48" width="15" customWidth="1"/>
    <col min="49" max="49" width="16.83203125" customWidth="1"/>
    <col min="50" max="50" width="8.5" customWidth="1"/>
    <col min="51" max="51" width="7.6640625" customWidth="1"/>
    <col min="52" max="52" width="21.6640625" customWidth="1"/>
    <col min="53" max="53" width="11.83203125" customWidth="1"/>
    <col min="54" max="54" width="11.1640625" customWidth="1"/>
    <col min="55" max="55" width="14.33203125" customWidth="1"/>
    <col min="56" max="56" width="8.83203125" customWidth="1"/>
    <col min="57" max="57" width="8.33203125" customWidth="1"/>
    <col min="58" max="58" width="7.5" customWidth="1"/>
    <col min="59" max="59" width="5" customWidth="1"/>
    <col min="60" max="60" width="7.5" customWidth="1"/>
    <col min="61" max="61" width="13.5" customWidth="1"/>
    <col min="62" max="62" width="5.83203125" customWidth="1"/>
    <col min="81" max="81" width="22.1640625" bestFit="1" customWidth="1"/>
  </cols>
  <sheetData>
    <row r="1" spans="1:62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5" t="s">
        <v>193</v>
      </c>
      <c r="J1" s="205" t="s">
        <v>194</v>
      </c>
      <c r="K1" s="205" t="s">
        <v>195</v>
      </c>
      <c r="L1" s="205" t="s">
        <v>196</v>
      </c>
      <c r="M1" s="205" t="s">
        <v>197</v>
      </c>
      <c r="N1" s="205" t="s">
        <v>198</v>
      </c>
      <c r="O1" s="205" t="s">
        <v>199</v>
      </c>
      <c r="P1" s="205" t="s">
        <v>200</v>
      </c>
      <c r="Q1" s="205" t="s">
        <v>201</v>
      </c>
      <c r="R1" s="205" t="s">
        <v>202</v>
      </c>
      <c r="S1" s="205" t="s">
        <v>203</v>
      </c>
      <c r="T1" s="205" t="s">
        <v>204</v>
      </c>
      <c r="U1" s="205" t="s">
        <v>205</v>
      </c>
      <c r="V1" s="205" t="s">
        <v>206</v>
      </c>
      <c r="W1" s="205" t="s">
        <v>207</v>
      </c>
      <c r="X1" s="205" t="s">
        <v>208</v>
      </c>
      <c r="Y1" s="205" t="s">
        <v>209</v>
      </c>
      <c r="Z1" s="205" t="s">
        <v>210</v>
      </c>
      <c r="AA1" s="205" t="s">
        <v>211</v>
      </c>
      <c r="AB1" s="205" t="s">
        <v>212</v>
      </c>
      <c r="AC1" s="205" t="s">
        <v>213</v>
      </c>
      <c r="AD1" s="205" t="s">
        <v>214</v>
      </c>
      <c r="AE1" s="205" t="s">
        <v>215</v>
      </c>
      <c r="AF1" s="205" t="s">
        <v>216</v>
      </c>
      <c r="AG1" s="205" t="s">
        <v>217</v>
      </c>
      <c r="AH1" s="205" t="s">
        <v>218</v>
      </c>
      <c r="AI1" s="205" t="s">
        <v>219</v>
      </c>
      <c r="AJ1" s="205" t="s">
        <v>220</v>
      </c>
      <c r="AK1" s="205" t="s">
        <v>221</v>
      </c>
      <c r="AL1" s="205" t="s">
        <v>222</v>
      </c>
      <c r="AM1" s="205" t="s">
        <v>223</v>
      </c>
      <c r="AN1" s="205" t="s">
        <v>224</v>
      </c>
      <c r="AO1" s="205" t="s">
        <v>225</v>
      </c>
      <c r="AP1" s="205" t="s">
        <v>226</v>
      </c>
      <c r="AQ1" s="205" t="s">
        <v>227</v>
      </c>
      <c r="AR1" s="205" t="s">
        <v>228</v>
      </c>
      <c r="AS1" s="205" t="s">
        <v>229</v>
      </c>
      <c r="AT1" s="205" t="s">
        <v>230</v>
      </c>
      <c r="AU1" s="205" t="s">
        <v>231</v>
      </c>
      <c r="AV1" s="205" t="s">
        <v>232</v>
      </c>
      <c r="AW1" s="205" t="s">
        <v>233</v>
      </c>
      <c r="AX1" s="205" t="s">
        <v>234</v>
      </c>
      <c r="AY1" s="205" t="s">
        <v>235</v>
      </c>
      <c r="AZ1" s="205" t="s">
        <v>236</v>
      </c>
      <c r="BA1" s="205" t="s">
        <v>201</v>
      </c>
      <c r="BB1" s="205" t="s">
        <v>202</v>
      </c>
      <c r="BC1" s="205" t="s">
        <v>211</v>
      </c>
      <c r="BD1" s="205" t="s">
        <v>212</v>
      </c>
      <c r="BE1" s="205" t="s">
        <v>213</v>
      </c>
      <c r="BF1" s="205" t="s">
        <v>214</v>
      </c>
      <c r="BG1" s="205" t="s">
        <v>206</v>
      </c>
      <c r="BH1" s="205" t="s">
        <v>205</v>
      </c>
      <c r="BI1" s="205" t="s">
        <v>219</v>
      </c>
      <c r="BJ1" s="205" t="s">
        <v>237</v>
      </c>
    </row>
    <row r="2" spans="1:62" x14ac:dyDescent="0.15">
      <c r="A2" t="s">
        <v>38</v>
      </c>
      <c r="B2" s="11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2" x14ac:dyDescent="0.15">
      <c r="A3" t="s">
        <v>40</v>
      </c>
      <c r="B3" s="11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2" x14ac:dyDescent="0.15">
      <c r="A4" t="s">
        <v>41</v>
      </c>
      <c r="B4" s="11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2" x14ac:dyDescent="0.15">
      <c r="A5" s="204" t="s">
        <v>193</v>
      </c>
      <c r="B5" s="11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2" x14ac:dyDescent="0.15">
      <c r="A6" s="204" t="s">
        <v>194</v>
      </c>
      <c r="B6" s="11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2" x14ac:dyDescent="0.15">
      <c r="A7" s="204" t="s">
        <v>195</v>
      </c>
      <c r="B7" s="11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2" x14ac:dyDescent="0.15">
      <c r="A8" s="204" t="s">
        <v>196</v>
      </c>
      <c r="B8" s="11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2" x14ac:dyDescent="0.15">
      <c r="A9" s="204" t="s">
        <v>197</v>
      </c>
      <c r="B9" s="11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2" x14ac:dyDescent="0.15">
      <c r="A10" s="204" t="s">
        <v>198</v>
      </c>
      <c r="B10" s="11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2" x14ac:dyDescent="0.15">
      <c r="A11" s="204" t="s">
        <v>199</v>
      </c>
      <c r="B11" s="11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2" x14ac:dyDescent="0.15">
      <c r="A12" s="204" t="s">
        <v>200</v>
      </c>
      <c r="B12" s="11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2" x14ac:dyDescent="0.15">
      <c r="A13" s="204" t="s">
        <v>201</v>
      </c>
      <c r="B13" s="11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2" x14ac:dyDescent="0.15">
      <c r="A14" s="204" t="s">
        <v>202</v>
      </c>
      <c r="B14" s="11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2" x14ac:dyDescent="0.15">
      <c r="A15" s="204" t="s">
        <v>203</v>
      </c>
      <c r="B15" s="11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2" x14ac:dyDescent="0.15">
      <c r="A16" s="204" t="s">
        <v>204</v>
      </c>
      <c r="B16" s="11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4" t="s">
        <v>205</v>
      </c>
      <c r="B17" s="11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4" t="s">
        <v>206</v>
      </c>
      <c r="B18" s="11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4" t="s">
        <v>207</v>
      </c>
      <c r="B19" s="11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4" t="s">
        <v>208</v>
      </c>
      <c r="B20" s="11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4" t="s">
        <v>209</v>
      </c>
      <c r="B21" s="11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4" t="s">
        <v>210</v>
      </c>
      <c r="B22" s="11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4" t="s">
        <v>211</v>
      </c>
      <c r="B23" s="11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4" t="s">
        <v>212</v>
      </c>
      <c r="B24" s="11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4" t="s">
        <v>213</v>
      </c>
      <c r="B25" s="11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4" t="s">
        <v>214</v>
      </c>
      <c r="B26" s="11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4" t="s">
        <v>215</v>
      </c>
      <c r="B27" s="11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4" t="s">
        <v>216</v>
      </c>
      <c r="B28" s="11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4" t="s">
        <v>217</v>
      </c>
      <c r="B29" s="11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4" t="s">
        <v>218</v>
      </c>
      <c r="B30" s="11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4" t="s">
        <v>219</v>
      </c>
      <c r="B31" s="11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4" t="s">
        <v>220</v>
      </c>
      <c r="B32" s="11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4" t="s">
        <v>221</v>
      </c>
      <c r="B33" s="11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4" t="s">
        <v>222</v>
      </c>
      <c r="B34" s="11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4" t="s">
        <v>223</v>
      </c>
      <c r="B35" s="11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4" t="s">
        <v>224</v>
      </c>
      <c r="B36" s="112">
        <v>0</v>
      </c>
      <c r="C36"/>
      <c r="D36"/>
    </row>
    <row r="37" spans="1:38" ht="15" customHeight="1" x14ac:dyDescent="0.15">
      <c r="A37" s="204" t="s">
        <v>225</v>
      </c>
      <c r="B37" s="112">
        <v>0</v>
      </c>
      <c r="C37"/>
      <c r="D37"/>
    </row>
    <row r="38" spans="1:38" ht="15" customHeight="1" x14ac:dyDescent="0.15">
      <c r="A38" s="204" t="s">
        <v>226</v>
      </c>
      <c r="B38" s="112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4" t="s">
        <v>227</v>
      </c>
      <c r="B39" s="112">
        <v>0</v>
      </c>
      <c r="C39"/>
      <c r="D39"/>
    </row>
    <row r="40" spans="1:38" ht="15" customHeight="1" x14ac:dyDescent="0.15">
      <c r="A40" s="204" t="s">
        <v>228</v>
      </c>
      <c r="B40" s="112">
        <v>0</v>
      </c>
      <c r="C40"/>
      <c r="D40"/>
    </row>
    <row r="41" spans="1:38" ht="15" customHeight="1" x14ac:dyDescent="0.15">
      <c r="A41" s="204" t="s">
        <v>229</v>
      </c>
      <c r="B41" s="112">
        <v>0</v>
      </c>
      <c r="C41"/>
      <c r="D41"/>
    </row>
    <row r="42" spans="1:38" ht="15" customHeight="1" x14ac:dyDescent="0.15">
      <c r="A42" s="204" t="s">
        <v>230</v>
      </c>
      <c r="B42" s="112">
        <v>0</v>
      </c>
    </row>
    <row r="43" spans="1:38" ht="15" customHeight="1" x14ac:dyDescent="0.15">
      <c r="A43" s="204" t="s">
        <v>231</v>
      </c>
      <c r="B43" s="112">
        <v>0</v>
      </c>
    </row>
    <row r="44" spans="1:38" ht="15" customHeight="1" x14ac:dyDescent="0.15">
      <c r="A44" s="204" t="s">
        <v>232</v>
      </c>
      <c r="B44" s="112">
        <v>0</v>
      </c>
    </row>
    <row r="45" spans="1:38" ht="15" customHeight="1" x14ac:dyDescent="0.15">
      <c r="A45" s="204" t="s">
        <v>233</v>
      </c>
      <c r="B45" s="112">
        <v>0</v>
      </c>
    </row>
    <row r="46" spans="1:38" ht="15" customHeight="1" x14ac:dyDescent="0.15">
      <c r="A46" s="204" t="s">
        <v>234</v>
      </c>
      <c r="B46" s="112">
        <v>0</v>
      </c>
    </row>
    <row r="47" spans="1:38" ht="15" customHeight="1" x14ac:dyDescent="0.15">
      <c r="A47" s="204" t="s">
        <v>235</v>
      </c>
      <c r="B47" s="112">
        <v>0</v>
      </c>
    </row>
    <row r="48" spans="1:38" ht="15" customHeight="1" x14ac:dyDescent="0.15">
      <c r="A48" s="204" t="s">
        <v>236</v>
      </c>
      <c r="B48" s="112">
        <v>0</v>
      </c>
    </row>
    <row r="49" spans="1:38" ht="15" customHeight="1" x14ac:dyDescent="0.15">
      <c r="A49" s="204" t="s">
        <v>201</v>
      </c>
      <c r="B49" s="112">
        <v>0</v>
      </c>
    </row>
    <row r="50" spans="1:38" ht="15" customHeight="1" x14ac:dyDescent="0.15">
      <c r="A50" s="204" t="s">
        <v>202</v>
      </c>
      <c r="B50" s="112">
        <v>0</v>
      </c>
    </row>
    <row r="51" spans="1:38" ht="15" customHeight="1" x14ac:dyDescent="0.15">
      <c r="A51" s="204" t="s">
        <v>211</v>
      </c>
      <c r="B51" s="112">
        <v>0</v>
      </c>
    </row>
    <row r="52" spans="1:38" ht="15" customHeight="1" x14ac:dyDescent="0.15">
      <c r="A52" s="204" t="s">
        <v>212</v>
      </c>
      <c r="B52" s="112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4" t="s">
        <v>213</v>
      </c>
      <c r="B53" s="112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4" t="s">
        <v>214</v>
      </c>
      <c r="B54" s="112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4" t="s">
        <v>206</v>
      </c>
      <c r="B55" s="112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4" t="s">
        <v>205</v>
      </c>
      <c r="B56" s="112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4" t="s">
        <v>219</v>
      </c>
      <c r="B57" s="112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4" t="s">
        <v>237</v>
      </c>
      <c r="B58" s="112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2022-10-24T04:55:12Z</dcterms:modified>
</cp:coreProperties>
</file>